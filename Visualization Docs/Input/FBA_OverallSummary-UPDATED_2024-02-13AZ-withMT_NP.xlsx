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Visualization Docs\Input\"/>
    </mc:Choice>
  </mc:AlternateContent>
  <xr:revisionPtr revIDLastSave="0" documentId="13_ncr:1_{6930B654-B2FD-4199-9184-D6EBF9CFFACA}" xr6:coauthVersionLast="47" xr6:coauthVersionMax="47" xr10:uidLastSave="{00000000-0000-0000-0000-000000000000}"/>
  <bookViews>
    <workbookView xWindow="-120" yWindow="-120" windowWidth="29040" windowHeight="15840" tabRatio="500" activeTab="3" xr2:uid="{00000000-000D-0000-FFFF-FFFF00000000}"/>
  </bookViews>
  <sheets>
    <sheet name="Overall Results" sheetId="1" r:id="rId1"/>
    <sheet name="Product Parameters" sheetId="2" r:id="rId2"/>
    <sheet name="Product Naming" sheetId="3" r:id="rId3"/>
    <sheet name="Substrate Heating" sheetId="4" r:id="rId4"/>
  </sheets>
  <definedNames>
    <definedName name="_xlnm._FilterDatabase" localSheetId="0" hidden="1">'Overall Results'!$A$1:$AH$1706</definedName>
    <definedName name="_FilterDatabase_0" localSheetId="0">'Overall Results'!$A$1:$AH$882</definedName>
    <definedName name="_FilterDatabase_0_0" localSheetId="0">'Overall Results'!$A$1:$AH$770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P2" i="1" l="1"/>
  <c r="B13" i="4" l="1"/>
  <c r="AQ2" i="1" l="1"/>
  <c r="AR2" i="1" s="1"/>
  <c r="AR258" i="1" l="1"/>
  <c r="AR514" i="1"/>
  <c r="AR770" i="1"/>
  <c r="AR1026" i="1"/>
  <c r="AR1217" i="1"/>
  <c r="AR1318" i="1"/>
  <c r="AR1366" i="1"/>
  <c r="AR1382" i="1"/>
  <c r="AR1398" i="1"/>
  <c r="AR1414" i="1"/>
  <c r="AR1430" i="1"/>
  <c r="AR1446" i="1"/>
  <c r="AR1462" i="1"/>
  <c r="AR1478" i="1"/>
  <c r="AR1494" i="1"/>
  <c r="AR1510" i="1"/>
  <c r="AR1526" i="1"/>
  <c r="AR1542" i="1"/>
  <c r="AR1558" i="1"/>
  <c r="AR1574" i="1"/>
  <c r="AR1590" i="1"/>
  <c r="AR1606" i="1"/>
  <c r="AR1622" i="1"/>
  <c r="AR1638" i="1"/>
  <c r="AR1654" i="1"/>
  <c r="AR1670" i="1"/>
  <c r="AR1686" i="1"/>
  <c r="AR1702" i="1"/>
  <c r="AQ3" i="1"/>
  <c r="AR3" i="1" s="1"/>
  <c r="AQ4" i="1"/>
  <c r="AR4" i="1" s="1"/>
  <c r="AQ5" i="1"/>
  <c r="AR5" i="1" s="1"/>
  <c r="AQ6" i="1"/>
  <c r="AR6" i="1" s="1"/>
  <c r="AQ7" i="1"/>
  <c r="AR7" i="1" s="1"/>
  <c r="AQ8" i="1"/>
  <c r="AR8" i="1" s="1"/>
  <c r="AQ9" i="1"/>
  <c r="AR9" i="1" s="1"/>
  <c r="AQ10" i="1"/>
  <c r="AR10" i="1" s="1"/>
  <c r="AQ11" i="1"/>
  <c r="AR11" i="1" s="1"/>
  <c r="AQ12" i="1"/>
  <c r="AR12" i="1" s="1"/>
  <c r="AQ13" i="1"/>
  <c r="AR13" i="1" s="1"/>
  <c r="AQ14" i="1"/>
  <c r="AR14" i="1" s="1"/>
  <c r="AQ15" i="1"/>
  <c r="AR15" i="1" s="1"/>
  <c r="AQ16" i="1"/>
  <c r="AR16" i="1" s="1"/>
  <c r="AQ17" i="1"/>
  <c r="AR17" i="1" s="1"/>
  <c r="AQ18" i="1"/>
  <c r="AR18" i="1" s="1"/>
  <c r="AQ19" i="1"/>
  <c r="AR19" i="1" s="1"/>
  <c r="AQ20" i="1"/>
  <c r="AR20" i="1" s="1"/>
  <c r="AQ21" i="1"/>
  <c r="AR21" i="1" s="1"/>
  <c r="AQ22" i="1"/>
  <c r="AR22" i="1" s="1"/>
  <c r="AQ23" i="1"/>
  <c r="AR23" i="1" s="1"/>
  <c r="AQ24" i="1"/>
  <c r="AR24" i="1" s="1"/>
  <c r="AQ25" i="1"/>
  <c r="AR25" i="1" s="1"/>
  <c r="AQ26" i="1"/>
  <c r="AR26" i="1" s="1"/>
  <c r="AQ27" i="1"/>
  <c r="AR27" i="1" s="1"/>
  <c r="AQ28" i="1"/>
  <c r="AR28" i="1" s="1"/>
  <c r="AQ29" i="1"/>
  <c r="AR29" i="1" s="1"/>
  <c r="AQ30" i="1"/>
  <c r="AR30" i="1" s="1"/>
  <c r="AQ31" i="1"/>
  <c r="AR31" i="1" s="1"/>
  <c r="AQ32" i="1"/>
  <c r="AR32" i="1" s="1"/>
  <c r="AQ33" i="1"/>
  <c r="AR33" i="1" s="1"/>
  <c r="AQ34" i="1"/>
  <c r="AR34" i="1" s="1"/>
  <c r="AQ35" i="1"/>
  <c r="AR35" i="1" s="1"/>
  <c r="AQ36" i="1"/>
  <c r="AR36" i="1" s="1"/>
  <c r="AQ37" i="1"/>
  <c r="AR37" i="1" s="1"/>
  <c r="AQ38" i="1"/>
  <c r="AR38" i="1" s="1"/>
  <c r="AQ39" i="1"/>
  <c r="AR39" i="1" s="1"/>
  <c r="AQ40" i="1"/>
  <c r="AR40" i="1" s="1"/>
  <c r="AQ41" i="1"/>
  <c r="AR41" i="1" s="1"/>
  <c r="AQ42" i="1"/>
  <c r="AR42" i="1" s="1"/>
  <c r="AQ43" i="1"/>
  <c r="AR43" i="1" s="1"/>
  <c r="AQ44" i="1"/>
  <c r="AR44" i="1" s="1"/>
  <c r="AQ45" i="1"/>
  <c r="AR45" i="1" s="1"/>
  <c r="AQ46" i="1"/>
  <c r="AR46" i="1" s="1"/>
  <c r="AQ47" i="1"/>
  <c r="AR47" i="1" s="1"/>
  <c r="AQ48" i="1"/>
  <c r="AR48" i="1" s="1"/>
  <c r="AQ49" i="1"/>
  <c r="AR49" i="1" s="1"/>
  <c r="AQ50" i="1"/>
  <c r="AR50" i="1" s="1"/>
  <c r="AQ51" i="1"/>
  <c r="AR51" i="1" s="1"/>
  <c r="AQ52" i="1"/>
  <c r="AR52" i="1" s="1"/>
  <c r="AQ53" i="1"/>
  <c r="AR53" i="1" s="1"/>
  <c r="AQ54" i="1"/>
  <c r="AR54" i="1" s="1"/>
  <c r="AQ55" i="1"/>
  <c r="AR55" i="1" s="1"/>
  <c r="AQ56" i="1"/>
  <c r="AR56" i="1" s="1"/>
  <c r="AQ57" i="1"/>
  <c r="AR57" i="1" s="1"/>
  <c r="AQ58" i="1"/>
  <c r="AR58" i="1" s="1"/>
  <c r="AQ59" i="1"/>
  <c r="AR59" i="1" s="1"/>
  <c r="AQ60" i="1"/>
  <c r="AR60" i="1" s="1"/>
  <c r="AQ61" i="1"/>
  <c r="AR61" i="1" s="1"/>
  <c r="AQ62" i="1"/>
  <c r="AR62" i="1" s="1"/>
  <c r="AQ63" i="1"/>
  <c r="AR63" i="1" s="1"/>
  <c r="AQ64" i="1"/>
  <c r="AR64" i="1" s="1"/>
  <c r="AQ65" i="1"/>
  <c r="AR65" i="1" s="1"/>
  <c r="AQ66" i="1"/>
  <c r="AR66" i="1" s="1"/>
  <c r="AQ67" i="1"/>
  <c r="AR67" i="1" s="1"/>
  <c r="AQ68" i="1"/>
  <c r="AR68" i="1" s="1"/>
  <c r="AQ69" i="1"/>
  <c r="AR69" i="1" s="1"/>
  <c r="AQ70" i="1"/>
  <c r="AR70" i="1" s="1"/>
  <c r="AQ71" i="1"/>
  <c r="AR71" i="1" s="1"/>
  <c r="AQ72" i="1"/>
  <c r="AR72" i="1" s="1"/>
  <c r="AQ73" i="1"/>
  <c r="AR73" i="1" s="1"/>
  <c r="AQ74" i="1"/>
  <c r="AR74" i="1" s="1"/>
  <c r="AQ75" i="1"/>
  <c r="AR75" i="1" s="1"/>
  <c r="AQ76" i="1"/>
  <c r="AR76" i="1" s="1"/>
  <c r="AQ77" i="1"/>
  <c r="AR77" i="1" s="1"/>
  <c r="AQ78" i="1"/>
  <c r="AR78" i="1" s="1"/>
  <c r="AQ79" i="1"/>
  <c r="AR79" i="1" s="1"/>
  <c r="AQ80" i="1"/>
  <c r="AR80" i="1" s="1"/>
  <c r="AQ81" i="1"/>
  <c r="AR81" i="1" s="1"/>
  <c r="AQ82" i="1"/>
  <c r="AR82" i="1" s="1"/>
  <c r="AQ83" i="1"/>
  <c r="AR83" i="1" s="1"/>
  <c r="AQ84" i="1"/>
  <c r="AR84" i="1" s="1"/>
  <c r="AQ85" i="1"/>
  <c r="AR85" i="1" s="1"/>
  <c r="AQ86" i="1"/>
  <c r="AR86" i="1" s="1"/>
  <c r="AQ87" i="1"/>
  <c r="AR87" i="1" s="1"/>
  <c r="AQ88" i="1"/>
  <c r="AR88" i="1" s="1"/>
  <c r="AQ89" i="1"/>
  <c r="AR89" i="1" s="1"/>
  <c r="AQ90" i="1"/>
  <c r="AR90" i="1" s="1"/>
  <c r="AQ91" i="1"/>
  <c r="AR91" i="1" s="1"/>
  <c r="AQ92" i="1"/>
  <c r="AR92" i="1" s="1"/>
  <c r="AQ93" i="1"/>
  <c r="AR93" i="1" s="1"/>
  <c r="AQ94" i="1"/>
  <c r="AR94" i="1" s="1"/>
  <c r="AQ95" i="1"/>
  <c r="AR95" i="1" s="1"/>
  <c r="AQ96" i="1"/>
  <c r="AR96" i="1" s="1"/>
  <c r="AQ97" i="1"/>
  <c r="AR97" i="1" s="1"/>
  <c r="AQ98" i="1"/>
  <c r="AR98" i="1" s="1"/>
  <c r="AQ99" i="1"/>
  <c r="AR99" i="1" s="1"/>
  <c r="AQ100" i="1"/>
  <c r="AR100" i="1" s="1"/>
  <c r="AQ101" i="1"/>
  <c r="AR101" i="1" s="1"/>
  <c r="AQ102" i="1"/>
  <c r="AR102" i="1" s="1"/>
  <c r="AQ103" i="1"/>
  <c r="AR103" i="1" s="1"/>
  <c r="AQ104" i="1"/>
  <c r="AR104" i="1" s="1"/>
  <c r="AQ105" i="1"/>
  <c r="AR105" i="1" s="1"/>
  <c r="AQ106" i="1"/>
  <c r="AR106" i="1" s="1"/>
  <c r="AQ107" i="1"/>
  <c r="AR107" i="1" s="1"/>
  <c r="AQ108" i="1"/>
  <c r="AR108" i="1" s="1"/>
  <c r="AQ109" i="1"/>
  <c r="AR109" i="1" s="1"/>
  <c r="AQ110" i="1"/>
  <c r="AR110" i="1" s="1"/>
  <c r="AQ111" i="1"/>
  <c r="AR111" i="1" s="1"/>
  <c r="AQ112" i="1"/>
  <c r="AR112" i="1" s="1"/>
  <c r="AQ113" i="1"/>
  <c r="AR113" i="1" s="1"/>
  <c r="AQ114" i="1"/>
  <c r="AR114" i="1" s="1"/>
  <c r="AQ115" i="1"/>
  <c r="AR115" i="1" s="1"/>
  <c r="AQ116" i="1"/>
  <c r="AR116" i="1" s="1"/>
  <c r="AQ117" i="1"/>
  <c r="AR117" i="1" s="1"/>
  <c r="AQ118" i="1"/>
  <c r="AR118" i="1" s="1"/>
  <c r="AQ119" i="1"/>
  <c r="AR119" i="1" s="1"/>
  <c r="AQ120" i="1"/>
  <c r="AR120" i="1" s="1"/>
  <c r="AQ121" i="1"/>
  <c r="AR121" i="1" s="1"/>
  <c r="AQ122" i="1"/>
  <c r="AR122" i="1" s="1"/>
  <c r="AQ123" i="1"/>
  <c r="AR123" i="1" s="1"/>
  <c r="AQ124" i="1"/>
  <c r="AR124" i="1" s="1"/>
  <c r="AQ125" i="1"/>
  <c r="AR125" i="1" s="1"/>
  <c r="AQ126" i="1"/>
  <c r="AR126" i="1" s="1"/>
  <c r="AQ127" i="1"/>
  <c r="AR127" i="1" s="1"/>
  <c r="AQ128" i="1"/>
  <c r="AR128" i="1" s="1"/>
  <c r="AQ129" i="1"/>
  <c r="AR129" i="1" s="1"/>
  <c r="AQ130" i="1"/>
  <c r="AR130" i="1" s="1"/>
  <c r="AQ131" i="1"/>
  <c r="AR131" i="1" s="1"/>
  <c r="AQ132" i="1"/>
  <c r="AR132" i="1" s="1"/>
  <c r="AQ133" i="1"/>
  <c r="AR133" i="1" s="1"/>
  <c r="AQ134" i="1"/>
  <c r="AR134" i="1" s="1"/>
  <c r="AQ135" i="1"/>
  <c r="AR135" i="1" s="1"/>
  <c r="AQ136" i="1"/>
  <c r="AR136" i="1" s="1"/>
  <c r="AQ137" i="1"/>
  <c r="AR137" i="1" s="1"/>
  <c r="AQ138" i="1"/>
  <c r="AR138" i="1" s="1"/>
  <c r="AQ139" i="1"/>
  <c r="AR139" i="1" s="1"/>
  <c r="AQ140" i="1"/>
  <c r="AR140" i="1" s="1"/>
  <c r="AQ141" i="1"/>
  <c r="AR141" i="1" s="1"/>
  <c r="AQ142" i="1"/>
  <c r="AR142" i="1" s="1"/>
  <c r="AQ143" i="1"/>
  <c r="AR143" i="1" s="1"/>
  <c r="AQ144" i="1"/>
  <c r="AR144" i="1" s="1"/>
  <c r="AQ145" i="1"/>
  <c r="AR145" i="1" s="1"/>
  <c r="AQ146" i="1"/>
  <c r="AR146" i="1" s="1"/>
  <c r="AQ147" i="1"/>
  <c r="AR147" i="1" s="1"/>
  <c r="AQ148" i="1"/>
  <c r="AR148" i="1" s="1"/>
  <c r="AQ149" i="1"/>
  <c r="AR149" i="1" s="1"/>
  <c r="AQ150" i="1"/>
  <c r="AR150" i="1" s="1"/>
  <c r="AQ151" i="1"/>
  <c r="AR151" i="1" s="1"/>
  <c r="AQ152" i="1"/>
  <c r="AR152" i="1" s="1"/>
  <c r="AQ153" i="1"/>
  <c r="AR153" i="1" s="1"/>
  <c r="AQ154" i="1"/>
  <c r="AR154" i="1" s="1"/>
  <c r="AQ155" i="1"/>
  <c r="AR155" i="1" s="1"/>
  <c r="AQ156" i="1"/>
  <c r="AR156" i="1" s="1"/>
  <c r="AQ157" i="1"/>
  <c r="AR157" i="1" s="1"/>
  <c r="AQ158" i="1"/>
  <c r="AR158" i="1" s="1"/>
  <c r="AQ159" i="1"/>
  <c r="AR159" i="1" s="1"/>
  <c r="AQ160" i="1"/>
  <c r="AR160" i="1" s="1"/>
  <c r="AQ161" i="1"/>
  <c r="AR161" i="1" s="1"/>
  <c r="AQ162" i="1"/>
  <c r="AR162" i="1" s="1"/>
  <c r="AQ163" i="1"/>
  <c r="AR163" i="1" s="1"/>
  <c r="AQ164" i="1"/>
  <c r="AR164" i="1" s="1"/>
  <c r="AQ165" i="1"/>
  <c r="AR165" i="1" s="1"/>
  <c r="AQ166" i="1"/>
  <c r="AR166" i="1" s="1"/>
  <c r="AQ167" i="1"/>
  <c r="AR167" i="1" s="1"/>
  <c r="AQ168" i="1"/>
  <c r="AR168" i="1" s="1"/>
  <c r="AQ169" i="1"/>
  <c r="AR169" i="1" s="1"/>
  <c r="AQ170" i="1"/>
  <c r="AR170" i="1" s="1"/>
  <c r="AQ171" i="1"/>
  <c r="AR171" i="1" s="1"/>
  <c r="AQ172" i="1"/>
  <c r="AR172" i="1" s="1"/>
  <c r="AQ173" i="1"/>
  <c r="AR173" i="1" s="1"/>
  <c r="AQ174" i="1"/>
  <c r="AR174" i="1" s="1"/>
  <c r="AQ175" i="1"/>
  <c r="AR175" i="1" s="1"/>
  <c r="AQ176" i="1"/>
  <c r="AR176" i="1" s="1"/>
  <c r="AQ177" i="1"/>
  <c r="AR177" i="1" s="1"/>
  <c r="AQ178" i="1"/>
  <c r="AR178" i="1" s="1"/>
  <c r="AQ179" i="1"/>
  <c r="AR179" i="1" s="1"/>
  <c r="AQ180" i="1"/>
  <c r="AR180" i="1" s="1"/>
  <c r="AQ181" i="1"/>
  <c r="AR181" i="1" s="1"/>
  <c r="AQ182" i="1"/>
  <c r="AR182" i="1" s="1"/>
  <c r="AQ183" i="1"/>
  <c r="AR183" i="1" s="1"/>
  <c r="AQ184" i="1"/>
  <c r="AR184" i="1" s="1"/>
  <c r="AQ185" i="1"/>
  <c r="AR185" i="1" s="1"/>
  <c r="AQ186" i="1"/>
  <c r="AR186" i="1" s="1"/>
  <c r="AQ187" i="1"/>
  <c r="AR187" i="1" s="1"/>
  <c r="AQ188" i="1"/>
  <c r="AR188" i="1" s="1"/>
  <c r="AQ189" i="1"/>
  <c r="AR189" i="1" s="1"/>
  <c r="AQ190" i="1"/>
  <c r="AR190" i="1" s="1"/>
  <c r="AQ191" i="1"/>
  <c r="AR191" i="1" s="1"/>
  <c r="AQ192" i="1"/>
  <c r="AR192" i="1" s="1"/>
  <c r="AQ193" i="1"/>
  <c r="AR193" i="1" s="1"/>
  <c r="AQ194" i="1"/>
  <c r="AR194" i="1" s="1"/>
  <c r="AQ195" i="1"/>
  <c r="AR195" i="1" s="1"/>
  <c r="AQ196" i="1"/>
  <c r="AR196" i="1" s="1"/>
  <c r="AQ197" i="1"/>
  <c r="AR197" i="1" s="1"/>
  <c r="AQ198" i="1"/>
  <c r="AR198" i="1" s="1"/>
  <c r="AQ199" i="1"/>
  <c r="AR199" i="1" s="1"/>
  <c r="AQ200" i="1"/>
  <c r="AR200" i="1" s="1"/>
  <c r="AQ201" i="1"/>
  <c r="AR201" i="1" s="1"/>
  <c r="AQ202" i="1"/>
  <c r="AR202" i="1" s="1"/>
  <c r="AQ203" i="1"/>
  <c r="AR203" i="1" s="1"/>
  <c r="AQ204" i="1"/>
  <c r="AR204" i="1" s="1"/>
  <c r="AQ205" i="1"/>
  <c r="AR205" i="1" s="1"/>
  <c r="AQ206" i="1"/>
  <c r="AR206" i="1" s="1"/>
  <c r="AQ207" i="1"/>
  <c r="AR207" i="1" s="1"/>
  <c r="AQ208" i="1"/>
  <c r="AR208" i="1" s="1"/>
  <c r="AQ209" i="1"/>
  <c r="AR209" i="1" s="1"/>
  <c r="AQ210" i="1"/>
  <c r="AR210" i="1" s="1"/>
  <c r="AQ211" i="1"/>
  <c r="AR211" i="1" s="1"/>
  <c r="AQ212" i="1"/>
  <c r="AR212" i="1" s="1"/>
  <c r="AQ213" i="1"/>
  <c r="AR213" i="1" s="1"/>
  <c r="AQ214" i="1"/>
  <c r="AR214" i="1" s="1"/>
  <c r="AQ215" i="1"/>
  <c r="AR215" i="1" s="1"/>
  <c r="AQ216" i="1"/>
  <c r="AR216" i="1" s="1"/>
  <c r="AQ217" i="1"/>
  <c r="AR217" i="1" s="1"/>
  <c r="AQ218" i="1"/>
  <c r="AR218" i="1" s="1"/>
  <c r="AQ219" i="1"/>
  <c r="AR219" i="1" s="1"/>
  <c r="AQ220" i="1"/>
  <c r="AR220" i="1" s="1"/>
  <c r="AQ221" i="1"/>
  <c r="AR221" i="1" s="1"/>
  <c r="AQ222" i="1"/>
  <c r="AR222" i="1" s="1"/>
  <c r="AQ223" i="1"/>
  <c r="AR223" i="1" s="1"/>
  <c r="AQ224" i="1"/>
  <c r="AR224" i="1" s="1"/>
  <c r="AQ225" i="1"/>
  <c r="AR225" i="1" s="1"/>
  <c r="AQ226" i="1"/>
  <c r="AR226" i="1" s="1"/>
  <c r="AQ227" i="1"/>
  <c r="AR227" i="1" s="1"/>
  <c r="AQ228" i="1"/>
  <c r="AR228" i="1" s="1"/>
  <c r="AQ229" i="1"/>
  <c r="AR229" i="1" s="1"/>
  <c r="AQ230" i="1"/>
  <c r="AR230" i="1" s="1"/>
  <c r="AQ231" i="1"/>
  <c r="AR231" i="1" s="1"/>
  <c r="AQ232" i="1"/>
  <c r="AR232" i="1" s="1"/>
  <c r="AQ233" i="1"/>
  <c r="AR233" i="1" s="1"/>
  <c r="AQ234" i="1"/>
  <c r="AR234" i="1" s="1"/>
  <c r="AQ235" i="1"/>
  <c r="AR235" i="1" s="1"/>
  <c r="AQ236" i="1"/>
  <c r="AR236" i="1" s="1"/>
  <c r="AQ237" i="1"/>
  <c r="AR237" i="1" s="1"/>
  <c r="AQ238" i="1"/>
  <c r="AR238" i="1" s="1"/>
  <c r="AQ239" i="1"/>
  <c r="AR239" i="1" s="1"/>
  <c r="AQ240" i="1"/>
  <c r="AR240" i="1" s="1"/>
  <c r="AQ241" i="1"/>
  <c r="AR241" i="1" s="1"/>
  <c r="AQ242" i="1"/>
  <c r="AR242" i="1" s="1"/>
  <c r="AQ243" i="1"/>
  <c r="AR243" i="1" s="1"/>
  <c r="AQ244" i="1"/>
  <c r="AR244" i="1" s="1"/>
  <c r="AQ245" i="1"/>
  <c r="AR245" i="1" s="1"/>
  <c r="AQ246" i="1"/>
  <c r="AR246" i="1" s="1"/>
  <c r="AQ247" i="1"/>
  <c r="AR247" i="1" s="1"/>
  <c r="AQ248" i="1"/>
  <c r="AR248" i="1" s="1"/>
  <c r="AQ249" i="1"/>
  <c r="AR249" i="1" s="1"/>
  <c r="AQ250" i="1"/>
  <c r="AR250" i="1" s="1"/>
  <c r="AQ251" i="1"/>
  <c r="AR251" i="1" s="1"/>
  <c r="AQ252" i="1"/>
  <c r="AR252" i="1" s="1"/>
  <c r="AQ253" i="1"/>
  <c r="AR253" i="1" s="1"/>
  <c r="AQ254" i="1"/>
  <c r="AR254" i="1" s="1"/>
  <c r="AQ255" i="1"/>
  <c r="AR255" i="1" s="1"/>
  <c r="AQ256" i="1"/>
  <c r="AR256" i="1" s="1"/>
  <c r="AQ257" i="1"/>
  <c r="AR257" i="1" s="1"/>
  <c r="AQ258" i="1"/>
  <c r="AQ259" i="1"/>
  <c r="AR259" i="1" s="1"/>
  <c r="AQ260" i="1"/>
  <c r="AR260" i="1" s="1"/>
  <c r="AQ261" i="1"/>
  <c r="AR261" i="1" s="1"/>
  <c r="AQ262" i="1"/>
  <c r="AR262" i="1" s="1"/>
  <c r="AQ263" i="1"/>
  <c r="AR263" i="1" s="1"/>
  <c r="AQ264" i="1"/>
  <c r="AR264" i="1" s="1"/>
  <c r="AQ265" i="1"/>
  <c r="AR265" i="1" s="1"/>
  <c r="AQ266" i="1"/>
  <c r="AR266" i="1" s="1"/>
  <c r="AQ267" i="1"/>
  <c r="AR267" i="1" s="1"/>
  <c r="AQ268" i="1"/>
  <c r="AR268" i="1" s="1"/>
  <c r="AQ269" i="1"/>
  <c r="AR269" i="1" s="1"/>
  <c r="AQ270" i="1"/>
  <c r="AR270" i="1" s="1"/>
  <c r="AQ271" i="1"/>
  <c r="AR271" i="1" s="1"/>
  <c r="AQ272" i="1"/>
  <c r="AR272" i="1" s="1"/>
  <c r="AQ273" i="1"/>
  <c r="AR273" i="1" s="1"/>
  <c r="AQ274" i="1"/>
  <c r="AR274" i="1" s="1"/>
  <c r="AQ275" i="1"/>
  <c r="AR275" i="1" s="1"/>
  <c r="AQ276" i="1"/>
  <c r="AR276" i="1" s="1"/>
  <c r="AQ277" i="1"/>
  <c r="AR277" i="1" s="1"/>
  <c r="AQ278" i="1"/>
  <c r="AR278" i="1" s="1"/>
  <c r="AQ279" i="1"/>
  <c r="AR279" i="1" s="1"/>
  <c r="AQ280" i="1"/>
  <c r="AR280" i="1" s="1"/>
  <c r="AQ281" i="1"/>
  <c r="AR281" i="1" s="1"/>
  <c r="AQ282" i="1"/>
  <c r="AR282" i="1" s="1"/>
  <c r="AQ283" i="1"/>
  <c r="AR283" i="1" s="1"/>
  <c r="AQ284" i="1"/>
  <c r="AR284" i="1" s="1"/>
  <c r="AQ285" i="1"/>
  <c r="AR285" i="1" s="1"/>
  <c r="AQ286" i="1"/>
  <c r="AR286" i="1" s="1"/>
  <c r="AQ287" i="1"/>
  <c r="AR287" i="1" s="1"/>
  <c r="AQ288" i="1"/>
  <c r="AR288" i="1" s="1"/>
  <c r="AQ289" i="1"/>
  <c r="AR289" i="1" s="1"/>
  <c r="AQ290" i="1"/>
  <c r="AR290" i="1" s="1"/>
  <c r="AQ291" i="1"/>
  <c r="AR291" i="1" s="1"/>
  <c r="AQ292" i="1"/>
  <c r="AR292" i="1" s="1"/>
  <c r="AQ293" i="1"/>
  <c r="AR293" i="1" s="1"/>
  <c r="AQ294" i="1"/>
  <c r="AR294" i="1" s="1"/>
  <c r="AQ295" i="1"/>
  <c r="AR295" i="1" s="1"/>
  <c r="AQ296" i="1"/>
  <c r="AR296" i="1" s="1"/>
  <c r="AQ297" i="1"/>
  <c r="AR297" i="1" s="1"/>
  <c r="AQ298" i="1"/>
  <c r="AR298" i="1" s="1"/>
  <c r="AQ299" i="1"/>
  <c r="AR299" i="1" s="1"/>
  <c r="AQ300" i="1"/>
  <c r="AR300" i="1" s="1"/>
  <c r="AQ301" i="1"/>
  <c r="AR301" i="1" s="1"/>
  <c r="AQ302" i="1"/>
  <c r="AR302" i="1" s="1"/>
  <c r="AQ303" i="1"/>
  <c r="AR303" i="1" s="1"/>
  <c r="AQ304" i="1"/>
  <c r="AR304" i="1" s="1"/>
  <c r="AQ305" i="1"/>
  <c r="AR305" i="1" s="1"/>
  <c r="AQ306" i="1"/>
  <c r="AR306" i="1" s="1"/>
  <c r="AQ307" i="1"/>
  <c r="AR307" i="1" s="1"/>
  <c r="AQ308" i="1"/>
  <c r="AR308" i="1" s="1"/>
  <c r="AQ309" i="1"/>
  <c r="AR309" i="1" s="1"/>
  <c r="AQ310" i="1"/>
  <c r="AR310" i="1" s="1"/>
  <c r="AQ311" i="1"/>
  <c r="AR311" i="1" s="1"/>
  <c r="AQ312" i="1"/>
  <c r="AR312" i="1" s="1"/>
  <c r="AQ313" i="1"/>
  <c r="AR313" i="1" s="1"/>
  <c r="AQ314" i="1"/>
  <c r="AR314" i="1" s="1"/>
  <c r="AQ315" i="1"/>
  <c r="AR315" i="1" s="1"/>
  <c r="AQ316" i="1"/>
  <c r="AR316" i="1" s="1"/>
  <c r="AQ317" i="1"/>
  <c r="AR317" i="1" s="1"/>
  <c r="AQ318" i="1"/>
  <c r="AR318" i="1" s="1"/>
  <c r="AQ319" i="1"/>
  <c r="AR319" i="1" s="1"/>
  <c r="AQ320" i="1"/>
  <c r="AR320" i="1" s="1"/>
  <c r="AQ321" i="1"/>
  <c r="AR321" i="1" s="1"/>
  <c r="AQ322" i="1"/>
  <c r="AR322" i="1" s="1"/>
  <c r="AQ323" i="1"/>
  <c r="AR323" i="1" s="1"/>
  <c r="AQ324" i="1"/>
  <c r="AR324" i="1" s="1"/>
  <c r="AQ325" i="1"/>
  <c r="AR325" i="1" s="1"/>
  <c r="AQ326" i="1"/>
  <c r="AR326" i="1" s="1"/>
  <c r="AQ327" i="1"/>
  <c r="AR327" i="1" s="1"/>
  <c r="AQ328" i="1"/>
  <c r="AR328" i="1" s="1"/>
  <c r="AQ329" i="1"/>
  <c r="AR329" i="1" s="1"/>
  <c r="AQ330" i="1"/>
  <c r="AR330" i="1" s="1"/>
  <c r="AQ331" i="1"/>
  <c r="AR331" i="1" s="1"/>
  <c r="AQ332" i="1"/>
  <c r="AR332" i="1" s="1"/>
  <c r="AQ333" i="1"/>
  <c r="AR333" i="1" s="1"/>
  <c r="AQ334" i="1"/>
  <c r="AR334" i="1" s="1"/>
  <c r="AQ335" i="1"/>
  <c r="AR335" i="1" s="1"/>
  <c r="AQ336" i="1"/>
  <c r="AR336" i="1" s="1"/>
  <c r="AQ337" i="1"/>
  <c r="AR337" i="1" s="1"/>
  <c r="AQ338" i="1"/>
  <c r="AR338" i="1" s="1"/>
  <c r="AQ339" i="1"/>
  <c r="AR339" i="1" s="1"/>
  <c r="AQ340" i="1"/>
  <c r="AR340" i="1" s="1"/>
  <c r="AQ341" i="1"/>
  <c r="AR341" i="1" s="1"/>
  <c r="AQ342" i="1"/>
  <c r="AR342" i="1" s="1"/>
  <c r="AQ343" i="1"/>
  <c r="AR343" i="1" s="1"/>
  <c r="AQ344" i="1"/>
  <c r="AR344" i="1" s="1"/>
  <c r="AQ345" i="1"/>
  <c r="AR345" i="1" s="1"/>
  <c r="AQ346" i="1"/>
  <c r="AR346" i="1" s="1"/>
  <c r="AQ347" i="1"/>
  <c r="AR347" i="1" s="1"/>
  <c r="AQ348" i="1"/>
  <c r="AR348" i="1" s="1"/>
  <c r="AQ349" i="1"/>
  <c r="AR349" i="1" s="1"/>
  <c r="AQ350" i="1"/>
  <c r="AR350" i="1" s="1"/>
  <c r="AQ351" i="1"/>
  <c r="AR351" i="1" s="1"/>
  <c r="AQ352" i="1"/>
  <c r="AR352" i="1" s="1"/>
  <c r="AQ353" i="1"/>
  <c r="AR353" i="1" s="1"/>
  <c r="AQ354" i="1"/>
  <c r="AR354" i="1" s="1"/>
  <c r="AQ355" i="1"/>
  <c r="AR355" i="1" s="1"/>
  <c r="AQ356" i="1"/>
  <c r="AR356" i="1" s="1"/>
  <c r="AQ357" i="1"/>
  <c r="AR357" i="1" s="1"/>
  <c r="AQ358" i="1"/>
  <c r="AR358" i="1" s="1"/>
  <c r="AQ359" i="1"/>
  <c r="AR359" i="1" s="1"/>
  <c r="AQ360" i="1"/>
  <c r="AR360" i="1" s="1"/>
  <c r="AQ361" i="1"/>
  <c r="AR361" i="1" s="1"/>
  <c r="AQ362" i="1"/>
  <c r="AR362" i="1" s="1"/>
  <c r="AQ363" i="1"/>
  <c r="AR363" i="1" s="1"/>
  <c r="AQ364" i="1"/>
  <c r="AR364" i="1" s="1"/>
  <c r="AQ365" i="1"/>
  <c r="AR365" i="1" s="1"/>
  <c r="AQ366" i="1"/>
  <c r="AR366" i="1" s="1"/>
  <c r="AQ367" i="1"/>
  <c r="AR367" i="1" s="1"/>
  <c r="AQ368" i="1"/>
  <c r="AR368" i="1" s="1"/>
  <c r="AQ369" i="1"/>
  <c r="AR369" i="1" s="1"/>
  <c r="AQ370" i="1"/>
  <c r="AR370" i="1" s="1"/>
  <c r="AQ371" i="1"/>
  <c r="AR371" i="1" s="1"/>
  <c r="AQ372" i="1"/>
  <c r="AR372" i="1" s="1"/>
  <c r="AQ373" i="1"/>
  <c r="AR373" i="1" s="1"/>
  <c r="AQ374" i="1"/>
  <c r="AR374" i="1" s="1"/>
  <c r="AQ375" i="1"/>
  <c r="AR375" i="1" s="1"/>
  <c r="AQ376" i="1"/>
  <c r="AR376" i="1" s="1"/>
  <c r="AQ377" i="1"/>
  <c r="AR377" i="1" s="1"/>
  <c r="AQ378" i="1"/>
  <c r="AR378" i="1" s="1"/>
  <c r="AQ379" i="1"/>
  <c r="AR379" i="1" s="1"/>
  <c r="AQ380" i="1"/>
  <c r="AR380" i="1" s="1"/>
  <c r="AQ381" i="1"/>
  <c r="AR381" i="1" s="1"/>
  <c r="AQ382" i="1"/>
  <c r="AR382" i="1" s="1"/>
  <c r="AQ383" i="1"/>
  <c r="AR383" i="1" s="1"/>
  <c r="AQ384" i="1"/>
  <c r="AR384" i="1" s="1"/>
  <c r="AQ385" i="1"/>
  <c r="AR385" i="1" s="1"/>
  <c r="AQ386" i="1"/>
  <c r="AR386" i="1" s="1"/>
  <c r="AQ387" i="1"/>
  <c r="AR387" i="1" s="1"/>
  <c r="AQ388" i="1"/>
  <c r="AR388" i="1" s="1"/>
  <c r="AQ389" i="1"/>
  <c r="AR389" i="1" s="1"/>
  <c r="AQ390" i="1"/>
  <c r="AR390" i="1" s="1"/>
  <c r="AQ391" i="1"/>
  <c r="AR391" i="1" s="1"/>
  <c r="AQ392" i="1"/>
  <c r="AR392" i="1" s="1"/>
  <c r="AQ393" i="1"/>
  <c r="AR393" i="1" s="1"/>
  <c r="AQ394" i="1"/>
  <c r="AR394" i="1" s="1"/>
  <c r="AQ395" i="1"/>
  <c r="AR395" i="1" s="1"/>
  <c r="AQ396" i="1"/>
  <c r="AR396" i="1" s="1"/>
  <c r="AQ397" i="1"/>
  <c r="AR397" i="1" s="1"/>
  <c r="AQ398" i="1"/>
  <c r="AR398" i="1" s="1"/>
  <c r="AQ399" i="1"/>
  <c r="AR399" i="1" s="1"/>
  <c r="AQ400" i="1"/>
  <c r="AR400" i="1" s="1"/>
  <c r="AQ401" i="1"/>
  <c r="AR401" i="1" s="1"/>
  <c r="AQ402" i="1"/>
  <c r="AR402" i="1" s="1"/>
  <c r="AQ403" i="1"/>
  <c r="AR403" i="1" s="1"/>
  <c r="AQ404" i="1"/>
  <c r="AR404" i="1" s="1"/>
  <c r="AQ405" i="1"/>
  <c r="AR405" i="1" s="1"/>
  <c r="AQ406" i="1"/>
  <c r="AR406" i="1" s="1"/>
  <c r="AQ407" i="1"/>
  <c r="AR407" i="1" s="1"/>
  <c r="AQ408" i="1"/>
  <c r="AR408" i="1" s="1"/>
  <c r="AQ409" i="1"/>
  <c r="AR409" i="1" s="1"/>
  <c r="AQ410" i="1"/>
  <c r="AR410" i="1" s="1"/>
  <c r="AQ411" i="1"/>
  <c r="AR411" i="1" s="1"/>
  <c r="AQ412" i="1"/>
  <c r="AR412" i="1" s="1"/>
  <c r="AQ413" i="1"/>
  <c r="AR413" i="1" s="1"/>
  <c r="AQ414" i="1"/>
  <c r="AR414" i="1" s="1"/>
  <c r="AQ415" i="1"/>
  <c r="AR415" i="1" s="1"/>
  <c r="AQ416" i="1"/>
  <c r="AR416" i="1" s="1"/>
  <c r="AQ417" i="1"/>
  <c r="AR417" i="1" s="1"/>
  <c r="AQ418" i="1"/>
  <c r="AR418" i="1" s="1"/>
  <c r="AQ419" i="1"/>
  <c r="AR419" i="1" s="1"/>
  <c r="AQ420" i="1"/>
  <c r="AR420" i="1" s="1"/>
  <c r="AQ421" i="1"/>
  <c r="AR421" i="1" s="1"/>
  <c r="AQ422" i="1"/>
  <c r="AR422" i="1" s="1"/>
  <c r="AQ423" i="1"/>
  <c r="AR423" i="1" s="1"/>
  <c r="AQ424" i="1"/>
  <c r="AR424" i="1" s="1"/>
  <c r="AQ425" i="1"/>
  <c r="AR425" i="1" s="1"/>
  <c r="AQ426" i="1"/>
  <c r="AR426" i="1" s="1"/>
  <c r="AQ427" i="1"/>
  <c r="AR427" i="1" s="1"/>
  <c r="AQ428" i="1"/>
  <c r="AR428" i="1" s="1"/>
  <c r="AQ429" i="1"/>
  <c r="AR429" i="1" s="1"/>
  <c r="AQ430" i="1"/>
  <c r="AR430" i="1" s="1"/>
  <c r="AQ431" i="1"/>
  <c r="AR431" i="1" s="1"/>
  <c r="AQ432" i="1"/>
  <c r="AR432" i="1" s="1"/>
  <c r="AQ433" i="1"/>
  <c r="AR433" i="1" s="1"/>
  <c r="AQ434" i="1"/>
  <c r="AR434" i="1" s="1"/>
  <c r="AQ435" i="1"/>
  <c r="AR435" i="1" s="1"/>
  <c r="AQ436" i="1"/>
  <c r="AR436" i="1" s="1"/>
  <c r="AQ437" i="1"/>
  <c r="AR437" i="1" s="1"/>
  <c r="AQ438" i="1"/>
  <c r="AR438" i="1" s="1"/>
  <c r="AQ439" i="1"/>
  <c r="AR439" i="1" s="1"/>
  <c r="AQ440" i="1"/>
  <c r="AR440" i="1" s="1"/>
  <c r="AQ441" i="1"/>
  <c r="AR441" i="1" s="1"/>
  <c r="AQ442" i="1"/>
  <c r="AR442" i="1" s="1"/>
  <c r="AQ443" i="1"/>
  <c r="AR443" i="1" s="1"/>
  <c r="AQ444" i="1"/>
  <c r="AR444" i="1" s="1"/>
  <c r="AQ445" i="1"/>
  <c r="AR445" i="1" s="1"/>
  <c r="AQ446" i="1"/>
  <c r="AR446" i="1" s="1"/>
  <c r="AQ447" i="1"/>
  <c r="AR447" i="1" s="1"/>
  <c r="AQ448" i="1"/>
  <c r="AR448" i="1" s="1"/>
  <c r="AQ449" i="1"/>
  <c r="AR449" i="1" s="1"/>
  <c r="AQ450" i="1"/>
  <c r="AR450" i="1" s="1"/>
  <c r="AQ451" i="1"/>
  <c r="AR451" i="1" s="1"/>
  <c r="AQ452" i="1"/>
  <c r="AR452" i="1" s="1"/>
  <c r="AQ453" i="1"/>
  <c r="AR453" i="1" s="1"/>
  <c r="AQ454" i="1"/>
  <c r="AR454" i="1" s="1"/>
  <c r="AQ455" i="1"/>
  <c r="AR455" i="1" s="1"/>
  <c r="AQ456" i="1"/>
  <c r="AR456" i="1" s="1"/>
  <c r="AQ457" i="1"/>
  <c r="AR457" i="1" s="1"/>
  <c r="AQ458" i="1"/>
  <c r="AR458" i="1" s="1"/>
  <c r="AQ459" i="1"/>
  <c r="AR459" i="1" s="1"/>
  <c r="AQ460" i="1"/>
  <c r="AR460" i="1" s="1"/>
  <c r="AQ461" i="1"/>
  <c r="AR461" i="1" s="1"/>
  <c r="AQ462" i="1"/>
  <c r="AR462" i="1" s="1"/>
  <c r="AQ463" i="1"/>
  <c r="AR463" i="1" s="1"/>
  <c r="AQ464" i="1"/>
  <c r="AR464" i="1" s="1"/>
  <c r="AQ465" i="1"/>
  <c r="AR465" i="1" s="1"/>
  <c r="AQ466" i="1"/>
  <c r="AR466" i="1" s="1"/>
  <c r="AQ467" i="1"/>
  <c r="AR467" i="1" s="1"/>
  <c r="AQ468" i="1"/>
  <c r="AR468" i="1" s="1"/>
  <c r="AQ469" i="1"/>
  <c r="AR469" i="1" s="1"/>
  <c r="AQ470" i="1"/>
  <c r="AR470" i="1" s="1"/>
  <c r="AQ471" i="1"/>
  <c r="AR471" i="1" s="1"/>
  <c r="AQ472" i="1"/>
  <c r="AR472" i="1" s="1"/>
  <c r="AQ473" i="1"/>
  <c r="AR473" i="1" s="1"/>
  <c r="AQ474" i="1"/>
  <c r="AR474" i="1" s="1"/>
  <c r="AQ475" i="1"/>
  <c r="AR475" i="1" s="1"/>
  <c r="AQ476" i="1"/>
  <c r="AR476" i="1" s="1"/>
  <c r="AQ477" i="1"/>
  <c r="AR477" i="1" s="1"/>
  <c r="AQ478" i="1"/>
  <c r="AR478" i="1" s="1"/>
  <c r="AQ479" i="1"/>
  <c r="AR479" i="1" s="1"/>
  <c r="AQ480" i="1"/>
  <c r="AR480" i="1" s="1"/>
  <c r="AQ481" i="1"/>
  <c r="AR481" i="1" s="1"/>
  <c r="AQ482" i="1"/>
  <c r="AR482" i="1" s="1"/>
  <c r="AQ483" i="1"/>
  <c r="AR483" i="1" s="1"/>
  <c r="AQ484" i="1"/>
  <c r="AR484" i="1" s="1"/>
  <c r="AQ485" i="1"/>
  <c r="AR485" i="1" s="1"/>
  <c r="AQ486" i="1"/>
  <c r="AR486" i="1" s="1"/>
  <c r="AQ487" i="1"/>
  <c r="AR487" i="1" s="1"/>
  <c r="AQ488" i="1"/>
  <c r="AR488" i="1" s="1"/>
  <c r="AQ489" i="1"/>
  <c r="AR489" i="1" s="1"/>
  <c r="AQ490" i="1"/>
  <c r="AR490" i="1" s="1"/>
  <c r="AQ491" i="1"/>
  <c r="AR491" i="1" s="1"/>
  <c r="AQ492" i="1"/>
  <c r="AR492" i="1" s="1"/>
  <c r="AQ493" i="1"/>
  <c r="AR493" i="1" s="1"/>
  <c r="AQ494" i="1"/>
  <c r="AR494" i="1" s="1"/>
  <c r="AQ495" i="1"/>
  <c r="AR495" i="1" s="1"/>
  <c r="AQ496" i="1"/>
  <c r="AR496" i="1" s="1"/>
  <c r="AQ497" i="1"/>
  <c r="AR497" i="1" s="1"/>
  <c r="AQ498" i="1"/>
  <c r="AR498" i="1" s="1"/>
  <c r="AQ499" i="1"/>
  <c r="AR499" i="1" s="1"/>
  <c r="AQ500" i="1"/>
  <c r="AR500" i="1" s="1"/>
  <c r="AQ501" i="1"/>
  <c r="AR501" i="1" s="1"/>
  <c r="AQ502" i="1"/>
  <c r="AR502" i="1" s="1"/>
  <c r="AQ503" i="1"/>
  <c r="AR503" i="1" s="1"/>
  <c r="AQ504" i="1"/>
  <c r="AR504" i="1" s="1"/>
  <c r="AQ505" i="1"/>
  <c r="AR505" i="1" s="1"/>
  <c r="AQ506" i="1"/>
  <c r="AR506" i="1" s="1"/>
  <c r="AQ507" i="1"/>
  <c r="AR507" i="1" s="1"/>
  <c r="AQ508" i="1"/>
  <c r="AR508" i="1" s="1"/>
  <c r="AQ509" i="1"/>
  <c r="AR509" i="1" s="1"/>
  <c r="AQ510" i="1"/>
  <c r="AR510" i="1" s="1"/>
  <c r="AQ511" i="1"/>
  <c r="AR511" i="1" s="1"/>
  <c r="AQ512" i="1"/>
  <c r="AR512" i="1" s="1"/>
  <c r="AQ513" i="1"/>
  <c r="AR513" i="1" s="1"/>
  <c r="AQ514" i="1"/>
  <c r="AQ515" i="1"/>
  <c r="AR515" i="1" s="1"/>
  <c r="AQ516" i="1"/>
  <c r="AR516" i="1" s="1"/>
  <c r="AQ517" i="1"/>
  <c r="AR517" i="1" s="1"/>
  <c r="AQ518" i="1"/>
  <c r="AR518" i="1" s="1"/>
  <c r="AQ519" i="1"/>
  <c r="AR519" i="1" s="1"/>
  <c r="AQ520" i="1"/>
  <c r="AR520" i="1" s="1"/>
  <c r="AQ521" i="1"/>
  <c r="AR521" i="1" s="1"/>
  <c r="AQ522" i="1"/>
  <c r="AR522" i="1" s="1"/>
  <c r="AQ523" i="1"/>
  <c r="AR523" i="1" s="1"/>
  <c r="AQ524" i="1"/>
  <c r="AR524" i="1" s="1"/>
  <c r="AQ525" i="1"/>
  <c r="AR525" i="1" s="1"/>
  <c r="AQ526" i="1"/>
  <c r="AR526" i="1" s="1"/>
  <c r="AQ527" i="1"/>
  <c r="AR527" i="1" s="1"/>
  <c r="AQ528" i="1"/>
  <c r="AR528" i="1" s="1"/>
  <c r="AQ529" i="1"/>
  <c r="AR529" i="1" s="1"/>
  <c r="AQ530" i="1"/>
  <c r="AR530" i="1" s="1"/>
  <c r="AQ531" i="1"/>
  <c r="AR531" i="1" s="1"/>
  <c r="AQ532" i="1"/>
  <c r="AR532" i="1" s="1"/>
  <c r="AQ533" i="1"/>
  <c r="AR533" i="1" s="1"/>
  <c r="AQ534" i="1"/>
  <c r="AR534" i="1" s="1"/>
  <c r="AQ535" i="1"/>
  <c r="AR535" i="1" s="1"/>
  <c r="AQ536" i="1"/>
  <c r="AR536" i="1" s="1"/>
  <c r="AQ537" i="1"/>
  <c r="AR537" i="1" s="1"/>
  <c r="AQ538" i="1"/>
  <c r="AR538" i="1" s="1"/>
  <c r="AQ539" i="1"/>
  <c r="AR539" i="1" s="1"/>
  <c r="AQ540" i="1"/>
  <c r="AR540" i="1" s="1"/>
  <c r="AQ541" i="1"/>
  <c r="AR541" i="1" s="1"/>
  <c r="AQ542" i="1"/>
  <c r="AR542" i="1" s="1"/>
  <c r="AQ543" i="1"/>
  <c r="AR543" i="1" s="1"/>
  <c r="AQ544" i="1"/>
  <c r="AR544" i="1" s="1"/>
  <c r="AQ545" i="1"/>
  <c r="AR545" i="1" s="1"/>
  <c r="AQ546" i="1"/>
  <c r="AR546" i="1" s="1"/>
  <c r="AQ547" i="1"/>
  <c r="AR547" i="1" s="1"/>
  <c r="AQ548" i="1"/>
  <c r="AR548" i="1" s="1"/>
  <c r="AQ549" i="1"/>
  <c r="AR549" i="1" s="1"/>
  <c r="AQ550" i="1"/>
  <c r="AR550" i="1" s="1"/>
  <c r="AQ551" i="1"/>
  <c r="AR551" i="1" s="1"/>
  <c r="AQ552" i="1"/>
  <c r="AR552" i="1" s="1"/>
  <c r="AQ553" i="1"/>
  <c r="AR553" i="1" s="1"/>
  <c r="AQ554" i="1"/>
  <c r="AR554" i="1" s="1"/>
  <c r="AQ555" i="1"/>
  <c r="AR555" i="1" s="1"/>
  <c r="AQ556" i="1"/>
  <c r="AR556" i="1" s="1"/>
  <c r="AQ557" i="1"/>
  <c r="AR557" i="1" s="1"/>
  <c r="AQ558" i="1"/>
  <c r="AR558" i="1" s="1"/>
  <c r="AQ559" i="1"/>
  <c r="AR559" i="1" s="1"/>
  <c r="AQ560" i="1"/>
  <c r="AR560" i="1" s="1"/>
  <c r="AQ561" i="1"/>
  <c r="AR561" i="1" s="1"/>
  <c r="AQ562" i="1"/>
  <c r="AR562" i="1" s="1"/>
  <c r="AQ563" i="1"/>
  <c r="AR563" i="1" s="1"/>
  <c r="AQ564" i="1"/>
  <c r="AR564" i="1" s="1"/>
  <c r="AQ565" i="1"/>
  <c r="AR565" i="1" s="1"/>
  <c r="AQ566" i="1"/>
  <c r="AR566" i="1" s="1"/>
  <c r="AQ567" i="1"/>
  <c r="AR567" i="1" s="1"/>
  <c r="AQ568" i="1"/>
  <c r="AR568" i="1" s="1"/>
  <c r="AQ569" i="1"/>
  <c r="AR569" i="1" s="1"/>
  <c r="AQ570" i="1"/>
  <c r="AR570" i="1" s="1"/>
  <c r="AQ571" i="1"/>
  <c r="AR571" i="1" s="1"/>
  <c r="AQ572" i="1"/>
  <c r="AR572" i="1" s="1"/>
  <c r="AQ573" i="1"/>
  <c r="AR573" i="1" s="1"/>
  <c r="AQ574" i="1"/>
  <c r="AR574" i="1" s="1"/>
  <c r="AQ575" i="1"/>
  <c r="AR575" i="1" s="1"/>
  <c r="AQ576" i="1"/>
  <c r="AR576" i="1" s="1"/>
  <c r="AQ577" i="1"/>
  <c r="AR577" i="1" s="1"/>
  <c r="AQ578" i="1"/>
  <c r="AR578" i="1" s="1"/>
  <c r="AQ579" i="1"/>
  <c r="AR579" i="1" s="1"/>
  <c r="AQ580" i="1"/>
  <c r="AR580" i="1" s="1"/>
  <c r="AQ581" i="1"/>
  <c r="AR581" i="1" s="1"/>
  <c r="AQ582" i="1"/>
  <c r="AR582" i="1" s="1"/>
  <c r="AQ583" i="1"/>
  <c r="AR583" i="1" s="1"/>
  <c r="AQ584" i="1"/>
  <c r="AR584" i="1" s="1"/>
  <c r="AQ585" i="1"/>
  <c r="AR585" i="1" s="1"/>
  <c r="AQ586" i="1"/>
  <c r="AR586" i="1" s="1"/>
  <c r="AQ587" i="1"/>
  <c r="AR587" i="1" s="1"/>
  <c r="AQ588" i="1"/>
  <c r="AR588" i="1" s="1"/>
  <c r="AQ589" i="1"/>
  <c r="AR589" i="1" s="1"/>
  <c r="AQ590" i="1"/>
  <c r="AR590" i="1" s="1"/>
  <c r="AQ591" i="1"/>
  <c r="AR591" i="1" s="1"/>
  <c r="AQ592" i="1"/>
  <c r="AR592" i="1" s="1"/>
  <c r="AQ593" i="1"/>
  <c r="AR593" i="1" s="1"/>
  <c r="AQ594" i="1"/>
  <c r="AR594" i="1" s="1"/>
  <c r="AQ595" i="1"/>
  <c r="AR595" i="1" s="1"/>
  <c r="AQ596" i="1"/>
  <c r="AR596" i="1" s="1"/>
  <c r="AQ597" i="1"/>
  <c r="AR597" i="1" s="1"/>
  <c r="AQ598" i="1"/>
  <c r="AR598" i="1" s="1"/>
  <c r="AQ599" i="1"/>
  <c r="AR599" i="1" s="1"/>
  <c r="AQ600" i="1"/>
  <c r="AR600" i="1" s="1"/>
  <c r="AQ601" i="1"/>
  <c r="AR601" i="1" s="1"/>
  <c r="AQ602" i="1"/>
  <c r="AR602" i="1" s="1"/>
  <c r="AQ603" i="1"/>
  <c r="AR603" i="1" s="1"/>
  <c r="AQ604" i="1"/>
  <c r="AR604" i="1" s="1"/>
  <c r="AQ605" i="1"/>
  <c r="AR605" i="1" s="1"/>
  <c r="AQ606" i="1"/>
  <c r="AR606" i="1" s="1"/>
  <c r="AQ607" i="1"/>
  <c r="AR607" i="1" s="1"/>
  <c r="AQ608" i="1"/>
  <c r="AR608" i="1" s="1"/>
  <c r="AQ609" i="1"/>
  <c r="AR609" i="1" s="1"/>
  <c r="AQ610" i="1"/>
  <c r="AR610" i="1" s="1"/>
  <c r="AQ611" i="1"/>
  <c r="AR611" i="1" s="1"/>
  <c r="AQ612" i="1"/>
  <c r="AR612" i="1" s="1"/>
  <c r="AQ613" i="1"/>
  <c r="AR613" i="1" s="1"/>
  <c r="AQ614" i="1"/>
  <c r="AR614" i="1" s="1"/>
  <c r="AQ615" i="1"/>
  <c r="AR615" i="1" s="1"/>
  <c r="AQ616" i="1"/>
  <c r="AR616" i="1" s="1"/>
  <c r="AQ617" i="1"/>
  <c r="AR617" i="1" s="1"/>
  <c r="AQ618" i="1"/>
  <c r="AR618" i="1" s="1"/>
  <c r="AQ619" i="1"/>
  <c r="AR619" i="1" s="1"/>
  <c r="AQ620" i="1"/>
  <c r="AR620" i="1" s="1"/>
  <c r="AQ621" i="1"/>
  <c r="AR621" i="1" s="1"/>
  <c r="AQ622" i="1"/>
  <c r="AR622" i="1" s="1"/>
  <c r="AQ623" i="1"/>
  <c r="AR623" i="1" s="1"/>
  <c r="AQ624" i="1"/>
  <c r="AR624" i="1" s="1"/>
  <c r="AQ625" i="1"/>
  <c r="AR625" i="1" s="1"/>
  <c r="AQ626" i="1"/>
  <c r="AR626" i="1" s="1"/>
  <c r="AQ627" i="1"/>
  <c r="AR627" i="1" s="1"/>
  <c r="AQ628" i="1"/>
  <c r="AR628" i="1" s="1"/>
  <c r="AQ629" i="1"/>
  <c r="AR629" i="1" s="1"/>
  <c r="AQ630" i="1"/>
  <c r="AR630" i="1" s="1"/>
  <c r="AQ631" i="1"/>
  <c r="AR631" i="1" s="1"/>
  <c r="AQ632" i="1"/>
  <c r="AR632" i="1" s="1"/>
  <c r="AQ633" i="1"/>
  <c r="AR633" i="1" s="1"/>
  <c r="AQ634" i="1"/>
  <c r="AR634" i="1" s="1"/>
  <c r="AQ635" i="1"/>
  <c r="AR635" i="1" s="1"/>
  <c r="AQ636" i="1"/>
  <c r="AR636" i="1" s="1"/>
  <c r="AQ637" i="1"/>
  <c r="AR637" i="1" s="1"/>
  <c r="AQ638" i="1"/>
  <c r="AR638" i="1" s="1"/>
  <c r="AQ639" i="1"/>
  <c r="AR639" i="1" s="1"/>
  <c r="AQ640" i="1"/>
  <c r="AR640" i="1" s="1"/>
  <c r="AQ641" i="1"/>
  <c r="AR641" i="1" s="1"/>
  <c r="AQ642" i="1"/>
  <c r="AR642" i="1" s="1"/>
  <c r="AQ643" i="1"/>
  <c r="AR643" i="1" s="1"/>
  <c r="AQ644" i="1"/>
  <c r="AR644" i="1" s="1"/>
  <c r="AQ645" i="1"/>
  <c r="AR645" i="1" s="1"/>
  <c r="AQ646" i="1"/>
  <c r="AR646" i="1" s="1"/>
  <c r="AQ647" i="1"/>
  <c r="AR647" i="1" s="1"/>
  <c r="AQ648" i="1"/>
  <c r="AR648" i="1" s="1"/>
  <c r="AQ649" i="1"/>
  <c r="AR649" i="1" s="1"/>
  <c r="AQ650" i="1"/>
  <c r="AR650" i="1" s="1"/>
  <c r="AQ651" i="1"/>
  <c r="AR651" i="1" s="1"/>
  <c r="AQ652" i="1"/>
  <c r="AR652" i="1" s="1"/>
  <c r="AQ653" i="1"/>
  <c r="AR653" i="1" s="1"/>
  <c r="AQ654" i="1"/>
  <c r="AR654" i="1" s="1"/>
  <c r="AQ655" i="1"/>
  <c r="AR655" i="1" s="1"/>
  <c r="AQ656" i="1"/>
  <c r="AR656" i="1" s="1"/>
  <c r="AQ657" i="1"/>
  <c r="AR657" i="1" s="1"/>
  <c r="AQ658" i="1"/>
  <c r="AR658" i="1" s="1"/>
  <c r="AQ659" i="1"/>
  <c r="AR659" i="1" s="1"/>
  <c r="AQ660" i="1"/>
  <c r="AR660" i="1" s="1"/>
  <c r="AQ661" i="1"/>
  <c r="AR661" i="1" s="1"/>
  <c r="AQ662" i="1"/>
  <c r="AR662" i="1" s="1"/>
  <c r="AQ663" i="1"/>
  <c r="AR663" i="1" s="1"/>
  <c r="AQ664" i="1"/>
  <c r="AR664" i="1" s="1"/>
  <c r="AQ665" i="1"/>
  <c r="AR665" i="1" s="1"/>
  <c r="AQ666" i="1"/>
  <c r="AR666" i="1" s="1"/>
  <c r="AQ667" i="1"/>
  <c r="AR667" i="1" s="1"/>
  <c r="AQ668" i="1"/>
  <c r="AR668" i="1" s="1"/>
  <c r="AQ669" i="1"/>
  <c r="AR669" i="1" s="1"/>
  <c r="AQ670" i="1"/>
  <c r="AR670" i="1" s="1"/>
  <c r="AQ671" i="1"/>
  <c r="AR671" i="1" s="1"/>
  <c r="AQ672" i="1"/>
  <c r="AR672" i="1" s="1"/>
  <c r="AQ673" i="1"/>
  <c r="AR673" i="1" s="1"/>
  <c r="AQ674" i="1"/>
  <c r="AR674" i="1" s="1"/>
  <c r="AQ675" i="1"/>
  <c r="AR675" i="1" s="1"/>
  <c r="AQ676" i="1"/>
  <c r="AR676" i="1" s="1"/>
  <c r="AQ677" i="1"/>
  <c r="AR677" i="1" s="1"/>
  <c r="AQ678" i="1"/>
  <c r="AR678" i="1" s="1"/>
  <c r="AQ679" i="1"/>
  <c r="AR679" i="1" s="1"/>
  <c r="AQ680" i="1"/>
  <c r="AR680" i="1" s="1"/>
  <c r="AQ681" i="1"/>
  <c r="AR681" i="1" s="1"/>
  <c r="AQ682" i="1"/>
  <c r="AR682" i="1" s="1"/>
  <c r="AQ683" i="1"/>
  <c r="AR683" i="1" s="1"/>
  <c r="AQ684" i="1"/>
  <c r="AR684" i="1" s="1"/>
  <c r="AQ685" i="1"/>
  <c r="AR685" i="1" s="1"/>
  <c r="AQ686" i="1"/>
  <c r="AR686" i="1" s="1"/>
  <c r="AQ687" i="1"/>
  <c r="AR687" i="1" s="1"/>
  <c r="AQ688" i="1"/>
  <c r="AR688" i="1" s="1"/>
  <c r="AQ689" i="1"/>
  <c r="AR689" i="1" s="1"/>
  <c r="AQ690" i="1"/>
  <c r="AR690" i="1" s="1"/>
  <c r="AQ691" i="1"/>
  <c r="AR691" i="1" s="1"/>
  <c r="AQ692" i="1"/>
  <c r="AR692" i="1" s="1"/>
  <c r="AQ693" i="1"/>
  <c r="AR693" i="1" s="1"/>
  <c r="AQ694" i="1"/>
  <c r="AR694" i="1" s="1"/>
  <c r="AQ695" i="1"/>
  <c r="AR695" i="1" s="1"/>
  <c r="AQ696" i="1"/>
  <c r="AR696" i="1" s="1"/>
  <c r="AQ697" i="1"/>
  <c r="AR697" i="1" s="1"/>
  <c r="AQ698" i="1"/>
  <c r="AR698" i="1" s="1"/>
  <c r="AQ699" i="1"/>
  <c r="AR699" i="1" s="1"/>
  <c r="AQ700" i="1"/>
  <c r="AR700" i="1" s="1"/>
  <c r="AQ701" i="1"/>
  <c r="AR701" i="1" s="1"/>
  <c r="AQ702" i="1"/>
  <c r="AR702" i="1" s="1"/>
  <c r="AQ703" i="1"/>
  <c r="AR703" i="1" s="1"/>
  <c r="AQ704" i="1"/>
  <c r="AR704" i="1" s="1"/>
  <c r="AQ705" i="1"/>
  <c r="AR705" i="1" s="1"/>
  <c r="AQ706" i="1"/>
  <c r="AR706" i="1" s="1"/>
  <c r="AQ707" i="1"/>
  <c r="AR707" i="1" s="1"/>
  <c r="AQ708" i="1"/>
  <c r="AR708" i="1" s="1"/>
  <c r="AQ709" i="1"/>
  <c r="AR709" i="1" s="1"/>
  <c r="AQ710" i="1"/>
  <c r="AR710" i="1" s="1"/>
  <c r="AQ711" i="1"/>
  <c r="AR711" i="1" s="1"/>
  <c r="AQ712" i="1"/>
  <c r="AR712" i="1" s="1"/>
  <c r="AQ713" i="1"/>
  <c r="AR713" i="1" s="1"/>
  <c r="AQ714" i="1"/>
  <c r="AR714" i="1" s="1"/>
  <c r="AQ715" i="1"/>
  <c r="AR715" i="1" s="1"/>
  <c r="AQ716" i="1"/>
  <c r="AR716" i="1" s="1"/>
  <c r="AQ717" i="1"/>
  <c r="AR717" i="1" s="1"/>
  <c r="AQ718" i="1"/>
  <c r="AR718" i="1" s="1"/>
  <c r="AQ719" i="1"/>
  <c r="AR719" i="1" s="1"/>
  <c r="AQ720" i="1"/>
  <c r="AR720" i="1" s="1"/>
  <c r="AQ721" i="1"/>
  <c r="AR721" i="1" s="1"/>
  <c r="AQ722" i="1"/>
  <c r="AR722" i="1" s="1"/>
  <c r="AQ723" i="1"/>
  <c r="AR723" i="1" s="1"/>
  <c r="AQ724" i="1"/>
  <c r="AR724" i="1" s="1"/>
  <c r="AQ725" i="1"/>
  <c r="AR725" i="1" s="1"/>
  <c r="AQ726" i="1"/>
  <c r="AR726" i="1" s="1"/>
  <c r="AQ727" i="1"/>
  <c r="AR727" i="1" s="1"/>
  <c r="AQ728" i="1"/>
  <c r="AR728" i="1" s="1"/>
  <c r="AQ729" i="1"/>
  <c r="AR729" i="1" s="1"/>
  <c r="AQ730" i="1"/>
  <c r="AR730" i="1" s="1"/>
  <c r="AQ731" i="1"/>
  <c r="AR731" i="1" s="1"/>
  <c r="AQ732" i="1"/>
  <c r="AR732" i="1" s="1"/>
  <c r="AQ733" i="1"/>
  <c r="AR733" i="1" s="1"/>
  <c r="AQ734" i="1"/>
  <c r="AR734" i="1" s="1"/>
  <c r="AQ735" i="1"/>
  <c r="AR735" i="1" s="1"/>
  <c r="AQ736" i="1"/>
  <c r="AR736" i="1" s="1"/>
  <c r="AQ737" i="1"/>
  <c r="AR737" i="1" s="1"/>
  <c r="AQ738" i="1"/>
  <c r="AR738" i="1" s="1"/>
  <c r="AQ739" i="1"/>
  <c r="AR739" i="1" s="1"/>
  <c r="AQ740" i="1"/>
  <c r="AR740" i="1" s="1"/>
  <c r="AQ741" i="1"/>
  <c r="AR741" i="1" s="1"/>
  <c r="AQ742" i="1"/>
  <c r="AR742" i="1" s="1"/>
  <c r="AQ743" i="1"/>
  <c r="AR743" i="1" s="1"/>
  <c r="AQ744" i="1"/>
  <c r="AR744" i="1" s="1"/>
  <c r="AQ745" i="1"/>
  <c r="AR745" i="1" s="1"/>
  <c r="AQ746" i="1"/>
  <c r="AR746" i="1" s="1"/>
  <c r="AQ747" i="1"/>
  <c r="AR747" i="1" s="1"/>
  <c r="AQ748" i="1"/>
  <c r="AR748" i="1" s="1"/>
  <c r="AQ749" i="1"/>
  <c r="AR749" i="1" s="1"/>
  <c r="AQ750" i="1"/>
  <c r="AR750" i="1" s="1"/>
  <c r="AQ751" i="1"/>
  <c r="AR751" i="1" s="1"/>
  <c r="AQ752" i="1"/>
  <c r="AR752" i="1" s="1"/>
  <c r="AQ753" i="1"/>
  <c r="AR753" i="1" s="1"/>
  <c r="AQ754" i="1"/>
  <c r="AR754" i="1" s="1"/>
  <c r="AQ755" i="1"/>
  <c r="AR755" i="1" s="1"/>
  <c r="AQ756" i="1"/>
  <c r="AR756" i="1" s="1"/>
  <c r="AQ757" i="1"/>
  <c r="AR757" i="1" s="1"/>
  <c r="AQ758" i="1"/>
  <c r="AR758" i="1" s="1"/>
  <c r="AQ759" i="1"/>
  <c r="AR759" i="1" s="1"/>
  <c r="AQ760" i="1"/>
  <c r="AR760" i="1" s="1"/>
  <c r="AQ761" i="1"/>
  <c r="AR761" i="1" s="1"/>
  <c r="AQ762" i="1"/>
  <c r="AR762" i="1" s="1"/>
  <c r="AQ763" i="1"/>
  <c r="AR763" i="1" s="1"/>
  <c r="AQ764" i="1"/>
  <c r="AR764" i="1" s="1"/>
  <c r="AQ765" i="1"/>
  <c r="AR765" i="1" s="1"/>
  <c r="AQ766" i="1"/>
  <c r="AR766" i="1" s="1"/>
  <c r="AQ767" i="1"/>
  <c r="AR767" i="1" s="1"/>
  <c r="AQ768" i="1"/>
  <c r="AR768" i="1" s="1"/>
  <c r="AQ769" i="1"/>
  <c r="AR769" i="1" s="1"/>
  <c r="AQ770" i="1"/>
  <c r="AQ771" i="1"/>
  <c r="AR771" i="1" s="1"/>
  <c r="AQ772" i="1"/>
  <c r="AR772" i="1" s="1"/>
  <c r="AQ773" i="1"/>
  <c r="AR773" i="1" s="1"/>
  <c r="AQ774" i="1"/>
  <c r="AR774" i="1" s="1"/>
  <c r="AQ775" i="1"/>
  <c r="AR775" i="1" s="1"/>
  <c r="AQ776" i="1"/>
  <c r="AR776" i="1" s="1"/>
  <c r="AQ777" i="1"/>
  <c r="AR777" i="1" s="1"/>
  <c r="AQ778" i="1"/>
  <c r="AR778" i="1" s="1"/>
  <c r="AQ779" i="1"/>
  <c r="AR779" i="1" s="1"/>
  <c r="AQ780" i="1"/>
  <c r="AR780" i="1" s="1"/>
  <c r="AQ781" i="1"/>
  <c r="AR781" i="1" s="1"/>
  <c r="AQ782" i="1"/>
  <c r="AR782" i="1" s="1"/>
  <c r="AQ783" i="1"/>
  <c r="AR783" i="1" s="1"/>
  <c r="AQ784" i="1"/>
  <c r="AR784" i="1" s="1"/>
  <c r="AQ785" i="1"/>
  <c r="AR785" i="1" s="1"/>
  <c r="AQ786" i="1"/>
  <c r="AR786" i="1" s="1"/>
  <c r="AQ787" i="1"/>
  <c r="AR787" i="1" s="1"/>
  <c r="AQ788" i="1"/>
  <c r="AR788" i="1" s="1"/>
  <c r="AQ789" i="1"/>
  <c r="AR789" i="1" s="1"/>
  <c r="AQ790" i="1"/>
  <c r="AR790" i="1" s="1"/>
  <c r="AQ791" i="1"/>
  <c r="AR791" i="1" s="1"/>
  <c r="AQ792" i="1"/>
  <c r="AR792" i="1" s="1"/>
  <c r="AQ793" i="1"/>
  <c r="AR793" i="1" s="1"/>
  <c r="AQ794" i="1"/>
  <c r="AR794" i="1" s="1"/>
  <c r="AQ795" i="1"/>
  <c r="AR795" i="1" s="1"/>
  <c r="AQ796" i="1"/>
  <c r="AR796" i="1" s="1"/>
  <c r="AQ797" i="1"/>
  <c r="AR797" i="1" s="1"/>
  <c r="AQ798" i="1"/>
  <c r="AR798" i="1" s="1"/>
  <c r="AQ799" i="1"/>
  <c r="AR799" i="1" s="1"/>
  <c r="AQ800" i="1"/>
  <c r="AR800" i="1" s="1"/>
  <c r="AQ801" i="1"/>
  <c r="AR801" i="1" s="1"/>
  <c r="AQ802" i="1"/>
  <c r="AR802" i="1" s="1"/>
  <c r="AQ803" i="1"/>
  <c r="AR803" i="1" s="1"/>
  <c r="AQ804" i="1"/>
  <c r="AR804" i="1" s="1"/>
  <c r="AQ805" i="1"/>
  <c r="AR805" i="1" s="1"/>
  <c r="AQ806" i="1"/>
  <c r="AR806" i="1" s="1"/>
  <c r="AQ807" i="1"/>
  <c r="AR807" i="1" s="1"/>
  <c r="AQ808" i="1"/>
  <c r="AR808" i="1" s="1"/>
  <c r="AQ809" i="1"/>
  <c r="AR809" i="1" s="1"/>
  <c r="AQ810" i="1"/>
  <c r="AR810" i="1" s="1"/>
  <c r="AQ811" i="1"/>
  <c r="AR811" i="1" s="1"/>
  <c r="AQ812" i="1"/>
  <c r="AR812" i="1" s="1"/>
  <c r="AQ813" i="1"/>
  <c r="AR813" i="1" s="1"/>
  <c r="AQ814" i="1"/>
  <c r="AR814" i="1" s="1"/>
  <c r="AQ815" i="1"/>
  <c r="AR815" i="1" s="1"/>
  <c r="AQ816" i="1"/>
  <c r="AR816" i="1" s="1"/>
  <c r="AQ817" i="1"/>
  <c r="AR817" i="1" s="1"/>
  <c r="AQ818" i="1"/>
  <c r="AR818" i="1" s="1"/>
  <c r="AQ819" i="1"/>
  <c r="AR819" i="1" s="1"/>
  <c r="AQ820" i="1"/>
  <c r="AR820" i="1" s="1"/>
  <c r="AQ821" i="1"/>
  <c r="AR821" i="1" s="1"/>
  <c r="AQ822" i="1"/>
  <c r="AR822" i="1" s="1"/>
  <c r="AQ823" i="1"/>
  <c r="AR823" i="1" s="1"/>
  <c r="AQ824" i="1"/>
  <c r="AR824" i="1" s="1"/>
  <c r="AQ825" i="1"/>
  <c r="AR825" i="1" s="1"/>
  <c r="AQ826" i="1"/>
  <c r="AR826" i="1" s="1"/>
  <c r="AQ827" i="1"/>
  <c r="AR827" i="1" s="1"/>
  <c r="AQ828" i="1"/>
  <c r="AR828" i="1" s="1"/>
  <c r="AQ829" i="1"/>
  <c r="AR829" i="1" s="1"/>
  <c r="AQ830" i="1"/>
  <c r="AR830" i="1" s="1"/>
  <c r="AQ831" i="1"/>
  <c r="AR831" i="1" s="1"/>
  <c r="AQ832" i="1"/>
  <c r="AR832" i="1" s="1"/>
  <c r="AQ833" i="1"/>
  <c r="AR833" i="1" s="1"/>
  <c r="AQ834" i="1"/>
  <c r="AR834" i="1" s="1"/>
  <c r="AQ835" i="1"/>
  <c r="AR835" i="1" s="1"/>
  <c r="AQ836" i="1"/>
  <c r="AR836" i="1" s="1"/>
  <c r="AQ837" i="1"/>
  <c r="AR837" i="1" s="1"/>
  <c r="AQ838" i="1"/>
  <c r="AR838" i="1" s="1"/>
  <c r="AQ839" i="1"/>
  <c r="AR839" i="1" s="1"/>
  <c r="AQ840" i="1"/>
  <c r="AR840" i="1" s="1"/>
  <c r="AQ841" i="1"/>
  <c r="AR841" i="1" s="1"/>
  <c r="AQ842" i="1"/>
  <c r="AR842" i="1" s="1"/>
  <c r="AQ843" i="1"/>
  <c r="AR843" i="1" s="1"/>
  <c r="AQ844" i="1"/>
  <c r="AR844" i="1" s="1"/>
  <c r="AQ845" i="1"/>
  <c r="AR845" i="1" s="1"/>
  <c r="AQ846" i="1"/>
  <c r="AR846" i="1" s="1"/>
  <c r="AQ847" i="1"/>
  <c r="AR847" i="1" s="1"/>
  <c r="AQ848" i="1"/>
  <c r="AR848" i="1" s="1"/>
  <c r="AQ849" i="1"/>
  <c r="AR849" i="1" s="1"/>
  <c r="AQ850" i="1"/>
  <c r="AR850" i="1" s="1"/>
  <c r="AQ851" i="1"/>
  <c r="AR851" i="1" s="1"/>
  <c r="AQ852" i="1"/>
  <c r="AR852" i="1" s="1"/>
  <c r="AQ853" i="1"/>
  <c r="AR853" i="1" s="1"/>
  <c r="AQ854" i="1"/>
  <c r="AR854" i="1" s="1"/>
  <c r="AQ855" i="1"/>
  <c r="AR855" i="1" s="1"/>
  <c r="AQ856" i="1"/>
  <c r="AR856" i="1" s="1"/>
  <c r="AQ857" i="1"/>
  <c r="AR857" i="1" s="1"/>
  <c r="AQ858" i="1"/>
  <c r="AR858" i="1" s="1"/>
  <c r="AQ859" i="1"/>
  <c r="AR859" i="1" s="1"/>
  <c r="AQ860" i="1"/>
  <c r="AR860" i="1" s="1"/>
  <c r="AQ861" i="1"/>
  <c r="AR861" i="1" s="1"/>
  <c r="AQ862" i="1"/>
  <c r="AR862" i="1" s="1"/>
  <c r="AQ863" i="1"/>
  <c r="AR863" i="1" s="1"/>
  <c r="AQ864" i="1"/>
  <c r="AR864" i="1" s="1"/>
  <c r="AQ865" i="1"/>
  <c r="AR865" i="1" s="1"/>
  <c r="AQ866" i="1"/>
  <c r="AR866" i="1" s="1"/>
  <c r="AQ867" i="1"/>
  <c r="AR867" i="1" s="1"/>
  <c r="AQ868" i="1"/>
  <c r="AR868" i="1" s="1"/>
  <c r="AQ869" i="1"/>
  <c r="AR869" i="1" s="1"/>
  <c r="AQ870" i="1"/>
  <c r="AR870" i="1" s="1"/>
  <c r="AQ871" i="1"/>
  <c r="AR871" i="1" s="1"/>
  <c r="AQ872" i="1"/>
  <c r="AR872" i="1" s="1"/>
  <c r="AQ873" i="1"/>
  <c r="AR873" i="1" s="1"/>
  <c r="AQ874" i="1"/>
  <c r="AR874" i="1" s="1"/>
  <c r="AQ875" i="1"/>
  <c r="AR875" i="1" s="1"/>
  <c r="AQ876" i="1"/>
  <c r="AR876" i="1" s="1"/>
  <c r="AQ877" i="1"/>
  <c r="AR877" i="1" s="1"/>
  <c r="AQ878" i="1"/>
  <c r="AR878" i="1" s="1"/>
  <c r="AQ879" i="1"/>
  <c r="AR879" i="1" s="1"/>
  <c r="AQ880" i="1"/>
  <c r="AR880" i="1" s="1"/>
  <c r="AQ881" i="1"/>
  <c r="AR881" i="1" s="1"/>
  <c r="AQ882" i="1"/>
  <c r="AR882" i="1" s="1"/>
  <c r="AQ883" i="1"/>
  <c r="AR883" i="1" s="1"/>
  <c r="AQ884" i="1"/>
  <c r="AR884" i="1" s="1"/>
  <c r="AQ885" i="1"/>
  <c r="AR885" i="1" s="1"/>
  <c r="AQ886" i="1"/>
  <c r="AR886" i="1" s="1"/>
  <c r="AQ887" i="1"/>
  <c r="AR887" i="1" s="1"/>
  <c r="AQ888" i="1"/>
  <c r="AR888" i="1" s="1"/>
  <c r="AQ889" i="1"/>
  <c r="AR889" i="1" s="1"/>
  <c r="AQ890" i="1"/>
  <c r="AR890" i="1" s="1"/>
  <c r="AQ891" i="1"/>
  <c r="AR891" i="1" s="1"/>
  <c r="AQ892" i="1"/>
  <c r="AR892" i="1" s="1"/>
  <c r="AQ893" i="1"/>
  <c r="AR893" i="1" s="1"/>
  <c r="AQ894" i="1"/>
  <c r="AR894" i="1" s="1"/>
  <c r="AQ895" i="1"/>
  <c r="AR895" i="1" s="1"/>
  <c r="AQ896" i="1"/>
  <c r="AR896" i="1" s="1"/>
  <c r="AQ897" i="1"/>
  <c r="AR897" i="1" s="1"/>
  <c r="AQ898" i="1"/>
  <c r="AR898" i="1" s="1"/>
  <c r="AQ899" i="1"/>
  <c r="AR899" i="1" s="1"/>
  <c r="AQ900" i="1"/>
  <c r="AR900" i="1" s="1"/>
  <c r="AQ901" i="1"/>
  <c r="AR901" i="1" s="1"/>
  <c r="AQ902" i="1"/>
  <c r="AR902" i="1" s="1"/>
  <c r="AQ903" i="1"/>
  <c r="AR903" i="1" s="1"/>
  <c r="AQ904" i="1"/>
  <c r="AR904" i="1" s="1"/>
  <c r="AQ905" i="1"/>
  <c r="AR905" i="1" s="1"/>
  <c r="AQ906" i="1"/>
  <c r="AR906" i="1" s="1"/>
  <c r="AQ907" i="1"/>
  <c r="AR907" i="1" s="1"/>
  <c r="AQ908" i="1"/>
  <c r="AR908" i="1" s="1"/>
  <c r="AQ909" i="1"/>
  <c r="AR909" i="1" s="1"/>
  <c r="AQ910" i="1"/>
  <c r="AR910" i="1" s="1"/>
  <c r="AQ911" i="1"/>
  <c r="AR911" i="1" s="1"/>
  <c r="AQ912" i="1"/>
  <c r="AR912" i="1" s="1"/>
  <c r="AQ913" i="1"/>
  <c r="AR913" i="1" s="1"/>
  <c r="AQ914" i="1"/>
  <c r="AR914" i="1" s="1"/>
  <c r="AQ915" i="1"/>
  <c r="AR915" i="1" s="1"/>
  <c r="AQ916" i="1"/>
  <c r="AR916" i="1" s="1"/>
  <c r="AQ917" i="1"/>
  <c r="AR917" i="1" s="1"/>
  <c r="AQ918" i="1"/>
  <c r="AR918" i="1" s="1"/>
  <c r="AQ919" i="1"/>
  <c r="AR919" i="1" s="1"/>
  <c r="AQ920" i="1"/>
  <c r="AR920" i="1" s="1"/>
  <c r="AQ921" i="1"/>
  <c r="AR921" i="1" s="1"/>
  <c r="AQ922" i="1"/>
  <c r="AR922" i="1" s="1"/>
  <c r="AQ923" i="1"/>
  <c r="AR923" i="1" s="1"/>
  <c r="AQ924" i="1"/>
  <c r="AR924" i="1" s="1"/>
  <c r="AQ925" i="1"/>
  <c r="AR925" i="1" s="1"/>
  <c r="AQ926" i="1"/>
  <c r="AR926" i="1" s="1"/>
  <c r="AQ927" i="1"/>
  <c r="AR927" i="1" s="1"/>
  <c r="AQ928" i="1"/>
  <c r="AR928" i="1" s="1"/>
  <c r="AQ929" i="1"/>
  <c r="AR929" i="1" s="1"/>
  <c r="AQ930" i="1"/>
  <c r="AR930" i="1" s="1"/>
  <c r="AQ931" i="1"/>
  <c r="AR931" i="1" s="1"/>
  <c r="AQ932" i="1"/>
  <c r="AR932" i="1" s="1"/>
  <c r="AQ933" i="1"/>
  <c r="AR933" i="1" s="1"/>
  <c r="AQ934" i="1"/>
  <c r="AR934" i="1" s="1"/>
  <c r="AQ935" i="1"/>
  <c r="AR935" i="1" s="1"/>
  <c r="AQ936" i="1"/>
  <c r="AR936" i="1" s="1"/>
  <c r="AQ937" i="1"/>
  <c r="AR937" i="1" s="1"/>
  <c r="AQ938" i="1"/>
  <c r="AR938" i="1" s="1"/>
  <c r="AQ939" i="1"/>
  <c r="AR939" i="1" s="1"/>
  <c r="AQ940" i="1"/>
  <c r="AR940" i="1" s="1"/>
  <c r="AQ941" i="1"/>
  <c r="AR941" i="1" s="1"/>
  <c r="AQ942" i="1"/>
  <c r="AR942" i="1" s="1"/>
  <c r="AQ943" i="1"/>
  <c r="AR943" i="1" s="1"/>
  <c r="AQ944" i="1"/>
  <c r="AR944" i="1" s="1"/>
  <c r="AQ945" i="1"/>
  <c r="AR945" i="1" s="1"/>
  <c r="AQ946" i="1"/>
  <c r="AR946" i="1" s="1"/>
  <c r="AQ947" i="1"/>
  <c r="AR947" i="1" s="1"/>
  <c r="AQ948" i="1"/>
  <c r="AR948" i="1" s="1"/>
  <c r="AQ949" i="1"/>
  <c r="AR949" i="1" s="1"/>
  <c r="AQ950" i="1"/>
  <c r="AR950" i="1" s="1"/>
  <c r="AQ951" i="1"/>
  <c r="AR951" i="1" s="1"/>
  <c r="AQ952" i="1"/>
  <c r="AR952" i="1" s="1"/>
  <c r="AQ953" i="1"/>
  <c r="AR953" i="1" s="1"/>
  <c r="AQ954" i="1"/>
  <c r="AR954" i="1" s="1"/>
  <c r="AQ955" i="1"/>
  <c r="AR955" i="1" s="1"/>
  <c r="AQ956" i="1"/>
  <c r="AR956" i="1" s="1"/>
  <c r="AQ957" i="1"/>
  <c r="AR957" i="1" s="1"/>
  <c r="AQ958" i="1"/>
  <c r="AR958" i="1" s="1"/>
  <c r="AQ959" i="1"/>
  <c r="AR959" i="1" s="1"/>
  <c r="AQ960" i="1"/>
  <c r="AR960" i="1" s="1"/>
  <c r="AQ961" i="1"/>
  <c r="AR961" i="1" s="1"/>
  <c r="AQ962" i="1"/>
  <c r="AR962" i="1" s="1"/>
  <c r="AQ963" i="1"/>
  <c r="AR963" i="1" s="1"/>
  <c r="AQ964" i="1"/>
  <c r="AR964" i="1" s="1"/>
  <c r="AQ965" i="1"/>
  <c r="AR965" i="1" s="1"/>
  <c r="AQ966" i="1"/>
  <c r="AR966" i="1" s="1"/>
  <c r="AQ967" i="1"/>
  <c r="AR967" i="1" s="1"/>
  <c r="AQ968" i="1"/>
  <c r="AR968" i="1" s="1"/>
  <c r="AQ969" i="1"/>
  <c r="AR969" i="1" s="1"/>
  <c r="AQ970" i="1"/>
  <c r="AR970" i="1" s="1"/>
  <c r="AQ971" i="1"/>
  <c r="AR971" i="1" s="1"/>
  <c r="AQ972" i="1"/>
  <c r="AR972" i="1" s="1"/>
  <c r="AQ973" i="1"/>
  <c r="AR973" i="1" s="1"/>
  <c r="AQ974" i="1"/>
  <c r="AR974" i="1" s="1"/>
  <c r="AQ975" i="1"/>
  <c r="AR975" i="1" s="1"/>
  <c r="AQ976" i="1"/>
  <c r="AR976" i="1" s="1"/>
  <c r="AQ977" i="1"/>
  <c r="AR977" i="1" s="1"/>
  <c r="AQ978" i="1"/>
  <c r="AR978" i="1" s="1"/>
  <c r="AQ979" i="1"/>
  <c r="AR979" i="1" s="1"/>
  <c r="AQ980" i="1"/>
  <c r="AR980" i="1" s="1"/>
  <c r="AQ981" i="1"/>
  <c r="AR981" i="1" s="1"/>
  <c r="AQ982" i="1"/>
  <c r="AR982" i="1" s="1"/>
  <c r="AQ983" i="1"/>
  <c r="AR983" i="1" s="1"/>
  <c r="AQ984" i="1"/>
  <c r="AR984" i="1" s="1"/>
  <c r="AQ985" i="1"/>
  <c r="AR985" i="1" s="1"/>
  <c r="AQ986" i="1"/>
  <c r="AR986" i="1" s="1"/>
  <c r="AQ987" i="1"/>
  <c r="AR987" i="1" s="1"/>
  <c r="AQ988" i="1"/>
  <c r="AR988" i="1" s="1"/>
  <c r="AQ989" i="1"/>
  <c r="AR989" i="1" s="1"/>
  <c r="AQ990" i="1"/>
  <c r="AR990" i="1" s="1"/>
  <c r="AQ991" i="1"/>
  <c r="AR991" i="1" s="1"/>
  <c r="AQ992" i="1"/>
  <c r="AR992" i="1" s="1"/>
  <c r="AQ993" i="1"/>
  <c r="AR993" i="1" s="1"/>
  <c r="AQ994" i="1"/>
  <c r="AR994" i="1" s="1"/>
  <c r="AQ995" i="1"/>
  <c r="AR995" i="1" s="1"/>
  <c r="AQ996" i="1"/>
  <c r="AR996" i="1" s="1"/>
  <c r="AQ997" i="1"/>
  <c r="AR997" i="1" s="1"/>
  <c r="AQ998" i="1"/>
  <c r="AR998" i="1" s="1"/>
  <c r="AQ999" i="1"/>
  <c r="AR999" i="1" s="1"/>
  <c r="AQ1000" i="1"/>
  <c r="AR1000" i="1" s="1"/>
  <c r="AQ1001" i="1"/>
  <c r="AR1001" i="1" s="1"/>
  <c r="AQ1002" i="1"/>
  <c r="AR1002" i="1" s="1"/>
  <c r="AQ1003" i="1"/>
  <c r="AR1003" i="1" s="1"/>
  <c r="AQ1004" i="1"/>
  <c r="AR1004" i="1" s="1"/>
  <c r="AQ1005" i="1"/>
  <c r="AR1005" i="1" s="1"/>
  <c r="AQ1006" i="1"/>
  <c r="AR1006" i="1" s="1"/>
  <c r="AQ1007" i="1"/>
  <c r="AR1007" i="1" s="1"/>
  <c r="AQ1008" i="1"/>
  <c r="AR1008" i="1" s="1"/>
  <c r="AQ1009" i="1"/>
  <c r="AR1009" i="1" s="1"/>
  <c r="AQ1010" i="1"/>
  <c r="AR1010" i="1" s="1"/>
  <c r="AQ1011" i="1"/>
  <c r="AR1011" i="1" s="1"/>
  <c r="AQ1012" i="1"/>
  <c r="AR1012" i="1" s="1"/>
  <c r="AQ1013" i="1"/>
  <c r="AR1013" i="1" s="1"/>
  <c r="AQ1014" i="1"/>
  <c r="AR1014" i="1" s="1"/>
  <c r="AQ1015" i="1"/>
  <c r="AR1015" i="1" s="1"/>
  <c r="AQ1016" i="1"/>
  <c r="AR1016" i="1" s="1"/>
  <c r="AQ1017" i="1"/>
  <c r="AR1017" i="1" s="1"/>
  <c r="AQ1018" i="1"/>
  <c r="AR1018" i="1" s="1"/>
  <c r="AQ1019" i="1"/>
  <c r="AR1019" i="1" s="1"/>
  <c r="AQ1020" i="1"/>
  <c r="AR1020" i="1" s="1"/>
  <c r="AQ1021" i="1"/>
  <c r="AR1021" i="1" s="1"/>
  <c r="AQ1022" i="1"/>
  <c r="AR1022" i="1" s="1"/>
  <c r="AQ1023" i="1"/>
  <c r="AR1023" i="1" s="1"/>
  <c r="AQ1024" i="1"/>
  <c r="AR1024" i="1" s="1"/>
  <c r="AQ1025" i="1"/>
  <c r="AR1025" i="1" s="1"/>
  <c r="AQ1026" i="1"/>
  <c r="AQ1027" i="1"/>
  <c r="AR1027" i="1" s="1"/>
  <c r="AQ1028" i="1"/>
  <c r="AR1028" i="1" s="1"/>
  <c r="AQ1029" i="1"/>
  <c r="AR1029" i="1" s="1"/>
  <c r="AQ1030" i="1"/>
  <c r="AR1030" i="1" s="1"/>
  <c r="AQ1031" i="1"/>
  <c r="AR1031" i="1" s="1"/>
  <c r="AQ1032" i="1"/>
  <c r="AR1032" i="1" s="1"/>
  <c r="AQ1033" i="1"/>
  <c r="AR1033" i="1" s="1"/>
  <c r="AQ1034" i="1"/>
  <c r="AR1034" i="1" s="1"/>
  <c r="AQ1035" i="1"/>
  <c r="AR1035" i="1" s="1"/>
  <c r="AQ1036" i="1"/>
  <c r="AR1036" i="1" s="1"/>
  <c r="AQ1037" i="1"/>
  <c r="AR1037" i="1" s="1"/>
  <c r="AQ1038" i="1"/>
  <c r="AR1038" i="1" s="1"/>
  <c r="AQ1039" i="1"/>
  <c r="AR1039" i="1" s="1"/>
  <c r="AQ1040" i="1"/>
  <c r="AR1040" i="1" s="1"/>
  <c r="AQ1041" i="1"/>
  <c r="AR1041" i="1" s="1"/>
  <c r="AQ1042" i="1"/>
  <c r="AR1042" i="1" s="1"/>
  <c r="AQ1043" i="1"/>
  <c r="AR1043" i="1" s="1"/>
  <c r="AQ1044" i="1"/>
  <c r="AR1044" i="1" s="1"/>
  <c r="AQ1045" i="1"/>
  <c r="AR1045" i="1" s="1"/>
  <c r="AQ1046" i="1"/>
  <c r="AR1046" i="1" s="1"/>
  <c r="AQ1047" i="1"/>
  <c r="AR1047" i="1" s="1"/>
  <c r="AQ1048" i="1"/>
  <c r="AR1048" i="1" s="1"/>
  <c r="AQ1049" i="1"/>
  <c r="AR1049" i="1" s="1"/>
  <c r="AQ1050" i="1"/>
  <c r="AR1050" i="1" s="1"/>
  <c r="AQ1051" i="1"/>
  <c r="AR1051" i="1" s="1"/>
  <c r="AQ1052" i="1"/>
  <c r="AR1052" i="1" s="1"/>
  <c r="AQ1053" i="1"/>
  <c r="AR1053" i="1" s="1"/>
  <c r="AQ1054" i="1"/>
  <c r="AR1054" i="1" s="1"/>
  <c r="AQ1055" i="1"/>
  <c r="AR1055" i="1" s="1"/>
  <c r="AQ1056" i="1"/>
  <c r="AR1056" i="1" s="1"/>
  <c r="AQ1057" i="1"/>
  <c r="AR1057" i="1" s="1"/>
  <c r="AQ1058" i="1"/>
  <c r="AR1058" i="1" s="1"/>
  <c r="AQ1059" i="1"/>
  <c r="AR1059" i="1" s="1"/>
  <c r="AQ1060" i="1"/>
  <c r="AR1060" i="1" s="1"/>
  <c r="AQ1061" i="1"/>
  <c r="AR1061" i="1" s="1"/>
  <c r="AQ1062" i="1"/>
  <c r="AR1062" i="1" s="1"/>
  <c r="AQ1063" i="1"/>
  <c r="AR1063" i="1" s="1"/>
  <c r="AQ1064" i="1"/>
  <c r="AR1064" i="1" s="1"/>
  <c r="AQ1065" i="1"/>
  <c r="AR1065" i="1" s="1"/>
  <c r="AQ1066" i="1"/>
  <c r="AR1066" i="1" s="1"/>
  <c r="AQ1067" i="1"/>
  <c r="AR1067" i="1" s="1"/>
  <c r="AQ1068" i="1"/>
  <c r="AR1068" i="1" s="1"/>
  <c r="AQ1069" i="1"/>
  <c r="AR1069" i="1" s="1"/>
  <c r="AQ1070" i="1"/>
  <c r="AR1070" i="1" s="1"/>
  <c r="AQ1071" i="1"/>
  <c r="AR1071" i="1" s="1"/>
  <c r="AQ1072" i="1"/>
  <c r="AR1072" i="1" s="1"/>
  <c r="AQ1073" i="1"/>
  <c r="AR1073" i="1" s="1"/>
  <c r="AQ1074" i="1"/>
  <c r="AR1074" i="1" s="1"/>
  <c r="AQ1075" i="1"/>
  <c r="AR1075" i="1" s="1"/>
  <c r="AQ1076" i="1"/>
  <c r="AR1076" i="1" s="1"/>
  <c r="AQ1077" i="1"/>
  <c r="AR1077" i="1" s="1"/>
  <c r="AQ1078" i="1"/>
  <c r="AR1078" i="1" s="1"/>
  <c r="AQ1079" i="1"/>
  <c r="AR1079" i="1" s="1"/>
  <c r="AQ1080" i="1"/>
  <c r="AR1080" i="1" s="1"/>
  <c r="AQ1081" i="1"/>
  <c r="AR1081" i="1" s="1"/>
  <c r="AQ1082" i="1"/>
  <c r="AR1082" i="1" s="1"/>
  <c r="AQ1083" i="1"/>
  <c r="AR1083" i="1" s="1"/>
  <c r="AQ1084" i="1"/>
  <c r="AR1084" i="1" s="1"/>
  <c r="AQ1085" i="1"/>
  <c r="AR1085" i="1" s="1"/>
  <c r="AQ1086" i="1"/>
  <c r="AR1086" i="1" s="1"/>
  <c r="AQ1087" i="1"/>
  <c r="AR1087" i="1" s="1"/>
  <c r="AQ1088" i="1"/>
  <c r="AR1088" i="1" s="1"/>
  <c r="AQ1089" i="1"/>
  <c r="AR1089" i="1" s="1"/>
  <c r="AQ1090" i="1"/>
  <c r="AR1090" i="1" s="1"/>
  <c r="AQ1091" i="1"/>
  <c r="AR1091" i="1" s="1"/>
  <c r="AQ1092" i="1"/>
  <c r="AR1092" i="1" s="1"/>
  <c r="AQ1093" i="1"/>
  <c r="AR1093" i="1" s="1"/>
  <c r="AQ1094" i="1"/>
  <c r="AR1094" i="1" s="1"/>
  <c r="AQ1095" i="1"/>
  <c r="AR1095" i="1" s="1"/>
  <c r="AQ1096" i="1"/>
  <c r="AR1096" i="1" s="1"/>
  <c r="AQ1097" i="1"/>
  <c r="AR1097" i="1" s="1"/>
  <c r="AQ1098" i="1"/>
  <c r="AR1098" i="1" s="1"/>
  <c r="AQ1099" i="1"/>
  <c r="AR1099" i="1" s="1"/>
  <c r="AQ1100" i="1"/>
  <c r="AR1100" i="1" s="1"/>
  <c r="AQ1101" i="1"/>
  <c r="AR1101" i="1" s="1"/>
  <c r="AQ1102" i="1"/>
  <c r="AR1102" i="1" s="1"/>
  <c r="AQ1103" i="1"/>
  <c r="AR1103" i="1" s="1"/>
  <c r="AQ1104" i="1"/>
  <c r="AR1104" i="1" s="1"/>
  <c r="AQ1105" i="1"/>
  <c r="AR1105" i="1" s="1"/>
  <c r="AQ1106" i="1"/>
  <c r="AR1106" i="1" s="1"/>
  <c r="AQ1107" i="1"/>
  <c r="AR1107" i="1" s="1"/>
  <c r="AQ1108" i="1"/>
  <c r="AR1108" i="1" s="1"/>
  <c r="AQ1109" i="1"/>
  <c r="AR1109" i="1" s="1"/>
  <c r="AQ1110" i="1"/>
  <c r="AR1110" i="1" s="1"/>
  <c r="AQ1111" i="1"/>
  <c r="AR1111" i="1" s="1"/>
  <c r="AQ1112" i="1"/>
  <c r="AR1112" i="1" s="1"/>
  <c r="AQ1113" i="1"/>
  <c r="AR1113" i="1" s="1"/>
  <c r="AQ1114" i="1"/>
  <c r="AR1114" i="1" s="1"/>
  <c r="AQ1115" i="1"/>
  <c r="AR1115" i="1" s="1"/>
  <c r="AQ1116" i="1"/>
  <c r="AR1116" i="1" s="1"/>
  <c r="AQ1117" i="1"/>
  <c r="AR1117" i="1" s="1"/>
  <c r="AQ1118" i="1"/>
  <c r="AR1118" i="1" s="1"/>
  <c r="AQ1119" i="1"/>
  <c r="AR1119" i="1" s="1"/>
  <c r="AQ1120" i="1"/>
  <c r="AR1120" i="1" s="1"/>
  <c r="AQ1121" i="1"/>
  <c r="AR1121" i="1" s="1"/>
  <c r="AQ1122" i="1"/>
  <c r="AR1122" i="1" s="1"/>
  <c r="AQ1123" i="1"/>
  <c r="AR1123" i="1" s="1"/>
  <c r="AQ1124" i="1"/>
  <c r="AR1124" i="1" s="1"/>
  <c r="AQ1125" i="1"/>
  <c r="AR1125" i="1" s="1"/>
  <c r="AQ1126" i="1"/>
  <c r="AR1126" i="1" s="1"/>
  <c r="AQ1127" i="1"/>
  <c r="AR1127" i="1" s="1"/>
  <c r="AQ1128" i="1"/>
  <c r="AR1128" i="1" s="1"/>
  <c r="AQ1129" i="1"/>
  <c r="AR1129" i="1" s="1"/>
  <c r="AQ1130" i="1"/>
  <c r="AR1130" i="1" s="1"/>
  <c r="AQ1131" i="1"/>
  <c r="AR1131" i="1" s="1"/>
  <c r="AQ1132" i="1"/>
  <c r="AR1132" i="1" s="1"/>
  <c r="AQ1133" i="1"/>
  <c r="AR1133" i="1" s="1"/>
  <c r="AQ1134" i="1"/>
  <c r="AR1134" i="1" s="1"/>
  <c r="AQ1135" i="1"/>
  <c r="AR1135" i="1" s="1"/>
  <c r="AQ1136" i="1"/>
  <c r="AR1136" i="1" s="1"/>
  <c r="AQ1137" i="1"/>
  <c r="AR1137" i="1" s="1"/>
  <c r="AQ1138" i="1"/>
  <c r="AR1138" i="1" s="1"/>
  <c r="AQ1139" i="1"/>
  <c r="AR1139" i="1" s="1"/>
  <c r="AQ1140" i="1"/>
  <c r="AR1140" i="1" s="1"/>
  <c r="AQ1141" i="1"/>
  <c r="AR1141" i="1" s="1"/>
  <c r="AQ1142" i="1"/>
  <c r="AR1142" i="1" s="1"/>
  <c r="AQ1143" i="1"/>
  <c r="AR1143" i="1" s="1"/>
  <c r="AQ1144" i="1"/>
  <c r="AR1144" i="1" s="1"/>
  <c r="AQ1145" i="1"/>
  <c r="AR1145" i="1" s="1"/>
  <c r="AQ1146" i="1"/>
  <c r="AR1146" i="1" s="1"/>
  <c r="AQ1147" i="1"/>
  <c r="AR1147" i="1" s="1"/>
  <c r="AQ1148" i="1"/>
  <c r="AR1148" i="1" s="1"/>
  <c r="AQ1149" i="1"/>
  <c r="AR1149" i="1" s="1"/>
  <c r="AQ1150" i="1"/>
  <c r="AR1150" i="1" s="1"/>
  <c r="AQ1151" i="1"/>
  <c r="AR1151" i="1" s="1"/>
  <c r="AQ1152" i="1"/>
  <c r="AR1152" i="1" s="1"/>
  <c r="AQ1153" i="1"/>
  <c r="AR1153" i="1" s="1"/>
  <c r="AQ1154" i="1"/>
  <c r="AR1154" i="1" s="1"/>
  <c r="AQ1155" i="1"/>
  <c r="AR1155" i="1" s="1"/>
  <c r="AQ1156" i="1"/>
  <c r="AR1156" i="1" s="1"/>
  <c r="AQ1157" i="1"/>
  <c r="AR1157" i="1" s="1"/>
  <c r="AQ1158" i="1"/>
  <c r="AR1158" i="1" s="1"/>
  <c r="AQ1159" i="1"/>
  <c r="AR1159" i="1" s="1"/>
  <c r="AQ1160" i="1"/>
  <c r="AR1160" i="1" s="1"/>
  <c r="AQ1161" i="1"/>
  <c r="AR1161" i="1" s="1"/>
  <c r="AQ1162" i="1"/>
  <c r="AR1162" i="1" s="1"/>
  <c r="AQ1163" i="1"/>
  <c r="AR1163" i="1" s="1"/>
  <c r="AQ1164" i="1"/>
  <c r="AR1164" i="1" s="1"/>
  <c r="AQ1165" i="1"/>
  <c r="AR1165" i="1" s="1"/>
  <c r="AQ1166" i="1"/>
  <c r="AR1166" i="1" s="1"/>
  <c r="AQ1167" i="1"/>
  <c r="AR1167" i="1" s="1"/>
  <c r="AQ1168" i="1"/>
  <c r="AR1168" i="1" s="1"/>
  <c r="AQ1169" i="1"/>
  <c r="AR1169" i="1" s="1"/>
  <c r="AQ1170" i="1"/>
  <c r="AR1170" i="1" s="1"/>
  <c r="AQ1171" i="1"/>
  <c r="AR1171" i="1" s="1"/>
  <c r="AQ1172" i="1"/>
  <c r="AR1172" i="1" s="1"/>
  <c r="AQ1173" i="1"/>
  <c r="AR1173" i="1" s="1"/>
  <c r="AQ1174" i="1"/>
  <c r="AR1174" i="1" s="1"/>
  <c r="AQ1175" i="1"/>
  <c r="AR1175" i="1" s="1"/>
  <c r="AQ1176" i="1"/>
  <c r="AR1176" i="1" s="1"/>
  <c r="AQ1177" i="1"/>
  <c r="AR1177" i="1" s="1"/>
  <c r="AQ1178" i="1"/>
  <c r="AR1178" i="1" s="1"/>
  <c r="AQ1179" i="1"/>
  <c r="AR1179" i="1" s="1"/>
  <c r="AQ1180" i="1"/>
  <c r="AR1180" i="1" s="1"/>
  <c r="AQ1181" i="1"/>
  <c r="AR1181" i="1" s="1"/>
  <c r="AQ1182" i="1"/>
  <c r="AR1182" i="1" s="1"/>
  <c r="AQ1183" i="1"/>
  <c r="AR1183" i="1" s="1"/>
  <c r="AQ1184" i="1"/>
  <c r="AR1184" i="1" s="1"/>
  <c r="AQ1185" i="1"/>
  <c r="AR1185" i="1" s="1"/>
  <c r="AQ1186" i="1"/>
  <c r="AR1186" i="1" s="1"/>
  <c r="AQ1187" i="1"/>
  <c r="AR1187" i="1" s="1"/>
  <c r="AQ1188" i="1"/>
  <c r="AR1188" i="1" s="1"/>
  <c r="AQ1189" i="1"/>
  <c r="AR1189" i="1" s="1"/>
  <c r="AQ1190" i="1"/>
  <c r="AR1190" i="1" s="1"/>
  <c r="AQ1191" i="1"/>
  <c r="AR1191" i="1" s="1"/>
  <c r="AQ1192" i="1"/>
  <c r="AR1192" i="1" s="1"/>
  <c r="AQ1193" i="1"/>
  <c r="AR1193" i="1" s="1"/>
  <c r="AQ1194" i="1"/>
  <c r="AR1194" i="1" s="1"/>
  <c r="AQ1195" i="1"/>
  <c r="AR1195" i="1" s="1"/>
  <c r="AQ1196" i="1"/>
  <c r="AR1196" i="1" s="1"/>
  <c r="AQ1197" i="1"/>
  <c r="AR1197" i="1" s="1"/>
  <c r="AQ1198" i="1"/>
  <c r="AR1198" i="1" s="1"/>
  <c r="AQ1199" i="1"/>
  <c r="AR1199" i="1" s="1"/>
  <c r="AQ1200" i="1"/>
  <c r="AR1200" i="1" s="1"/>
  <c r="AQ1201" i="1"/>
  <c r="AR1201" i="1" s="1"/>
  <c r="AQ1202" i="1"/>
  <c r="AR1202" i="1" s="1"/>
  <c r="AQ1203" i="1"/>
  <c r="AR1203" i="1" s="1"/>
  <c r="AQ1204" i="1"/>
  <c r="AR1204" i="1" s="1"/>
  <c r="AQ1205" i="1"/>
  <c r="AR1205" i="1" s="1"/>
  <c r="AQ1206" i="1"/>
  <c r="AR1206" i="1" s="1"/>
  <c r="AQ1207" i="1"/>
  <c r="AR1207" i="1" s="1"/>
  <c r="AQ1208" i="1"/>
  <c r="AR1208" i="1" s="1"/>
  <c r="AQ1209" i="1"/>
  <c r="AR1209" i="1" s="1"/>
  <c r="AQ1210" i="1"/>
  <c r="AR1210" i="1" s="1"/>
  <c r="AQ1211" i="1"/>
  <c r="AR1211" i="1" s="1"/>
  <c r="AQ1212" i="1"/>
  <c r="AR1212" i="1" s="1"/>
  <c r="AQ1213" i="1"/>
  <c r="AR1213" i="1" s="1"/>
  <c r="AQ1214" i="1"/>
  <c r="AR1214" i="1" s="1"/>
  <c r="AQ1215" i="1"/>
  <c r="AR1215" i="1" s="1"/>
  <c r="AQ1216" i="1"/>
  <c r="AR1216" i="1" s="1"/>
  <c r="AQ1217" i="1"/>
  <c r="AQ1218" i="1"/>
  <c r="AR1218" i="1" s="1"/>
  <c r="AQ1219" i="1"/>
  <c r="AR1219" i="1" s="1"/>
  <c r="AQ1220" i="1"/>
  <c r="AR1220" i="1" s="1"/>
  <c r="AQ1221" i="1"/>
  <c r="AR1221" i="1" s="1"/>
  <c r="AQ1222" i="1"/>
  <c r="AR1222" i="1" s="1"/>
  <c r="AQ1223" i="1"/>
  <c r="AR1223" i="1" s="1"/>
  <c r="AQ1224" i="1"/>
  <c r="AR1224" i="1" s="1"/>
  <c r="AQ1225" i="1"/>
  <c r="AR1225" i="1" s="1"/>
  <c r="AQ1226" i="1"/>
  <c r="AR1226" i="1" s="1"/>
  <c r="AQ1227" i="1"/>
  <c r="AR1227" i="1" s="1"/>
  <c r="AQ1228" i="1"/>
  <c r="AR1228" i="1" s="1"/>
  <c r="AQ1229" i="1"/>
  <c r="AR1229" i="1" s="1"/>
  <c r="AQ1230" i="1"/>
  <c r="AR1230" i="1" s="1"/>
  <c r="AQ1231" i="1"/>
  <c r="AR1231" i="1" s="1"/>
  <c r="AQ1232" i="1"/>
  <c r="AR1232" i="1" s="1"/>
  <c r="AQ1233" i="1"/>
  <c r="AR1233" i="1" s="1"/>
  <c r="AQ1234" i="1"/>
  <c r="AR1234" i="1" s="1"/>
  <c r="AQ1235" i="1"/>
  <c r="AR1235" i="1" s="1"/>
  <c r="AQ1236" i="1"/>
  <c r="AR1236" i="1" s="1"/>
  <c r="AQ1237" i="1"/>
  <c r="AR1237" i="1" s="1"/>
  <c r="AQ1238" i="1"/>
  <c r="AR1238" i="1" s="1"/>
  <c r="AQ1239" i="1"/>
  <c r="AR1239" i="1" s="1"/>
  <c r="AQ1240" i="1"/>
  <c r="AR1240" i="1" s="1"/>
  <c r="AQ1241" i="1"/>
  <c r="AR1241" i="1" s="1"/>
  <c r="AQ1242" i="1"/>
  <c r="AR1242" i="1" s="1"/>
  <c r="AQ1243" i="1"/>
  <c r="AR1243" i="1" s="1"/>
  <c r="AQ1244" i="1"/>
  <c r="AR1244" i="1" s="1"/>
  <c r="AQ1245" i="1"/>
  <c r="AR1245" i="1" s="1"/>
  <c r="AQ1246" i="1"/>
  <c r="AR1246" i="1" s="1"/>
  <c r="AQ1247" i="1"/>
  <c r="AR1247" i="1" s="1"/>
  <c r="AQ1248" i="1"/>
  <c r="AR1248" i="1" s="1"/>
  <c r="AQ1249" i="1"/>
  <c r="AR1249" i="1" s="1"/>
  <c r="AQ1250" i="1"/>
  <c r="AR1250" i="1" s="1"/>
  <c r="AQ1251" i="1"/>
  <c r="AR1251" i="1" s="1"/>
  <c r="AQ1252" i="1"/>
  <c r="AR1252" i="1" s="1"/>
  <c r="AQ1253" i="1"/>
  <c r="AR1253" i="1" s="1"/>
  <c r="AQ1254" i="1"/>
  <c r="AR1254" i="1" s="1"/>
  <c r="AQ1255" i="1"/>
  <c r="AR1255" i="1" s="1"/>
  <c r="AQ1256" i="1"/>
  <c r="AR1256" i="1" s="1"/>
  <c r="AQ1257" i="1"/>
  <c r="AR1257" i="1" s="1"/>
  <c r="AQ1258" i="1"/>
  <c r="AR1258" i="1" s="1"/>
  <c r="AQ1259" i="1"/>
  <c r="AR1259" i="1" s="1"/>
  <c r="AQ1260" i="1"/>
  <c r="AR1260" i="1" s="1"/>
  <c r="AQ1261" i="1"/>
  <c r="AR1261" i="1" s="1"/>
  <c r="AQ1262" i="1"/>
  <c r="AR1262" i="1" s="1"/>
  <c r="AQ1263" i="1"/>
  <c r="AR1263" i="1" s="1"/>
  <c r="AQ1264" i="1"/>
  <c r="AR1264" i="1" s="1"/>
  <c r="AQ1265" i="1"/>
  <c r="AR1265" i="1" s="1"/>
  <c r="AQ1266" i="1"/>
  <c r="AR1266" i="1" s="1"/>
  <c r="AQ1267" i="1"/>
  <c r="AR1267" i="1" s="1"/>
  <c r="AQ1268" i="1"/>
  <c r="AR1268" i="1" s="1"/>
  <c r="AQ1269" i="1"/>
  <c r="AR1269" i="1" s="1"/>
  <c r="AQ1270" i="1"/>
  <c r="AR1270" i="1" s="1"/>
  <c r="AQ1271" i="1"/>
  <c r="AR1271" i="1" s="1"/>
  <c r="AQ1272" i="1"/>
  <c r="AR1272" i="1" s="1"/>
  <c r="AQ1273" i="1"/>
  <c r="AR1273" i="1" s="1"/>
  <c r="AQ1274" i="1"/>
  <c r="AR1274" i="1" s="1"/>
  <c r="AQ1275" i="1"/>
  <c r="AR1275" i="1" s="1"/>
  <c r="AQ1276" i="1"/>
  <c r="AR1276" i="1" s="1"/>
  <c r="AQ1277" i="1"/>
  <c r="AR1277" i="1" s="1"/>
  <c r="AQ1278" i="1"/>
  <c r="AR1278" i="1" s="1"/>
  <c r="AQ1279" i="1"/>
  <c r="AR1279" i="1" s="1"/>
  <c r="AQ1280" i="1"/>
  <c r="AR1280" i="1" s="1"/>
  <c r="AQ1281" i="1"/>
  <c r="AR1281" i="1" s="1"/>
  <c r="AQ1282" i="1"/>
  <c r="AR1282" i="1" s="1"/>
  <c r="AQ1283" i="1"/>
  <c r="AR1283" i="1" s="1"/>
  <c r="AQ1284" i="1"/>
  <c r="AR1284" i="1" s="1"/>
  <c r="AQ1285" i="1"/>
  <c r="AR1285" i="1" s="1"/>
  <c r="AQ1286" i="1"/>
  <c r="AR1286" i="1" s="1"/>
  <c r="AQ1287" i="1"/>
  <c r="AR1287" i="1" s="1"/>
  <c r="AQ1288" i="1"/>
  <c r="AR1288" i="1" s="1"/>
  <c r="AQ1289" i="1"/>
  <c r="AR1289" i="1" s="1"/>
  <c r="AQ1290" i="1"/>
  <c r="AR1290" i="1" s="1"/>
  <c r="AQ1291" i="1"/>
  <c r="AR1291" i="1" s="1"/>
  <c r="AQ1292" i="1"/>
  <c r="AR1292" i="1" s="1"/>
  <c r="AQ1293" i="1"/>
  <c r="AR1293" i="1" s="1"/>
  <c r="AQ1294" i="1"/>
  <c r="AR1294" i="1" s="1"/>
  <c r="AQ1295" i="1"/>
  <c r="AR1295" i="1" s="1"/>
  <c r="AQ1296" i="1"/>
  <c r="AR1296" i="1" s="1"/>
  <c r="AQ1297" i="1"/>
  <c r="AR1297" i="1" s="1"/>
  <c r="AQ1298" i="1"/>
  <c r="AR1298" i="1" s="1"/>
  <c r="AQ1299" i="1"/>
  <c r="AR1299" i="1" s="1"/>
  <c r="AQ1300" i="1"/>
  <c r="AR1300" i="1" s="1"/>
  <c r="AQ1301" i="1"/>
  <c r="AR1301" i="1" s="1"/>
  <c r="AQ1302" i="1"/>
  <c r="AR1302" i="1" s="1"/>
  <c r="AQ1303" i="1"/>
  <c r="AR1303" i="1" s="1"/>
  <c r="AQ1304" i="1"/>
  <c r="AR1304" i="1" s="1"/>
  <c r="AQ1305" i="1"/>
  <c r="AR1305" i="1" s="1"/>
  <c r="AQ1306" i="1"/>
  <c r="AR1306" i="1" s="1"/>
  <c r="AQ1307" i="1"/>
  <c r="AR1307" i="1" s="1"/>
  <c r="AQ1308" i="1"/>
  <c r="AR1308" i="1" s="1"/>
  <c r="AQ1309" i="1"/>
  <c r="AR1309" i="1" s="1"/>
  <c r="AQ1310" i="1"/>
  <c r="AR1310" i="1" s="1"/>
  <c r="AQ1311" i="1"/>
  <c r="AR1311" i="1" s="1"/>
  <c r="AQ1312" i="1"/>
  <c r="AR1312" i="1" s="1"/>
  <c r="AQ1313" i="1"/>
  <c r="AR1313" i="1" s="1"/>
  <c r="AQ1314" i="1"/>
  <c r="AR1314" i="1" s="1"/>
  <c r="AQ1315" i="1"/>
  <c r="AR1315" i="1" s="1"/>
  <c r="AQ1316" i="1"/>
  <c r="AR1316" i="1" s="1"/>
  <c r="AQ1317" i="1"/>
  <c r="AR1317" i="1" s="1"/>
  <c r="AQ1318" i="1"/>
  <c r="AQ1319" i="1"/>
  <c r="AR1319" i="1" s="1"/>
  <c r="AQ1320" i="1"/>
  <c r="AR1320" i="1" s="1"/>
  <c r="AQ1321" i="1"/>
  <c r="AR1321" i="1" s="1"/>
  <c r="AQ1322" i="1"/>
  <c r="AR1322" i="1" s="1"/>
  <c r="AQ1323" i="1"/>
  <c r="AR1323" i="1" s="1"/>
  <c r="AQ1324" i="1"/>
  <c r="AR1324" i="1" s="1"/>
  <c r="AQ1325" i="1"/>
  <c r="AR1325" i="1" s="1"/>
  <c r="AQ1326" i="1"/>
  <c r="AR1326" i="1" s="1"/>
  <c r="AQ1327" i="1"/>
  <c r="AR1327" i="1" s="1"/>
  <c r="AQ1328" i="1"/>
  <c r="AR1328" i="1" s="1"/>
  <c r="AQ1329" i="1"/>
  <c r="AR1329" i="1" s="1"/>
  <c r="AQ1330" i="1"/>
  <c r="AR1330" i="1" s="1"/>
  <c r="AQ1331" i="1"/>
  <c r="AR1331" i="1" s="1"/>
  <c r="AQ1332" i="1"/>
  <c r="AR1332" i="1" s="1"/>
  <c r="AQ1333" i="1"/>
  <c r="AR1333" i="1" s="1"/>
  <c r="AQ1334" i="1"/>
  <c r="AR1334" i="1" s="1"/>
  <c r="AQ1335" i="1"/>
  <c r="AR1335" i="1" s="1"/>
  <c r="AQ1336" i="1"/>
  <c r="AR1336" i="1" s="1"/>
  <c r="AQ1337" i="1"/>
  <c r="AR1337" i="1" s="1"/>
  <c r="AQ1338" i="1"/>
  <c r="AR1338" i="1" s="1"/>
  <c r="AQ1339" i="1"/>
  <c r="AR1339" i="1" s="1"/>
  <c r="AQ1340" i="1"/>
  <c r="AR1340" i="1" s="1"/>
  <c r="AQ1341" i="1"/>
  <c r="AR1341" i="1" s="1"/>
  <c r="AQ1342" i="1"/>
  <c r="AR1342" i="1" s="1"/>
  <c r="AQ1343" i="1"/>
  <c r="AR1343" i="1" s="1"/>
  <c r="AQ1344" i="1"/>
  <c r="AR1344" i="1" s="1"/>
  <c r="AQ1345" i="1"/>
  <c r="AR1345" i="1" s="1"/>
  <c r="AQ1346" i="1"/>
  <c r="AR1346" i="1" s="1"/>
  <c r="AQ1347" i="1"/>
  <c r="AR1347" i="1" s="1"/>
  <c r="AQ1348" i="1"/>
  <c r="AR1348" i="1" s="1"/>
  <c r="AQ1349" i="1"/>
  <c r="AR1349" i="1" s="1"/>
  <c r="AQ1350" i="1"/>
  <c r="AR1350" i="1" s="1"/>
  <c r="AQ1351" i="1"/>
  <c r="AR1351" i="1" s="1"/>
  <c r="AQ1352" i="1"/>
  <c r="AR1352" i="1" s="1"/>
  <c r="AQ1353" i="1"/>
  <c r="AR1353" i="1" s="1"/>
  <c r="AQ1354" i="1"/>
  <c r="AR1354" i="1" s="1"/>
  <c r="AQ1355" i="1"/>
  <c r="AR1355" i="1" s="1"/>
  <c r="AQ1356" i="1"/>
  <c r="AR1356" i="1" s="1"/>
  <c r="AQ1357" i="1"/>
  <c r="AR1357" i="1" s="1"/>
  <c r="AQ1358" i="1"/>
  <c r="AR1358" i="1" s="1"/>
  <c r="AQ1359" i="1"/>
  <c r="AR1359" i="1" s="1"/>
  <c r="AQ1360" i="1"/>
  <c r="AR1360" i="1" s="1"/>
  <c r="AQ1361" i="1"/>
  <c r="AR1361" i="1" s="1"/>
  <c r="AQ1362" i="1"/>
  <c r="AR1362" i="1" s="1"/>
  <c r="AQ1363" i="1"/>
  <c r="AR1363" i="1" s="1"/>
  <c r="AQ1364" i="1"/>
  <c r="AR1364" i="1" s="1"/>
  <c r="AQ1365" i="1"/>
  <c r="AR1365" i="1" s="1"/>
  <c r="AQ1366" i="1"/>
  <c r="AQ1367" i="1"/>
  <c r="AR1367" i="1" s="1"/>
  <c r="AQ1368" i="1"/>
  <c r="AR1368" i="1" s="1"/>
  <c r="AQ1369" i="1"/>
  <c r="AR1369" i="1" s="1"/>
  <c r="AQ1370" i="1"/>
  <c r="AR1370" i="1" s="1"/>
  <c r="AQ1371" i="1"/>
  <c r="AR1371" i="1" s="1"/>
  <c r="AQ1372" i="1"/>
  <c r="AR1372" i="1" s="1"/>
  <c r="AQ1373" i="1"/>
  <c r="AR1373" i="1" s="1"/>
  <c r="AQ1374" i="1"/>
  <c r="AR1374" i="1" s="1"/>
  <c r="AQ1375" i="1"/>
  <c r="AR1375" i="1" s="1"/>
  <c r="AQ1376" i="1"/>
  <c r="AR1376" i="1" s="1"/>
  <c r="AQ1377" i="1"/>
  <c r="AR1377" i="1" s="1"/>
  <c r="AQ1378" i="1"/>
  <c r="AR1378" i="1" s="1"/>
  <c r="AQ1379" i="1"/>
  <c r="AR1379" i="1" s="1"/>
  <c r="AQ1380" i="1"/>
  <c r="AR1380" i="1" s="1"/>
  <c r="AQ1381" i="1"/>
  <c r="AR1381" i="1" s="1"/>
  <c r="AQ1382" i="1"/>
  <c r="AQ1383" i="1"/>
  <c r="AR1383" i="1" s="1"/>
  <c r="AQ1384" i="1"/>
  <c r="AR1384" i="1" s="1"/>
  <c r="AQ1385" i="1"/>
  <c r="AR1385" i="1" s="1"/>
  <c r="AQ1386" i="1"/>
  <c r="AR1386" i="1" s="1"/>
  <c r="AQ1387" i="1"/>
  <c r="AR1387" i="1" s="1"/>
  <c r="AQ1388" i="1"/>
  <c r="AR1388" i="1" s="1"/>
  <c r="AQ1389" i="1"/>
  <c r="AR1389" i="1" s="1"/>
  <c r="AQ1390" i="1"/>
  <c r="AR1390" i="1" s="1"/>
  <c r="AQ1391" i="1"/>
  <c r="AR1391" i="1" s="1"/>
  <c r="AQ1392" i="1"/>
  <c r="AR1392" i="1" s="1"/>
  <c r="AQ1393" i="1"/>
  <c r="AR1393" i="1" s="1"/>
  <c r="AQ1394" i="1"/>
  <c r="AR1394" i="1" s="1"/>
  <c r="AQ1395" i="1"/>
  <c r="AR1395" i="1" s="1"/>
  <c r="AQ1396" i="1"/>
  <c r="AR1396" i="1" s="1"/>
  <c r="AQ1397" i="1"/>
  <c r="AR1397" i="1" s="1"/>
  <c r="AQ1398" i="1"/>
  <c r="AQ1399" i="1"/>
  <c r="AR1399" i="1" s="1"/>
  <c r="AQ1400" i="1"/>
  <c r="AR1400" i="1" s="1"/>
  <c r="AQ1401" i="1"/>
  <c r="AR1401" i="1" s="1"/>
  <c r="AQ1402" i="1"/>
  <c r="AR1402" i="1" s="1"/>
  <c r="AQ1403" i="1"/>
  <c r="AR1403" i="1" s="1"/>
  <c r="AQ1404" i="1"/>
  <c r="AR1404" i="1" s="1"/>
  <c r="AQ1405" i="1"/>
  <c r="AR1405" i="1" s="1"/>
  <c r="AQ1406" i="1"/>
  <c r="AR1406" i="1" s="1"/>
  <c r="AQ1407" i="1"/>
  <c r="AR1407" i="1" s="1"/>
  <c r="AQ1408" i="1"/>
  <c r="AR1408" i="1" s="1"/>
  <c r="AQ1409" i="1"/>
  <c r="AR1409" i="1" s="1"/>
  <c r="AQ1410" i="1"/>
  <c r="AR1410" i="1" s="1"/>
  <c r="AQ1411" i="1"/>
  <c r="AR1411" i="1" s="1"/>
  <c r="AQ1412" i="1"/>
  <c r="AR1412" i="1" s="1"/>
  <c r="AQ1413" i="1"/>
  <c r="AR1413" i="1" s="1"/>
  <c r="AQ1414" i="1"/>
  <c r="AQ1415" i="1"/>
  <c r="AR1415" i="1" s="1"/>
  <c r="AQ1416" i="1"/>
  <c r="AR1416" i="1" s="1"/>
  <c r="AQ1417" i="1"/>
  <c r="AR1417" i="1" s="1"/>
  <c r="AQ1418" i="1"/>
  <c r="AR1418" i="1" s="1"/>
  <c r="AQ1419" i="1"/>
  <c r="AR1419" i="1" s="1"/>
  <c r="AQ1420" i="1"/>
  <c r="AR1420" i="1" s="1"/>
  <c r="AQ1421" i="1"/>
  <c r="AR1421" i="1" s="1"/>
  <c r="AQ1422" i="1"/>
  <c r="AR1422" i="1" s="1"/>
  <c r="AQ1423" i="1"/>
  <c r="AR1423" i="1" s="1"/>
  <c r="AQ1424" i="1"/>
  <c r="AR1424" i="1" s="1"/>
  <c r="AQ1425" i="1"/>
  <c r="AR1425" i="1" s="1"/>
  <c r="AQ1426" i="1"/>
  <c r="AR1426" i="1" s="1"/>
  <c r="AQ1427" i="1"/>
  <c r="AR1427" i="1" s="1"/>
  <c r="AQ1428" i="1"/>
  <c r="AR1428" i="1" s="1"/>
  <c r="AQ1429" i="1"/>
  <c r="AR1429" i="1" s="1"/>
  <c r="AQ1430" i="1"/>
  <c r="AQ1431" i="1"/>
  <c r="AR1431" i="1" s="1"/>
  <c r="AQ1432" i="1"/>
  <c r="AR1432" i="1" s="1"/>
  <c r="AQ1433" i="1"/>
  <c r="AR1433" i="1" s="1"/>
  <c r="AQ1434" i="1"/>
  <c r="AR1434" i="1" s="1"/>
  <c r="AQ1435" i="1"/>
  <c r="AR1435" i="1" s="1"/>
  <c r="AQ1436" i="1"/>
  <c r="AR1436" i="1" s="1"/>
  <c r="AQ1437" i="1"/>
  <c r="AR1437" i="1" s="1"/>
  <c r="AQ1438" i="1"/>
  <c r="AR1438" i="1" s="1"/>
  <c r="AQ1439" i="1"/>
  <c r="AR1439" i="1" s="1"/>
  <c r="AQ1440" i="1"/>
  <c r="AR1440" i="1" s="1"/>
  <c r="AQ1441" i="1"/>
  <c r="AR1441" i="1" s="1"/>
  <c r="AQ1442" i="1"/>
  <c r="AR1442" i="1" s="1"/>
  <c r="AQ1443" i="1"/>
  <c r="AR1443" i="1" s="1"/>
  <c r="AQ1444" i="1"/>
  <c r="AR1444" i="1" s="1"/>
  <c r="AQ1445" i="1"/>
  <c r="AR1445" i="1" s="1"/>
  <c r="AQ1446" i="1"/>
  <c r="AQ1447" i="1"/>
  <c r="AR1447" i="1" s="1"/>
  <c r="AQ1448" i="1"/>
  <c r="AR1448" i="1" s="1"/>
  <c r="AQ1449" i="1"/>
  <c r="AR1449" i="1" s="1"/>
  <c r="AQ1450" i="1"/>
  <c r="AR1450" i="1" s="1"/>
  <c r="AQ1451" i="1"/>
  <c r="AR1451" i="1" s="1"/>
  <c r="AQ1452" i="1"/>
  <c r="AR1452" i="1" s="1"/>
  <c r="AQ1453" i="1"/>
  <c r="AR1453" i="1" s="1"/>
  <c r="AQ1454" i="1"/>
  <c r="AR1454" i="1" s="1"/>
  <c r="AQ1455" i="1"/>
  <c r="AR1455" i="1" s="1"/>
  <c r="AQ1456" i="1"/>
  <c r="AR1456" i="1" s="1"/>
  <c r="AQ1457" i="1"/>
  <c r="AR1457" i="1" s="1"/>
  <c r="AQ1458" i="1"/>
  <c r="AR1458" i="1" s="1"/>
  <c r="AQ1459" i="1"/>
  <c r="AR1459" i="1" s="1"/>
  <c r="AQ1460" i="1"/>
  <c r="AR1460" i="1" s="1"/>
  <c r="AQ1461" i="1"/>
  <c r="AR1461" i="1" s="1"/>
  <c r="AQ1462" i="1"/>
  <c r="AQ1463" i="1"/>
  <c r="AR1463" i="1" s="1"/>
  <c r="AQ1464" i="1"/>
  <c r="AR1464" i="1" s="1"/>
  <c r="AQ1465" i="1"/>
  <c r="AR1465" i="1" s="1"/>
  <c r="AQ1466" i="1"/>
  <c r="AR1466" i="1" s="1"/>
  <c r="AQ1467" i="1"/>
  <c r="AR1467" i="1" s="1"/>
  <c r="AQ1468" i="1"/>
  <c r="AR1468" i="1" s="1"/>
  <c r="AQ1469" i="1"/>
  <c r="AR1469" i="1" s="1"/>
  <c r="AQ1470" i="1"/>
  <c r="AR1470" i="1" s="1"/>
  <c r="AQ1471" i="1"/>
  <c r="AR1471" i="1" s="1"/>
  <c r="AQ1472" i="1"/>
  <c r="AR1472" i="1" s="1"/>
  <c r="AQ1473" i="1"/>
  <c r="AR1473" i="1" s="1"/>
  <c r="AQ1474" i="1"/>
  <c r="AR1474" i="1" s="1"/>
  <c r="AQ1475" i="1"/>
  <c r="AR1475" i="1" s="1"/>
  <c r="AQ1476" i="1"/>
  <c r="AR1476" i="1" s="1"/>
  <c r="AQ1477" i="1"/>
  <c r="AR1477" i="1" s="1"/>
  <c r="AQ1478" i="1"/>
  <c r="AQ1479" i="1"/>
  <c r="AR1479" i="1" s="1"/>
  <c r="AQ1480" i="1"/>
  <c r="AR1480" i="1" s="1"/>
  <c r="AQ1481" i="1"/>
  <c r="AR1481" i="1" s="1"/>
  <c r="AQ1482" i="1"/>
  <c r="AR1482" i="1" s="1"/>
  <c r="AQ1483" i="1"/>
  <c r="AR1483" i="1" s="1"/>
  <c r="AQ1484" i="1"/>
  <c r="AR1484" i="1" s="1"/>
  <c r="AQ1485" i="1"/>
  <c r="AR1485" i="1" s="1"/>
  <c r="AQ1486" i="1"/>
  <c r="AR1486" i="1" s="1"/>
  <c r="AQ1487" i="1"/>
  <c r="AR1487" i="1" s="1"/>
  <c r="AQ1488" i="1"/>
  <c r="AR1488" i="1" s="1"/>
  <c r="AQ1489" i="1"/>
  <c r="AR1489" i="1" s="1"/>
  <c r="AQ1490" i="1"/>
  <c r="AR1490" i="1" s="1"/>
  <c r="AQ1491" i="1"/>
  <c r="AR1491" i="1" s="1"/>
  <c r="AQ1492" i="1"/>
  <c r="AR1492" i="1" s="1"/>
  <c r="AQ1493" i="1"/>
  <c r="AR1493" i="1" s="1"/>
  <c r="AQ1494" i="1"/>
  <c r="AQ1495" i="1"/>
  <c r="AR1495" i="1" s="1"/>
  <c r="AQ1496" i="1"/>
  <c r="AR1496" i="1" s="1"/>
  <c r="AQ1497" i="1"/>
  <c r="AR1497" i="1" s="1"/>
  <c r="AQ1498" i="1"/>
  <c r="AR1498" i="1" s="1"/>
  <c r="AQ1499" i="1"/>
  <c r="AR1499" i="1" s="1"/>
  <c r="AQ1500" i="1"/>
  <c r="AR1500" i="1" s="1"/>
  <c r="AQ1501" i="1"/>
  <c r="AR1501" i="1" s="1"/>
  <c r="AQ1502" i="1"/>
  <c r="AR1502" i="1" s="1"/>
  <c r="AQ1503" i="1"/>
  <c r="AR1503" i="1" s="1"/>
  <c r="AQ1504" i="1"/>
  <c r="AR1504" i="1" s="1"/>
  <c r="AQ1505" i="1"/>
  <c r="AR1505" i="1" s="1"/>
  <c r="AQ1506" i="1"/>
  <c r="AR1506" i="1" s="1"/>
  <c r="AQ1507" i="1"/>
  <c r="AR1507" i="1" s="1"/>
  <c r="AQ1508" i="1"/>
  <c r="AR1508" i="1" s="1"/>
  <c r="AQ1509" i="1"/>
  <c r="AR1509" i="1" s="1"/>
  <c r="AQ1510" i="1"/>
  <c r="AQ1511" i="1"/>
  <c r="AR1511" i="1" s="1"/>
  <c r="AQ1512" i="1"/>
  <c r="AR1512" i="1" s="1"/>
  <c r="AQ1513" i="1"/>
  <c r="AR1513" i="1" s="1"/>
  <c r="AQ1514" i="1"/>
  <c r="AR1514" i="1" s="1"/>
  <c r="AQ1515" i="1"/>
  <c r="AR1515" i="1" s="1"/>
  <c r="AQ1516" i="1"/>
  <c r="AR1516" i="1" s="1"/>
  <c r="AQ1517" i="1"/>
  <c r="AR1517" i="1" s="1"/>
  <c r="AQ1518" i="1"/>
  <c r="AR1518" i="1" s="1"/>
  <c r="AQ1519" i="1"/>
  <c r="AR1519" i="1" s="1"/>
  <c r="AQ1520" i="1"/>
  <c r="AR1520" i="1" s="1"/>
  <c r="AQ1521" i="1"/>
  <c r="AR1521" i="1" s="1"/>
  <c r="AQ1522" i="1"/>
  <c r="AR1522" i="1" s="1"/>
  <c r="AQ1523" i="1"/>
  <c r="AR1523" i="1" s="1"/>
  <c r="AQ1524" i="1"/>
  <c r="AR1524" i="1" s="1"/>
  <c r="AQ1525" i="1"/>
  <c r="AR1525" i="1" s="1"/>
  <c r="AQ1526" i="1"/>
  <c r="AQ1527" i="1"/>
  <c r="AR1527" i="1" s="1"/>
  <c r="AQ1528" i="1"/>
  <c r="AR1528" i="1" s="1"/>
  <c r="AQ1529" i="1"/>
  <c r="AR1529" i="1" s="1"/>
  <c r="AQ1530" i="1"/>
  <c r="AR1530" i="1" s="1"/>
  <c r="AQ1531" i="1"/>
  <c r="AR1531" i="1" s="1"/>
  <c r="AQ1532" i="1"/>
  <c r="AR1532" i="1" s="1"/>
  <c r="AQ1533" i="1"/>
  <c r="AR1533" i="1" s="1"/>
  <c r="AQ1534" i="1"/>
  <c r="AR1534" i="1" s="1"/>
  <c r="AQ1535" i="1"/>
  <c r="AR1535" i="1" s="1"/>
  <c r="AQ1536" i="1"/>
  <c r="AR1536" i="1" s="1"/>
  <c r="AQ1537" i="1"/>
  <c r="AR1537" i="1" s="1"/>
  <c r="AQ1538" i="1"/>
  <c r="AR1538" i="1" s="1"/>
  <c r="AQ1539" i="1"/>
  <c r="AR1539" i="1" s="1"/>
  <c r="AQ1540" i="1"/>
  <c r="AR1540" i="1" s="1"/>
  <c r="AQ1541" i="1"/>
  <c r="AR1541" i="1" s="1"/>
  <c r="AQ1542" i="1"/>
  <c r="AQ1543" i="1"/>
  <c r="AR1543" i="1" s="1"/>
  <c r="AQ1544" i="1"/>
  <c r="AR1544" i="1" s="1"/>
  <c r="AQ1545" i="1"/>
  <c r="AR1545" i="1" s="1"/>
  <c r="AQ1546" i="1"/>
  <c r="AR1546" i="1" s="1"/>
  <c r="AQ1547" i="1"/>
  <c r="AR1547" i="1" s="1"/>
  <c r="AQ1548" i="1"/>
  <c r="AR1548" i="1" s="1"/>
  <c r="AQ1549" i="1"/>
  <c r="AR1549" i="1" s="1"/>
  <c r="AQ1550" i="1"/>
  <c r="AR1550" i="1" s="1"/>
  <c r="AQ1551" i="1"/>
  <c r="AR1551" i="1" s="1"/>
  <c r="AQ1552" i="1"/>
  <c r="AR1552" i="1" s="1"/>
  <c r="AQ1553" i="1"/>
  <c r="AR1553" i="1" s="1"/>
  <c r="AQ1554" i="1"/>
  <c r="AR1554" i="1" s="1"/>
  <c r="AQ1555" i="1"/>
  <c r="AR1555" i="1" s="1"/>
  <c r="AQ1556" i="1"/>
  <c r="AR1556" i="1" s="1"/>
  <c r="AQ1557" i="1"/>
  <c r="AR1557" i="1" s="1"/>
  <c r="AQ1558" i="1"/>
  <c r="AQ1559" i="1"/>
  <c r="AR1559" i="1" s="1"/>
  <c r="AQ1560" i="1"/>
  <c r="AR1560" i="1" s="1"/>
  <c r="AQ1561" i="1"/>
  <c r="AR1561" i="1" s="1"/>
  <c r="AQ1562" i="1"/>
  <c r="AR1562" i="1" s="1"/>
  <c r="AQ1563" i="1"/>
  <c r="AR1563" i="1" s="1"/>
  <c r="AQ1564" i="1"/>
  <c r="AR1564" i="1" s="1"/>
  <c r="AQ1565" i="1"/>
  <c r="AR1565" i="1" s="1"/>
  <c r="AQ1566" i="1"/>
  <c r="AR1566" i="1" s="1"/>
  <c r="AQ1567" i="1"/>
  <c r="AR1567" i="1" s="1"/>
  <c r="AQ1568" i="1"/>
  <c r="AR1568" i="1" s="1"/>
  <c r="AQ1569" i="1"/>
  <c r="AR1569" i="1" s="1"/>
  <c r="AQ1570" i="1"/>
  <c r="AR1570" i="1" s="1"/>
  <c r="AQ1571" i="1"/>
  <c r="AR1571" i="1" s="1"/>
  <c r="AQ1572" i="1"/>
  <c r="AR1572" i="1" s="1"/>
  <c r="AQ1573" i="1"/>
  <c r="AR1573" i="1" s="1"/>
  <c r="AQ1574" i="1"/>
  <c r="AQ1575" i="1"/>
  <c r="AR1575" i="1" s="1"/>
  <c r="AQ1576" i="1"/>
  <c r="AR1576" i="1" s="1"/>
  <c r="AQ1577" i="1"/>
  <c r="AR1577" i="1" s="1"/>
  <c r="AQ1578" i="1"/>
  <c r="AR1578" i="1" s="1"/>
  <c r="AQ1579" i="1"/>
  <c r="AR1579" i="1" s="1"/>
  <c r="AQ1580" i="1"/>
  <c r="AR1580" i="1" s="1"/>
  <c r="AQ1581" i="1"/>
  <c r="AR1581" i="1" s="1"/>
  <c r="AQ1582" i="1"/>
  <c r="AR1582" i="1" s="1"/>
  <c r="AQ1583" i="1"/>
  <c r="AR1583" i="1" s="1"/>
  <c r="AQ1584" i="1"/>
  <c r="AR1584" i="1" s="1"/>
  <c r="AQ1585" i="1"/>
  <c r="AR1585" i="1" s="1"/>
  <c r="AQ1586" i="1"/>
  <c r="AR1586" i="1" s="1"/>
  <c r="AQ1587" i="1"/>
  <c r="AR1587" i="1" s="1"/>
  <c r="AQ1588" i="1"/>
  <c r="AR1588" i="1" s="1"/>
  <c r="AQ1589" i="1"/>
  <c r="AR1589" i="1" s="1"/>
  <c r="AQ1590" i="1"/>
  <c r="AQ1591" i="1"/>
  <c r="AR1591" i="1" s="1"/>
  <c r="AQ1592" i="1"/>
  <c r="AR1592" i="1" s="1"/>
  <c r="AQ1593" i="1"/>
  <c r="AR1593" i="1" s="1"/>
  <c r="AQ1594" i="1"/>
  <c r="AR1594" i="1" s="1"/>
  <c r="AQ1595" i="1"/>
  <c r="AR1595" i="1" s="1"/>
  <c r="AQ1596" i="1"/>
  <c r="AR1596" i="1" s="1"/>
  <c r="AQ1597" i="1"/>
  <c r="AR1597" i="1" s="1"/>
  <c r="AQ1598" i="1"/>
  <c r="AR1598" i="1" s="1"/>
  <c r="AQ1599" i="1"/>
  <c r="AR1599" i="1" s="1"/>
  <c r="AQ1600" i="1"/>
  <c r="AR1600" i="1" s="1"/>
  <c r="AQ1601" i="1"/>
  <c r="AR1601" i="1" s="1"/>
  <c r="AQ1602" i="1"/>
  <c r="AR1602" i="1" s="1"/>
  <c r="AQ1603" i="1"/>
  <c r="AR1603" i="1" s="1"/>
  <c r="AQ1604" i="1"/>
  <c r="AR1604" i="1" s="1"/>
  <c r="AQ1605" i="1"/>
  <c r="AR1605" i="1" s="1"/>
  <c r="AQ1606" i="1"/>
  <c r="AQ1607" i="1"/>
  <c r="AR1607" i="1" s="1"/>
  <c r="AQ1608" i="1"/>
  <c r="AR1608" i="1" s="1"/>
  <c r="AQ1609" i="1"/>
  <c r="AR1609" i="1" s="1"/>
  <c r="AQ1610" i="1"/>
  <c r="AR1610" i="1" s="1"/>
  <c r="AQ1611" i="1"/>
  <c r="AR1611" i="1" s="1"/>
  <c r="AQ1612" i="1"/>
  <c r="AR1612" i="1" s="1"/>
  <c r="AQ1613" i="1"/>
  <c r="AR1613" i="1" s="1"/>
  <c r="AQ1614" i="1"/>
  <c r="AR1614" i="1" s="1"/>
  <c r="AQ1615" i="1"/>
  <c r="AR1615" i="1" s="1"/>
  <c r="AQ1616" i="1"/>
  <c r="AR1616" i="1" s="1"/>
  <c r="AQ1617" i="1"/>
  <c r="AR1617" i="1" s="1"/>
  <c r="AQ1618" i="1"/>
  <c r="AR1618" i="1" s="1"/>
  <c r="AQ1619" i="1"/>
  <c r="AR1619" i="1" s="1"/>
  <c r="AQ1620" i="1"/>
  <c r="AR1620" i="1" s="1"/>
  <c r="AQ1621" i="1"/>
  <c r="AR1621" i="1" s="1"/>
  <c r="AQ1622" i="1"/>
  <c r="AQ1623" i="1"/>
  <c r="AR1623" i="1" s="1"/>
  <c r="AQ1624" i="1"/>
  <c r="AR1624" i="1" s="1"/>
  <c r="AQ1625" i="1"/>
  <c r="AR1625" i="1" s="1"/>
  <c r="AQ1626" i="1"/>
  <c r="AR1626" i="1" s="1"/>
  <c r="AQ1627" i="1"/>
  <c r="AR1627" i="1" s="1"/>
  <c r="AQ1628" i="1"/>
  <c r="AR1628" i="1" s="1"/>
  <c r="AQ1629" i="1"/>
  <c r="AR1629" i="1" s="1"/>
  <c r="AQ1630" i="1"/>
  <c r="AR1630" i="1" s="1"/>
  <c r="AQ1631" i="1"/>
  <c r="AR1631" i="1" s="1"/>
  <c r="AQ1632" i="1"/>
  <c r="AR1632" i="1" s="1"/>
  <c r="AQ1633" i="1"/>
  <c r="AR1633" i="1" s="1"/>
  <c r="AQ1634" i="1"/>
  <c r="AR1634" i="1" s="1"/>
  <c r="AQ1635" i="1"/>
  <c r="AR1635" i="1" s="1"/>
  <c r="AQ1636" i="1"/>
  <c r="AR1636" i="1" s="1"/>
  <c r="AQ1637" i="1"/>
  <c r="AR1637" i="1" s="1"/>
  <c r="AQ1638" i="1"/>
  <c r="AQ1639" i="1"/>
  <c r="AR1639" i="1" s="1"/>
  <c r="AQ1640" i="1"/>
  <c r="AR1640" i="1" s="1"/>
  <c r="AQ1641" i="1"/>
  <c r="AR1641" i="1" s="1"/>
  <c r="AQ1642" i="1"/>
  <c r="AR1642" i="1" s="1"/>
  <c r="AQ1643" i="1"/>
  <c r="AR1643" i="1" s="1"/>
  <c r="AQ1644" i="1"/>
  <c r="AR1644" i="1" s="1"/>
  <c r="AQ1645" i="1"/>
  <c r="AR1645" i="1" s="1"/>
  <c r="AQ1646" i="1"/>
  <c r="AR1646" i="1" s="1"/>
  <c r="AQ1647" i="1"/>
  <c r="AR1647" i="1" s="1"/>
  <c r="AQ1648" i="1"/>
  <c r="AR1648" i="1" s="1"/>
  <c r="AQ1649" i="1"/>
  <c r="AR1649" i="1" s="1"/>
  <c r="AQ1650" i="1"/>
  <c r="AR1650" i="1" s="1"/>
  <c r="AQ1651" i="1"/>
  <c r="AR1651" i="1" s="1"/>
  <c r="AQ1652" i="1"/>
  <c r="AR1652" i="1" s="1"/>
  <c r="AQ1653" i="1"/>
  <c r="AR1653" i="1" s="1"/>
  <c r="AQ1654" i="1"/>
  <c r="AQ1655" i="1"/>
  <c r="AR1655" i="1" s="1"/>
  <c r="AQ1656" i="1"/>
  <c r="AR1656" i="1" s="1"/>
  <c r="AQ1657" i="1"/>
  <c r="AR1657" i="1" s="1"/>
  <c r="AQ1658" i="1"/>
  <c r="AR1658" i="1" s="1"/>
  <c r="AQ1659" i="1"/>
  <c r="AR1659" i="1" s="1"/>
  <c r="AQ1660" i="1"/>
  <c r="AR1660" i="1" s="1"/>
  <c r="AQ1661" i="1"/>
  <c r="AR1661" i="1" s="1"/>
  <c r="AQ1662" i="1"/>
  <c r="AR1662" i="1" s="1"/>
  <c r="AQ1663" i="1"/>
  <c r="AR1663" i="1" s="1"/>
  <c r="AQ1664" i="1"/>
  <c r="AR1664" i="1" s="1"/>
  <c r="AQ1665" i="1"/>
  <c r="AR1665" i="1" s="1"/>
  <c r="AQ1666" i="1"/>
  <c r="AR1666" i="1" s="1"/>
  <c r="AQ1667" i="1"/>
  <c r="AR1667" i="1" s="1"/>
  <c r="AQ1668" i="1"/>
  <c r="AR1668" i="1" s="1"/>
  <c r="AQ1669" i="1"/>
  <c r="AR1669" i="1" s="1"/>
  <c r="AQ1670" i="1"/>
  <c r="AQ1671" i="1"/>
  <c r="AR1671" i="1" s="1"/>
  <c r="AQ1672" i="1"/>
  <c r="AR1672" i="1" s="1"/>
  <c r="AQ1673" i="1"/>
  <c r="AR1673" i="1" s="1"/>
  <c r="AQ1674" i="1"/>
  <c r="AR1674" i="1" s="1"/>
  <c r="AQ1675" i="1"/>
  <c r="AR1675" i="1" s="1"/>
  <c r="AQ1676" i="1"/>
  <c r="AR1676" i="1" s="1"/>
  <c r="AQ1677" i="1"/>
  <c r="AR1677" i="1" s="1"/>
  <c r="AQ1678" i="1"/>
  <c r="AR1678" i="1" s="1"/>
  <c r="AQ1679" i="1"/>
  <c r="AR1679" i="1" s="1"/>
  <c r="AQ1680" i="1"/>
  <c r="AR1680" i="1" s="1"/>
  <c r="AQ1681" i="1"/>
  <c r="AR1681" i="1" s="1"/>
  <c r="AQ1682" i="1"/>
  <c r="AR1682" i="1" s="1"/>
  <c r="AQ1683" i="1"/>
  <c r="AR1683" i="1" s="1"/>
  <c r="AQ1684" i="1"/>
  <c r="AR1684" i="1" s="1"/>
  <c r="AQ1685" i="1"/>
  <c r="AR1685" i="1" s="1"/>
  <c r="AQ1686" i="1"/>
  <c r="AQ1687" i="1"/>
  <c r="AR1687" i="1" s="1"/>
  <c r="AQ1688" i="1"/>
  <c r="AR1688" i="1" s="1"/>
  <c r="AQ1689" i="1"/>
  <c r="AR1689" i="1" s="1"/>
  <c r="AQ1690" i="1"/>
  <c r="AR1690" i="1" s="1"/>
  <c r="AQ1691" i="1"/>
  <c r="AR1691" i="1" s="1"/>
  <c r="AQ1692" i="1"/>
  <c r="AR1692" i="1" s="1"/>
  <c r="AQ1693" i="1"/>
  <c r="AR1693" i="1" s="1"/>
  <c r="AQ1694" i="1"/>
  <c r="AR1694" i="1" s="1"/>
  <c r="AQ1695" i="1"/>
  <c r="AR1695" i="1" s="1"/>
  <c r="AQ1696" i="1"/>
  <c r="AR1696" i="1" s="1"/>
  <c r="AQ1697" i="1"/>
  <c r="AR1697" i="1" s="1"/>
  <c r="AQ1698" i="1"/>
  <c r="AR1698" i="1" s="1"/>
  <c r="AQ1699" i="1"/>
  <c r="AR1699" i="1" s="1"/>
  <c r="AQ1700" i="1"/>
  <c r="AR1700" i="1" s="1"/>
  <c r="AQ1701" i="1"/>
  <c r="AR1701" i="1" s="1"/>
  <c r="AQ1702" i="1"/>
  <c r="AQ1703" i="1"/>
  <c r="AR1703" i="1" s="1"/>
  <c r="AQ1704" i="1"/>
  <c r="AR1704" i="1" s="1"/>
  <c r="AQ1705" i="1"/>
  <c r="AR1705" i="1" s="1"/>
  <c r="AQ1706" i="1"/>
  <c r="AR1706" i="1" s="1"/>
  <c r="H7" i="4"/>
  <c r="H6" i="4"/>
  <c r="H5" i="4"/>
  <c r="H14" i="4"/>
  <c r="H13" i="4"/>
  <c r="H12" i="4"/>
  <c r="H30" i="4"/>
  <c r="AP3" i="1" l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7" i="1"/>
  <c r="AP1008" i="1"/>
  <c r="AP1009" i="1"/>
  <c r="AP1010" i="1"/>
  <c r="AP1011" i="1"/>
  <c r="AP1012" i="1"/>
  <c r="AP1013" i="1"/>
  <c r="AP1014" i="1"/>
  <c r="AP1015" i="1"/>
  <c r="AP1016" i="1"/>
  <c r="AP1017" i="1"/>
  <c r="AP1018" i="1"/>
  <c r="AP1019" i="1"/>
  <c r="AP1020" i="1"/>
  <c r="AP1021" i="1"/>
  <c r="AP1022" i="1"/>
  <c r="AP1023" i="1"/>
  <c r="AP1024" i="1"/>
  <c r="AP1025" i="1"/>
  <c r="AP1026" i="1"/>
  <c r="AP1027" i="1"/>
  <c r="AP1028" i="1"/>
  <c r="AP1029" i="1"/>
  <c r="AP1030" i="1"/>
  <c r="AP1031" i="1"/>
  <c r="AP1032" i="1"/>
  <c r="AP1033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066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1084" i="1"/>
  <c r="AP1085" i="1"/>
  <c r="AP1086" i="1"/>
  <c r="AP1087" i="1"/>
  <c r="AP1088" i="1"/>
  <c r="AP1089" i="1"/>
  <c r="AP1090" i="1"/>
  <c r="AP1091" i="1"/>
  <c r="AP1092" i="1"/>
  <c r="AP1093" i="1"/>
  <c r="AP1094" i="1"/>
  <c r="AP1095" i="1"/>
  <c r="AP1096" i="1"/>
  <c r="AP1097" i="1"/>
  <c r="AP1098" i="1"/>
  <c r="AP1099" i="1"/>
  <c r="AP1100" i="1"/>
  <c r="AP1101" i="1"/>
  <c r="AP1102" i="1"/>
  <c r="AP1103" i="1"/>
  <c r="AP1104" i="1"/>
  <c r="AP1105" i="1"/>
  <c r="AP1106" i="1"/>
  <c r="AP1107" i="1"/>
  <c r="AP1108" i="1"/>
  <c r="AP1109" i="1"/>
  <c r="AP1110" i="1"/>
  <c r="AP1111" i="1"/>
  <c r="AP1112" i="1"/>
  <c r="AP1113" i="1"/>
  <c r="AP1114" i="1"/>
  <c r="AP1115" i="1"/>
  <c r="AP1116" i="1"/>
  <c r="AP1117" i="1"/>
  <c r="AP1118" i="1"/>
  <c r="AP1119" i="1"/>
  <c r="AP1120" i="1"/>
  <c r="AP1121" i="1"/>
  <c r="AP1122" i="1"/>
  <c r="AP1123" i="1"/>
  <c r="AP1124" i="1"/>
  <c r="AP1125" i="1"/>
  <c r="AP1126" i="1"/>
  <c r="AP1127" i="1"/>
  <c r="AP1128" i="1"/>
  <c r="AP1129" i="1"/>
  <c r="AP1130" i="1"/>
  <c r="AP1131" i="1"/>
  <c r="AP1132" i="1"/>
  <c r="AP1133" i="1"/>
  <c r="AP1134" i="1"/>
  <c r="AP1135" i="1"/>
  <c r="AP1136" i="1"/>
  <c r="AP1137" i="1"/>
  <c r="AP1138" i="1"/>
  <c r="AP1139" i="1"/>
  <c r="AP1140" i="1"/>
  <c r="AP1141" i="1"/>
  <c r="AP1142" i="1"/>
  <c r="AP1143" i="1"/>
  <c r="AP1144" i="1"/>
  <c r="AP1145" i="1"/>
  <c r="AP1146" i="1"/>
  <c r="AP1147" i="1"/>
  <c r="AP1148" i="1"/>
  <c r="AP1149" i="1"/>
  <c r="AP1150" i="1"/>
  <c r="AP1151" i="1"/>
  <c r="AP1152" i="1"/>
  <c r="AP1153" i="1"/>
  <c r="AP1154" i="1"/>
  <c r="AP1155" i="1"/>
  <c r="AP1156" i="1"/>
  <c r="AP1157" i="1"/>
  <c r="AP1158" i="1"/>
  <c r="AP1159" i="1"/>
  <c r="AP1160" i="1"/>
  <c r="AP1161" i="1"/>
  <c r="AP1162" i="1"/>
  <c r="AP1163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176" i="1"/>
  <c r="AP1177" i="1"/>
  <c r="AP1178" i="1"/>
  <c r="AP1179" i="1"/>
  <c r="AP1180" i="1"/>
  <c r="AP1181" i="1"/>
  <c r="AP1182" i="1"/>
  <c r="AP1183" i="1"/>
  <c r="AP1184" i="1"/>
  <c r="AP1185" i="1"/>
  <c r="AP1186" i="1"/>
  <c r="AP1187" i="1"/>
  <c r="AP1188" i="1"/>
  <c r="AP1189" i="1"/>
  <c r="AP1190" i="1"/>
  <c r="AP1191" i="1"/>
  <c r="AP1192" i="1"/>
  <c r="AP1193" i="1"/>
  <c r="AP1194" i="1"/>
  <c r="AP1195" i="1"/>
  <c r="AP1196" i="1"/>
  <c r="AP1197" i="1"/>
  <c r="AP1198" i="1"/>
  <c r="AP1199" i="1"/>
  <c r="AP1200" i="1"/>
  <c r="AP1201" i="1"/>
  <c r="AP1202" i="1"/>
  <c r="AP1203" i="1"/>
  <c r="AP1204" i="1"/>
  <c r="AP1205" i="1"/>
  <c r="AP1206" i="1"/>
  <c r="AP1207" i="1"/>
  <c r="AP1208" i="1"/>
  <c r="AP1209" i="1"/>
  <c r="AP1210" i="1"/>
  <c r="AP1211" i="1"/>
  <c r="AP1212" i="1"/>
  <c r="AP1213" i="1"/>
  <c r="AP1214" i="1"/>
  <c r="AP1215" i="1"/>
  <c r="AP1216" i="1"/>
  <c r="AP1217" i="1"/>
  <c r="AP1218" i="1"/>
  <c r="AP1219" i="1"/>
  <c r="AP1220" i="1"/>
  <c r="AP1221" i="1"/>
  <c r="AP1222" i="1"/>
  <c r="AP1223" i="1"/>
  <c r="AP1224" i="1"/>
  <c r="AP1225" i="1"/>
  <c r="AP1226" i="1"/>
  <c r="AP1227" i="1"/>
  <c r="AP1228" i="1"/>
  <c r="AP1229" i="1"/>
  <c r="AP1230" i="1"/>
  <c r="AP1231" i="1"/>
  <c r="AP1232" i="1"/>
  <c r="AP1233" i="1"/>
  <c r="AP1234" i="1"/>
  <c r="AP1235" i="1"/>
  <c r="AP1236" i="1"/>
  <c r="AP1237" i="1"/>
  <c r="AP1238" i="1"/>
  <c r="AP1239" i="1"/>
  <c r="AP1240" i="1"/>
  <c r="AP1241" i="1"/>
  <c r="AP1242" i="1"/>
  <c r="AP1243" i="1"/>
  <c r="AP1244" i="1"/>
  <c r="AP1245" i="1"/>
  <c r="AP1246" i="1"/>
  <c r="AP1247" i="1"/>
  <c r="AP1248" i="1"/>
  <c r="AP1249" i="1"/>
  <c r="AP1250" i="1"/>
  <c r="AP1251" i="1"/>
  <c r="AP1252" i="1"/>
  <c r="AP1253" i="1"/>
  <c r="AP1254" i="1"/>
  <c r="AP1255" i="1"/>
  <c r="AP1256" i="1"/>
  <c r="AP1257" i="1"/>
  <c r="AP1258" i="1"/>
  <c r="AP1259" i="1"/>
  <c r="AP1260" i="1"/>
  <c r="AP1261" i="1"/>
  <c r="AP1262" i="1"/>
  <c r="AP1263" i="1"/>
  <c r="AP1264" i="1"/>
  <c r="AP1265" i="1"/>
  <c r="AP1266" i="1"/>
  <c r="AP1267" i="1"/>
  <c r="AP1268" i="1"/>
  <c r="AP1269" i="1"/>
  <c r="AP1270" i="1"/>
  <c r="AP1271" i="1"/>
  <c r="AP1272" i="1"/>
  <c r="AP1273" i="1"/>
  <c r="AP1274" i="1"/>
  <c r="AP1275" i="1"/>
  <c r="AP1276" i="1"/>
  <c r="AP1277" i="1"/>
  <c r="AP1278" i="1"/>
  <c r="AP1279" i="1"/>
  <c r="AP1280" i="1"/>
  <c r="AP1281" i="1"/>
  <c r="AP1282" i="1"/>
  <c r="AP1283" i="1"/>
  <c r="AP1284" i="1"/>
  <c r="AP1285" i="1"/>
  <c r="AP1286" i="1"/>
  <c r="AP1287" i="1"/>
  <c r="AP1288" i="1"/>
  <c r="AP1289" i="1"/>
  <c r="AP1290" i="1"/>
  <c r="AP1291" i="1"/>
  <c r="AP1292" i="1"/>
  <c r="AP1293" i="1"/>
  <c r="AP1294" i="1"/>
  <c r="AP1295" i="1"/>
  <c r="AP1296" i="1"/>
  <c r="AP1297" i="1"/>
  <c r="AP1298" i="1"/>
  <c r="AP1299" i="1"/>
  <c r="AP1300" i="1"/>
  <c r="AP1301" i="1"/>
  <c r="AP1302" i="1"/>
  <c r="AP1303" i="1"/>
  <c r="AP1304" i="1"/>
  <c r="AP1305" i="1"/>
  <c r="AP1306" i="1"/>
  <c r="AP1307" i="1"/>
  <c r="AP1308" i="1"/>
  <c r="AP1309" i="1"/>
  <c r="AP1310" i="1"/>
  <c r="AP1311" i="1"/>
  <c r="AP1312" i="1"/>
  <c r="AP1313" i="1"/>
  <c r="AP1314" i="1"/>
  <c r="AP1315" i="1"/>
  <c r="AP1316" i="1"/>
  <c r="AP1317" i="1"/>
  <c r="AP1318" i="1"/>
  <c r="AP1319" i="1"/>
  <c r="AP1320" i="1"/>
  <c r="AP1321" i="1"/>
  <c r="AP1322" i="1"/>
  <c r="AP1323" i="1"/>
  <c r="AP1324" i="1"/>
  <c r="AP1325" i="1"/>
  <c r="AP1326" i="1"/>
  <c r="AP1327" i="1"/>
  <c r="AP1328" i="1"/>
  <c r="AP1329" i="1"/>
  <c r="AP1330" i="1"/>
  <c r="AP1331" i="1"/>
  <c r="AP1332" i="1"/>
  <c r="AP1333" i="1"/>
  <c r="AP1334" i="1"/>
  <c r="AP1335" i="1"/>
  <c r="AP1336" i="1"/>
  <c r="AP1337" i="1"/>
  <c r="AP1338" i="1"/>
  <c r="AP1339" i="1"/>
  <c r="AP1340" i="1"/>
  <c r="AP1341" i="1"/>
  <c r="AP1342" i="1"/>
  <c r="AP1343" i="1"/>
  <c r="AP1344" i="1"/>
  <c r="AP1345" i="1"/>
  <c r="AP1346" i="1"/>
  <c r="AP1347" i="1"/>
  <c r="AP1348" i="1"/>
  <c r="AP1349" i="1"/>
  <c r="AP1350" i="1"/>
  <c r="AP1351" i="1"/>
  <c r="AP1352" i="1"/>
  <c r="AP1353" i="1"/>
  <c r="AP1354" i="1"/>
  <c r="AP1355" i="1"/>
  <c r="AP1356" i="1"/>
  <c r="AP1357" i="1"/>
  <c r="AP1358" i="1"/>
  <c r="AP1359" i="1"/>
  <c r="AP1360" i="1"/>
  <c r="AP1361" i="1"/>
  <c r="AP1362" i="1"/>
  <c r="AP1363" i="1"/>
  <c r="AP1364" i="1"/>
  <c r="AP1365" i="1"/>
  <c r="AP1366" i="1"/>
  <c r="AP1367" i="1"/>
  <c r="AP1368" i="1"/>
  <c r="AP1369" i="1"/>
  <c r="AP1370" i="1"/>
  <c r="AP1371" i="1"/>
  <c r="AP1372" i="1"/>
  <c r="AP1373" i="1"/>
  <c r="AP1374" i="1"/>
  <c r="AP1375" i="1"/>
  <c r="AP1376" i="1"/>
  <c r="AP1377" i="1"/>
  <c r="AP1378" i="1"/>
  <c r="AP1379" i="1"/>
  <c r="AP1380" i="1"/>
  <c r="AP1381" i="1"/>
  <c r="AP1382" i="1"/>
  <c r="AP1383" i="1"/>
  <c r="AP1384" i="1"/>
  <c r="AP1385" i="1"/>
  <c r="AP1386" i="1"/>
  <c r="AP1387" i="1"/>
  <c r="AP1388" i="1"/>
  <c r="AP1389" i="1"/>
  <c r="AP1390" i="1"/>
  <c r="AP1391" i="1"/>
  <c r="AP1392" i="1"/>
  <c r="AP1393" i="1"/>
  <c r="AP1394" i="1"/>
  <c r="AP1395" i="1"/>
  <c r="AP1396" i="1"/>
  <c r="AP1397" i="1"/>
  <c r="AP1398" i="1"/>
  <c r="AP1399" i="1"/>
  <c r="AP1400" i="1"/>
  <c r="AP1401" i="1"/>
  <c r="AP1402" i="1"/>
  <c r="AP1403" i="1"/>
  <c r="AP1404" i="1"/>
  <c r="AP1405" i="1"/>
  <c r="AP1406" i="1"/>
  <c r="AP1407" i="1"/>
  <c r="AP1408" i="1"/>
  <c r="AP1409" i="1"/>
  <c r="AP1410" i="1"/>
  <c r="AP1411" i="1"/>
  <c r="AP1412" i="1"/>
  <c r="AP1413" i="1"/>
  <c r="AP1414" i="1"/>
  <c r="AP1415" i="1"/>
  <c r="AP1416" i="1"/>
  <c r="AP1417" i="1"/>
  <c r="AP1418" i="1"/>
  <c r="AP1419" i="1"/>
  <c r="AP1420" i="1"/>
  <c r="AP1421" i="1"/>
  <c r="AP1422" i="1"/>
  <c r="AP1423" i="1"/>
  <c r="AP1424" i="1"/>
  <c r="AP1425" i="1"/>
  <c r="AP1426" i="1"/>
  <c r="AP1427" i="1"/>
  <c r="AP1428" i="1"/>
  <c r="AP1429" i="1"/>
  <c r="AP1430" i="1"/>
  <c r="AP1431" i="1"/>
  <c r="AP1432" i="1"/>
  <c r="AP1433" i="1"/>
  <c r="AP1434" i="1"/>
  <c r="AP1435" i="1"/>
  <c r="AP1436" i="1"/>
  <c r="AP1437" i="1"/>
  <c r="AP1438" i="1"/>
  <c r="AP1439" i="1"/>
  <c r="AP1440" i="1"/>
  <c r="AP1441" i="1"/>
  <c r="AP1442" i="1"/>
  <c r="AP1443" i="1"/>
  <c r="AP1444" i="1"/>
  <c r="AP1445" i="1"/>
  <c r="AP1446" i="1"/>
  <c r="AP1447" i="1"/>
  <c r="AP1448" i="1"/>
  <c r="AP1449" i="1"/>
  <c r="AP1450" i="1"/>
  <c r="AP1451" i="1"/>
  <c r="AP1452" i="1"/>
  <c r="AP1453" i="1"/>
  <c r="AP1454" i="1"/>
  <c r="AP1455" i="1"/>
  <c r="AP1456" i="1"/>
  <c r="AP1457" i="1"/>
  <c r="AP1458" i="1"/>
  <c r="AP1459" i="1"/>
  <c r="AP1460" i="1"/>
  <c r="AP1461" i="1"/>
  <c r="AP1462" i="1"/>
  <c r="AP1463" i="1"/>
  <c r="AP1464" i="1"/>
  <c r="AP1465" i="1"/>
  <c r="AP1466" i="1"/>
  <c r="AP1467" i="1"/>
  <c r="AP1468" i="1"/>
  <c r="AP1469" i="1"/>
  <c r="AP1470" i="1"/>
  <c r="AP1471" i="1"/>
  <c r="AP1472" i="1"/>
  <c r="AP1473" i="1"/>
  <c r="AP1474" i="1"/>
  <c r="AP1475" i="1"/>
  <c r="AP1476" i="1"/>
  <c r="AP1477" i="1"/>
  <c r="AP1478" i="1"/>
  <c r="AP1479" i="1"/>
  <c r="AP1480" i="1"/>
  <c r="AP1481" i="1"/>
  <c r="AP1482" i="1"/>
  <c r="AP1483" i="1"/>
  <c r="AP1484" i="1"/>
  <c r="AP1485" i="1"/>
  <c r="AP1486" i="1"/>
  <c r="AP1487" i="1"/>
  <c r="AP1488" i="1"/>
  <c r="AP1489" i="1"/>
  <c r="AP1490" i="1"/>
  <c r="AP1491" i="1"/>
  <c r="AP1492" i="1"/>
  <c r="AP1493" i="1"/>
  <c r="AP1494" i="1"/>
  <c r="AP1495" i="1"/>
  <c r="AP1496" i="1"/>
  <c r="AP1497" i="1"/>
  <c r="AP1498" i="1"/>
  <c r="AP1499" i="1"/>
  <c r="AP1500" i="1"/>
  <c r="AP1501" i="1"/>
  <c r="AP1502" i="1"/>
  <c r="AP1503" i="1"/>
  <c r="AP1504" i="1"/>
  <c r="AP1505" i="1"/>
  <c r="AP1506" i="1"/>
  <c r="AP1507" i="1"/>
  <c r="AP1508" i="1"/>
  <c r="AP1509" i="1"/>
  <c r="AP1510" i="1"/>
  <c r="AP1511" i="1"/>
  <c r="AP1512" i="1"/>
  <c r="AP1513" i="1"/>
  <c r="AP1514" i="1"/>
  <c r="AP1515" i="1"/>
  <c r="AP1516" i="1"/>
  <c r="AP1517" i="1"/>
  <c r="AP1518" i="1"/>
  <c r="AP1519" i="1"/>
  <c r="AP1520" i="1"/>
  <c r="AP1521" i="1"/>
  <c r="AP1522" i="1"/>
  <c r="AP1523" i="1"/>
  <c r="AP1524" i="1"/>
  <c r="AP1525" i="1"/>
  <c r="AP1526" i="1"/>
  <c r="AP1527" i="1"/>
  <c r="AP1528" i="1"/>
  <c r="AP1529" i="1"/>
  <c r="AP1530" i="1"/>
  <c r="AP1531" i="1"/>
  <c r="AP1532" i="1"/>
  <c r="AP1533" i="1"/>
  <c r="AP1534" i="1"/>
  <c r="AP1535" i="1"/>
  <c r="AP1536" i="1"/>
  <c r="AP1537" i="1"/>
  <c r="AP1538" i="1"/>
  <c r="AP1539" i="1"/>
  <c r="AP1540" i="1"/>
  <c r="AP1541" i="1"/>
  <c r="AP1542" i="1"/>
  <c r="AP1543" i="1"/>
  <c r="AP1544" i="1"/>
  <c r="AP1545" i="1"/>
  <c r="AP1546" i="1"/>
  <c r="AP1547" i="1"/>
  <c r="AP1548" i="1"/>
  <c r="AP1549" i="1"/>
  <c r="AP1550" i="1"/>
  <c r="AP1551" i="1"/>
  <c r="AP1552" i="1"/>
  <c r="AP1553" i="1"/>
  <c r="AP1554" i="1"/>
  <c r="AP1555" i="1"/>
  <c r="AP1556" i="1"/>
  <c r="AP1557" i="1"/>
  <c r="AP1558" i="1"/>
  <c r="AP1559" i="1"/>
  <c r="AP1560" i="1"/>
  <c r="AP1561" i="1"/>
  <c r="AP1562" i="1"/>
  <c r="AP1563" i="1"/>
  <c r="AP1564" i="1"/>
  <c r="AP1565" i="1"/>
  <c r="AP1566" i="1"/>
  <c r="AP1567" i="1"/>
  <c r="AP1568" i="1"/>
  <c r="AP1569" i="1"/>
  <c r="AP1570" i="1"/>
  <c r="AP1571" i="1"/>
  <c r="AP1572" i="1"/>
  <c r="AP1573" i="1"/>
  <c r="AP1574" i="1"/>
  <c r="AP1575" i="1"/>
  <c r="AP1576" i="1"/>
  <c r="AP1577" i="1"/>
  <c r="AP1578" i="1"/>
  <c r="AP1579" i="1"/>
  <c r="AP1580" i="1"/>
  <c r="AP1581" i="1"/>
  <c r="AP1582" i="1"/>
  <c r="AP1583" i="1"/>
  <c r="AP1584" i="1"/>
  <c r="AP1585" i="1"/>
  <c r="AP1586" i="1"/>
  <c r="AP1587" i="1"/>
  <c r="AP1588" i="1"/>
  <c r="AP1589" i="1"/>
  <c r="AP1590" i="1"/>
  <c r="AP1591" i="1"/>
  <c r="AP1592" i="1"/>
  <c r="AP1593" i="1"/>
  <c r="AP1594" i="1"/>
  <c r="AP1595" i="1"/>
  <c r="AP1596" i="1"/>
  <c r="AP1597" i="1"/>
  <c r="AP1598" i="1"/>
  <c r="AP1599" i="1"/>
  <c r="AP1600" i="1"/>
  <c r="AP1601" i="1"/>
  <c r="AP1602" i="1"/>
  <c r="AP1603" i="1"/>
  <c r="AP1604" i="1"/>
  <c r="AP1605" i="1"/>
  <c r="AP1606" i="1"/>
  <c r="AP1607" i="1"/>
  <c r="AP1608" i="1"/>
  <c r="AP1609" i="1"/>
  <c r="AP1610" i="1"/>
  <c r="AP1611" i="1"/>
  <c r="AP1612" i="1"/>
  <c r="AP1613" i="1"/>
  <c r="AP1614" i="1"/>
  <c r="AP1615" i="1"/>
  <c r="AP1616" i="1"/>
  <c r="AP1617" i="1"/>
  <c r="AP1618" i="1"/>
  <c r="AP1619" i="1"/>
  <c r="AP1620" i="1"/>
  <c r="AP1621" i="1"/>
  <c r="AP1622" i="1"/>
  <c r="AP1623" i="1"/>
  <c r="AP1624" i="1"/>
  <c r="AP1625" i="1"/>
  <c r="AP1626" i="1"/>
  <c r="AP1627" i="1"/>
  <c r="AP1628" i="1"/>
  <c r="AP1629" i="1"/>
  <c r="AP1630" i="1"/>
  <c r="AP1631" i="1"/>
  <c r="AP1632" i="1"/>
  <c r="AP1633" i="1"/>
  <c r="AP1634" i="1"/>
  <c r="AP1635" i="1"/>
  <c r="AP1636" i="1"/>
  <c r="AP1637" i="1"/>
  <c r="AP1638" i="1"/>
  <c r="AP1639" i="1"/>
  <c r="AP1640" i="1"/>
  <c r="AP1641" i="1"/>
  <c r="AP1642" i="1"/>
  <c r="AP1643" i="1"/>
  <c r="AP1644" i="1"/>
  <c r="AP1645" i="1"/>
  <c r="AP1646" i="1"/>
  <c r="AP1647" i="1"/>
  <c r="AP1648" i="1"/>
  <c r="AP1649" i="1"/>
  <c r="AP1650" i="1"/>
  <c r="AP1651" i="1"/>
  <c r="AP1652" i="1"/>
  <c r="AP1653" i="1"/>
  <c r="AP1654" i="1"/>
  <c r="AP1655" i="1"/>
  <c r="AP1656" i="1"/>
  <c r="AP1657" i="1"/>
  <c r="AP1658" i="1"/>
  <c r="AP1659" i="1"/>
  <c r="AP1660" i="1"/>
  <c r="AP1661" i="1"/>
  <c r="AP1662" i="1"/>
  <c r="AP1663" i="1"/>
  <c r="AP1664" i="1"/>
  <c r="AP1665" i="1"/>
  <c r="AP1666" i="1"/>
  <c r="AP1667" i="1"/>
  <c r="AP1668" i="1"/>
  <c r="AP1669" i="1"/>
  <c r="AP1670" i="1"/>
  <c r="AP1671" i="1"/>
  <c r="AP1672" i="1"/>
  <c r="AP1673" i="1"/>
  <c r="AP1674" i="1"/>
  <c r="AP1675" i="1"/>
  <c r="AP1676" i="1"/>
  <c r="AP1677" i="1"/>
  <c r="AP1678" i="1"/>
  <c r="AP1679" i="1"/>
  <c r="AP1680" i="1"/>
  <c r="AP1681" i="1"/>
  <c r="AP1682" i="1"/>
  <c r="AP1683" i="1"/>
  <c r="AP1684" i="1"/>
  <c r="AP1685" i="1"/>
  <c r="AP1686" i="1"/>
  <c r="AP1687" i="1"/>
  <c r="AP1688" i="1"/>
  <c r="AP1689" i="1"/>
  <c r="AP1690" i="1"/>
  <c r="AP1691" i="1"/>
  <c r="AP1692" i="1"/>
  <c r="AP1693" i="1"/>
  <c r="AP1694" i="1"/>
  <c r="AP1695" i="1"/>
  <c r="AP1696" i="1"/>
  <c r="AP1697" i="1"/>
  <c r="AP1698" i="1"/>
  <c r="AP1699" i="1"/>
  <c r="AP1700" i="1"/>
  <c r="AP1701" i="1"/>
  <c r="AP1702" i="1"/>
  <c r="AP1703" i="1"/>
  <c r="AP1704" i="1"/>
  <c r="AP1705" i="1"/>
  <c r="AP1706" i="1"/>
  <c r="AB1706" i="1"/>
  <c r="M33" i="4"/>
  <c r="M32" i="4"/>
  <c r="M31" i="4"/>
  <c r="M35" i="4"/>
  <c r="M7" i="4" s="1"/>
  <c r="M36" i="4"/>
  <c r="M38" i="4"/>
  <c r="M14" i="4" s="1"/>
  <c r="M8" i="4"/>
  <c r="M9" i="4"/>
  <c r="M10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4" i="4"/>
  <c r="M3" i="4"/>
  <c r="M2" i="4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200" i="1"/>
  <c r="AN201" i="1"/>
  <c r="AN202" i="1"/>
  <c r="AN203" i="1"/>
  <c r="AN204" i="1"/>
  <c r="AN205" i="1"/>
  <c r="AN206" i="1"/>
  <c r="AN208" i="1"/>
  <c r="AN209" i="1"/>
  <c r="AN210" i="1"/>
  <c r="AN211" i="1"/>
  <c r="AN212" i="1"/>
  <c r="AN213" i="1"/>
  <c r="AN214" i="1"/>
  <c r="AN216" i="1"/>
  <c r="AN217" i="1"/>
  <c r="AN218" i="1"/>
  <c r="AN219" i="1"/>
  <c r="AN220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8" i="1"/>
  <c r="AN269" i="1"/>
  <c r="AN272" i="1"/>
  <c r="AN273" i="1"/>
  <c r="AN274" i="1"/>
  <c r="AN275" i="1"/>
  <c r="AN276" i="1"/>
  <c r="AN277" i="1"/>
  <c r="AN278" i="1"/>
  <c r="AN279" i="1"/>
  <c r="AN280" i="1"/>
  <c r="AN281" i="1"/>
  <c r="AN283" i="1"/>
  <c r="AN284" i="1"/>
  <c r="AN285" i="1"/>
  <c r="AN286" i="1"/>
  <c r="AN287" i="1"/>
  <c r="AN288" i="1"/>
  <c r="AN289" i="1"/>
  <c r="AN291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5" i="1"/>
  <c r="AN316" i="1"/>
  <c r="AN318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1" i="1"/>
  <c r="AN342" i="1"/>
  <c r="AN343" i="1"/>
  <c r="AN344" i="1"/>
  <c r="AN345" i="1"/>
  <c r="AN346" i="1"/>
  <c r="AN347" i="1"/>
  <c r="AN348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70" i="1"/>
  <c r="AN372" i="1"/>
  <c r="AN373" i="1"/>
  <c r="AN374" i="1"/>
  <c r="AN375" i="1"/>
  <c r="AN376" i="1"/>
  <c r="AN377" i="1"/>
  <c r="AN378" i="1"/>
  <c r="AN379" i="1"/>
  <c r="AN380" i="1"/>
  <c r="AN381" i="1"/>
  <c r="AN384" i="1"/>
  <c r="AN385" i="1"/>
  <c r="AN386" i="1"/>
  <c r="AN387" i="1"/>
  <c r="AN388" i="1"/>
  <c r="AN389" i="1"/>
  <c r="AN390" i="1"/>
  <c r="AN391" i="1"/>
  <c r="AN392" i="1"/>
  <c r="AN393" i="1"/>
  <c r="AN395" i="1"/>
  <c r="AN396" i="1"/>
  <c r="AN397" i="1"/>
  <c r="AN399" i="1"/>
  <c r="AN400" i="1"/>
  <c r="AN401" i="1"/>
  <c r="AN403" i="1"/>
  <c r="AN405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30" i="1"/>
  <c r="AN432" i="1"/>
  <c r="AN433" i="1"/>
  <c r="AN434" i="1"/>
  <c r="AN435" i="1"/>
  <c r="AN436" i="1"/>
  <c r="AN437" i="1"/>
  <c r="AN438" i="1"/>
  <c r="AN439" i="1"/>
  <c r="AN440" i="1"/>
  <c r="AN442" i="1"/>
  <c r="AN443" i="1"/>
  <c r="AN444" i="1"/>
  <c r="AN445" i="1"/>
  <c r="AN446" i="1"/>
  <c r="AN448" i="1"/>
  <c r="AN449" i="1"/>
  <c r="AN450" i="1"/>
  <c r="AN451" i="1"/>
  <c r="AN453" i="1"/>
  <c r="AN454" i="1"/>
  <c r="AN455" i="1"/>
  <c r="AN456" i="1"/>
  <c r="AN457" i="1"/>
  <c r="AN458" i="1"/>
  <c r="AN459" i="1"/>
  <c r="AN460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2" i="1"/>
  <c r="AN483" i="1"/>
  <c r="AN484" i="1"/>
  <c r="AN486" i="1"/>
  <c r="AN487" i="1"/>
  <c r="AN488" i="1"/>
  <c r="AN489" i="1"/>
  <c r="AN490" i="1"/>
  <c r="AN491" i="1"/>
  <c r="AN492" i="1"/>
  <c r="AN495" i="1"/>
  <c r="AN496" i="1"/>
  <c r="AN497" i="1"/>
  <c r="AN498" i="1"/>
  <c r="AN499" i="1"/>
  <c r="AN500" i="1"/>
  <c r="AN501" i="1"/>
  <c r="AN502" i="1"/>
  <c r="AN506" i="1"/>
  <c r="AN507" i="1"/>
  <c r="AN508" i="1"/>
  <c r="AN510" i="1"/>
  <c r="AN511" i="1"/>
  <c r="AN513" i="1"/>
  <c r="AN518" i="1"/>
  <c r="AN519" i="1"/>
  <c r="AN523" i="1"/>
  <c r="AN524" i="1"/>
  <c r="AN525" i="1"/>
  <c r="AN526" i="1"/>
  <c r="AN527" i="1"/>
  <c r="AN528" i="1"/>
  <c r="AN529" i="1"/>
  <c r="AN530" i="1"/>
  <c r="AN532" i="1"/>
  <c r="AN533" i="1"/>
  <c r="AN534" i="1"/>
  <c r="AN535" i="1"/>
  <c r="AN536" i="1"/>
  <c r="AN537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9" i="1"/>
  <c r="AN580" i="1"/>
  <c r="AN581" i="1"/>
  <c r="AN582" i="1"/>
  <c r="AN583" i="1"/>
  <c r="AN584" i="1"/>
  <c r="AN585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2" i="1"/>
  <c r="AN623" i="1"/>
  <c r="AN624" i="1"/>
  <c r="AN625" i="1"/>
  <c r="AN627" i="1"/>
  <c r="AN628" i="1"/>
  <c r="AN629" i="1"/>
  <c r="AN630" i="1"/>
  <c r="AN632" i="1"/>
  <c r="AN633" i="1"/>
  <c r="AN634" i="1"/>
  <c r="AN636" i="1"/>
  <c r="AN637" i="1"/>
  <c r="AN638" i="1"/>
  <c r="AN639" i="1"/>
  <c r="AN640" i="1"/>
  <c r="AN641" i="1"/>
  <c r="AN642" i="1"/>
  <c r="AN643" i="1"/>
  <c r="AN644" i="1"/>
  <c r="AN645" i="1"/>
  <c r="AN647" i="1"/>
  <c r="AN648" i="1"/>
  <c r="AN649" i="1"/>
  <c r="AN650" i="1"/>
  <c r="AN651" i="1"/>
  <c r="AN652" i="1"/>
  <c r="AN653" i="1"/>
  <c r="AN654" i="1"/>
  <c r="AN655" i="1"/>
  <c r="AN657" i="1"/>
  <c r="AN658" i="1"/>
  <c r="AN659" i="1"/>
  <c r="AN660" i="1"/>
  <c r="AN662" i="1"/>
  <c r="AN663" i="1"/>
  <c r="AN664" i="1"/>
  <c r="AN665" i="1"/>
  <c r="AN666" i="1"/>
  <c r="AN667" i="1"/>
  <c r="AN668" i="1"/>
  <c r="AN669" i="1"/>
  <c r="AN670" i="1"/>
  <c r="AN671" i="1"/>
  <c r="AN673" i="1"/>
  <c r="AN674" i="1"/>
  <c r="AN675" i="1"/>
  <c r="AN676" i="1"/>
  <c r="AN677" i="1"/>
  <c r="AN678" i="1"/>
  <c r="AN679" i="1"/>
  <c r="AN681" i="1"/>
  <c r="AN682" i="1"/>
  <c r="AN683" i="1"/>
  <c r="AN684" i="1"/>
  <c r="AN686" i="1"/>
  <c r="AN688" i="1"/>
  <c r="AN689" i="1"/>
  <c r="AN690" i="1"/>
  <c r="AN691" i="1"/>
  <c r="AN692" i="1"/>
  <c r="AN693" i="1"/>
  <c r="AN694" i="1"/>
  <c r="AN696" i="1"/>
  <c r="AN697" i="1"/>
  <c r="AN700" i="1"/>
  <c r="AN701" i="1"/>
  <c r="AN702" i="1"/>
  <c r="AN703" i="1"/>
  <c r="AN704" i="1"/>
  <c r="AN705" i="1"/>
  <c r="AN706" i="1"/>
  <c r="AN707" i="1"/>
  <c r="AN709" i="1"/>
  <c r="AN710" i="1"/>
  <c r="AN712" i="1"/>
  <c r="AN716" i="1"/>
  <c r="AN720" i="1"/>
  <c r="AN721" i="1"/>
  <c r="AN722" i="1"/>
  <c r="AN723" i="1"/>
  <c r="AN724" i="1"/>
  <c r="AN727" i="1"/>
  <c r="AN728" i="1"/>
  <c r="AN731" i="1"/>
  <c r="AN732" i="1"/>
  <c r="AN733" i="1"/>
  <c r="AN737" i="1"/>
  <c r="AN738" i="1"/>
  <c r="AN739" i="1"/>
  <c r="AN740" i="1"/>
  <c r="AN742" i="1"/>
  <c r="AN747" i="1"/>
  <c r="AN748" i="1"/>
  <c r="AN749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72" i="1"/>
  <c r="AN773" i="1"/>
  <c r="AN774" i="1"/>
  <c r="AN775" i="1"/>
  <c r="AN778" i="1"/>
  <c r="AN779" i="1"/>
  <c r="AN780" i="1"/>
  <c r="AN782" i="1"/>
  <c r="AN787" i="1"/>
  <c r="AN788" i="1"/>
  <c r="AN790" i="1"/>
  <c r="AN791" i="1"/>
  <c r="AN792" i="1"/>
  <c r="AN793" i="1"/>
  <c r="AN794" i="1"/>
  <c r="AN795" i="1"/>
  <c r="AN796" i="1"/>
  <c r="AN797" i="1"/>
  <c r="AN798" i="1"/>
  <c r="AN800" i="1"/>
  <c r="AN803" i="1"/>
  <c r="AN804" i="1"/>
  <c r="AN805" i="1"/>
  <c r="AN811" i="1"/>
  <c r="AN812" i="1"/>
  <c r="AN815" i="1"/>
  <c r="AN816" i="1"/>
  <c r="AN818" i="1"/>
  <c r="AN819" i="1"/>
  <c r="AN820" i="1"/>
  <c r="AN821" i="1"/>
  <c r="AN822" i="1"/>
  <c r="AN823" i="1"/>
  <c r="AN824" i="1"/>
  <c r="AN826" i="1"/>
  <c r="AN827" i="1"/>
  <c r="AN828" i="1"/>
  <c r="AN829" i="1"/>
  <c r="AN832" i="1"/>
  <c r="AN835" i="1"/>
  <c r="AN836" i="1"/>
  <c r="AN837" i="1"/>
  <c r="AN839" i="1"/>
  <c r="AN840" i="1"/>
  <c r="AN841" i="1"/>
  <c r="AN844" i="1"/>
  <c r="AN845" i="1"/>
  <c r="AN846" i="1"/>
  <c r="AN847" i="1"/>
  <c r="AN848" i="1"/>
  <c r="AN851" i="1"/>
  <c r="AN853" i="1"/>
  <c r="AN856" i="1"/>
  <c r="AN857" i="1"/>
  <c r="AN858" i="1"/>
  <c r="AN859" i="1"/>
  <c r="AN860" i="1"/>
  <c r="AN861" i="1"/>
  <c r="AN862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2" i="1"/>
  <c r="AN886" i="1"/>
  <c r="AN887" i="1"/>
  <c r="AN888" i="1"/>
  <c r="AN889" i="1"/>
  <c r="AN890" i="1"/>
  <c r="AN891" i="1"/>
  <c r="AN892" i="1"/>
  <c r="AN893" i="1"/>
  <c r="AN896" i="1"/>
  <c r="AN897" i="1"/>
  <c r="AN898" i="1"/>
  <c r="AN899" i="1"/>
  <c r="AN902" i="1"/>
  <c r="AN907" i="1"/>
  <c r="AN908" i="1"/>
  <c r="AN910" i="1"/>
  <c r="AN911" i="1"/>
  <c r="AN912" i="1"/>
  <c r="AN913" i="1"/>
  <c r="AN915" i="1"/>
  <c r="AN916" i="1"/>
  <c r="AN917" i="1"/>
  <c r="AN920" i="1"/>
  <c r="AN922" i="1"/>
  <c r="AN924" i="1"/>
  <c r="AN925" i="1"/>
  <c r="AN926" i="1"/>
  <c r="AN928" i="1"/>
  <c r="AN929" i="1"/>
  <c r="AN930" i="1"/>
  <c r="AN931" i="1"/>
  <c r="AN933" i="1"/>
  <c r="AN934" i="1"/>
  <c r="AN935" i="1"/>
  <c r="AN936" i="1"/>
  <c r="AN937" i="1"/>
  <c r="AN939" i="1"/>
  <c r="AN940" i="1"/>
  <c r="AN941" i="1"/>
  <c r="AN942" i="1"/>
  <c r="AN943" i="1"/>
  <c r="AN944" i="1"/>
  <c r="AN945" i="1"/>
  <c r="AN946" i="1"/>
  <c r="AN947" i="1"/>
  <c r="AN950" i="1"/>
  <c r="AN951" i="1"/>
  <c r="AN952" i="1"/>
  <c r="AN956" i="1"/>
  <c r="AN957" i="1"/>
  <c r="AN958" i="1"/>
  <c r="AN959" i="1"/>
  <c r="AN960" i="1"/>
  <c r="AN961" i="1"/>
  <c r="AN965" i="1"/>
  <c r="AN966" i="1"/>
  <c r="AN967" i="1"/>
  <c r="AN968" i="1"/>
  <c r="AN969" i="1"/>
  <c r="AN970" i="1"/>
  <c r="AN971" i="1"/>
  <c r="AN972" i="1"/>
  <c r="AN974" i="1"/>
  <c r="AN975" i="1"/>
  <c r="AN976" i="1"/>
  <c r="AN977" i="1"/>
  <c r="AN979" i="1"/>
  <c r="AN981" i="1"/>
  <c r="AN982" i="1"/>
  <c r="AN983" i="1"/>
  <c r="AN985" i="1"/>
  <c r="AN986" i="1"/>
  <c r="AN988" i="1"/>
  <c r="AN989" i="1"/>
  <c r="AN991" i="1"/>
  <c r="AN993" i="1"/>
  <c r="AN994" i="1"/>
  <c r="AN995" i="1"/>
  <c r="AN996" i="1"/>
  <c r="AN997" i="1"/>
  <c r="AN998" i="1"/>
  <c r="AN999" i="1"/>
  <c r="AN1002" i="1"/>
  <c r="AN1003" i="1"/>
  <c r="AN1004" i="1"/>
  <c r="AN1006" i="1"/>
  <c r="AN1007" i="1"/>
  <c r="AN1010" i="1"/>
  <c r="AN1011" i="1"/>
  <c r="AN1012" i="1"/>
  <c r="AN1013" i="1"/>
  <c r="AN1014" i="1"/>
  <c r="AN1015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8" i="1"/>
  <c r="AN1039" i="1"/>
  <c r="AN1041" i="1"/>
  <c r="AN1042" i="1"/>
  <c r="AN1045" i="1"/>
  <c r="AN1049" i="1"/>
  <c r="AN1052" i="1"/>
  <c r="AN1053" i="1"/>
  <c r="AN1055" i="1"/>
  <c r="AN1059" i="1"/>
  <c r="AN1060" i="1"/>
  <c r="AN1062" i="1"/>
  <c r="AN1064" i="1"/>
  <c r="AN1065" i="1"/>
  <c r="AN1066" i="1"/>
  <c r="AN1068" i="1"/>
  <c r="AN1069" i="1"/>
  <c r="AN1070" i="1"/>
  <c r="AN1075" i="1"/>
  <c r="AN1076" i="1"/>
  <c r="AN1077" i="1"/>
  <c r="AN1078" i="1"/>
  <c r="AN1079" i="1"/>
  <c r="AN1081" i="1"/>
  <c r="AN1082" i="1"/>
  <c r="AN1084" i="1"/>
  <c r="AN1085" i="1"/>
  <c r="AN1086" i="1"/>
  <c r="AN1087" i="1"/>
  <c r="AN1089" i="1"/>
  <c r="AN1090" i="1"/>
  <c r="AN1091" i="1"/>
  <c r="AN1092" i="1"/>
  <c r="AN1093" i="1"/>
  <c r="AN1096" i="1"/>
  <c r="AN1097" i="1"/>
  <c r="AN1098" i="1"/>
  <c r="AN1099" i="1"/>
  <c r="AN1100" i="1"/>
  <c r="AN1101" i="1"/>
  <c r="AN1103" i="1"/>
  <c r="AN1105" i="1"/>
  <c r="AN1107" i="1"/>
  <c r="AN1109" i="1"/>
  <c r="AN1111" i="1"/>
  <c r="AN1113" i="1"/>
  <c r="AN1115" i="1"/>
  <c r="AN1116" i="1"/>
  <c r="AN1118" i="1"/>
  <c r="AN1121" i="1"/>
  <c r="AN1122" i="1"/>
  <c r="AN1123" i="1"/>
  <c r="AN1124" i="1"/>
  <c r="AN1125" i="1"/>
  <c r="AN1127" i="1"/>
  <c r="AN1128" i="1"/>
  <c r="AN1129" i="1"/>
  <c r="AN1131" i="1"/>
  <c r="AN1132" i="1"/>
  <c r="AN1137" i="1"/>
  <c r="AN1138" i="1"/>
  <c r="AN1140" i="1"/>
  <c r="AN1141" i="1"/>
  <c r="AN1142" i="1"/>
  <c r="AN1145" i="1"/>
  <c r="AN1146" i="1"/>
  <c r="AN1148" i="1"/>
  <c r="AN1149" i="1"/>
  <c r="AN1150" i="1"/>
  <c r="AN1152" i="1"/>
  <c r="AN1153" i="1"/>
  <c r="AN1154" i="1"/>
  <c r="AN1156" i="1"/>
  <c r="AN1157" i="1"/>
  <c r="AN1158" i="1"/>
  <c r="AN1160" i="1"/>
  <c r="AN1161" i="1"/>
  <c r="AN1163" i="1"/>
  <c r="AN1169" i="1"/>
  <c r="AN1170" i="1"/>
  <c r="AN1171" i="1"/>
  <c r="AN1172" i="1"/>
  <c r="AN1176" i="1"/>
  <c r="AN1178" i="1"/>
  <c r="AN1180" i="1"/>
  <c r="AN1181" i="1"/>
  <c r="AN1182" i="1"/>
  <c r="AN1183" i="1"/>
  <c r="AN1184" i="1"/>
  <c r="AN1185" i="1"/>
  <c r="AN1186" i="1"/>
  <c r="AN1188" i="1"/>
  <c r="AN1189" i="1"/>
  <c r="AN1190" i="1"/>
  <c r="AN1191" i="1"/>
  <c r="AN1192" i="1"/>
  <c r="AN1193" i="1"/>
  <c r="AN1194" i="1"/>
  <c r="AN1195" i="1"/>
  <c r="AN1196" i="1"/>
  <c r="AN1197" i="1"/>
  <c r="AN1204" i="1"/>
  <c r="AN1205" i="1"/>
  <c r="AN1206" i="1"/>
  <c r="AN1207" i="1"/>
  <c r="AN1212" i="1"/>
  <c r="AN1214" i="1"/>
  <c r="AN1215" i="1"/>
  <c r="AN1217" i="1"/>
  <c r="AN1218" i="1"/>
  <c r="AN1219" i="1"/>
  <c r="AN1221" i="1"/>
  <c r="AN1222" i="1"/>
  <c r="AN1225" i="1"/>
  <c r="AN1228" i="1"/>
  <c r="AN1229" i="1"/>
  <c r="AN1231" i="1"/>
  <c r="AN1234" i="1"/>
  <c r="AN1235" i="1"/>
  <c r="AN1237" i="1"/>
  <c r="AN1239" i="1"/>
  <c r="AN1243" i="1"/>
  <c r="AN1244" i="1"/>
  <c r="AN1245" i="1"/>
  <c r="AN1248" i="1"/>
  <c r="AN1249" i="1"/>
  <c r="AN1250" i="1"/>
  <c r="AN1251" i="1"/>
  <c r="AN1253" i="1"/>
  <c r="AN1254" i="1"/>
  <c r="AN1255" i="1"/>
  <c r="AN1257" i="1"/>
  <c r="AN1258" i="1"/>
  <c r="AN1259" i="1"/>
  <c r="AN1260" i="1"/>
  <c r="AN1267" i="1"/>
  <c r="AN1269" i="1"/>
  <c r="AN1270" i="1"/>
  <c r="AN1273" i="1"/>
  <c r="AN1275" i="1"/>
  <c r="AN1276" i="1"/>
  <c r="AN1277" i="1"/>
  <c r="AN1278" i="1"/>
  <c r="AN1279" i="1"/>
  <c r="AN1283" i="1"/>
  <c r="AN1284" i="1"/>
  <c r="AN1286" i="1"/>
  <c r="AN1290" i="1"/>
  <c r="AN1291" i="1"/>
  <c r="AN1292" i="1"/>
  <c r="AN1293" i="1"/>
  <c r="AN1294" i="1"/>
  <c r="AN1298" i="1"/>
  <c r="AN1299" i="1"/>
  <c r="AN1302" i="1"/>
  <c r="AN1303" i="1"/>
  <c r="AN1305" i="1"/>
  <c r="AN1310" i="1"/>
  <c r="AN1311" i="1"/>
  <c r="AN1317" i="1"/>
  <c r="AN1323" i="1"/>
  <c r="AN1324" i="1"/>
  <c r="AN1325" i="1"/>
  <c r="AN1326" i="1"/>
  <c r="AN1330" i="1"/>
  <c r="AN1331" i="1"/>
  <c r="AN1332" i="1"/>
  <c r="AN1333" i="1"/>
  <c r="AN1334" i="1"/>
  <c r="AN1335" i="1"/>
  <c r="AN1340" i="1"/>
  <c r="AN1348" i="1"/>
  <c r="AN1349" i="1"/>
  <c r="AN1350" i="1"/>
  <c r="AN1351" i="1"/>
  <c r="AN1352" i="1"/>
  <c r="AN1353" i="1"/>
  <c r="AN1355" i="1"/>
  <c r="AN1356" i="1"/>
  <c r="AN1363" i="1"/>
  <c r="AN1364" i="1"/>
  <c r="AN1365" i="1"/>
  <c r="AN1366" i="1"/>
  <c r="AN1367" i="1"/>
  <c r="AN1368" i="1"/>
  <c r="AN1369" i="1"/>
  <c r="AN1370" i="1"/>
  <c r="AN1371" i="1"/>
  <c r="AN1382" i="1"/>
  <c r="AN1383" i="1"/>
  <c r="AN1388" i="1"/>
  <c r="AN1402" i="1"/>
  <c r="AN1404" i="1"/>
  <c r="AN1406" i="1"/>
  <c r="AN1407" i="1"/>
  <c r="AN1412" i="1"/>
  <c r="AN1413" i="1"/>
  <c r="AN1414" i="1"/>
  <c r="AN1415" i="1"/>
  <c r="AN1417" i="1"/>
  <c r="AN1420" i="1"/>
  <c r="AN1421" i="1"/>
  <c r="AN1423" i="1"/>
  <c r="AN1426" i="1"/>
  <c r="AN1428" i="1"/>
  <c r="AN1429" i="1"/>
  <c r="AN1430" i="1"/>
  <c r="AN1434" i="1"/>
  <c r="AN1435" i="1"/>
  <c r="AN1436" i="1"/>
  <c r="AN1437" i="1"/>
  <c r="AN1439" i="1"/>
  <c r="AN1440" i="1"/>
  <c r="AN1441" i="1"/>
  <c r="AN1442" i="1"/>
  <c r="AN1443" i="1"/>
  <c r="AN1445" i="1"/>
  <c r="AN1447" i="1"/>
  <c r="AN1448" i="1"/>
  <c r="AN1449" i="1"/>
  <c r="AN1450" i="1"/>
  <c r="AN1452" i="1"/>
  <c r="AN1454" i="1"/>
  <c r="AN1455" i="1"/>
  <c r="AN1457" i="1"/>
  <c r="AN1459" i="1"/>
  <c r="AN1461" i="1"/>
  <c r="AN1463" i="1"/>
  <c r="AN1464" i="1"/>
  <c r="AN1465" i="1"/>
  <c r="AN1468" i="1"/>
  <c r="AN1469" i="1"/>
  <c r="AN1470" i="1"/>
  <c r="AN1472" i="1"/>
  <c r="AN1473" i="1"/>
  <c r="AN1474" i="1"/>
  <c r="AN1475" i="1"/>
  <c r="AN1476" i="1"/>
  <c r="AN1477" i="1"/>
  <c r="AN1478" i="1"/>
  <c r="AN1479" i="1"/>
  <c r="AN1480" i="1"/>
  <c r="AN1482" i="1"/>
  <c r="AN1484" i="1"/>
  <c r="AN1485" i="1"/>
  <c r="AN1486" i="1"/>
  <c r="AN1491" i="1"/>
  <c r="AN1492" i="1"/>
  <c r="AN1493" i="1"/>
  <c r="AN1494" i="1"/>
  <c r="AN1495" i="1"/>
  <c r="AN1497" i="1"/>
  <c r="AN1500" i="1"/>
  <c r="AN1501" i="1"/>
  <c r="AN1502" i="1"/>
  <c r="AN1507" i="1"/>
  <c r="AN1509" i="1"/>
  <c r="AN1510" i="1"/>
  <c r="AN1511" i="1"/>
  <c r="AN1512" i="1"/>
  <c r="AN1513" i="1"/>
  <c r="AN1514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30" i="1"/>
  <c r="AN1531" i="1"/>
  <c r="AN1533" i="1"/>
  <c r="AN1534" i="1"/>
  <c r="AN1535" i="1"/>
  <c r="AN1536" i="1"/>
  <c r="AN1537" i="1"/>
  <c r="AN1538" i="1"/>
  <c r="AN1539" i="1"/>
  <c r="AN1540" i="1"/>
  <c r="AN1541" i="1"/>
  <c r="AN1542" i="1"/>
  <c r="AN1544" i="1"/>
  <c r="AN1545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9" i="1"/>
  <c r="AN1561" i="1"/>
  <c r="AN1562" i="1"/>
  <c r="AN1563" i="1"/>
  <c r="AN1564" i="1"/>
  <c r="AN1565" i="1"/>
  <c r="AN1566" i="1"/>
  <c r="AN1567" i="1"/>
  <c r="AN1569" i="1"/>
  <c r="AN1570" i="1"/>
  <c r="AN1572" i="1"/>
  <c r="AN1573" i="1"/>
  <c r="AN1575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701" i="1"/>
  <c r="AO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200" i="1"/>
  <c r="AO201" i="1"/>
  <c r="AO202" i="1"/>
  <c r="AO203" i="1"/>
  <c r="AO204" i="1"/>
  <c r="AO205" i="1"/>
  <c r="AO206" i="1"/>
  <c r="AO208" i="1"/>
  <c r="AO209" i="1"/>
  <c r="AO210" i="1"/>
  <c r="AO211" i="1"/>
  <c r="AO212" i="1"/>
  <c r="AO213" i="1"/>
  <c r="AO214" i="1"/>
  <c r="AO216" i="1"/>
  <c r="AO217" i="1"/>
  <c r="AO218" i="1"/>
  <c r="AO219" i="1"/>
  <c r="AO220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7" i="1"/>
  <c r="AO269" i="1"/>
  <c r="AO272" i="1"/>
  <c r="AO273" i="1"/>
  <c r="AO274" i="1"/>
  <c r="AO275" i="1"/>
  <c r="AO276" i="1"/>
  <c r="AO277" i="1"/>
  <c r="AO278" i="1"/>
  <c r="AO279" i="1"/>
  <c r="AO280" i="1"/>
  <c r="AO281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5" i="1"/>
  <c r="AO318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1" i="1"/>
  <c r="AO342" i="1"/>
  <c r="AO343" i="1"/>
  <c r="AO344" i="1"/>
  <c r="AO345" i="1"/>
  <c r="AO346" i="1"/>
  <c r="AO347" i="1"/>
  <c r="AO348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4" i="1"/>
  <c r="AO385" i="1"/>
  <c r="AO386" i="1"/>
  <c r="AO387" i="1"/>
  <c r="AO388" i="1"/>
  <c r="AO389" i="1"/>
  <c r="AO390" i="1"/>
  <c r="AO391" i="1"/>
  <c r="AO392" i="1"/>
  <c r="AO393" i="1"/>
  <c r="AO395" i="1"/>
  <c r="AO396" i="1"/>
  <c r="AO397" i="1"/>
  <c r="AO399" i="1"/>
  <c r="AO400" i="1"/>
  <c r="AO401" i="1"/>
  <c r="AO403" i="1"/>
  <c r="AO405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30" i="1"/>
  <c r="AO432" i="1"/>
  <c r="AO433" i="1"/>
  <c r="AO434" i="1"/>
  <c r="AO435" i="1"/>
  <c r="AO436" i="1"/>
  <c r="AO437" i="1"/>
  <c r="AO438" i="1"/>
  <c r="AO439" i="1"/>
  <c r="AO440" i="1"/>
  <c r="AO442" i="1"/>
  <c r="AO443" i="1"/>
  <c r="AO444" i="1"/>
  <c r="AO445" i="1"/>
  <c r="AO446" i="1"/>
  <c r="AO448" i="1"/>
  <c r="AO449" i="1"/>
  <c r="AO450" i="1"/>
  <c r="AO451" i="1"/>
  <c r="AO453" i="1"/>
  <c r="AO454" i="1"/>
  <c r="AO455" i="1"/>
  <c r="AO456" i="1"/>
  <c r="AO457" i="1"/>
  <c r="AO458" i="1"/>
  <c r="AO459" i="1"/>
  <c r="AO460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2" i="1"/>
  <c r="AO483" i="1"/>
  <c r="AO484" i="1"/>
  <c r="AO485" i="1"/>
  <c r="AO486" i="1"/>
  <c r="AO487" i="1"/>
  <c r="AO488" i="1"/>
  <c r="AO489" i="1"/>
  <c r="AO490" i="1"/>
  <c r="AO491" i="1"/>
  <c r="AO492" i="1"/>
  <c r="AO495" i="1"/>
  <c r="AO496" i="1"/>
  <c r="AO497" i="1"/>
  <c r="AO498" i="1"/>
  <c r="AO499" i="1"/>
  <c r="AO500" i="1"/>
  <c r="AO501" i="1"/>
  <c r="AO502" i="1"/>
  <c r="AO506" i="1"/>
  <c r="AO507" i="1"/>
  <c r="AO508" i="1"/>
  <c r="AO510" i="1"/>
  <c r="AO511" i="1"/>
  <c r="AO513" i="1"/>
  <c r="AO515" i="1"/>
  <c r="AO517" i="1"/>
  <c r="AO518" i="1"/>
  <c r="AO519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9" i="1"/>
  <c r="AO580" i="1"/>
  <c r="AO581" i="1"/>
  <c r="AO582" i="1"/>
  <c r="AO583" i="1"/>
  <c r="AO584" i="1"/>
  <c r="AO585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2" i="1"/>
  <c r="AO623" i="1"/>
  <c r="AO624" i="1"/>
  <c r="AO625" i="1"/>
  <c r="AO627" i="1"/>
  <c r="AO628" i="1"/>
  <c r="AO629" i="1"/>
  <c r="AO630" i="1"/>
  <c r="AO632" i="1"/>
  <c r="AO633" i="1"/>
  <c r="AO634" i="1"/>
  <c r="AO636" i="1"/>
  <c r="AO637" i="1"/>
  <c r="AO638" i="1"/>
  <c r="AO639" i="1"/>
  <c r="AO640" i="1"/>
  <c r="AO641" i="1"/>
  <c r="AO642" i="1"/>
  <c r="AO643" i="1"/>
  <c r="AO644" i="1"/>
  <c r="AO645" i="1"/>
  <c r="AO647" i="1"/>
  <c r="AO648" i="1"/>
  <c r="AO649" i="1"/>
  <c r="AO650" i="1"/>
  <c r="AO651" i="1"/>
  <c r="AO652" i="1"/>
  <c r="AO653" i="1"/>
  <c r="AO654" i="1"/>
  <c r="AO655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3" i="1"/>
  <c r="AO674" i="1"/>
  <c r="AO675" i="1"/>
  <c r="AO676" i="1"/>
  <c r="AO677" i="1"/>
  <c r="AO678" i="1"/>
  <c r="AO679" i="1"/>
  <c r="AO681" i="1"/>
  <c r="AO682" i="1"/>
  <c r="AO683" i="1"/>
  <c r="AO684" i="1"/>
  <c r="AO686" i="1"/>
  <c r="AO688" i="1"/>
  <c r="AO689" i="1"/>
  <c r="AO690" i="1"/>
  <c r="AO691" i="1"/>
  <c r="AO692" i="1"/>
  <c r="AO693" i="1"/>
  <c r="AO694" i="1"/>
  <c r="AO696" i="1"/>
  <c r="AO697" i="1"/>
  <c r="AO700" i="1"/>
  <c r="AO701" i="1"/>
  <c r="AO702" i="1"/>
  <c r="AO703" i="1"/>
  <c r="AO704" i="1"/>
  <c r="AO705" i="1"/>
  <c r="AO706" i="1"/>
  <c r="AO707" i="1"/>
  <c r="AO709" i="1"/>
  <c r="AO710" i="1"/>
  <c r="AO712" i="1"/>
  <c r="AO716" i="1"/>
  <c r="AO720" i="1"/>
  <c r="AO721" i="1"/>
  <c r="AO722" i="1"/>
  <c r="AO723" i="1"/>
  <c r="AO724" i="1"/>
  <c r="AO725" i="1"/>
  <c r="AO727" i="1"/>
  <c r="AO728" i="1"/>
  <c r="AO731" i="1"/>
  <c r="AO732" i="1"/>
  <c r="AO733" i="1"/>
  <c r="AO734" i="1"/>
  <c r="AO737" i="1"/>
  <c r="AO738" i="1"/>
  <c r="AO739" i="1"/>
  <c r="AO740" i="1"/>
  <c r="AO741" i="1"/>
  <c r="AO742" i="1"/>
  <c r="AO747" i="1"/>
  <c r="AO748" i="1"/>
  <c r="AO749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71" i="1"/>
  <c r="AO772" i="1"/>
  <c r="AO773" i="1"/>
  <c r="AO774" i="1"/>
  <c r="AO775" i="1"/>
  <c r="AO778" i="1"/>
  <c r="AO779" i="1"/>
  <c r="AO780" i="1"/>
  <c r="AO782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800" i="1"/>
  <c r="AO803" i="1"/>
  <c r="AO804" i="1"/>
  <c r="AO805" i="1"/>
  <c r="AO811" i="1"/>
  <c r="AO812" i="1"/>
  <c r="AO815" i="1"/>
  <c r="AO816" i="1"/>
  <c r="AO818" i="1"/>
  <c r="AO819" i="1"/>
  <c r="AO820" i="1"/>
  <c r="AO821" i="1"/>
  <c r="AO822" i="1"/>
  <c r="AO823" i="1"/>
  <c r="AO824" i="1"/>
  <c r="AO826" i="1"/>
  <c r="AO827" i="1"/>
  <c r="AO828" i="1"/>
  <c r="AO829" i="1"/>
  <c r="AO832" i="1"/>
  <c r="AO835" i="1"/>
  <c r="AO836" i="1"/>
  <c r="AO837" i="1"/>
  <c r="AO839" i="1"/>
  <c r="AO840" i="1"/>
  <c r="AO841" i="1"/>
  <c r="AO844" i="1"/>
  <c r="AO845" i="1"/>
  <c r="AO846" i="1"/>
  <c r="AO847" i="1"/>
  <c r="AO848" i="1"/>
  <c r="AO851" i="1"/>
  <c r="AO853" i="1"/>
  <c r="AO856" i="1"/>
  <c r="AO857" i="1"/>
  <c r="AO858" i="1"/>
  <c r="AO859" i="1"/>
  <c r="AO860" i="1"/>
  <c r="AO861" i="1"/>
  <c r="AO862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2" i="1"/>
  <c r="AO883" i="1"/>
  <c r="AO885" i="1"/>
  <c r="AO886" i="1"/>
  <c r="AO887" i="1"/>
  <c r="AO888" i="1"/>
  <c r="AO889" i="1"/>
  <c r="AO890" i="1"/>
  <c r="AO891" i="1"/>
  <c r="AO892" i="1"/>
  <c r="AO893" i="1"/>
  <c r="AO894" i="1"/>
  <c r="AO896" i="1"/>
  <c r="AO897" i="1"/>
  <c r="AO898" i="1"/>
  <c r="AO899" i="1"/>
  <c r="AO901" i="1"/>
  <c r="AO902" i="1"/>
  <c r="AO907" i="1"/>
  <c r="AO908" i="1"/>
  <c r="AO910" i="1"/>
  <c r="AO911" i="1"/>
  <c r="AO912" i="1"/>
  <c r="AO913" i="1"/>
  <c r="AO915" i="1"/>
  <c r="AO916" i="1"/>
  <c r="AO917" i="1"/>
  <c r="AO920" i="1"/>
  <c r="AO922" i="1"/>
  <c r="AO924" i="1"/>
  <c r="AO925" i="1"/>
  <c r="AO926" i="1"/>
  <c r="AO928" i="1"/>
  <c r="AO929" i="1"/>
  <c r="AO930" i="1"/>
  <c r="AO931" i="1"/>
  <c r="AO933" i="1"/>
  <c r="AO934" i="1"/>
  <c r="AO935" i="1"/>
  <c r="AO936" i="1"/>
  <c r="AO937" i="1"/>
  <c r="AO939" i="1"/>
  <c r="AO940" i="1"/>
  <c r="AO941" i="1"/>
  <c r="AO942" i="1"/>
  <c r="AO943" i="1"/>
  <c r="AO944" i="1"/>
  <c r="AO945" i="1"/>
  <c r="AO946" i="1"/>
  <c r="AO947" i="1"/>
  <c r="AO949" i="1"/>
  <c r="AO950" i="1"/>
  <c r="AO951" i="1"/>
  <c r="AO952" i="1"/>
  <c r="AO956" i="1"/>
  <c r="AO957" i="1"/>
  <c r="AO958" i="1"/>
  <c r="AO959" i="1"/>
  <c r="AO960" i="1"/>
  <c r="AO961" i="1"/>
  <c r="AO963" i="1"/>
  <c r="AO965" i="1"/>
  <c r="AO966" i="1"/>
  <c r="AO967" i="1"/>
  <c r="AO968" i="1"/>
  <c r="AO969" i="1"/>
  <c r="AO970" i="1"/>
  <c r="AO971" i="1"/>
  <c r="AO972" i="1"/>
  <c r="AO974" i="1"/>
  <c r="AO975" i="1"/>
  <c r="AO976" i="1"/>
  <c r="AO977" i="1"/>
  <c r="AO979" i="1"/>
  <c r="AO981" i="1"/>
  <c r="AO982" i="1"/>
  <c r="AO983" i="1"/>
  <c r="AO985" i="1"/>
  <c r="AO986" i="1"/>
  <c r="AO988" i="1"/>
  <c r="AO989" i="1"/>
  <c r="AO991" i="1"/>
  <c r="AO993" i="1"/>
  <c r="AO994" i="1"/>
  <c r="AO995" i="1"/>
  <c r="AO996" i="1"/>
  <c r="AO997" i="1"/>
  <c r="AO998" i="1"/>
  <c r="AO999" i="1"/>
  <c r="AO1002" i="1"/>
  <c r="AO1003" i="1"/>
  <c r="AO1004" i="1"/>
  <c r="AO1006" i="1"/>
  <c r="AO1007" i="1"/>
  <c r="AO1010" i="1"/>
  <c r="AO1011" i="1"/>
  <c r="AO1012" i="1"/>
  <c r="AO1013" i="1"/>
  <c r="AO1014" i="1"/>
  <c r="AO1015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8" i="1"/>
  <c r="AO1039" i="1"/>
  <c r="AO1041" i="1"/>
  <c r="AO1042" i="1"/>
  <c r="AO1043" i="1"/>
  <c r="AO1045" i="1"/>
  <c r="AO1049" i="1"/>
  <c r="AO1052" i="1"/>
  <c r="AO1053" i="1"/>
  <c r="AO1055" i="1"/>
  <c r="AO1059" i="1"/>
  <c r="AO1060" i="1"/>
  <c r="AO1061" i="1"/>
  <c r="AO1062" i="1"/>
  <c r="AO1064" i="1"/>
  <c r="AO1065" i="1"/>
  <c r="AO1066" i="1"/>
  <c r="AO1069" i="1"/>
  <c r="AO1070" i="1"/>
  <c r="AO1075" i="1"/>
  <c r="AO1076" i="1"/>
  <c r="AO1077" i="1"/>
  <c r="AO1078" i="1"/>
  <c r="AO1079" i="1"/>
  <c r="AO1081" i="1"/>
  <c r="AO1082" i="1"/>
  <c r="AO1084" i="1"/>
  <c r="AO1085" i="1"/>
  <c r="AO1086" i="1"/>
  <c r="AO1087" i="1"/>
  <c r="AO1089" i="1"/>
  <c r="AO1090" i="1"/>
  <c r="AO1091" i="1"/>
  <c r="AO1092" i="1"/>
  <c r="AO1093" i="1"/>
  <c r="AO1096" i="1"/>
  <c r="AO1097" i="1"/>
  <c r="AO1098" i="1"/>
  <c r="AO1099" i="1"/>
  <c r="AO1100" i="1"/>
  <c r="AO1101" i="1"/>
  <c r="AO1102" i="1"/>
  <c r="AO1103" i="1"/>
  <c r="AO1105" i="1"/>
  <c r="AO1107" i="1"/>
  <c r="AO1109" i="1"/>
  <c r="AO1111" i="1"/>
  <c r="AO1113" i="1"/>
  <c r="AO1115" i="1"/>
  <c r="AO1116" i="1"/>
  <c r="AO1118" i="1"/>
  <c r="AO1121" i="1"/>
  <c r="AO1122" i="1"/>
  <c r="AO1123" i="1"/>
  <c r="AO1124" i="1"/>
  <c r="AO1125" i="1"/>
  <c r="AO1127" i="1"/>
  <c r="AO1128" i="1"/>
  <c r="AO1129" i="1"/>
  <c r="AO1131" i="1"/>
  <c r="AO1132" i="1"/>
  <c r="AO1137" i="1"/>
  <c r="AO1138" i="1"/>
  <c r="AO1139" i="1"/>
  <c r="AO1140" i="1"/>
  <c r="AO1141" i="1"/>
  <c r="AO1142" i="1"/>
  <c r="AO1145" i="1"/>
  <c r="AO1146" i="1"/>
  <c r="AO1148" i="1"/>
  <c r="AO1149" i="1"/>
  <c r="AO1150" i="1"/>
  <c r="AO1152" i="1"/>
  <c r="AO1153" i="1"/>
  <c r="AO1154" i="1"/>
  <c r="AO1155" i="1"/>
  <c r="AO1156" i="1"/>
  <c r="AO1157" i="1"/>
  <c r="AO1158" i="1"/>
  <c r="AO1160" i="1"/>
  <c r="AO1161" i="1"/>
  <c r="AO1163" i="1"/>
  <c r="AO1164" i="1"/>
  <c r="AO1166" i="1"/>
  <c r="AO1167" i="1"/>
  <c r="AO1169" i="1"/>
  <c r="AO1170" i="1"/>
  <c r="AO1171" i="1"/>
  <c r="AO1172" i="1"/>
  <c r="AO1173" i="1"/>
  <c r="AO1176" i="1"/>
  <c r="AO1178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203" i="1"/>
  <c r="AO1204" i="1"/>
  <c r="AO1205" i="1"/>
  <c r="AO1206" i="1"/>
  <c r="AO1207" i="1"/>
  <c r="AO1212" i="1"/>
  <c r="AO1214" i="1"/>
  <c r="AO1215" i="1"/>
  <c r="AO1217" i="1"/>
  <c r="AO1218" i="1"/>
  <c r="AO1219" i="1"/>
  <c r="AO1221" i="1"/>
  <c r="AO1222" i="1"/>
  <c r="AO1225" i="1"/>
  <c r="AO1228" i="1"/>
  <c r="AO1229" i="1"/>
  <c r="AO1230" i="1"/>
  <c r="AO1231" i="1"/>
  <c r="AO1234" i="1"/>
  <c r="AO1235" i="1"/>
  <c r="AO1237" i="1"/>
  <c r="AO1239" i="1"/>
  <c r="AO1243" i="1"/>
  <c r="AO1244" i="1"/>
  <c r="AO1245" i="1"/>
  <c r="AO1246" i="1"/>
  <c r="AO1248" i="1"/>
  <c r="AO1249" i="1"/>
  <c r="AO1250" i="1"/>
  <c r="AO1251" i="1"/>
  <c r="AO1253" i="1"/>
  <c r="AO1254" i="1"/>
  <c r="AO1255" i="1"/>
  <c r="AO1257" i="1"/>
  <c r="AO1258" i="1"/>
  <c r="AO1259" i="1"/>
  <c r="AO1262" i="1"/>
  <c r="AO1267" i="1"/>
  <c r="AO1269" i="1"/>
  <c r="AO1270" i="1"/>
  <c r="AO1273" i="1"/>
  <c r="AO1275" i="1"/>
  <c r="AO1276" i="1"/>
  <c r="AO1277" i="1"/>
  <c r="AO1278" i="1"/>
  <c r="AO1279" i="1"/>
  <c r="AO1283" i="1"/>
  <c r="AO1284" i="1"/>
  <c r="AO1285" i="1"/>
  <c r="AO1286" i="1"/>
  <c r="AO1290" i="1"/>
  <c r="AO1291" i="1"/>
  <c r="AO1292" i="1"/>
  <c r="AO1293" i="1"/>
  <c r="AO1294" i="1"/>
  <c r="AO1295" i="1"/>
  <c r="AO1298" i="1"/>
  <c r="AO1299" i="1"/>
  <c r="AO1301" i="1"/>
  <c r="AO1302" i="1"/>
  <c r="AO1303" i="1"/>
  <c r="AO1305" i="1"/>
  <c r="AO1308" i="1"/>
  <c r="AO1310" i="1"/>
  <c r="AO1311" i="1"/>
  <c r="AO1315" i="1"/>
  <c r="AO1317" i="1"/>
  <c r="AO1323" i="1"/>
  <c r="AO1324" i="1"/>
  <c r="AO1325" i="1"/>
  <c r="AO1326" i="1"/>
  <c r="AO1330" i="1"/>
  <c r="AO1331" i="1"/>
  <c r="AO1332" i="1"/>
  <c r="AO1333" i="1"/>
  <c r="AO1334" i="1"/>
  <c r="AO1335" i="1"/>
  <c r="AO1347" i="1"/>
  <c r="AO1348" i="1"/>
  <c r="AO1349" i="1"/>
  <c r="AO1350" i="1"/>
  <c r="AO1351" i="1"/>
  <c r="AO1352" i="1"/>
  <c r="AO1353" i="1"/>
  <c r="AO1355" i="1"/>
  <c r="AO1356" i="1"/>
  <c r="AO1358" i="1"/>
  <c r="AO1359" i="1"/>
  <c r="AO1363" i="1"/>
  <c r="AO1364" i="1"/>
  <c r="AO1365" i="1"/>
  <c r="AO1366" i="1"/>
  <c r="AO1367" i="1"/>
  <c r="AO1368" i="1"/>
  <c r="AO1369" i="1"/>
  <c r="AO1370" i="1"/>
  <c r="AO1371" i="1"/>
  <c r="AO1372" i="1"/>
  <c r="AO1374" i="1"/>
  <c r="AO1375" i="1"/>
  <c r="AO1379" i="1"/>
  <c r="AO1381" i="1"/>
  <c r="AO1382" i="1"/>
  <c r="AO1383" i="1"/>
  <c r="AO1388" i="1"/>
  <c r="AO1391" i="1"/>
  <c r="AO1395" i="1"/>
  <c r="AO1397" i="1"/>
  <c r="AO1402" i="1"/>
  <c r="AO1404" i="1"/>
  <c r="AO1406" i="1"/>
  <c r="AO1407" i="1"/>
  <c r="AO1411" i="1"/>
  <c r="AO1412" i="1"/>
  <c r="AO1413" i="1"/>
  <c r="AO1414" i="1"/>
  <c r="AO1415" i="1"/>
  <c r="AO1417" i="1"/>
  <c r="AO1420" i="1"/>
  <c r="AO1421" i="1"/>
  <c r="AO1422" i="1"/>
  <c r="AO1423" i="1"/>
  <c r="AO1426" i="1"/>
  <c r="AO1427" i="1"/>
  <c r="AO1428" i="1"/>
  <c r="AO1429" i="1"/>
  <c r="AO1430" i="1"/>
  <c r="AO1434" i="1"/>
  <c r="AO1435" i="1"/>
  <c r="AO1436" i="1"/>
  <c r="AO1437" i="1"/>
  <c r="AO1438" i="1"/>
  <c r="AO1439" i="1"/>
  <c r="AO1440" i="1"/>
  <c r="AO1441" i="1"/>
  <c r="AO1442" i="1"/>
  <c r="AO1443" i="1"/>
  <c r="AO1445" i="1"/>
  <c r="AO1447" i="1"/>
  <c r="AO1448" i="1"/>
  <c r="AO1449" i="1"/>
  <c r="AO1450" i="1"/>
  <c r="AO1452" i="1"/>
  <c r="AO1454" i="1"/>
  <c r="AO1455" i="1"/>
  <c r="AO1457" i="1"/>
  <c r="AO1459" i="1"/>
  <c r="AO1461" i="1"/>
  <c r="AO1463" i="1"/>
  <c r="AO1464" i="1"/>
  <c r="AO1465" i="1"/>
  <c r="AO1468" i="1"/>
  <c r="AO1469" i="1"/>
  <c r="AO1470" i="1"/>
  <c r="AO1471" i="1"/>
  <c r="AO1472" i="1"/>
  <c r="AO1473" i="1"/>
  <c r="AO1474" i="1"/>
  <c r="AO1475" i="1"/>
  <c r="AO1476" i="1"/>
  <c r="AO1477" i="1"/>
  <c r="AO1478" i="1"/>
  <c r="AO1479" i="1"/>
  <c r="AO1480" i="1"/>
  <c r="AO1482" i="1"/>
  <c r="AO1484" i="1"/>
  <c r="AO1485" i="1"/>
  <c r="AO1486" i="1"/>
  <c r="AO1487" i="1"/>
  <c r="AO1491" i="1"/>
  <c r="AO1492" i="1"/>
  <c r="AO1493" i="1"/>
  <c r="AO1494" i="1"/>
  <c r="AO1495" i="1"/>
  <c r="AO1497" i="1"/>
  <c r="AO1500" i="1"/>
  <c r="AO1501" i="1"/>
  <c r="AO1502" i="1"/>
  <c r="AO1503" i="1"/>
  <c r="AO1505" i="1"/>
  <c r="AO1507" i="1"/>
  <c r="AO1509" i="1"/>
  <c r="AO1510" i="1"/>
  <c r="AO1511" i="1"/>
  <c r="AO1512" i="1"/>
  <c r="AO1513" i="1"/>
  <c r="AO1514" i="1"/>
  <c r="AO1515" i="1"/>
  <c r="AO1516" i="1"/>
  <c r="AO1517" i="1"/>
  <c r="AO1518" i="1"/>
  <c r="AO1519" i="1"/>
  <c r="AO1520" i="1"/>
  <c r="AO1521" i="1"/>
  <c r="AO1522" i="1"/>
  <c r="AO1523" i="1"/>
  <c r="AO1524" i="1"/>
  <c r="AO1525" i="1"/>
  <c r="AO1526" i="1"/>
  <c r="AO1527" i="1"/>
  <c r="AO1528" i="1"/>
  <c r="AO1529" i="1"/>
  <c r="AO1530" i="1"/>
  <c r="AO1531" i="1"/>
  <c r="AO1532" i="1"/>
  <c r="AO1533" i="1"/>
  <c r="AO1534" i="1"/>
  <c r="AO1535" i="1"/>
  <c r="AO1536" i="1"/>
  <c r="AO1537" i="1"/>
  <c r="AO1538" i="1"/>
  <c r="AO1539" i="1"/>
  <c r="AO1540" i="1"/>
  <c r="AO1541" i="1"/>
  <c r="AO1542" i="1"/>
  <c r="AO1544" i="1"/>
  <c r="AO1545" i="1"/>
  <c r="AO1547" i="1"/>
  <c r="AO1548" i="1"/>
  <c r="AO1549" i="1"/>
  <c r="AO1550" i="1"/>
  <c r="AO1551" i="1"/>
  <c r="AO1552" i="1"/>
  <c r="AO1553" i="1"/>
  <c r="AO1554" i="1"/>
  <c r="AO1555" i="1"/>
  <c r="AO1556" i="1"/>
  <c r="AO1557" i="1"/>
  <c r="AO1559" i="1"/>
  <c r="AO1561" i="1"/>
  <c r="AO1562" i="1"/>
  <c r="AO1563" i="1"/>
  <c r="AO1564" i="1"/>
  <c r="AO1565" i="1"/>
  <c r="AO1566" i="1"/>
  <c r="AO1567" i="1"/>
  <c r="AO1568" i="1"/>
  <c r="AO1569" i="1"/>
  <c r="AO1570" i="1"/>
  <c r="AO1571" i="1"/>
  <c r="AO1572" i="1"/>
  <c r="AO1573" i="1"/>
  <c r="AO1575" i="1"/>
  <c r="AO1578" i="1"/>
  <c r="AO1579" i="1"/>
  <c r="AO1580" i="1"/>
  <c r="AO1581" i="1"/>
  <c r="AO1582" i="1"/>
  <c r="AO1583" i="1"/>
  <c r="AO1584" i="1"/>
  <c r="AO1585" i="1"/>
  <c r="AO1586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9" i="1"/>
  <c r="AO1701" i="1"/>
  <c r="AO1706" i="1"/>
  <c r="C33" i="4"/>
  <c r="AN207" i="1" s="1"/>
  <c r="B33" i="4"/>
  <c r="AO1110" i="1" s="1"/>
  <c r="C32" i="4"/>
  <c r="AN271" i="1" s="1"/>
  <c r="B32" i="4"/>
  <c r="AO646" i="1" s="1"/>
  <c r="C30" i="4"/>
  <c r="AN1151" i="1" s="1"/>
  <c r="B30" i="4"/>
  <c r="AO1094" i="1" s="1"/>
  <c r="C14" i="4"/>
  <c r="AN719" i="1" s="1"/>
  <c r="B14" i="4"/>
  <c r="AO1143" i="1" s="1"/>
  <c r="C13" i="4"/>
  <c r="AN799" i="1" s="1"/>
  <c r="AO838" i="1"/>
  <c r="C12" i="4"/>
  <c r="AN1119" i="1" s="1"/>
  <c r="B12" i="4"/>
  <c r="AO1238" i="1" s="1"/>
  <c r="C8" i="4"/>
  <c r="B7" i="4"/>
  <c r="AO806" i="1" s="1"/>
  <c r="C7" i="4"/>
  <c r="AN367" i="1" s="1"/>
  <c r="C6" i="4"/>
  <c r="AN447" i="1" s="1"/>
  <c r="B6" i="4"/>
  <c r="AO406" i="1" s="1"/>
  <c r="C5" i="4"/>
  <c r="AN687" i="1" s="1"/>
  <c r="B5" i="4"/>
  <c r="AO726" i="1" s="1"/>
  <c r="C4" i="4"/>
  <c r="C9" i="4"/>
  <c r="C10" i="4"/>
  <c r="C11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1" i="4"/>
  <c r="C3" i="4"/>
  <c r="C2" i="4"/>
  <c r="S1312" i="1"/>
  <c r="T1312" i="1"/>
  <c r="U1312" i="1"/>
  <c r="V1312" i="1"/>
  <c r="W1312" i="1"/>
  <c r="X1312" i="1"/>
  <c r="Y1312" i="1"/>
  <c r="Z1312" i="1"/>
  <c r="AA1312" i="1"/>
  <c r="AB1312" i="1"/>
  <c r="AC1312" i="1"/>
  <c r="AD1312" i="1"/>
  <c r="AE1312" i="1"/>
  <c r="AF1312" i="1"/>
  <c r="AG1312" i="1"/>
  <c r="AH1312" i="1"/>
  <c r="AI1706" i="1"/>
  <c r="AJ1706" i="1"/>
  <c r="AK1706" i="1"/>
  <c r="AL1706" i="1"/>
  <c r="AM1706" i="1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1472" i="1"/>
  <c r="AL1473" i="1"/>
  <c r="AL1474" i="1"/>
  <c r="AL1475" i="1"/>
  <c r="AL1476" i="1"/>
  <c r="AL1477" i="1"/>
  <c r="AL1478" i="1"/>
  <c r="AL1479" i="1"/>
  <c r="AL1480" i="1"/>
  <c r="AL1481" i="1"/>
  <c r="AL1482" i="1"/>
  <c r="AL1483" i="1"/>
  <c r="AL1484" i="1"/>
  <c r="AL1485" i="1"/>
  <c r="AL1486" i="1"/>
  <c r="AL1487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1500" i="1"/>
  <c r="AL1501" i="1"/>
  <c r="AL1502" i="1"/>
  <c r="AL1503" i="1"/>
  <c r="AL1504" i="1"/>
  <c r="AL1505" i="1"/>
  <c r="AL1506" i="1"/>
  <c r="AL1507" i="1"/>
  <c r="AL1508" i="1"/>
  <c r="AL1509" i="1"/>
  <c r="AL1510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4" i="1"/>
  <c r="AL1525" i="1"/>
  <c r="AL1526" i="1"/>
  <c r="AL1527" i="1"/>
  <c r="AL1528" i="1"/>
  <c r="AL1529" i="1"/>
  <c r="AL1530" i="1"/>
  <c r="AL1531" i="1"/>
  <c r="AL1532" i="1"/>
  <c r="AL1533" i="1"/>
  <c r="AL1534" i="1"/>
  <c r="AL1535" i="1"/>
  <c r="AL1536" i="1"/>
  <c r="AL1537" i="1"/>
  <c r="AL1538" i="1"/>
  <c r="AL1539" i="1"/>
  <c r="AL1540" i="1"/>
  <c r="AL1541" i="1"/>
  <c r="AL1542" i="1"/>
  <c r="AL1543" i="1"/>
  <c r="AL1544" i="1"/>
  <c r="AL1545" i="1"/>
  <c r="AL1546" i="1"/>
  <c r="AL1547" i="1"/>
  <c r="AL1548" i="1"/>
  <c r="AL1549" i="1"/>
  <c r="AL1550" i="1"/>
  <c r="AL1551" i="1"/>
  <c r="AL1552" i="1"/>
  <c r="AL1553" i="1"/>
  <c r="AL1554" i="1"/>
  <c r="AL1555" i="1"/>
  <c r="AL1556" i="1"/>
  <c r="AL1557" i="1"/>
  <c r="AL1558" i="1"/>
  <c r="AL1559" i="1"/>
  <c r="AL1560" i="1"/>
  <c r="AL1561" i="1"/>
  <c r="AL1562" i="1"/>
  <c r="AL1563" i="1"/>
  <c r="AL1564" i="1"/>
  <c r="AL1565" i="1"/>
  <c r="AL1566" i="1"/>
  <c r="AL1567" i="1"/>
  <c r="AL1568" i="1"/>
  <c r="AL1569" i="1"/>
  <c r="AL1570" i="1"/>
  <c r="AL1571" i="1"/>
  <c r="AL1572" i="1"/>
  <c r="AL1573" i="1"/>
  <c r="AL1574" i="1"/>
  <c r="AL1575" i="1"/>
  <c r="AL1576" i="1"/>
  <c r="AL1577" i="1"/>
  <c r="AL1578" i="1"/>
  <c r="AL1579" i="1"/>
  <c r="AL1580" i="1"/>
  <c r="AL1581" i="1"/>
  <c r="AL1582" i="1"/>
  <c r="AL1583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H1705" i="1"/>
  <c r="AH1704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689" i="1"/>
  <c r="AH1690" i="1"/>
  <c r="AH1691" i="1"/>
  <c r="AH1692" i="1"/>
  <c r="AH1688" i="1"/>
  <c r="AH1687" i="1"/>
  <c r="AH1686" i="1"/>
  <c r="AH1684" i="1"/>
  <c r="AH1685" i="1"/>
  <c r="AH1683" i="1"/>
  <c r="AH1680" i="1"/>
  <c r="AH1681" i="1"/>
  <c r="AH1682" i="1"/>
  <c r="AH1679" i="1"/>
  <c r="AH1678" i="1"/>
  <c r="AH1677" i="1"/>
  <c r="AH1675" i="1"/>
  <c r="AH1676" i="1"/>
  <c r="AH1674" i="1"/>
  <c r="AH1673" i="1"/>
  <c r="AH1672" i="1"/>
  <c r="AH1664" i="1"/>
  <c r="AH1665" i="1"/>
  <c r="AH1666" i="1"/>
  <c r="AH1667" i="1"/>
  <c r="AH1668" i="1"/>
  <c r="AH1669" i="1"/>
  <c r="AH1670" i="1"/>
  <c r="AH1671" i="1"/>
  <c r="AH1663" i="1"/>
  <c r="AH1662" i="1"/>
  <c r="AH1661" i="1"/>
  <c r="AH1660" i="1"/>
  <c r="AH1659" i="1"/>
  <c r="AH1658" i="1"/>
  <c r="AH1657" i="1"/>
  <c r="AH1656" i="1"/>
  <c r="AH1654" i="1"/>
  <c r="AH1655" i="1"/>
  <c r="AH1653" i="1"/>
  <c r="AH1652" i="1"/>
  <c r="AH1651" i="1"/>
  <c r="AH1650" i="1"/>
  <c r="AH1649" i="1"/>
  <c r="AH1647" i="1"/>
  <c r="AH1648" i="1"/>
  <c r="AH1646" i="1"/>
  <c r="AH1645" i="1"/>
  <c r="AH1644" i="1"/>
  <c r="AH1643" i="1"/>
  <c r="AH1642" i="1"/>
  <c r="AH1641" i="1"/>
  <c r="AH1639" i="1"/>
  <c r="AH1640" i="1"/>
  <c r="AH1635" i="1"/>
  <c r="AH1636" i="1"/>
  <c r="AH1637" i="1"/>
  <c r="AH1638" i="1"/>
  <c r="AH1634" i="1"/>
  <c r="AH1633" i="1"/>
  <c r="AH1632" i="1"/>
  <c r="AH1631" i="1"/>
  <c r="AH1630" i="1"/>
  <c r="AH1629" i="1"/>
  <c r="AH1628" i="1"/>
  <c r="AH1627" i="1"/>
  <c r="AH1626" i="1"/>
  <c r="AH1625" i="1"/>
  <c r="AH1624" i="1"/>
  <c r="AH1623" i="1"/>
  <c r="AH1622" i="1"/>
  <c r="AH1621" i="1"/>
  <c r="AH1620" i="1"/>
  <c r="AH1619" i="1"/>
  <c r="AH1618" i="1"/>
  <c r="AH1617" i="1"/>
  <c r="AH1616" i="1"/>
  <c r="AH1615" i="1"/>
  <c r="AH1614" i="1"/>
  <c r="AH1613" i="1"/>
  <c r="AH1612" i="1"/>
  <c r="AH1611" i="1"/>
  <c r="AH1610" i="1"/>
  <c r="AH1609" i="1"/>
  <c r="AH1608" i="1"/>
  <c r="AH1607" i="1"/>
  <c r="AH1606" i="1"/>
  <c r="AH1605" i="1"/>
  <c r="AH1604" i="1"/>
  <c r="AH1603" i="1"/>
  <c r="AH1602" i="1"/>
  <c r="AH1601" i="1"/>
  <c r="AH1600" i="1"/>
  <c r="AH1599" i="1"/>
  <c r="AH1598" i="1"/>
  <c r="AH1597" i="1"/>
  <c r="AH1596" i="1"/>
  <c r="AH1595" i="1"/>
  <c r="AH1594" i="1"/>
  <c r="AH1593" i="1"/>
  <c r="AH1592" i="1"/>
  <c r="AH1591" i="1"/>
  <c r="AH1590" i="1"/>
  <c r="AH1589" i="1"/>
  <c r="AH1588" i="1"/>
  <c r="AH1587" i="1"/>
  <c r="AH1586" i="1"/>
  <c r="AH1585" i="1"/>
  <c r="AH1584" i="1"/>
  <c r="AH1583" i="1"/>
  <c r="AH1582" i="1"/>
  <c r="AH1581" i="1"/>
  <c r="AH1580" i="1"/>
  <c r="AH1579" i="1"/>
  <c r="AH1578" i="1"/>
  <c r="AH1577" i="1"/>
  <c r="AH1576" i="1"/>
  <c r="AH1575" i="1"/>
  <c r="AH1574" i="1"/>
  <c r="AH1573" i="1"/>
  <c r="AH1572" i="1"/>
  <c r="AH1571" i="1"/>
  <c r="AH1570" i="1"/>
  <c r="AH1569" i="1"/>
  <c r="AH1568" i="1"/>
  <c r="AH1567" i="1"/>
  <c r="AH1566" i="1"/>
  <c r="AH1565" i="1"/>
  <c r="AH1564" i="1"/>
  <c r="AH1563" i="1"/>
  <c r="AH1562" i="1"/>
  <c r="AH1561" i="1"/>
  <c r="AH1560" i="1"/>
  <c r="AH1559" i="1"/>
  <c r="AH1558" i="1"/>
  <c r="AH1557" i="1"/>
  <c r="AH1556" i="1"/>
  <c r="AH1555" i="1"/>
  <c r="AH1554" i="1"/>
  <c r="AH1553" i="1"/>
  <c r="AH1552" i="1"/>
  <c r="AH1551" i="1"/>
  <c r="AH1550" i="1"/>
  <c r="AH1549" i="1"/>
  <c r="AH1548" i="1"/>
  <c r="AH1547" i="1"/>
  <c r="AH1546" i="1"/>
  <c r="AH1545" i="1"/>
  <c r="AH1544" i="1"/>
  <c r="AH1543" i="1"/>
  <c r="AH1542" i="1"/>
  <c r="AH1541" i="1"/>
  <c r="AH1540" i="1"/>
  <c r="AH1539" i="1"/>
  <c r="AH1538" i="1"/>
  <c r="AH1537" i="1"/>
  <c r="AH1536" i="1"/>
  <c r="AH1535" i="1"/>
  <c r="AH1534" i="1"/>
  <c r="AH1532" i="1"/>
  <c r="AH1533" i="1"/>
  <c r="AH1530" i="1"/>
  <c r="AH1531" i="1"/>
  <c r="AH1529" i="1"/>
  <c r="AH1528" i="1"/>
  <c r="AH1527" i="1"/>
  <c r="AH1526" i="1"/>
  <c r="AH1525" i="1"/>
  <c r="AH1524" i="1"/>
  <c r="AH1523" i="1"/>
  <c r="AH1522" i="1"/>
  <c r="AH1521" i="1"/>
  <c r="AH1519" i="1"/>
  <c r="AH1520" i="1"/>
  <c r="AH1518" i="1"/>
  <c r="AH1517" i="1"/>
  <c r="AH1516" i="1"/>
  <c r="AH1515" i="1"/>
  <c r="AH1514" i="1"/>
  <c r="AH1513" i="1"/>
  <c r="AH1512" i="1"/>
  <c r="AH1511" i="1"/>
  <c r="AH1510" i="1"/>
  <c r="AH1508" i="1"/>
  <c r="AH1509" i="1"/>
  <c r="AH1507" i="1"/>
  <c r="AH1506" i="1"/>
  <c r="AH1505" i="1"/>
  <c r="AH1504" i="1"/>
  <c r="AH1503" i="1"/>
  <c r="AH1502" i="1"/>
  <c r="AH1501" i="1"/>
  <c r="AH1500" i="1"/>
  <c r="AH1499" i="1"/>
  <c r="AH1498" i="1"/>
  <c r="AH1497" i="1"/>
  <c r="AH1496" i="1"/>
  <c r="AH1495" i="1"/>
  <c r="AH1494" i="1"/>
  <c r="AH1493" i="1"/>
  <c r="AH1492" i="1"/>
  <c r="AH1491" i="1"/>
  <c r="AH1490" i="1"/>
  <c r="AH1489" i="1"/>
  <c r="AH1488" i="1"/>
  <c r="AH1487" i="1"/>
  <c r="AH1486" i="1"/>
  <c r="AH1485" i="1"/>
  <c r="AH1484" i="1"/>
  <c r="AH1483" i="1"/>
  <c r="AH1482" i="1"/>
  <c r="AH1481" i="1"/>
  <c r="AH1480" i="1"/>
  <c r="AH1479" i="1"/>
  <c r="AH1478" i="1"/>
  <c r="AH1477" i="1"/>
  <c r="AH1476" i="1"/>
  <c r="AH1475" i="1"/>
  <c r="AH1474" i="1"/>
  <c r="AH1473" i="1"/>
  <c r="AH1472" i="1"/>
  <c r="AH1471" i="1"/>
  <c r="AH1470" i="1"/>
  <c r="AH1469" i="1"/>
  <c r="AH1468" i="1"/>
  <c r="AH1467" i="1"/>
  <c r="AH1466" i="1"/>
  <c r="AH1465" i="1"/>
  <c r="AH1464" i="1"/>
  <c r="AH1463" i="1"/>
  <c r="AH1462" i="1"/>
  <c r="AH1461" i="1"/>
  <c r="AH1459" i="1"/>
  <c r="AH1460" i="1"/>
  <c r="AH1458" i="1"/>
  <c r="AH1457" i="1"/>
  <c r="AH1456" i="1"/>
  <c r="AH1455" i="1"/>
  <c r="AH1454" i="1"/>
  <c r="AH1453" i="1"/>
  <c r="AH1452" i="1"/>
  <c r="AH1451" i="1"/>
  <c r="AH1450" i="1"/>
  <c r="AH1449" i="1"/>
  <c r="AH1448" i="1"/>
  <c r="AH1447" i="1"/>
  <c r="AH1446" i="1"/>
  <c r="AH1445" i="1"/>
  <c r="AH1444" i="1"/>
  <c r="AH1443" i="1"/>
  <c r="AH1442" i="1"/>
  <c r="AH1441" i="1"/>
  <c r="AH1440" i="1"/>
  <c r="AH1439" i="1"/>
  <c r="AH1438" i="1"/>
  <c r="AH1437" i="1"/>
  <c r="AH1436" i="1"/>
  <c r="AH1434" i="1"/>
  <c r="AH1435" i="1"/>
  <c r="AH1433" i="1"/>
  <c r="AH1432" i="1"/>
  <c r="AH1431" i="1"/>
  <c r="AH1430" i="1"/>
  <c r="AH1429" i="1"/>
  <c r="AH1428" i="1"/>
  <c r="AH1427" i="1"/>
  <c r="AH1426" i="1"/>
  <c r="AH1425" i="1"/>
  <c r="AH1424" i="1"/>
  <c r="AH1423" i="1"/>
  <c r="AH1422" i="1"/>
  <c r="AH1421" i="1"/>
  <c r="AH1420" i="1"/>
  <c r="AH1419" i="1"/>
  <c r="AH1418" i="1"/>
  <c r="AH1417" i="1"/>
  <c r="AH1416" i="1"/>
  <c r="AH1415" i="1"/>
  <c r="AH1414" i="1"/>
  <c r="AH1411" i="1"/>
  <c r="AH1412" i="1"/>
  <c r="AH1413" i="1"/>
  <c r="AH1410" i="1"/>
  <c r="AH1409" i="1"/>
  <c r="AH1408" i="1"/>
  <c r="AH1406" i="1"/>
  <c r="AH1407" i="1"/>
  <c r="AH1405" i="1"/>
  <c r="AH1404" i="1"/>
  <c r="AH1402" i="1"/>
  <c r="AH1403" i="1"/>
  <c r="AH1401" i="1"/>
  <c r="AH1400" i="1"/>
  <c r="AH1399" i="1"/>
  <c r="AH1397" i="1"/>
  <c r="AH1398" i="1"/>
  <c r="AH1396" i="1"/>
  <c r="AH1395" i="1"/>
  <c r="AH1394" i="1"/>
  <c r="AH1393" i="1"/>
  <c r="AH1392" i="1"/>
  <c r="AH1391" i="1"/>
  <c r="AH1390" i="1"/>
  <c r="AH1389" i="1"/>
  <c r="AH1388" i="1"/>
  <c r="AH1387" i="1"/>
  <c r="AH1386" i="1"/>
  <c r="AH1385" i="1"/>
  <c r="AH1384" i="1"/>
  <c r="AH1383" i="1"/>
  <c r="AH1382" i="1"/>
  <c r="AH1381" i="1"/>
  <c r="AH1380" i="1"/>
  <c r="AH1379" i="1"/>
  <c r="AH1378" i="1"/>
  <c r="AH1377" i="1"/>
  <c r="AH1376" i="1"/>
  <c r="AH1375" i="1"/>
  <c r="AH1374" i="1"/>
  <c r="AH1373" i="1"/>
  <c r="AH1372" i="1"/>
  <c r="AH1371" i="1"/>
  <c r="AH1370" i="1"/>
  <c r="AH1369" i="1"/>
  <c r="AH1368" i="1"/>
  <c r="AH1367" i="1"/>
  <c r="AH1366" i="1"/>
  <c r="AH1365" i="1"/>
  <c r="AH1364" i="1"/>
  <c r="AH1363" i="1"/>
  <c r="AH1362" i="1"/>
  <c r="AH1361" i="1"/>
  <c r="AH1360" i="1"/>
  <c r="AH1359" i="1"/>
  <c r="AH1358" i="1"/>
  <c r="AH1357" i="1"/>
  <c r="AH1356" i="1"/>
  <c r="AH1354" i="1"/>
  <c r="AH1355" i="1"/>
  <c r="AH1353" i="1"/>
  <c r="AH1352" i="1"/>
  <c r="AH1351" i="1"/>
  <c r="AH1350" i="1"/>
  <c r="AH1349" i="1"/>
  <c r="AH1348" i="1"/>
  <c r="AH1347" i="1"/>
  <c r="AH1346" i="1"/>
  <c r="AH1345" i="1"/>
  <c r="AH1344" i="1"/>
  <c r="AH1343" i="1"/>
  <c r="AH1342" i="1"/>
  <c r="AH1341" i="1"/>
  <c r="AH1340" i="1"/>
  <c r="AH1339" i="1"/>
  <c r="AH1338" i="1"/>
  <c r="AH1337" i="1"/>
  <c r="AH1336" i="1"/>
  <c r="AH1335" i="1"/>
  <c r="AH1334" i="1"/>
  <c r="AH1333" i="1"/>
  <c r="AH1332" i="1"/>
  <c r="AH1331" i="1"/>
  <c r="AH1330" i="1"/>
  <c r="AH1329" i="1"/>
  <c r="AH1327" i="1"/>
  <c r="AH1328" i="1"/>
  <c r="AH1326" i="1"/>
  <c r="AH1325" i="1"/>
  <c r="AH1324" i="1"/>
  <c r="AH1323" i="1"/>
  <c r="AH1322" i="1"/>
  <c r="AH1321" i="1"/>
  <c r="AH1320" i="1"/>
  <c r="AH1319" i="1"/>
  <c r="AH1318" i="1"/>
  <c r="AH1317" i="1"/>
  <c r="AH1316" i="1"/>
  <c r="AH1315" i="1"/>
  <c r="AH1314" i="1"/>
  <c r="AH1313" i="1"/>
  <c r="AH1311" i="1"/>
  <c r="AH1310" i="1"/>
  <c r="AH1307" i="1"/>
  <c r="AH1308" i="1"/>
  <c r="AH1309" i="1"/>
  <c r="AH1306" i="1"/>
  <c r="AH1305" i="1"/>
  <c r="AH1303" i="1"/>
  <c r="AH1304" i="1"/>
  <c r="AH1296" i="1"/>
  <c r="AH1297" i="1"/>
  <c r="AH1298" i="1"/>
  <c r="AH1299" i="1"/>
  <c r="AH1300" i="1"/>
  <c r="AH1301" i="1"/>
  <c r="AH1302" i="1"/>
  <c r="AH1295" i="1"/>
  <c r="AH1293" i="1"/>
  <c r="AH1294" i="1"/>
  <c r="AH1291" i="1"/>
  <c r="AH1292" i="1"/>
  <c r="AH1290" i="1"/>
  <c r="AH1289" i="1"/>
  <c r="AH1288" i="1"/>
  <c r="AH1287" i="1"/>
  <c r="AH1286" i="1"/>
  <c r="AH1285" i="1"/>
  <c r="AH1284" i="1"/>
  <c r="AH1283" i="1"/>
  <c r="AH1282" i="1"/>
  <c r="AH1281" i="1"/>
  <c r="AH1280" i="1"/>
  <c r="AH1279" i="1"/>
  <c r="AH1278" i="1"/>
  <c r="AH1277" i="1"/>
  <c r="AH1276" i="1"/>
  <c r="AH1275" i="1"/>
  <c r="AH1274" i="1"/>
  <c r="AH1273" i="1"/>
  <c r="AH1272" i="1"/>
  <c r="AH1271" i="1"/>
  <c r="AH1270" i="1"/>
  <c r="AH1269" i="1"/>
  <c r="AH1268" i="1"/>
  <c r="AH1267" i="1"/>
  <c r="AH1265" i="1"/>
  <c r="AH1266" i="1"/>
  <c r="AH1264" i="1"/>
  <c r="AH1263" i="1"/>
  <c r="AH1262" i="1"/>
  <c r="AH1261" i="1"/>
  <c r="AH1260" i="1"/>
  <c r="AH1259" i="1"/>
  <c r="AH1257" i="1"/>
  <c r="AH1258" i="1"/>
  <c r="AH1256" i="1"/>
  <c r="AH1255" i="1"/>
  <c r="AH1254" i="1"/>
  <c r="AH1253" i="1"/>
  <c r="AH1252" i="1"/>
  <c r="AH1251" i="1"/>
  <c r="AH1250" i="1"/>
  <c r="AH1249" i="1"/>
  <c r="AH1248" i="1"/>
  <c r="AH1247" i="1"/>
  <c r="AH1246" i="1"/>
  <c r="AH1245" i="1"/>
  <c r="AH1244" i="1"/>
  <c r="AH1243" i="1"/>
  <c r="AH1242" i="1"/>
  <c r="AH1241" i="1"/>
  <c r="AH1240" i="1"/>
  <c r="AH1239" i="1"/>
  <c r="AH1238" i="1"/>
  <c r="AH1237" i="1"/>
  <c r="AH1236" i="1"/>
  <c r="AH1235" i="1"/>
  <c r="AH1234" i="1"/>
  <c r="AH1233" i="1"/>
  <c r="AH1232" i="1"/>
  <c r="AH1231" i="1"/>
  <c r="AH1230" i="1"/>
  <c r="AH1229" i="1"/>
  <c r="AH1228" i="1"/>
  <c r="AH1227" i="1"/>
  <c r="AH1226" i="1"/>
  <c r="AH1225" i="1"/>
  <c r="AH1224" i="1"/>
  <c r="AH1223" i="1"/>
  <c r="AH1222" i="1"/>
  <c r="AH1221" i="1"/>
  <c r="AH1220" i="1"/>
  <c r="AH1219" i="1"/>
  <c r="AH1218" i="1"/>
  <c r="AH1216" i="1"/>
  <c r="AH1217" i="1"/>
  <c r="AH1215" i="1"/>
  <c r="AH1214" i="1"/>
  <c r="AH1213" i="1"/>
  <c r="AH1212" i="1"/>
  <c r="AH1211" i="1"/>
  <c r="AH1210" i="1"/>
  <c r="AH1209" i="1"/>
  <c r="AH1208" i="1"/>
  <c r="AH1207" i="1"/>
  <c r="AH1206" i="1"/>
  <c r="AH1205" i="1"/>
  <c r="AH1204" i="1"/>
  <c r="AH1203" i="1"/>
  <c r="AH1202" i="1"/>
  <c r="AH1201" i="1"/>
  <c r="AH1200" i="1"/>
  <c r="AH1199" i="1"/>
  <c r="AH1198" i="1"/>
  <c r="AH1197" i="1"/>
  <c r="AH1196" i="1"/>
  <c r="AH1195" i="1"/>
  <c r="AH1194" i="1"/>
  <c r="AH1193" i="1"/>
  <c r="AH1192" i="1"/>
  <c r="AH1191" i="1"/>
  <c r="AH1190" i="1"/>
  <c r="AH1189" i="1"/>
  <c r="AH1188" i="1"/>
  <c r="AH1187" i="1"/>
  <c r="AH1186" i="1"/>
  <c r="AH1185" i="1"/>
  <c r="AH1184" i="1"/>
  <c r="AH1183" i="1"/>
  <c r="AH1182" i="1"/>
  <c r="AH1181" i="1"/>
  <c r="AH1180" i="1"/>
  <c r="AH1179" i="1"/>
  <c r="AH1178" i="1"/>
  <c r="AH1177" i="1"/>
  <c r="AH1176" i="1"/>
  <c r="AH1175" i="1"/>
  <c r="AH1174" i="1"/>
  <c r="AH1172" i="1"/>
  <c r="AH1173" i="1"/>
  <c r="AH1171" i="1"/>
  <c r="AH1170" i="1"/>
  <c r="AH1169" i="1"/>
  <c r="AH1167" i="1"/>
  <c r="AH1168" i="1"/>
  <c r="AH1166" i="1"/>
  <c r="AH1165" i="1"/>
  <c r="AH1164" i="1"/>
  <c r="AH1163" i="1"/>
  <c r="AH1162" i="1"/>
  <c r="AH1161" i="1"/>
  <c r="AH1160" i="1"/>
  <c r="AH1159" i="1"/>
  <c r="AH1158" i="1"/>
  <c r="AH1157" i="1"/>
  <c r="AH1156" i="1"/>
  <c r="AH1155" i="1"/>
  <c r="AH1154" i="1"/>
  <c r="AH1153" i="1"/>
  <c r="AH1152" i="1"/>
  <c r="AH1151" i="1"/>
  <c r="AH1150" i="1"/>
  <c r="AH1148" i="1"/>
  <c r="AH1149" i="1"/>
  <c r="AH1147" i="1"/>
  <c r="AH1146" i="1"/>
  <c r="AH1145" i="1"/>
  <c r="AH1144" i="1"/>
  <c r="AH1143" i="1"/>
  <c r="AH1142" i="1"/>
  <c r="AH1141" i="1"/>
  <c r="AH1140" i="1"/>
  <c r="AH1139" i="1"/>
  <c r="AH1138" i="1"/>
  <c r="AH1137" i="1"/>
  <c r="AH1134" i="1"/>
  <c r="AH1135" i="1"/>
  <c r="AH1136" i="1"/>
  <c r="AH1133" i="1"/>
  <c r="AH1132" i="1"/>
  <c r="AH1131" i="1"/>
  <c r="AH1130" i="1"/>
  <c r="AH1129" i="1"/>
  <c r="AH1128" i="1"/>
  <c r="AH1127" i="1"/>
  <c r="AH1126" i="1"/>
  <c r="AH1125" i="1"/>
  <c r="AH1124" i="1"/>
  <c r="AH1123" i="1"/>
  <c r="AH1122" i="1"/>
  <c r="AH1121" i="1"/>
  <c r="AH1120" i="1"/>
  <c r="AH1117" i="1"/>
  <c r="AH1118" i="1"/>
  <c r="AH1119" i="1"/>
  <c r="AH1116" i="1"/>
  <c r="AH1114" i="1"/>
  <c r="AH1115" i="1"/>
  <c r="AH1112" i="1"/>
  <c r="AH1113" i="1"/>
  <c r="AH1111" i="1"/>
  <c r="AH1110" i="1"/>
  <c r="AH1109" i="1"/>
  <c r="AH1108" i="1"/>
  <c r="AH1107" i="1"/>
  <c r="AH1106" i="1"/>
  <c r="AH1105" i="1"/>
  <c r="AH1104" i="1"/>
  <c r="AH1103" i="1"/>
  <c r="AH1102" i="1"/>
  <c r="AH1101" i="1"/>
  <c r="AH1100" i="1"/>
  <c r="AH1099" i="1"/>
  <c r="AH1098" i="1"/>
  <c r="AH1097" i="1"/>
  <c r="AH1096" i="1"/>
  <c r="AH1095" i="1"/>
  <c r="AH1094" i="1"/>
  <c r="AH1093" i="1"/>
  <c r="AH1092" i="1"/>
  <c r="AH1091" i="1"/>
  <c r="AH1090" i="1"/>
  <c r="AH1089" i="1"/>
  <c r="AH1088" i="1"/>
  <c r="AH1087" i="1"/>
  <c r="AH1086" i="1"/>
  <c r="AH1085" i="1"/>
  <c r="AH1084" i="1"/>
  <c r="AH1083" i="1"/>
  <c r="AH1082" i="1"/>
  <c r="AH1081" i="1"/>
  <c r="AH1080" i="1"/>
  <c r="AH1079" i="1"/>
  <c r="AH1078" i="1"/>
  <c r="AH1077" i="1"/>
  <c r="AH1076" i="1"/>
  <c r="AH1075" i="1"/>
  <c r="AH1074" i="1"/>
  <c r="AH1073" i="1"/>
  <c r="AH1072" i="1"/>
  <c r="AH1071" i="1"/>
  <c r="AH1070" i="1"/>
  <c r="AH1069" i="1"/>
  <c r="AH1068" i="1"/>
  <c r="AH1067" i="1"/>
  <c r="AH1065" i="1"/>
  <c r="AH1066" i="1"/>
  <c r="AH1064" i="1"/>
  <c r="AH1063" i="1"/>
  <c r="AH1062" i="1"/>
  <c r="AH1061" i="1"/>
  <c r="AH1060" i="1"/>
  <c r="AH1059" i="1"/>
  <c r="AH1057" i="1"/>
  <c r="AH1058" i="1"/>
  <c r="AH1056" i="1"/>
  <c r="AH1055" i="1"/>
  <c r="AH1054" i="1"/>
  <c r="AH1052" i="1"/>
  <c r="AH1051" i="1"/>
  <c r="AH1050" i="1"/>
  <c r="AH1049" i="1"/>
  <c r="AH1048" i="1"/>
  <c r="AH1047" i="1"/>
  <c r="AH1046" i="1"/>
  <c r="AH1045" i="1"/>
  <c r="AH1044" i="1"/>
  <c r="AH1043" i="1"/>
  <c r="AH1041" i="1"/>
  <c r="AH1042" i="1"/>
  <c r="AH1040" i="1"/>
  <c r="AH1039" i="1"/>
  <c r="AH1038" i="1"/>
  <c r="AH1037" i="1"/>
  <c r="AH1036" i="1"/>
  <c r="AH1035" i="1"/>
  <c r="AH1034" i="1"/>
  <c r="AH1033" i="1"/>
  <c r="AH1032" i="1"/>
  <c r="AH1031" i="1"/>
  <c r="AH1030" i="1"/>
  <c r="AH1029" i="1"/>
  <c r="AH1028" i="1"/>
  <c r="AH1027" i="1"/>
  <c r="AH1026" i="1"/>
  <c r="AH1025" i="1"/>
  <c r="AH1024" i="1"/>
  <c r="AH1022" i="1"/>
  <c r="AH1023" i="1"/>
  <c r="AH1021" i="1"/>
  <c r="AH1020" i="1"/>
  <c r="AH1019" i="1"/>
  <c r="AH1018" i="1"/>
  <c r="AH1017" i="1"/>
  <c r="AH1016" i="1"/>
  <c r="AH1015" i="1"/>
  <c r="AH1014" i="1"/>
  <c r="AH1013" i="1"/>
  <c r="AH1012" i="1"/>
  <c r="AH1011" i="1"/>
  <c r="AH1010" i="1"/>
  <c r="AH1009" i="1"/>
  <c r="AH1008" i="1"/>
  <c r="AH1007" i="1"/>
  <c r="AH1006" i="1"/>
  <c r="AH1005" i="1"/>
  <c r="AH1004" i="1"/>
  <c r="AH1003" i="1"/>
  <c r="AH1002" i="1"/>
  <c r="AH1001" i="1"/>
  <c r="AH1000" i="1"/>
  <c r="AH999" i="1"/>
  <c r="AH998" i="1"/>
  <c r="AH997" i="1"/>
  <c r="AH996" i="1"/>
  <c r="AH995" i="1"/>
  <c r="AH994" i="1"/>
  <c r="AH993" i="1"/>
  <c r="AH992" i="1"/>
  <c r="AH991" i="1"/>
  <c r="AH990" i="1"/>
  <c r="AH989" i="1"/>
  <c r="AH988" i="1"/>
  <c r="AH987" i="1"/>
  <c r="AH986" i="1"/>
  <c r="AH985" i="1"/>
  <c r="AH984" i="1"/>
  <c r="AH983" i="1"/>
  <c r="AH982" i="1"/>
  <c r="AH981" i="1"/>
  <c r="AH980" i="1"/>
  <c r="AH979" i="1"/>
  <c r="AH978" i="1"/>
  <c r="AH976" i="1"/>
  <c r="AH977" i="1"/>
  <c r="AH975" i="1"/>
  <c r="AH974" i="1"/>
  <c r="AH972" i="1"/>
  <c r="AH973" i="1"/>
  <c r="AH971" i="1"/>
  <c r="AH970" i="1"/>
  <c r="AH969" i="1"/>
  <c r="AH968" i="1"/>
  <c r="AH967" i="1"/>
  <c r="AH966" i="1"/>
  <c r="AH965" i="1"/>
  <c r="AH964" i="1"/>
  <c r="AH963" i="1"/>
  <c r="AH960" i="1"/>
  <c r="AH961" i="1"/>
  <c r="AH962" i="1"/>
  <c r="AH959" i="1"/>
  <c r="AH956" i="1"/>
  <c r="AH957" i="1"/>
  <c r="AH958" i="1"/>
  <c r="AH955" i="1"/>
  <c r="AH953" i="1"/>
  <c r="AH954" i="1"/>
  <c r="AH952" i="1"/>
  <c r="AH951" i="1"/>
  <c r="AH949" i="1"/>
  <c r="AH950" i="1"/>
  <c r="AH948" i="1"/>
  <c r="AH947" i="1"/>
  <c r="AH946" i="1"/>
  <c r="AH945" i="1"/>
  <c r="AH943" i="1"/>
  <c r="AH944" i="1"/>
  <c r="AH942" i="1"/>
  <c r="AH941" i="1"/>
  <c r="AH939" i="1"/>
  <c r="AH940" i="1"/>
  <c r="AH937" i="1"/>
  <c r="AH938" i="1"/>
  <c r="AH935" i="1"/>
  <c r="AH936" i="1"/>
  <c r="AH934" i="1"/>
  <c r="AH933" i="1"/>
  <c r="AH931" i="1"/>
  <c r="AH932" i="1"/>
  <c r="AH929" i="1"/>
  <c r="AH930" i="1"/>
  <c r="AH928" i="1"/>
  <c r="AH927" i="1"/>
  <c r="AH926" i="1"/>
  <c r="AH925" i="1"/>
  <c r="AH924" i="1"/>
  <c r="AH923" i="1"/>
  <c r="AH922" i="1"/>
  <c r="AH921" i="1"/>
  <c r="AH920" i="1"/>
  <c r="AH919" i="1"/>
  <c r="AH918" i="1"/>
  <c r="AH917" i="1"/>
  <c r="AH916" i="1"/>
  <c r="AH915" i="1"/>
  <c r="AH914" i="1"/>
  <c r="AH913" i="1"/>
  <c r="AH912" i="1"/>
  <c r="AH911" i="1"/>
  <c r="AH910" i="1"/>
  <c r="AH909" i="1"/>
  <c r="AH908" i="1"/>
  <c r="AH907" i="1"/>
  <c r="AH906" i="1"/>
  <c r="AH905" i="1"/>
  <c r="AH904" i="1"/>
  <c r="AH903" i="1"/>
  <c r="AH902" i="1"/>
  <c r="AH901" i="1"/>
  <c r="AH900" i="1"/>
  <c r="AH899" i="1"/>
  <c r="AH898" i="1"/>
  <c r="AH897" i="1"/>
  <c r="AH896" i="1"/>
  <c r="AH895" i="1"/>
  <c r="AH894" i="1"/>
  <c r="AH893" i="1"/>
  <c r="AH892" i="1"/>
  <c r="AH891" i="1"/>
  <c r="AH889" i="1"/>
  <c r="AH890" i="1"/>
  <c r="AH888" i="1"/>
  <c r="AH887" i="1"/>
  <c r="AH886" i="1"/>
  <c r="AH885" i="1"/>
  <c r="AH884" i="1"/>
  <c r="AH883" i="1"/>
  <c r="AH882" i="1"/>
  <c r="AH881" i="1"/>
  <c r="AH880" i="1"/>
  <c r="AH879" i="1"/>
  <c r="AH878" i="1"/>
  <c r="AH877" i="1"/>
  <c r="AH876" i="1"/>
  <c r="AH875" i="1"/>
  <c r="AH874" i="1"/>
  <c r="AH873" i="1"/>
  <c r="AH872" i="1"/>
  <c r="AH870" i="1"/>
  <c r="AH871" i="1"/>
  <c r="AH869" i="1"/>
  <c r="AH868" i="1"/>
  <c r="AH865" i="1"/>
  <c r="AH866" i="1"/>
  <c r="AH867" i="1"/>
  <c r="AH864" i="1"/>
  <c r="AH863" i="1"/>
  <c r="AH862" i="1"/>
  <c r="AH861" i="1"/>
  <c r="AH860" i="1"/>
  <c r="AH859" i="1"/>
  <c r="AH858" i="1"/>
  <c r="AH857" i="1"/>
  <c r="AH855" i="1"/>
  <c r="AH856" i="1"/>
  <c r="AH854" i="1"/>
  <c r="AH853" i="1"/>
  <c r="AH852" i="1"/>
  <c r="AH851" i="1"/>
  <c r="AH850" i="1"/>
  <c r="AH849" i="1"/>
  <c r="AH848" i="1"/>
  <c r="AH847" i="1"/>
  <c r="AH846" i="1"/>
  <c r="AH845" i="1"/>
  <c r="AH844" i="1"/>
  <c r="AH843" i="1"/>
  <c r="AH842" i="1"/>
  <c r="AH841" i="1"/>
  <c r="AH840" i="1"/>
  <c r="AH839" i="1"/>
  <c r="AH838" i="1"/>
  <c r="AH837" i="1"/>
  <c r="AH836" i="1"/>
  <c r="AH835" i="1"/>
  <c r="AH834" i="1"/>
  <c r="AH833" i="1"/>
  <c r="AH832" i="1"/>
  <c r="AH831" i="1"/>
  <c r="AH830" i="1"/>
  <c r="AH829" i="1"/>
  <c r="AH828" i="1"/>
  <c r="AH827" i="1"/>
  <c r="AH826" i="1"/>
  <c r="AH825" i="1"/>
  <c r="AH824" i="1"/>
  <c r="AH823" i="1"/>
  <c r="AH822" i="1"/>
  <c r="AH821" i="1"/>
  <c r="AH820" i="1"/>
  <c r="AH819" i="1"/>
  <c r="AH818" i="1"/>
  <c r="AH817" i="1"/>
  <c r="AH816" i="1"/>
  <c r="AH815" i="1"/>
  <c r="AH814" i="1"/>
  <c r="AH813" i="1"/>
  <c r="AH812" i="1"/>
  <c r="AH810" i="1"/>
  <c r="AH811" i="1"/>
  <c r="AH809" i="1"/>
  <c r="AH807" i="1"/>
  <c r="AH808" i="1"/>
  <c r="AH806" i="1"/>
  <c r="AH805" i="1"/>
  <c r="AH803" i="1"/>
  <c r="AH804" i="1"/>
  <c r="AH802" i="1"/>
  <c r="AH800" i="1"/>
  <c r="AH801" i="1"/>
  <c r="AH799" i="1"/>
  <c r="AH798" i="1"/>
  <c r="AH796" i="1"/>
  <c r="AH797" i="1"/>
  <c r="AH795" i="1"/>
  <c r="AH794" i="1"/>
  <c r="AH793" i="1"/>
  <c r="AH792" i="1"/>
  <c r="AH791" i="1"/>
  <c r="AH790" i="1"/>
  <c r="AH789" i="1"/>
  <c r="AH788" i="1"/>
  <c r="AH787" i="1"/>
  <c r="AH786" i="1"/>
  <c r="AH785" i="1"/>
  <c r="AH784" i="1"/>
  <c r="AH783" i="1"/>
  <c r="AH782" i="1"/>
  <c r="AH781" i="1"/>
  <c r="AH780" i="1"/>
  <c r="AH778" i="1"/>
  <c r="AH779" i="1"/>
  <c r="AH776" i="1"/>
  <c r="AH777" i="1"/>
  <c r="AH775" i="1"/>
  <c r="AH774" i="1"/>
  <c r="AH773" i="1"/>
  <c r="AH772" i="1"/>
  <c r="AH771" i="1"/>
  <c r="AH769" i="1"/>
  <c r="AH770" i="1"/>
  <c r="AH767" i="1"/>
  <c r="AH768" i="1"/>
  <c r="AH766" i="1"/>
  <c r="AH765" i="1"/>
  <c r="AH764" i="1"/>
  <c r="AH763" i="1"/>
  <c r="AH762" i="1"/>
  <c r="AH761" i="1"/>
  <c r="AH760" i="1"/>
  <c r="AH759" i="1"/>
  <c r="AH758" i="1"/>
  <c r="AH757" i="1"/>
  <c r="AH756" i="1"/>
  <c r="AH755" i="1"/>
  <c r="AH754" i="1"/>
  <c r="AH753" i="1"/>
  <c r="AH752" i="1"/>
  <c r="AH750" i="1"/>
  <c r="AH751" i="1"/>
  <c r="AH749" i="1"/>
  <c r="AH748" i="1"/>
  <c r="AH747" i="1"/>
  <c r="AH746" i="1"/>
  <c r="AH745" i="1"/>
  <c r="AH744" i="1"/>
  <c r="AH743" i="1"/>
  <c r="AH742" i="1"/>
  <c r="AH741" i="1"/>
  <c r="AH740" i="1"/>
  <c r="AH739" i="1"/>
  <c r="AH738" i="1"/>
  <c r="AH737" i="1"/>
  <c r="AH736" i="1"/>
  <c r="AH735" i="1"/>
  <c r="AH734" i="1"/>
  <c r="AH733" i="1"/>
  <c r="AH732" i="1"/>
  <c r="AH731" i="1"/>
  <c r="AH730" i="1"/>
  <c r="AH729" i="1"/>
  <c r="AH728" i="1"/>
  <c r="AH727" i="1"/>
  <c r="AH726" i="1"/>
  <c r="AH725" i="1"/>
  <c r="AH724" i="1"/>
  <c r="AH723" i="1"/>
  <c r="AH721" i="1"/>
  <c r="AH722" i="1"/>
  <c r="AH720" i="1"/>
  <c r="AH719" i="1"/>
  <c r="AH718" i="1"/>
  <c r="AH717" i="1"/>
  <c r="AH716" i="1"/>
  <c r="AH715" i="1"/>
  <c r="AH714" i="1"/>
  <c r="AH712" i="1"/>
  <c r="AH713" i="1"/>
  <c r="AH711" i="1"/>
  <c r="AH710" i="1"/>
  <c r="AH709" i="1"/>
  <c r="AH708" i="1"/>
  <c r="AH707" i="1"/>
  <c r="AH706" i="1"/>
  <c r="AH705" i="1"/>
  <c r="AH704" i="1"/>
  <c r="AH703" i="1"/>
  <c r="AH702" i="1"/>
  <c r="AH701" i="1"/>
  <c r="AH700" i="1"/>
  <c r="AH699" i="1"/>
  <c r="AH698" i="1"/>
  <c r="AH697" i="1"/>
  <c r="AH696" i="1"/>
  <c r="AH695" i="1"/>
  <c r="AH694" i="1"/>
  <c r="AH693" i="1"/>
  <c r="AH692" i="1"/>
  <c r="AH691" i="1"/>
  <c r="AH690" i="1"/>
  <c r="AH689" i="1"/>
  <c r="AH688" i="1"/>
  <c r="AH687" i="1"/>
  <c r="AH686" i="1"/>
  <c r="AH685" i="1"/>
  <c r="AH684" i="1"/>
  <c r="AH683" i="1"/>
  <c r="AH682" i="1"/>
  <c r="AH681" i="1"/>
  <c r="AH680" i="1"/>
  <c r="AH679" i="1"/>
  <c r="AH678" i="1"/>
  <c r="AH677" i="1"/>
  <c r="AH676" i="1"/>
  <c r="AH674" i="1"/>
  <c r="AH675" i="1"/>
  <c r="AH673" i="1"/>
  <c r="AH672" i="1"/>
  <c r="AH671" i="1"/>
  <c r="AH670" i="1"/>
  <c r="AH669" i="1"/>
  <c r="AH668" i="1"/>
  <c r="AH667" i="1"/>
  <c r="AH666" i="1"/>
  <c r="AH665" i="1"/>
  <c r="AH664" i="1"/>
  <c r="AH663" i="1"/>
  <c r="AH662" i="1"/>
  <c r="AH661" i="1"/>
  <c r="AH660" i="1"/>
  <c r="AH659" i="1"/>
  <c r="AH658" i="1"/>
  <c r="AH657" i="1"/>
  <c r="AH656" i="1"/>
  <c r="AH655" i="1"/>
  <c r="AH654" i="1"/>
  <c r="AH653" i="1"/>
  <c r="AH652" i="1"/>
  <c r="AH650" i="1"/>
  <c r="AH651" i="1"/>
  <c r="AH649" i="1"/>
  <c r="AH648" i="1"/>
  <c r="AH647" i="1"/>
  <c r="AH646" i="1"/>
  <c r="AH645" i="1"/>
  <c r="AH644" i="1"/>
  <c r="AH643" i="1"/>
  <c r="AH642" i="1"/>
  <c r="AH641" i="1"/>
  <c r="AH640" i="1"/>
  <c r="AH639" i="1"/>
  <c r="AH638" i="1"/>
  <c r="AH637" i="1"/>
  <c r="AH636" i="1"/>
  <c r="AH635" i="1"/>
  <c r="AH634" i="1"/>
  <c r="AH633" i="1"/>
  <c r="AH632" i="1"/>
  <c r="AH631" i="1"/>
  <c r="AH630" i="1"/>
  <c r="AH629" i="1"/>
  <c r="AH628" i="1"/>
  <c r="AH627" i="1"/>
  <c r="AH626" i="1"/>
  <c r="AH625" i="1"/>
  <c r="AH624" i="1"/>
  <c r="AH623" i="1"/>
  <c r="AH622" i="1"/>
  <c r="AH621" i="1"/>
  <c r="AH620" i="1"/>
  <c r="AH618" i="1"/>
  <c r="AH619" i="1"/>
  <c r="AH617" i="1"/>
  <c r="AH616" i="1"/>
  <c r="AH615" i="1"/>
  <c r="AH614" i="1"/>
  <c r="AH613" i="1"/>
  <c r="AH612" i="1"/>
  <c r="AH611" i="1"/>
  <c r="AH610" i="1"/>
  <c r="AH609" i="1"/>
  <c r="AH607" i="1"/>
  <c r="AH608" i="1"/>
  <c r="AH606" i="1"/>
  <c r="AH605" i="1"/>
  <c r="AH604" i="1"/>
  <c r="AH603" i="1"/>
  <c r="AH602" i="1"/>
  <c r="AH601" i="1"/>
  <c r="AH600" i="1"/>
  <c r="AH599" i="1"/>
  <c r="AH596" i="1"/>
  <c r="AH597" i="1"/>
  <c r="AH598" i="1"/>
  <c r="AH595" i="1"/>
  <c r="AH594" i="1"/>
  <c r="AH593" i="1"/>
  <c r="AH592" i="1"/>
  <c r="AH591" i="1"/>
  <c r="AH590" i="1"/>
  <c r="AH589" i="1"/>
  <c r="AH588" i="1"/>
  <c r="AH587" i="1"/>
  <c r="AH586" i="1"/>
  <c r="AH585" i="1"/>
  <c r="AH584" i="1"/>
  <c r="AH583" i="1"/>
  <c r="AH582" i="1"/>
  <c r="AH581" i="1"/>
  <c r="AH580" i="1"/>
  <c r="AH578" i="1"/>
  <c r="AH579" i="1"/>
  <c r="AH577" i="1"/>
  <c r="AH576" i="1"/>
  <c r="AH575" i="1"/>
  <c r="AH574" i="1"/>
  <c r="AH573" i="1"/>
  <c r="AH572" i="1"/>
  <c r="AH571" i="1"/>
  <c r="AH570" i="1"/>
  <c r="AH569" i="1"/>
  <c r="AH568" i="1"/>
  <c r="AH567" i="1"/>
  <c r="AH565" i="1"/>
  <c r="AH566" i="1"/>
  <c r="AH564" i="1"/>
  <c r="AH563" i="1"/>
  <c r="AH562" i="1"/>
  <c r="AH561" i="1"/>
  <c r="AH560" i="1"/>
  <c r="AH559" i="1"/>
  <c r="AH558" i="1"/>
  <c r="AH557" i="1"/>
  <c r="AH555" i="1"/>
  <c r="AH556" i="1"/>
  <c r="AH554" i="1"/>
  <c r="AH553" i="1"/>
  <c r="AH552" i="1"/>
  <c r="AH551" i="1"/>
  <c r="AH550" i="1"/>
  <c r="AH549" i="1"/>
  <c r="AH548" i="1"/>
  <c r="AH547" i="1"/>
  <c r="AH546" i="1"/>
  <c r="AH545" i="1"/>
  <c r="AH544" i="1"/>
  <c r="AH543" i="1"/>
  <c r="AH542" i="1"/>
  <c r="AH541" i="1"/>
  <c r="AH540" i="1"/>
  <c r="AH539" i="1"/>
  <c r="AH538" i="1"/>
  <c r="AH537" i="1"/>
  <c r="AH536" i="1"/>
  <c r="AH535" i="1"/>
  <c r="AH534" i="1"/>
  <c r="AH533" i="1"/>
  <c r="AH532" i="1"/>
  <c r="AH531" i="1"/>
  <c r="AH530" i="1"/>
  <c r="AH529" i="1"/>
  <c r="AH528" i="1"/>
  <c r="AH527" i="1"/>
  <c r="AH526" i="1"/>
  <c r="AH525" i="1"/>
  <c r="AH524" i="1"/>
  <c r="AH523" i="1"/>
  <c r="AH522" i="1"/>
  <c r="AH521" i="1"/>
  <c r="AH520" i="1"/>
  <c r="AH519" i="1"/>
  <c r="AH518" i="1"/>
  <c r="AH517" i="1"/>
  <c r="AH516" i="1"/>
  <c r="AH515" i="1"/>
  <c r="AH514" i="1"/>
  <c r="AH513" i="1"/>
  <c r="AH512" i="1"/>
  <c r="AH510" i="1"/>
  <c r="AH511" i="1"/>
  <c r="AH509" i="1"/>
  <c r="AH508" i="1"/>
  <c r="AH507" i="1"/>
  <c r="AH506" i="1"/>
  <c r="AH505" i="1"/>
  <c r="AH504" i="1"/>
  <c r="AH503" i="1"/>
  <c r="AH502" i="1"/>
  <c r="AH500" i="1"/>
  <c r="AH501" i="1"/>
  <c r="AH499" i="1"/>
  <c r="AH498" i="1"/>
  <c r="AH497" i="1"/>
  <c r="AH496" i="1"/>
  <c r="AH495" i="1"/>
  <c r="AH494" i="1"/>
  <c r="AH493" i="1"/>
  <c r="AH492" i="1"/>
  <c r="AH491" i="1"/>
  <c r="AH490" i="1"/>
  <c r="AH489" i="1"/>
  <c r="AH488" i="1"/>
  <c r="AH487" i="1"/>
  <c r="AH486" i="1"/>
  <c r="AH485" i="1"/>
  <c r="AH484" i="1"/>
  <c r="AH483" i="1"/>
  <c r="AH482" i="1"/>
  <c r="AH481" i="1"/>
  <c r="AH480" i="1"/>
  <c r="AH479" i="1"/>
  <c r="AH478" i="1"/>
  <c r="AH476" i="1"/>
  <c r="AH477" i="1"/>
  <c r="AH475" i="1"/>
  <c r="AH473" i="1"/>
  <c r="AH474" i="1"/>
  <c r="AH472" i="1"/>
  <c r="AH471" i="1"/>
  <c r="AH470" i="1"/>
  <c r="AH468" i="1"/>
  <c r="AH469" i="1"/>
  <c r="AH467" i="1"/>
  <c r="AH466" i="1"/>
  <c r="AH465" i="1"/>
  <c r="AH464" i="1"/>
  <c r="AH463" i="1"/>
  <c r="AH462" i="1"/>
  <c r="AH461" i="1"/>
  <c r="AH460" i="1"/>
  <c r="AH459" i="1"/>
  <c r="AH458" i="1"/>
  <c r="AH457" i="1"/>
  <c r="AH456" i="1"/>
  <c r="AH455" i="1"/>
  <c r="AH454" i="1"/>
  <c r="AH453" i="1"/>
  <c r="AH452" i="1"/>
  <c r="AH451" i="1"/>
  <c r="AH450" i="1"/>
  <c r="AH449" i="1"/>
  <c r="AH448" i="1"/>
  <c r="AH447" i="1"/>
  <c r="AH446" i="1"/>
  <c r="AH445" i="1"/>
  <c r="AH444" i="1"/>
  <c r="AH443" i="1"/>
  <c r="AH442" i="1"/>
  <c r="AH441" i="1"/>
  <c r="AH440" i="1"/>
  <c r="AH439" i="1"/>
  <c r="AH438" i="1"/>
  <c r="AH437" i="1"/>
  <c r="AH436" i="1"/>
  <c r="AH435" i="1"/>
  <c r="AH434" i="1"/>
  <c r="AH433" i="1"/>
  <c r="AH432" i="1"/>
  <c r="AH431" i="1"/>
  <c r="AH430" i="1"/>
  <c r="AH429" i="1"/>
  <c r="AH428" i="1"/>
  <c r="AH427" i="1"/>
  <c r="AH426" i="1"/>
  <c r="AH425" i="1"/>
  <c r="AH424" i="1"/>
  <c r="AH423" i="1"/>
  <c r="AH422" i="1"/>
  <c r="AH421" i="1"/>
  <c r="AH420" i="1"/>
  <c r="AH419" i="1"/>
  <c r="AH417" i="1"/>
  <c r="AH418" i="1"/>
  <c r="AH416" i="1"/>
  <c r="AH415" i="1"/>
  <c r="AH414" i="1"/>
  <c r="AH413" i="1"/>
  <c r="AH412" i="1"/>
  <c r="AH410" i="1"/>
  <c r="AH411" i="1"/>
  <c r="AH409" i="1"/>
  <c r="AH408" i="1"/>
  <c r="AH407" i="1"/>
  <c r="AH406" i="1"/>
  <c r="AH405" i="1"/>
  <c r="AH404" i="1"/>
  <c r="AH403" i="1"/>
  <c r="AH402" i="1"/>
  <c r="AH401" i="1"/>
  <c r="AH400" i="1"/>
  <c r="AH399" i="1"/>
  <c r="AH398" i="1"/>
  <c r="AH397" i="1"/>
  <c r="AH396" i="1"/>
  <c r="AH395" i="1"/>
  <c r="AH394" i="1"/>
  <c r="AH393" i="1"/>
  <c r="AH392" i="1"/>
  <c r="AH391" i="1"/>
  <c r="AH390" i="1"/>
  <c r="AH389" i="1"/>
  <c r="AH387" i="1"/>
  <c r="AH388" i="1"/>
  <c r="AH386" i="1"/>
  <c r="AH385" i="1"/>
  <c r="AH384" i="1"/>
  <c r="AH383" i="1"/>
  <c r="AH382" i="1"/>
  <c r="AH381" i="1"/>
  <c r="AH380" i="1"/>
  <c r="AH379" i="1"/>
  <c r="AH378" i="1"/>
  <c r="AH376" i="1"/>
  <c r="AH377" i="1"/>
  <c r="AH375" i="1"/>
  <c r="AH374" i="1"/>
  <c r="AH372" i="1"/>
  <c r="AH373" i="1"/>
  <c r="AH371" i="1"/>
  <c r="AH370" i="1"/>
  <c r="AH369" i="1"/>
  <c r="AH368" i="1"/>
  <c r="AH367" i="1"/>
  <c r="AH366" i="1"/>
  <c r="AH365" i="1"/>
  <c r="AH364" i="1"/>
  <c r="AH363" i="1"/>
  <c r="AH362" i="1"/>
  <c r="AH361" i="1"/>
  <c r="AH360" i="1"/>
  <c r="AH359" i="1"/>
  <c r="AH358" i="1"/>
  <c r="AH357" i="1"/>
  <c r="AH356" i="1"/>
  <c r="AH355" i="1"/>
  <c r="AH354" i="1"/>
  <c r="AH353" i="1"/>
  <c r="AH352" i="1"/>
  <c r="AH350" i="1"/>
  <c r="AH351" i="1"/>
  <c r="AH349" i="1"/>
  <c r="AH348" i="1"/>
  <c r="AH347" i="1"/>
  <c r="AH346" i="1"/>
  <c r="AH345" i="1"/>
  <c r="AH344" i="1"/>
  <c r="AH343" i="1"/>
  <c r="AH342" i="1"/>
  <c r="AH341" i="1"/>
  <c r="AH340" i="1"/>
  <c r="AH339" i="1"/>
  <c r="AH338" i="1"/>
  <c r="AH337" i="1"/>
  <c r="AH336" i="1"/>
  <c r="AH335" i="1"/>
  <c r="AH334" i="1"/>
  <c r="AH333" i="1"/>
  <c r="AH332" i="1"/>
  <c r="AH331" i="1"/>
  <c r="AH330" i="1"/>
  <c r="AH328" i="1"/>
  <c r="AH329" i="1"/>
  <c r="AH327" i="1"/>
  <c r="AH326" i="1"/>
  <c r="AH325" i="1"/>
  <c r="AH324" i="1"/>
  <c r="AH323" i="1"/>
  <c r="AH322" i="1"/>
  <c r="AH321" i="1"/>
  <c r="AH320" i="1"/>
  <c r="AH319" i="1"/>
  <c r="AH318" i="1"/>
  <c r="AH317" i="1"/>
  <c r="AH316" i="1"/>
  <c r="AH315" i="1"/>
  <c r="AH314" i="1"/>
  <c r="AH313" i="1"/>
  <c r="AH312" i="1"/>
  <c r="AH311" i="1"/>
  <c r="AH310" i="1"/>
  <c r="AH308" i="1"/>
  <c r="AH309" i="1"/>
  <c r="AH307" i="1"/>
  <c r="AH306" i="1"/>
  <c r="AH305" i="1"/>
  <c r="AH304" i="1"/>
  <c r="AH303" i="1"/>
  <c r="AH302" i="1"/>
  <c r="AH301" i="1"/>
  <c r="AH300" i="1"/>
  <c r="AH299" i="1"/>
  <c r="AH298" i="1"/>
  <c r="AH297" i="1"/>
  <c r="AH296" i="1"/>
  <c r="AH295" i="1"/>
  <c r="AH294" i="1"/>
  <c r="AH292" i="1"/>
  <c r="AH293" i="1"/>
  <c r="AH291" i="1"/>
  <c r="AH290" i="1"/>
  <c r="AH289" i="1"/>
  <c r="AH288" i="1"/>
  <c r="AH287" i="1"/>
  <c r="AH286" i="1"/>
  <c r="AH285" i="1"/>
  <c r="AH284" i="1"/>
  <c r="AH283" i="1"/>
  <c r="AH281" i="1"/>
  <c r="AH282" i="1"/>
  <c r="AH280" i="1"/>
  <c r="AH279" i="1"/>
  <c r="AH278" i="1"/>
  <c r="AH277" i="1"/>
  <c r="AH276" i="1"/>
  <c r="AH275" i="1"/>
  <c r="AH274" i="1"/>
  <c r="AH273" i="1"/>
  <c r="AH272" i="1"/>
  <c r="AH271" i="1"/>
  <c r="AH270" i="1"/>
  <c r="AH268" i="1"/>
  <c r="AH269" i="1"/>
  <c r="AH267" i="1"/>
  <c r="AH266" i="1"/>
  <c r="AH265" i="1"/>
  <c r="AH264" i="1"/>
  <c r="AH263" i="1"/>
  <c r="AH262" i="1"/>
  <c r="AH261" i="1"/>
  <c r="AH260" i="1"/>
  <c r="AH259" i="1"/>
  <c r="AH258" i="1"/>
  <c r="AH257" i="1"/>
  <c r="AH256" i="1"/>
  <c r="AH255" i="1"/>
  <c r="AH254" i="1"/>
  <c r="AH253" i="1"/>
  <c r="AH252" i="1"/>
  <c r="AH251" i="1"/>
  <c r="AH250" i="1"/>
  <c r="AH249" i="1"/>
  <c r="AH248" i="1"/>
  <c r="AH247" i="1"/>
  <c r="AH246" i="1"/>
  <c r="AH245" i="1"/>
  <c r="AH244" i="1"/>
  <c r="AH243" i="1"/>
  <c r="AH242" i="1"/>
  <c r="AH241" i="1"/>
  <c r="AH240" i="1"/>
  <c r="AH239" i="1"/>
  <c r="AH238" i="1"/>
  <c r="AH237" i="1"/>
  <c r="AH236" i="1"/>
  <c r="AH235" i="1"/>
  <c r="AH234" i="1"/>
  <c r="AH233" i="1"/>
  <c r="AH232" i="1"/>
  <c r="AH231" i="1"/>
  <c r="AH230" i="1"/>
  <c r="AH229" i="1"/>
  <c r="AH228" i="1"/>
  <c r="AH227" i="1"/>
  <c r="AH226" i="1"/>
  <c r="AH225" i="1"/>
  <c r="AH224" i="1"/>
  <c r="AH223" i="1"/>
  <c r="AH222" i="1"/>
  <c r="AH221" i="1"/>
  <c r="AH220" i="1"/>
  <c r="AH219" i="1"/>
  <c r="AH218" i="1"/>
  <c r="AH217" i="1"/>
  <c r="AH216" i="1"/>
  <c r="AH215" i="1"/>
  <c r="AH214" i="1"/>
  <c r="AH213" i="1"/>
  <c r="AH212" i="1"/>
  <c r="AH211" i="1"/>
  <c r="AH210" i="1"/>
  <c r="AH209" i="1"/>
  <c r="AH208" i="1"/>
  <c r="AH207" i="1"/>
  <c r="AH206" i="1"/>
  <c r="AH205" i="1"/>
  <c r="AH204" i="1"/>
  <c r="AH203" i="1"/>
  <c r="AH202" i="1"/>
  <c r="AH201" i="1"/>
  <c r="AH200" i="1"/>
  <c r="AH199" i="1"/>
  <c r="AH197" i="1"/>
  <c r="AH198" i="1"/>
  <c r="AH196" i="1"/>
  <c r="AH195" i="1"/>
  <c r="AH194" i="1"/>
  <c r="AH193" i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AH169" i="1"/>
  <c r="AH168" i="1"/>
  <c r="AH167" i="1"/>
  <c r="AH166" i="1"/>
  <c r="AH165" i="1"/>
  <c r="AH164" i="1"/>
  <c r="AH163" i="1"/>
  <c r="AH162" i="1"/>
  <c r="AH161" i="1"/>
  <c r="AH160" i="1"/>
  <c r="AH159" i="1"/>
  <c r="AH158" i="1"/>
  <c r="AH157" i="1"/>
  <c r="AH155" i="1"/>
  <c r="AH156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H4" i="1"/>
  <c r="AH3" i="1"/>
  <c r="AH2" i="1"/>
  <c r="AH1053" i="1"/>
  <c r="AH1706" i="1"/>
  <c r="AG1705" i="1"/>
  <c r="AG1704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689" i="1"/>
  <c r="AG1690" i="1"/>
  <c r="AG1691" i="1"/>
  <c r="AG1692" i="1"/>
  <c r="AG1688" i="1"/>
  <c r="AG1687" i="1"/>
  <c r="AG1686" i="1"/>
  <c r="AG1684" i="1"/>
  <c r="AG1685" i="1"/>
  <c r="AG1683" i="1"/>
  <c r="AG1680" i="1"/>
  <c r="AG1681" i="1"/>
  <c r="AG1682" i="1"/>
  <c r="AG1679" i="1"/>
  <c r="AG1678" i="1"/>
  <c r="AG1677" i="1"/>
  <c r="AG1675" i="1"/>
  <c r="AG1676" i="1"/>
  <c r="AG1674" i="1"/>
  <c r="AG1673" i="1"/>
  <c r="AG1672" i="1"/>
  <c r="AG1664" i="1"/>
  <c r="AG1665" i="1"/>
  <c r="AG1666" i="1"/>
  <c r="AG1667" i="1"/>
  <c r="AG1668" i="1"/>
  <c r="AG1669" i="1"/>
  <c r="AG1670" i="1"/>
  <c r="AG1671" i="1"/>
  <c r="AG1663" i="1"/>
  <c r="AG1662" i="1"/>
  <c r="AG1661" i="1"/>
  <c r="AG1660" i="1"/>
  <c r="AG1659" i="1"/>
  <c r="AG1658" i="1"/>
  <c r="AG1657" i="1"/>
  <c r="AG1656" i="1"/>
  <c r="AG1654" i="1"/>
  <c r="AG1655" i="1"/>
  <c r="AG1653" i="1"/>
  <c r="AG1652" i="1"/>
  <c r="AG1651" i="1"/>
  <c r="AG1650" i="1"/>
  <c r="AG1649" i="1"/>
  <c r="AG1647" i="1"/>
  <c r="AG1648" i="1"/>
  <c r="AG1646" i="1"/>
  <c r="AG1645" i="1"/>
  <c r="AG1644" i="1"/>
  <c r="AG1643" i="1"/>
  <c r="AG1642" i="1"/>
  <c r="AG1641" i="1"/>
  <c r="AG1639" i="1"/>
  <c r="AG1640" i="1"/>
  <c r="AG1635" i="1"/>
  <c r="AG1636" i="1"/>
  <c r="AG1637" i="1"/>
  <c r="AG1638" i="1"/>
  <c r="AG1634" i="1"/>
  <c r="AG1633" i="1"/>
  <c r="AG1632" i="1"/>
  <c r="AG1631" i="1"/>
  <c r="AG1630" i="1"/>
  <c r="AG1629" i="1"/>
  <c r="AG1628" i="1"/>
  <c r="AG1627" i="1"/>
  <c r="AG1626" i="1"/>
  <c r="AG1625" i="1"/>
  <c r="AG1624" i="1"/>
  <c r="AG1623" i="1"/>
  <c r="AG1622" i="1"/>
  <c r="AG1621" i="1"/>
  <c r="AG1620" i="1"/>
  <c r="AG1619" i="1"/>
  <c r="AG1618" i="1"/>
  <c r="AG1617" i="1"/>
  <c r="AG1616" i="1"/>
  <c r="AG1615" i="1"/>
  <c r="AG1614" i="1"/>
  <c r="AG1613" i="1"/>
  <c r="AG1612" i="1"/>
  <c r="AG1611" i="1"/>
  <c r="AG1610" i="1"/>
  <c r="AG1609" i="1"/>
  <c r="AG1608" i="1"/>
  <c r="AG1607" i="1"/>
  <c r="AG1606" i="1"/>
  <c r="AG1605" i="1"/>
  <c r="AG1604" i="1"/>
  <c r="AG1603" i="1"/>
  <c r="AG1602" i="1"/>
  <c r="AG1601" i="1"/>
  <c r="AG1600" i="1"/>
  <c r="AG1599" i="1"/>
  <c r="AG1598" i="1"/>
  <c r="AG1597" i="1"/>
  <c r="AG1596" i="1"/>
  <c r="AG1595" i="1"/>
  <c r="AG1594" i="1"/>
  <c r="AG1593" i="1"/>
  <c r="AG1592" i="1"/>
  <c r="AG1591" i="1"/>
  <c r="AG1590" i="1"/>
  <c r="AG1589" i="1"/>
  <c r="AG1588" i="1"/>
  <c r="AG1587" i="1"/>
  <c r="AG1586" i="1"/>
  <c r="AG1585" i="1"/>
  <c r="AG1584" i="1"/>
  <c r="AG1583" i="1"/>
  <c r="AG1582" i="1"/>
  <c r="AG1581" i="1"/>
  <c r="AG1580" i="1"/>
  <c r="AG1579" i="1"/>
  <c r="AG1578" i="1"/>
  <c r="AG1577" i="1"/>
  <c r="AG1576" i="1"/>
  <c r="AG1575" i="1"/>
  <c r="AG1574" i="1"/>
  <c r="AG1573" i="1"/>
  <c r="AG1572" i="1"/>
  <c r="AG1571" i="1"/>
  <c r="AG1570" i="1"/>
  <c r="AG1569" i="1"/>
  <c r="AG1568" i="1"/>
  <c r="AG1567" i="1"/>
  <c r="AG1566" i="1"/>
  <c r="AG1565" i="1"/>
  <c r="AG1564" i="1"/>
  <c r="AG1563" i="1"/>
  <c r="AG1562" i="1"/>
  <c r="AG1561" i="1"/>
  <c r="AG1560" i="1"/>
  <c r="AG1559" i="1"/>
  <c r="AG1558" i="1"/>
  <c r="AG1557" i="1"/>
  <c r="AG1556" i="1"/>
  <c r="AG1555" i="1"/>
  <c r="AG1554" i="1"/>
  <c r="AG1553" i="1"/>
  <c r="AG1552" i="1"/>
  <c r="AG1551" i="1"/>
  <c r="AG1550" i="1"/>
  <c r="AG1549" i="1"/>
  <c r="AG1548" i="1"/>
  <c r="AG1547" i="1"/>
  <c r="AG1546" i="1"/>
  <c r="AG1545" i="1"/>
  <c r="AG1544" i="1"/>
  <c r="AG1543" i="1"/>
  <c r="AG1542" i="1"/>
  <c r="AG1541" i="1"/>
  <c r="AG1540" i="1"/>
  <c r="AG1539" i="1"/>
  <c r="AG1538" i="1"/>
  <c r="AG1537" i="1"/>
  <c r="AG1536" i="1"/>
  <c r="AG1535" i="1"/>
  <c r="AG1534" i="1"/>
  <c r="AG1532" i="1"/>
  <c r="AG1533" i="1"/>
  <c r="AG1530" i="1"/>
  <c r="AG1531" i="1"/>
  <c r="AG1529" i="1"/>
  <c r="AG1528" i="1"/>
  <c r="AG1527" i="1"/>
  <c r="AG1526" i="1"/>
  <c r="AG1525" i="1"/>
  <c r="AG1524" i="1"/>
  <c r="AG1523" i="1"/>
  <c r="AG1522" i="1"/>
  <c r="AG1521" i="1"/>
  <c r="AG1519" i="1"/>
  <c r="AG1520" i="1"/>
  <c r="AG1518" i="1"/>
  <c r="AG1517" i="1"/>
  <c r="AG1516" i="1"/>
  <c r="AG1515" i="1"/>
  <c r="AG1514" i="1"/>
  <c r="AG1513" i="1"/>
  <c r="AG1512" i="1"/>
  <c r="AG1511" i="1"/>
  <c r="AG1510" i="1"/>
  <c r="AG1508" i="1"/>
  <c r="AG1509" i="1"/>
  <c r="AG1507" i="1"/>
  <c r="AG1506" i="1"/>
  <c r="AG1505" i="1"/>
  <c r="AG1504" i="1"/>
  <c r="AG1503" i="1"/>
  <c r="AG1502" i="1"/>
  <c r="AG1501" i="1"/>
  <c r="AG1500" i="1"/>
  <c r="AG1499" i="1"/>
  <c r="AG1498" i="1"/>
  <c r="AG1497" i="1"/>
  <c r="AG1496" i="1"/>
  <c r="AG1495" i="1"/>
  <c r="AG1494" i="1"/>
  <c r="AG1493" i="1"/>
  <c r="AG1492" i="1"/>
  <c r="AG1491" i="1"/>
  <c r="AG1490" i="1"/>
  <c r="AG1489" i="1"/>
  <c r="AG1488" i="1"/>
  <c r="AG1487" i="1"/>
  <c r="AG1486" i="1"/>
  <c r="AG1485" i="1"/>
  <c r="AG1484" i="1"/>
  <c r="AG1483" i="1"/>
  <c r="AG1482" i="1"/>
  <c r="AG1481" i="1"/>
  <c r="AG1480" i="1"/>
  <c r="AG1479" i="1"/>
  <c r="AG1478" i="1"/>
  <c r="AG1477" i="1"/>
  <c r="AG1476" i="1"/>
  <c r="AG1475" i="1"/>
  <c r="AG1474" i="1"/>
  <c r="AG1473" i="1"/>
  <c r="AG1472" i="1"/>
  <c r="AG1471" i="1"/>
  <c r="AG1470" i="1"/>
  <c r="AG1469" i="1"/>
  <c r="AG1468" i="1"/>
  <c r="AG1467" i="1"/>
  <c r="AG1466" i="1"/>
  <c r="AG1465" i="1"/>
  <c r="AG1464" i="1"/>
  <c r="AG1463" i="1"/>
  <c r="AG1462" i="1"/>
  <c r="AG1461" i="1"/>
  <c r="AG1459" i="1"/>
  <c r="AG1460" i="1"/>
  <c r="AG1458" i="1"/>
  <c r="AG1457" i="1"/>
  <c r="AG1456" i="1"/>
  <c r="AG1455" i="1"/>
  <c r="AG1454" i="1"/>
  <c r="AG1453" i="1"/>
  <c r="AG1452" i="1"/>
  <c r="AG1451" i="1"/>
  <c r="AG1450" i="1"/>
  <c r="AG1449" i="1"/>
  <c r="AG1448" i="1"/>
  <c r="AG1447" i="1"/>
  <c r="AG1446" i="1"/>
  <c r="AG1445" i="1"/>
  <c r="AG1444" i="1"/>
  <c r="AG1443" i="1"/>
  <c r="AG1442" i="1"/>
  <c r="AG1441" i="1"/>
  <c r="AG1440" i="1"/>
  <c r="AG1439" i="1"/>
  <c r="AG1438" i="1"/>
  <c r="AG1437" i="1"/>
  <c r="AG1436" i="1"/>
  <c r="AG1434" i="1"/>
  <c r="AG1435" i="1"/>
  <c r="AG1433" i="1"/>
  <c r="AG1432" i="1"/>
  <c r="AG1431" i="1"/>
  <c r="AG1430" i="1"/>
  <c r="AG1429" i="1"/>
  <c r="AG1428" i="1"/>
  <c r="AG1427" i="1"/>
  <c r="AG1426" i="1"/>
  <c r="AG1425" i="1"/>
  <c r="AG1424" i="1"/>
  <c r="AG1423" i="1"/>
  <c r="AG1422" i="1"/>
  <c r="AG1421" i="1"/>
  <c r="AG1420" i="1"/>
  <c r="AG1419" i="1"/>
  <c r="AG1418" i="1"/>
  <c r="AG1417" i="1"/>
  <c r="AG1416" i="1"/>
  <c r="AG1415" i="1"/>
  <c r="AG1414" i="1"/>
  <c r="AG1411" i="1"/>
  <c r="AG1412" i="1"/>
  <c r="AG1413" i="1"/>
  <c r="AG1410" i="1"/>
  <c r="AG1409" i="1"/>
  <c r="AG1408" i="1"/>
  <c r="AG1406" i="1"/>
  <c r="AG1407" i="1"/>
  <c r="AG1405" i="1"/>
  <c r="AG1404" i="1"/>
  <c r="AG1402" i="1"/>
  <c r="AG1403" i="1"/>
  <c r="AG1401" i="1"/>
  <c r="AG1400" i="1"/>
  <c r="AG1399" i="1"/>
  <c r="AG1397" i="1"/>
  <c r="AG1398" i="1"/>
  <c r="AG1396" i="1"/>
  <c r="AG1395" i="1"/>
  <c r="AG1394" i="1"/>
  <c r="AG1393" i="1"/>
  <c r="AG1392" i="1"/>
  <c r="AG1391" i="1"/>
  <c r="AG1390" i="1"/>
  <c r="AG1389" i="1"/>
  <c r="AG1388" i="1"/>
  <c r="AG1387" i="1"/>
  <c r="AG1386" i="1"/>
  <c r="AG1385" i="1"/>
  <c r="AG1384" i="1"/>
  <c r="AG1383" i="1"/>
  <c r="AG1382" i="1"/>
  <c r="AG1381" i="1"/>
  <c r="AG1380" i="1"/>
  <c r="AG1379" i="1"/>
  <c r="AG1378" i="1"/>
  <c r="AG1377" i="1"/>
  <c r="AG1376" i="1"/>
  <c r="AG1375" i="1"/>
  <c r="AG1374" i="1"/>
  <c r="AG1373" i="1"/>
  <c r="AG1372" i="1"/>
  <c r="AG1371" i="1"/>
  <c r="AG1370" i="1"/>
  <c r="AG1369" i="1"/>
  <c r="AG1368" i="1"/>
  <c r="AG1367" i="1"/>
  <c r="AG1366" i="1"/>
  <c r="AG1365" i="1"/>
  <c r="AG1364" i="1"/>
  <c r="AG1363" i="1"/>
  <c r="AG1362" i="1"/>
  <c r="AG1361" i="1"/>
  <c r="AG1360" i="1"/>
  <c r="AG1359" i="1"/>
  <c r="AG1358" i="1"/>
  <c r="AG1357" i="1"/>
  <c r="AG1356" i="1"/>
  <c r="AG1354" i="1"/>
  <c r="AG1355" i="1"/>
  <c r="AG1353" i="1"/>
  <c r="AG1352" i="1"/>
  <c r="AG1351" i="1"/>
  <c r="AG1350" i="1"/>
  <c r="AG1349" i="1"/>
  <c r="AG1348" i="1"/>
  <c r="AG1347" i="1"/>
  <c r="AG1346" i="1"/>
  <c r="AG1345" i="1"/>
  <c r="AG1344" i="1"/>
  <c r="AG1343" i="1"/>
  <c r="AG1342" i="1"/>
  <c r="AG1341" i="1"/>
  <c r="AG1340" i="1"/>
  <c r="AG1339" i="1"/>
  <c r="AG1338" i="1"/>
  <c r="AG1337" i="1"/>
  <c r="AG1336" i="1"/>
  <c r="AG1335" i="1"/>
  <c r="AG1334" i="1"/>
  <c r="AG1333" i="1"/>
  <c r="AG1332" i="1"/>
  <c r="AG1331" i="1"/>
  <c r="AG1330" i="1"/>
  <c r="AG1329" i="1"/>
  <c r="AG1327" i="1"/>
  <c r="AG1328" i="1"/>
  <c r="AG1326" i="1"/>
  <c r="AG1325" i="1"/>
  <c r="AG1324" i="1"/>
  <c r="AG1323" i="1"/>
  <c r="AG1322" i="1"/>
  <c r="AG1321" i="1"/>
  <c r="AG1320" i="1"/>
  <c r="AG1319" i="1"/>
  <c r="AG1318" i="1"/>
  <c r="AG1317" i="1"/>
  <c r="AG1316" i="1"/>
  <c r="AG1315" i="1"/>
  <c r="AG1314" i="1"/>
  <c r="AG1313" i="1"/>
  <c r="AG1311" i="1"/>
  <c r="AG1310" i="1"/>
  <c r="AG1307" i="1"/>
  <c r="AG1308" i="1"/>
  <c r="AG1309" i="1"/>
  <c r="AG1306" i="1"/>
  <c r="AG1305" i="1"/>
  <c r="AG1303" i="1"/>
  <c r="AG1304" i="1"/>
  <c r="AG1296" i="1"/>
  <c r="AG1297" i="1"/>
  <c r="AG1298" i="1"/>
  <c r="AG1299" i="1"/>
  <c r="AG1300" i="1"/>
  <c r="AG1301" i="1"/>
  <c r="AG1302" i="1"/>
  <c r="AG1295" i="1"/>
  <c r="AG1293" i="1"/>
  <c r="AG1294" i="1"/>
  <c r="AG1291" i="1"/>
  <c r="AG1292" i="1"/>
  <c r="AG1290" i="1"/>
  <c r="AG1289" i="1"/>
  <c r="AG1288" i="1"/>
  <c r="AG1287" i="1"/>
  <c r="AG1286" i="1"/>
  <c r="AG1285" i="1"/>
  <c r="AG1284" i="1"/>
  <c r="AG1283" i="1"/>
  <c r="AG1282" i="1"/>
  <c r="AG1281" i="1"/>
  <c r="AG1280" i="1"/>
  <c r="AG1279" i="1"/>
  <c r="AG1278" i="1"/>
  <c r="AG1277" i="1"/>
  <c r="AG1276" i="1"/>
  <c r="AG1275" i="1"/>
  <c r="AG1274" i="1"/>
  <c r="AG1273" i="1"/>
  <c r="AG1272" i="1"/>
  <c r="AG1271" i="1"/>
  <c r="AG1270" i="1"/>
  <c r="AG1269" i="1"/>
  <c r="AG1268" i="1"/>
  <c r="AG1267" i="1"/>
  <c r="AG1265" i="1"/>
  <c r="AG1266" i="1"/>
  <c r="AG1264" i="1"/>
  <c r="AG1263" i="1"/>
  <c r="AG1262" i="1"/>
  <c r="AG1261" i="1"/>
  <c r="AG1260" i="1"/>
  <c r="AG1259" i="1"/>
  <c r="AG1257" i="1"/>
  <c r="AG1258" i="1"/>
  <c r="AG1256" i="1"/>
  <c r="AG1255" i="1"/>
  <c r="AG1254" i="1"/>
  <c r="AG1253" i="1"/>
  <c r="AG1252" i="1"/>
  <c r="AG1251" i="1"/>
  <c r="AG1250" i="1"/>
  <c r="AG1249" i="1"/>
  <c r="AG1248" i="1"/>
  <c r="AG1247" i="1"/>
  <c r="AG1246" i="1"/>
  <c r="AG1245" i="1"/>
  <c r="AG1244" i="1"/>
  <c r="AG1243" i="1"/>
  <c r="AG1242" i="1"/>
  <c r="AG1241" i="1"/>
  <c r="AG1240" i="1"/>
  <c r="AG1239" i="1"/>
  <c r="AG1238" i="1"/>
  <c r="AG1237" i="1"/>
  <c r="AG1236" i="1"/>
  <c r="AG1235" i="1"/>
  <c r="AG1234" i="1"/>
  <c r="AG1233" i="1"/>
  <c r="AG1232" i="1"/>
  <c r="AG1231" i="1"/>
  <c r="AG1230" i="1"/>
  <c r="AG1229" i="1"/>
  <c r="AG1228" i="1"/>
  <c r="AG1227" i="1"/>
  <c r="AG1226" i="1"/>
  <c r="AG1225" i="1"/>
  <c r="AG1224" i="1"/>
  <c r="AG1223" i="1"/>
  <c r="AG1222" i="1"/>
  <c r="AG1221" i="1"/>
  <c r="AG1220" i="1"/>
  <c r="AG1219" i="1"/>
  <c r="AG1218" i="1"/>
  <c r="AG1216" i="1"/>
  <c r="AG1217" i="1"/>
  <c r="AG1215" i="1"/>
  <c r="AG1214" i="1"/>
  <c r="AG1213" i="1"/>
  <c r="AG1212" i="1"/>
  <c r="AG1211" i="1"/>
  <c r="AG1210" i="1"/>
  <c r="AG1209" i="1"/>
  <c r="AG1208" i="1"/>
  <c r="AG1207" i="1"/>
  <c r="AG1206" i="1"/>
  <c r="AG1205" i="1"/>
  <c r="AG1204" i="1"/>
  <c r="AG1203" i="1"/>
  <c r="AG1202" i="1"/>
  <c r="AG1201" i="1"/>
  <c r="AG1200" i="1"/>
  <c r="AG1199" i="1"/>
  <c r="AG1198" i="1"/>
  <c r="AG1197" i="1"/>
  <c r="AG1196" i="1"/>
  <c r="AG1195" i="1"/>
  <c r="AG1194" i="1"/>
  <c r="AG1193" i="1"/>
  <c r="AG1192" i="1"/>
  <c r="AG1191" i="1"/>
  <c r="AG1190" i="1"/>
  <c r="AG1189" i="1"/>
  <c r="AG1188" i="1"/>
  <c r="AG1187" i="1"/>
  <c r="AG1186" i="1"/>
  <c r="AG1185" i="1"/>
  <c r="AG1184" i="1"/>
  <c r="AG1183" i="1"/>
  <c r="AG1182" i="1"/>
  <c r="AG1181" i="1"/>
  <c r="AG1180" i="1"/>
  <c r="AG1179" i="1"/>
  <c r="AG1178" i="1"/>
  <c r="AG1177" i="1"/>
  <c r="AG1176" i="1"/>
  <c r="AG1175" i="1"/>
  <c r="AG1174" i="1"/>
  <c r="AG1172" i="1"/>
  <c r="AG1173" i="1"/>
  <c r="AG1171" i="1"/>
  <c r="AG1170" i="1"/>
  <c r="AG1169" i="1"/>
  <c r="AG1167" i="1"/>
  <c r="AG1168" i="1"/>
  <c r="AG1166" i="1"/>
  <c r="AG1165" i="1"/>
  <c r="AG1164" i="1"/>
  <c r="AG1163" i="1"/>
  <c r="AG1162" i="1"/>
  <c r="AG1161" i="1"/>
  <c r="AG1160" i="1"/>
  <c r="AG1159" i="1"/>
  <c r="AG1158" i="1"/>
  <c r="AG1157" i="1"/>
  <c r="AG1156" i="1"/>
  <c r="AG1155" i="1"/>
  <c r="AG1154" i="1"/>
  <c r="AG1153" i="1"/>
  <c r="AG1152" i="1"/>
  <c r="AG1151" i="1"/>
  <c r="AG1150" i="1"/>
  <c r="AG1148" i="1"/>
  <c r="AG1149" i="1"/>
  <c r="AG1147" i="1"/>
  <c r="AG1146" i="1"/>
  <c r="AG1145" i="1"/>
  <c r="AG1144" i="1"/>
  <c r="AG1143" i="1"/>
  <c r="AG1142" i="1"/>
  <c r="AG1141" i="1"/>
  <c r="AG1140" i="1"/>
  <c r="AG1139" i="1"/>
  <c r="AG1138" i="1"/>
  <c r="AG1137" i="1"/>
  <c r="AG1134" i="1"/>
  <c r="AG1135" i="1"/>
  <c r="AG1136" i="1"/>
  <c r="AG1133" i="1"/>
  <c r="AG1132" i="1"/>
  <c r="AG1131" i="1"/>
  <c r="AG1130" i="1"/>
  <c r="AG1129" i="1"/>
  <c r="AG1128" i="1"/>
  <c r="AG1127" i="1"/>
  <c r="AG1126" i="1"/>
  <c r="AG1125" i="1"/>
  <c r="AG1124" i="1"/>
  <c r="AG1123" i="1"/>
  <c r="AG1122" i="1"/>
  <c r="AG1121" i="1"/>
  <c r="AG1120" i="1"/>
  <c r="AG1117" i="1"/>
  <c r="AG1118" i="1"/>
  <c r="AG1119" i="1"/>
  <c r="AG1116" i="1"/>
  <c r="AG1114" i="1"/>
  <c r="AG1115" i="1"/>
  <c r="AG1112" i="1"/>
  <c r="AG1113" i="1"/>
  <c r="AG1111" i="1"/>
  <c r="AG1110" i="1"/>
  <c r="AG1109" i="1"/>
  <c r="AG1108" i="1"/>
  <c r="AG1107" i="1"/>
  <c r="AG1106" i="1"/>
  <c r="AG1105" i="1"/>
  <c r="AG1104" i="1"/>
  <c r="AG1103" i="1"/>
  <c r="AG1102" i="1"/>
  <c r="AG1101" i="1"/>
  <c r="AG1100" i="1"/>
  <c r="AG1099" i="1"/>
  <c r="AG1098" i="1"/>
  <c r="AG1097" i="1"/>
  <c r="AG1096" i="1"/>
  <c r="AG1095" i="1"/>
  <c r="AG1094" i="1"/>
  <c r="AG1093" i="1"/>
  <c r="AG1092" i="1"/>
  <c r="AG1091" i="1"/>
  <c r="AG1090" i="1"/>
  <c r="AG1089" i="1"/>
  <c r="AG1088" i="1"/>
  <c r="AG1087" i="1"/>
  <c r="AG1086" i="1"/>
  <c r="AG1085" i="1"/>
  <c r="AG1084" i="1"/>
  <c r="AG1083" i="1"/>
  <c r="AG1082" i="1"/>
  <c r="AG1081" i="1"/>
  <c r="AG1080" i="1"/>
  <c r="AG1079" i="1"/>
  <c r="AG1078" i="1"/>
  <c r="AG1077" i="1"/>
  <c r="AG1076" i="1"/>
  <c r="AG1075" i="1"/>
  <c r="AG1074" i="1"/>
  <c r="AG1073" i="1"/>
  <c r="AG1072" i="1"/>
  <c r="AG1071" i="1"/>
  <c r="AG1070" i="1"/>
  <c r="AG1069" i="1"/>
  <c r="AG1068" i="1"/>
  <c r="AG1067" i="1"/>
  <c r="AG1065" i="1"/>
  <c r="AG1066" i="1"/>
  <c r="AG1064" i="1"/>
  <c r="AG1063" i="1"/>
  <c r="AG1062" i="1"/>
  <c r="AG1061" i="1"/>
  <c r="AG1060" i="1"/>
  <c r="AG1059" i="1"/>
  <c r="AG1057" i="1"/>
  <c r="AG1058" i="1"/>
  <c r="AG1056" i="1"/>
  <c r="AG1055" i="1"/>
  <c r="AG1054" i="1"/>
  <c r="AG1052" i="1"/>
  <c r="AG1051" i="1"/>
  <c r="AG1050" i="1"/>
  <c r="AG1049" i="1"/>
  <c r="AG1048" i="1"/>
  <c r="AG1047" i="1"/>
  <c r="AG1046" i="1"/>
  <c r="AG1045" i="1"/>
  <c r="AG1044" i="1"/>
  <c r="AG1043" i="1"/>
  <c r="AG1041" i="1"/>
  <c r="AG1042" i="1"/>
  <c r="AG1040" i="1"/>
  <c r="AG1039" i="1"/>
  <c r="AG1038" i="1"/>
  <c r="AG1037" i="1"/>
  <c r="AG1036" i="1"/>
  <c r="AG1035" i="1"/>
  <c r="AG1034" i="1"/>
  <c r="AG1033" i="1"/>
  <c r="AG1032" i="1"/>
  <c r="AG1031" i="1"/>
  <c r="AG1030" i="1"/>
  <c r="AG1029" i="1"/>
  <c r="AG1028" i="1"/>
  <c r="AG1027" i="1"/>
  <c r="AG1026" i="1"/>
  <c r="AG1025" i="1"/>
  <c r="AG1024" i="1"/>
  <c r="AG1022" i="1"/>
  <c r="AG1023" i="1"/>
  <c r="AG1021" i="1"/>
  <c r="AG1020" i="1"/>
  <c r="AG1019" i="1"/>
  <c r="AG1018" i="1"/>
  <c r="AG1017" i="1"/>
  <c r="AG1016" i="1"/>
  <c r="AG1015" i="1"/>
  <c r="AG1014" i="1"/>
  <c r="AG1013" i="1"/>
  <c r="AG1012" i="1"/>
  <c r="AG1011" i="1"/>
  <c r="AG1010" i="1"/>
  <c r="AG1009" i="1"/>
  <c r="AG1008" i="1"/>
  <c r="AG1007" i="1"/>
  <c r="AG1006" i="1"/>
  <c r="AG1005" i="1"/>
  <c r="AG1004" i="1"/>
  <c r="AG1003" i="1"/>
  <c r="AG1002" i="1"/>
  <c r="AG1001" i="1"/>
  <c r="AG1000" i="1"/>
  <c r="AG999" i="1"/>
  <c r="AG998" i="1"/>
  <c r="AG997" i="1"/>
  <c r="AG996" i="1"/>
  <c r="AG995" i="1"/>
  <c r="AG994" i="1"/>
  <c r="AG993" i="1"/>
  <c r="AG992" i="1"/>
  <c r="AG991" i="1"/>
  <c r="AG990" i="1"/>
  <c r="AG989" i="1"/>
  <c r="AG988" i="1"/>
  <c r="AG987" i="1"/>
  <c r="AG986" i="1"/>
  <c r="AG985" i="1"/>
  <c r="AG984" i="1"/>
  <c r="AG983" i="1"/>
  <c r="AG982" i="1"/>
  <c r="AG981" i="1"/>
  <c r="AG980" i="1"/>
  <c r="AG979" i="1"/>
  <c r="AG978" i="1"/>
  <c r="AG976" i="1"/>
  <c r="AG977" i="1"/>
  <c r="AG975" i="1"/>
  <c r="AG974" i="1"/>
  <c r="AG972" i="1"/>
  <c r="AG973" i="1"/>
  <c r="AG971" i="1"/>
  <c r="AG970" i="1"/>
  <c r="AG969" i="1"/>
  <c r="AG968" i="1"/>
  <c r="AG967" i="1"/>
  <c r="AG966" i="1"/>
  <c r="AG965" i="1"/>
  <c r="AG964" i="1"/>
  <c r="AG963" i="1"/>
  <c r="AG960" i="1"/>
  <c r="AG961" i="1"/>
  <c r="AG962" i="1"/>
  <c r="AG959" i="1"/>
  <c r="AG956" i="1"/>
  <c r="AG957" i="1"/>
  <c r="AG958" i="1"/>
  <c r="AG955" i="1"/>
  <c r="AG953" i="1"/>
  <c r="AG954" i="1"/>
  <c r="AG952" i="1"/>
  <c r="AG951" i="1"/>
  <c r="AG949" i="1"/>
  <c r="AG950" i="1"/>
  <c r="AG948" i="1"/>
  <c r="AG947" i="1"/>
  <c r="AG946" i="1"/>
  <c r="AG945" i="1"/>
  <c r="AG943" i="1"/>
  <c r="AG944" i="1"/>
  <c r="AG942" i="1"/>
  <c r="AG941" i="1"/>
  <c r="AG939" i="1"/>
  <c r="AG940" i="1"/>
  <c r="AG937" i="1"/>
  <c r="AG938" i="1"/>
  <c r="AG935" i="1"/>
  <c r="AG936" i="1"/>
  <c r="AG934" i="1"/>
  <c r="AG933" i="1"/>
  <c r="AG931" i="1"/>
  <c r="AG932" i="1"/>
  <c r="AG929" i="1"/>
  <c r="AG930" i="1"/>
  <c r="AG928" i="1"/>
  <c r="AG927" i="1"/>
  <c r="AG926" i="1"/>
  <c r="AG925" i="1"/>
  <c r="AG924" i="1"/>
  <c r="AG923" i="1"/>
  <c r="AG922" i="1"/>
  <c r="AG921" i="1"/>
  <c r="AG920" i="1"/>
  <c r="AG919" i="1"/>
  <c r="AG918" i="1"/>
  <c r="AG917" i="1"/>
  <c r="AG916" i="1"/>
  <c r="AG915" i="1"/>
  <c r="AG914" i="1"/>
  <c r="AG913" i="1"/>
  <c r="AG912" i="1"/>
  <c r="AG911" i="1"/>
  <c r="AG910" i="1"/>
  <c r="AG909" i="1"/>
  <c r="AG908" i="1"/>
  <c r="AG907" i="1"/>
  <c r="AG906" i="1"/>
  <c r="AG905" i="1"/>
  <c r="AG904" i="1"/>
  <c r="AG903" i="1"/>
  <c r="AG902" i="1"/>
  <c r="AG901" i="1"/>
  <c r="AG900" i="1"/>
  <c r="AG899" i="1"/>
  <c r="AG898" i="1"/>
  <c r="AG897" i="1"/>
  <c r="AG896" i="1"/>
  <c r="AG895" i="1"/>
  <c r="AG894" i="1"/>
  <c r="AG893" i="1"/>
  <c r="AG892" i="1"/>
  <c r="AG891" i="1"/>
  <c r="AG889" i="1"/>
  <c r="AG890" i="1"/>
  <c r="AG888" i="1"/>
  <c r="AG887" i="1"/>
  <c r="AG886" i="1"/>
  <c r="AG885" i="1"/>
  <c r="AG884" i="1"/>
  <c r="AG883" i="1"/>
  <c r="AG882" i="1"/>
  <c r="AG881" i="1"/>
  <c r="AG880" i="1"/>
  <c r="AG879" i="1"/>
  <c r="AG878" i="1"/>
  <c r="AG877" i="1"/>
  <c r="AG876" i="1"/>
  <c r="AG875" i="1"/>
  <c r="AG874" i="1"/>
  <c r="AG873" i="1"/>
  <c r="AG872" i="1"/>
  <c r="AG870" i="1"/>
  <c r="AG871" i="1"/>
  <c r="AG869" i="1"/>
  <c r="AG868" i="1"/>
  <c r="AG865" i="1"/>
  <c r="AG866" i="1"/>
  <c r="AG867" i="1"/>
  <c r="AG864" i="1"/>
  <c r="AG863" i="1"/>
  <c r="AG862" i="1"/>
  <c r="AG861" i="1"/>
  <c r="AG860" i="1"/>
  <c r="AG859" i="1"/>
  <c r="AG858" i="1"/>
  <c r="AG857" i="1"/>
  <c r="AG855" i="1"/>
  <c r="AG856" i="1"/>
  <c r="AG854" i="1"/>
  <c r="AG853" i="1"/>
  <c r="AG852" i="1"/>
  <c r="AG851" i="1"/>
  <c r="AG850" i="1"/>
  <c r="AG849" i="1"/>
  <c r="AG848" i="1"/>
  <c r="AG847" i="1"/>
  <c r="AG846" i="1"/>
  <c r="AG845" i="1"/>
  <c r="AG844" i="1"/>
  <c r="AG843" i="1"/>
  <c r="AG842" i="1"/>
  <c r="AG841" i="1"/>
  <c r="AG840" i="1"/>
  <c r="AG839" i="1"/>
  <c r="AG838" i="1"/>
  <c r="AG837" i="1"/>
  <c r="AG836" i="1"/>
  <c r="AG835" i="1"/>
  <c r="AG834" i="1"/>
  <c r="AG833" i="1"/>
  <c r="AG832" i="1"/>
  <c r="AG831" i="1"/>
  <c r="AG830" i="1"/>
  <c r="AG829" i="1"/>
  <c r="AG828" i="1"/>
  <c r="AG827" i="1"/>
  <c r="AG826" i="1"/>
  <c r="AG825" i="1"/>
  <c r="AG824" i="1"/>
  <c r="AG823" i="1"/>
  <c r="AG822" i="1"/>
  <c r="AG821" i="1"/>
  <c r="AG820" i="1"/>
  <c r="AG819" i="1"/>
  <c r="AG818" i="1"/>
  <c r="AG817" i="1"/>
  <c r="AG816" i="1"/>
  <c r="AG815" i="1"/>
  <c r="AG814" i="1"/>
  <c r="AG813" i="1"/>
  <c r="AG812" i="1"/>
  <c r="AG810" i="1"/>
  <c r="AG811" i="1"/>
  <c r="AG809" i="1"/>
  <c r="AG807" i="1"/>
  <c r="AG808" i="1"/>
  <c r="AG806" i="1"/>
  <c r="AG805" i="1"/>
  <c r="AG803" i="1"/>
  <c r="AG804" i="1"/>
  <c r="AG802" i="1"/>
  <c r="AG800" i="1"/>
  <c r="AG801" i="1"/>
  <c r="AG799" i="1"/>
  <c r="AG798" i="1"/>
  <c r="AG796" i="1"/>
  <c r="AG797" i="1"/>
  <c r="AG795" i="1"/>
  <c r="AG794" i="1"/>
  <c r="AG793" i="1"/>
  <c r="AG792" i="1"/>
  <c r="AG791" i="1"/>
  <c r="AG790" i="1"/>
  <c r="AG789" i="1"/>
  <c r="AG788" i="1"/>
  <c r="AG787" i="1"/>
  <c r="AG786" i="1"/>
  <c r="AG785" i="1"/>
  <c r="AG784" i="1"/>
  <c r="AG783" i="1"/>
  <c r="AG782" i="1"/>
  <c r="AG781" i="1"/>
  <c r="AG780" i="1"/>
  <c r="AG778" i="1"/>
  <c r="AG779" i="1"/>
  <c r="AG776" i="1"/>
  <c r="AG777" i="1"/>
  <c r="AG775" i="1"/>
  <c r="AG774" i="1"/>
  <c r="AG773" i="1"/>
  <c r="AG772" i="1"/>
  <c r="AG771" i="1"/>
  <c r="AG769" i="1"/>
  <c r="AG770" i="1"/>
  <c r="AG767" i="1"/>
  <c r="AG768" i="1"/>
  <c r="AG766" i="1"/>
  <c r="AG765" i="1"/>
  <c r="AG764" i="1"/>
  <c r="AG763" i="1"/>
  <c r="AG762" i="1"/>
  <c r="AG761" i="1"/>
  <c r="AG760" i="1"/>
  <c r="AG759" i="1"/>
  <c r="AG758" i="1"/>
  <c r="AG757" i="1"/>
  <c r="AG756" i="1"/>
  <c r="AG755" i="1"/>
  <c r="AG754" i="1"/>
  <c r="AG753" i="1"/>
  <c r="AG752" i="1"/>
  <c r="AG750" i="1"/>
  <c r="AG751" i="1"/>
  <c r="AG749" i="1"/>
  <c r="AG748" i="1"/>
  <c r="AG747" i="1"/>
  <c r="AG746" i="1"/>
  <c r="AG745" i="1"/>
  <c r="AG744" i="1"/>
  <c r="AG743" i="1"/>
  <c r="AG742" i="1"/>
  <c r="AG741" i="1"/>
  <c r="AG740" i="1"/>
  <c r="AG739" i="1"/>
  <c r="AG738" i="1"/>
  <c r="AG737" i="1"/>
  <c r="AG736" i="1"/>
  <c r="AG735" i="1"/>
  <c r="AG734" i="1"/>
  <c r="AG733" i="1"/>
  <c r="AG732" i="1"/>
  <c r="AG731" i="1"/>
  <c r="AG730" i="1"/>
  <c r="AG729" i="1"/>
  <c r="AG728" i="1"/>
  <c r="AG727" i="1"/>
  <c r="AG726" i="1"/>
  <c r="AG725" i="1"/>
  <c r="AG724" i="1"/>
  <c r="AG723" i="1"/>
  <c r="AG721" i="1"/>
  <c r="AG722" i="1"/>
  <c r="AG720" i="1"/>
  <c r="AG719" i="1"/>
  <c r="AG718" i="1"/>
  <c r="AG717" i="1"/>
  <c r="AG716" i="1"/>
  <c r="AG715" i="1"/>
  <c r="AG714" i="1"/>
  <c r="AG712" i="1"/>
  <c r="AG713" i="1"/>
  <c r="AG711" i="1"/>
  <c r="AG710" i="1"/>
  <c r="AG709" i="1"/>
  <c r="AG708" i="1"/>
  <c r="AG707" i="1"/>
  <c r="AG706" i="1"/>
  <c r="AG705" i="1"/>
  <c r="AG704" i="1"/>
  <c r="AG703" i="1"/>
  <c r="AG702" i="1"/>
  <c r="AG701" i="1"/>
  <c r="AG700" i="1"/>
  <c r="AG699" i="1"/>
  <c r="AG698" i="1"/>
  <c r="AG697" i="1"/>
  <c r="AG696" i="1"/>
  <c r="AG695" i="1"/>
  <c r="AG694" i="1"/>
  <c r="AG693" i="1"/>
  <c r="AG692" i="1"/>
  <c r="AG691" i="1"/>
  <c r="AG690" i="1"/>
  <c r="AG689" i="1"/>
  <c r="AG688" i="1"/>
  <c r="AG687" i="1"/>
  <c r="AG686" i="1"/>
  <c r="AG685" i="1"/>
  <c r="AG684" i="1"/>
  <c r="AG683" i="1"/>
  <c r="AG682" i="1"/>
  <c r="AG681" i="1"/>
  <c r="AG680" i="1"/>
  <c r="AG679" i="1"/>
  <c r="AG678" i="1"/>
  <c r="AG677" i="1"/>
  <c r="AG676" i="1"/>
  <c r="AG674" i="1"/>
  <c r="AG675" i="1"/>
  <c r="AG673" i="1"/>
  <c r="AG672" i="1"/>
  <c r="AG671" i="1"/>
  <c r="AG670" i="1"/>
  <c r="AG669" i="1"/>
  <c r="AG668" i="1"/>
  <c r="AG667" i="1"/>
  <c r="AG666" i="1"/>
  <c r="AG665" i="1"/>
  <c r="AG664" i="1"/>
  <c r="AG663" i="1"/>
  <c r="AG662" i="1"/>
  <c r="AG661" i="1"/>
  <c r="AG660" i="1"/>
  <c r="AG659" i="1"/>
  <c r="AG658" i="1"/>
  <c r="AG657" i="1"/>
  <c r="AG656" i="1"/>
  <c r="AG655" i="1"/>
  <c r="AG654" i="1"/>
  <c r="AG653" i="1"/>
  <c r="AG652" i="1"/>
  <c r="AG650" i="1"/>
  <c r="AG651" i="1"/>
  <c r="AG649" i="1"/>
  <c r="AG648" i="1"/>
  <c r="AG647" i="1"/>
  <c r="AG646" i="1"/>
  <c r="AG645" i="1"/>
  <c r="AG644" i="1"/>
  <c r="AG643" i="1"/>
  <c r="AG642" i="1"/>
  <c r="AG641" i="1"/>
  <c r="AG640" i="1"/>
  <c r="AG639" i="1"/>
  <c r="AG638" i="1"/>
  <c r="AG637" i="1"/>
  <c r="AG636" i="1"/>
  <c r="AG635" i="1"/>
  <c r="AG634" i="1"/>
  <c r="AG633" i="1"/>
  <c r="AG632" i="1"/>
  <c r="AG631" i="1"/>
  <c r="AG630" i="1"/>
  <c r="AG629" i="1"/>
  <c r="AG628" i="1"/>
  <c r="AG627" i="1"/>
  <c r="AG626" i="1"/>
  <c r="AG625" i="1"/>
  <c r="AG624" i="1"/>
  <c r="AG623" i="1"/>
  <c r="AG622" i="1"/>
  <c r="AG621" i="1"/>
  <c r="AG620" i="1"/>
  <c r="AG618" i="1"/>
  <c r="AG619" i="1"/>
  <c r="AG617" i="1"/>
  <c r="AG616" i="1"/>
  <c r="AG615" i="1"/>
  <c r="AG614" i="1"/>
  <c r="AG613" i="1"/>
  <c r="AG612" i="1"/>
  <c r="AG611" i="1"/>
  <c r="AG610" i="1"/>
  <c r="AG609" i="1"/>
  <c r="AG607" i="1"/>
  <c r="AG608" i="1"/>
  <c r="AG606" i="1"/>
  <c r="AG605" i="1"/>
  <c r="AG604" i="1"/>
  <c r="AG603" i="1"/>
  <c r="AG602" i="1"/>
  <c r="AG601" i="1"/>
  <c r="AG600" i="1"/>
  <c r="AG599" i="1"/>
  <c r="AG596" i="1"/>
  <c r="AG597" i="1"/>
  <c r="AG598" i="1"/>
  <c r="AG595" i="1"/>
  <c r="AG594" i="1"/>
  <c r="AG593" i="1"/>
  <c r="AG592" i="1"/>
  <c r="AG591" i="1"/>
  <c r="AG590" i="1"/>
  <c r="AG589" i="1"/>
  <c r="AG588" i="1"/>
  <c r="AG587" i="1"/>
  <c r="AG586" i="1"/>
  <c r="AG585" i="1"/>
  <c r="AG584" i="1"/>
  <c r="AG583" i="1"/>
  <c r="AG582" i="1"/>
  <c r="AG581" i="1"/>
  <c r="AG580" i="1"/>
  <c r="AG578" i="1"/>
  <c r="AG579" i="1"/>
  <c r="AG577" i="1"/>
  <c r="AG576" i="1"/>
  <c r="AG575" i="1"/>
  <c r="AG574" i="1"/>
  <c r="AG573" i="1"/>
  <c r="AG572" i="1"/>
  <c r="AG571" i="1"/>
  <c r="AG570" i="1"/>
  <c r="AG569" i="1"/>
  <c r="AG568" i="1"/>
  <c r="AG567" i="1"/>
  <c r="AG565" i="1"/>
  <c r="AG566" i="1"/>
  <c r="AG564" i="1"/>
  <c r="AG563" i="1"/>
  <c r="AG562" i="1"/>
  <c r="AG561" i="1"/>
  <c r="AG560" i="1"/>
  <c r="AG559" i="1"/>
  <c r="AG558" i="1"/>
  <c r="AG557" i="1"/>
  <c r="AG555" i="1"/>
  <c r="AG556" i="1"/>
  <c r="AG554" i="1"/>
  <c r="AG553" i="1"/>
  <c r="AG552" i="1"/>
  <c r="AG551" i="1"/>
  <c r="AG550" i="1"/>
  <c r="AG549" i="1"/>
  <c r="AG548" i="1"/>
  <c r="AG547" i="1"/>
  <c r="AG546" i="1"/>
  <c r="AG545" i="1"/>
  <c r="AG544" i="1"/>
  <c r="AG543" i="1"/>
  <c r="AG542" i="1"/>
  <c r="AG541" i="1"/>
  <c r="AG540" i="1"/>
  <c r="AG539" i="1"/>
  <c r="AG538" i="1"/>
  <c r="AG537" i="1"/>
  <c r="AG536" i="1"/>
  <c r="AG535" i="1"/>
  <c r="AG534" i="1"/>
  <c r="AG533" i="1"/>
  <c r="AG532" i="1"/>
  <c r="AG531" i="1"/>
  <c r="AG530" i="1"/>
  <c r="AG529" i="1"/>
  <c r="AG528" i="1"/>
  <c r="AG527" i="1"/>
  <c r="AG526" i="1"/>
  <c r="AG525" i="1"/>
  <c r="AG524" i="1"/>
  <c r="AG523" i="1"/>
  <c r="AG522" i="1"/>
  <c r="AG521" i="1"/>
  <c r="AG520" i="1"/>
  <c r="AG519" i="1"/>
  <c r="AG518" i="1"/>
  <c r="AG517" i="1"/>
  <c r="AG516" i="1"/>
  <c r="AG515" i="1"/>
  <c r="AG514" i="1"/>
  <c r="AG513" i="1"/>
  <c r="AG512" i="1"/>
  <c r="AG510" i="1"/>
  <c r="AG511" i="1"/>
  <c r="AG509" i="1"/>
  <c r="AG508" i="1"/>
  <c r="AG507" i="1"/>
  <c r="AG506" i="1"/>
  <c r="AG505" i="1"/>
  <c r="AG504" i="1"/>
  <c r="AG503" i="1"/>
  <c r="AG502" i="1"/>
  <c r="AG500" i="1"/>
  <c r="AG501" i="1"/>
  <c r="AG499" i="1"/>
  <c r="AG498" i="1"/>
  <c r="AG497" i="1"/>
  <c r="AG496" i="1"/>
  <c r="AG495" i="1"/>
  <c r="AG494" i="1"/>
  <c r="AG493" i="1"/>
  <c r="AG492" i="1"/>
  <c r="AG491" i="1"/>
  <c r="AG490" i="1"/>
  <c r="AG489" i="1"/>
  <c r="AG488" i="1"/>
  <c r="AG487" i="1"/>
  <c r="AG486" i="1"/>
  <c r="AG485" i="1"/>
  <c r="AG484" i="1"/>
  <c r="AG483" i="1"/>
  <c r="AG482" i="1"/>
  <c r="AG481" i="1"/>
  <c r="AG480" i="1"/>
  <c r="AG479" i="1"/>
  <c r="AG478" i="1"/>
  <c r="AG476" i="1"/>
  <c r="AG477" i="1"/>
  <c r="AG475" i="1"/>
  <c r="AG473" i="1"/>
  <c r="AG474" i="1"/>
  <c r="AG472" i="1"/>
  <c r="AG471" i="1"/>
  <c r="AG470" i="1"/>
  <c r="AG468" i="1"/>
  <c r="AG469" i="1"/>
  <c r="AG467" i="1"/>
  <c r="AG466" i="1"/>
  <c r="AG465" i="1"/>
  <c r="AG464" i="1"/>
  <c r="AG463" i="1"/>
  <c r="AG462" i="1"/>
  <c r="AG461" i="1"/>
  <c r="AG460" i="1"/>
  <c r="AG459" i="1"/>
  <c r="AG458" i="1"/>
  <c r="AG457" i="1"/>
  <c r="AG456" i="1"/>
  <c r="AG455" i="1"/>
  <c r="AG454" i="1"/>
  <c r="AG453" i="1"/>
  <c r="AG452" i="1"/>
  <c r="AG451" i="1"/>
  <c r="AG450" i="1"/>
  <c r="AG449" i="1"/>
  <c r="AG448" i="1"/>
  <c r="AG447" i="1"/>
  <c r="AG446" i="1"/>
  <c r="AG445" i="1"/>
  <c r="AG444" i="1"/>
  <c r="AG443" i="1"/>
  <c r="AG442" i="1"/>
  <c r="AG441" i="1"/>
  <c r="AG440" i="1"/>
  <c r="AG439" i="1"/>
  <c r="AG438" i="1"/>
  <c r="AG437" i="1"/>
  <c r="AG436" i="1"/>
  <c r="AG435" i="1"/>
  <c r="AG434" i="1"/>
  <c r="AG433" i="1"/>
  <c r="AG432" i="1"/>
  <c r="AG431" i="1"/>
  <c r="AG430" i="1"/>
  <c r="AG429" i="1"/>
  <c r="AG428" i="1"/>
  <c r="AG427" i="1"/>
  <c r="AG426" i="1"/>
  <c r="AG425" i="1"/>
  <c r="AG424" i="1"/>
  <c r="AG423" i="1"/>
  <c r="AG422" i="1"/>
  <c r="AG421" i="1"/>
  <c r="AG420" i="1"/>
  <c r="AG419" i="1"/>
  <c r="AG417" i="1"/>
  <c r="AG418" i="1"/>
  <c r="AG416" i="1"/>
  <c r="AG415" i="1"/>
  <c r="AG414" i="1"/>
  <c r="AG413" i="1"/>
  <c r="AG412" i="1"/>
  <c r="AG410" i="1"/>
  <c r="AG411" i="1"/>
  <c r="AG409" i="1"/>
  <c r="AG408" i="1"/>
  <c r="AG407" i="1"/>
  <c r="AG406" i="1"/>
  <c r="AG405" i="1"/>
  <c r="AG404" i="1"/>
  <c r="AG403" i="1"/>
  <c r="AG402" i="1"/>
  <c r="AG401" i="1"/>
  <c r="AG400" i="1"/>
  <c r="AG399" i="1"/>
  <c r="AG398" i="1"/>
  <c r="AG397" i="1"/>
  <c r="AG396" i="1"/>
  <c r="AG395" i="1"/>
  <c r="AG394" i="1"/>
  <c r="AG393" i="1"/>
  <c r="AG392" i="1"/>
  <c r="AG391" i="1"/>
  <c r="AG390" i="1"/>
  <c r="AG389" i="1"/>
  <c r="AG387" i="1"/>
  <c r="AG388" i="1"/>
  <c r="AG386" i="1"/>
  <c r="AG385" i="1"/>
  <c r="AG384" i="1"/>
  <c r="AG383" i="1"/>
  <c r="AG382" i="1"/>
  <c r="AG381" i="1"/>
  <c r="AG380" i="1"/>
  <c r="AG379" i="1"/>
  <c r="AG378" i="1"/>
  <c r="AG376" i="1"/>
  <c r="AG377" i="1"/>
  <c r="AG375" i="1"/>
  <c r="AG374" i="1"/>
  <c r="AG372" i="1"/>
  <c r="AG373" i="1"/>
  <c r="AG371" i="1"/>
  <c r="AG370" i="1"/>
  <c r="AG369" i="1"/>
  <c r="AG368" i="1"/>
  <c r="AG367" i="1"/>
  <c r="AG366" i="1"/>
  <c r="AG365" i="1"/>
  <c r="AG364" i="1"/>
  <c r="AG363" i="1"/>
  <c r="AG362" i="1"/>
  <c r="AG361" i="1"/>
  <c r="AG360" i="1"/>
  <c r="AG359" i="1"/>
  <c r="AG358" i="1"/>
  <c r="AG357" i="1"/>
  <c r="AG356" i="1"/>
  <c r="AG355" i="1"/>
  <c r="AG354" i="1"/>
  <c r="AG353" i="1"/>
  <c r="AG352" i="1"/>
  <c r="AG350" i="1"/>
  <c r="AG351" i="1"/>
  <c r="AG349" i="1"/>
  <c r="AG348" i="1"/>
  <c r="AG347" i="1"/>
  <c r="AG346" i="1"/>
  <c r="AG345" i="1"/>
  <c r="AG344" i="1"/>
  <c r="AG343" i="1"/>
  <c r="AG342" i="1"/>
  <c r="AG341" i="1"/>
  <c r="AG340" i="1"/>
  <c r="AG339" i="1"/>
  <c r="AG338" i="1"/>
  <c r="AG337" i="1"/>
  <c r="AG336" i="1"/>
  <c r="AG335" i="1"/>
  <c r="AG334" i="1"/>
  <c r="AG333" i="1"/>
  <c r="AG332" i="1"/>
  <c r="AG331" i="1"/>
  <c r="AG330" i="1"/>
  <c r="AG328" i="1"/>
  <c r="AG329" i="1"/>
  <c r="AG327" i="1"/>
  <c r="AG326" i="1"/>
  <c r="AG325" i="1"/>
  <c r="AG324" i="1"/>
  <c r="AG323" i="1"/>
  <c r="AG322" i="1"/>
  <c r="AG321" i="1"/>
  <c r="AG320" i="1"/>
  <c r="AG319" i="1"/>
  <c r="AG318" i="1"/>
  <c r="AG317" i="1"/>
  <c r="AG316" i="1"/>
  <c r="AG315" i="1"/>
  <c r="AG314" i="1"/>
  <c r="AG313" i="1"/>
  <c r="AG312" i="1"/>
  <c r="AG311" i="1"/>
  <c r="AG310" i="1"/>
  <c r="AG308" i="1"/>
  <c r="AG309" i="1"/>
  <c r="AG307" i="1"/>
  <c r="AG306" i="1"/>
  <c r="AG305" i="1"/>
  <c r="AG304" i="1"/>
  <c r="AG303" i="1"/>
  <c r="AG302" i="1"/>
  <c r="AG301" i="1"/>
  <c r="AG300" i="1"/>
  <c r="AG299" i="1"/>
  <c r="AG298" i="1"/>
  <c r="AG297" i="1"/>
  <c r="AG296" i="1"/>
  <c r="AG295" i="1"/>
  <c r="AG294" i="1"/>
  <c r="AG292" i="1"/>
  <c r="AG293" i="1"/>
  <c r="AG291" i="1"/>
  <c r="AG290" i="1"/>
  <c r="AG289" i="1"/>
  <c r="AG288" i="1"/>
  <c r="AG287" i="1"/>
  <c r="AG286" i="1"/>
  <c r="AG285" i="1"/>
  <c r="AG284" i="1"/>
  <c r="AG283" i="1"/>
  <c r="AG281" i="1"/>
  <c r="AG282" i="1"/>
  <c r="AG280" i="1"/>
  <c r="AG279" i="1"/>
  <c r="AG278" i="1"/>
  <c r="AG277" i="1"/>
  <c r="AG276" i="1"/>
  <c r="AG275" i="1"/>
  <c r="AG274" i="1"/>
  <c r="AG273" i="1"/>
  <c r="AG272" i="1"/>
  <c r="AG271" i="1"/>
  <c r="AG270" i="1"/>
  <c r="AG268" i="1"/>
  <c r="AG269" i="1"/>
  <c r="AG267" i="1"/>
  <c r="AG266" i="1"/>
  <c r="AG265" i="1"/>
  <c r="AG264" i="1"/>
  <c r="AG263" i="1"/>
  <c r="AG262" i="1"/>
  <c r="AG261" i="1"/>
  <c r="AG260" i="1"/>
  <c r="AG259" i="1"/>
  <c r="AG258" i="1"/>
  <c r="AG257" i="1"/>
  <c r="AG256" i="1"/>
  <c r="AG255" i="1"/>
  <c r="AG254" i="1"/>
  <c r="AG253" i="1"/>
  <c r="AG252" i="1"/>
  <c r="AG251" i="1"/>
  <c r="AG250" i="1"/>
  <c r="AG249" i="1"/>
  <c r="AG248" i="1"/>
  <c r="AG247" i="1"/>
  <c r="AG246" i="1"/>
  <c r="AG245" i="1"/>
  <c r="AG244" i="1"/>
  <c r="AG243" i="1"/>
  <c r="AG242" i="1"/>
  <c r="AG241" i="1"/>
  <c r="AG240" i="1"/>
  <c r="AG239" i="1"/>
  <c r="AG238" i="1"/>
  <c r="AG237" i="1"/>
  <c r="AG236" i="1"/>
  <c r="AG235" i="1"/>
  <c r="AG234" i="1"/>
  <c r="AG233" i="1"/>
  <c r="AG232" i="1"/>
  <c r="AG231" i="1"/>
  <c r="AG230" i="1"/>
  <c r="AG229" i="1"/>
  <c r="AG228" i="1"/>
  <c r="AG227" i="1"/>
  <c r="AG226" i="1"/>
  <c r="AG225" i="1"/>
  <c r="AG224" i="1"/>
  <c r="AG223" i="1"/>
  <c r="AG222" i="1"/>
  <c r="AG221" i="1"/>
  <c r="AG220" i="1"/>
  <c r="AG219" i="1"/>
  <c r="AG218" i="1"/>
  <c r="AG217" i="1"/>
  <c r="AG216" i="1"/>
  <c r="AG215" i="1"/>
  <c r="AG214" i="1"/>
  <c r="AG213" i="1"/>
  <c r="AG212" i="1"/>
  <c r="AG211" i="1"/>
  <c r="AG210" i="1"/>
  <c r="AG209" i="1"/>
  <c r="AG208" i="1"/>
  <c r="AG207" i="1"/>
  <c r="AG206" i="1"/>
  <c r="AG205" i="1"/>
  <c r="AG204" i="1"/>
  <c r="AG203" i="1"/>
  <c r="AG202" i="1"/>
  <c r="AG201" i="1"/>
  <c r="AG200" i="1"/>
  <c r="AG199" i="1"/>
  <c r="AG197" i="1"/>
  <c r="AG198" i="1"/>
  <c r="AG196" i="1"/>
  <c r="AG195" i="1"/>
  <c r="AG194" i="1"/>
  <c r="AG193" i="1"/>
  <c r="AG192" i="1"/>
  <c r="AG191" i="1"/>
  <c r="AG190" i="1"/>
  <c r="AG189" i="1"/>
  <c r="AG188" i="1"/>
  <c r="AG187" i="1"/>
  <c r="AG186" i="1"/>
  <c r="AG185" i="1"/>
  <c r="AG184" i="1"/>
  <c r="AG183" i="1"/>
  <c r="AG182" i="1"/>
  <c r="AG181" i="1"/>
  <c r="AG180" i="1"/>
  <c r="AG179" i="1"/>
  <c r="AG178" i="1"/>
  <c r="AG177" i="1"/>
  <c r="AG176" i="1"/>
  <c r="AG175" i="1"/>
  <c r="AG174" i="1"/>
  <c r="AG173" i="1"/>
  <c r="AG172" i="1"/>
  <c r="AG171" i="1"/>
  <c r="AG170" i="1"/>
  <c r="AG169" i="1"/>
  <c r="AG168" i="1"/>
  <c r="AG167" i="1"/>
  <c r="AG166" i="1"/>
  <c r="AG165" i="1"/>
  <c r="AG164" i="1"/>
  <c r="AG163" i="1"/>
  <c r="AG162" i="1"/>
  <c r="AG161" i="1"/>
  <c r="AG160" i="1"/>
  <c r="AG159" i="1"/>
  <c r="AG158" i="1"/>
  <c r="AG157" i="1"/>
  <c r="AG155" i="1"/>
  <c r="AG156" i="1"/>
  <c r="AG154" i="1"/>
  <c r="AG153" i="1"/>
  <c r="AG152" i="1"/>
  <c r="AG151" i="1"/>
  <c r="AG150" i="1"/>
  <c r="AG149" i="1"/>
  <c r="AG148" i="1"/>
  <c r="AG147" i="1"/>
  <c r="AG146" i="1"/>
  <c r="AG145" i="1"/>
  <c r="AG144" i="1"/>
  <c r="AG143" i="1"/>
  <c r="AG142" i="1"/>
  <c r="AG141" i="1"/>
  <c r="AG140" i="1"/>
  <c r="AG139" i="1"/>
  <c r="AG138" i="1"/>
  <c r="AG137" i="1"/>
  <c r="AG136" i="1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3" i="1"/>
  <c r="AG122" i="1"/>
  <c r="AG121" i="1"/>
  <c r="AG120" i="1"/>
  <c r="AG119" i="1"/>
  <c r="AG118" i="1"/>
  <c r="AG117" i="1"/>
  <c r="AG116" i="1"/>
  <c r="AG115" i="1"/>
  <c r="AG114" i="1"/>
  <c r="AG113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G3" i="1"/>
  <c r="AG2" i="1"/>
  <c r="AG1053" i="1"/>
  <c r="AG1706" i="1"/>
  <c r="AF1705" i="1"/>
  <c r="AF1704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689" i="1"/>
  <c r="AF1690" i="1"/>
  <c r="AF1691" i="1"/>
  <c r="AF1692" i="1"/>
  <c r="AF1688" i="1"/>
  <c r="AF1687" i="1"/>
  <c r="AF1686" i="1"/>
  <c r="AF1684" i="1"/>
  <c r="AF1685" i="1"/>
  <c r="AF1683" i="1"/>
  <c r="AF1680" i="1"/>
  <c r="AF1681" i="1"/>
  <c r="AF1682" i="1"/>
  <c r="AF1679" i="1"/>
  <c r="AF1678" i="1"/>
  <c r="AF1677" i="1"/>
  <c r="AF1675" i="1"/>
  <c r="AF1676" i="1"/>
  <c r="AF1674" i="1"/>
  <c r="AF1673" i="1"/>
  <c r="AF1672" i="1"/>
  <c r="AF1664" i="1"/>
  <c r="AF1665" i="1"/>
  <c r="AF1666" i="1"/>
  <c r="AF1667" i="1"/>
  <c r="AF1668" i="1"/>
  <c r="AF1669" i="1"/>
  <c r="AF1670" i="1"/>
  <c r="AF1671" i="1"/>
  <c r="AF1663" i="1"/>
  <c r="AF1662" i="1"/>
  <c r="AF1661" i="1"/>
  <c r="AF1660" i="1"/>
  <c r="AF1659" i="1"/>
  <c r="AF1658" i="1"/>
  <c r="AF1657" i="1"/>
  <c r="AF1656" i="1"/>
  <c r="AF1654" i="1"/>
  <c r="AF1655" i="1"/>
  <c r="AF1653" i="1"/>
  <c r="AF1652" i="1"/>
  <c r="AF1651" i="1"/>
  <c r="AF1650" i="1"/>
  <c r="AF1649" i="1"/>
  <c r="AF1647" i="1"/>
  <c r="AF1648" i="1"/>
  <c r="AF1646" i="1"/>
  <c r="AF1645" i="1"/>
  <c r="AF1644" i="1"/>
  <c r="AF1643" i="1"/>
  <c r="AF1642" i="1"/>
  <c r="AF1641" i="1"/>
  <c r="AF1639" i="1"/>
  <c r="AF1640" i="1"/>
  <c r="AF1635" i="1"/>
  <c r="AF1636" i="1"/>
  <c r="AF1637" i="1"/>
  <c r="AF1638" i="1"/>
  <c r="AF1634" i="1"/>
  <c r="AF1633" i="1"/>
  <c r="AF1632" i="1"/>
  <c r="AF1631" i="1"/>
  <c r="AF1630" i="1"/>
  <c r="AF1629" i="1"/>
  <c r="AF1628" i="1"/>
  <c r="AF1627" i="1"/>
  <c r="AF1626" i="1"/>
  <c r="AF1625" i="1"/>
  <c r="AF1624" i="1"/>
  <c r="AF1623" i="1"/>
  <c r="AF1622" i="1"/>
  <c r="AF1621" i="1"/>
  <c r="AF1620" i="1"/>
  <c r="AF1619" i="1"/>
  <c r="AF1618" i="1"/>
  <c r="AF1617" i="1"/>
  <c r="AF1616" i="1"/>
  <c r="AF1615" i="1"/>
  <c r="AF1614" i="1"/>
  <c r="AF1613" i="1"/>
  <c r="AF1612" i="1"/>
  <c r="AF1611" i="1"/>
  <c r="AF1610" i="1"/>
  <c r="AF1609" i="1"/>
  <c r="AF1608" i="1"/>
  <c r="AF1607" i="1"/>
  <c r="AF1606" i="1"/>
  <c r="AF1605" i="1"/>
  <c r="AF1604" i="1"/>
  <c r="AF1603" i="1"/>
  <c r="AF1602" i="1"/>
  <c r="AF1601" i="1"/>
  <c r="AF1600" i="1"/>
  <c r="AF1599" i="1"/>
  <c r="AF1598" i="1"/>
  <c r="AF1597" i="1"/>
  <c r="AF1596" i="1"/>
  <c r="AF1595" i="1"/>
  <c r="AF1594" i="1"/>
  <c r="AF1593" i="1"/>
  <c r="AF1592" i="1"/>
  <c r="AF1591" i="1"/>
  <c r="AF1590" i="1"/>
  <c r="AF1589" i="1"/>
  <c r="AF1588" i="1"/>
  <c r="AF1587" i="1"/>
  <c r="AF1586" i="1"/>
  <c r="AF1585" i="1"/>
  <c r="AF1584" i="1"/>
  <c r="AF1583" i="1"/>
  <c r="AF1582" i="1"/>
  <c r="AF1581" i="1"/>
  <c r="AF1580" i="1"/>
  <c r="AF1579" i="1"/>
  <c r="AF1578" i="1"/>
  <c r="AF1577" i="1"/>
  <c r="AF1576" i="1"/>
  <c r="AF1575" i="1"/>
  <c r="AF1574" i="1"/>
  <c r="AF1573" i="1"/>
  <c r="AF1572" i="1"/>
  <c r="AF1571" i="1"/>
  <c r="AF1570" i="1"/>
  <c r="AF1569" i="1"/>
  <c r="AF1568" i="1"/>
  <c r="AF1567" i="1"/>
  <c r="AF1566" i="1"/>
  <c r="AF1565" i="1"/>
  <c r="AF1564" i="1"/>
  <c r="AF1563" i="1"/>
  <c r="AF1562" i="1"/>
  <c r="AF1561" i="1"/>
  <c r="AF1560" i="1"/>
  <c r="AF1559" i="1"/>
  <c r="AF1558" i="1"/>
  <c r="AF1557" i="1"/>
  <c r="AF1556" i="1"/>
  <c r="AF1555" i="1"/>
  <c r="AF1554" i="1"/>
  <c r="AF1553" i="1"/>
  <c r="AF1552" i="1"/>
  <c r="AF1551" i="1"/>
  <c r="AF1550" i="1"/>
  <c r="AF1549" i="1"/>
  <c r="AF1548" i="1"/>
  <c r="AF1547" i="1"/>
  <c r="AF1546" i="1"/>
  <c r="AF1545" i="1"/>
  <c r="AF1544" i="1"/>
  <c r="AF1543" i="1"/>
  <c r="AF1542" i="1"/>
  <c r="AF1541" i="1"/>
  <c r="AF1540" i="1"/>
  <c r="AF1539" i="1"/>
  <c r="AF1538" i="1"/>
  <c r="AF1537" i="1"/>
  <c r="AF1536" i="1"/>
  <c r="AF1535" i="1"/>
  <c r="AF1534" i="1"/>
  <c r="AF1532" i="1"/>
  <c r="AF1533" i="1"/>
  <c r="AF1530" i="1"/>
  <c r="AF1531" i="1"/>
  <c r="AF1529" i="1"/>
  <c r="AF1528" i="1"/>
  <c r="AF1527" i="1"/>
  <c r="AF1526" i="1"/>
  <c r="AF1525" i="1"/>
  <c r="AF1524" i="1"/>
  <c r="AF1523" i="1"/>
  <c r="AF1522" i="1"/>
  <c r="AF1521" i="1"/>
  <c r="AF1519" i="1"/>
  <c r="AF1520" i="1"/>
  <c r="AF1518" i="1"/>
  <c r="AF1517" i="1"/>
  <c r="AF1516" i="1"/>
  <c r="AF1515" i="1"/>
  <c r="AF1514" i="1"/>
  <c r="AF1513" i="1"/>
  <c r="AF1512" i="1"/>
  <c r="AF1511" i="1"/>
  <c r="AF1510" i="1"/>
  <c r="AF1508" i="1"/>
  <c r="AF1509" i="1"/>
  <c r="AF1507" i="1"/>
  <c r="AF1506" i="1"/>
  <c r="AF1505" i="1"/>
  <c r="AF1504" i="1"/>
  <c r="AF1503" i="1"/>
  <c r="AF1502" i="1"/>
  <c r="AF1501" i="1"/>
  <c r="AF1500" i="1"/>
  <c r="AF1499" i="1"/>
  <c r="AF1498" i="1"/>
  <c r="AF1497" i="1"/>
  <c r="AF1496" i="1"/>
  <c r="AF1495" i="1"/>
  <c r="AF1494" i="1"/>
  <c r="AF1493" i="1"/>
  <c r="AF1492" i="1"/>
  <c r="AF1491" i="1"/>
  <c r="AF1490" i="1"/>
  <c r="AF1489" i="1"/>
  <c r="AF1488" i="1"/>
  <c r="AF1487" i="1"/>
  <c r="AF1486" i="1"/>
  <c r="AF1485" i="1"/>
  <c r="AF1484" i="1"/>
  <c r="AF1483" i="1"/>
  <c r="AF1482" i="1"/>
  <c r="AF1481" i="1"/>
  <c r="AF1480" i="1"/>
  <c r="AF1479" i="1"/>
  <c r="AF1478" i="1"/>
  <c r="AF1477" i="1"/>
  <c r="AF1476" i="1"/>
  <c r="AF1475" i="1"/>
  <c r="AF1474" i="1"/>
  <c r="AF1473" i="1"/>
  <c r="AF1472" i="1"/>
  <c r="AF1471" i="1"/>
  <c r="AF1470" i="1"/>
  <c r="AF1469" i="1"/>
  <c r="AF1468" i="1"/>
  <c r="AF1467" i="1"/>
  <c r="AF1466" i="1"/>
  <c r="AF1465" i="1"/>
  <c r="AF1464" i="1"/>
  <c r="AF1463" i="1"/>
  <c r="AF1462" i="1"/>
  <c r="AF1461" i="1"/>
  <c r="AF1459" i="1"/>
  <c r="AF1460" i="1"/>
  <c r="AF1458" i="1"/>
  <c r="AF1457" i="1"/>
  <c r="AF1456" i="1"/>
  <c r="AF1455" i="1"/>
  <c r="AF1454" i="1"/>
  <c r="AF1453" i="1"/>
  <c r="AF1452" i="1"/>
  <c r="AF1451" i="1"/>
  <c r="AF1450" i="1"/>
  <c r="AF1449" i="1"/>
  <c r="AF1448" i="1"/>
  <c r="AF1447" i="1"/>
  <c r="AF1446" i="1"/>
  <c r="AF1445" i="1"/>
  <c r="AF1444" i="1"/>
  <c r="AF1443" i="1"/>
  <c r="AF1442" i="1"/>
  <c r="AF1441" i="1"/>
  <c r="AF1440" i="1"/>
  <c r="AF1439" i="1"/>
  <c r="AF1438" i="1"/>
  <c r="AF1437" i="1"/>
  <c r="AF1436" i="1"/>
  <c r="AF1434" i="1"/>
  <c r="AF1435" i="1"/>
  <c r="AF1433" i="1"/>
  <c r="AF1432" i="1"/>
  <c r="AF1431" i="1"/>
  <c r="AF1430" i="1"/>
  <c r="AF1429" i="1"/>
  <c r="AF1428" i="1"/>
  <c r="AF1427" i="1"/>
  <c r="AF1426" i="1"/>
  <c r="AF1425" i="1"/>
  <c r="AF1424" i="1"/>
  <c r="AF1423" i="1"/>
  <c r="AF1422" i="1"/>
  <c r="AF1421" i="1"/>
  <c r="AF1420" i="1"/>
  <c r="AF1419" i="1"/>
  <c r="AF1418" i="1"/>
  <c r="AF1417" i="1"/>
  <c r="AF1416" i="1"/>
  <c r="AF1415" i="1"/>
  <c r="AF1414" i="1"/>
  <c r="AF1411" i="1"/>
  <c r="AF1412" i="1"/>
  <c r="AF1413" i="1"/>
  <c r="AF1410" i="1"/>
  <c r="AF1409" i="1"/>
  <c r="AF1408" i="1"/>
  <c r="AF1406" i="1"/>
  <c r="AF1407" i="1"/>
  <c r="AF1405" i="1"/>
  <c r="AF1404" i="1"/>
  <c r="AF1402" i="1"/>
  <c r="AF1403" i="1"/>
  <c r="AF1401" i="1"/>
  <c r="AF1400" i="1"/>
  <c r="AF1399" i="1"/>
  <c r="AF1397" i="1"/>
  <c r="AF1398" i="1"/>
  <c r="AF1396" i="1"/>
  <c r="AF1395" i="1"/>
  <c r="AF1394" i="1"/>
  <c r="AF1393" i="1"/>
  <c r="AF1392" i="1"/>
  <c r="AF1391" i="1"/>
  <c r="AF1390" i="1"/>
  <c r="AF1389" i="1"/>
  <c r="AF1388" i="1"/>
  <c r="AF1387" i="1"/>
  <c r="AF1386" i="1"/>
  <c r="AF1385" i="1"/>
  <c r="AF1384" i="1"/>
  <c r="AF1383" i="1"/>
  <c r="AF1382" i="1"/>
  <c r="AF1381" i="1"/>
  <c r="AF1380" i="1"/>
  <c r="AF1379" i="1"/>
  <c r="AF1378" i="1"/>
  <c r="AF1377" i="1"/>
  <c r="AF1376" i="1"/>
  <c r="AF1375" i="1"/>
  <c r="AF1374" i="1"/>
  <c r="AF1373" i="1"/>
  <c r="AF1372" i="1"/>
  <c r="AF1371" i="1"/>
  <c r="AF1370" i="1"/>
  <c r="AF1369" i="1"/>
  <c r="AF1368" i="1"/>
  <c r="AF1367" i="1"/>
  <c r="AF1366" i="1"/>
  <c r="AF1365" i="1"/>
  <c r="AF1364" i="1"/>
  <c r="AF1363" i="1"/>
  <c r="AF1362" i="1"/>
  <c r="AF1361" i="1"/>
  <c r="AF1360" i="1"/>
  <c r="AF1359" i="1"/>
  <c r="AF1358" i="1"/>
  <c r="AF1357" i="1"/>
  <c r="AF1356" i="1"/>
  <c r="AF1354" i="1"/>
  <c r="AF1355" i="1"/>
  <c r="AF1353" i="1"/>
  <c r="AF1352" i="1"/>
  <c r="AF1351" i="1"/>
  <c r="AF1350" i="1"/>
  <c r="AF1349" i="1"/>
  <c r="AF1348" i="1"/>
  <c r="AF1347" i="1"/>
  <c r="AF1346" i="1"/>
  <c r="AF1345" i="1"/>
  <c r="AF1344" i="1"/>
  <c r="AF1343" i="1"/>
  <c r="AF1342" i="1"/>
  <c r="AF1341" i="1"/>
  <c r="AF1340" i="1"/>
  <c r="AF1339" i="1"/>
  <c r="AF1338" i="1"/>
  <c r="AF1337" i="1"/>
  <c r="AF1336" i="1"/>
  <c r="AF1335" i="1"/>
  <c r="AF1334" i="1"/>
  <c r="AF1333" i="1"/>
  <c r="AF1332" i="1"/>
  <c r="AF1331" i="1"/>
  <c r="AF1330" i="1"/>
  <c r="AF1329" i="1"/>
  <c r="AF1327" i="1"/>
  <c r="AF1328" i="1"/>
  <c r="AF1326" i="1"/>
  <c r="AF1325" i="1"/>
  <c r="AF1324" i="1"/>
  <c r="AF1323" i="1"/>
  <c r="AF1322" i="1"/>
  <c r="AF1321" i="1"/>
  <c r="AF1320" i="1"/>
  <c r="AF1319" i="1"/>
  <c r="AF1318" i="1"/>
  <c r="AF1317" i="1"/>
  <c r="AF1316" i="1"/>
  <c r="AF1315" i="1"/>
  <c r="AF1314" i="1"/>
  <c r="AF1313" i="1"/>
  <c r="AF1311" i="1"/>
  <c r="AF1310" i="1"/>
  <c r="AF1307" i="1"/>
  <c r="AF1308" i="1"/>
  <c r="AF1309" i="1"/>
  <c r="AF1306" i="1"/>
  <c r="AF1305" i="1"/>
  <c r="AF1303" i="1"/>
  <c r="AF1304" i="1"/>
  <c r="AF1296" i="1"/>
  <c r="AF1297" i="1"/>
  <c r="AF1298" i="1"/>
  <c r="AF1299" i="1"/>
  <c r="AF1300" i="1"/>
  <c r="AF1301" i="1"/>
  <c r="AF1302" i="1"/>
  <c r="AF1295" i="1"/>
  <c r="AF1293" i="1"/>
  <c r="AF1294" i="1"/>
  <c r="AF1291" i="1"/>
  <c r="AF1292" i="1"/>
  <c r="AF1290" i="1"/>
  <c r="AF1289" i="1"/>
  <c r="AF1288" i="1"/>
  <c r="AF1287" i="1"/>
  <c r="AF1286" i="1"/>
  <c r="AF1285" i="1"/>
  <c r="AF1284" i="1"/>
  <c r="AF1283" i="1"/>
  <c r="AF1282" i="1"/>
  <c r="AF1281" i="1"/>
  <c r="AF1280" i="1"/>
  <c r="AF1279" i="1"/>
  <c r="AF1278" i="1"/>
  <c r="AF1277" i="1"/>
  <c r="AF1276" i="1"/>
  <c r="AF1275" i="1"/>
  <c r="AF1274" i="1"/>
  <c r="AF1273" i="1"/>
  <c r="AF1272" i="1"/>
  <c r="AF1271" i="1"/>
  <c r="AF1270" i="1"/>
  <c r="AF1269" i="1"/>
  <c r="AF1268" i="1"/>
  <c r="AF1267" i="1"/>
  <c r="AF1265" i="1"/>
  <c r="AF1266" i="1"/>
  <c r="AF1264" i="1"/>
  <c r="AF1263" i="1"/>
  <c r="AF1262" i="1"/>
  <c r="AF1261" i="1"/>
  <c r="AF1260" i="1"/>
  <c r="AF1259" i="1"/>
  <c r="AF1257" i="1"/>
  <c r="AF1258" i="1"/>
  <c r="AF1256" i="1"/>
  <c r="AF1255" i="1"/>
  <c r="AF1254" i="1"/>
  <c r="AF1253" i="1"/>
  <c r="AF1252" i="1"/>
  <c r="AF1251" i="1"/>
  <c r="AF1250" i="1"/>
  <c r="AF1249" i="1"/>
  <c r="AF1248" i="1"/>
  <c r="AF1247" i="1"/>
  <c r="AF1246" i="1"/>
  <c r="AF1245" i="1"/>
  <c r="AF1244" i="1"/>
  <c r="AF1243" i="1"/>
  <c r="AF1242" i="1"/>
  <c r="AF1241" i="1"/>
  <c r="AF1240" i="1"/>
  <c r="AF1239" i="1"/>
  <c r="AF1238" i="1"/>
  <c r="AF1237" i="1"/>
  <c r="AF1236" i="1"/>
  <c r="AF1235" i="1"/>
  <c r="AF1234" i="1"/>
  <c r="AF1233" i="1"/>
  <c r="AF1232" i="1"/>
  <c r="AF1231" i="1"/>
  <c r="AF1230" i="1"/>
  <c r="AF1229" i="1"/>
  <c r="AF1228" i="1"/>
  <c r="AF1227" i="1"/>
  <c r="AF1226" i="1"/>
  <c r="AF1225" i="1"/>
  <c r="AF1224" i="1"/>
  <c r="AF1223" i="1"/>
  <c r="AF1222" i="1"/>
  <c r="AF1221" i="1"/>
  <c r="AF1220" i="1"/>
  <c r="AF1219" i="1"/>
  <c r="AF1218" i="1"/>
  <c r="AF1216" i="1"/>
  <c r="AF1217" i="1"/>
  <c r="AF1215" i="1"/>
  <c r="AF1214" i="1"/>
  <c r="AF1213" i="1"/>
  <c r="AF1212" i="1"/>
  <c r="AF1211" i="1"/>
  <c r="AF1210" i="1"/>
  <c r="AF1209" i="1"/>
  <c r="AF1208" i="1"/>
  <c r="AF1207" i="1"/>
  <c r="AF1206" i="1"/>
  <c r="AF1205" i="1"/>
  <c r="AF1204" i="1"/>
  <c r="AF1203" i="1"/>
  <c r="AF1202" i="1"/>
  <c r="AF1201" i="1"/>
  <c r="AF1200" i="1"/>
  <c r="AF1199" i="1"/>
  <c r="AF1198" i="1"/>
  <c r="AF1197" i="1"/>
  <c r="AF1196" i="1"/>
  <c r="AF1195" i="1"/>
  <c r="AF1194" i="1"/>
  <c r="AF1193" i="1"/>
  <c r="AF1192" i="1"/>
  <c r="AF1191" i="1"/>
  <c r="AF1190" i="1"/>
  <c r="AF1189" i="1"/>
  <c r="AF1188" i="1"/>
  <c r="AF1187" i="1"/>
  <c r="AF1186" i="1"/>
  <c r="AF1185" i="1"/>
  <c r="AF1184" i="1"/>
  <c r="AF1183" i="1"/>
  <c r="AF1182" i="1"/>
  <c r="AF1181" i="1"/>
  <c r="AF1180" i="1"/>
  <c r="AF1179" i="1"/>
  <c r="AF1178" i="1"/>
  <c r="AF1177" i="1"/>
  <c r="AF1176" i="1"/>
  <c r="AF1175" i="1"/>
  <c r="AF1174" i="1"/>
  <c r="AF1172" i="1"/>
  <c r="AF1173" i="1"/>
  <c r="AF1171" i="1"/>
  <c r="AF1170" i="1"/>
  <c r="AF1169" i="1"/>
  <c r="AF1167" i="1"/>
  <c r="AF1168" i="1"/>
  <c r="AF1166" i="1"/>
  <c r="AF1165" i="1"/>
  <c r="AF1164" i="1"/>
  <c r="AF1163" i="1"/>
  <c r="AF1162" i="1"/>
  <c r="AF1161" i="1"/>
  <c r="AF1160" i="1"/>
  <c r="AF1159" i="1"/>
  <c r="AF1158" i="1"/>
  <c r="AF1157" i="1"/>
  <c r="AF1156" i="1"/>
  <c r="AF1155" i="1"/>
  <c r="AF1154" i="1"/>
  <c r="AF1153" i="1"/>
  <c r="AF1152" i="1"/>
  <c r="AF1151" i="1"/>
  <c r="AF1150" i="1"/>
  <c r="AF1148" i="1"/>
  <c r="AF1149" i="1"/>
  <c r="AF1147" i="1"/>
  <c r="AF1146" i="1"/>
  <c r="AF1145" i="1"/>
  <c r="AF1144" i="1"/>
  <c r="AF1143" i="1"/>
  <c r="AF1142" i="1"/>
  <c r="AF1141" i="1"/>
  <c r="AF1140" i="1"/>
  <c r="AF1139" i="1"/>
  <c r="AF1138" i="1"/>
  <c r="AF1137" i="1"/>
  <c r="AF1134" i="1"/>
  <c r="AF1135" i="1"/>
  <c r="AF1136" i="1"/>
  <c r="AF1133" i="1"/>
  <c r="AF1132" i="1"/>
  <c r="AF1131" i="1"/>
  <c r="AF1130" i="1"/>
  <c r="AF1129" i="1"/>
  <c r="AF1128" i="1"/>
  <c r="AF1127" i="1"/>
  <c r="AF1126" i="1"/>
  <c r="AF1125" i="1"/>
  <c r="AF1124" i="1"/>
  <c r="AF1123" i="1"/>
  <c r="AF1122" i="1"/>
  <c r="AF1121" i="1"/>
  <c r="AF1120" i="1"/>
  <c r="AF1117" i="1"/>
  <c r="AF1118" i="1"/>
  <c r="AF1119" i="1"/>
  <c r="AF1116" i="1"/>
  <c r="AF1114" i="1"/>
  <c r="AF1115" i="1"/>
  <c r="AF1112" i="1"/>
  <c r="AF1113" i="1"/>
  <c r="AF1111" i="1"/>
  <c r="AF1110" i="1"/>
  <c r="AF1109" i="1"/>
  <c r="AF1108" i="1"/>
  <c r="AF1107" i="1"/>
  <c r="AF1106" i="1"/>
  <c r="AF1105" i="1"/>
  <c r="AF1104" i="1"/>
  <c r="AF1103" i="1"/>
  <c r="AF1102" i="1"/>
  <c r="AF1101" i="1"/>
  <c r="AF1100" i="1"/>
  <c r="AF1099" i="1"/>
  <c r="AF1098" i="1"/>
  <c r="AF1097" i="1"/>
  <c r="AF1096" i="1"/>
  <c r="AF1095" i="1"/>
  <c r="AF1094" i="1"/>
  <c r="AF1093" i="1"/>
  <c r="AF1092" i="1"/>
  <c r="AF1091" i="1"/>
  <c r="AF1090" i="1"/>
  <c r="AF1089" i="1"/>
  <c r="AF1088" i="1"/>
  <c r="AF1087" i="1"/>
  <c r="AF1086" i="1"/>
  <c r="AF1085" i="1"/>
  <c r="AF1084" i="1"/>
  <c r="AF1083" i="1"/>
  <c r="AF1082" i="1"/>
  <c r="AF1081" i="1"/>
  <c r="AF1080" i="1"/>
  <c r="AF1079" i="1"/>
  <c r="AF1078" i="1"/>
  <c r="AF1077" i="1"/>
  <c r="AF1076" i="1"/>
  <c r="AF1075" i="1"/>
  <c r="AF1074" i="1"/>
  <c r="AF1073" i="1"/>
  <c r="AF1072" i="1"/>
  <c r="AF1071" i="1"/>
  <c r="AF1070" i="1"/>
  <c r="AF1069" i="1"/>
  <c r="AF1068" i="1"/>
  <c r="AF1067" i="1"/>
  <c r="AF1065" i="1"/>
  <c r="AF1066" i="1"/>
  <c r="AF1064" i="1"/>
  <c r="AF1063" i="1"/>
  <c r="AF1062" i="1"/>
  <c r="AF1061" i="1"/>
  <c r="AF1060" i="1"/>
  <c r="AF1059" i="1"/>
  <c r="AF1057" i="1"/>
  <c r="AF1058" i="1"/>
  <c r="AF1056" i="1"/>
  <c r="AF1055" i="1"/>
  <c r="AF1054" i="1"/>
  <c r="AF1052" i="1"/>
  <c r="AF1051" i="1"/>
  <c r="AF1050" i="1"/>
  <c r="AF1049" i="1"/>
  <c r="AF1048" i="1"/>
  <c r="AF1047" i="1"/>
  <c r="AF1046" i="1"/>
  <c r="AF1045" i="1"/>
  <c r="AF1044" i="1"/>
  <c r="AF1043" i="1"/>
  <c r="AF1041" i="1"/>
  <c r="AF1042" i="1"/>
  <c r="AF1040" i="1"/>
  <c r="AF1039" i="1"/>
  <c r="AF1038" i="1"/>
  <c r="AF1037" i="1"/>
  <c r="AF1036" i="1"/>
  <c r="AF1035" i="1"/>
  <c r="AF1034" i="1"/>
  <c r="AF1033" i="1"/>
  <c r="AF1032" i="1"/>
  <c r="AF1031" i="1"/>
  <c r="AF1030" i="1"/>
  <c r="AF1029" i="1"/>
  <c r="AF1028" i="1"/>
  <c r="AF1027" i="1"/>
  <c r="AF1026" i="1"/>
  <c r="AF1025" i="1"/>
  <c r="AF1024" i="1"/>
  <c r="AF1022" i="1"/>
  <c r="AF1023" i="1"/>
  <c r="AF1021" i="1"/>
  <c r="AF1020" i="1"/>
  <c r="AF1019" i="1"/>
  <c r="AF1018" i="1"/>
  <c r="AF1017" i="1"/>
  <c r="AF1016" i="1"/>
  <c r="AF1015" i="1"/>
  <c r="AF1014" i="1"/>
  <c r="AF1013" i="1"/>
  <c r="AF1012" i="1"/>
  <c r="AF1011" i="1"/>
  <c r="AF1010" i="1"/>
  <c r="AF1009" i="1"/>
  <c r="AF1008" i="1"/>
  <c r="AF1007" i="1"/>
  <c r="AF1006" i="1"/>
  <c r="AF1005" i="1"/>
  <c r="AF1004" i="1"/>
  <c r="AF1003" i="1"/>
  <c r="AF1002" i="1"/>
  <c r="AF1001" i="1"/>
  <c r="AF1000" i="1"/>
  <c r="AF999" i="1"/>
  <c r="AF998" i="1"/>
  <c r="AF997" i="1"/>
  <c r="AF996" i="1"/>
  <c r="AF995" i="1"/>
  <c r="AF994" i="1"/>
  <c r="AF993" i="1"/>
  <c r="AF992" i="1"/>
  <c r="AF991" i="1"/>
  <c r="AF990" i="1"/>
  <c r="AF989" i="1"/>
  <c r="AF988" i="1"/>
  <c r="AF987" i="1"/>
  <c r="AF986" i="1"/>
  <c r="AF985" i="1"/>
  <c r="AF984" i="1"/>
  <c r="AF983" i="1"/>
  <c r="AF982" i="1"/>
  <c r="AF981" i="1"/>
  <c r="AF980" i="1"/>
  <c r="AF979" i="1"/>
  <c r="AF978" i="1"/>
  <c r="AF976" i="1"/>
  <c r="AF977" i="1"/>
  <c r="AF975" i="1"/>
  <c r="AF974" i="1"/>
  <c r="AF972" i="1"/>
  <c r="AF973" i="1"/>
  <c r="AF971" i="1"/>
  <c r="AF970" i="1"/>
  <c r="AF969" i="1"/>
  <c r="AF968" i="1"/>
  <c r="AF967" i="1"/>
  <c r="AF966" i="1"/>
  <c r="AF965" i="1"/>
  <c r="AF964" i="1"/>
  <c r="AF963" i="1"/>
  <c r="AF960" i="1"/>
  <c r="AF961" i="1"/>
  <c r="AF962" i="1"/>
  <c r="AF959" i="1"/>
  <c r="AF956" i="1"/>
  <c r="AF957" i="1"/>
  <c r="AF958" i="1"/>
  <c r="AF955" i="1"/>
  <c r="AF953" i="1"/>
  <c r="AF954" i="1"/>
  <c r="AF952" i="1"/>
  <c r="AF951" i="1"/>
  <c r="AF949" i="1"/>
  <c r="AF950" i="1"/>
  <c r="AF948" i="1"/>
  <c r="AF947" i="1"/>
  <c r="AF946" i="1"/>
  <c r="AF945" i="1"/>
  <c r="AF943" i="1"/>
  <c r="AF944" i="1"/>
  <c r="AF942" i="1"/>
  <c r="AF941" i="1"/>
  <c r="AF939" i="1"/>
  <c r="AF940" i="1"/>
  <c r="AF937" i="1"/>
  <c r="AF938" i="1"/>
  <c r="AF935" i="1"/>
  <c r="AF936" i="1"/>
  <c r="AF934" i="1"/>
  <c r="AF933" i="1"/>
  <c r="AF931" i="1"/>
  <c r="AF932" i="1"/>
  <c r="AF929" i="1"/>
  <c r="AF930" i="1"/>
  <c r="AF928" i="1"/>
  <c r="AF927" i="1"/>
  <c r="AF926" i="1"/>
  <c r="AF925" i="1"/>
  <c r="AF924" i="1"/>
  <c r="AF923" i="1"/>
  <c r="AF922" i="1"/>
  <c r="AF921" i="1"/>
  <c r="AF920" i="1"/>
  <c r="AF919" i="1"/>
  <c r="AF918" i="1"/>
  <c r="AF917" i="1"/>
  <c r="AF916" i="1"/>
  <c r="AF915" i="1"/>
  <c r="AF914" i="1"/>
  <c r="AF913" i="1"/>
  <c r="AF912" i="1"/>
  <c r="AF911" i="1"/>
  <c r="AF910" i="1"/>
  <c r="AF909" i="1"/>
  <c r="AF908" i="1"/>
  <c r="AF907" i="1"/>
  <c r="AF906" i="1"/>
  <c r="AF905" i="1"/>
  <c r="AF904" i="1"/>
  <c r="AF903" i="1"/>
  <c r="AF902" i="1"/>
  <c r="AF901" i="1"/>
  <c r="AF900" i="1"/>
  <c r="AF899" i="1"/>
  <c r="AF898" i="1"/>
  <c r="AF897" i="1"/>
  <c r="AF896" i="1"/>
  <c r="AF895" i="1"/>
  <c r="AF894" i="1"/>
  <c r="AF893" i="1"/>
  <c r="AF892" i="1"/>
  <c r="AF891" i="1"/>
  <c r="AF889" i="1"/>
  <c r="AF890" i="1"/>
  <c r="AF888" i="1"/>
  <c r="AF887" i="1"/>
  <c r="AF886" i="1"/>
  <c r="AF885" i="1"/>
  <c r="AF884" i="1"/>
  <c r="AF883" i="1"/>
  <c r="AF882" i="1"/>
  <c r="AF881" i="1"/>
  <c r="AF880" i="1"/>
  <c r="AF879" i="1"/>
  <c r="AF878" i="1"/>
  <c r="AF877" i="1"/>
  <c r="AF876" i="1"/>
  <c r="AF875" i="1"/>
  <c r="AF874" i="1"/>
  <c r="AF873" i="1"/>
  <c r="AF872" i="1"/>
  <c r="AF870" i="1"/>
  <c r="AF871" i="1"/>
  <c r="AF869" i="1"/>
  <c r="AF868" i="1"/>
  <c r="AF865" i="1"/>
  <c r="AF866" i="1"/>
  <c r="AF867" i="1"/>
  <c r="AF864" i="1"/>
  <c r="AF863" i="1"/>
  <c r="AF862" i="1"/>
  <c r="AF861" i="1"/>
  <c r="AF860" i="1"/>
  <c r="AF859" i="1"/>
  <c r="AF858" i="1"/>
  <c r="AF857" i="1"/>
  <c r="AF855" i="1"/>
  <c r="AF856" i="1"/>
  <c r="AF854" i="1"/>
  <c r="AF853" i="1"/>
  <c r="AF852" i="1"/>
  <c r="AF851" i="1"/>
  <c r="AF850" i="1"/>
  <c r="AF849" i="1"/>
  <c r="AF848" i="1"/>
  <c r="AF847" i="1"/>
  <c r="AF846" i="1"/>
  <c r="AF845" i="1"/>
  <c r="AF844" i="1"/>
  <c r="AF843" i="1"/>
  <c r="AF842" i="1"/>
  <c r="AF841" i="1"/>
  <c r="AF840" i="1"/>
  <c r="AF839" i="1"/>
  <c r="AF838" i="1"/>
  <c r="AF837" i="1"/>
  <c r="AF836" i="1"/>
  <c r="AF835" i="1"/>
  <c r="AF834" i="1"/>
  <c r="AF833" i="1"/>
  <c r="AF832" i="1"/>
  <c r="AF831" i="1"/>
  <c r="AF830" i="1"/>
  <c r="AF829" i="1"/>
  <c r="AF828" i="1"/>
  <c r="AF827" i="1"/>
  <c r="AF826" i="1"/>
  <c r="AF825" i="1"/>
  <c r="AF824" i="1"/>
  <c r="AF823" i="1"/>
  <c r="AF822" i="1"/>
  <c r="AF821" i="1"/>
  <c r="AF820" i="1"/>
  <c r="AF819" i="1"/>
  <c r="AF818" i="1"/>
  <c r="AF817" i="1"/>
  <c r="AF816" i="1"/>
  <c r="AF815" i="1"/>
  <c r="AF814" i="1"/>
  <c r="AF813" i="1"/>
  <c r="AF812" i="1"/>
  <c r="AF810" i="1"/>
  <c r="AF811" i="1"/>
  <c r="AF809" i="1"/>
  <c r="AF807" i="1"/>
  <c r="AF808" i="1"/>
  <c r="AF806" i="1"/>
  <c r="AF805" i="1"/>
  <c r="AF803" i="1"/>
  <c r="AF804" i="1"/>
  <c r="AF802" i="1"/>
  <c r="AF800" i="1"/>
  <c r="AF801" i="1"/>
  <c r="AF799" i="1"/>
  <c r="AF798" i="1"/>
  <c r="AF796" i="1"/>
  <c r="AF797" i="1"/>
  <c r="AF795" i="1"/>
  <c r="AF794" i="1"/>
  <c r="AF793" i="1"/>
  <c r="AF792" i="1"/>
  <c r="AF791" i="1"/>
  <c r="AF790" i="1"/>
  <c r="AF789" i="1"/>
  <c r="AF788" i="1"/>
  <c r="AF787" i="1"/>
  <c r="AF786" i="1"/>
  <c r="AF785" i="1"/>
  <c r="AF784" i="1"/>
  <c r="AF783" i="1"/>
  <c r="AF782" i="1"/>
  <c r="AF781" i="1"/>
  <c r="AF780" i="1"/>
  <c r="AF778" i="1"/>
  <c r="AF779" i="1"/>
  <c r="AF776" i="1"/>
  <c r="AF777" i="1"/>
  <c r="AF775" i="1"/>
  <c r="AF774" i="1"/>
  <c r="AF773" i="1"/>
  <c r="AF772" i="1"/>
  <c r="AF771" i="1"/>
  <c r="AF769" i="1"/>
  <c r="AF770" i="1"/>
  <c r="AF767" i="1"/>
  <c r="AF768" i="1"/>
  <c r="AF766" i="1"/>
  <c r="AF765" i="1"/>
  <c r="AF764" i="1"/>
  <c r="AF763" i="1"/>
  <c r="AF762" i="1"/>
  <c r="AF761" i="1"/>
  <c r="AF760" i="1"/>
  <c r="AF759" i="1"/>
  <c r="AF758" i="1"/>
  <c r="AF757" i="1"/>
  <c r="AF756" i="1"/>
  <c r="AF755" i="1"/>
  <c r="AF754" i="1"/>
  <c r="AF753" i="1"/>
  <c r="AF752" i="1"/>
  <c r="AF750" i="1"/>
  <c r="AF751" i="1"/>
  <c r="AF749" i="1"/>
  <c r="AF748" i="1"/>
  <c r="AF747" i="1"/>
  <c r="AF746" i="1"/>
  <c r="AF745" i="1"/>
  <c r="AF744" i="1"/>
  <c r="AF743" i="1"/>
  <c r="AF742" i="1"/>
  <c r="AF741" i="1"/>
  <c r="AF740" i="1"/>
  <c r="AF739" i="1"/>
  <c r="AF738" i="1"/>
  <c r="AF737" i="1"/>
  <c r="AF736" i="1"/>
  <c r="AF735" i="1"/>
  <c r="AF734" i="1"/>
  <c r="AF733" i="1"/>
  <c r="AF732" i="1"/>
  <c r="AF731" i="1"/>
  <c r="AF730" i="1"/>
  <c r="AF729" i="1"/>
  <c r="AF728" i="1"/>
  <c r="AF727" i="1"/>
  <c r="AF726" i="1"/>
  <c r="AF725" i="1"/>
  <c r="AF724" i="1"/>
  <c r="AF723" i="1"/>
  <c r="AF721" i="1"/>
  <c r="AF722" i="1"/>
  <c r="AF720" i="1"/>
  <c r="AF719" i="1"/>
  <c r="AF718" i="1"/>
  <c r="AF717" i="1"/>
  <c r="AF716" i="1"/>
  <c r="AF715" i="1"/>
  <c r="AF714" i="1"/>
  <c r="AF712" i="1"/>
  <c r="AF713" i="1"/>
  <c r="AF711" i="1"/>
  <c r="AF710" i="1"/>
  <c r="AF709" i="1"/>
  <c r="AF708" i="1"/>
  <c r="AF707" i="1"/>
  <c r="AF706" i="1"/>
  <c r="AF705" i="1"/>
  <c r="AF704" i="1"/>
  <c r="AF703" i="1"/>
  <c r="AF702" i="1"/>
  <c r="AF701" i="1"/>
  <c r="AF700" i="1"/>
  <c r="AF699" i="1"/>
  <c r="AF698" i="1"/>
  <c r="AF697" i="1"/>
  <c r="AF696" i="1"/>
  <c r="AF695" i="1"/>
  <c r="AF694" i="1"/>
  <c r="AF693" i="1"/>
  <c r="AF692" i="1"/>
  <c r="AF691" i="1"/>
  <c r="AF690" i="1"/>
  <c r="AF689" i="1"/>
  <c r="AF688" i="1"/>
  <c r="AF687" i="1"/>
  <c r="AF686" i="1"/>
  <c r="AF685" i="1"/>
  <c r="AF684" i="1"/>
  <c r="AF683" i="1"/>
  <c r="AF682" i="1"/>
  <c r="AF681" i="1"/>
  <c r="AF680" i="1"/>
  <c r="AF679" i="1"/>
  <c r="AF678" i="1"/>
  <c r="AF677" i="1"/>
  <c r="AF676" i="1"/>
  <c r="AF674" i="1"/>
  <c r="AF675" i="1"/>
  <c r="AF673" i="1"/>
  <c r="AF672" i="1"/>
  <c r="AF671" i="1"/>
  <c r="AF670" i="1"/>
  <c r="AF669" i="1"/>
  <c r="AF668" i="1"/>
  <c r="AF667" i="1"/>
  <c r="AF666" i="1"/>
  <c r="AF665" i="1"/>
  <c r="AF664" i="1"/>
  <c r="AF663" i="1"/>
  <c r="AF662" i="1"/>
  <c r="AF661" i="1"/>
  <c r="AF660" i="1"/>
  <c r="AF659" i="1"/>
  <c r="AF658" i="1"/>
  <c r="AF657" i="1"/>
  <c r="AF656" i="1"/>
  <c r="AF655" i="1"/>
  <c r="AF654" i="1"/>
  <c r="AF653" i="1"/>
  <c r="AF652" i="1"/>
  <c r="AF650" i="1"/>
  <c r="AF651" i="1"/>
  <c r="AF649" i="1"/>
  <c r="AF648" i="1"/>
  <c r="AF647" i="1"/>
  <c r="AF646" i="1"/>
  <c r="AF645" i="1"/>
  <c r="AF644" i="1"/>
  <c r="AF643" i="1"/>
  <c r="AF642" i="1"/>
  <c r="AF641" i="1"/>
  <c r="AF640" i="1"/>
  <c r="AF639" i="1"/>
  <c r="AF638" i="1"/>
  <c r="AF637" i="1"/>
  <c r="AF636" i="1"/>
  <c r="AF635" i="1"/>
  <c r="AF634" i="1"/>
  <c r="AF633" i="1"/>
  <c r="AF632" i="1"/>
  <c r="AF631" i="1"/>
  <c r="AF630" i="1"/>
  <c r="AF629" i="1"/>
  <c r="AF628" i="1"/>
  <c r="AF627" i="1"/>
  <c r="AF626" i="1"/>
  <c r="AF625" i="1"/>
  <c r="AF624" i="1"/>
  <c r="AF623" i="1"/>
  <c r="AF622" i="1"/>
  <c r="AF621" i="1"/>
  <c r="AF620" i="1"/>
  <c r="AF618" i="1"/>
  <c r="AF619" i="1"/>
  <c r="AF617" i="1"/>
  <c r="AF616" i="1"/>
  <c r="AF615" i="1"/>
  <c r="AF614" i="1"/>
  <c r="AF613" i="1"/>
  <c r="AF612" i="1"/>
  <c r="AF611" i="1"/>
  <c r="AF610" i="1"/>
  <c r="AF609" i="1"/>
  <c r="AF607" i="1"/>
  <c r="AF608" i="1"/>
  <c r="AF606" i="1"/>
  <c r="AF605" i="1"/>
  <c r="AF604" i="1"/>
  <c r="AF603" i="1"/>
  <c r="AF602" i="1"/>
  <c r="AF601" i="1"/>
  <c r="AF600" i="1"/>
  <c r="AF599" i="1"/>
  <c r="AF596" i="1"/>
  <c r="AF597" i="1"/>
  <c r="AF598" i="1"/>
  <c r="AF595" i="1"/>
  <c r="AF594" i="1"/>
  <c r="AF593" i="1"/>
  <c r="AF592" i="1"/>
  <c r="AF591" i="1"/>
  <c r="AF590" i="1"/>
  <c r="AF589" i="1"/>
  <c r="AF588" i="1"/>
  <c r="AF587" i="1"/>
  <c r="AF586" i="1"/>
  <c r="AF585" i="1"/>
  <c r="AF584" i="1"/>
  <c r="AF583" i="1"/>
  <c r="AF582" i="1"/>
  <c r="AF581" i="1"/>
  <c r="AF580" i="1"/>
  <c r="AF578" i="1"/>
  <c r="AF579" i="1"/>
  <c r="AF577" i="1"/>
  <c r="AF576" i="1"/>
  <c r="AF575" i="1"/>
  <c r="AF574" i="1"/>
  <c r="AF573" i="1"/>
  <c r="AF572" i="1"/>
  <c r="AF571" i="1"/>
  <c r="AF570" i="1"/>
  <c r="AF569" i="1"/>
  <c r="AF568" i="1"/>
  <c r="AF567" i="1"/>
  <c r="AF565" i="1"/>
  <c r="AF566" i="1"/>
  <c r="AF564" i="1"/>
  <c r="AF563" i="1"/>
  <c r="AF562" i="1"/>
  <c r="AF561" i="1"/>
  <c r="AF560" i="1"/>
  <c r="AF559" i="1"/>
  <c r="AF558" i="1"/>
  <c r="AF557" i="1"/>
  <c r="AF555" i="1"/>
  <c r="AF556" i="1"/>
  <c r="AF554" i="1"/>
  <c r="AF553" i="1"/>
  <c r="AF552" i="1"/>
  <c r="AF551" i="1"/>
  <c r="AF550" i="1"/>
  <c r="AF549" i="1"/>
  <c r="AF548" i="1"/>
  <c r="AF547" i="1"/>
  <c r="AF546" i="1"/>
  <c r="AF545" i="1"/>
  <c r="AF544" i="1"/>
  <c r="AF543" i="1"/>
  <c r="AF542" i="1"/>
  <c r="AF541" i="1"/>
  <c r="AF540" i="1"/>
  <c r="AF539" i="1"/>
  <c r="AF538" i="1"/>
  <c r="AF537" i="1"/>
  <c r="AF536" i="1"/>
  <c r="AF535" i="1"/>
  <c r="AF534" i="1"/>
  <c r="AF533" i="1"/>
  <c r="AF532" i="1"/>
  <c r="AF531" i="1"/>
  <c r="AF530" i="1"/>
  <c r="AF529" i="1"/>
  <c r="AF528" i="1"/>
  <c r="AF527" i="1"/>
  <c r="AF526" i="1"/>
  <c r="AF525" i="1"/>
  <c r="AF524" i="1"/>
  <c r="AF523" i="1"/>
  <c r="AF522" i="1"/>
  <c r="AF521" i="1"/>
  <c r="AF520" i="1"/>
  <c r="AF519" i="1"/>
  <c r="AF518" i="1"/>
  <c r="AF517" i="1"/>
  <c r="AF516" i="1"/>
  <c r="AF515" i="1"/>
  <c r="AF514" i="1"/>
  <c r="AF513" i="1"/>
  <c r="AF512" i="1"/>
  <c r="AF510" i="1"/>
  <c r="AF511" i="1"/>
  <c r="AF509" i="1"/>
  <c r="AF508" i="1"/>
  <c r="AF507" i="1"/>
  <c r="AF506" i="1"/>
  <c r="AF505" i="1"/>
  <c r="AF504" i="1"/>
  <c r="AF503" i="1"/>
  <c r="AF502" i="1"/>
  <c r="AF500" i="1"/>
  <c r="AF501" i="1"/>
  <c r="AF499" i="1"/>
  <c r="AF498" i="1"/>
  <c r="AF497" i="1"/>
  <c r="AF496" i="1"/>
  <c r="AF495" i="1"/>
  <c r="AF494" i="1"/>
  <c r="AF493" i="1"/>
  <c r="AF492" i="1"/>
  <c r="AF491" i="1"/>
  <c r="AF490" i="1"/>
  <c r="AF489" i="1"/>
  <c r="AF488" i="1"/>
  <c r="AF487" i="1"/>
  <c r="AF486" i="1"/>
  <c r="AF485" i="1"/>
  <c r="AF484" i="1"/>
  <c r="AF483" i="1"/>
  <c r="AF482" i="1"/>
  <c r="AF481" i="1"/>
  <c r="AF480" i="1"/>
  <c r="AF479" i="1"/>
  <c r="AF478" i="1"/>
  <c r="AF476" i="1"/>
  <c r="AF477" i="1"/>
  <c r="AF475" i="1"/>
  <c r="AF473" i="1"/>
  <c r="AF474" i="1"/>
  <c r="AF472" i="1"/>
  <c r="AF471" i="1"/>
  <c r="AF470" i="1"/>
  <c r="AF468" i="1"/>
  <c r="AF469" i="1"/>
  <c r="AF467" i="1"/>
  <c r="AF466" i="1"/>
  <c r="AF465" i="1"/>
  <c r="AF464" i="1"/>
  <c r="AF463" i="1"/>
  <c r="AF462" i="1"/>
  <c r="AF461" i="1"/>
  <c r="AF460" i="1"/>
  <c r="AF459" i="1"/>
  <c r="AF458" i="1"/>
  <c r="AF457" i="1"/>
  <c r="AF456" i="1"/>
  <c r="AF455" i="1"/>
  <c r="AF454" i="1"/>
  <c r="AF453" i="1"/>
  <c r="AF452" i="1"/>
  <c r="AF451" i="1"/>
  <c r="AF450" i="1"/>
  <c r="AF449" i="1"/>
  <c r="AF448" i="1"/>
  <c r="AF447" i="1"/>
  <c r="AF446" i="1"/>
  <c r="AF445" i="1"/>
  <c r="AF444" i="1"/>
  <c r="AF443" i="1"/>
  <c r="AF442" i="1"/>
  <c r="AF441" i="1"/>
  <c r="AF440" i="1"/>
  <c r="AF439" i="1"/>
  <c r="AF438" i="1"/>
  <c r="AF437" i="1"/>
  <c r="AF436" i="1"/>
  <c r="AF435" i="1"/>
  <c r="AF434" i="1"/>
  <c r="AF433" i="1"/>
  <c r="AF432" i="1"/>
  <c r="AF431" i="1"/>
  <c r="AF430" i="1"/>
  <c r="AF429" i="1"/>
  <c r="AF428" i="1"/>
  <c r="AF427" i="1"/>
  <c r="AF426" i="1"/>
  <c r="AF425" i="1"/>
  <c r="AF424" i="1"/>
  <c r="AF423" i="1"/>
  <c r="AF422" i="1"/>
  <c r="AF421" i="1"/>
  <c r="AF420" i="1"/>
  <c r="AF419" i="1"/>
  <c r="AF417" i="1"/>
  <c r="AF418" i="1"/>
  <c r="AF416" i="1"/>
  <c r="AF415" i="1"/>
  <c r="AF414" i="1"/>
  <c r="AF413" i="1"/>
  <c r="AF412" i="1"/>
  <c r="AF410" i="1"/>
  <c r="AF411" i="1"/>
  <c r="AF409" i="1"/>
  <c r="AF408" i="1"/>
  <c r="AF407" i="1"/>
  <c r="AF406" i="1"/>
  <c r="AF405" i="1"/>
  <c r="AF404" i="1"/>
  <c r="AF403" i="1"/>
  <c r="AF402" i="1"/>
  <c r="AF401" i="1"/>
  <c r="AF400" i="1"/>
  <c r="AF399" i="1"/>
  <c r="AF398" i="1"/>
  <c r="AF397" i="1"/>
  <c r="AF396" i="1"/>
  <c r="AF395" i="1"/>
  <c r="AF394" i="1"/>
  <c r="AF393" i="1"/>
  <c r="AF392" i="1"/>
  <c r="AF391" i="1"/>
  <c r="AF390" i="1"/>
  <c r="AF389" i="1"/>
  <c r="AF387" i="1"/>
  <c r="AF388" i="1"/>
  <c r="AF386" i="1"/>
  <c r="AF385" i="1"/>
  <c r="AF384" i="1"/>
  <c r="AF383" i="1"/>
  <c r="AF382" i="1"/>
  <c r="AF381" i="1"/>
  <c r="AF380" i="1"/>
  <c r="AF379" i="1"/>
  <c r="AF378" i="1"/>
  <c r="AF376" i="1"/>
  <c r="AF377" i="1"/>
  <c r="AF375" i="1"/>
  <c r="AF374" i="1"/>
  <c r="AF372" i="1"/>
  <c r="AF373" i="1"/>
  <c r="AF371" i="1"/>
  <c r="AF370" i="1"/>
  <c r="AF369" i="1"/>
  <c r="AF368" i="1"/>
  <c r="AF367" i="1"/>
  <c r="AF366" i="1"/>
  <c r="AF365" i="1"/>
  <c r="AF364" i="1"/>
  <c r="AF363" i="1"/>
  <c r="AF362" i="1"/>
  <c r="AF361" i="1"/>
  <c r="AF360" i="1"/>
  <c r="AF359" i="1"/>
  <c r="AF358" i="1"/>
  <c r="AF357" i="1"/>
  <c r="AF356" i="1"/>
  <c r="AF355" i="1"/>
  <c r="AF354" i="1"/>
  <c r="AF353" i="1"/>
  <c r="AF352" i="1"/>
  <c r="AF350" i="1"/>
  <c r="AF351" i="1"/>
  <c r="AF349" i="1"/>
  <c r="AF348" i="1"/>
  <c r="AF347" i="1"/>
  <c r="AF346" i="1"/>
  <c r="AF345" i="1"/>
  <c r="AF344" i="1"/>
  <c r="AF343" i="1"/>
  <c r="AF342" i="1"/>
  <c r="AF341" i="1"/>
  <c r="AF340" i="1"/>
  <c r="AF339" i="1"/>
  <c r="AF338" i="1"/>
  <c r="AF337" i="1"/>
  <c r="AF336" i="1"/>
  <c r="AF335" i="1"/>
  <c r="AF334" i="1"/>
  <c r="AF333" i="1"/>
  <c r="AF332" i="1"/>
  <c r="AF331" i="1"/>
  <c r="AF330" i="1"/>
  <c r="AF328" i="1"/>
  <c r="AF329" i="1"/>
  <c r="AF327" i="1"/>
  <c r="AF326" i="1"/>
  <c r="AF325" i="1"/>
  <c r="AF324" i="1"/>
  <c r="AF323" i="1"/>
  <c r="AF322" i="1"/>
  <c r="AF321" i="1"/>
  <c r="AF320" i="1"/>
  <c r="AF319" i="1"/>
  <c r="AF318" i="1"/>
  <c r="AF317" i="1"/>
  <c r="AF316" i="1"/>
  <c r="AF315" i="1"/>
  <c r="AF314" i="1"/>
  <c r="AF313" i="1"/>
  <c r="AF312" i="1"/>
  <c r="AF311" i="1"/>
  <c r="AF310" i="1"/>
  <c r="AF308" i="1"/>
  <c r="AF309" i="1"/>
  <c r="AF307" i="1"/>
  <c r="AF306" i="1"/>
  <c r="AF305" i="1"/>
  <c r="AF304" i="1"/>
  <c r="AF303" i="1"/>
  <c r="AF302" i="1"/>
  <c r="AF301" i="1"/>
  <c r="AF300" i="1"/>
  <c r="AF299" i="1"/>
  <c r="AF298" i="1"/>
  <c r="AF297" i="1"/>
  <c r="AF296" i="1"/>
  <c r="AF295" i="1"/>
  <c r="AF294" i="1"/>
  <c r="AF292" i="1"/>
  <c r="AF293" i="1"/>
  <c r="AF291" i="1"/>
  <c r="AF290" i="1"/>
  <c r="AF289" i="1"/>
  <c r="AF288" i="1"/>
  <c r="AF287" i="1"/>
  <c r="AF286" i="1"/>
  <c r="AF285" i="1"/>
  <c r="AF284" i="1"/>
  <c r="AF283" i="1"/>
  <c r="AF281" i="1"/>
  <c r="AF282" i="1"/>
  <c r="AF280" i="1"/>
  <c r="AF279" i="1"/>
  <c r="AF278" i="1"/>
  <c r="AF277" i="1"/>
  <c r="AF276" i="1"/>
  <c r="AF275" i="1"/>
  <c r="AF274" i="1"/>
  <c r="AF273" i="1"/>
  <c r="AF272" i="1"/>
  <c r="AF271" i="1"/>
  <c r="AF270" i="1"/>
  <c r="AF268" i="1"/>
  <c r="AF269" i="1"/>
  <c r="AF267" i="1"/>
  <c r="AF266" i="1"/>
  <c r="AF265" i="1"/>
  <c r="AF264" i="1"/>
  <c r="AF263" i="1"/>
  <c r="AF262" i="1"/>
  <c r="AF261" i="1"/>
  <c r="AF260" i="1"/>
  <c r="AF259" i="1"/>
  <c r="AF258" i="1"/>
  <c r="AF257" i="1"/>
  <c r="AF256" i="1"/>
  <c r="AF255" i="1"/>
  <c r="AF254" i="1"/>
  <c r="AF253" i="1"/>
  <c r="AF252" i="1"/>
  <c r="AF251" i="1"/>
  <c r="AF250" i="1"/>
  <c r="AF249" i="1"/>
  <c r="AF248" i="1"/>
  <c r="AF247" i="1"/>
  <c r="AF246" i="1"/>
  <c r="AF245" i="1"/>
  <c r="AF244" i="1"/>
  <c r="AF243" i="1"/>
  <c r="AF242" i="1"/>
  <c r="AF241" i="1"/>
  <c r="AF240" i="1"/>
  <c r="AF239" i="1"/>
  <c r="AF238" i="1"/>
  <c r="AF237" i="1"/>
  <c r="AF236" i="1"/>
  <c r="AF235" i="1"/>
  <c r="AF234" i="1"/>
  <c r="AF233" i="1"/>
  <c r="AF232" i="1"/>
  <c r="AF231" i="1"/>
  <c r="AF230" i="1"/>
  <c r="AF229" i="1"/>
  <c r="AF228" i="1"/>
  <c r="AF227" i="1"/>
  <c r="AF226" i="1"/>
  <c r="AF225" i="1"/>
  <c r="AF224" i="1"/>
  <c r="AF223" i="1"/>
  <c r="AF222" i="1"/>
  <c r="AF221" i="1"/>
  <c r="AF220" i="1"/>
  <c r="AF219" i="1"/>
  <c r="AF218" i="1"/>
  <c r="AF217" i="1"/>
  <c r="AF216" i="1"/>
  <c r="AF215" i="1"/>
  <c r="AF214" i="1"/>
  <c r="AF213" i="1"/>
  <c r="AF212" i="1"/>
  <c r="AF211" i="1"/>
  <c r="AF210" i="1"/>
  <c r="AF209" i="1"/>
  <c r="AF208" i="1"/>
  <c r="AF207" i="1"/>
  <c r="AF206" i="1"/>
  <c r="AF205" i="1"/>
  <c r="AF204" i="1"/>
  <c r="AF203" i="1"/>
  <c r="AF202" i="1"/>
  <c r="AF201" i="1"/>
  <c r="AF200" i="1"/>
  <c r="AF199" i="1"/>
  <c r="AF197" i="1"/>
  <c r="AF198" i="1"/>
  <c r="AF196" i="1"/>
  <c r="AF195" i="1"/>
  <c r="AF194" i="1"/>
  <c r="AF193" i="1"/>
  <c r="AF192" i="1"/>
  <c r="AF191" i="1"/>
  <c r="AF190" i="1"/>
  <c r="AF189" i="1"/>
  <c r="AF188" i="1"/>
  <c r="AF187" i="1"/>
  <c r="AF186" i="1"/>
  <c r="AF185" i="1"/>
  <c r="AF184" i="1"/>
  <c r="AF183" i="1"/>
  <c r="AF182" i="1"/>
  <c r="AF181" i="1"/>
  <c r="AF180" i="1"/>
  <c r="AF179" i="1"/>
  <c r="AF178" i="1"/>
  <c r="AF177" i="1"/>
  <c r="AF176" i="1"/>
  <c r="AF175" i="1"/>
  <c r="AF174" i="1"/>
  <c r="AF173" i="1"/>
  <c r="AF172" i="1"/>
  <c r="AF171" i="1"/>
  <c r="AF170" i="1"/>
  <c r="AF169" i="1"/>
  <c r="AF168" i="1"/>
  <c r="AF167" i="1"/>
  <c r="AF166" i="1"/>
  <c r="AF165" i="1"/>
  <c r="AF164" i="1"/>
  <c r="AF163" i="1"/>
  <c r="AF162" i="1"/>
  <c r="AF161" i="1"/>
  <c r="AF160" i="1"/>
  <c r="AF159" i="1"/>
  <c r="AF158" i="1"/>
  <c r="AF157" i="1"/>
  <c r="AF155" i="1"/>
  <c r="AF156" i="1"/>
  <c r="AF154" i="1"/>
  <c r="AF153" i="1"/>
  <c r="AF152" i="1"/>
  <c r="AF151" i="1"/>
  <c r="AF150" i="1"/>
  <c r="AF149" i="1"/>
  <c r="AF148" i="1"/>
  <c r="AF147" i="1"/>
  <c r="AF146" i="1"/>
  <c r="AF145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3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F3" i="1"/>
  <c r="AF2" i="1"/>
  <c r="AF1053" i="1"/>
  <c r="AF1706" i="1"/>
  <c r="AE1705" i="1"/>
  <c r="AE1704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689" i="1"/>
  <c r="AE1690" i="1"/>
  <c r="AE1691" i="1"/>
  <c r="AE1692" i="1"/>
  <c r="AE1688" i="1"/>
  <c r="AE1687" i="1"/>
  <c r="AE1686" i="1"/>
  <c r="AE1684" i="1"/>
  <c r="AE1685" i="1"/>
  <c r="AE1683" i="1"/>
  <c r="AE1680" i="1"/>
  <c r="AE1681" i="1"/>
  <c r="AE1682" i="1"/>
  <c r="AE1679" i="1"/>
  <c r="AE1678" i="1"/>
  <c r="AE1677" i="1"/>
  <c r="AE1675" i="1"/>
  <c r="AE1676" i="1"/>
  <c r="AE1674" i="1"/>
  <c r="AE1673" i="1"/>
  <c r="AE1672" i="1"/>
  <c r="AE1664" i="1"/>
  <c r="AE1665" i="1"/>
  <c r="AE1666" i="1"/>
  <c r="AE1667" i="1"/>
  <c r="AE1668" i="1"/>
  <c r="AE1669" i="1"/>
  <c r="AE1670" i="1"/>
  <c r="AE1671" i="1"/>
  <c r="AE1663" i="1"/>
  <c r="AE1662" i="1"/>
  <c r="AE1661" i="1"/>
  <c r="AE1660" i="1"/>
  <c r="AE1659" i="1"/>
  <c r="AE1658" i="1"/>
  <c r="AE1657" i="1"/>
  <c r="AE1656" i="1"/>
  <c r="AE1654" i="1"/>
  <c r="AE1655" i="1"/>
  <c r="AE1653" i="1"/>
  <c r="AE1652" i="1"/>
  <c r="AE1651" i="1"/>
  <c r="AE1650" i="1"/>
  <c r="AE1649" i="1"/>
  <c r="AE1647" i="1"/>
  <c r="AE1648" i="1"/>
  <c r="AE1646" i="1"/>
  <c r="AE1645" i="1"/>
  <c r="AE1644" i="1"/>
  <c r="AE1643" i="1"/>
  <c r="AE1642" i="1"/>
  <c r="AE1641" i="1"/>
  <c r="AE1639" i="1"/>
  <c r="AE1640" i="1"/>
  <c r="AE1635" i="1"/>
  <c r="AE1636" i="1"/>
  <c r="AE1637" i="1"/>
  <c r="AE1638" i="1"/>
  <c r="AE1634" i="1"/>
  <c r="AE1633" i="1"/>
  <c r="AE1632" i="1"/>
  <c r="AE1631" i="1"/>
  <c r="AE1630" i="1"/>
  <c r="AE1629" i="1"/>
  <c r="AE1628" i="1"/>
  <c r="AE1627" i="1"/>
  <c r="AE1626" i="1"/>
  <c r="AE1625" i="1"/>
  <c r="AE1624" i="1"/>
  <c r="AE1623" i="1"/>
  <c r="AE1622" i="1"/>
  <c r="AE1621" i="1"/>
  <c r="AE1620" i="1"/>
  <c r="AE1619" i="1"/>
  <c r="AE1618" i="1"/>
  <c r="AE1617" i="1"/>
  <c r="AE1616" i="1"/>
  <c r="AE1615" i="1"/>
  <c r="AE1614" i="1"/>
  <c r="AE1613" i="1"/>
  <c r="AE1612" i="1"/>
  <c r="AE1611" i="1"/>
  <c r="AE1610" i="1"/>
  <c r="AE1609" i="1"/>
  <c r="AE1608" i="1"/>
  <c r="AE1607" i="1"/>
  <c r="AE1606" i="1"/>
  <c r="AE1605" i="1"/>
  <c r="AE1604" i="1"/>
  <c r="AE1603" i="1"/>
  <c r="AE1602" i="1"/>
  <c r="AE1601" i="1"/>
  <c r="AE1600" i="1"/>
  <c r="AE1599" i="1"/>
  <c r="AE1598" i="1"/>
  <c r="AE1597" i="1"/>
  <c r="AE1596" i="1"/>
  <c r="AE1595" i="1"/>
  <c r="AE1594" i="1"/>
  <c r="AE1593" i="1"/>
  <c r="AE1592" i="1"/>
  <c r="AE1591" i="1"/>
  <c r="AE1590" i="1"/>
  <c r="AE1589" i="1"/>
  <c r="AE1588" i="1"/>
  <c r="AE1587" i="1"/>
  <c r="AE1586" i="1"/>
  <c r="AE1585" i="1"/>
  <c r="AE1584" i="1"/>
  <c r="AE1583" i="1"/>
  <c r="AE1582" i="1"/>
  <c r="AE1581" i="1"/>
  <c r="AE1580" i="1"/>
  <c r="AE1579" i="1"/>
  <c r="AE1578" i="1"/>
  <c r="AE1577" i="1"/>
  <c r="AE1576" i="1"/>
  <c r="AE1575" i="1"/>
  <c r="AE1574" i="1"/>
  <c r="AE1573" i="1"/>
  <c r="AE1572" i="1"/>
  <c r="AE1571" i="1"/>
  <c r="AE1570" i="1"/>
  <c r="AE1569" i="1"/>
  <c r="AE1568" i="1"/>
  <c r="AE1567" i="1"/>
  <c r="AE1566" i="1"/>
  <c r="AE1565" i="1"/>
  <c r="AE1564" i="1"/>
  <c r="AE1563" i="1"/>
  <c r="AE1562" i="1"/>
  <c r="AE1561" i="1"/>
  <c r="AE1560" i="1"/>
  <c r="AE1559" i="1"/>
  <c r="AE1558" i="1"/>
  <c r="AE1557" i="1"/>
  <c r="AE1556" i="1"/>
  <c r="AE1555" i="1"/>
  <c r="AE1554" i="1"/>
  <c r="AE1553" i="1"/>
  <c r="AE1552" i="1"/>
  <c r="AE1551" i="1"/>
  <c r="AE1550" i="1"/>
  <c r="AE1549" i="1"/>
  <c r="AE1548" i="1"/>
  <c r="AE1547" i="1"/>
  <c r="AE1546" i="1"/>
  <c r="AE1545" i="1"/>
  <c r="AE1544" i="1"/>
  <c r="AE1543" i="1"/>
  <c r="AE1542" i="1"/>
  <c r="AE1541" i="1"/>
  <c r="AE1540" i="1"/>
  <c r="AE1539" i="1"/>
  <c r="AE1538" i="1"/>
  <c r="AE1537" i="1"/>
  <c r="AE1536" i="1"/>
  <c r="AE1535" i="1"/>
  <c r="AE1534" i="1"/>
  <c r="AE1532" i="1"/>
  <c r="AE1533" i="1"/>
  <c r="AE1530" i="1"/>
  <c r="AE1531" i="1"/>
  <c r="AE1529" i="1"/>
  <c r="AE1528" i="1"/>
  <c r="AE1527" i="1"/>
  <c r="AE1526" i="1"/>
  <c r="AE1525" i="1"/>
  <c r="AE1524" i="1"/>
  <c r="AE1523" i="1"/>
  <c r="AE1522" i="1"/>
  <c r="AE1521" i="1"/>
  <c r="AE1519" i="1"/>
  <c r="AE1520" i="1"/>
  <c r="AE1518" i="1"/>
  <c r="AE1517" i="1"/>
  <c r="AE1516" i="1"/>
  <c r="AE1515" i="1"/>
  <c r="AE1514" i="1"/>
  <c r="AE1513" i="1"/>
  <c r="AE1512" i="1"/>
  <c r="AE1511" i="1"/>
  <c r="AE1510" i="1"/>
  <c r="AE1508" i="1"/>
  <c r="AE1509" i="1"/>
  <c r="AE1507" i="1"/>
  <c r="AE1506" i="1"/>
  <c r="AE1505" i="1"/>
  <c r="AE1504" i="1"/>
  <c r="AE1503" i="1"/>
  <c r="AE1502" i="1"/>
  <c r="AE1501" i="1"/>
  <c r="AE1500" i="1"/>
  <c r="AE1499" i="1"/>
  <c r="AE1498" i="1"/>
  <c r="AE1497" i="1"/>
  <c r="AE1496" i="1"/>
  <c r="AE1495" i="1"/>
  <c r="AE1494" i="1"/>
  <c r="AE1493" i="1"/>
  <c r="AE1492" i="1"/>
  <c r="AE1491" i="1"/>
  <c r="AE1490" i="1"/>
  <c r="AE1489" i="1"/>
  <c r="AE1488" i="1"/>
  <c r="AE1487" i="1"/>
  <c r="AE1486" i="1"/>
  <c r="AE1485" i="1"/>
  <c r="AE1484" i="1"/>
  <c r="AE1483" i="1"/>
  <c r="AE1482" i="1"/>
  <c r="AE1481" i="1"/>
  <c r="AE1480" i="1"/>
  <c r="AE1479" i="1"/>
  <c r="AE1478" i="1"/>
  <c r="AE1477" i="1"/>
  <c r="AE1476" i="1"/>
  <c r="AE1475" i="1"/>
  <c r="AE1474" i="1"/>
  <c r="AE1473" i="1"/>
  <c r="AE1472" i="1"/>
  <c r="AE1471" i="1"/>
  <c r="AE1470" i="1"/>
  <c r="AE1469" i="1"/>
  <c r="AE1468" i="1"/>
  <c r="AE1467" i="1"/>
  <c r="AE1466" i="1"/>
  <c r="AE1465" i="1"/>
  <c r="AE1464" i="1"/>
  <c r="AE1463" i="1"/>
  <c r="AE1462" i="1"/>
  <c r="AE1461" i="1"/>
  <c r="AE1459" i="1"/>
  <c r="AE1460" i="1"/>
  <c r="AE1458" i="1"/>
  <c r="AE1457" i="1"/>
  <c r="AE1456" i="1"/>
  <c r="AE1455" i="1"/>
  <c r="AE1454" i="1"/>
  <c r="AE1453" i="1"/>
  <c r="AE1452" i="1"/>
  <c r="AE1451" i="1"/>
  <c r="AE1450" i="1"/>
  <c r="AE1449" i="1"/>
  <c r="AE1448" i="1"/>
  <c r="AE1447" i="1"/>
  <c r="AE1446" i="1"/>
  <c r="AE1445" i="1"/>
  <c r="AE1444" i="1"/>
  <c r="AE1443" i="1"/>
  <c r="AE1442" i="1"/>
  <c r="AE1441" i="1"/>
  <c r="AE1440" i="1"/>
  <c r="AE1439" i="1"/>
  <c r="AE1438" i="1"/>
  <c r="AE1437" i="1"/>
  <c r="AE1436" i="1"/>
  <c r="AE1434" i="1"/>
  <c r="AE1435" i="1"/>
  <c r="AE1433" i="1"/>
  <c r="AE1432" i="1"/>
  <c r="AE1431" i="1"/>
  <c r="AE1430" i="1"/>
  <c r="AE1429" i="1"/>
  <c r="AE1428" i="1"/>
  <c r="AE1427" i="1"/>
  <c r="AE1426" i="1"/>
  <c r="AE1425" i="1"/>
  <c r="AE1424" i="1"/>
  <c r="AE1423" i="1"/>
  <c r="AE1422" i="1"/>
  <c r="AE1421" i="1"/>
  <c r="AE1420" i="1"/>
  <c r="AE1419" i="1"/>
  <c r="AE1418" i="1"/>
  <c r="AE1417" i="1"/>
  <c r="AE1416" i="1"/>
  <c r="AE1415" i="1"/>
  <c r="AE1414" i="1"/>
  <c r="AE1411" i="1"/>
  <c r="AE1412" i="1"/>
  <c r="AE1413" i="1"/>
  <c r="AE1410" i="1"/>
  <c r="AE1409" i="1"/>
  <c r="AE1408" i="1"/>
  <c r="AE1406" i="1"/>
  <c r="AE1407" i="1"/>
  <c r="AE1405" i="1"/>
  <c r="AE1404" i="1"/>
  <c r="AE1402" i="1"/>
  <c r="AE1403" i="1"/>
  <c r="AE1401" i="1"/>
  <c r="AE1400" i="1"/>
  <c r="AE1399" i="1"/>
  <c r="AE1397" i="1"/>
  <c r="AE1398" i="1"/>
  <c r="AE1396" i="1"/>
  <c r="AE1395" i="1"/>
  <c r="AE1394" i="1"/>
  <c r="AE1393" i="1"/>
  <c r="AE1392" i="1"/>
  <c r="AE1391" i="1"/>
  <c r="AE1390" i="1"/>
  <c r="AE1389" i="1"/>
  <c r="AE1388" i="1"/>
  <c r="AE1387" i="1"/>
  <c r="AE1386" i="1"/>
  <c r="AE1385" i="1"/>
  <c r="AE1384" i="1"/>
  <c r="AE1383" i="1"/>
  <c r="AE1382" i="1"/>
  <c r="AE1381" i="1"/>
  <c r="AE1380" i="1"/>
  <c r="AE1379" i="1"/>
  <c r="AE1378" i="1"/>
  <c r="AE1377" i="1"/>
  <c r="AE1376" i="1"/>
  <c r="AE1375" i="1"/>
  <c r="AE1374" i="1"/>
  <c r="AE1373" i="1"/>
  <c r="AE1372" i="1"/>
  <c r="AE1371" i="1"/>
  <c r="AE1370" i="1"/>
  <c r="AE1369" i="1"/>
  <c r="AE1368" i="1"/>
  <c r="AE1367" i="1"/>
  <c r="AE1366" i="1"/>
  <c r="AE1365" i="1"/>
  <c r="AE1364" i="1"/>
  <c r="AE1363" i="1"/>
  <c r="AE1362" i="1"/>
  <c r="AE1361" i="1"/>
  <c r="AE1360" i="1"/>
  <c r="AE1359" i="1"/>
  <c r="AE1358" i="1"/>
  <c r="AE1357" i="1"/>
  <c r="AE1356" i="1"/>
  <c r="AE1354" i="1"/>
  <c r="AE1355" i="1"/>
  <c r="AE1353" i="1"/>
  <c r="AE1352" i="1"/>
  <c r="AE1351" i="1"/>
  <c r="AE1350" i="1"/>
  <c r="AE1349" i="1"/>
  <c r="AE1348" i="1"/>
  <c r="AE1347" i="1"/>
  <c r="AE1346" i="1"/>
  <c r="AE1345" i="1"/>
  <c r="AE1344" i="1"/>
  <c r="AE1343" i="1"/>
  <c r="AE1342" i="1"/>
  <c r="AE1341" i="1"/>
  <c r="AE1340" i="1"/>
  <c r="AE1339" i="1"/>
  <c r="AE1338" i="1"/>
  <c r="AE1337" i="1"/>
  <c r="AE1336" i="1"/>
  <c r="AE1335" i="1"/>
  <c r="AE1334" i="1"/>
  <c r="AE1333" i="1"/>
  <c r="AE1332" i="1"/>
  <c r="AE1331" i="1"/>
  <c r="AE1330" i="1"/>
  <c r="AE1329" i="1"/>
  <c r="AE1327" i="1"/>
  <c r="AE1328" i="1"/>
  <c r="AE1326" i="1"/>
  <c r="AE1325" i="1"/>
  <c r="AE1324" i="1"/>
  <c r="AE1323" i="1"/>
  <c r="AE1322" i="1"/>
  <c r="AE1321" i="1"/>
  <c r="AE1320" i="1"/>
  <c r="AE1319" i="1"/>
  <c r="AE1318" i="1"/>
  <c r="AE1317" i="1"/>
  <c r="AE1316" i="1"/>
  <c r="AE1315" i="1"/>
  <c r="AE1314" i="1"/>
  <c r="AE1313" i="1"/>
  <c r="AE1311" i="1"/>
  <c r="AE1310" i="1"/>
  <c r="AE1307" i="1"/>
  <c r="AE1308" i="1"/>
  <c r="AE1309" i="1"/>
  <c r="AE1306" i="1"/>
  <c r="AE1305" i="1"/>
  <c r="AE1303" i="1"/>
  <c r="AE1304" i="1"/>
  <c r="AE1296" i="1"/>
  <c r="AE1297" i="1"/>
  <c r="AE1298" i="1"/>
  <c r="AE1299" i="1"/>
  <c r="AE1300" i="1"/>
  <c r="AE1301" i="1"/>
  <c r="AE1302" i="1"/>
  <c r="AE1295" i="1"/>
  <c r="AE1293" i="1"/>
  <c r="AE1294" i="1"/>
  <c r="AE1291" i="1"/>
  <c r="AE1292" i="1"/>
  <c r="AE1290" i="1"/>
  <c r="AE1289" i="1"/>
  <c r="AE1288" i="1"/>
  <c r="AE1287" i="1"/>
  <c r="AE1286" i="1"/>
  <c r="AE1285" i="1"/>
  <c r="AE1284" i="1"/>
  <c r="AE1283" i="1"/>
  <c r="AE1282" i="1"/>
  <c r="AE1281" i="1"/>
  <c r="AE1280" i="1"/>
  <c r="AE1279" i="1"/>
  <c r="AE1278" i="1"/>
  <c r="AE1277" i="1"/>
  <c r="AE1276" i="1"/>
  <c r="AE1275" i="1"/>
  <c r="AE1274" i="1"/>
  <c r="AE1273" i="1"/>
  <c r="AE1272" i="1"/>
  <c r="AE1271" i="1"/>
  <c r="AE1270" i="1"/>
  <c r="AE1269" i="1"/>
  <c r="AE1268" i="1"/>
  <c r="AE1267" i="1"/>
  <c r="AE1265" i="1"/>
  <c r="AE1266" i="1"/>
  <c r="AE1264" i="1"/>
  <c r="AE1263" i="1"/>
  <c r="AE1262" i="1"/>
  <c r="AE1261" i="1"/>
  <c r="AE1260" i="1"/>
  <c r="AE1259" i="1"/>
  <c r="AE1257" i="1"/>
  <c r="AE1258" i="1"/>
  <c r="AE1256" i="1"/>
  <c r="AE1255" i="1"/>
  <c r="AE1254" i="1"/>
  <c r="AE1253" i="1"/>
  <c r="AE1252" i="1"/>
  <c r="AE1251" i="1"/>
  <c r="AE1250" i="1"/>
  <c r="AE1249" i="1"/>
  <c r="AE1248" i="1"/>
  <c r="AE1247" i="1"/>
  <c r="AE1246" i="1"/>
  <c r="AE1245" i="1"/>
  <c r="AE1244" i="1"/>
  <c r="AE1243" i="1"/>
  <c r="AE1242" i="1"/>
  <c r="AE1241" i="1"/>
  <c r="AE1240" i="1"/>
  <c r="AE1239" i="1"/>
  <c r="AE1238" i="1"/>
  <c r="AE1237" i="1"/>
  <c r="AE1236" i="1"/>
  <c r="AE1235" i="1"/>
  <c r="AE1234" i="1"/>
  <c r="AE1233" i="1"/>
  <c r="AE1232" i="1"/>
  <c r="AE1231" i="1"/>
  <c r="AE1230" i="1"/>
  <c r="AE1229" i="1"/>
  <c r="AE1228" i="1"/>
  <c r="AE1227" i="1"/>
  <c r="AE1226" i="1"/>
  <c r="AE1225" i="1"/>
  <c r="AE1224" i="1"/>
  <c r="AE1223" i="1"/>
  <c r="AE1222" i="1"/>
  <c r="AE1221" i="1"/>
  <c r="AE1220" i="1"/>
  <c r="AE1219" i="1"/>
  <c r="AE1218" i="1"/>
  <c r="AE1216" i="1"/>
  <c r="AE1217" i="1"/>
  <c r="AE1215" i="1"/>
  <c r="AE1214" i="1"/>
  <c r="AE1213" i="1"/>
  <c r="AE1212" i="1"/>
  <c r="AE1211" i="1"/>
  <c r="AE1210" i="1"/>
  <c r="AE1209" i="1"/>
  <c r="AE1208" i="1"/>
  <c r="AE1207" i="1"/>
  <c r="AE1206" i="1"/>
  <c r="AE1205" i="1"/>
  <c r="AE1204" i="1"/>
  <c r="AE1203" i="1"/>
  <c r="AE1202" i="1"/>
  <c r="AE1201" i="1"/>
  <c r="AE1200" i="1"/>
  <c r="AE1199" i="1"/>
  <c r="AE1198" i="1"/>
  <c r="AE1197" i="1"/>
  <c r="AE1196" i="1"/>
  <c r="AE1195" i="1"/>
  <c r="AE1194" i="1"/>
  <c r="AE1193" i="1"/>
  <c r="AE1192" i="1"/>
  <c r="AE1191" i="1"/>
  <c r="AE1190" i="1"/>
  <c r="AE1189" i="1"/>
  <c r="AE1188" i="1"/>
  <c r="AE1187" i="1"/>
  <c r="AE1186" i="1"/>
  <c r="AE1185" i="1"/>
  <c r="AE1184" i="1"/>
  <c r="AE1183" i="1"/>
  <c r="AE1182" i="1"/>
  <c r="AE1181" i="1"/>
  <c r="AE1180" i="1"/>
  <c r="AE1179" i="1"/>
  <c r="AE1178" i="1"/>
  <c r="AE1177" i="1"/>
  <c r="AE1176" i="1"/>
  <c r="AE1175" i="1"/>
  <c r="AE1174" i="1"/>
  <c r="AE1172" i="1"/>
  <c r="AE1173" i="1"/>
  <c r="AE1171" i="1"/>
  <c r="AE1170" i="1"/>
  <c r="AE1169" i="1"/>
  <c r="AE1167" i="1"/>
  <c r="AE1168" i="1"/>
  <c r="AE1166" i="1"/>
  <c r="AE1165" i="1"/>
  <c r="AE1164" i="1"/>
  <c r="AE1163" i="1"/>
  <c r="AE1162" i="1"/>
  <c r="AE1161" i="1"/>
  <c r="AE1160" i="1"/>
  <c r="AE1159" i="1"/>
  <c r="AE1158" i="1"/>
  <c r="AE1157" i="1"/>
  <c r="AE1156" i="1"/>
  <c r="AE1155" i="1"/>
  <c r="AE1154" i="1"/>
  <c r="AE1153" i="1"/>
  <c r="AE1152" i="1"/>
  <c r="AE1151" i="1"/>
  <c r="AE1150" i="1"/>
  <c r="AE1148" i="1"/>
  <c r="AE1149" i="1"/>
  <c r="AE1147" i="1"/>
  <c r="AE1146" i="1"/>
  <c r="AE1145" i="1"/>
  <c r="AE1144" i="1"/>
  <c r="AE1143" i="1"/>
  <c r="AE1142" i="1"/>
  <c r="AE1141" i="1"/>
  <c r="AE1140" i="1"/>
  <c r="AE1139" i="1"/>
  <c r="AE1138" i="1"/>
  <c r="AE1137" i="1"/>
  <c r="AE1134" i="1"/>
  <c r="AE1135" i="1"/>
  <c r="AE1136" i="1"/>
  <c r="AE1133" i="1"/>
  <c r="AE1132" i="1"/>
  <c r="AE1131" i="1"/>
  <c r="AE1130" i="1"/>
  <c r="AE1129" i="1"/>
  <c r="AE1128" i="1"/>
  <c r="AE1127" i="1"/>
  <c r="AE1126" i="1"/>
  <c r="AE1125" i="1"/>
  <c r="AE1124" i="1"/>
  <c r="AE1123" i="1"/>
  <c r="AE1122" i="1"/>
  <c r="AE1121" i="1"/>
  <c r="AE1120" i="1"/>
  <c r="AE1117" i="1"/>
  <c r="AE1118" i="1"/>
  <c r="AE1119" i="1"/>
  <c r="AE1116" i="1"/>
  <c r="AE1114" i="1"/>
  <c r="AE1115" i="1"/>
  <c r="AE1112" i="1"/>
  <c r="AE1113" i="1"/>
  <c r="AE1111" i="1"/>
  <c r="AE1110" i="1"/>
  <c r="AE1109" i="1"/>
  <c r="AE1108" i="1"/>
  <c r="AE1107" i="1"/>
  <c r="AE1106" i="1"/>
  <c r="AE1105" i="1"/>
  <c r="AE1104" i="1"/>
  <c r="AE1103" i="1"/>
  <c r="AE1102" i="1"/>
  <c r="AE1101" i="1"/>
  <c r="AE1100" i="1"/>
  <c r="AE1099" i="1"/>
  <c r="AE1098" i="1"/>
  <c r="AE1097" i="1"/>
  <c r="AE1096" i="1"/>
  <c r="AE1095" i="1"/>
  <c r="AE1094" i="1"/>
  <c r="AE1093" i="1"/>
  <c r="AE1092" i="1"/>
  <c r="AE1091" i="1"/>
  <c r="AE1090" i="1"/>
  <c r="AE1089" i="1"/>
  <c r="AE1088" i="1"/>
  <c r="AE1087" i="1"/>
  <c r="AE1086" i="1"/>
  <c r="AE1085" i="1"/>
  <c r="AE1084" i="1"/>
  <c r="AE1083" i="1"/>
  <c r="AE1082" i="1"/>
  <c r="AE1081" i="1"/>
  <c r="AE1080" i="1"/>
  <c r="AE1079" i="1"/>
  <c r="AE1078" i="1"/>
  <c r="AE1077" i="1"/>
  <c r="AE1076" i="1"/>
  <c r="AE1075" i="1"/>
  <c r="AE1074" i="1"/>
  <c r="AE1073" i="1"/>
  <c r="AE1072" i="1"/>
  <c r="AE1071" i="1"/>
  <c r="AE1070" i="1"/>
  <c r="AE1069" i="1"/>
  <c r="AE1068" i="1"/>
  <c r="AE1067" i="1"/>
  <c r="AE1065" i="1"/>
  <c r="AE1066" i="1"/>
  <c r="AE1064" i="1"/>
  <c r="AE1063" i="1"/>
  <c r="AE1062" i="1"/>
  <c r="AE1061" i="1"/>
  <c r="AE1060" i="1"/>
  <c r="AE1059" i="1"/>
  <c r="AE1057" i="1"/>
  <c r="AE1058" i="1"/>
  <c r="AE1056" i="1"/>
  <c r="AE1055" i="1"/>
  <c r="AE1054" i="1"/>
  <c r="AE1052" i="1"/>
  <c r="AE1051" i="1"/>
  <c r="AE1050" i="1"/>
  <c r="AE1049" i="1"/>
  <c r="AE1048" i="1"/>
  <c r="AE1047" i="1"/>
  <c r="AE1046" i="1"/>
  <c r="AE1045" i="1"/>
  <c r="AE1044" i="1"/>
  <c r="AE1043" i="1"/>
  <c r="AE1041" i="1"/>
  <c r="AE1042" i="1"/>
  <c r="AE1040" i="1"/>
  <c r="AE1039" i="1"/>
  <c r="AE1038" i="1"/>
  <c r="AE1037" i="1"/>
  <c r="AE1036" i="1"/>
  <c r="AE1035" i="1"/>
  <c r="AE1034" i="1"/>
  <c r="AE1033" i="1"/>
  <c r="AE1032" i="1"/>
  <c r="AE1031" i="1"/>
  <c r="AE1030" i="1"/>
  <c r="AE1029" i="1"/>
  <c r="AE1028" i="1"/>
  <c r="AE1027" i="1"/>
  <c r="AE1026" i="1"/>
  <c r="AE1025" i="1"/>
  <c r="AE1024" i="1"/>
  <c r="AE1022" i="1"/>
  <c r="AE1023" i="1"/>
  <c r="AE1021" i="1"/>
  <c r="AE1020" i="1"/>
  <c r="AE1019" i="1"/>
  <c r="AE1018" i="1"/>
  <c r="AE1017" i="1"/>
  <c r="AE1016" i="1"/>
  <c r="AE1015" i="1"/>
  <c r="AE1014" i="1"/>
  <c r="AE1013" i="1"/>
  <c r="AE1012" i="1"/>
  <c r="AE1011" i="1"/>
  <c r="AE1010" i="1"/>
  <c r="AE1009" i="1"/>
  <c r="AE1008" i="1"/>
  <c r="AE1007" i="1"/>
  <c r="AE1006" i="1"/>
  <c r="AE1005" i="1"/>
  <c r="AE1004" i="1"/>
  <c r="AE1003" i="1"/>
  <c r="AE1002" i="1"/>
  <c r="AE1001" i="1"/>
  <c r="AE1000" i="1"/>
  <c r="AE999" i="1"/>
  <c r="AE998" i="1"/>
  <c r="AE997" i="1"/>
  <c r="AE996" i="1"/>
  <c r="AE995" i="1"/>
  <c r="AE994" i="1"/>
  <c r="AE993" i="1"/>
  <c r="AE992" i="1"/>
  <c r="AE991" i="1"/>
  <c r="AE990" i="1"/>
  <c r="AE989" i="1"/>
  <c r="AE988" i="1"/>
  <c r="AE987" i="1"/>
  <c r="AE986" i="1"/>
  <c r="AE985" i="1"/>
  <c r="AE984" i="1"/>
  <c r="AE983" i="1"/>
  <c r="AE982" i="1"/>
  <c r="AE981" i="1"/>
  <c r="AE980" i="1"/>
  <c r="AE979" i="1"/>
  <c r="AE978" i="1"/>
  <c r="AE976" i="1"/>
  <c r="AE977" i="1"/>
  <c r="AE975" i="1"/>
  <c r="AE974" i="1"/>
  <c r="AE972" i="1"/>
  <c r="AE973" i="1"/>
  <c r="AE971" i="1"/>
  <c r="AE970" i="1"/>
  <c r="AE969" i="1"/>
  <c r="AE968" i="1"/>
  <c r="AE967" i="1"/>
  <c r="AE966" i="1"/>
  <c r="AE965" i="1"/>
  <c r="AE964" i="1"/>
  <c r="AE963" i="1"/>
  <c r="AE960" i="1"/>
  <c r="AE961" i="1"/>
  <c r="AE962" i="1"/>
  <c r="AE959" i="1"/>
  <c r="AE956" i="1"/>
  <c r="AE957" i="1"/>
  <c r="AE958" i="1"/>
  <c r="AE955" i="1"/>
  <c r="AE953" i="1"/>
  <c r="AE954" i="1"/>
  <c r="AE952" i="1"/>
  <c r="AE951" i="1"/>
  <c r="AE949" i="1"/>
  <c r="AE950" i="1"/>
  <c r="AE948" i="1"/>
  <c r="AE947" i="1"/>
  <c r="AE946" i="1"/>
  <c r="AE945" i="1"/>
  <c r="AE943" i="1"/>
  <c r="AE944" i="1"/>
  <c r="AE942" i="1"/>
  <c r="AE941" i="1"/>
  <c r="AE939" i="1"/>
  <c r="AE940" i="1"/>
  <c r="AE937" i="1"/>
  <c r="AE938" i="1"/>
  <c r="AE935" i="1"/>
  <c r="AE936" i="1"/>
  <c r="AE934" i="1"/>
  <c r="AE933" i="1"/>
  <c r="AE931" i="1"/>
  <c r="AE932" i="1"/>
  <c r="AE929" i="1"/>
  <c r="AE930" i="1"/>
  <c r="AE928" i="1"/>
  <c r="AE927" i="1"/>
  <c r="AE926" i="1"/>
  <c r="AE925" i="1"/>
  <c r="AE924" i="1"/>
  <c r="AE923" i="1"/>
  <c r="AE922" i="1"/>
  <c r="AE921" i="1"/>
  <c r="AE920" i="1"/>
  <c r="AE919" i="1"/>
  <c r="AE918" i="1"/>
  <c r="AE917" i="1"/>
  <c r="AE916" i="1"/>
  <c r="AE915" i="1"/>
  <c r="AE914" i="1"/>
  <c r="AE913" i="1"/>
  <c r="AE912" i="1"/>
  <c r="AE911" i="1"/>
  <c r="AE910" i="1"/>
  <c r="AE909" i="1"/>
  <c r="AE908" i="1"/>
  <c r="AE907" i="1"/>
  <c r="AE906" i="1"/>
  <c r="AE905" i="1"/>
  <c r="AE904" i="1"/>
  <c r="AE903" i="1"/>
  <c r="AE902" i="1"/>
  <c r="AE901" i="1"/>
  <c r="AE900" i="1"/>
  <c r="AE899" i="1"/>
  <c r="AE898" i="1"/>
  <c r="AE897" i="1"/>
  <c r="AE896" i="1"/>
  <c r="AE895" i="1"/>
  <c r="AE894" i="1"/>
  <c r="AE893" i="1"/>
  <c r="AE892" i="1"/>
  <c r="AE891" i="1"/>
  <c r="AE889" i="1"/>
  <c r="AE890" i="1"/>
  <c r="AE888" i="1"/>
  <c r="AE887" i="1"/>
  <c r="AE886" i="1"/>
  <c r="AE885" i="1"/>
  <c r="AE884" i="1"/>
  <c r="AE883" i="1"/>
  <c r="AE882" i="1"/>
  <c r="AE881" i="1"/>
  <c r="AE880" i="1"/>
  <c r="AE879" i="1"/>
  <c r="AE878" i="1"/>
  <c r="AE877" i="1"/>
  <c r="AE876" i="1"/>
  <c r="AE875" i="1"/>
  <c r="AE874" i="1"/>
  <c r="AE873" i="1"/>
  <c r="AE872" i="1"/>
  <c r="AE870" i="1"/>
  <c r="AE871" i="1"/>
  <c r="AE869" i="1"/>
  <c r="AE868" i="1"/>
  <c r="AE865" i="1"/>
  <c r="AE866" i="1"/>
  <c r="AE867" i="1"/>
  <c r="AE864" i="1"/>
  <c r="AE863" i="1"/>
  <c r="AE862" i="1"/>
  <c r="AE861" i="1"/>
  <c r="AE860" i="1"/>
  <c r="AE859" i="1"/>
  <c r="AE858" i="1"/>
  <c r="AE857" i="1"/>
  <c r="AE855" i="1"/>
  <c r="AE856" i="1"/>
  <c r="AE854" i="1"/>
  <c r="AE853" i="1"/>
  <c r="AE852" i="1"/>
  <c r="AE851" i="1"/>
  <c r="AE850" i="1"/>
  <c r="AE849" i="1"/>
  <c r="AE848" i="1"/>
  <c r="AE847" i="1"/>
  <c r="AE846" i="1"/>
  <c r="AE845" i="1"/>
  <c r="AE844" i="1"/>
  <c r="AE843" i="1"/>
  <c r="AE842" i="1"/>
  <c r="AE841" i="1"/>
  <c r="AE840" i="1"/>
  <c r="AE839" i="1"/>
  <c r="AE838" i="1"/>
  <c r="AE837" i="1"/>
  <c r="AE836" i="1"/>
  <c r="AE835" i="1"/>
  <c r="AE834" i="1"/>
  <c r="AE833" i="1"/>
  <c r="AE832" i="1"/>
  <c r="AE831" i="1"/>
  <c r="AE830" i="1"/>
  <c r="AE829" i="1"/>
  <c r="AE828" i="1"/>
  <c r="AE827" i="1"/>
  <c r="AE826" i="1"/>
  <c r="AE825" i="1"/>
  <c r="AE824" i="1"/>
  <c r="AE823" i="1"/>
  <c r="AE822" i="1"/>
  <c r="AE821" i="1"/>
  <c r="AE820" i="1"/>
  <c r="AE819" i="1"/>
  <c r="AE818" i="1"/>
  <c r="AE817" i="1"/>
  <c r="AE816" i="1"/>
  <c r="AE815" i="1"/>
  <c r="AE814" i="1"/>
  <c r="AE813" i="1"/>
  <c r="AE812" i="1"/>
  <c r="AE810" i="1"/>
  <c r="AE811" i="1"/>
  <c r="AE809" i="1"/>
  <c r="AE807" i="1"/>
  <c r="AE808" i="1"/>
  <c r="AE806" i="1"/>
  <c r="AE805" i="1"/>
  <c r="AE803" i="1"/>
  <c r="AE804" i="1"/>
  <c r="AE802" i="1"/>
  <c r="AE800" i="1"/>
  <c r="AE801" i="1"/>
  <c r="AE799" i="1"/>
  <c r="AE798" i="1"/>
  <c r="AE796" i="1"/>
  <c r="AE797" i="1"/>
  <c r="AE795" i="1"/>
  <c r="AE794" i="1"/>
  <c r="AE793" i="1"/>
  <c r="AE792" i="1"/>
  <c r="AE791" i="1"/>
  <c r="AE790" i="1"/>
  <c r="AE789" i="1"/>
  <c r="AE788" i="1"/>
  <c r="AE787" i="1"/>
  <c r="AE786" i="1"/>
  <c r="AE785" i="1"/>
  <c r="AE784" i="1"/>
  <c r="AE783" i="1"/>
  <c r="AE782" i="1"/>
  <c r="AE781" i="1"/>
  <c r="AE780" i="1"/>
  <c r="AE778" i="1"/>
  <c r="AE779" i="1"/>
  <c r="AE776" i="1"/>
  <c r="AE777" i="1"/>
  <c r="AE775" i="1"/>
  <c r="AE774" i="1"/>
  <c r="AE773" i="1"/>
  <c r="AE772" i="1"/>
  <c r="AE771" i="1"/>
  <c r="AE769" i="1"/>
  <c r="AE770" i="1"/>
  <c r="AE767" i="1"/>
  <c r="AE768" i="1"/>
  <c r="AE766" i="1"/>
  <c r="AE765" i="1"/>
  <c r="AE764" i="1"/>
  <c r="AE763" i="1"/>
  <c r="AE762" i="1"/>
  <c r="AE761" i="1"/>
  <c r="AE760" i="1"/>
  <c r="AE759" i="1"/>
  <c r="AE758" i="1"/>
  <c r="AE757" i="1"/>
  <c r="AE756" i="1"/>
  <c r="AE755" i="1"/>
  <c r="AE754" i="1"/>
  <c r="AE753" i="1"/>
  <c r="AE752" i="1"/>
  <c r="AE750" i="1"/>
  <c r="AE751" i="1"/>
  <c r="AE749" i="1"/>
  <c r="AE748" i="1"/>
  <c r="AE747" i="1"/>
  <c r="AE746" i="1"/>
  <c r="AE745" i="1"/>
  <c r="AE744" i="1"/>
  <c r="AE743" i="1"/>
  <c r="AE742" i="1"/>
  <c r="AE741" i="1"/>
  <c r="AE740" i="1"/>
  <c r="AE739" i="1"/>
  <c r="AE738" i="1"/>
  <c r="AE737" i="1"/>
  <c r="AE736" i="1"/>
  <c r="AE735" i="1"/>
  <c r="AE734" i="1"/>
  <c r="AE733" i="1"/>
  <c r="AE732" i="1"/>
  <c r="AE731" i="1"/>
  <c r="AE730" i="1"/>
  <c r="AE729" i="1"/>
  <c r="AE728" i="1"/>
  <c r="AE727" i="1"/>
  <c r="AE726" i="1"/>
  <c r="AE725" i="1"/>
  <c r="AE724" i="1"/>
  <c r="AE723" i="1"/>
  <c r="AE721" i="1"/>
  <c r="AE722" i="1"/>
  <c r="AE720" i="1"/>
  <c r="AE719" i="1"/>
  <c r="AE718" i="1"/>
  <c r="AE717" i="1"/>
  <c r="AE716" i="1"/>
  <c r="AE715" i="1"/>
  <c r="AE714" i="1"/>
  <c r="AE712" i="1"/>
  <c r="AE713" i="1"/>
  <c r="AE711" i="1"/>
  <c r="AE710" i="1"/>
  <c r="AE709" i="1"/>
  <c r="AE708" i="1"/>
  <c r="AE707" i="1"/>
  <c r="AE706" i="1"/>
  <c r="AE705" i="1"/>
  <c r="AE704" i="1"/>
  <c r="AE703" i="1"/>
  <c r="AE702" i="1"/>
  <c r="AE701" i="1"/>
  <c r="AE700" i="1"/>
  <c r="AE699" i="1"/>
  <c r="AE698" i="1"/>
  <c r="AE697" i="1"/>
  <c r="AE696" i="1"/>
  <c r="AE695" i="1"/>
  <c r="AE694" i="1"/>
  <c r="AE693" i="1"/>
  <c r="AE692" i="1"/>
  <c r="AE691" i="1"/>
  <c r="AE690" i="1"/>
  <c r="AE689" i="1"/>
  <c r="AE688" i="1"/>
  <c r="AE687" i="1"/>
  <c r="AE686" i="1"/>
  <c r="AE685" i="1"/>
  <c r="AE684" i="1"/>
  <c r="AE683" i="1"/>
  <c r="AE682" i="1"/>
  <c r="AE681" i="1"/>
  <c r="AE680" i="1"/>
  <c r="AE679" i="1"/>
  <c r="AE678" i="1"/>
  <c r="AE677" i="1"/>
  <c r="AE676" i="1"/>
  <c r="AE674" i="1"/>
  <c r="AE675" i="1"/>
  <c r="AE673" i="1"/>
  <c r="AE672" i="1"/>
  <c r="AE671" i="1"/>
  <c r="AE670" i="1"/>
  <c r="AE669" i="1"/>
  <c r="AE668" i="1"/>
  <c r="AE667" i="1"/>
  <c r="AE666" i="1"/>
  <c r="AE665" i="1"/>
  <c r="AE664" i="1"/>
  <c r="AE663" i="1"/>
  <c r="AE662" i="1"/>
  <c r="AE661" i="1"/>
  <c r="AE660" i="1"/>
  <c r="AE659" i="1"/>
  <c r="AE658" i="1"/>
  <c r="AE657" i="1"/>
  <c r="AE656" i="1"/>
  <c r="AE655" i="1"/>
  <c r="AE654" i="1"/>
  <c r="AE653" i="1"/>
  <c r="AE652" i="1"/>
  <c r="AE650" i="1"/>
  <c r="AE651" i="1"/>
  <c r="AE649" i="1"/>
  <c r="AE648" i="1"/>
  <c r="AE647" i="1"/>
  <c r="AE646" i="1"/>
  <c r="AE645" i="1"/>
  <c r="AE644" i="1"/>
  <c r="AE643" i="1"/>
  <c r="AE642" i="1"/>
  <c r="AE641" i="1"/>
  <c r="AE640" i="1"/>
  <c r="AE639" i="1"/>
  <c r="AE638" i="1"/>
  <c r="AE637" i="1"/>
  <c r="AE636" i="1"/>
  <c r="AE635" i="1"/>
  <c r="AE634" i="1"/>
  <c r="AE633" i="1"/>
  <c r="AE632" i="1"/>
  <c r="AE631" i="1"/>
  <c r="AE630" i="1"/>
  <c r="AE629" i="1"/>
  <c r="AE628" i="1"/>
  <c r="AE627" i="1"/>
  <c r="AE626" i="1"/>
  <c r="AE625" i="1"/>
  <c r="AE624" i="1"/>
  <c r="AE623" i="1"/>
  <c r="AE622" i="1"/>
  <c r="AE621" i="1"/>
  <c r="AE620" i="1"/>
  <c r="AE618" i="1"/>
  <c r="AE619" i="1"/>
  <c r="AE617" i="1"/>
  <c r="AE616" i="1"/>
  <c r="AE615" i="1"/>
  <c r="AE614" i="1"/>
  <c r="AE613" i="1"/>
  <c r="AE612" i="1"/>
  <c r="AE611" i="1"/>
  <c r="AE610" i="1"/>
  <c r="AE609" i="1"/>
  <c r="AE607" i="1"/>
  <c r="AE608" i="1"/>
  <c r="AE606" i="1"/>
  <c r="AE605" i="1"/>
  <c r="AE604" i="1"/>
  <c r="AE603" i="1"/>
  <c r="AE602" i="1"/>
  <c r="AE601" i="1"/>
  <c r="AE600" i="1"/>
  <c r="AE599" i="1"/>
  <c r="AE596" i="1"/>
  <c r="AE597" i="1"/>
  <c r="AE598" i="1"/>
  <c r="AE595" i="1"/>
  <c r="AE594" i="1"/>
  <c r="AE593" i="1"/>
  <c r="AE592" i="1"/>
  <c r="AE591" i="1"/>
  <c r="AE590" i="1"/>
  <c r="AE589" i="1"/>
  <c r="AE588" i="1"/>
  <c r="AE587" i="1"/>
  <c r="AE586" i="1"/>
  <c r="AE585" i="1"/>
  <c r="AE584" i="1"/>
  <c r="AE583" i="1"/>
  <c r="AE582" i="1"/>
  <c r="AE581" i="1"/>
  <c r="AE580" i="1"/>
  <c r="AE578" i="1"/>
  <c r="AE579" i="1"/>
  <c r="AE577" i="1"/>
  <c r="AE576" i="1"/>
  <c r="AE575" i="1"/>
  <c r="AE574" i="1"/>
  <c r="AE573" i="1"/>
  <c r="AE572" i="1"/>
  <c r="AE571" i="1"/>
  <c r="AE570" i="1"/>
  <c r="AE569" i="1"/>
  <c r="AE568" i="1"/>
  <c r="AE567" i="1"/>
  <c r="AE565" i="1"/>
  <c r="AE566" i="1"/>
  <c r="AE564" i="1"/>
  <c r="AE563" i="1"/>
  <c r="AE562" i="1"/>
  <c r="AE561" i="1"/>
  <c r="AE560" i="1"/>
  <c r="AE559" i="1"/>
  <c r="AE558" i="1"/>
  <c r="AE557" i="1"/>
  <c r="AE555" i="1"/>
  <c r="AE556" i="1"/>
  <c r="AE554" i="1"/>
  <c r="AE553" i="1"/>
  <c r="AE552" i="1"/>
  <c r="AE551" i="1"/>
  <c r="AE550" i="1"/>
  <c r="AE549" i="1"/>
  <c r="AE548" i="1"/>
  <c r="AE547" i="1"/>
  <c r="AE546" i="1"/>
  <c r="AE545" i="1"/>
  <c r="AE544" i="1"/>
  <c r="AE543" i="1"/>
  <c r="AE542" i="1"/>
  <c r="AE541" i="1"/>
  <c r="AE540" i="1"/>
  <c r="AE539" i="1"/>
  <c r="AE538" i="1"/>
  <c r="AE537" i="1"/>
  <c r="AE536" i="1"/>
  <c r="AE535" i="1"/>
  <c r="AE534" i="1"/>
  <c r="AE533" i="1"/>
  <c r="AE532" i="1"/>
  <c r="AE531" i="1"/>
  <c r="AE530" i="1"/>
  <c r="AE529" i="1"/>
  <c r="AE528" i="1"/>
  <c r="AE527" i="1"/>
  <c r="AE526" i="1"/>
  <c r="AE525" i="1"/>
  <c r="AE524" i="1"/>
  <c r="AE523" i="1"/>
  <c r="AE522" i="1"/>
  <c r="AE521" i="1"/>
  <c r="AE520" i="1"/>
  <c r="AE519" i="1"/>
  <c r="AE518" i="1"/>
  <c r="AE517" i="1"/>
  <c r="AE516" i="1"/>
  <c r="AE515" i="1"/>
  <c r="AE514" i="1"/>
  <c r="AE513" i="1"/>
  <c r="AE512" i="1"/>
  <c r="AE510" i="1"/>
  <c r="AE511" i="1"/>
  <c r="AE509" i="1"/>
  <c r="AE508" i="1"/>
  <c r="AE507" i="1"/>
  <c r="AE506" i="1"/>
  <c r="AE505" i="1"/>
  <c r="AE504" i="1"/>
  <c r="AE503" i="1"/>
  <c r="AE502" i="1"/>
  <c r="AE500" i="1"/>
  <c r="AE501" i="1"/>
  <c r="AE499" i="1"/>
  <c r="AE498" i="1"/>
  <c r="AE497" i="1"/>
  <c r="AE496" i="1"/>
  <c r="AE495" i="1"/>
  <c r="AE494" i="1"/>
  <c r="AE493" i="1"/>
  <c r="AE492" i="1"/>
  <c r="AE491" i="1"/>
  <c r="AE490" i="1"/>
  <c r="AE489" i="1"/>
  <c r="AE488" i="1"/>
  <c r="AE487" i="1"/>
  <c r="AE486" i="1"/>
  <c r="AE485" i="1"/>
  <c r="AE484" i="1"/>
  <c r="AE483" i="1"/>
  <c r="AE482" i="1"/>
  <c r="AE481" i="1"/>
  <c r="AE480" i="1"/>
  <c r="AE479" i="1"/>
  <c r="AE478" i="1"/>
  <c r="AE476" i="1"/>
  <c r="AE477" i="1"/>
  <c r="AE475" i="1"/>
  <c r="AE473" i="1"/>
  <c r="AE474" i="1"/>
  <c r="AE472" i="1"/>
  <c r="AE471" i="1"/>
  <c r="AE470" i="1"/>
  <c r="AE468" i="1"/>
  <c r="AE469" i="1"/>
  <c r="AE467" i="1"/>
  <c r="AE466" i="1"/>
  <c r="AE465" i="1"/>
  <c r="AE464" i="1"/>
  <c r="AE463" i="1"/>
  <c r="AE462" i="1"/>
  <c r="AE461" i="1"/>
  <c r="AE460" i="1"/>
  <c r="AE459" i="1"/>
  <c r="AE458" i="1"/>
  <c r="AE457" i="1"/>
  <c r="AE456" i="1"/>
  <c r="AE455" i="1"/>
  <c r="AE454" i="1"/>
  <c r="AE453" i="1"/>
  <c r="AE452" i="1"/>
  <c r="AE451" i="1"/>
  <c r="AE450" i="1"/>
  <c r="AE449" i="1"/>
  <c r="AE448" i="1"/>
  <c r="AE447" i="1"/>
  <c r="AE446" i="1"/>
  <c r="AE445" i="1"/>
  <c r="AE444" i="1"/>
  <c r="AE443" i="1"/>
  <c r="AE442" i="1"/>
  <c r="AE441" i="1"/>
  <c r="AE440" i="1"/>
  <c r="AE439" i="1"/>
  <c r="AE438" i="1"/>
  <c r="AE437" i="1"/>
  <c r="AE436" i="1"/>
  <c r="AE435" i="1"/>
  <c r="AE434" i="1"/>
  <c r="AE433" i="1"/>
  <c r="AE432" i="1"/>
  <c r="AE431" i="1"/>
  <c r="AE430" i="1"/>
  <c r="AE429" i="1"/>
  <c r="AE428" i="1"/>
  <c r="AE427" i="1"/>
  <c r="AE426" i="1"/>
  <c r="AE425" i="1"/>
  <c r="AE424" i="1"/>
  <c r="AE423" i="1"/>
  <c r="AE422" i="1"/>
  <c r="AE421" i="1"/>
  <c r="AE420" i="1"/>
  <c r="AE419" i="1"/>
  <c r="AE417" i="1"/>
  <c r="AE418" i="1"/>
  <c r="AE416" i="1"/>
  <c r="AE415" i="1"/>
  <c r="AE414" i="1"/>
  <c r="AE413" i="1"/>
  <c r="AE412" i="1"/>
  <c r="AE410" i="1"/>
  <c r="AE411" i="1"/>
  <c r="AE409" i="1"/>
  <c r="AE408" i="1"/>
  <c r="AE407" i="1"/>
  <c r="AE406" i="1"/>
  <c r="AE405" i="1"/>
  <c r="AE404" i="1"/>
  <c r="AE403" i="1"/>
  <c r="AE402" i="1"/>
  <c r="AE401" i="1"/>
  <c r="AE400" i="1"/>
  <c r="AE399" i="1"/>
  <c r="AE398" i="1"/>
  <c r="AE397" i="1"/>
  <c r="AE396" i="1"/>
  <c r="AE395" i="1"/>
  <c r="AE394" i="1"/>
  <c r="AE393" i="1"/>
  <c r="AE392" i="1"/>
  <c r="AE391" i="1"/>
  <c r="AE390" i="1"/>
  <c r="AE389" i="1"/>
  <c r="AE387" i="1"/>
  <c r="AE388" i="1"/>
  <c r="AE386" i="1"/>
  <c r="AE385" i="1"/>
  <c r="AE384" i="1"/>
  <c r="AE383" i="1"/>
  <c r="AE382" i="1"/>
  <c r="AE381" i="1"/>
  <c r="AE380" i="1"/>
  <c r="AE379" i="1"/>
  <c r="AE378" i="1"/>
  <c r="AE376" i="1"/>
  <c r="AE377" i="1"/>
  <c r="AE375" i="1"/>
  <c r="AE374" i="1"/>
  <c r="AE372" i="1"/>
  <c r="AE373" i="1"/>
  <c r="AE371" i="1"/>
  <c r="AE370" i="1"/>
  <c r="AE369" i="1"/>
  <c r="AE368" i="1"/>
  <c r="AE367" i="1"/>
  <c r="AE366" i="1"/>
  <c r="AE365" i="1"/>
  <c r="AE364" i="1"/>
  <c r="AE363" i="1"/>
  <c r="AE362" i="1"/>
  <c r="AE361" i="1"/>
  <c r="AE360" i="1"/>
  <c r="AE359" i="1"/>
  <c r="AE358" i="1"/>
  <c r="AE357" i="1"/>
  <c r="AE356" i="1"/>
  <c r="AE355" i="1"/>
  <c r="AE354" i="1"/>
  <c r="AE353" i="1"/>
  <c r="AE352" i="1"/>
  <c r="AE350" i="1"/>
  <c r="AE351" i="1"/>
  <c r="AE349" i="1"/>
  <c r="AE348" i="1"/>
  <c r="AE347" i="1"/>
  <c r="AE346" i="1"/>
  <c r="AE345" i="1"/>
  <c r="AE344" i="1"/>
  <c r="AE343" i="1"/>
  <c r="AE342" i="1"/>
  <c r="AE341" i="1"/>
  <c r="AE340" i="1"/>
  <c r="AE339" i="1"/>
  <c r="AE338" i="1"/>
  <c r="AE337" i="1"/>
  <c r="AE336" i="1"/>
  <c r="AE335" i="1"/>
  <c r="AE334" i="1"/>
  <c r="AE333" i="1"/>
  <c r="AE332" i="1"/>
  <c r="AE331" i="1"/>
  <c r="AE330" i="1"/>
  <c r="AE328" i="1"/>
  <c r="AE329" i="1"/>
  <c r="AE327" i="1"/>
  <c r="AE326" i="1"/>
  <c r="AE325" i="1"/>
  <c r="AE324" i="1"/>
  <c r="AE323" i="1"/>
  <c r="AE322" i="1"/>
  <c r="AE321" i="1"/>
  <c r="AE320" i="1"/>
  <c r="AE319" i="1"/>
  <c r="AE318" i="1"/>
  <c r="AE317" i="1"/>
  <c r="AE316" i="1"/>
  <c r="AE315" i="1"/>
  <c r="AE314" i="1"/>
  <c r="AE313" i="1"/>
  <c r="AE312" i="1"/>
  <c r="AE311" i="1"/>
  <c r="AE310" i="1"/>
  <c r="AE308" i="1"/>
  <c r="AE309" i="1"/>
  <c r="AE307" i="1"/>
  <c r="AE306" i="1"/>
  <c r="AE305" i="1"/>
  <c r="AE304" i="1"/>
  <c r="AE303" i="1"/>
  <c r="AE302" i="1"/>
  <c r="AE301" i="1"/>
  <c r="AE300" i="1"/>
  <c r="AE299" i="1"/>
  <c r="AE298" i="1"/>
  <c r="AE297" i="1"/>
  <c r="AE296" i="1"/>
  <c r="AE295" i="1"/>
  <c r="AE294" i="1"/>
  <c r="AE292" i="1"/>
  <c r="AE293" i="1"/>
  <c r="AE291" i="1"/>
  <c r="AE290" i="1"/>
  <c r="AE289" i="1"/>
  <c r="AE288" i="1"/>
  <c r="AE287" i="1"/>
  <c r="AE286" i="1"/>
  <c r="AE285" i="1"/>
  <c r="AE284" i="1"/>
  <c r="AE283" i="1"/>
  <c r="AE281" i="1"/>
  <c r="AE282" i="1"/>
  <c r="AE280" i="1"/>
  <c r="AE279" i="1"/>
  <c r="AE278" i="1"/>
  <c r="AE277" i="1"/>
  <c r="AE276" i="1"/>
  <c r="AE275" i="1"/>
  <c r="AE274" i="1"/>
  <c r="AE273" i="1"/>
  <c r="AE272" i="1"/>
  <c r="AE271" i="1"/>
  <c r="AE270" i="1"/>
  <c r="AE268" i="1"/>
  <c r="AE269" i="1"/>
  <c r="AE267" i="1"/>
  <c r="AE266" i="1"/>
  <c r="AE265" i="1"/>
  <c r="AE264" i="1"/>
  <c r="AE263" i="1"/>
  <c r="AE262" i="1"/>
  <c r="AE261" i="1"/>
  <c r="AE260" i="1"/>
  <c r="AE259" i="1"/>
  <c r="AE258" i="1"/>
  <c r="AE257" i="1"/>
  <c r="AE256" i="1"/>
  <c r="AE255" i="1"/>
  <c r="AE254" i="1"/>
  <c r="AE253" i="1"/>
  <c r="AE252" i="1"/>
  <c r="AE251" i="1"/>
  <c r="AE250" i="1"/>
  <c r="AE249" i="1"/>
  <c r="AE248" i="1"/>
  <c r="AE247" i="1"/>
  <c r="AE246" i="1"/>
  <c r="AE245" i="1"/>
  <c r="AE244" i="1"/>
  <c r="AE243" i="1"/>
  <c r="AE242" i="1"/>
  <c r="AE241" i="1"/>
  <c r="AE240" i="1"/>
  <c r="AE239" i="1"/>
  <c r="AE238" i="1"/>
  <c r="AE237" i="1"/>
  <c r="AE236" i="1"/>
  <c r="AE235" i="1"/>
  <c r="AE234" i="1"/>
  <c r="AE233" i="1"/>
  <c r="AE232" i="1"/>
  <c r="AE231" i="1"/>
  <c r="AE230" i="1"/>
  <c r="AE229" i="1"/>
  <c r="AE228" i="1"/>
  <c r="AE227" i="1"/>
  <c r="AE226" i="1"/>
  <c r="AE225" i="1"/>
  <c r="AE224" i="1"/>
  <c r="AE223" i="1"/>
  <c r="AE222" i="1"/>
  <c r="AE221" i="1"/>
  <c r="AE220" i="1"/>
  <c r="AE219" i="1"/>
  <c r="AE218" i="1"/>
  <c r="AE217" i="1"/>
  <c r="AE216" i="1"/>
  <c r="AE215" i="1"/>
  <c r="AE214" i="1"/>
  <c r="AE213" i="1"/>
  <c r="AE212" i="1"/>
  <c r="AE211" i="1"/>
  <c r="AE210" i="1"/>
  <c r="AE209" i="1"/>
  <c r="AE208" i="1"/>
  <c r="AE207" i="1"/>
  <c r="AE206" i="1"/>
  <c r="AE205" i="1"/>
  <c r="AE204" i="1"/>
  <c r="AE203" i="1"/>
  <c r="AE202" i="1"/>
  <c r="AE201" i="1"/>
  <c r="AE200" i="1"/>
  <c r="AE199" i="1"/>
  <c r="AE197" i="1"/>
  <c r="AE198" i="1"/>
  <c r="AE196" i="1"/>
  <c r="AE195" i="1"/>
  <c r="AE194" i="1"/>
  <c r="AE193" i="1"/>
  <c r="AE192" i="1"/>
  <c r="AE191" i="1"/>
  <c r="AE190" i="1"/>
  <c r="AE189" i="1"/>
  <c r="AE188" i="1"/>
  <c r="AE187" i="1"/>
  <c r="AE186" i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2" i="1"/>
  <c r="AE161" i="1"/>
  <c r="AE160" i="1"/>
  <c r="AE159" i="1"/>
  <c r="AE158" i="1"/>
  <c r="AE157" i="1"/>
  <c r="AE155" i="1"/>
  <c r="AE156" i="1"/>
  <c r="AE154" i="1"/>
  <c r="AE153" i="1"/>
  <c r="AE152" i="1"/>
  <c r="AE151" i="1"/>
  <c r="AE150" i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AE3" i="1"/>
  <c r="AE2" i="1"/>
  <c r="AE1053" i="1"/>
  <c r="AE1706" i="1"/>
  <c r="AD1705" i="1"/>
  <c r="AD1704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689" i="1"/>
  <c r="AD1690" i="1"/>
  <c r="AD1691" i="1"/>
  <c r="AD1692" i="1"/>
  <c r="AD1688" i="1"/>
  <c r="AD1687" i="1"/>
  <c r="AD1686" i="1"/>
  <c r="AD1684" i="1"/>
  <c r="AD1685" i="1"/>
  <c r="AD1683" i="1"/>
  <c r="AD1680" i="1"/>
  <c r="AD1681" i="1"/>
  <c r="AD1682" i="1"/>
  <c r="AD1679" i="1"/>
  <c r="AD1678" i="1"/>
  <c r="AD1677" i="1"/>
  <c r="AD1675" i="1"/>
  <c r="AD1676" i="1"/>
  <c r="AD1674" i="1"/>
  <c r="AD1673" i="1"/>
  <c r="AD1672" i="1"/>
  <c r="AD1664" i="1"/>
  <c r="AD1665" i="1"/>
  <c r="AD1666" i="1"/>
  <c r="AD1667" i="1"/>
  <c r="AD1668" i="1"/>
  <c r="AD1669" i="1"/>
  <c r="AD1670" i="1"/>
  <c r="AD1671" i="1"/>
  <c r="AD1663" i="1"/>
  <c r="AD1662" i="1"/>
  <c r="AD1661" i="1"/>
  <c r="AD1660" i="1"/>
  <c r="AD1659" i="1"/>
  <c r="AD1658" i="1"/>
  <c r="AD1657" i="1"/>
  <c r="AD1656" i="1"/>
  <c r="AD1654" i="1"/>
  <c r="AD1655" i="1"/>
  <c r="AD1653" i="1"/>
  <c r="AD1652" i="1"/>
  <c r="AD1651" i="1"/>
  <c r="AD1650" i="1"/>
  <c r="AD1649" i="1"/>
  <c r="AD1647" i="1"/>
  <c r="AD1648" i="1"/>
  <c r="AD1646" i="1"/>
  <c r="AD1645" i="1"/>
  <c r="AD1644" i="1"/>
  <c r="AD1643" i="1"/>
  <c r="AD1642" i="1"/>
  <c r="AD1641" i="1"/>
  <c r="AD1639" i="1"/>
  <c r="AD1640" i="1"/>
  <c r="AD1635" i="1"/>
  <c r="AD1636" i="1"/>
  <c r="AD1637" i="1"/>
  <c r="AD1638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2" i="1"/>
  <c r="AD1533" i="1"/>
  <c r="AD1530" i="1"/>
  <c r="AD1531" i="1"/>
  <c r="AD1529" i="1"/>
  <c r="AD1528" i="1"/>
  <c r="AD1527" i="1"/>
  <c r="AD1526" i="1"/>
  <c r="AD1525" i="1"/>
  <c r="AD1524" i="1"/>
  <c r="AD1523" i="1"/>
  <c r="AD1522" i="1"/>
  <c r="AD1521" i="1"/>
  <c r="AD1519" i="1"/>
  <c r="AD1520" i="1"/>
  <c r="AD1518" i="1"/>
  <c r="AD1517" i="1"/>
  <c r="AD1516" i="1"/>
  <c r="AD1515" i="1"/>
  <c r="AD1514" i="1"/>
  <c r="AD1513" i="1"/>
  <c r="AD1512" i="1"/>
  <c r="AD1511" i="1"/>
  <c r="AD1510" i="1"/>
  <c r="AD1508" i="1"/>
  <c r="AD1509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59" i="1"/>
  <c r="AD1460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4" i="1"/>
  <c r="AD1435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1" i="1"/>
  <c r="AD1412" i="1"/>
  <c r="AD1413" i="1"/>
  <c r="AD1410" i="1"/>
  <c r="AD1409" i="1"/>
  <c r="AD1408" i="1"/>
  <c r="AD1406" i="1"/>
  <c r="AD1407" i="1"/>
  <c r="AD1405" i="1"/>
  <c r="AD1404" i="1"/>
  <c r="AD1402" i="1"/>
  <c r="AD1403" i="1"/>
  <c r="AD1401" i="1"/>
  <c r="AD1400" i="1"/>
  <c r="AD1399" i="1"/>
  <c r="AD1397" i="1"/>
  <c r="AD1398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4" i="1"/>
  <c r="AD1355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7" i="1"/>
  <c r="AD1328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1" i="1"/>
  <c r="AD1310" i="1"/>
  <c r="AD1307" i="1"/>
  <c r="AD1308" i="1"/>
  <c r="AD1309" i="1"/>
  <c r="AD1306" i="1"/>
  <c r="AD1305" i="1"/>
  <c r="AD1303" i="1"/>
  <c r="AD1304" i="1"/>
  <c r="AD1296" i="1"/>
  <c r="AD1297" i="1"/>
  <c r="AD1298" i="1"/>
  <c r="AD1299" i="1"/>
  <c r="AD1300" i="1"/>
  <c r="AD1301" i="1"/>
  <c r="AD1302" i="1"/>
  <c r="AD1295" i="1"/>
  <c r="AD1293" i="1"/>
  <c r="AD1294" i="1"/>
  <c r="AD1291" i="1"/>
  <c r="AD1292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5" i="1"/>
  <c r="AD1266" i="1"/>
  <c r="AD1264" i="1"/>
  <c r="AD1263" i="1"/>
  <c r="AD1262" i="1"/>
  <c r="AD1261" i="1"/>
  <c r="AD1260" i="1"/>
  <c r="AD1259" i="1"/>
  <c r="AD1257" i="1"/>
  <c r="AD1258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6" i="1"/>
  <c r="AD1217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2" i="1"/>
  <c r="AD1173" i="1"/>
  <c r="AD1171" i="1"/>
  <c r="AD1170" i="1"/>
  <c r="AD1169" i="1"/>
  <c r="AD1167" i="1"/>
  <c r="AD1168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8" i="1"/>
  <c r="AD1149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4" i="1"/>
  <c r="AD1135" i="1"/>
  <c r="AD1136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7" i="1"/>
  <c r="AD1118" i="1"/>
  <c r="AD1119" i="1"/>
  <c r="AD1116" i="1"/>
  <c r="AD1114" i="1"/>
  <c r="AD1115" i="1"/>
  <c r="AD1112" i="1"/>
  <c r="AD1113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5" i="1"/>
  <c r="AD1066" i="1"/>
  <c r="AD1064" i="1"/>
  <c r="AD1063" i="1"/>
  <c r="AD1062" i="1"/>
  <c r="AD1061" i="1"/>
  <c r="AD1060" i="1"/>
  <c r="AD1059" i="1"/>
  <c r="AD1057" i="1"/>
  <c r="AD1058" i="1"/>
  <c r="AD1056" i="1"/>
  <c r="AD1055" i="1"/>
  <c r="AD1054" i="1"/>
  <c r="AD1052" i="1"/>
  <c r="AD1051" i="1"/>
  <c r="AD1050" i="1"/>
  <c r="AD1049" i="1"/>
  <c r="AD1048" i="1"/>
  <c r="AD1047" i="1"/>
  <c r="AD1046" i="1"/>
  <c r="AD1045" i="1"/>
  <c r="AD1044" i="1"/>
  <c r="AD1043" i="1"/>
  <c r="AD1041" i="1"/>
  <c r="AD1042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2" i="1"/>
  <c r="AD1023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6" i="1"/>
  <c r="AD977" i="1"/>
  <c r="AD975" i="1"/>
  <c r="AD974" i="1"/>
  <c r="AD972" i="1"/>
  <c r="AD973" i="1"/>
  <c r="AD971" i="1"/>
  <c r="AD970" i="1"/>
  <c r="AD969" i="1"/>
  <c r="AD968" i="1"/>
  <c r="AD967" i="1"/>
  <c r="AD966" i="1"/>
  <c r="AD965" i="1"/>
  <c r="AD964" i="1"/>
  <c r="AD963" i="1"/>
  <c r="AD960" i="1"/>
  <c r="AD961" i="1"/>
  <c r="AD962" i="1"/>
  <c r="AD959" i="1"/>
  <c r="AD956" i="1"/>
  <c r="AD957" i="1"/>
  <c r="AD958" i="1"/>
  <c r="AD955" i="1"/>
  <c r="AD953" i="1"/>
  <c r="AD954" i="1"/>
  <c r="AD952" i="1"/>
  <c r="AD951" i="1"/>
  <c r="AD949" i="1"/>
  <c r="AD950" i="1"/>
  <c r="AD948" i="1"/>
  <c r="AD947" i="1"/>
  <c r="AD946" i="1"/>
  <c r="AD945" i="1"/>
  <c r="AD943" i="1"/>
  <c r="AD944" i="1"/>
  <c r="AD942" i="1"/>
  <c r="AD941" i="1"/>
  <c r="AD939" i="1"/>
  <c r="AD940" i="1"/>
  <c r="AD937" i="1"/>
  <c r="AD938" i="1"/>
  <c r="AD935" i="1"/>
  <c r="AD936" i="1"/>
  <c r="AD934" i="1"/>
  <c r="AD933" i="1"/>
  <c r="AD931" i="1"/>
  <c r="AD932" i="1"/>
  <c r="AD929" i="1"/>
  <c r="AD930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89" i="1"/>
  <c r="AD890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0" i="1"/>
  <c r="AD871" i="1"/>
  <c r="AD869" i="1"/>
  <c r="AD868" i="1"/>
  <c r="AD865" i="1"/>
  <c r="AD866" i="1"/>
  <c r="AD867" i="1"/>
  <c r="AD864" i="1"/>
  <c r="AD863" i="1"/>
  <c r="AD862" i="1"/>
  <c r="AD861" i="1"/>
  <c r="AD860" i="1"/>
  <c r="AD859" i="1"/>
  <c r="AD858" i="1"/>
  <c r="AD857" i="1"/>
  <c r="AD855" i="1"/>
  <c r="AD856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0" i="1"/>
  <c r="AD811" i="1"/>
  <c r="AD809" i="1"/>
  <c r="AD807" i="1"/>
  <c r="AD808" i="1"/>
  <c r="AD806" i="1"/>
  <c r="AD805" i="1"/>
  <c r="AD803" i="1"/>
  <c r="AD804" i="1"/>
  <c r="AD802" i="1"/>
  <c r="AD800" i="1"/>
  <c r="AD801" i="1"/>
  <c r="AD799" i="1"/>
  <c r="AD798" i="1"/>
  <c r="AD796" i="1"/>
  <c r="AD797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8" i="1"/>
  <c r="AD779" i="1"/>
  <c r="AD776" i="1"/>
  <c r="AD777" i="1"/>
  <c r="AD775" i="1"/>
  <c r="AD774" i="1"/>
  <c r="AD773" i="1"/>
  <c r="AD772" i="1"/>
  <c r="AD771" i="1"/>
  <c r="AD769" i="1"/>
  <c r="AD770" i="1"/>
  <c r="AD767" i="1"/>
  <c r="AD768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0" i="1"/>
  <c r="AD751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1" i="1"/>
  <c r="AD722" i="1"/>
  <c r="AD720" i="1"/>
  <c r="AD719" i="1"/>
  <c r="AD718" i="1"/>
  <c r="AD717" i="1"/>
  <c r="AD716" i="1"/>
  <c r="AD715" i="1"/>
  <c r="AD714" i="1"/>
  <c r="AD712" i="1"/>
  <c r="AD713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4" i="1"/>
  <c r="AD675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0" i="1"/>
  <c r="AD651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8" i="1"/>
  <c r="AD619" i="1"/>
  <c r="AD617" i="1"/>
  <c r="AD616" i="1"/>
  <c r="AD615" i="1"/>
  <c r="AD614" i="1"/>
  <c r="AD613" i="1"/>
  <c r="AD612" i="1"/>
  <c r="AD611" i="1"/>
  <c r="AD610" i="1"/>
  <c r="AD609" i="1"/>
  <c r="AD607" i="1"/>
  <c r="AD608" i="1"/>
  <c r="AD606" i="1"/>
  <c r="AD605" i="1"/>
  <c r="AD604" i="1"/>
  <c r="AD603" i="1"/>
  <c r="AD602" i="1"/>
  <c r="AD601" i="1"/>
  <c r="AD600" i="1"/>
  <c r="AD599" i="1"/>
  <c r="AD596" i="1"/>
  <c r="AD597" i="1"/>
  <c r="AD598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8" i="1"/>
  <c r="AD579" i="1"/>
  <c r="AD577" i="1"/>
  <c r="AD576" i="1"/>
  <c r="AD575" i="1"/>
  <c r="AD574" i="1"/>
  <c r="AD573" i="1"/>
  <c r="AD572" i="1"/>
  <c r="AD571" i="1"/>
  <c r="AD570" i="1"/>
  <c r="AD569" i="1"/>
  <c r="AD568" i="1"/>
  <c r="AD567" i="1"/>
  <c r="AD565" i="1"/>
  <c r="AD566" i="1"/>
  <c r="AD564" i="1"/>
  <c r="AD563" i="1"/>
  <c r="AD562" i="1"/>
  <c r="AD561" i="1"/>
  <c r="AD560" i="1"/>
  <c r="AD559" i="1"/>
  <c r="AD558" i="1"/>
  <c r="AD557" i="1"/>
  <c r="AD555" i="1"/>
  <c r="AD556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0" i="1"/>
  <c r="AD511" i="1"/>
  <c r="AD509" i="1"/>
  <c r="AD508" i="1"/>
  <c r="AD507" i="1"/>
  <c r="AD506" i="1"/>
  <c r="AD505" i="1"/>
  <c r="AD504" i="1"/>
  <c r="AD503" i="1"/>
  <c r="AD502" i="1"/>
  <c r="AD500" i="1"/>
  <c r="AD501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6" i="1"/>
  <c r="AD477" i="1"/>
  <c r="AD475" i="1"/>
  <c r="AD473" i="1"/>
  <c r="AD474" i="1"/>
  <c r="AD472" i="1"/>
  <c r="AD471" i="1"/>
  <c r="AD470" i="1"/>
  <c r="AD468" i="1"/>
  <c r="AD469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7" i="1"/>
  <c r="AD418" i="1"/>
  <c r="AD416" i="1"/>
  <c r="AD415" i="1"/>
  <c r="AD414" i="1"/>
  <c r="AD413" i="1"/>
  <c r="AD412" i="1"/>
  <c r="AD410" i="1"/>
  <c r="AD411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7" i="1"/>
  <c r="AD388" i="1"/>
  <c r="AD386" i="1"/>
  <c r="AD385" i="1"/>
  <c r="AD384" i="1"/>
  <c r="AD383" i="1"/>
  <c r="AD382" i="1"/>
  <c r="AD381" i="1"/>
  <c r="AD380" i="1"/>
  <c r="AD379" i="1"/>
  <c r="AD378" i="1"/>
  <c r="AD376" i="1"/>
  <c r="AD377" i="1"/>
  <c r="AD375" i="1"/>
  <c r="AD374" i="1"/>
  <c r="AD372" i="1"/>
  <c r="AD373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0" i="1"/>
  <c r="AD351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8" i="1"/>
  <c r="AD329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8" i="1"/>
  <c r="AD309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2" i="1"/>
  <c r="AD293" i="1"/>
  <c r="AD291" i="1"/>
  <c r="AD290" i="1"/>
  <c r="AD289" i="1"/>
  <c r="AD288" i="1"/>
  <c r="AD287" i="1"/>
  <c r="AD286" i="1"/>
  <c r="AD285" i="1"/>
  <c r="AD284" i="1"/>
  <c r="AD283" i="1"/>
  <c r="AD281" i="1"/>
  <c r="AD282" i="1"/>
  <c r="AD280" i="1"/>
  <c r="AD279" i="1"/>
  <c r="AD278" i="1"/>
  <c r="AD277" i="1"/>
  <c r="AD276" i="1"/>
  <c r="AD275" i="1"/>
  <c r="AD274" i="1"/>
  <c r="AD273" i="1"/>
  <c r="AD272" i="1"/>
  <c r="AD271" i="1"/>
  <c r="AD270" i="1"/>
  <c r="AD268" i="1"/>
  <c r="AD269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7" i="1"/>
  <c r="AD198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5" i="1"/>
  <c r="AD156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D1053" i="1"/>
  <c r="AD1706" i="1"/>
  <c r="AC1705" i="1"/>
  <c r="AC1704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689" i="1"/>
  <c r="AC1690" i="1"/>
  <c r="AC1691" i="1"/>
  <c r="AC1692" i="1"/>
  <c r="AC1688" i="1"/>
  <c r="AC1687" i="1"/>
  <c r="AC1686" i="1"/>
  <c r="AC1684" i="1"/>
  <c r="AC1685" i="1"/>
  <c r="AC1683" i="1"/>
  <c r="AC1680" i="1"/>
  <c r="AC1681" i="1"/>
  <c r="AC1682" i="1"/>
  <c r="AC1679" i="1"/>
  <c r="AC1678" i="1"/>
  <c r="AC1677" i="1"/>
  <c r="AC1675" i="1"/>
  <c r="AC1676" i="1"/>
  <c r="AC1674" i="1"/>
  <c r="AC1673" i="1"/>
  <c r="AC1672" i="1"/>
  <c r="AC1664" i="1"/>
  <c r="AC1665" i="1"/>
  <c r="AC1666" i="1"/>
  <c r="AC1667" i="1"/>
  <c r="AC1668" i="1"/>
  <c r="AC1669" i="1"/>
  <c r="AC1670" i="1"/>
  <c r="AC1671" i="1"/>
  <c r="AC1663" i="1"/>
  <c r="AC1662" i="1"/>
  <c r="AC1661" i="1"/>
  <c r="AC1660" i="1"/>
  <c r="AC1659" i="1"/>
  <c r="AC1658" i="1"/>
  <c r="AC1657" i="1"/>
  <c r="AC1656" i="1"/>
  <c r="AC1654" i="1"/>
  <c r="AC1655" i="1"/>
  <c r="AC1653" i="1"/>
  <c r="AC1652" i="1"/>
  <c r="AC1651" i="1"/>
  <c r="AC1650" i="1"/>
  <c r="AC1649" i="1"/>
  <c r="AC1647" i="1"/>
  <c r="AC1648" i="1"/>
  <c r="AC1646" i="1"/>
  <c r="AC1645" i="1"/>
  <c r="AC1644" i="1"/>
  <c r="AC1643" i="1"/>
  <c r="AC1642" i="1"/>
  <c r="AC1641" i="1"/>
  <c r="AC1639" i="1"/>
  <c r="AC1640" i="1"/>
  <c r="AC1635" i="1"/>
  <c r="AC1636" i="1"/>
  <c r="AC1637" i="1"/>
  <c r="AC1638" i="1"/>
  <c r="AC1634" i="1"/>
  <c r="AC1633" i="1"/>
  <c r="AC1632" i="1"/>
  <c r="AC1631" i="1"/>
  <c r="AC1630" i="1"/>
  <c r="AC1629" i="1"/>
  <c r="AC1628" i="1"/>
  <c r="AC1627" i="1"/>
  <c r="AC1626" i="1"/>
  <c r="AC1625" i="1"/>
  <c r="AC1624" i="1"/>
  <c r="AC1623" i="1"/>
  <c r="AC1622" i="1"/>
  <c r="AC1621" i="1"/>
  <c r="AC1620" i="1"/>
  <c r="AC1619" i="1"/>
  <c r="AC1618" i="1"/>
  <c r="AC1617" i="1"/>
  <c r="AC1616" i="1"/>
  <c r="AC1615" i="1"/>
  <c r="AC1614" i="1"/>
  <c r="AC1613" i="1"/>
  <c r="AC1612" i="1"/>
  <c r="AC1611" i="1"/>
  <c r="AC1610" i="1"/>
  <c r="AC1609" i="1"/>
  <c r="AC1608" i="1"/>
  <c r="AC1607" i="1"/>
  <c r="AC1606" i="1"/>
  <c r="AC1605" i="1"/>
  <c r="AC1604" i="1"/>
  <c r="AC1603" i="1"/>
  <c r="AC1602" i="1"/>
  <c r="AC1601" i="1"/>
  <c r="AC1600" i="1"/>
  <c r="AC1599" i="1"/>
  <c r="AC1598" i="1"/>
  <c r="AC1597" i="1"/>
  <c r="AC1596" i="1"/>
  <c r="AC1595" i="1"/>
  <c r="AC1594" i="1"/>
  <c r="AC1593" i="1"/>
  <c r="AC1592" i="1"/>
  <c r="AC1591" i="1"/>
  <c r="AC1590" i="1"/>
  <c r="AC1589" i="1"/>
  <c r="AC1588" i="1"/>
  <c r="AC1587" i="1"/>
  <c r="AC1586" i="1"/>
  <c r="AC1585" i="1"/>
  <c r="AC1584" i="1"/>
  <c r="AC1583" i="1"/>
  <c r="AC1582" i="1"/>
  <c r="AC1581" i="1"/>
  <c r="AC1580" i="1"/>
  <c r="AC1579" i="1"/>
  <c r="AC1578" i="1"/>
  <c r="AC1577" i="1"/>
  <c r="AC1576" i="1"/>
  <c r="AC1575" i="1"/>
  <c r="AC1574" i="1"/>
  <c r="AC1573" i="1"/>
  <c r="AC1572" i="1"/>
  <c r="AC1571" i="1"/>
  <c r="AC1570" i="1"/>
  <c r="AC1569" i="1"/>
  <c r="AC1568" i="1"/>
  <c r="AC1567" i="1"/>
  <c r="AC1566" i="1"/>
  <c r="AC1565" i="1"/>
  <c r="AC1564" i="1"/>
  <c r="AC1563" i="1"/>
  <c r="AC1562" i="1"/>
  <c r="AC1561" i="1"/>
  <c r="AC1560" i="1"/>
  <c r="AC1559" i="1"/>
  <c r="AC1558" i="1"/>
  <c r="AC1557" i="1"/>
  <c r="AC1556" i="1"/>
  <c r="AC1555" i="1"/>
  <c r="AC1554" i="1"/>
  <c r="AC1553" i="1"/>
  <c r="AC1552" i="1"/>
  <c r="AC1551" i="1"/>
  <c r="AC1550" i="1"/>
  <c r="AC1549" i="1"/>
  <c r="AC1548" i="1"/>
  <c r="AC1547" i="1"/>
  <c r="AC1546" i="1"/>
  <c r="AC1545" i="1"/>
  <c r="AC1544" i="1"/>
  <c r="AC1543" i="1"/>
  <c r="AC1542" i="1"/>
  <c r="AC1541" i="1"/>
  <c r="AC1540" i="1"/>
  <c r="AC1539" i="1"/>
  <c r="AC1538" i="1"/>
  <c r="AC1537" i="1"/>
  <c r="AC1536" i="1"/>
  <c r="AC1535" i="1"/>
  <c r="AC1534" i="1"/>
  <c r="AC1532" i="1"/>
  <c r="AC1533" i="1"/>
  <c r="AC1530" i="1"/>
  <c r="AC1531" i="1"/>
  <c r="AC1529" i="1"/>
  <c r="AC1528" i="1"/>
  <c r="AC1527" i="1"/>
  <c r="AC1526" i="1"/>
  <c r="AC1525" i="1"/>
  <c r="AC1524" i="1"/>
  <c r="AC1523" i="1"/>
  <c r="AC1522" i="1"/>
  <c r="AC1521" i="1"/>
  <c r="AC1519" i="1"/>
  <c r="AC1520" i="1"/>
  <c r="AC1518" i="1"/>
  <c r="AC1517" i="1"/>
  <c r="AC1516" i="1"/>
  <c r="AC1515" i="1"/>
  <c r="AC1514" i="1"/>
  <c r="AC1513" i="1"/>
  <c r="AC1512" i="1"/>
  <c r="AC1511" i="1"/>
  <c r="AC1510" i="1"/>
  <c r="AC1508" i="1"/>
  <c r="AC1509" i="1"/>
  <c r="AC1507" i="1"/>
  <c r="AC1506" i="1"/>
  <c r="AC1505" i="1"/>
  <c r="AC1504" i="1"/>
  <c r="AC1503" i="1"/>
  <c r="AC1502" i="1"/>
  <c r="AC1501" i="1"/>
  <c r="AC1500" i="1"/>
  <c r="AC1499" i="1"/>
  <c r="AC1498" i="1"/>
  <c r="AC1497" i="1"/>
  <c r="AC1496" i="1"/>
  <c r="AC1495" i="1"/>
  <c r="AC1494" i="1"/>
  <c r="AC1493" i="1"/>
  <c r="AC1492" i="1"/>
  <c r="AC1491" i="1"/>
  <c r="AC1490" i="1"/>
  <c r="AC1489" i="1"/>
  <c r="AC1488" i="1"/>
  <c r="AC1487" i="1"/>
  <c r="AC1486" i="1"/>
  <c r="AC1485" i="1"/>
  <c r="AC1484" i="1"/>
  <c r="AC1483" i="1"/>
  <c r="AC1482" i="1"/>
  <c r="AC1481" i="1"/>
  <c r="AC1480" i="1"/>
  <c r="AC1479" i="1"/>
  <c r="AC1478" i="1"/>
  <c r="AC1477" i="1"/>
  <c r="AC1476" i="1"/>
  <c r="AC1475" i="1"/>
  <c r="AC1474" i="1"/>
  <c r="AC1473" i="1"/>
  <c r="AC1472" i="1"/>
  <c r="AC1471" i="1"/>
  <c r="AC1470" i="1"/>
  <c r="AC1469" i="1"/>
  <c r="AC1468" i="1"/>
  <c r="AC1467" i="1"/>
  <c r="AC1466" i="1"/>
  <c r="AC1465" i="1"/>
  <c r="AC1464" i="1"/>
  <c r="AC1463" i="1"/>
  <c r="AC1462" i="1"/>
  <c r="AC1461" i="1"/>
  <c r="AC1459" i="1"/>
  <c r="AC1460" i="1"/>
  <c r="AC1458" i="1"/>
  <c r="AC1457" i="1"/>
  <c r="AC1456" i="1"/>
  <c r="AC1455" i="1"/>
  <c r="AC1454" i="1"/>
  <c r="AC1453" i="1"/>
  <c r="AC1452" i="1"/>
  <c r="AC1451" i="1"/>
  <c r="AC1450" i="1"/>
  <c r="AC1449" i="1"/>
  <c r="AC1448" i="1"/>
  <c r="AC1447" i="1"/>
  <c r="AC1446" i="1"/>
  <c r="AC1445" i="1"/>
  <c r="AC1444" i="1"/>
  <c r="AC1443" i="1"/>
  <c r="AC1442" i="1"/>
  <c r="AC1441" i="1"/>
  <c r="AC1440" i="1"/>
  <c r="AC1439" i="1"/>
  <c r="AC1438" i="1"/>
  <c r="AC1437" i="1"/>
  <c r="AC1436" i="1"/>
  <c r="AC1434" i="1"/>
  <c r="AC1435" i="1"/>
  <c r="AC1433" i="1"/>
  <c r="AC1432" i="1"/>
  <c r="AC1431" i="1"/>
  <c r="AC1430" i="1"/>
  <c r="AC1429" i="1"/>
  <c r="AC1428" i="1"/>
  <c r="AC1427" i="1"/>
  <c r="AC1426" i="1"/>
  <c r="AC1425" i="1"/>
  <c r="AC1424" i="1"/>
  <c r="AC1423" i="1"/>
  <c r="AC1422" i="1"/>
  <c r="AC1421" i="1"/>
  <c r="AC1420" i="1"/>
  <c r="AC1419" i="1"/>
  <c r="AC1418" i="1"/>
  <c r="AC1417" i="1"/>
  <c r="AC1416" i="1"/>
  <c r="AC1415" i="1"/>
  <c r="AC1414" i="1"/>
  <c r="AC1411" i="1"/>
  <c r="AC1412" i="1"/>
  <c r="AC1413" i="1"/>
  <c r="AC1410" i="1"/>
  <c r="AC1409" i="1"/>
  <c r="AC1408" i="1"/>
  <c r="AC1406" i="1"/>
  <c r="AC1407" i="1"/>
  <c r="AC1405" i="1"/>
  <c r="AC1404" i="1"/>
  <c r="AC1402" i="1"/>
  <c r="AC1403" i="1"/>
  <c r="AC1401" i="1"/>
  <c r="AC1400" i="1"/>
  <c r="AC1399" i="1"/>
  <c r="AC1397" i="1"/>
  <c r="AC1398" i="1"/>
  <c r="AC1396" i="1"/>
  <c r="AC1395" i="1"/>
  <c r="AC1394" i="1"/>
  <c r="AC1393" i="1"/>
  <c r="AC1392" i="1"/>
  <c r="AC1391" i="1"/>
  <c r="AC1390" i="1"/>
  <c r="AC1389" i="1"/>
  <c r="AC1388" i="1"/>
  <c r="AC1387" i="1"/>
  <c r="AC1386" i="1"/>
  <c r="AC1385" i="1"/>
  <c r="AC1384" i="1"/>
  <c r="AC1383" i="1"/>
  <c r="AC1382" i="1"/>
  <c r="AC1381" i="1"/>
  <c r="AC1380" i="1"/>
  <c r="AC1379" i="1"/>
  <c r="AC1378" i="1"/>
  <c r="AC1377" i="1"/>
  <c r="AC1376" i="1"/>
  <c r="AC1375" i="1"/>
  <c r="AC1374" i="1"/>
  <c r="AC1373" i="1"/>
  <c r="AC1372" i="1"/>
  <c r="AC1371" i="1"/>
  <c r="AC1370" i="1"/>
  <c r="AC1369" i="1"/>
  <c r="AC1368" i="1"/>
  <c r="AC1367" i="1"/>
  <c r="AC1366" i="1"/>
  <c r="AC1365" i="1"/>
  <c r="AC1364" i="1"/>
  <c r="AC1363" i="1"/>
  <c r="AC1362" i="1"/>
  <c r="AC1361" i="1"/>
  <c r="AC1360" i="1"/>
  <c r="AC1359" i="1"/>
  <c r="AC1358" i="1"/>
  <c r="AC1357" i="1"/>
  <c r="AC1356" i="1"/>
  <c r="AC1354" i="1"/>
  <c r="AC1355" i="1"/>
  <c r="AC1353" i="1"/>
  <c r="AC1352" i="1"/>
  <c r="AC1351" i="1"/>
  <c r="AC1350" i="1"/>
  <c r="AC1349" i="1"/>
  <c r="AC1348" i="1"/>
  <c r="AC1347" i="1"/>
  <c r="AC1346" i="1"/>
  <c r="AC1345" i="1"/>
  <c r="AC1344" i="1"/>
  <c r="AC1343" i="1"/>
  <c r="AC1342" i="1"/>
  <c r="AC1341" i="1"/>
  <c r="AC1340" i="1"/>
  <c r="AC1339" i="1"/>
  <c r="AC1338" i="1"/>
  <c r="AC1337" i="1"/>
  <c r="AC1336" i="1"/>
  <c r="AC1335" i="1"/>
  <c r="AC1334" i="1"/>
  <c r="AC1333" i="1"/>
  <c r="AC1332" i="1"/>
  <c r="AC1331" i="1"/>
  <c r="AC1330" i="1"/>
  <c r="AC1329" i="1"/>
  <c r="AC1327" i="1"/>
  <c r="AC1328" i="1"/>
  <c r="AC1326" i="1"/>
  <c r="AC1325" i="1"/>
  <c r="AC1324" i="1"/>
  <c r="AC1323" i="1"/>
  <c r="AC1322" i="1"/>
  <c r="AC1321" i="1"/>
  <c r="AC1320" i="1"/>
  <c r="AC1319" i="1"/>
  <c r="AC1318" i="1"/>
  <c r="AC1317" i="1"/>
  <c r="AC1316" i="1"/>
  <c r="AC1315" i="1"/>
  <c r="AC1314" i="1"/>
  <c r="AC1313" i="1"/>
  <c r="AC1311" i="1"/>
  <c r="AC1310" i="1"/>
  <c r="AC1307" i="1"/>
  <c r="AC1308" i="1"/>
  <c r="AC1309" i="1"/>
  <c r="AC1306" i="1"/>
  <c r="AC1305" i="1"/>
  <c r="AC1303" i="1"/>
  <c r="AC1304" i="1"/>
  <c r="AC1296" i="1"/>
  <c r="AC1297" i="1"/>
  <c r="AC1298" i="1"/>
  <c r="AC1299" i="1"/>
  <c r="AC1300" i="1"/>
  <c r="AC1301" i="1"/>
  <c r="AC1302" i="1"/>
  <c r="AC1295" i="1"/>
  <c r="AC1293" i="1"/>
  <c r="AC1294" i="1"/>
  <c r="AC1291" i="1"/>
  <c r="AC1292" i="1"/>
  <c r="AC1290" i="1"/>
  <c r="AC1289" i="1"/>
  <c r="AC1288" i="1"/>
  <c r="AC1287" i="1"/>
  <c r="AC1286" i="1"/>
  <c r="AC1285" i="1"/>
  <c r="AC1284" i="1"/>
  <c r="AC1283" i="1"/>
  <c r="AC1282" i="1"/>
  <c r="AC1281" i="1"/>
  <c r="AC1280" i="1"/>
  <c r="AC1279" i="1"/>
  <c r="AC1278" i="1"/>
  <c r="AC1277" i="1"/>
  <c r="AC1276" i="1"/>
  <c r="AC1275" i="1"/>
  <c r="AC1274" i="1"/>
  <c r="AC1273" i="1"/>
  <c r="AC1272" i="1"/>
  <c r="AC1271" i="1"/>
  <c r="AC1270" i="1"/>
  <c r="AC1269" i="1"/>
  <c r="AC1268" i="1"/>
  <c r="AC1267" i="1"/>
  <c r="AC1265" i="1"/>
  <c r="AC1266" i="1"/>
  <c r="AC1264" i="1"/>
  <c r="AC1263" i="1"/>
  <c r="AC1262" i="1"/>
  <c r="AC1261" i="1"/>
  <c r="AC1260" i="1"/>
  <c r="AC1259" i="1"/>
  <c r="AC1257" i="1"/>
  <c r="AC1258" i="1"/>
  <c r="AC1256" i="1"/>
  <c r="AC1255" i="1"/>
  <c r="AC1254" i="1"/>
  <c r="AC1253" i="1"/>
  <c r="AC1252" i="1"/>
  <c r="AC1251" i="1"/>
  <c r="AC1250" i="1"/>
  <c r="AC1249" i="1"/>
  <c r="AC1248" i="1"/>
  <c r="AC1247" i="1"/>
  <c r="AC1246" i="1"/>
  <c r="AC1245" i="1"/>
  <c r="AC1244" i="1"/>
  <c r="AC1243" i="1"/>
  <c r="AC1242" i="1"/>
  <c r="AC1241" i="1"/>
  <c r="AC1240" i="1"/>
  <c r="AC1239" i="1"/>
  <c r="AC1238" i="1"/>
  <c r="AC1237" i="1"/>
  <c r="AC1236" i="1"/>
  <c r="AC1235" i="1"/>
  <c r="AC1234" i="1"/>
  <c r="AC1233" i="1"/>
  <c r="AC1232" i="1"/>
  <c r="AC1231" i="1"/>
  <c r="AC1230" i="1"/>
  <c r="AC1229" i="1"/>
  <c r="AC1228" i="1"/>
  <c r="AC1227" i="1"/>
  <c r="AC1226" i="1"/>
  <c r="AC1225" i="1"/>
  <c r="AC1224" i="1"/>
  <c r="AC1223" i="1"/>
  <c r="AC1222" i="1"/>
  <c r="AC1221" i="1"/>
  <c r="AC1220" i="1"/>
  <c r="AC1219" i="1"/>
  <c r="AC1218" i="1"/>
  <c r="AC1216" i="1"/>
  <c r="AC1217" i="1"/>
  <c r="AC1215" i="1"/>
  <c r="AC1214" i="1"/>
  <c r="AC1213" i="1"/>
  <c r="AC1212" i="1"/>
  <c r="AC1211" i="1"/>
  <c r="AC1210" i="1"/>
  <c r="AC1209" i="1"/>
  <c r="AC1208" i="1"/>
  <c r="AC1207" i="1"/>
  <c r="AC1206" i="1"/>
  <c r="AC1205" i="1"/>
  <c r="AC1204" i="1"/>
  <c r="AC1203" i="1"/>
  <c r="AC1202" i="1"/>
  <c r="AC1201" i="1"/>
  <c r="AC1200" i="1"/>
  <c r="AC1199" i="1"/>
  <c r="AC1198" i="1"/>
  <c r="AC1197" i="1"/>
  <c r="AC1196" i="1"/>
  <c r="AC1195" i="1"/>
  <c r="AC1194" i="1"/>
  <c r="AC1193" i="1"/>
  <c r="AC1192" i="1"/>
  <c r="AC1191" i="1"/>
  <c r="AC1190" i="1"/>
  <c r="AC1189" i="1"/>
  <c r="AC1188" i="1"/>
  <c r="AC1187" i="1"/>
  <c r="AC1186" i="1"/>
  <c r="AC1185" i="1"/>
  <c r="AC1184" i="1"/>
  <c r="AC1183" i="1"/>
  <c r="AC1182" i="1"/>
  <c r="AC1181" i="1"/>
  <c r="AC1180" i="1"/>
  <c r="AC1179" i="1"/>
  <c r="AC1178" i="1"/>
  <c r="AC1177" i="1"/>
  <c r="AC1176" i="1"/>
  <c r="AC1175" i="1"/>
  <c r="AC1174" i="1"/>
  <c r="AC1172" i="1"/>
  <c r="AC1173" i="1"/>
  <c r="AC1171" i="1"/>
  <c r="AC1170" i="1"/>
  <c r="AC1169" i="1"/>
  <c r="AC1167" i="1"/>
  <c r="AC1168" i="1"/>
  <c r="AC1166" i="1"/>
  <c r="AC1165" i="1"/>
  <c r="AC1164" i="1"/>
  <c r="AC1163" i="1"/>
  <c r="AC1162" i="1"/>
  <c r="AC1161" i="1"/>
  <c r="AC1160" i="1"/>
  <c r="AC1159" i="1"/>
  <c r="AC1158" i="1"/>
  <c r="AC1157" i="1"/>
  <c r="AC1156" i="1"/>
  <c r="AC1155" i="1"/>
  <c r="AC1154" i="1"/>
  <c r="AC1153" i="1"/>
  <c r="AC1152" i="1"/>
  <c r="AC1151" i="1"/>
  <c r="AC1150" i="1"/>
  <c r="AC1148" i="1"/>
  <c r="AC1149" i="1"/>
  <c r="AC1147" i="1"/>
  <c r="AC1146" i="1"/>
  <c r="AC1145" i="1"/>
  <c r="AC1144" i="1"/>
  <c r="AC1143" i="1"/>
  <c r="AC1142" i="1"/>
  <c r="AC1141" i="1"/>
  <c r="AC1140" i="1"/>
  <c r="AC1139" i="1"/>
  <c r="AC1138" i="1"/>
  <c r="AC1137" i="1"/>
  <c r="AC1134" i="1"/>
  <c r="AC1135" i="1"/>
  <c r="AC1136" i="1"/>
  <c r="AC1133" i="1"/>
  <c r="AC1132" i="1"/>
  <c r="AC1131" i="1"/>
  <c r="AC1130" i="1"/>
  <c r="AC1129" i="1"/>
  <c r="AC1128" i="1"/>
  <c r="AC1127" i="1"/>
  <c r="AC1126" i="1"/>
  <c r="AC1125" i="1"/>
  <c r="AC1124" i="1"/>
  <c r="AC1123" i="1"/>
  <c r="AC1122" i="1"/>
  <c r="AC1121" i="1"/>
  <c r="AC1120" i="1"/>
  <c r="AC1117" i="1"/>
  <c r="AC1118" i="1"/>
  <c r="AC1119" i="1"/>
  <c r="AC1116" i="1"/>
  <c r="AC1114" i="1"/>
  <c r="AC1115" i="1"/>
  <c r="AC1112" i="1"/>
  <c r="AC1113" i="1"/>
  <c r="AC1111" i="1"/>
  <c r="AC1110" i="1"/>
  <c r="AC1109" i="1"/>
  <c r="AC1108" i="1"/>
  <c r="AC1107" i="1"/>
  <c r="AC1106" i="1"/>
  <c r="AC1105" i="1"/>
  <c r="AC1104" i="1"/>
  <c r="AC1103" i="1"/>
  <c r="AC1102" i="1"/>
  <c r="AC1101" i="1"/>
  <c r="AC1100" i="1"/>
  <c r="AC1099" i="1"/>
  <c r="AC1098" i="1"/>
  <c r="AC1097" i="1"/>
  <c r="AC1096" i="1"/>
  <c r="AC1095" i="1"/>
  <c r="AC1094" i="1"/>
  <c r="AC1093" i="1"/>
  <c r="AC1092" i="1"/>
  <c r="AC1091" i="1"/>
  <c r="AC1090" i="1"/>
  <c r="AC1089" i="1"/>
  <c r="AC1088" i="1"/>
  <c r="AC1087" i="1"/>
  <c r="AC1086" i="1"/>
  <c r="AC1085" i="1"/>
  <c r="AC1084" i="1"/>
  <c r="AC1083" i="1"/>
  <c r="AC1082" i="1"/>
  <c r="AC1081" i="1"/>
  <c r="AC1080" i="1"/>
  <c r="AC1079" i="1"/>
  <c r="AC1078" i="1"/>
  <c r="AC1077" i="1"/>
  <c r="AC1076" i="1"/>
  <c r="AC1075" i="1"/>
  <c r="AC1074" i="1"/>
  <c r="AC1073" i="1"/>
  <c r="AC1072" i="1"/>
  <c r="AC1071" i="1"/>
  <c r="AC1070" i="1"/>
  <c r="AC1069" i="1"/>
  <c r="AC1068" i="1"/>
  <c r="AC1067" i="1"/>
  <c r="AC1065" i="1"/>
  <c r="AC1066" i="1"/>
  <c r="AC1064" i="1"/>
  <c r="AC1063" i="1"/>
  <c r="AC1062" i="1"/>
  <c r="AC1061" i="1"/>
  <c r="AC1060" i="1"/>
  <c r="AC1059" i="1"/>
  <c r="AC1057" i="1"/>
  <c r="AC1058" i="1"/>
  <c r="AC1056" i="1"/>
  <c r="AC1055" i="1"/>
  <c r="AC1054" i="1"/>
  <c r="AC1052" i="1"/>
  <c r="AC1051" i="1"/>
  <c r="AC1050" i="1"/>
  <c r="AC1049" i="1"/>
  <c r="AC1048" i="1"/>
  <c r="AC1047" i="1"/>
  <c r="AC1046" i="1"/>
  <c r="AC1045" i="1"/>
  <c r="AC1044" i="1"/>
  <c r="AC1043" i="1"/>
  <c r="AC1041" i="1"/>
  <c r="AC1042" i="1"/>
  <c r="AC1040" i="1"/>
  <c r="AC1039" i="1"/>
  <c r="AC1038" i="1"/>
  <c r="AC1037" i="1"/>
  <c r="AC1036" i="1"/>
  <c r="AC1035" i="1"/>
  <c r="AC1034" i="1"/>
  <c r="AC1033" i="1"/>
  <c r="AC1032" i="1"/>
  <c r="AC1031" i="1"/>
  <c r="AC1030" i="1"/>
  <c r="AC1029" i="1"/>
  <c r="AC1028" i="1"/>
  <c r="AC1027" i="1"/>
  <c r="AC1026" i="1"/>
  <c r="AC1025" i="1"/>
  <c r="AC1024" i="1"/>
  <c r="AC1022" i="1"/>
  <c r="AC1023" i="1"/>
  <c r="AC1021" i="1"/>
  <c r="AC1020" i="1"/>
  <c r="AC1019" i="1"/>
  <c r="AC1018" i="1"/>
  <c r="AC1017" i="1"/>
  <c r="AC1016" i="1"/>
  <c r="AC1015" i="1"/>
  <c r="AC1014" i="1"/>
  <c r="AC1013" i="1"/>
  <c r="AC1012" i="1"/>
  <c r="AC1011" i="1"/>
  <c r="AC1010" i="1"/>
  <c r="AC1009" i="1"/>
  <c r="AC1008" i="1"/>
  <c r="AC1007" i="1"/>
  <c r="AC1006" i="1"/>
  <c r="AC1005" i="1"/>
  <c r="AC1004" i="1"/>
  <c r="AC1003" i="1"/>
  <c r="AC1002" i="1"/>
  <c r="AC1001" i="1"/>
  <c r="AC1000" i="1"/>
  <c r="AC999" i="1"/>
  <c r="AC998" i="1"/>
  <c r="AC997" i="1"/>
  <c r="AC996" i="1"/>
  <c r="AC995" i="1"/>
  <c r="AC994" i="1"/>
  <c r="AC993" i="1"/>
  <c r="AC992" i="1"/>
  <c r="AC991" i="1"/>
  <c r="AC990" i="1"/>
  <c r="AC989" i="1"/>
  <c r="AC988" i="1"/>
  <c r="AC987" i="1"/>
  <c r="AC986" i="1"/>
  <c r="AC985" i="1"/>
  <c r="AC984" i="1"/>
  <c r="AC983" i="1"/>
  <c r="AC982" i="1"/>
  <c r="AC981" i="1"/>
  <c r="AC980" i="1"/>
  <c r="AC979" i="1"/>
  <c r="AC978" i="1"/>
  <c r="AC976" i="1"/>
  <c r="AC977" i="1"/>
  <c r="AC975" i="1"/>
  <c r="AC974" i="1"/>
  <c r="AC972" i="1"/>
  <c r="AC973" i="1"/>
  <c r="AC971" i="1"/>
  <c r="AC970" i="1"/>
  <c r="AC969" i="1"/>
  <c r="AC968" i="1"/>
  <c r="AC967" i="1"/>
  <c r="AC966" i="1"/>
  <c r="AC965" i="1"/>
  <c r="AC964" i="1"/>
  <c r="AC963" i="1"/>
  <c r="AC960" i="1"/>
  <c r="AC961" i="1"/>
  <c r="AC962" i="1"/>
  <c r="AC959" i="1"/>
  <c r="AC956" i="1"/>
  <c r="AC957" i="1"/>
  <c r="AC958" i="1"/>
  <c r="AC955" i="1"/>
  <c r="AC953" i="1"/>
  <c r="AC954" i="1"/>
  <c r="AC952" i="1"/>
  <c r="AC951" i="1"/>
  <c r="AC949" i="1"/>
  <c r="AC950" i="1"/>
  <c r="AC948" i="1"/>
  <c r="AC947" i="1"/>
  <c r="AC946" i="1"/>
  <c r="AC945" i="1"/>
  <c r="AC943" i="1"/>
  <c r="AC944" i="1"/>
  <c r="AC942" i="1"/>
  <c r="AC941" i="1"/>
  <c r="AC939" i="1"/>
  <c r="AC940" i="1"/>
  <c r="AC937" i="1"/>
  <c r="AC938" i="1"/>
  <c r="AC935" i="1"/>
  <c r="AC936" i="1"/>
  <c r="AC934" i="1"/>
  <c r="AC933" i="1"/>
  <c r="AC931" i="1"/>
  <c r="AC932" i="1"/>
  <c r="AC929" i="1"/>
  <c r="AC930" i="1"/>
  <c r="AC928" i="1"/>
  <c r="AC927" i="1"/>
  <c r="AC926" i="1"/>
  <c r="AC925" i="1"/>
  <c r="AC924" i="1"/>
  <c r="AC923" i="1"/>
  <c r="AC922" i="1"/>
  <c r="AC921" i="1"/>
  <c r="AC920" i="1"/>
  <c r="AC919" i="1"/>
  <c r="AC918" i="1"/>
  <c r="AC917" i="1"/>
  <c r="AC916" i="1"/>
  <c r="AC915" i="1"/>
  <c r="AC914" i="1"/>
  <c r="AC913" i="1"/>
  <c r="AC912" i="1"/>
  <c r="AC911" i="1"/>
  <c r="AC910" i="1"/>
  <c r="AC909" i="1"/>
  <c r="AC908" i="1"/>
  <c r="AC907" i="1"/>
  <c r="AC906" i="1"/>
  <c r="AC905" i="1"/>
  <c r="AC904" i="1"/>
  <c r="AC903" i="1"/>
  <c r="AC902" i="1"/>
  <c r="AC901" i="1"/>
  <c r="AC900" i="1"/>
  <c r="AC899" i="1"/>
  <c r="AC898" i="1"/>
  <c r="AC897" i="1"/>
  <c r="AC896" i="1"/>
  <c r="AC895" i="1"/>
  <c r="AC894" i="1"/>
  <c r="AC893" i="1"/>
  <c r="AC892" i="1"/>
  <c r="AC891" i="1"/>
  <c r="AC889" i="1"/>
  <c r="AC890" i="1"/>
  <c r="AC888" i="1"/>
  <c r="AC887" i="1"/>
  <c r="AC886" i="1"/>
  <c r="AC885" i="1"/>
  <c r="AC884" i="1"/>
  <c r="AC883" i="1"/>
  <c r="AC882" i="1"/>
  <c r="AC881" i="1"/>
  <c r="AC880" i="1"/>
  <c r="AC879" i="1"/>
  <c r="AC878" i="1"/>
  <c r="AC877" i="1"/>
  <c r="AC876" i="1"/>
  <c r="AC875" i="1"/>
  <c r="AC874" i="1"/>
  <c r="AC873" i="1"/>
  <c r="AC872" i="1"/>
  <c r="AC870" i="1"/>
  <c r="AC871" i="1"/>
  <c r="AC869" i="1"/>
  <c r="AC868" i="1"/>
  <c r="AC865" i="1"/>
  <c r="AC866" i="1"/>
  <c r="AC867" i="1"/>
  <c r="AC864" i="1"/>
  <c r="AC863" i="1"/>
  <c r="AC862" i="1"/>
  <c r="AC861" i="1"/>
  <c r="AC860" i="1"/>
  <c r="AC859" i="1"/>
  <c r="AC858" i="1"/>
  <c r="AC857" i="1"/>
  <c r="AC855" i="1"/>
  <c r="AC856" i="1"/>
  <c r="AC854" i="1"/>
  <c r="AC853" i="1"/>
  <c r="AC852" i="1"/>
  <c r="AC851" i="1"/>
  <c r="AC850" i="1"/>
  <c r="AC849" i="1"/>
  <c r="AC848" i="1"/>
  <c r="AC847" i="1"/>
  <c r="AC846" i="1"/>
  <c r="AC845" i="1"/>
  <c r="AC844" i="1"/>
  <c r="AC843" i="1"/>
  <c r="AC842" i="1"/>
  <c r="AC841" i="1"/>
  <c r="AC840" i="1"/>
  <c r="AC839" i="1"/>
  <c r="AC838" i="1"/>
  <c r="AC837" i="1"/>
  <c r="AC836" i="1"/>
  <c r="AC835" i="1"/>
  <c r="AC834" i="1"/>
  <c r="AC833" i="1"/>
  <c r="AC832" i="1"/>
  <c r="AC831" i="1"/>
  <c r="AC830" i="1"/>
  <c r="AC829" i="1"/>
  <c r="AC828" i="1"/>
  <c r="AC827" i="1"/>
  <c r="AC826" i="1"/>
  <c r="AC825" i="1"/>
  <c r="AC824" i="1"/>
  <c r="AC823" i="1"/>
  <c r="AC822" i="1"/>
  <c r="AC821" i="1"/>
  <c r="AC820" i="1"/>
  <c r="AC819" i="1"/>
  <c r="AC818" i="1"/>
  <c r="AC817" i="1"/>
  <c r="AC816" i="1"/>
  <c r="AC815" i="1"/>
  <c r="AC814" i="1"/>
  <c r="AC813" i="1"/>
  <c r="AC812" i="1"/>
  <c r="AC810" i="1"/>
  <c r="AC811" i="1"/>
  <c r="AC809" i="1"/>
  <c r="AC807" i="1"/>
  <c r="AC808" i="1"/>
  <c r="AC806" i="1"/>
  <c r="AC805" i="1"/>
  <c r="AC803" i="1"/>
  <c r="AC804" i="1"/>
  <c r="AC802" i="1"/>
  <c r="AC800" i="1"/>
  <c r="AC801" i="1"/>
  <c r="AC799" i="1"/>
  <c r="AC798" i="1"/>
  <c r="AC796" i="1"/>
  <c r="AC797" i="1"/>
  <c r="AC795" i="1"/>
  <c r="AC794" i="1"/>
  <c r="AC793" i="1"/>
  <c r="AC792" i="1"/>
  <c r="AC791" i="1"/>
  <c r="AC790" i="1"/>
  <c r="AC789" i="1"/>
  <c r="AC788" i="1"/>
  <c r="AC787" i="1"/>
  <c r="AC786" i="1"/>
  <c r="AC785" i="1"/>
  <c r="AC784" i="1"/>
  <c r="AC783" i="1"/>
  <c r="AC782" i="1"/>
  <c r="AC781" i="1"/>
  <c r="AC780" i="1"/>
  <c r="AC778" i="1"/>
  <c r="AC779" i="1"/>
  <c r="AC776" i="1"/>
  <c r="AC777" i="1"/>
  <c r="AC775" i="1"/>
  <c r="AC774" i="1"/>
  <c r="AC773" i="1"/>
  <c r="AC772" i="1"/>
  <c r="AC771" i="1"/>
  <c r="AC769" i="1"/>
  <c r="AC770" i="1"/>
  <c r="AC767" i="1"/>
  <c r="AC768" i="1"/>
  <c r="AC766" i="1"/>
  <c r="AC765" i="1"/>
  <c r="AC764" i="1"/>
  <c r="AC763" i="1"/>
  <c r="AC762" i="1"/>
  <c r="AC761" i="1"/>
  <c r="AC760" i="1"/>
  <c r="AC759" i="1"/>
  <c r="AC758" i="1"/>
  <c r="AC757" i="1"/>
  <c r="AC756" i="1"/>
  <c r="AC755" i="1"/>
  <c r="AC754" i="1"/>
  <c r="AC753" i="1"/>
  <c r="AC752" i="1"/>
  <c r="AC750" i="1"/>
  <c r="AC751" i="1"/>
  <c r="AC749" i="1"/>
  <c r="AC748" i="1"/>
  <c r="AC747" i="1"/>
  <c r="AC746" i="1"/>
  <c r="AC745" i="1"/>
  <c r="AC744" i="1"/>
  <c r="AC743" i="1"/>
  <c r="AC742" i="1"/>
  <c r="AC741" i="1"/>
  <c r="AC740" i="1"/>
  <c r="AC739" i="1"/>
  <c r="AC738" i="1"/>
  <c r="AC737" i="1"/>
  <c r="AC736" i="1"/>
  <c r="AC735" i="1"/>
  <c r="AC734" i="1"/>
  <c r="AC733" i="1"/>
  <c r="AC732" i="1"/>
  <c r="AC731" i="1"/>
  <c r="AC730" i="1"/>
  <c r="AC729" i="1"/>
  <c r="AC728" i="1"/>
  <c r="AC727" i="1"/>
  <c r="AC726" i="1"/>
  <c r="AC725" i="1"/>
  <c r="AC724" i="1"/>
  <c r="AC723" i="1"/>
  <c r="AC721" i="1"/>
  <c r="AC722" i="1"/>
  <c r="AC720" i="1"/>
  <c r="AC719" i="1"/>
  <c r="AC718" i="1"/>
  <c r="AC717" i="1"/>
  <c r="AC716" i="1"/>
  <c r="AC715" i="1"/>
  <c r="AC714" i="1"/>
  <c r="AC712" i="1"/>
  <c r="AC713" i="1"/>
  <c r="AC711" i="1"/>
  <c r="AC710" i="1"/>
  <c r="AC709" i="1"/>
  <c r="AC708" i="1"/>
  <c r="AC707" i="1"/>
  <c r="AC706" i="1"/>
  <c r="AC705" i="1"/>
  <c r="AC704" i="1"/>
  <c r="AC703" i="1"/>
  <c r="AC702" i="1"/>
  <c r="AC701" i="1"/>
  <c r="AC700" i="1"/>
  <c r="AC699" i="1"/>
  <c r="AC698" i="1"/>
  <c r="AC697" i="1"/>
  <c r="AC696" i="1"/>
  <c r="AC695" i="1"/>
  <c r="AC694" i="1"/>
  <c r="AC693" i="1"/>
  <c r="AC692" i="1"/>
  <c r="AC691" i="1"/>
  <c r="AC690" i="1"/>
  <c r="AC689" i="1"/>
  <c r="AC688" i="1"/>
  <c r="AC687" i="1"/>
  <c r="AC686" i="1"/>
  <c r="AC685" i="1"/>
  <c r="AC684" i="1"/>
  <c r="AC683" i="1"/>
  <c r="AC682" i="1"/>
  <c r="AC681" i="1"/>
  <c r="AC680" i="1"/>
  <c r="AC679" i="1"/>
  <c r="AC678" i="1"/>
  <c r="AC677" i="1"/>
  <c r="AC676" i="1"/>
  <c r="AC674" i="1"/>
  <c r="AC675" i="1"/>
  <c r="AC673" i="1"/>
  <c r="AC672" i="1"/>
  <c r="AC671" i="1"/>
  <c r="AC670" i="1"/>
  <c r="AC669" i="1"/>
  <c r="AC668" i="1"/>
  <c r="AC667" i="1"/>
  <c r="AC666" i="1"/>
  <c r="AC665" i="1"/>
  <c r="AC664" i="1"/>
  <c r="AC663" i="1"/>
  <c r="AC662" i="1"/>
  <c r="AC661" i="1"/>
  <c r="AC660" i="1"/>
  <c r="AC659" i="1"/>
  <c r="AC658" i="1"/>
  <c r="AC657" i="1"/>
  <c r="AC656" i="1"/>
  <c r="AC655" i="1"/>
  <c r="AC654" i="1"/>
  <c r="AC653" i="1"/>
  <c r="AC652" i="1"/>
  <c r="AC650" i="1"/>
  <c r="AC651" i="1"/>
  <c r="AC649" i="1"/>
  <c r="AC648" i="1"/>
  <c r="AC647" i="1"/>
  <c r="AC646" i="1"/>
  <c r="AC645" i="1"/>
  <c r="AC644" i="1"/>
  <c r="AC643" i="1"/>
  <c r="AC642" i="1"/>
  <c r="AC641" i="1"/>
  <c r="AC640" i="1"/>
  <c r="AC639" i="1"/>
  <c r="AC638" i="1"/>
  <c r="AC637" i="1"/>
  <c r="AC636" i="1"/>
  <c r="AC635" i="1"/>
  <c r="AC634" i="1"/>
  <c r="AC633" i="1"/>
  <c r="AC632" i="1"/>
  <c r="AC631" i="1"/>
  <c r="AC630" i="1"/>
  <c r="AC629" i="1"/>
  <c r="AC628" i="1"/>
  <c r="AC627" i="1"/>
  <c r="AC626" i="1"/>
  <c r="AC625" i="1"/>
  <c r="AC624" i="1"/>
  <c r="AC623" i="1"/>
  <c r="AC622" i="1"/>
  <c r="AC621" i="1"/>
  <c r="AC620" i="1"/>
  <c r="AC618" i="1"/>
  <c r="AC619" i="1"/>
  <c r="AC617" i="1"/>
  <c r="AC616" i="1"/>
  <c r="AC615" i="1"/>
  <c r="AC614" i="1"/>
  <c r="AC613" i="1"/>
  <c r="AC612" i="1"/>
  <c r="AC611" i="1"/>
  <c r="AC610" i="1"/>
  <c r="AC609" i="1"/>
  <c r="AC607" i="1"/>
  <c r="AC608" i="1"/>
  <c r="AC606" i="1"/>
  <c r="AC605" i="1"/>
  <c r="AC604" i="1"/>
  <c r="AC603" i="1"/>
  <c r="AC602" i="1"/>
  <c r="AC601" i="1"/>
  <c r="AC600" i="1"/>
  <c r="AC599" i="1"/>
  <c r="AC596" i="1"/>
  <c r="AC597" i="1"/>
  <c r="AC598" i="1"/>
  <c r="AC595" i="1"/>
  <c r="AC594" i="1"/>
  <c r="AC593" i="1"/>
  <c r="AC592" i="1"/>
  <c r="AC591" i="1"/>
  <c r="AC590" i="1"/>
  <c r="AC589" i="1"/>
  <c r="AC588" i="1"/>
  <c r="AC587" i="1"/>
  <c r="AC586" i="1"/>
  <c r="AC585" i="1"/>
  <c r="AC584" i="1"/>
  <c r="AC583" i="1"/>
  <c r="AC582" i="1"/>
  <c r="AC581" i="1"/>
  <c r="AC580" i="1"/>
  <c r="AC578" i="1"/>
  <c r="AC579" i="1"/>
  <c r="AC577" i="1"/>
  <c r="AC576" i="1"/>
  <c r="AC575" i="1"/>
  <c r="AC574" i="1"/>
  <c r="AC573" i="1"/>
  <c r="AC572" i="1"/>
  <c r="AC571" i="1"/>
  <c r="AC570" i="1"/>
  <c r="AC569" i="1"/>
  <c r="AC568" i="1"/>
  <c r="AC567" i="1"/>
  <c r="AC565" i="1"/>
  <c r="AC566" i="1"/>
  <c r="AC564" i="1"/>
  <c r="AC563" i="1"/>
  <c r="AC562" i="1"/>
  <c r="AC561" i="1"/>
  <c r="AC560" i="1"/>
  <c r="AC559" i="1"/>
  <c r="AC558" i="1"/>
  <c r="AC557" i="1"/>
  <c r="AC555" i="1"/>
  <c r="AC556" i="1"/>
  <c r="AC554" i="1"/>
  <c r="AC553" i="1"/>
  <c r="AC552" i="1"/>
  <c r="AC551" i="1"/>
  <c r="AC550" i="1"/>
  <c r="AC549" i="1"/>
  <c r="AC548" i="1"/>
  <c r="AC547" i="1"/>
  <c r="AC546" i="1"/>
  <c r="AC545" i="1"/>
  <c r="AC544" i="1"/>
  <c r="AC543" i="1"/>
  <c r="AC542" i="1"/>
  <c r="AC541" i="1"/>
  <c r="AC540" i="1"/>
  <c r="AC539" i="1"/>
  <c r="AC538" i="1"/>
  <c r="AC537" i="1"/>
  <c r="AC536" i="1"/>
  <c r="AC535" i="1"/>
  <c r="AC534" i="1"/>
  <c r="AC533" i="1"/>
  <c r="AC532" i="1"/>
  <c r="AC531" i="1"/>
  <c r="AC530" i="1"/>
  <c r="AC529" i="1"/>
  <c r="AC528" i="1"/>
  <c r="AC527" i="1"/>
  <c r="AC526" i="1"/>
  <c r="AC525" i="1"/>
  <c r="AC524" i="1"/>
  <c r="AC523" i="1"/>
  <c r="AC522" i="1"/>
  <c r="AC521" i="1"/>
  <c r="AC520" i="1"/>
  <c r="AC519" i="1"/>
  <c r="AC518" i="1"/>
  <c r="AC517" i="1"/>
  <c r="AC516" i="1"/>
  <c r="AC515" i="1"/>
  <c r="AC514" i="1"/>
  <c r="AC513" i="1"/>
  <c r="AC512" i="1"/>
  <c r="AC510" i="1"/>
  <c r="AC511" i="1"/>
  <c r="AC509" i="1"/>
  <c r="AC508" i="1"/>
  <c r="AC507" i="1"/>
  <c r="AC506" i="1"/>
  <c r="AC505" i="1"/>
  <c r="AC504" i="1"/>
  <c r="AC503" i="1"/>
  <c r="AC502" i="1"/>
  <c r="AC500" i="1"/>
  <c r="AC501" i="1"/>
  <c r="AC499" i="1"/>
  <c r="AC498" i="1"/>
  <c r="AC497" i="1"/>
  <c r="AC496" i="1"/>
  <c r="AC495" i="1"/>
  <c r="AC494" i="1"/>
  <c r="AC493" i="1"/>
  <c r="AC492" i="1"/>
  <c r="AC491" i="1"/>
  <c r="AC490" i="1"/>
  <c r="AC489" i="1"/>
  <c r="AC488" i="1"/>
  <c r="AC487" i="1"/>
  <c r="AC486" i="1"/>
  <c r="AC485" i="1"/>
  <c r="AC484" i="1"/>
  <c r="AC483" i="1"/>
  <c r="AC482" i="1"/>
  <c r="AC481" i="1"/>
  <c r="AC480" i="1"/>
  <c r="AC479" i="1"/>
  <c r="AC478" i="1"/>
  <c r="AC476" i="1"/>
  <c r="AC477" i="1"/>
  <c r="AC475" i="1"/>
  <c r="AC473" i="1"/>
  <c r="AC474" i="1"/>
  <c r="AC472" i="1"/>
  <c r="AC471" i="1"/>
  <c r="AC470" i="1"/>
  <c r="AC468" i="1"/>
  <c r="AC469" i="1"/>
  <c r="AC467" i="1"/>
  <c r="AC466" i="1"/>
  <c r="AC465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AC451" i="1"/>
  <c r="AC450" i="1"/>
  <c r="AC449" i="1"/>
  <c r="AC448" i="1"/>
  <c r="AC447" i="1"/>
  <c r="AC446" i="1"/>
  <c r="AC445" i="1"/>
  <c r="AC444" i="1"/>
  <c r="AC443" i="1"/>
  <c r="AC442" i="1"/>
  <c r="AC441" i="1"/>
  <c r="AC440" i="1"/>
  <c r="AC439" i="1"/>
  <c r="AC438" i="1"/>
  <c r="AC437" i="1"/>
  <c r="AC436" i="1"/>
  <c r="AC435" i="1"/>
  <c r="AC434" i="1"/>
  <c r="AC433" i="1"/>
  <c r="AC432" i="1"/>
  <c r="AC431" i="1"/>
  <c r="AC430" i="1"/>
  <c r="AC429" i="1"/>
  <c r="AC428" i="1"/>
  <c r="AC427" i="1"/>
  <c r="AC426" i="1"/>
  <c r="AC425" i="1"/>
  <c r="AC424" i="1"/>
  <c r="AC423" i="1"/>
  <c r="AC422" i="1"/>
  <c r="AC421" i="1"/>
  <c r="AC420" i="1"/>
  <c r="AC419" i="1"/>
  <c r="AC417" i="1"/>
  <c r="AC418" i="1"/>
  <c r="AC416" i="1"/>
  <c r="AC415" i="1"/>
  <c r="AC414" i="1"/>
  <c r="AC413" i="1"/>
  <c r="AC412" i="1"/>
  <c r="AC410" i="1"/>
  <c r="AC411" i="1"/>
  <c r="AC409" i="1"/>
  <c r="AC408" i="1"/>
  <c r="AC407" i="1"/>
  <c r="AC406" i="1"/>
  <c r="AC405" i="1"/>
  <c r="AC404" i="1"/>
  <c r="AC403" i="1"/>
  <c r="AC402" i="1"/>
  <c r="AC401" i="1"/>
  <c r="AC400" i="1"/>
  <c r="AC399" i="1"/>
  <c r="AC398" i="1"/>
  <c r="AC397" i="1"/>
  <c r="AC396" i="1"/>
  <c r="AC395" i="1"/>
  <c r="AC394" i="1"/>
  <c r="AC393" i="1"/>
  <c r="AC392" i="1"/>
  <c r="AC391" i="1"/>
  <c r="AC390" i="1"/>
  <c r="AC389" i="1"/>
  <c r="AC387" i="1"/>
  <c r="AC388" i="1"/>
  <c r="AC386" i="1"/>
  <c r="AC385" i="1"/>
  <c r="AC384" i="1"/>
  <c r="AC383" i="1"/>
  <c r="AC382" i="1"/>
  <c r="AC381" i="1"/>
  <c r="AC380" i="1"/>
  <c r="AC379" i="1"/>
  <c r="AC378" i="1"/>
  <c r="AC376" i="1"/>
  <c r="AC377" i="1"/>
  <c r="AC375" i="1"/>
  <c r="AC374" i="1"/>
  <c r="AC372" i="1"/>
  <c r="AC373" i="1"/>
  <c r="AC371" i="1"/>
  <c r="AC370" i="1"/>
  <c r="AC369" i="1"/>
  <c r="AC368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0" i="1"/>
  <c r="AC351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8" i="1"/>
  <c r="AC329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10" i="1"/>
  <c r="AC308" i="1"/>
  <c r="AC309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2" i="1"/>
  <c r="AC293" i="1"/>
  <c r="AC291" i="1"/>
  <c r="AC290" i="1"/>
  <c r="AC289" i="1"/>
  <c r="AC288" i="1"/>
  <c r="AC287" i="1"/>
  <c r="AC286" i="1"/>
  <c r="AC285" i="1"/>
  <c r="AC284" i="1"/>
  <c r="AC283" i="1"/>
  <c r="AC281" i="1"/>
  <c r="AC282" i="1"/>
  <c r="AC280" i="1"/>
  <c r="AC279" i="1"/>
  <c r="AC278" i="1"/>
  <c r="AC277" i="1"/>
  <c r="AC276" i="1"/>
  <c r="AC275" i="1"/>
  <c r="AC274" i="1"/>
  <c r="AC273" i="1"/>
  <c r="AC272" i="1"/>
  <c r="AC271" i="1"/>
  <c r="AC270" i="1"/>
  <c r="AC268" i="1"/>
  <c r="AC269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7" i="1"/>
  <c r="AC198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5" i="1"/>
  <c r="AC156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C2" i="1"/>
  <c r="AC1053" i="1"/>
  <c r="AC1706" i="1"/>
  <c r="AB1705" i="1"/>
  <c r="AB1704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689" i="1"/>
  <c r="AB1690" i="1"/>
  <c r="AB1691" i="1"/>
  <c r="AB1692" i="1"/>
  <c r="AB1688" i="1"/>
  <c r="AB1687" i="1"/>
  <c r="AB1686" i="1"/>
  <c r="AB1684" i="1"/>
  <c r="AB1685" i="1"/>
  <c r="AB1683" i="1"/>
  <c r="AB1680" i="1"/>
  <c r="AB1681" i="1"/>
  <c r="AB1682" i="1"/>
  <c r="AB1679" i="1"/>
  <c r="AB1678" i="1"/>
  <c r="AB1677" i="1"/>
  <c r="AB1675" i="1"/>
  <c r="AB1676" i="1"/>
  <c r="AB1674" i="1"/>
  <c r="AB1673" i="1"/>
  <c r="AB1672" i="1"/>
  <c r="AB1664" i="1"/>
  <c r="AB1665" i="1"/>
  <c r="AB1666" i="1"/>
  <c r="AB1667" i="1"/>
  <c r="AB1668" i="1"/>
  <c r="AB1669" i="1"/>
  <c r="AB1670" i="1"/>
  <c r="AB1671" i="1"/>
  <c r="AB1663" i="1"/>
  <c r="AB1662" i="1"/>
  <c r="AB1661" i="1"/>
  <c r="AB1660" i="1"/>
  <c r="AB1659" i="1"/>
  <c r="AB1658" i="1"/>
  <c r="AB1657" i="1"/>
  <c r="AB1656" i="1"/>
  <c r="AB1654" i="1"/>
  <c r="AB1655" i="1"/>
  <c r="AB1653" i="1"/>
  <c r="AB1652" i="1"/>
  <c r="AB1651" i="1"/>
  <c r="AB1650" i="1"/>
  <c r="AB1649" i="1"/>
  <c r="AB1647" i="1"/>
  <c r="AB1648" i="1"/>
  <c r="AB1646" i="1"/>
  <c r="AB1645" i="1"/>
  <c r="AB1644" i="1"/>
  <c r="AB1643" i="1"/>
  <c r="AB1642" i="1"/>
  <c r="AB1641" i="1"/>
  <c r="AB1639" i="1"/>
  <c r="AB1640" i="1"/>
  <c r="AB1635" i="1"/>
  <c r="AB1636" i="1"/>
  <c r="AB1637" i="1"/>
  <c r="AB1638" i="1"/>
  <c r="AB1634" i="1"/>
  <c r="AB1633" i="1"/>
  <c r="AB1632" i="1"/>
  <c r="AB1631" i="1"/>
  <c r="AB1630" i="1"/>
  <c r="AB1629" i="1"/>
  <c r="AB1628" i="1"/>
  <c r="AB1627" i="1"/>
  <c r="AB1626" i="1"/>
  <c r="AB1625" i="1"/>
  <c r="AB1624" i="1"/>
  <c r="AB1623" i="1"/>
  <c r="AB1622" i="1"/>
  <c r="AB1621" i="1"/>
  <c r="AB1620" i="1"/>
  <c r="AB1619" i="1"/>
  <c r="AB1618" i="1"/>
  <c r="AB1617" i="1"/>
  <c r="AB1616" i="1"/>
  <c r="AB1615" i="1"/>
  <c r="AB1614" i="1"/>
  <c r="AB1613" i="1"/>
  <c r="AB1612" i="1"/>
  <c r="AB1611" i="1"/>
  <c r="AB1610" i="1"/>
  <c r="AB1609" i="1"/>
  <c r="AB1608" i="1"/>
  <c r="AB1607" i="1"/>
  <c r="AB1606" i="1"/>
  <c r="AB1605" i="1"/>
  <c r="AB1604" i="1"/>
  <c r="AB1603" i="1"/>
  <c r="AB1602" i="1"/>
  <c r="AB1601" i="1"/>
  <c r="AB1600" i="1"/>
  <c r="AB1599" i="1"/>
  <c r="AB1598" i="1"/>
  <c r="AB1597" i="1"/>
  <c r="AB1596" i="1"/>
  <c r="AB1595" i="1"/>
  <c r="AB1594" i="1"/>
  <c r="AB1593" i="1"/>
  <c r="AB1592" i="1"/>
  <c r="AB1591" i="1"/>
  <c r="AB1590" i="1"/>
  <c r="AB1589" i="1"/>
  <c r="AB1588" i="1"/>
  <c r="AB1587" i="1"/>
  <c r="AB1586" i="1"/>
  <c r="AB1585" i="1"/>
  <c r="AB1584" i="1"/>
  <c r="AB1583" i="1"/>
  <c r="AB1582" i="1"/>
  <c r="AB1581" i="1"/>
  <c r="AB1580" i="1"/>
  <c r="AB1579" i="1"/>
  <c r="AB1578" i="1"/>
  <c r="AB1577" i="1"/>
  <c r="AB1576" i="1"/>
  <c r="AB1575" i="1"/>
  <c r="AB1574" i="1"/>
  <c r="AB1573" i="1"/>
  <c r="AB1572" i="1"/>
  <c r="AB1571" i="1"/>
  <c r="AB1570" i="1"/>
  <c r="AB1569" i="1"/>
  <c r="AB1568" i="1"/>
  <c r="AB1567" i="1"/>
  <c r="AB1566" i="1"/>
  <c r="AB1565" i="1"/>
  <c r="AB1564" i="1"/>
  <c r="AB1563" i="1"/>
  <c r="AB1562" i="1"/>
  <c r="AB1561" i="1"/>
  <c r="AB1560" i="1"/>
  <c r="AB1559" i="1"/>
  <c r="AB1558" i="1"/>
  <c r="AB1557" i="1"/>
  <c r="AB1556" i="1"/>
  <c r="AB1555" i="1"/>
  <c r="AB1554" i="1"/>
  <c r="AB1553" i="1"/>
  <c r="AB1552" i="1"/>
  <c r="AB1551" i="1"/>
  <c r="AB1550" i="1"/>
  <c r="AB1549" i="1"/>
  <c r="AB1548" i="1"/>
  <c r="AB1547" i="1"/>
  <c r="AB1546" i="1"/>
  <c r="AB1545" i="1"/>
  <c r="AB1544" i="1"/>
  <c r="AB1543" i="1"/>
  <c r="AB1542" i="1"/>
  <c r="AB1541" i="1"/>
  <c r="AB1540" i="1"/>
  <c r="AB1539" i="1"/>
  <c r="AB1538" i="1"/>
  <c r="AB1537" i="1"/>
  <c r="AB1536" i="1"/>
  <c r="AB1535" i="1"/>
  <c r="AB1534" i="1"/>
  <c r="AB1532" i="1"/>
  <c r="AB1533" i="1"/>
  <c r="AB1530" i="1"/>
  <c r="AB1531" i="1"/>
  <c r="AB1529" i="1"/>
  <c r="AB1528" i="1"/>
  <c r="AB1527" i="1"/>
  <c r="AB1526" i="1"/>
  <c r="AB1525" i="1"/>
  <c r="AB1524" i="1"/>
  <c r="AB1523" i="1"/>
  <c r="AB1522" i="1"/>
  <c r="AB1521" i="1"/>
  <c r="AB1519" i="1"/>
  <c r="AB1520" i="1"/>
  <c r="AB1518" i="1"/>
  <c r="AB1517" i="1"/>
  <c r="AB1516" i="1"/>
  <c r="AB1515" i="1"/>
  <c r="AB1514" i="1"/>
  <c r="AB1513" i="1"/>
  <c r="AB1512" i="1"/>
  <c r="AB1511" i="1"/>
  <c r="AB1510" i="1"/>
  <c r="AB1508" i="1"/>
  <c r="AB1509" i="1"/>
  <c r="AB1507" i="1"/>
  <c r="AB1506" i="1"/>
  <c r="AB1505" i="1"/>
  <c r="AB1504" i="1"/>
  <c r="AB1503" i="1"/>
  <c r="AB1502" i="1"/>
  <c r="AB1501" i="1"/>
  <c r="AB1500" i="1"/>
  <c r="AB1499" i="1"/>
  <c r="AB1498" i="1"/>
  <c r="AB1497" i="1"/>
  <c r="AB1496" i="1"/>
  <c r="AB1495" i="1"/>
  <c r="AB1494" i="1"/>
  <c r="AB1493" i="1"/>
  <c r="AB1492" i="1"/>
  <c r="AB1491" i="1"/>
  <c r="AB1490" i="1"/>
  <c r="AB1489" i="1"/>
  <c r="AB1488" i="1"/>
  <c r="AB1487" i="1"/>
  <c r="AB1486" i="1"/>
  <c r="AB1485" i="1"/>
  <c r="AB1484" i="1"/>
  <c r="AB1483" i="1"/>
  <c r="AB1482" i="1"/>
  <c r="AB1481" i="1"/>
  <c r="AB1480" i="1"/>
  <c r="AB1479" i="1"/>
  <c r="AB1478" i="1"/>
  <c r="AB1477" i="1"/>
  <c r="AB1476" i="1"/>
  <c r="AB1475" i="1"/>
  <c r="AB1474" i="1"/>
  <c r="AB1473" i="1"/>
  <c r="AB1472" i="1"/>
  <c r="AB1471" i="1"/>
  <c r="AB1470" i="1"/>
  <c r="AB1469" i="1"/>
  <c r="AB1468" i="1"/>
  <c r="AB1467" i="1"/>
  <c r="AB1466" i="1"/>
  <c r="AB1465" i="1"/>
  <c r="AB1464" i="1"/>
  <c r="AB1463" i="1"/>
  <c r="AB1462" i="1"/>
  <c r="AB1461" i="1"/>
  <c r="AB1459" i="1"/>
  <c r="AB1460" i="1"/>
  <c r="AB1458" i="1"/>
  <c r="AB1457" i="1"/>
  <c r="AB1456" i="1"/>
  <c r="AB1455" i="1"/>
  <c r="AB1454" i="1"/>
  <c r="AB1453" i="1"/>
  <c r="AB1452" i="1"/>
  <c r="AB1451" i="1"/>
  <c r="AB1450" i="1"/>
  <c r="AB1449" i="1"/>
  <c r="AB1448" i="1"/>
  <c r="AB1447" i="1"/>
  <c r="AB1446" i="1"/>
  <c r="AB1445" i="1"/>
  <c r="AB1444" i="1"/>
  <c r="AB1443" i="1"/>
  <c r="AB1442" i="1"/>
  <c r="AB1441" i="1"/>
  <c r="AB1440" i="1"/>
  <c r="AB1439" i="1"/>
  <c r="AB1438" i="1"/>
  <c r="AB1437" i="1"/>
  <c r="AB1436" i="1"/>
  <c r="AB1434" i="1"/>
  <c r="AB1435" i="1"/>
  <c r="AB1433" i="1"/>
  <c r="AB1432" i="1"/>
  <c r="AB1431" i="1"/>
  <c r="AB1430" i="1"/>
  <c r="AB1429" i="1"/>
  <c r="AB1428" i="1"/>
  <c r="AB1427" i="1"/>
  <c r="AB1426" i="1"/>
  <c r="AB1425" i="1"/>
  <c r="AB1424" i="1"/>
  <c r="AB1423" i="1"/>
  <c r="AB1422" i="1"/>
  <c r="AB1421" i="1"/>
  <c r="AB1420" i="1"/>
  <c r="AB1419" i="1"/>
  <c r="AB1418" i="1"/>
  <c r="AB1417" i="1"/>
  <c r="AB1416" i="1"/>
  <c r="AB1415" i="1"/>
  <c r="AB1414" i="1"/>
  <c r="AB1411" i="1"/>
  <c r="AB1412" i="1"/>
  <c r="AB1413" i="1"/>
  <c r="AB1410" i="1"/>
  <c r="AB1409" i="1"/>
  <c r="AB1408" i="1"/>
  <c r="AB1406" i="1"/>
  <c r="AB1407" i="1"/>
  <c r="AB1405" i="1"/>
  <c r="AB1404" i="1"/>
  <c r="AB1402" i="1"/>
  <c r="AB1403" i="1"/>
  <c r="AB1401" i="1"/>
  <c r="AB1400" i="1"/>
  <c r="AB1399" i="1"/>
  <c r="AB1397" i="1"/>
  <c r="AB1398" i="1"/>
  <c r="AB1396" i="1"/>
  <c r="AB1395" i="1"/>
  <c r="AB1394" i="1"/>
  <c r="AB1393" i="1"/>
  <c r="AB1392" i="1"/>
  <c r="AB1391" i="1"/>
  <c r="AB1390" i="1"/>
  <c r="AB1389" i="1"/>
  <c r="AB1388" i="1"/>
  <c r="AB1387" i="1"/>
  <c r="AB1386" i="1"/>
  <c r="AB1385" i="1"/>
  <c r="AB1384" i="1"/>
  <c r="AB1383" i="1"/>
  <c r="AB1382" i="1"/>
  <c r="AB1381" i="1"/>
  <c r="AB1380" i="1"/>
  <c r="AB1379" i="1"/>
  <c r="AB1378" i="1"/>
  <c r="AB1377" i="1"/>
  <c r="AB1376" i="1"/>
  <c r="AB1375" i="1"/>
  <c r="AB1374" i="1"/>
  <c r="AB1373" i="1"/>
  <c r="AB1372" i="1"/>
  <c r="AB1371" i="1"/>
  <c r="AB1370" i="1"/>
  <c r="AB1369" i="1"/>
  <c r="AB1368" i="1"/>
  <c r="AB1367" i="1"/>
  <c r="AB1366" i="1"/>
  <c r="AB1365" i="1"/>
  <c r="AB1364" i="1"/>
  <c r="AB1363" i="1"/>
  <c r="AB1362" i="1"/>
  <c r="AB1361" i="1"/>
  <c r="AB1360" i="1"/>
  <c r="AB1359" i="1"/>
  <c r="AB1358" i="1"/>
  <c r="AB1357" i="1"/>
  <c r="AB1356" i="1"/>
  <c r="AB1354" i="1"/>
  <c r="AB1355" i="1"/>
  <c r="AB1353" i="1"/>
  <c r="AB1352" i="1"/>
  <c r="AB1351" i="1"/>
  <c r="AB1350" i="1"/>
  <c r="AB1349" i="1"/>
  <c r="AB1348" i="1"/>
  <c r="AB1347" i="1"/>
  <c r="AB1346" i="1"/>
  <c r="AB1345" i="1"/>
  <c r="AB1344" i="1"/>
  <c r="AB1343" i="1"/>
  <c r="AB1342" i="1"/>
  <c r="AB1341" i="1"/>
  <c r="AB1340" i="1"/>
  <c r="AB1339" i="1"/>
  <c r="AB1338" i="1"/>
  <c r="AB1337" i="1"/>
  <c r="AB1336" i="1"/>
  <c r="AB1335" i="1"/>
  <c r="AB1334" i="1"/>
  <c r="AB1333" i="1"/>
  <c r="AB1332" i="1"/>
  <c r="AB1331" i="1"/>
  <c r="AB1330" i="1"/>
  <c r="AB1329" i="1"/>
  <c r="AB1327" i="1"/>
  <c r="AB1328" i="1"/>
  <c r="AB1326" i="1"/>
  <c r="AB1325" i="1"/>
  <c r="AB1324" i="1"/>
  <c r="AB1323" i="1"/>
  <c r="AB1322" i="1"/>
  <c r="AB1321" i="1"/>
  <c r="AB1320" i="1"/>
  <c r="AB1319" i="1"/>
  <c r="AB1318" i="1"/>
  <c r="AB1317" i="1"/>
  <c r="AB1316" i="1"/>
  <c r="AB1315" i="1"/>
  <c r="AB1314" i="1"/>
  <c r="AB1313" i="1"/>
  <c r="AB1311" i="1"/>
  <c r="AB1310" i="1"/>
  <c r="AB1307" i="1"/>
  <c r="AB1308" i="1"/>
  <c r="AB1309" i="1"/>
  <c r="AB1306" i="1"/>
  <c r="AB1305" i="1"/>
  <c r="AB1303" i="1"/>
  <c r="AB1304" i="1"/>
  <c r="AB1296" i="1"/>
  <c r="AB1297" i="1"/>
  <c r="AB1298" i="1"/>
  <c r="AB1299" i="1"/>
  <c r="AB1300" i="1"/>
  <c r="AB1301" i="1"/>
  <c r="AB1302" i="1"/>
  <c r="AB1295" i="1"/>
  <c r="AB1293" i="1"/>
  <c r="AB1294" i="1"/>
  <c r="AB1291" i="1"/>
  <c r="AB1292" i="1"/>
  <c r="AB1290" i="1"/>
  <c r="AB1289" i="1"/>
  <c r="AB1288" i="1"/>
  <c r="AB1287" i="1"/>
  <c r="AB1286" i="1"/>
  <c r="AB1285" i="1"/>
  <c r="AB1284" i="1"/>
  <c r="AB1283" i="1"/>
  <c r="AB1282" i="1"/>
  <c r="AB1281" i="1"/>
  <c r="AB1280" i="1"/>
  <c r="AB1279" i="1"/>
  <c r="AB1278" i="1"/>
  <c r="AB1277" i="1"/>
  <c r="AB1276" i="1"/>
  <c r="AB1275" i="1"/>
  <c r="AB1274" i="1"/>
  <c r="AB1273" i="1"/>
  <c r="AB1272" i="1"/>
  <c r="AB1271" i="1"/>
  <c r="AB1270" i="1"/>
  <c r="AB1269" i="1"/>
  <c r="AB1268" i="1"/>
  <c r="AB1267" i="1"/>
  <c r="AB1265" i="1"/>
  <c r="AB1266" i="1"/>
  <c r="AB1264" i="1"/>
  <c r="AB1263" i="1"/>
  <c r="AB1262" i="1"/>
  <c r="AB1261" i="1"/>
  <c r="AB1260" i="1"/>
  <c r="AB1259" i="1"/>
  <c r="AB1257" i="1"/>
  <c r="AB1258" i="1"/>
  <c r="AB1256" i="1"/>
  <c r="AB1255" i="1"/>
  <c r="AB1254" i="1"/>
  <c r="AB1253" i="1"/>
  <c r="AB1252" i="1"/>
  <c r="AB1251" i="1"/>
  <c r="AB1250" i="1"/>
  <c r="AB1249" i="1"/>
  <c r="AB1248" i="1"/>
  <c r="AB1247" i="1"/>
  <c r="AB1246" i="1"/>
  <c r="AB1245" i="1"/>
  <c r="AB1244" i="1"/>
  <c r="AB1243" i="1"/>
  <c r="AB1242" i="1"/>
  <c r="AB1241" i="1"/>
  <c r="AB1240" i="1"/>
  <c r="AB1239" i="1"/>
  <c r="AB1238" i="1"/>
  <c r="AB1237" i="1"/>
  <c r="AB1236" i="1"/>
  <c r="AB1235" i="1"/>
  <c r="AB1234" i="1"/>
  <c r="AB1233" i="1"/>
  <c r="AB1232" i="1"/>
  <c r="AB1231" i="1"/>
  <c r="AB1230" i="1"/>
  <c r="AB1229" i="1"/>
  <c r="AB1228" i="1"/>
  <c r="AB1227" i="1"/>
  <c r="AB1226" i="1"/>
  <c r="AB1225" i="1"/>
  <c r="AB1224" i="1"/>
  <c r="AB1223" i="1"/>
  <c r="AB1222" i="1"/>
  <c r="AB1221" i="1"/>
  <c r="AB1220" i="1"/>
  <c r="AB1219" i="1"/>
  <c r="AB1218" i="1"/>
  <c r="AB1216" i="1"/>
  <c r="AB1217" i="1"/>
  <c r="AB1215" i="1"/>
  <c r="AB1214" i="1"/>
  <c r="AB1213" i="1"/>
  <c r="AB1212" i="1"/>
  <c r="AB1211" i="1"/>
  <c r="AB1210" i="1"/>
  <c r="AB1209" i="1"/>
  <c r="AB1208" i="1"/>
  <c r="AB1207" i="1"/>
  <c r="AB1206" i="1"/>
  <c r="AB1205" i="1"/>
  <c r="AB1204" i="1"/>
  <c r="AB1203" i="1"/>
  <c r="AB1202" i="1"/>
  <c r="AB1201" i="1"/>
  <c r="AB1200" i="1"/>
  <c r="AB1199" i="1"/>
  <c r="AB1198" i="1"/>
  <c r="AB1197" i="1"/>
  <c r="AB1196" i="1"/>
  <c r="AB1195" i="1"/>
  <c r="AB1194" i="1"/>
  <c r="AB1193" i="1"/>
  <c r="AB1192" i="1"/>
  <c r="AB1191" i="1"/>
  <c r="AB1190" i="1"/>
  <c r="AB1189" i="1"/>
  <c r="AB1188" i="1"/>
  <c r="AB1187" i="1"/>
  <c r="AB1186" i="1"/>
  <c r="AB1185" i="1"/>
  <c r="AB1184" i="1"/>
  <c r="AB1183" i="1"/>
  <c r="AB1182" i="1"/>
  <c r="AB1181" i="1"/>
  <c r="AB1180" i="1"/>
  <c r="AB1179" i="1"/>
  <c r="AB1178" i="1"/>
  <c r="AB1177" i="1"/>
  <c r="AB1176" i="1"/>
  <c r="AB1175" i="1"/>
  <c r="AB1174" i="1"/>
  <c r="AB1172" i="1"/>
  <c r="AB1173" i="1"/>
  <c r="AB1171" i="1"/>
  <c r="AB1170" i="1"/>
  <c r="AB1169" i="1"/>
  <c r="AB1167" i="1"/>
  <c r="AB1168" i="1"/>
  <c r="AB1166" i="1"/>
  <c r="AB1165" i="1"/>
  <c r="AB1164" i="1"/>
  <c r="AB1163" i="1"/>
  <c r="AB1162" i="1"/>
  <c r="AB1161" i="1"/>
  <c r="AB1160" i="1"/>
  <c r="AB1159" i="1"/>
  <c r="AB1158" i="1"/>
  <c r="AB1157" i="1"/>
  <c r="AB1156" i="1"/>
  <c r="AB1155" i="1"/>
  <c r="AB1154" i="1"/>
  <c r="AB1153" i="1"/>
  <c r="AB1152" i="1"/>
  <c r="AB1151" i="1"/>
  <c r="AB1150" i="1"/>
  <c r="AB1148" i="1"/>
  <c r="AB1149" i="1"/>
  <c r="AB1147" i="1"/>
  <c r="AB1146" i="1"/>
  <c r="AB1145" i="1"/>
  <c r="AB1144" i="1"/>
  <c r="AB1143" i="1"/>
  <c r="AB1142" i="1"/>
  <c r="AB1141" i="1"/>
  <c r="AB1140" i="1"/>
  <c r="AB1139" i="1"/>
  <c r="AB1138" i="1"/>
  <c r="AB1137" i="1"/>
  <c r="AB1134" i="1"/>
  <c r="AB1135" i="1"/>
  <c r="AB1136" i="1"/>
  <c r="AB1133" i="1"/>
  <c r="AB1132" i="1"/>
  <c r="AB1131" i="1"/>
  <c r="AB1130" i="1"/>
  <c r="AB1129" i="1"/>
  <c r="AB1128" i="1"/>
  <c r="AB1127" i="1"/>
  <c r="AB1126" i="1"/>
  <c r="AB1125" i="1"/>
  <c r="AB1124" i="1"/>
  <c r="AB1123" i="1"/>
  <c r="AB1122" i="1"/>
  <c r="AB1121" i="1"/>
  <c r="AB1120" i="1"/>
  <c r="AB1117" i="1"/>
  <c r="AB1118" i="1"/>
  <c r="AB1119" i="1"/>
  <c r="AB1116" i="1"/>
  <c r="AB1114" i="1"/>
  <c r="AB1115" i="1"/>
  <c r="AB1112" i="1"/>
  <c r="AB1113" i="1"/>
  <c r="AB1111" i="1"/>
  <c r="AB1110" i="1"/>
  <c r="AB1109" i="1"/>
  <c r="AB1108" i="1"/>
  <c r="AB1107" i="1"/>
  <c r="AB1106" i="1"/>
  <c r="AB1105" i="1"/>
  <c r="AB1104" i="1"/>
  <c r="AB1103" i="1"/>
  <c r="AB1102" i="1"/>
  <c r="AB1101" i="1"/>
  <c r="AB1100" i="1"/>
  <c r="AB1099" i="1"/>
  <c r="AB1098" i="1"/>
  <c r="AB1097" i="1"/>
  <c r="AB1096" i="1"/>
  <c r="AB1095" i="1"/>
  <c r="AB1094" i="1"/>
  <c r="AB1093" i="1"/>
  <c r="AB1092" i="1"/>
  <c r="AB1091" i="1"/>
  <c r="AB1090" i="1"/>
  <c r="AB1089" i="1"/>
  <c r="AB1088" i="1"/>
  <c r="AB1087" i="1"/>
  <c r="AB1086" i="1"/>
  <c r="AB1085" i="1"/>
  <c r="AB1084" i="1"/>
  <c r="AB1083" i="1"/>
  <c r="AB1082" i="1"/>
  <c r="AB1081" i="1"/>
  <c r="AB1080" i="1"/>
  <c r="AB1079" i="1"/>
  <c r="AB1078" i="1"/>
  <c r="AB1077" i="1"/>
  <c r="AB1076" i="1"/>
  <c r="AB1075" i="1"/>
  <c r="AB1074" i="1"/>
  <c r="AB1073" i="1"/>
  <c r="AB1072" i="1"/>
  <c r="AB1071" i="1"/>
  <c r="AB1070" i="1"/>
  <c r="AB1069" i="1"/>
  <c r="AB1068" i="1"/>
  <c r="AB1067" i="1"/>
  <c r="AB1065" i="1"/>
  <c r="AB1066" i="1"/>
  <c r="AB1064" i="1"/>
  <c r="AB1063" i="1"/>
  <c r="AB1062" i="1"/>
  <c r="AB1061" i="1"/>
  <c r="AB1060" i="1"/>
  <c r="AB1059" i="1"/>
  <c r="AB1057" i="1"/>
  <c r="AB1058" i="1"/>
  <c r="AB1056" i="1"/>
  <c r="AB1055" i="1"/>
  <c r="AB1054" i="1"/>
  <c r="AB1052" i="1"/>
  <c r="AB1051" i="1"/>
  <c r="AB1050" i="1"/>
  <c r="AB1049" i="1"/>
  <c r="AB1048" i="1"/>
  <c r="AB1047" i="1"/>
  <c r="AB1046" i="1"/>
  <c r="AB1045" i="1"/>
  <c r="AB1044" i="1"/>
  <c r="AB1043" i="1"/>
  <c r="AB1041" i="1"/>
  <c r="AB1042" i="1"/>
  <c r="AB1040" i="1"/>
  <c r="AB1039" i="1"/>
  <c r="AB1038" i="1"/>
  <c r="AB1037" i="1"/>
  <c r="AB1036" i="1"/>
  <c r="AB1035" i="1"/>
  <c r="AB1034" i="1"/>
  <c r="AB1033" i="1"/>
  <c r="AB1032" i="1"/>
  <c r="AB1031" i="1"/>
  <c r="AB1030" i="1"/>
  <c r="AB1029" i="1"/>
  <c r="AB1028" i="1"/>
  <c r="AB1027" i="1"/>
  <c r="AB1026" i="1"/>
  <c r="AB1025" i="1"/>
  <c r="AB1024" i="1"/>
  <c r="AB1022" i="1"/>
  <c r="AB1023" i="1"/>
  <c r="AB1021" i="1"/>
  <c r="AB1020" i="1"/>
  <c r="AB1019" i="1"/>
  <c r="AB1018" i="1"/>
  <c r="AB1017" i="1"/>
  <c r="AB1016" i="1"/>
  <c r="AB1015" i="1"/>
  <c r="AB1014" i="1"/>
  <c r="AB1013" i="1"/>
  <c r="AB1012" i="1"/>
  <c r="AB1011" i="1"/>
  <c r="AB1010" i="1"/>
  <c r="AB1009" i="1"/>
  <c r="AB1008" i="1"/>
  <c r="AB1007" i="1"/>
  <c r="AB1006" i="1"/>
  <c r="AB1005" i="1"/>
  <c r="AB1004" i="1"/>
  <c r="AB1003" i="1"/>
  <c r="AB1002" i="1"/>
  <c r="AB1001" i="1"/>
  <c r="AB1000" i="1"/>
  <c r="AB999" i="1"/>
  <c r="AB998" i="1"/>
  <c r="AB997" i="1"/>
  <c r="AB996" i="1"/>
  <c r="AB995" i="1"/>
  <c r="AB994" i="1"/>
  <c r="AB993" i="1"/>
  <c r="AB992" i="1"/>
  <c r="AB991" i="1"/>
  <c r="AB990" i="1"/>
  <c r="AB989" i="1"/>
  <c r="AB988" i="1"/>
  <c r="AB987" i="1"/>
  <c r="AB986" i="1"/>
  <c r="AB985" i="1"/>
  <c r="AB984" i="1"/>
  <c r="AB983" i="1"/>
  <c r="AB982" i="1"/>
  <c r="AB981" i="1"/>
  <c r="AB980" i="1"/>
  <c r="AB979" i="1"/>
  <c r="AB978" i="1"/>
  <c r="AB976" i="1"/>
  <c r="AB977" i="1"/>
  <c r="AB975" i="1"/>
  <c r="AB974" i="1"/>
  <c r="AB972" i="1"/>
  <c r="AB973" i="1"/>
  <c r="AB971" i="1"/>
  <c r="AB970" i="1"/>
  <c r="AB969" i="1"/>
  <c r="AB968" i="1"/>
  <c r="AB967" i="1"/>
  <c r="AB966" i="1"/>
  <c r="AB965" i="1"/>
  <c r="AB964" i="1"/>
  <c r="AB963" i="1"/>
  <c r="AB960" i="1"/>
  <c r="AB961" i="1"/>
  <c r="AB962" i="1"/>
  <c r="AB959" i="1"/>
  <c r="AB956" i="1"/>
  <c r="AB957" i="1"/>
  <c r="AB958" i="1"/>
  <c r="AB955" i="1"/>
  <c r="AB953" i="1"/>
  <c r="AB954" i="1"/>
  <c r="AB952" i="1"/>
  <c r="AB951" i="1"/>
  <c r="AB949" i="1"/>
  <c r="AB950" i="1"/>
  <c r="AB948" i="1"/>
  <c r="AB947" i="1"/>
  <c r="AB946" i="1"/>
  <c r="AB945" i="1"/>
  <c r="AB943" i="1"/>
  <c r="AB944" i="1"/>
  <c r="AB942" i="1"/>
  <c r="AB941" i="1"/>
  <c r="AB939" i="1"/>
  <c r="AB940" i="1"/>
  <c r="AB937" i="1"/>
  <c r="AB938" i="1"/>
  <c r="AB935" i="1"/>
  <c r="AB936" i="1"/>
  <c r="AB934" i="1"/>
  <c r="AB933" i="1"/>
  <c r="AB931" i="1"/>
  <c r="AB932" i="1"/>
  <c r="AB929" i="1"/>
  <c r="AB930" i="1"/>
  <c r="AB928" i="1"/>
  <c r="AB927" i="1"/>
  <c r="AB926" i="1"/>
  <c r="AB925" i="1"/>
  <c r="AB924" i="1"/>
  <c r="AB923" i="1"/>
  <c r="AB922" i="1"/>
  <c r="AB921" i="1"/>
  <c r="AB920" i="1"/>
  <c r="AB919" i="1"/>
  <c r="AB918" i="1"/>
  <c r="AB917" i="1"/>
  <c r="AB916" i="1"/>
  <c r="AB915" i="1"/>
  <c r="AB914" i="1"/>
  <c r="AB913" i="1"/>
  <c r="AB912" i="1"/>
  <c r="AB911" i="1"/>
  <c r="AB910" i="1"/>
  <c r="AB909" i="1"/>
  <c r="AB908" i="1"/>
  <c r="AB907" i="1"/>
  <c r="AB906" i="1"/>
  <c r="AB905" i="1"/>
  <c r="AB904" i="1"/>
  <c r="AB903" i="1"/>
  <c r="AB902" i="1"/>
  <c r="AB901" i="1"/>
  <c r="AB900" i="1"/>
  <c r="AB899" i="1"/>
  <c r="AB898" i="1"/>
  <c r="AB897" i="1"/>
  <c r="AB896" i="1"/>
  <c r="AB895" i="1"/>
  <c r="AB894" i="1"/>
  <c r="AB893" i="1"/>
  <c r="AB892" i="1"/>
  <c r="AB891" i="1"/>
  <c r="AB889" i="1"/>
  <c r="AB890" i="1"/>
  <c r="AB888" i="1"/>
  <c r="AB887" i="1"/>
  <c r="AB886" i="1"/>
  <c r="AB885" i="1"/>
  <c r="AB884" i="1"/>
  <c r="AB883" i="1"/>
  <c r="AB882" i="1"/>
  <c r="AB881" i="1"/>
  <c r="AB880" i="1"/>
  <c r="AB879" i="1"/>
  <c r="AB878" i="1"/>
  <c r="AB877" i="1"/>
  <c r="AB876" i="1"/>
  <c r="AB875" i="1"/>
  <c r="AB874" i="1"/>
  <c r="AB873" i="1"/>
  <c r="AB872" i="1"/>
  <c r="AB870" i="1"/>
  <c r="AB871" i="1"/>
  <c r="AB869" i="1"/>
  <c r="AB868" i="1"/>
  <c r="AB865" i="1"/>
  <c r="AB866" i="1"/>
  <c r="AB867" i="1"/>
  <c r="AB864" i="1"/>
  <c r="AB863" i="1"/>
  <c r="AB862" i="1"/>
  <c r="AB861" i="1"/>
  <c r="AB860" i="1"/>
  <c r="AB859" i="1"/>
  <c r="AB858" i="1"/>
  <c r="AB857" i="1"/>
  <c r="AB855" i="1"/>
  <c r="AB856" i="1"/>
  <c r="AB854" i="1"/>
  <c r="AB853" i="1"/>
  <c r="AB852" i="1"/>
  <c r="AB851" i="1"/>
  <c r="AB850" i="1"/>
  <c r="AB849" i="1"/>
  <c r="AB848" i="1"/>
  <c r="AB847" i="1"/>
  <c r="AB846" i="1"/>
  <c r="AB845" i="1"/>
  <c r="AB844" i="1"/>
  <c r="AB843" i="1"/>
  <c r="AB842" i="1"/>
  <c r="AB841" i="1"/>
  <c r="AB840" i="1"/>
  <c r="AB839" i="1"/>
  <c r="AB838" i="1"/>
  <c r="AB837" i="1"/>
  <c r="AB836" i="1"/>
  <c r="AB835" i="1"/>
  <c r="AB834" i="1"/>
  <c r="AB833" i="1"/>
  <c r="AB832" i="1"/>
  <c r="AB831" i="1"/>
  <c r="AB830" i="1"/>
  <c r="AB829" i="1"/>
  <c r="AB828" i="1"/>
  <c r="AB827" i="1"/>
  <c r="AB826" i="1"/>
  <c r="AB825" i="1"/>
  <c r="AB824" i="1"/>
  <c r="AB823" i="1"/>
  <c r="AB822" i="1"/>
  <c r="AB821" i="1"/>
  <c r="AB820" i="1"/>
  <c r="AB819" i="1"/>
  <c r="AB818" i="1"/>
  <c r="AB817" i="1"/>
  <c r="AB816" i="1"/>
  <c r="AB815" i="1"/>
  <c r="AB814" i="1"/>
  <c r="AB813" i="1"/>
  <c r="AB812" i="1"/>
  <c r="AB810" i="1"/>
  <c r="AB811" i="1"/>
  <c r="AB809" i="1"/>
  <c r="AB807" i="1"/>
  <c r="AB808" i="1"/>
  <c r="AB806" i="1"/>
  <c r="AB805" i="1"/>
  <c r="AB803" i="1"/>
  <c r="AB804" i="1"/>
  <c r="AB802" i="1"/>
  <c r="AB800" i="1"/>
  <c r="AB801" i="1"/>
  <c r="AB799" i="1"/>
  <c r="AB798" i="1"/>
  <c r="AB796" i="1"/>
  <c r="AB797" i="1"/>
  <c r="AB795" i="1"/>
  <c r="AB794" i="1"/>
  <c r="AB793" i="1"/>
  <c r="AB792" i="1"/>
  <c r="AB791" i="1"/>
  <c r="AB790" i="1"/>
  <c r="AB789" i="1"/>
  <c r="AB788" i="1"/>
  <c r="AB787" i="1"/>
  <c r="AB786" i="1"/>
  <c r="AB785" i="1"/>
  <c r="AB784" i="1"/>
  <c r="AB783" i="1"/>
  <c r="AB782" i="1"/>
  <c r="AB781" i="1"/>
  <c r="AB780" i="1"/>
  <c r="AB778" i="1"/>
  <c r="AB779" i="1"/>
  <c r="AB776" i="1"/>
  <c r="AB777" i="1"/>
  <c r="AB775" i="1"/>
  <c r="AB774" i="1"/>
  <c r="AB773" i="1"/>
  <c r="AB772" i="1"/>
  <c r="AB771" i="1"/>
  <c r="AB769" i="1"/>
  <c r="AB770" i="1"/>
  <c r="AB767" i="1"/>
  <c r="AB768" i="1"/>
  <c r="AB766" i="1"/>
  <c r="AB765" i="1"/>
  <c r="AB764" i="1"/>
  <c r="AB763" i="1"/>
  <c r="AB762" i="1"/>
  <c r="AB761" i="1"/>
  <c r="AB760" i="1"/>
  <c r="AB759" i="1"/>
  <c r="AB758" i="1"/>
  <c r="AB757" i="1"/>
  <c r="AB756" i="1"/>
  <c r="AB755" i="1"/>
  <c r="AB754" i="1"/>
  <c r="AB753" i="1"/>
  <c r="AB752" i="1"/>
  <c r="AB750" i="1"/>
  <c r="AB751" i="1"/>
  <c r="AB749" i="1"/>
  <c r="AB748" i="1"/>
  <c r="AB747" i="1"/>
  <c r="AB746" i="1"/>
  <c r="AB745" i="1"/>
  <c r="AB744" i="1"/>
  <c r="AB743" i="1"/>
  <c r="AB742" i="1"/>
  <c r="AB741" i="1"/>
  <c r="AB740" i="1"/>
  <c r="AB739" i="1"/>
  <c r="AB738" i="1"/>
  <c r="AB737" i="1"/>
  <c r="AB736" i="1"/>
  <c r="AB735" i="1"/>
  <c r="AB734" i="1"/>
  <c r="AB733" i="1"/>
  <c r="AB732" i="1"/>
  <c r="AB731" i="1"/>
  <c r="AB730" i="1"/>
  <c r="AB729" i="1"/>
  <c r="AB728" i="1"/>
  <c r="AB727" i="1"/>
  <c r="AB726" i="1"/>
  <c r="AB725" i="1"/>
  <c r="AB724" i="1"/>
  <c r="AB723" i="1"/>
  <c r="AB721" i="1"/>
  <c r="AB722" i="1"/>
  <c r="AB720" i="1"/>
  <c r="AB719" i="1"/>
  <c r="AB718" i="1"/>
  <c r="AB717" i="1"/>
  <c r="AB716" i="1"/>
  <c r="AB715" i="1"/>
  <c r="AB714" i="1"/>
  <c r="AB712" i="1"/>
  <c r="AB713" i="1"/>
  <c r="AB711" i="1"/>
  <c r="AB710" i="1"/>
  <c r="AB709" i="1"/>
  <c r="AB708" i="1"/>
  <c r="AB707" i="1"/>
  <c r="AB706" i="1"/>
  <c r="AB705" i="1"/>
  <c r="AB704" i="1"/>
  <c r="AB703" i="1"/>
  <c r="AB702" i="1"/>
  <c r="AB701" i="1"/>
  <c r="AB700" i="1"/>
  <c r="AB699" i="1"/>
  <c r="AB698" i="1"/>
  <c r="AB697" i="1"/>
  <c r="AB696" i="1"/>
  <c r="AB695" i="1"/>
  <c r="AB694" i="1"/>
  <c r="AB693" i="1"/>
  <c r="AB692" i="1"/>
  <c r="AB691" i="1"/>
  <c r="AB690" i="1"/>
  <c r="AB689" i="1"/>
  <c r="AB688" i="1"/>
  <c r="AB687" i="1"/>
  <c r="AB686" i="1"/>
  <c r="AB685" i="1"/>
  <c r="AB684" i="1"/>
  <c r="AB683" i="1"/>
  <c r="AB682" i="1"/>
  <c r="AB681" i="1"/>
  <c r="AB680" i="1"/>
  <c r="AB679" i="1"/>
  <c r="AB678" i="1"/>
  <c r="AB677" i="1"/>
  <c r="AB676" i="1"/>
  <c r="AB674" i="1"/>
  <c r="AB675" i="1"/>
  <c r="AB673" i="1"/>
  <c r="AB672" i="1"/>
  <c r="AB671" i="1"/>
  <c r="AB670" i="1"/>
  <c r="AB669" i="1"/>
  <c r="AB668" i="1"/>
  <c r="AB667" i="1"/>
  <c r="AB666" i="1"/>
  <c r="AB665" i="1"/>
  <c r="AB664" i="1"/>
  <c r="AB663" i="1"/>
  <c r="AB662" i="1"/>
  <c r="AB661" i="1"/>
  <c r="AB660" i="1"/>
  <c r="AB659" i="1"/>
  <c r="AB658" i="1"/>
  <c r="AB657" i="1"/>
  <c r="AB656" i="1"/>
  <c r="AB655" i="1"/>
  <c r="AB654" i="1"/>
  <c r="AB653" i="1"/>
  <c r="AB652" i="1"/>
  <c r="AB650" i="1"/>
  <c r="AB651" i="1"/>
  <c r="AB649" i="1"/>
  <c r="AB648" i="1"/>
  <c r="AB647" i="1"/>
  <c r="AB646" i="1"/>
  <c r="AB645" i="1"/>
  <c r="AB644" i="1"/>
  <c r="AB643" i="1"/>
  <c r="AB642" i="1"/>
  <c r="AB641" i="1"/>
  <c r="AB640" i="1"/>
  <c r="AB639" i="1"/>
  <c r="AB638" i="1"/>
  <c r="AB637" i="1"/>
  <c r="AB636" i="1"/>
  <c r="AB635" i="1"/>
  <c r="AB634" i="1"/>
  <c r="AB633" i="1"/>
  <c r="AB632" i="1"/>
  <c r="AB631" i="1"/>
  <c r="AB630" i="1"/>
  <c r="AB629" i="1"/>
  <c r="AB628" i="1"/>
  <c r="AB627" i="1"/>
  <c r="AB626" i="1"/>
  <c r="AB625" i="1"/>
  <c r="AB624" i="1"/>
  <c r="AB623" i="1"/>
  <c r="AB622" i="1"/>
  <c r="AB621" i="1"/>
  <c r="AB620" i="1"/>
  <c r="AB618" i="1"/>
  <c r="AB619" i="1"/>
  <c r="AB617" i="1"/>
  <c r="AB616" i="1"/>
  <c r="AB615" i="1"/>
  <c r="AB614" i="1"/>
  <c r="AB613" i="1"/>
  <c r="AB612" i="1"/>
  <c r="AB611" i="1"/>
  <c r="AB610" i="1"/>
  <c r="AB609" i="1"/>
  <c r="AB607" i="1"/>
  <c r="AB608" i="1"/>
  <c r="AB606" i="1"/>
  <c r="AB605" i="1"/>
  <c r="AB604" i="1"/>
  <c r="AB603" i="1"/>
  <c r="AB602" i="1"/>
  <c r="AB601" i="1"/>
  <c r="AB600" i="1"/>
  <c r="AB599" i="1"/>
  <c r="AB596" i="1"/>
  <c r="AB597" i="1"/>
  <c r="AB598" i="1"/>
  <c r="AB595" i="1"/>
  <c r="AB594" i="1"/>
  <c r="AB593" i="1"/>
  <c r="AB592" i="1"/>
  <c r="AB591" i="1"/>
  <c r="AB590" i="1"/>
  <c r="AB589" i="1"/>
  <c r="AB588" i="1"/>
  <c r="AB587" i="1"/>
  <c r="AB586" i="1"/>
  <c r="AB585" i="1"/>
  <c r="AB584" i="1"/>
  <c r="AB583" i="1"/>
  <c r="AB582" i="1"/>
  <c r="AB581" i="1"/>
  <c r="AB580" i="1"/>
  <c r="AB578" i="1"/>
  <c r="AB579" i="1"/>
  <c r="AB577" i="1"/>
  <c r="AB576" i="1"/>
  <c r="AB575" i="1"/>
  <c r="AB574" i="1"/>
  <c r="AB573" i="1"/>
  <c r="AB572" i="1"/>
  <c r="AB571" i="1"/>
  <c r="AB570" i="1"/>
  <c r="AB569" i="1"/>
  <c r="AB568" i="1"/>
  <c r="AB567" i="1"/>
  <c r="AB565" i="1"/>
  <c r="AB566" i="1"/>
  <c r="AB564" i="1"/>
  <c r="AB563" i="1"/>
  <c r="AB562" i="1"/>
  <c r="AB561" i="1"/>
  <c r="AB560" i="1"/>
  <c r="AB559" i="1"/>
  <c r="AB558" i="1"/>
  <c r="AB557" i="1"/>
  <c r="AB555" i="1"/>
  <c r="AB556" i="1"/>
  <c r="AB554" i="1"/>
  <c r="AB553" i="1"/>
  <c r="AB552" i="1"/>
  <c r="AB551" i="1"/>
  <c r="AB550" i="1"/>
  <c r="AB549" i="1"/>
  <c r="AB548" i="1"/>
  <c r="AB547" i="1"/>
  <c r="AB546" i="1"/>
  <c r="AB545" i="1"/>
  <c r="AB544" i="1"/>
  <c r="AB543" i="1"/>
  <c r="AB542" i="1"/>
  <c r="AB541" i="1"/>
  <c r="AB540" i="1"/>
  <c r="AB539" i="1"/>
  <c r="AB538" i="1"/>
  <c r="AB537" i="1"/>
  <c r="AB536" i="1"/>
  <c r="AB535" i="1"/>
  <c r="AB534" i="1"/>
  <c r="AB533" i="1"/>
  <c r="AB532" i="1"/>
  <c r="AB531" i="1"/>
  <c r="AB530" i="1"/>
  <c r="AB529" i="1"/>
  <c r="AB528" i="1"/>
  <c r="AB527" i="1"/>
  <c r="AB526" i="1"/>
  <c r="AB525" i="1"/>
  <c r="AB524" i="1"/>
  <c r="AB523" i="1"/>
  <c r="AB522" i="1"/>
  <c r="AB521" i="1"/>
  <c r="AB520" i="1"/>
  <c r="AB519" i="1"/>
  <c r="AB518" i="1"/>
  <c r="AB517" i="1"/>
  <c r="AB516" i="1"/>
  <c r="AB515" i="1"/>
  <c r="AB514" i="1"/>
  <c r="AB513" i="1"/>
  <c r="AB512" i="1"/>
  <c r="AB510" i="1"/>
  <c r="AB511" i="1"/>
  <c r="AB509" i="1"/>
  <c r="AB508" i="1"/>
  <c r="AB507" i="1"/>
  <c r="AB506" i="1"/>
  <c r="AB505" i="1"/>
  <c r="AB504" i="1"/>
  <c r="AB503" i="1"/>
  <c r="AB502" i="1"/>
  <c r="AB500" i="1"/>
  <c r="AB501" i="1"/>
  <c r="AB499" i="1"/>
  <c r="AB498" i="1"/>
  <c r="AB497" i="1"/>
  <c r="AB496" i="1"/>
  <c r="AB495" i="1"/>
  <c r="AB494" i="1"/>
  <c r="AB493" i="1"/>
  <c r="AB492" i="1"/>
  <c r="AB491" i="1"/>
  <c r="AB490" i="1"/>
  <c r="AB489" i="1"/>
  <c r="AB488" i="1"/>
  <c r="AB487" i="1"/>
  <c r="AB486" i="1"/>
  <c r="AB485" i="1"/>
  <c r="AB484" i="1"/>
  <c r="AB483" i="1"/>
  <c r="AB482" i="1"/>
  <c r="AB481" i="1"/>
  <c r="AB480" i="1"/>
  <c r="AB479" i="1"/>
  <c r="AB478" i="1"/>
  <c r="AB476" i="1"/>
  <c r="AB477" i="1"/>
  <c r="AB475" i="1"/>
  <c r="AB473" i="1"/>
  <c r="AB474" i="1"/>
  <c r="AB472" i="1"/>
  <c r="AB471" i="1"/>
  <c r="AB470" i="1"/>
  <c r="AB468" i="1"/>
  <c r="AB469" i="1"/>
  <c r="AB467" i="1"/>
  <c r="AB466" i="1"/>
  <c r="AB465" i="1"/>
  <c r="AB464" i="1"/>
  <c r="AB463" i="1"/>
  <c r="AB462" i="1"/>
  <c r="AB461" i="1"/>
  <c r="AB460" i="1"/>
  <c r="AB459" i="1"/>
  <c r="AB458" i="1"/>
  <c r="AB457" i="1"/>
  <c r="AB456" i="1"/>
  <c r="AB455" i="1"/>
  <c r="AB454" i="1"/>
  <c r="AB453" i="1"/>
  <c r="AB452" i="1"/>
  <c r="AB451" i="1"/>
  <c r="AB450" i="1"/>
  <c r="AB449" i="1"/>
  <c r="AB448" i="1"/>
  <c r="AB447" i="1"/>
  <c r="AB446" i="1"/>
  <c r="AB445" i="1"/>
  <c r="AB444" i="1"/>
  <c r="AB443" i="1"/>
  <c r="AB442" i="1"/>
  <c r="AB441" i="1"/>
  <c r="AB440" i="1"/>
  <c r="AB439" i="1"/>
  <c r="AB438" i="1"/>
  <c r="AB437" i="1"/>
  <c r="AB436" i="1"/>
  <c r="AB435" i="1"/>
  <c r="AB434" i="1"/>
  <c r="AB433" i="1"/>
  <c r="AB432" i="1"/>
  <c r="AB431" i="1"/>
  <c r="AB430" i="1"/>
  <c r="AB429" i="1"/>
  <c r="AB428" i="1"/>
  <c r="AB427" i="1"/>
  <c r="AB426" i="1"/>
  <c r="AB425" i="1"/>
  <c r="AB424" i="1"/>
  <c r="AB423" i="1"/>
  <c r="AB422" i="1"/>
  <c r="AB421" i="1"/>
  <c r="AB420" i="1"/>
  <c r="AB419" i="1"/>
  <c r="AB417" i="1"/>
  <c r="AB418" i="1"/>
  <c r="AB416" i="1"/>
  <c r="AB415" i="1"/>
  <c r="AB414" i="1"/>
  <c r="AB413" i="1"/>
  <c r="AB412" i="1"/>
  <c r="AB410" i="1"/>
  <c r="AB411" i="1"/>
  <c r="AB409" i="1"/>
  <c r="AB408" i="1"/>
  <c r="AB407" i="1"/>
  <c r="AB406" i="1"/>
  <c r="AB405" i="1"/>
  <c r="AB404" i="1"/>
  <c r="AB403" i="1"/>
  <c r="AB402" i="1"/>
  <c r="AB401" i="1"/>
  <c r="AB400" i="1"/>
  <c r="AB399" i="1"/>
  <c r="AB398" i="1"/>
  <c r="AB397" i="1"/>
  <c r="AB396" i="1"/>
  <c r="AB395" i="1"/>
  <c r="AB394" i="1"/>
  <c r="AB393" i="1"/>
  <c r="AB392" i="1"/>
  <c r="AB391" i="1"/>
  <c r="AB390" i="1"/>
  <c r="AB389" i="1"/>
  <c r="AB387" i="1"/>
  <c r="AB388" i="1"/>
  <c r="AB386" i="1"/>
  <c r="AB385" i="1"/>
  <c r="AB384" i="1"/>
  <c r="AB383" i="1"/>
  <c r="AB382" i="1"/>
  <c r="AB381" i="1"/>
  <c r="AB380" i="1"/>
  <c r="AB379" i="1"/>
  <c r="AB378" i="1"/>
  <c r="AB376" i="1"/>
  <c r="AB377" i="1"/>
  <c r="AB375" i="1"/>
  <c r="AB374" i="1"/>
  <c r="AB372" i="1"/>
  <c r="AB373" i="1"/>
  <c r="AB371" i="1"/>
  <c r="AB370" i="1"/>
  <c r="AB369" i="1"/>
  <c r="AB368" i="1"/>
  <c r="AB367" i="1"/>
  <c r="AB366" i="1"/>
  <c r="AB365" i="1"/>
  <c r="AB364" i="1"/>
  <c r="AB363" i="1"/>
  <c r="AB362" i="1"/>
  <c r="AB361" i="1"/>
  <c r="AB360" i="1"/>
  <c r="AB359" i="1"/>
  <c r="AB358" i="1"/>
  <c r="AB357" i="1"/>
  <c r="AB356" i="1"/>
  <c r="AB355" i="1"/>
  <c r="AB354" i="1"/>
  <c r="AB353" i="1"/>
  <c r="AB352" i="1"/>
  <c r="AB350" i="1"/>
  <c r="AB351" i="1"/>
  <c r="AB349" i="1"/>
  <c r="AB348" i="1"/>
  <c r="AB347" i="1"/>
  <c r="AB346" i="1"/>
  <c r="AB345" i="1"/>
  <c r="AB344" i="1"/>
  <c r="AB343" i="1"/>
  <c r="AB342" i="1"/>
  <c r="AB341" i="1"/>
  <c r="AB340" i="1"/>
  <c r="AB339" i="1"/>
  <c r="AB338" i="1"/>
  <c r="AB337" i="1"/>
  <c r="AB336" i="1"/>
  <c r="AB335" i="1"/>
  <c r="AB334" i="1"/>
  <c r="AB333" i="1"/>
  <c r="AB332" i="1"/>
  <c r="AB331" i="1"/>
  <c r="AB330" i="1"/>
  <c r="AB328" i="1"/>
  <c r="AB329" i="1"/>
  <c r="AB327" i="1"/>
  <c r="AB326" i="1"/>
  <c r="AB325" i="1"/>
  <c r="AB324" i="1"/>
  <c r="AB323" i="1"/>
  <c r="AB322" i="1"/>
  <c r="AB321" i="1"/>
  <c r="AB320" i="1"/>
  <c r="AB319" i="1"/>
  <c r="AB318" i="1"/>
  <c r="AB317" i="1"/>
  <c r="AB316" i="1"/>
  <c r="AB315" i="1"/>
  <c r="AB314" i="1"/>
  <c r="AB313" i="1"/>
  <c r="AB312" i="1"/>
  <c r="AB311" i="1"/>
  <c r="AB310" i="1"/>
  <c r="AB308" i="1"/>
  <c r="AB309" i="1"/>
  <c r="AB307" i="1"/>
  <c r="AB306" i="1"/>
  <c r="AB305" i="1"/>
  <c r="AB304" i="1"/>
  <c r="AB303" i="1"/>
  <c r="AB302" i="1"/>
  <c r="AB301" i="1"/>
  <c r="AB300" i="1"/>
  <c r="AB299" i="1"/>
  <c r="AB298" i="1"/>
  <c r="AB297" i="1"/>
  <c r="AB296" i="1"/>
  <c r="AB295" i="1"/>
  <c r="AB294" i="1"/>
  <c r="AB292" i="1"/>
  <c r="AB293" i="1"/>
  <c r="AB291" i="1"/>
  <c r="AB290" i="1"/>
  <c r="AB289" i="1"/>
  <c r="AB288" i="1"/>
  <c r="AB287" i="1"/>
  <c r="AB286" i="1"/>
  <c r="AB285" i="1"/>
  <c r="AB284" i="1"/>
  <c r="AB283" i="1"/>
  <c r="AB281" i="1"/>
  <c r="AB282" i="1"/>
  <c r="AB280" i="1"/>
  <c r="AB279" i="1"/>
  <c r="AB278" i="1"/>
  <c r="AB277" i="1"/>
  <c r="AB276" i="1"/>
  <c r="AB275" i="1"/>
  <c r="AB274" i="1"/>
  <c r="AB273" i="1"/>
  <c r="AB272" i="1"/>
  <c r="AB271" i="1"/>
  <c r="AB270" i="1"/>
  <c r="AB268" i="1"/>
  <c r="AB269" i="1"/>
  <c r="AB267" i="1"/>
  <c r="AB266" i="1"/>
  <c r="AB265" i="1"/>
  <c r="AB264" i="1"/>
  <c r="AB263" i="1"/>
  <c r="AB262" i="1"/>
  <c r="AB261" i="1"/>
  <c r="AB260" i="1"/>
  <c r="AB259" i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7" i="1"/>
  <c r="AB198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5" i="1"/>
  <c r="AB156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  <c r="AB1053" i="1"/>
  <c r="AA1705" i="1"/>
  <c r="AA1704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689" i="1"/>
  <c r="AA1690" i="1"/>
  <c r="AA1691" i="1"/>
  <c r="AA1692" i="1"/>
  <c r="AA1688" i="1"/>
  <c r="AA1687" i="1"/>
  <c r="AA1686" i="1"/>
  <c r="AA1684" i="1"/>
  <c r="AA1685" i="1"/>
  <c r="AA1683" i="1"/>
  <c r="AA1680" i="1"/>
  <c r="AA1681" i="1"/>
  <c r="AA1682" i="1"/>
  <c r="AA1679" i="1"/>
  <c r="AA1678" i="1"/>
  <c r="AA1677" i="1"/>
  <c r="AA1675" i="1"/>
  <c r="AA1676" i="1"/>
  <c r="AA1674" i="1"/>
  <c r="AA1673" i="1"/>
  <c r="AA1672" i="1"/>
  <c r="AA1664" i="1"/>
  <c r="AA1665" i="1"/>
  <c r="AA1666" i="1"/>
  <c r="AA1667" i="1"/>
  <c r="AA1668" i="1"/>
  <c r="AA1669" i="1"/>
  <c r="AA1670" i="1"/>
  <c r="AA1671" i="1"/>
  <c r="AA1663" i="1"/>
  <c r="AA1662" i="1"/>
  <c r="AA1661" i="1"/>
  <c r="AA1660" i="1"/>
  <c r="AA1659" i="1"/>
  <c r="AA1658" i="1"/>
  <c r="AA1657" i="1"/>
  <c r="AA1656" i="1"/>
  <c r="AA1654" i="1"/>
  <c r="AA1655" i="1"/>
  <c r="AA1653" i="1"/>
  <c r="AA1652" i="1"/>
  <c r="AA1651" i="1"/>
  <c r="AA1650" i="1"/>
  <c r="AA1649" i="1"/>
  <c r="AA1647" i="1"/>
  <c r="AA1648" i="1"/>
  <c r="AA1646" i="1"/>
  <c r="AA1645" i="1"/>
  <c r="AA1644" i="1"/>
  <c r="AA1643" i="1"/>
  <c r="AA1642" i="1"/>
  <c r="AA1641" i="1"/>
  <c r="AA1639" i="1"/>
  <c r="AA1640" i="1"/>
  <c r="AA1635" i="1"/>
  <c r="AA1636" i="1"/>
  <c r="AA1637" i="1"/>
  <c r="AA1638" i="1"/>
  <c r="AA1634" i="1"/>
  <c r="AA1633" i="1"/>
  <c r="AA1632" i="1"/>
  <c r="AA1631" i="1"/>
  <c r="AA1630" i="1"/>
  <c r="AA1629" i="1"/>
  <c r="AA1628" i="1"/>
  <c r="AA1627" i="1"/>
  <c r="AA1626" i="1"/>
  <c r="AA1625" i="1"/>
  <c r="AA1624" i="1"/>
  <c r="AA1623" i="1"/>
  <c r="AA1622" i="1"/>
  <c r="AA1621" i="1"/>
  <c r="AA1620" i="1"/>
  <c r="AA1619" i="1"/>
  <c r="AA1618" i="1"/>
  <c r="AA1617" i="1"/>
  <c r="AA1616" i="1"/>
  <c r="AA1615" i="1"/>
  <c r="AA1614" i="1"/>
  <c r="AA1613" i="1"/>
  <c r="AA1612" i="1"/>
  <c r="AA1611" i="1"/>
  <c r="AA1610" i="1"/>
  <c r="AA1609" i="1"/>
  <c r="AA1608" i="1"/>
  <c r="AA1607" i="1"/>
  <c r="AA1606" i="1"/>
  <c r="AA1605" i="1"/>
  <c r="AA1604" i="1"/>
  <c r="AA1603" i="1"/>
  <c r="AA1602" i="1"/>
  <c r="AA1601" i="1"/>
  <c r="AA1600" i="1"/>
  <c r="AA1599" i="1"/>
  <c r="AA1598" i="1"/>
  <c r="AA1597" i="1"/>
  <c r="AA1596" i="1"/>
  <c r="AA1595" i="1"/>
  <c r="AA1594" i="1"/>
  <c r="AA1593" i="1"/>
  <c r="AA1592" i="1"/>
  <c r="AA1591" i="1"/>
  <c r="AA1590" i="1"/>
  <c r="AA1589" i="1"/>
  <c r="AA1588" i="1"/>
  <c r="AA1587" i="1"/>
  <c r="AA1586" i="1"/>
  <c r="AA1585" i="1"/>
  <c r="AA1584" i="1"/>
  <c r="AA1583" i="1"/>
  <c r="AA1582" i="1"/>
  <c r="AA1581" i="1"/>
  <c r="AA1580" i="1"/>
  <c r="AA1579" i="1"/>
  <c r="AA1578" i="1"/>
  <c r="AA1577" i="1"/>
  <c r="AA1576" i="1"/>
  <c r="AA1575" i="1"/>
  <c r="AA1574" i="1"/>
  <c r="AA1573" i="1"/>
  <c r="AA1572" i="1"/>
  <c r="AA1571" i="1"/>
  <c r="AA1570" i="1"/>
  <c r="AA1569" i="1"/>
  <c r="AA1568" i="1"/>
  <c r="AA1567" i="1"/>
  <c r="AA1566" i="1"/>
  <c r="AA1565" i="1"/>
  <c r="AA1564" i="1"/>
  <c r="AA1563" i="1"/>
  <c r="AA1562" i="1"/>
  <c r="AA1561" i="1"/>
  <c r="AA1560" i="1"/>
  <c r="AA1559" i="1"/>
  <c r="AA1558" i="1"/>
  <c r="AA1557" i="1"/>
  <c r="AA1556" i="1"/>
  <c r="AA1555" i="1"/>
  <c r="AA1554" i="1"/>
  <c r="AA1553" i="1"/>
  <c r="AA1552" i="1"/>
  <c r="AA1551" i="1"/>
  <c r="AA1550" i="1"/>
  <c r="AA1549" i="1"/>
  <c r="AA1548" i="1"/>
  <c r="AA1547" i="1"/>
  <c r="AA1546" i="1"/>
  <c r="AA1545" i="1"/>
  <c r="AA1544" i="1"/>
  <c r="AA1543" i="1"/>
  <c r="AA1542" i="1"/>
  <c r="AA1541" i="1"/>
  <c r="AA1540" i="1"/>
  <c r="AA1539" i="1"/>
  <c r="AA1538" i="1"/>
  <c r="AA1537" i="1"/>
  <c r="AA1536" i="1"/>
  <c r="AA1535" i="1"/>
  <c r="AA1534" i="1"/>
  <c r="AA1532" i="1"/>
  <c r="AA1533" i="1"/>
  <c r="AA1530" i="1"/>
  <c r="AA1531" i="1"/>
  <c r="AA1529" i="1"/>
  <c r="AA1528" i="1"/>
  <c r="AA1527" i="1"/>
  <c r="AA1526" i="1"/>
  <c r="AA1525" i="1"/>
  <c r="AA1524" i="1"/>
  <c r="AA1523" i="1"/>
  <c r="AA1522" i="1"/>
  <c r="AA1521" i="1"/>
  <c r="AA1519" i="1"/>
  <c r="AA1520" i="1"/>
  <c r="AA1518" i="1"/>
  <c r="AA1517" i="1"/>
  <c r="AA1516" i="1"/>
  <c r="AA1515" i="1"/>
  <c r="AA1514" i="1"/>
  <c r="AA1513" i="1"/>
  <c r="AA1512" i="1"/>
  <c r="AA1511" i="1"/>
  <c r="AA1510" i="1"/>
  <c r="AA1508" i="1"/>
  <c r="AA1509" i="1"/>
  <c r="AA1507" i="1"/>
  <c r="AA1506" i="1"/>
  <c r="AA1505" i="1"/>
  <c r="AA1504" i="1"/>
  <c r="AA1503" i="1"/>
  <c r="AA1502" i="1"/>
  <c r="AA1501" i="1"/>
  <c r="AA1500" i="1"/>
  <c r="AA1499" i="1"/>
  <c r="AA1498" i="1"/>
  <c r="AA1497" i="1"/>
  <c r="AA1496" i="1"/>
  <c r="AA1495" i="1"/>
  <c r="AA1494" i="1"/>
  <c r="AA1493" i="1"/>
  <c r="AA1492" i="1"/>
  <c r="AA1491" i="1"/>
  <c r="AA1490" i="1"/>
  <c r="AA1489" i="1"/>
  <c r="AA1488" i="1"/>
  <c r="AA1487" i="1"/>
  <c r="AA1486" i="1"/>
  <c r="AA1485" i="1"/>
  <c r="AA1484" i="1"/>
  <c r="AA1483" i="1"/>
  <c r="AA1482" i="1"/>
  <c r="AA1481" i="1"/>
  <c r="AA1480" i="1"/>
  <c r="AA1479" i="1"/>
  <c r="AA1478" i="1"/>
  <c r="AA1477" i="1"/>
  <c r="AA1476" i="1"/>
  <c r="AA1475" i="1"/>
  <c r="AA1474" i="1"/>
  <c r="AA1473" i="1"/>
  <c r="AA1472" i="1"/>
  <c r="AA1471" i="1"/>
  <c r="AA1470" i="1"/>
  <c r="AA1469" i="1"/>
  <c r="AA1468" i="1"/>
  <c r="AA1467" i="1"/>
  <c r="AA1466" i="1"/>
  <c r="AA1465" i="1"/>
  <c r="AA1464" i="1"/>
  <c r="AA1463" i="1"/>
  <c r="AA1462" i="1"/>
  <c r="AA1461" i="1"/>
  <c r="AA1459" i="1"/>
  <c r="AA1460" i="1"/>
  <c r="AA1458" i="1"/>
  <c r="AA1457" i="1"/>
  <c r="AA1456" i="1"/>
  <c r="AA1455" i="1"/>
  <c r="AA1454" i="1"/>
  <c r="AA1453" i="1"/>
  <c r="AA1452" i="1"/>
  <c r="AA1451" i="1"/>
  <c r="AA1450" i="1"/>
  <c r="AA1449" i="1"/>
  <c r="AA1448" i="1"/>
  <c r="AA1447" i="1"/>
  <c r="AA1446" i="1"/>
  <c r="AA1445" i="1"/>
  <c r="AA1444" i="1"/>
  <c r="AA1443" i="1"/>
  <c r="AA1442" i="1"/>
  <c r="AA1441" i="1"/>
  <c r="AA1440" i="1"/>
  <c r="AA1439" i="1"/>
  <c r="AA1438" i="1"/>
  <c r="AA1437" i="1"/>
  <c r="AA1436" i="1"/>
  <c r="AA1434" i="1"/>
  <c r="AA1435" i="1"/>
  <c r="AA1433" i="1"/>
  <c r="AA1432" i="1"/>
  <c r="AA1431" i="1"/>
  <c r="AA1430" i="1"/>
  <c r="AA1429" i="1"/>
  <c r="AA1428" i="1"/>
  <c r="AA1427" i="1"/>
  <c r="AA1426" i="1"/>
  <c r="AA1425" i="1"/>
  <c r="AA1424" i="1"/>
  <c r="AA1423" i="1"/>
  <c r="AA1422" i="1"/>
  <c r="AA1421" i="1"/>
  <c r="AA1420" i="1"/>
  <c r="AA1419" i="1"/>
  <c r="AA1418" i="1"/>
  <c r="AA1417" i="1"/>
  <c r="AA1416" i="1"/>
  <c r="AA1415" i="1"/>
  <c r="AA1414" i="1"/>
  <c r="AA1411" i="1"/>
  <c r="AA1412" i="1"/>
  <c r="AA1413" i="1"/>
  <c r="AA1410" i="1"/>
  <c r="AA1409" i="1"/>
  <c r="AA1408" i="1"/>
  <c r="AA1406" i="1"/>
  <c r="AA1407" i="1"/>
  <c r="AA1405" i="1"/>
  <c r="AA1404" i="1"/>
  <c r="AA1402" i="1"/>
  <c r="AA1403" i="1"/>
  <c r="AA1401" i="1"/>
  <c r="AA1400" i="1"/>
  <c r="AA1399" i="1"/>
  <c r="AA1397" i="1"/>
  <c r="AA1398" i="1"/>
  <c r="AA1396" i="1"/>
  <c r="AA1395" i="1"/>
  <c r="AA1394" i="1"/>
  <c r="AA1393" i="1"/>
  <c r="AA1392" i="1"/>
  <c r="AA1391" i="1"/>
  <c r="AA1390" i="1"/>
  <c r="AA1389" i="1"/>
  <c r="AA1388" i="1"/>
  <c r="AA1387" i="1"/>
  <c r="AA1386" i="1"/>
  <c r="AA1385" i="1"/>
  <c r="AA1384" i="1"/>
  <c r="AA1383" i="1"/>
  <c r="AA1382" i="1"/>
  <c r="AA1381" i="1"/>
  <c r="AA1380" i="1"/>
  <c r="AA1379" i="1"/>
  <c r="AA1378" i="1"/>
  <c r="AA1377" i="1"/>
  <c r="AA1376" i="1"/>
  <c r="AA1375" i="1"/>
  <c r="AA1374" i="1"/>
  <c r="AA1373" i="1"/>
  <c r="AA1372" i="1"/>
  <c r="AA1371" i="1"/>
  <c r="AA1370" i="1"/>
  <c r="AA1369" i="1"/>
  <c r="AA1368" i="1"/>
  <c r="AA1367" i="1"/>
  <c r="AA1366" i="1"/>
  <c r="AA1365" i="1"/>
  <c r="AA1364" i="1"/>
  <c r="AA1363" i="1"/>
  <c r="AA1362" i="1"/>
  <c r="AA1361" i="1"/>
  <c r="AA1360" i="1"/>
  <c r="AA1359" i="1"/>
  <c r="AA1358" i="1"/>
  <c r="AA1357" i="1"/>
  <c r="AA1356" i="1"/>
  <c r="AA1354" i="1"/>
  <c r="AA1355" i="1"/>
  <c r="AA1353" i="1"/>
  <c r="AA1352" i="1"/>
  <c r="AA1351" i="1"/>
  <c r="AA1350" i="1"/>
  <c r="AA1349" i="1"/>
  <c r="AA1348" i="1"/>
  <c r="AA1347" i="1"/>
  <c r="AA1346" i="1"/>
  <c r="AA1345" i="1"/>
  <c r="AA1344" i="1"/>
  <c r="AA1343" i="1"/>
  <c r="AA1342" i="1"/>
  <c r="AA1341" i="1"/>
  <c r="AA1340" i="1"/>
  <c r="AA1339" i="1"/>
  <c r="AA1338" i="1"/>
  <c r="AA1337" i="1"/>
  <c r="AA1336" i="1"/>
  <c r="AA1335" i="1"/>
  <c r="AA1334" i="1"/>
  <c r="AA1333" i="1"/>
  <c r="AA1332" i="1"/>
  <c r="AA1331" i="1"/>
  <c r="AA1330" i="1"/>
  <c r="AA1329" i="1"/>
  <c r="AA1327" i="1"/>
  <c r="AA1328" i="1"/>
  <c r="AA1326" i="1"/>
  <c r="AA1325" i="1"/>
  <c r="AA1324" i="1"/>
  <c r="AA1323" i="1"/>
  <c r="AA1322" i="1"/>
  <c r="AA1321" i="1"/>
  <c r="AA1320" i="1"/>
  <c r="AA1319" i="1"/>
  <c r="AA1318" i="1"/>
  <c r="AA1317" i="1"/>
  <c r="AA1316" i="1"/>
  <c r="AA1315" i="1"/>
  <c r="AA1314" i="1"/>
  <c r="AA1313" i="1"/>
  <c r="AA1311" i="1"/>
  <c r="AA1310" i="1"/>
  <c r="AA1307" i="1"/>
  <c r="AA1308" i="1"/>
  <c r="AA1309" i="1"/>
  <c r="AA1306" i="1"/>
  <c r="AA1305" i="1"/>
  <c r="AA1303" i="1"/>
  <c r="AA1304" i="1"/>
  <c r="AA1296" i="1"/>
  <c r="AA1297" i="1"/>
  <c r="AA1298" i="1"/>
  <c r="AA1299" i="1"/>
  <c r="AA1300" i="1"/>
  <c r="AA1301" i="1"/>
  <c r="AA1302" i="1"/>
  <c r="AA1295" i="1"/>
  <c r="AA1293" i="1"/>
  <c r="AA1294" i="1"/>
  <c r="AA1291" i="1"/>
  <c r="AA1292" i="1"/>
  <c r="AA1290" i="1"/>
  <c r="AA1289" i="1"/>
  <c r="AA1288" i="1"/>
  <c r="AA1287" i="1"/>
  <c r="AA1286" i="1"/>
  <c r="AA1285" i="1"/>
  <c r="AA1284" i="1"/>
  <c r="AA1283" i="1"/>
  <c r="AA1282" i="1"/>
  <c r="AA1281" i="1"/>
  <c r="AA1280" i="1"/>
  <c r="AA1279" i="1"/>
  <c r="AA1278" i="1"/>
  <c r="AA1277" i="1"/>
  <c r="AA1276" i="1"/>
  <c r="AA1275" i="1"/>
  <c r="AA1274" i="1"/>
  <c r="AA1273" i="1"/>
  <c r="AA1272" i="1"/>
  <c r="AA1271" i="1"/>
  <c r="AA1270" i="1"/>
  <c r="AA1269" i="1"/>
  <c r="AA1268" i="1"/>
  <c r="AA1267" i="1"/>
  <c r="AA1265" i="1"/>
  <c r="AA1266" i="1"/>
  <c r="AA1264" i="1"/>
  <c r="AA1263" i="1"/>
  <c r="AA1262" i="1"/>
  <c r="AA1261" i="1"/>
  <c r="AA1260" i="1"/>
  <c r="AA1259" i="1"/>
  <c r="AA1257" i="1"/>
  <c r="AA1258" i="1"/>
  <c r="AA1256" i="1"/>
  <c r="AA1255" i="1"/>
  <c r="AA1254" i="1"/>
  <c r="AA1253" i="1"/>
  <c r="AA1252" i="1"/>
  <c r="AA1251" i="1"/>
  <c r="AA1250" i="1"/>
  <c r="AA1249" i="1"/>
  <c r="AA1248" i="1"/>
  <c r="AA1247" i="1"/>
  <c r="AA1246" i="1"/>
  <c r="AA1245" i="1"/>
  <c r="AA1244" i="1"/>
  <c r="AA1243" i="1"/>
  <c r="AA1242" i="1"/>
  <c r="AA1241" i="1"/>
  <c r="AA1240" i="1"/>
  <c r="AA1239" i="1"/>
  <c r="AA1238" i="1"/>
  <c r="AA1237" i="1"/>
  <c r="AA1236" i="1"/>
  <c r="AA1235" i="1"/>
  <c r="AA1234" i="1"/>
  <c r="AA1233" i="1"/>
  <c r="AA1232" i="1"/>
  <c r="AA1231" i="1"/>
  <c r="AA1230" i="1"/>
  <c r="AA1229" i="1"/>
  <c r="AA1228" i="1"/>
  <c r="AA1227" i="1"/>
  <c r="AA1226" i="1"/>
  <c r="AA1225" i="1"/>
  <c r="AA1224" i="1"/>
  <c r="AA1223" i="1"/>
  <c r="AA1222" i="1"/>
  <c r="AA1221" i="1"/>
  <c r="AA1220" i="1"/>
  <c r="AA1219" i="1"/>
  <c r="AA1218" i="1"/>
  <c r="AA1216" i="1"/>
  <c r="AA1217" i="1"/>
  <c r="AA1215" i="1"/>
  <c r="AA1214" i="1"/>
  <c r="AA1213" i="1"/>
  <c r="AA1212" i="1"/>
  <c r="AA1211" i="1"/>
  <c r="AA1210" i="1"/>
  <c r="AA1209" i="1"/>
  <c r="AA1208" i="1"/>
  <c r="AA1207" i="1"/>
  <c r="AA1206" i="1"/>
  <c r="AA1205" i="1"/>
  <c r="AA1204" i="1"/>
  <c r="AA1203" i="1"/>
  <c r="AA1202" i="1"/>
  <c r="AA1201" i="1"/>
  <c r="AA1200" i="1"/>
  <c r="AA1199" i="1"/>
  <c r="AA1198" i="1"/>
  <c r="AA1197" i="1"/>
  <c r="AA1196" i="1"/>
  <c r="AA1195" i="1"/>
  <c r="AA1194" i="1"/>
  <c r="AA1193" i="1"/>
  <c r="AA1192" i="1"/>
  <c r="AA1191" i="1"/>
  <c r="AA1190" i="1"/>
  <c r="AA1189" i="1"/>
  <c r="AA1188" i="1"/>
  <c r="AA1187" i="1"/>
  <c r="AA1186" i="1"/>
  <c r="AA1185" i="1"/>
  <c r="AA1184" i="1"/>
  <c r="AA1183" i="1"/>
  <c r="AA1182" i="1"/>
  <c r="AA1181" i="1"/>
  <c r="AA1180" i="1"/>
  <c r="AA1179" i="1"/>
  <c r="AA1178" i="1"/>
  <c r="AA1177" i="1"/>
  <c r="AA1176" i="1"/>
  <c r="AA1175" i="1"/>
  <c r="AA1174" i="1"/>
  <c r="AA1172" i="1"/>
  <c r="AA1173" i="1"/>
  <c r="AA1171" i="1"/>
  <c r="AA1170" i="1"/>
  <c r="AA1169" i="1"/>
  <c r="AA1167" i="1"/>
  <c r="AA1168" i="1"/>
  <c r="AA1166" i="1"/>
  <c r="AA1165" i="1"/>
  <c r="AA1164" i="1"/>
  <c r="AA1163" i="1"/>
  <c r="AA1162" i="1"/>
  <c r="AA1161" i="1"/>
  <c r="AA1160" i="1"/>
  <c r="AA1159" i="1"/>
  <c r="AA1158" i="1"/>
  <c r="AA1157" i="1"/>
  <c r="AA1156" i="1"/>
  <c r="AA1155" i="1"/>
  <c r="AA1154" i="1"/>
  <c r="AA1153" i="1"/>
  <c r="AA1152" i="1"/>
  <c r="AA1151" i="1"/>
  <c r="AA1150" i="1"/>
  <c r="AA1148" i="1"/>
  <c r="AA1149" i="1"/>
  <c r="AA1147" i="1"/>
  <c r="AA1146" i="1"/>
  <c r="AA1145" i="1"/>
  <c r="AA1144" i="1"/>
  <c r="AA1143" i="1"/>
  <c r="AA1142" i="1"/>
  <c r="AA1141" i="1"/>
  <c r="AA1140" i="1"/>
  <c r="AA1139" i="1"/>
  <c r="AA1138" i="1"/>
  <c r="AA1137" i="1"/>
  <c r="AA1134" i="1"/>
  <c r="AA1135" i="1"/>
  <c r="AA1136" i="1"/>
  <c r="AA1133" i="1"/>
  <c r="AA1132" i="1"/>
  <c r="AA1131" i="1"/>
  <c r="AA1130" i="1"/>
  <c r="AA1129" i="1"/>
  <c r="AA1128" i="1"/>
  <c r="AA1127" i="1"/>
  <c r="AA1126" i="1"/>
  <c r="AA1125" i="1"/>
  <c r="AA1124" i="1"/>
  <c r="AA1123" i="1"/>
  <c r="AA1122" i="1"/>
  <c r="AA1121" i="1"/>
  <c r="AA1120" i="1"/>
  <c r="AA1117" i="1"/>
  <c r="AA1118" i="1"/>
  <c r="AA1119" i="1"/>
  <c r="AA1116" i="1"/>
  <c r="AA1114" i="1"/>
  <c r="AA1115" i="1"/>
  <c r="AA1112" i="1"/>
  <c r="AA1113" i="1"/>
  <c r="AA1111" i="1"/>
  <c r="AA1110" i="1"/>
  <c r="AA1109" i="1"/>
  <c r="AA1108" i="1"/>
  <c r="AA1107" i="1"/>
  <c r="AA1106" i="1"/>
  <c r="AA1105" i="1"/>
  <c r="AA1104" i="1"/>
  <c r="AA1103" i="1"/>
  <c r="AA1102" i="1"/>
  <c r="AA1101" i="1"/>
  <c r="AA1100" i="1"/>
  <c r="AA1099" i="1"/>
  <c r="AA1098" i="1"/>
  <c r="AA1097" i="1"/>
  <c r="AA1096" i="1"/>
  <c r="AA1095" i="1"/>
  <c r="AA1094" i="1"/>
  <c r="AA1093" i="1"/>
  <c r="AA1092" i="1"/>
  <c r="AA1091" i="1"/>
  <c r="AA1090" i="1"/>
  <c r="AA1089" i="1"/>
  <c r="AA1088" i="1"/>
  <c r="AA1087" i="1"/>
  <c r="AA1086" i="1"/>
  <c r="AA1085" i="1"/>
  <c r="AA1084" i="1"/>
  <c r="AA1083" i="1"/>
  <c r="AA1082" i="1"/>
  <c r="AA1081" i="1"/>
  <c r="AA1080" i="1"/>
  <c r="AA1079" i="1"/>
  <c r="AA1078" i="1"/>
  <c r="AA1077" i="1"/>
  <c r="AA1076" i="1"/>
  <c r="AA1075" i="1"/>
  <c r="AA1074" i="1"/>
  <c r="AA1073" i="1"/>
  <c r="AA1072" i="1"/>
  <c r="AA1071" i="1"/>
  <c r="AA1070" i="1"/>
  <c r="AA1069" i="1"/>
  <c r="AA1068" i="1"/>
  <c r="AA1067" i="1"/>
  <c r="AA1065" i="1"/>
  <c r="AA1066" i="1"/>
  <c r="AA1064" i="1"/>
  <c r="AA1063" i="1"/>
  <c r="AA1062" i="1"/>
  <c r="AA1061" i="1"/>
  <c r="AA1060" i="1"/>
  <c r="AA1059" i="1"/>
  <c r="AA1057" i="1"/>
  <c r="AA1058" i="1"/>
  <c r="AA1056" i="1"/>
  <c r="AA1055" i="1"/>
  <c r="AA1054" i="1"/>
  <c r="AA1052" i="1"/>
  <c r="AA1051" i="1"/>
  <c r="AA1050" i="1"/>
  <c r="AA1049" i="1"/>
  <c r="AA1048" i="1"/>
  <c r="AA1047" i="1"/>
  <c r="AA1046" i="1"/>
  <c r="AA1045" i="1"/>
  <c r="AA1044" i="1"/>
  <c r="AA1043" i="1"/>
  <c r="AA1041" i="1"/>
  <c r="AA1042" i="1"/>
  <c r="AA1040" i="1"/>
  <c r="AA1039" i="1"/>
  <c r="AA1038" i="1"/>
  <c r="AA1037" i="1"/>
  <c r="AA1036" i="1"/>
  <c r="AA1035" i="1"/>
  <c r="AA1034" i="1"/>
  <c r="AA1033" i="1"/>
  <c r="AA1032" i="1"/>
  <c r="AA1031" i="1"/>
  <c r="AA1030" i="1"/>
  <c r="AA1029" i="1"/>
  <c r="AA1028" i="1"/>
  <c r="AA1027" i="1"/>
  <c r="AA1026" i="1"/>
  <c r="AA1025" i="1"/>
  <c r="AA1024" i="1"/>
  <c r="AA1022" i="1"/>
  <c r="AA1023" i="1"/>
  <c r="AA1021" i="1"/>
  <c r="AA1020" i="1"/>
  <c r="AA1019" i="1"/>
  <c r="AA1018" i="1"/>
  <c r="AA1017" i="1"/>
  <c r="AA1016" i="1"/>
  <c r="AA1015" i="1"/>
  <c r="AA1014" i="1"/>
  <c r="AA1013" i="1"/>
  <c r="AA1012" i="1"/>
  <c r="AA1011" i="1"/>
  <c r="AA1010" i="1"/>
  <c r="AA1009" i="1"/>
  <c r="AA1008" i="1"/>
  <c r="AA1007" i="1"/>
  <c r="AA1006" i="1"/>
  <c r="AA1005" i="1"/>
  <c r="AA1004" i="1"/>
  <c r="AA1003" i="1"/>
  <c r="AA1002" i="1"/>
  <c r="AA1001" i="1"/>
  <c r="AA1000" i="1"/>
  <c r="AA999" i="1"/>
  <c r="AA998" i="1"/>
  <c r="AA997" i="1"/>
  <c r="AA996" i="1"/>
  <c r="AA995" i="1"/>
  <c r="AA994" i="1"/>
  <c r="AA993" i="1"/>
  <c r="AA992" i="1"/>
  <c r="AA991" i="1"/>
  <c r="AA990" i="1"/>
  <c r="AA989" i="1"/>
  <c r="AA988" i="1"/>
  <c r="AA987" i="1"/>
  <c r="AA986" i="1"/>
  <c r="AA985" i="1"/>
  <c r="AA984" i="1"/>
  <c r="AA983" i="1"/>
  <c r="AA982" i="1"/>
  <c r="AA981" i="1"/>
  <c r="AA980" i="1"/>
  <c r="AA979" i="1"/>
  <c r="AA978" i="1"/>
  <c r="AA976" i="1"/>
  <c r="AA977" i="1"/>
  <c r="AA975" i="1"/>
  <c r="AA974" i="1"/>
  <c r="AA972" i="1"/>
  <c r="AA973" i="1"/>
  <c r="AA971" i="1"/>
  <c r="AA970" i="1"/>
  <c r="AA969" i="1"/>
  <c r="AA968" i="1"/>
  <c r="AA967" i="1"/>
  <c r="AA966" i="1"/>
  <c r="AA965" i="1"/>
  <c r="AA964" i="1"/>
  <c r="AA963" i="1"/>
  <c r="AA960" i="1"/>
  <c r="AA961" i="1"/>
  <c r="AA962" i="1"/>
  <c r="AA959" i="1"/>
  <c r="AA956" i="1"/>
  <c r="AA957" i="1"/>
  <c r="AA958" i="1"/>
  <c r="AA955" i="1"/>
  <c r="AA953" i="1"/>
  <c r="AA954" i="1"/>
  <c r="AA952" i="1"/>
  <c r="AA951" i="1"/>
  <c r="AA949" i="1"/>
  <c r="AA950" i="1"/>
  <c r="AA948" i="1"/>
  <c r="AA947" i="1"/>
  <c r="AA946" i="1"/>
  <c r="AA945" i="1"/>
  <c r="AA943" i="1"/>
  <c r="AA944" i="1"/>
  <c r="AA942" i="1"/>
  <c r="AA941" i="1"/>
  <c r="AA939" i="1"/>
  <c r="AA940" i="1"/>
  <c r="AA937" i="1"/>
  <c r="AA938" i="1"/>
  <c r="AA935" i="1"/>
  <c r="AA936" i="1"/>
  <c r="AA934" i="1"/>
  <c r="AA933" i="1"/>
  <c r="AA931" i="1"/>
  <c r="AA932" i="1"/>
  <c r="AA929" i="1"/>
  <c r="AA930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89" i="1"/>
  <c r="AA890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0" i="1"/>
  <c r="AA871" i="1"/>
  <c r="AA869" i="1"/>
  <c r="AA868" i="1"/>
  <c r="AA865" i="1"/>
  <c r="AA866" i="1"/>
  <c r="AA867" i="1"/>
  <c r="AA864" i="1"/>
  <c r="AA863" i="1"/>
  <c r="AA862" i="1"/>
  <c r="AA861" i="1"/>
  <c r="AA860" i="1"/>
  <c r="AA859" i="1"/>
  <c r="AA858" i="1"/>
  <c r="AA857" i="1"/>
  <c r="AA855" i="1"/>
  <c r="AA856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0" i="1"/>
  <c r="AA811" i="1"/>
  <c r="AA809" i="1"/>
  <c r="AA807" i="1"/>
  <c r="AA808" i="1"/>
  <c r="AA806" i="1"/>
  <c r="AA805" i="1"/>
  <c r="AA803" i="1"/>
  <c r="AA804" i="1"/>
  <c r="AA802" i="1"/>
  <c r="AA800" i="1"/>
  <c r="AA801" i="1"/>
  <c r="AA799" i="1"/>
  <c r="AA798" i="1"/>
  <c r="AA796" i="1"/>
  <c r="AA797" i="1"/>
  <c r="AA795" i="1"/>
  <c r="AA794" i="1"/>
  <c r="AA793" i="1"/>
  <c r="AA792" i="1"/>
  <c r="AA791" i="1"/>
  <c r="AA790" i="1"/>
  <c r="AA789" i="1"/>
  <c r="AA788" i="1"/>
  <c r="AA787" i="1"/>
  <c r="AA786" i="1"/>
  <c r="AA785" i="1"/>
  <c r="AA784" i="1"/>
  <c r="AA783" i="1"/>
  <c r="AA782" i="1"/>
  <c r="AA781" i="1"/>
  <c r="AA780" i="1"/>
  <c r="AA778" i="1"/>
  <c r="AA779" i="1"/>
  <c r="AA776" i="1"/>
  <c r="AA777" i="1"/>
  <c r="AA775" i="1"/>
  <c r="AA774" i="1"/>
  <c r="AA773" i="1"/>
  <c r="AA772" i="1"/>
  <c r="AA771" i="1"/>
  <c r="AA769" i="1"/>
  <c r="AA770" i="1"/>
  <c r="AA767" i="1"/>
  <c r="AA768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0" i="1"/>
  <c r="AA751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1" i="1"/>
  <c r="AA722" i="1"/>
  <c r="AA720" i="1"/>
  <c r="AA719" i="1"/>
  <c r="AA718" i="1"/>
  <c r="AA717" i="1"/>
  <c r="AA716" i="1"/>
  <c r="AA715" i="1"/>
  <c r="AA714" i="1"/>
  <c r="AA712" i="1"/>
  <c r="AA713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4" i="1"/>
  <c r="AA675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0" i="1"/>
  <c r="AA651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8" i="1"/>
  <c r="AA619" i="1"/>
  <c r="AA617" i="1"/>
  <c r="AA616" i="1"/>
  <c r="AA615" i="1"/>
  <c r="AA614" i="1"/>
  <c r="AA613" i="1"/>
  <c r="AA612" i="1"/>
  <c r="AA611" i="1"/>
  <c r="AA610" i="1"/>
  <c r="AA609" i="1"/>
  <c r="AA607" i="1"/>
  <c r="AA608" i="1"/>
  <c r="AA606" i="1"/>
  <c r="AA605" i="1"/>
  <c r="AA604" i="1"/>
  <c r="AA603" i="1"/>
  <c r="AA602" i="1"/>
  <c r="AA601" i="1"/>
  <c r="AA600" i="1"/>
  <c r="AA599" i="1"/>
  <c r="AA596" i="1"/>
  <c r="AA597" i="1"/>
  <c r="AA598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8" i="1"/>
  <c r="AA579" i="1"/>
  <c r="AA577" i="1"/>
  <c r="AA576" i="1"/>
  <c r="AA575" i="1"/>
  <c r="AA574" i="1"/>
  <c r="AA573" i="1"/>
  <c r="AA572" i="1"/>
  <c r="AA571" i="1"/>
  <c r="AA570" i="1"/>
  <c r="AA569" i="1"/>
  <c r="AA568" i="1"/>
  <c r="AA567" i="1"/>
  <c r="AA565" i="1"/>
  <c r="AA566" i="1"/>
  <c r="AA564" i="1"/>
  <c r="AA563" i="1"/>
  <c r="AA562" i="1"/>
  <c r="AA561" i="1"/>
  <c r="AA560" i="1"/>
  <c r="AA559" i="1"/>
  <c r="AA558" i="1"/>
  <c r="AA557" i="1"/>
  <c r="AA555" i="1"/>
  <c r="AA556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0" i="1"/>
  <c r="AA511" i="1"/>
  <c r="AA509" i="1"/>
  <c r="AA508" i="1"/>
  <c r="AA507" i="1"/>
  <c r="AA506" i="1"/>
  <c r="AA505" i="1"/>
  <c r="AA504" i="1"/>
  <c r="AA503" i="1"/>
  <c r="AA502" i="1"/>
  <c r="AA500" i="1"/>
  <c r="AA501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6" i="1"/>
  <c r="AA477" i="1"/>
  <c r="AA475" i="1"/>
  <c r="AA473" i="1"/>
  <c r="AA474" i="1"/>
  <c r="AA472" i="1"/>
  <c r="AA471" i="1"/>
  <c r="AA470" i="1"/>
  <c r="AA468" i="1"/>
  <c r="AA469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7" i="1"/>
  <c r="AA418" i="1"/>
  <c r="AA416" i="1"/>
  <c r="AA415" i="1"/>
  <c r="AA414" i="1"/>
  <c r="AA413" i="1"/>
  <c r="AA412" i="1"/>
  <c r="AA410" i="1"/>
  <c r="AA411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7" i="1"/>
  <c r="AA388" i="1"/>
  <c r="AA386" i="1"/>
  <c r="AA385" i="1"/>
  <c r="AA384" i="1"/>
  <c r="AA383" i="1"/>
  <c r="AA382" i="1"/>
  <c r="AA381" i="1"/>
  <c r="AA380" i="1"/>
  <c r="AA379" i="1"/>
  <c r="AA378" i="1"/>
  <c r="AA376" i="1"/>
  <c r="AA377" i="1"/>
  <c r="AA375" i="1"/>
  <c r="AA374" i="1"/>
  <c r="AA372" i="1"/>
  <c r="AA373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0" i="1"/>
  <c r="AA351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8" i="1"/>
  <c r="AA329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8" i="1"/>
  <c r="AA309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2" i="1"/>
  <c r="AA293" i="1"/>
  <c r="AA291" i="1"/>
  <c r="AA290" i="1"/>
  <c r="AA289" i="1"/>
  <c r="AA288" i="1"/>
  <c r="AA287" i="1"/>
  <c r="AA286" i="1"/>
  <c r="AA285" i="1"/>
  <c r="AA284" i="1"/>
  <c r="AA283" i="1"/>
  <c r="AA281" i="1"/>
  <c r="AA282" i="1"/>
  <c r="AA280" i="1"/>
  <c r="AA279" i="1"/>
  <c r="AA278" i="1"/>
  <c r="AA277" i="1"/>
  <c r="AA276" i="1"/>
  <c r="AA275" i="1"/>
  <c r="AA274" i="1"/>
  <c r="AA273" i="1"/>
  <c r="AA272" i="1"/>
  <c r="AA271" i="1"/>
  <c r="AA270" i="1"/>
  <c r="AA268" i="1"/>
  <c r="AA269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7" i="1"/>
  <c r="AA198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5" i="1"/>
  <c r="AA156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A2" i="1"/>
  <c r="AA1053" i="1"/>
  <c r="AA1706" i="1"/>
  <c r="Z1705" i="1"/>
  <c r="Z1704" i="1"/>
  <c r="Z1693" i="1"/>
  <c r="Z1694" i="1"/>
  <c r="Z1695" i="1"/>
  <c r="Z1696" i="1"/>
  <c r="Z1697" i="1"/>
  <c r="Z1698" i="1"/>
  <c r="Z1699" i="1"/>
  <c r="Z1700" i="1"/>
  <c r="Z1701" i="1"/>
  <c r="Z1702" i="1"/>
  <c r="Z1703" i="1"/>
  <c r="Z1689" i="1"/>
  <c r="Z1690" i="1"/>
  <c r="Z1691" i="1"/>
  <c r="Z1692" i="1"/>
  <c r="Z1688" i="1"/>
  <c r="Z1687" i="1"/>
  <c r="Z1686" i="1"/>
  <c r="Z1684" i="1"/>
  <c r="Z1685" i="1"/>
  <c r="Z1683" i="1"/>
  <c r="Z1680" i="1"/>
  <c r="Z1681" i="1"/>
  <c r="Z1682" i="1"/>
  <c r="Z1679" i="1"/>
  <c r="Z1678" i="1"/>
  <c r="Z1677" i="1"/>
  <c r="Z1675" i="1"/>
  <c r="Z1676" i="1"/>
  <c r="Z1674" i="1"/>
  <c r="Z1673" i="1"/>
  <c r="Z1672" i="1"/>
  <c r="Z1664" i="1"/>
  <c r="Z1665" i="1"/>
  <c r="Z1666" i="1"/>
  <c r="Z1667" i="1"/>
  <c r="Z1668" i="1"/>
  <c r="Z1669" i="1"/>
  <c r="Z1670" i="1"/>
  <c r="Z1671" i="1"/>
  <c r="Z1663" i="1"/>
  <c r="Z1662" i="1"/>
  <c r="Z1661" i="1"/>
  <c r="Z1660" i="1"/>
  <c r="Z1659" i="1"/>
  <c r="Z1658" i="1"/>
  <c r="Z1657" i="1"/>
  <c r="Z1656" i="1"/>
  <c r="Z1654" i="1"/>
  <c r="Z1655" i="1"/>
  <c r="Z1653" i="1"/>
  <c r="Z1652" i="1"/>
  <c r="Z1651" i="1"/>
  <c r="Z1650" i="1"/>
  <c r="Z1649" i="1"/>
  <c r="Z1647" i="1"/>
  <c r="Z1648" i="1"/>
  <c r="Z1646" i="1"/>
  <c r="Z1645" i="1"/>
  <c r="Z1644" i="1"/>
  <c r="Z1643" i="1"/>
  <c r="Z1642" i="1"/>
  <c r="Z1641" i="1"/>
  <c r="Z1639" i="1"/>
  <c r="Z1640" i="1"/>
  <c r="Z1635" i="1"/>
  <c r="Z1636" i="1"/>
  <c r="Z1637" i="1"/>
  <c r="Z1638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2" i="1"/>
  <c r="Z1533" i="1"/>
  <c r="Z1530" i="1"/>
  <c r="Z1531" i="1"/>
  <c r="Z1529" i="1"/>
  <c r="Z1528" i="1"/>
  <c r="Z1527" i="1"/>
  <c r="Z1526" i="1"/>
  <c r="Z1525" i="1"/>
  <c r="Z1524" i="1"/>
  <c r="Z1523" i="1"/>
  <c r="Z1522" i="1"/>
  <c r="Z1521" i="1"/>
  <c r="Z1519" i="1"/>
  <c r="Z1520" i="1"/>
  <c r="Z1518" i="1"/>
  <c r="Z1517" i="1"/>
  <c r="Z1516" i="1"/>
  <c r="Z1515" i="1"/>
  <c r="Z1514" i="1"/>
  <c r="Z1513" i="1"/>
  <c r="Z1512" i="1"/>
  <c r="Z1511" i="1"/>
  <c r="Z1510" i="1"/>
  <c r="Z1508" i="1"/>
  <c r="Z1509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59" i="1"/>
  <c r="Z1460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4" i="1"/>
  <c r="Z1435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1" i="1"/>
  <c r="Z1412" i="1"/>
  <c r="Z1413" i="1"/>
  <c r="Z1410" i="1"/>
  <c r="Z1409" i="1"/>
  <c r="Z1408" i="1"/>
  <c r="Z1406" i="1"/>
  <c r="Z1407" i="1"/>
  <c r="Z1405" i="1"/>
  <c r="Z1404" i="1"/>
  <c r="Z1402" i="1"/>
  <c r="Z1403" i="1"/>
  <c r="Z1401" i="1"/>
  <c r="Z1400" i="1"/>
  <c r="Z1399" i="1"/>
  <c r="Z1397" i="1"/>
  <c r="Z1398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4" i="1"/>
  <c r="Z1355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7" i="1"/>
  <c r="Z1328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1" i="1"/>
  <c r="Z1310" i="1"/>
  <c r="Z1307" i="1"/>
  <c r="Z1308" i="1"/>
  <c r="Z1309" i="1"/>
  <c r="Z1306" i="1"/>
  <c r="Z1305" i="1"/>
  <c r="Z1303" i="1"/>
  <c r="Z1304" i="1"/>
  <c r="Z1296" i="1"/>
  <c r="Z1297" i="1"/>
  <c r="Z1298" i="1"/>
  <c r="Z1299" i="1"/>
  <c r="Z1300" i="1"/>
  <c r="Z1301" i="1"/>
  <c r="Z1302" i="1"/>
  <c r="Z1295" i="1"/>
  <c r="Z1293" i="1"/>
  <c r="Z1294" i="1"/>
  <c r="Z1291" i="1"/>
  <c r="Z1292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5" i="1"/>
  <c r="Z1266" i="1"/>
  <c r="Z1264" i="1"/>
  <c r="Z1263" i="1"/>
  <c r="Z1262" i="1"/>
  <c r="Z1261" i="1"/>
  <c r="Z1260" i="1"/>
  <c r="Z1259" i="1"/>
  <c r="Z1257" i="1"/>
  <c r="Z1258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6" i="1"/>
  <c r="Z1217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2" i="1"/>
  <c r="Z1173" i="1"/>
  <c r="Z1171" i="1"/>
  <c r="Z1170" i="1"/>
  <c r="Z1169" i="1"/>
  <c r="Z1167" i="1"/>
  <c r="Z1168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8" i="1"/>
  <c r="Z1149" i="1"/>
  <c r="Z1147" i="1"/>
  <c r="Z1146" i="1"/>
  <c r="Z1145" i="1"/>
  <c r="Z1144" i="1"/>
  <c r="Z1143" i="1"/>
  <c r="Z1142" i="1"/>
  <c r="Z1141" i="1"/>
  <c r="Z1140" i="1"/>
  <c r="Z1139" i="1"/>
  <c r="Z1138" i="1"/>
  <c r="Z1137" i="1"/>
  <c r="Z1134" i="1"/>
  <c r="Z1135" i="1"/>
  <c r="Z1136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7" i="1"/>
  <c r="Z1118" i="1"/>
  <c r="Z1119" i="1"/>
  <c r="Z1116" i="1"/>
  <c r="Z1114" i="1"/>
  <c r="Z1115" i="1"/>
  <c r="Z1112" i="1"/>
  <c r="Z1113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5" i="1"/>
  <c r="Z1066" i="1"/>
  <c r="Z1064" i="1"/>
  <c r="Z1063" i="1"/>
  <c r="Z1062" i="1"/>
  <c r="Z1061" i="1"/>
  <c r="Z1060" i="1"/>
  <c r="Z1059" i="1"/>
  <c r="Z1057" i="1"/>
  <c r="Z1058" i="1"/>
  <c r="Z1056" i="1"/>
  <c r="Z1055" i="1"/>
  <c r="Z1054" i="1"/>
  <c r="Z1052" i="1"/>
  <c r="Z1051" i="1"/>
  <c r="Z1050" i="1"/>
  <c r="Z1049" i="1"/>
  <c r="Z1048" i="1"/>
  <c r="Z1047" i="1"/>
  <c r="Z1046" i="1"/>
  <c r="Z1045" i="1"/>
  <c r="Z1044" i="1"/>
  <c r="Z1043" i="1"/>
  <c r="Z1041" i="1"/>
  <c r="Z1042" i="1"/>
  <c r="Z1040" i="1"/>
  <c r="Z1039" i="1"/>
  <c r="Z1038" i="1"/>
  <c r="Z1037" i="1"/>
  <c r="Z1036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2" i="1"/>
  <c r="Z1023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6" i="1"/>
  <c r="Z977" i="1"/>
  <c r="Z975" i="1"/>
  <c r="Z974" i="1"/>
  <c r="Z972" i="1"/>
  <c r="Z973" i="1"/>
  <c r="Z971" i="1"/>
  <c r="Z970" i="1"/>
  <c r="Z969" i="1"/>
  <c r="Z968" i="1"/>
  <c r="Z967" i="1"/>
  <c r="Z966" i="1"/>
  <c r="Z965" i="1"/>
  <c r="Z964" i="1"/>
  <c r="Z963" i="1"/>
  <c r="Z960" i="1"/>
  <c r="Z961" i="1"/>
  <c r="Z962" i="1"/>
  <c r="Z959" i="1"/>
  <c r="Z956" i="1"/>
  <c r="Z957" i="1"/>
  <c r="Z958" i="1"/>
  <c r="Z955" i="1"/>
  <c r="Z953" i="1"/>
  <c r="Z954" i="1"/>
  <c r="Z952" i="1"/>
  <c r="Z951" i="1"/>
  <c r="Z949" i="1"/>
  <c r="Z950" i="1"/>
  <c r="Z948" i="1"/>
  <c r="Z947" i="1"/>
  <c r="Z946" i="1"/>
  <c r="Z945" i="1"/>
  <c r="Z943" i="1"/>
  <c r="Z944" i="1"/>
  <c r="Z942" i="1"/>
  <c r="Z941" i="1"/>
  <c r="Z939" i="1"/>
  <c r="Z940" i="1"/>
  <c r="Z937" i="1"/>
  <c r="Z938" i="1"/>
  <c r="Z935" i="1"/>
  <c r="Z936" i="1"/>
  <c r="Z934" i="1"/>
  <c r="Z933" i="1"/>
  <c r="Z931" i="1"/>
  <c r="Z932" i="1"/>
  <c r="Z929" i="1"/>
  <c r="Z930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89" i="1"/>
  <c r="Z890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0" i="1"/>
  <c r="Z871" i="1"/>
  <c r="Z869" i="1"/>
  <c r="Z868" i="1"/>
  <c r="Z865" i="1"/>
  <c r="Z866" i="1"/>
  <c r="Z867" i="1"/>
  <c r="Z864" i="1"/>
  <c r="Z863" i="1"/>
  <c r="Z862" i="1"/>
  <c r="Z861" i="1"/>
  <c r="Z860" i="1"/>
  <c r="Z859" i="1"/>
  <c r="Z858" i="1"/>
  <c r="Z857" i="1"/>
  <c r="Z855" i="1"/>
  <c r="Z856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0" i="1"/>
  <c r="Z811" i="1"/>
  <c r="Z809" i="1"/>
  <c r="Z807" i="1"/>
  <c r="Z808" i="1"/>
  <c r="Z806" i="1"/>
  <c r="Z805" i="1"/>
  <c r="Z803" i="1"/>
  <c r="Z804" i="1"/>
  <c r="Z802" i="1"/>
  <c r="Z800" i="1"/>
  <c r="Z801" i="1"/>
  <c r="Z799" i="1"/>
  <c r="Z798" i="1"/>
  <c r="Z796" i="1"/>
  <c r="Z797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8" i="1"/>
  <c r="Z779" i="1"/>
  <c r="Z776" i="1"/>
  <c r="Z777" i="1"/>
  <c r="Z775" i="1"/>
  <c r="Z774" i="1"/>
  <c r="Z773" i="1"/>
  <c r="Z772" i="1"/>
  <c r="Z771" i="1"/>
  <c r="Z769" i="1"/>
  <c r="Z770" i="1"/>
  <c r="Z767" i="1"/>
  <c r="Z768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0" i="1"/>
  <c r="Z751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1" i="1"/>
  <c r="Z722" i="1"/>
  <c r="Z720" i="1"/>
  <c r="Z719" i="1"/>
  <c r="Z718" i="1"/>
  <c r="Z717" i="1"/>
  <c r="Z716" i="1"/>
  <c r="Z715" i="1"/>
  <c r="Z714" i="1"/>
  <c r="Z712" i="1"/>
  <c r="Z713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4" i="1"/>
  <c r="Z675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0" i="1"/>
  <c r="Z651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8" i="1"/>
  <c r="Z619" i="1"/>
  <c r="Z617" i="1"/>
  <c r="Z616" i="1"/>
  <c r="Z615" i="1"/>
  <c r="Z614" i="1"/>
  <c r="Z613" i="1"/>
  <c r="Z612" i="1"/>
  <c r="Z611" i="1"/>
  <c r="Z610" i="1"/>
  <c r="Z609" i="1"/>
  <c r="Z607" i="1"/>
  <c r="Z608" i="1"/>
  <c r="Z606" i="1"/>
  <c r="Z605" i="1"/>
  <c r="Z604" i="1"/>
  <c r="Z603" i="1"/>
  <c r="Z602" i="1"/>
  <c r="Z601" i="1"/>
  <c r="Z600" i="1"/>
  <c r="Z599" i="1"/>
  <c r="Z596" i="1"/>
  <c r="Z597" i="1"/>
  <c r="Z598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8" i="1"/>
  <c r="Z579" i="1"/>
  <c r="Z577" i="1"/>
  <c r="Z576" i="1"/>
  <c r="Z575" i="1"/>
  <c r="Z574" i="1"/>
  <c r="Z573" i="1"/>
  <c r="Z572" i="1"/>
  <c r="Z571" i="1"/>
  <c r="Z570" i="1"/>
  <c r="Z569" i="1"/>
  <c r="Z568" i="1"/>
  <c r="Z567" i="1"/>
  <c r="Z565" i="1"/>
  <c r="Z566" i="1"/>
  <c r="Z564" i="1"/>
  <c r="Z563" i="1"/>
  <c r="Z562" i="1"/>
  <c r="Z561" i="1"/>
  <c r="Z560" i="1"/>
  <c r="Z559" i="1"/>
  <c r="Z558" i="1"/>
  <c r="Z557" i="1"/>
  <c r="Z555" i="1"/>
  <c r="Z556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0" i="1"/>
  <c r="Z511" i="1"/>
  <c r="Z509" i="1"/>
  <c r="Z508" i="1"/>
  <c r="Z507" i="1"/>
  <c r="Z506" i="1"/>
  <c r="Z505" i="1"/>
  <c r="Z504" i="1"/>
  <c r="Z503" i="1"/>
  <c r="Z502" i="1"/>
  <c r="Z500" i="1"/>
  <c r="Z501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6" i="1"/>
  <c r="Z477" i="1"/>
  <c r="Z475" i="1"/>
  <c r="Z473" i="1"/>
  <c r="Z474" i="1"/>
  <c r="Z472" i="1"/>
  <c r="Z471" i="1"/>
  <c r="Z470" i="1"/>
  <c r="Z468" i="1"/>
  <c r="Z469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7" i="1"/>
  <c r="Z418" i="1"/>
  <c r="Z416" i="1"/>
  <c r="Z415" i="1"/>
  <c r="Z414" i="1"/>
  <c r="Z413" i="1"/>
  <c r="Z412" i="1"/>
  <c r="Z410" i="1"/>
  <c r="Z411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7" i="1"/>
  <c r="Z388" i="1"/>
  <c r="Z386" i="1"/>
  <c r="Z385" i="1"/>
  <c r="Z384" i="1"/>
  <c r="Z383" i="1"/>
  <c r="Z382" i="1"/>
  <c r="Z381" i="1"/>
  <c r="Z380" i="1"/>
  <c r="Z379" i="1"/>
  <c r="Z378" i="1"/>
  <c r="Z376" i="1"/>
  <c r="Z377" i="1"/>
  <c r="Z375" i="1"/>
  <c r="Z374" i="1"/>
  <c r="Z372" i="1"/>
  <c r="Z373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0" i="1"/>
  <c r="Z351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8" i="1"/>
  <c r="Z329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8" i="1"/>
  <c r="Z309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2" i="1"/>
  <c r="Z293" i="1"/>
  <c r="Z291" i="1"/>
  <c r="Z290" i="1"/>
  <c r="Z289" i="1"/>
  <c r="Z288" i="1"/>
  <c r="Z287" i="1"/>
  <c r="Z286" i="1"/>
  <c r="Z285" i="1"/>
  <c r="Z284" i="1"/>
  <c r="Z283" i="1"/>
  <c r="Z281" i="1"/>
  <c r="Z282" i="1"/>
  <c r="Z280" i="1"/>
  <c r="Z279" i="1"/>
  <c r="Z278" i="1"/>
  <c r="Z277" i="1"/>
  <c r="Z276" i="1"/>
  <c r="Z275" i="1"/>
  <c r="Z274" i="1"/>
  <c r="Z273" i="1"/>
  <c r="Z272" i="1"/>
  <c r="Z271" i="1"/>
  <c r="Z270" i="1"/>
  <c r="Z268" i="1"/>
  <c r="Z269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7" i="1"/>
  <c r="Z198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5" i="1"/>
  <c r="Z156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053" i="1"/>
  <c r="Z1706" i="1"/>
  <c r="Y1705" i="1"/>
  <c r="Y1704" i="1"/>
  <c r="Y1693" i="1"/>
  <c r="Y1694" i="1"/>
  <c r="Y1695" i="1"/>
  <c r="Y1696" i="1"/>
  <c r="Y1697" i="1"/>
  <c r="Y1698" i="1"/>
  <c r="Y1699" i="1"/>
  <c r="Y1700" i="1"/>
  <c r="Y1701" i="1"/>
  <c r="Y1702" i="1"/>
  <c r="Y1703" i="1"/>
  <c r="Y1689" i="1"/>
  <c r="Y1690" i="1"/>
  <c r="Y1691" i="1"/>
  <c r="Y1692" i="1"/>
  <c r="Y1688" i="1"/>
  <c r="Y1687" i="1"/>
  <c r="Y1686" i="1"/>
  <c r="Y1684" i="1"/>
  <c r="Y1685" i="1"/>
  <c r="Y1683" i="1"/>
  <c r="Y1680" i="1"/>
  <c r="Y1681" i="1"/>
  <c r="Y1682" i="1"/>
  <c r="Y1679" i="1"/>
  <c r="Y1678" i="1"/>
  <c r="Y1677" i="1"/>
  <c r="Y1675" i="1"/>
  <c r="Y1676" i="1"/>
  <c r="Y1674" i="1"/>
  <c r="Y1673" i="1"/>
  <c r="Y1672" i="1"/>
  <c r="Y1664" i="1"/>
  <c r="Y1665" i="1"/>
  <c r="Y1666" i="1"/>
  <c r="Y1667" i="1"/>
  <c r="Y1668" i="1"/>
  <c r="Y1669" i="1"/>
  <c r="Y1670" i="1"/>
  <c r="Y1671" i="1"/>
  <c r="Y1663" i="1"/>
  <c r="Y1662" i="1"/>
  <c r="Y1661" i="1"/>
  <c r="Y1660" i="1"/>
  <c r="Y1659" i="1"/>
  <c r="Y1658" i="1"/>
  <c r="Y1657" i="1"/>
  <c r="Y1656" i="1"/>
  <c r="Y1654" i="1"/>
  <c r="Y1655" i="1"/>
  <c r="Y1653" i="1"/>
  <c r="Y1652" i="1"/>
  <c r="Y1651" i="1"/>
  <c r="Y1650" i="1"/>
  <c r="Y1649" i="1"/>
  <c r="Y1647" i="1"/>
  <c r="Y1648" i="1"/>
  <c r="Y1646" i="1"/>
  <c r="Y1645" i="1"/>
  <c r="Y1644" i="1"/>
  <c r="Y1643" i="1"/>
  <c r="Y1642" i="1"/>
  <c r="Y1641" i="1"/>
  <c r="Y1639" i="1"/>
  <c r="Y1640" i="1"/>
  <c r="Y1635" i="1"/>
  <c r="Y1636" i="1"/>
  <c r="Y1637" i="1"/>
  <c r="Y1638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2" i="1"/>
  <c r="Y1533" i="1"/>
  <c r="Y1530" i="1"/>
  <c r="Y1531" i="1"/>
  <c r="Y1529" i="1"/>
  <c r="Y1528" i="1"/>
  <c r="Y1527" i="1"/>
  <c r="Y1526" i="1"/>
  <c r="Y1525" i="1"/>
  <c r="Y1524" i="1"/>
  <c r="Y1523" i="1"/>
  <c r="Y1522" i="1"/>
  <c r="Y1521" i="1"/>
  <c r="Y1519" i="1"/>
  <c r="Y1520" i="1"/>
  <c r="Y1518" i="1"/>
  <c r="Y1517" i="1"/>
  <c r="Y1516" i="1"/>
  <c r="Y1515" i="1"/>
  <c r="Y1514" i="1"/>
  <c r="Y1513" i="1"/>
  <c r="Y1512" i="1"/>
  <c r="Y1511" i="1"/>
  <c r="Y1510" i="1"/>
  <c r="Y1508" i="1"/>
  <c r="Y1509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59" i="1"/>
  <c r="Y1460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4" i="1"/>
  <c r="Y1435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1" i="1"/>
  <c r="Y1412" i="1"/>
  <c r="Y1413" i="1"/>
  <c r="Y1410" i="1"/>
  <c r="Y1409" i="1"/>
  <c r="Y1408" i="1"/>
  <c r="Y1406" i="1"/>
  <c r="Y1407" i="1"/>
  <c r="Y1405" i="1"/>
  <c r="Y1404" i="1"/>
  <c r="Y1402" i="1"/>
  <c r="Y1403" i="1"/>
  <c r="Y1401" i="1"/>
  <c r="Y1400" i="1"/>
  <c r="Y1399" i="1"/>
  <c r="Y1397" i="1"/>
  <c r="Y1398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4" i="1"/>
  <c r="Y1355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7" i="1"/>
  <c r="Y1328" i="1"/>
  <c r="Y1326" i="1"/>
  <c r="Y1325" i="1"/>
  <c r="Y1324" i="1"/>
  <c r="Y1323" i="1"/>
  <c r="Y1322" i="1"/>
  <c r="Y1321" i="1"/>
  <c r="Y1320" i="1"/>
  <c r="Y1319" i="1"/>
  <c r="Y1318" i="1"/>
  <c r="Y1317" i="1"/>
  <c r="Y1316" i="1"/>
  <c r="Y1315" i="1"/>
  <c r="Y1314" i="1"/>
  <c r="Y1313" i="1"/>
  <c r="Y1311" i="1"/>
  <c r="Y1310" i="1"/>
  <c r="Y1307" i="1"/>
  <c r="Y1308" i="1"/>
  <c r="Y1309" i="1"/>
  <c r="Y1306" i="1"/>
  <c r="Y1305" i="1"/>
  <c r="Y1303" i="1"/>
  <c r="Y1304" i="1"/>
  <c r="Y1296" i="1"/>
  <c r="Y1297" i="1"/>
  <c r="Y1298" i="1"/>
  <c r="Y1299" i="1"/>
  <c r="Y1300" i="1"/>
  <c r="Y1301" i="1"/>
  <c r="Y1302" i="1"/>
  <c r="Y1295" i="1"/>
  <c r="Y1293" i="1"/>
  <c r="Y1294" i="1"/>
  <c r="Y1291" i="1"/>
  <c r="Y1292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5" i="1"/>
  <c r="Y1266" i="1"/>
  <c r="Y1264" i="1"/>
  <c r="Y1263" i="1"/>
  <c r="Y1262" i="1"/>
  <c r="Y1261" i="1"/>
  <c r="Y1260" i="1"/>
  <c r="Y1259" i="1"/>
  <c r="Y1257" i="1"/>
  <c r="Y1258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6" i="1"/>
  <c r="Y1217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2" i="1"/>
  <c r="Y1173" i="1"/>
  <c r="Y1171" i="1"/>
  <c r="Y1170" i="1"/>
  <c r="Y1169" i="1"/>
  <c r="Y1167" i="1"/>
  <c r="Y1168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8" i="1"/>
  <c r="Y1149" i="1"/>
  <c r="Y1147" i="1"/>
  <c r="Y1146" i="1"/>
  <c r="Y1145" i="1"/>
  <c r="Y1144" i="1"/>
  <c r="Y1143" i="1"/>
  <c r="Y1142" i="1"/>
  <c r="Y1141" i="1"/>
  <c r="Y1140" i="1"/>
  <c r="Y1139" i="1"/>
  <c r="Y1138" i="1"/>
  <c r="Y1137" i="1"/>
  <c r="Y1134" i="1"/>
  <c r="Y1135" i="1"/>
  <c r="Y1136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7" i="1"/>
  <c r="Y1118" i="1"/>
  <c r="Y1119" i="1"/>
  <c r="Y1116" i="1"/>
  <c r="Y1114" i="1"/>
  <c r="Y1115" i="1"/>
  <c r="Y1112" i="1"/>
  <c r="Y1113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5" i="1"/>
  <c r="Y1066" i="1"/>
  <c r="Y1064" i="1"/>
  <c r="Y1063" i="1"/>
  <c r="Y1062" i="1"/>
  <c r="Y1061" i="1"/>
  <c r="Y1060" i="1"/>
  <c r="Y1059" i="1"/>
  <c r="Y1057" i="1"/>
  <c r="Y1058" i="1"/>
  <c r="Y1056" i="1"/>
  <c r="Y1055" i="1"/>
  <c r="Y1054" i="1"/>
  <c r="Y1052" i="1"/>
  <c r="Y1051" i="1"/>
  <c r="Y1050" i="1"/>
  <c r="Y1049" i="1"/>
  <c r="Y1048" i="1"/>
  <c r="Y1047" i="1"/>
  <c r="Y1046" i="1"/>
  <c r="Y1045" i="1"/>
  <c r="Y1044" i="1"/>
  <c r="Y1043" i="1"/>
  <c r="Y1041" i="1"/>
  <c r="Y1042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2" i="1"/>
  <c r="Y1023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6" i="1"/>
  <c r="Y977" i="1"/>
  <c r="Y975" i="1"/>
  <c r="Y974" i="1"/>
  <c r="Y972" i="1"/>
  <c r="Y973" i="1"/>
  <c r="Y971" i="1"/>
  <c r="Y970" i="1"/>
  <c r="Y969" i="1"/>
  <c r="Y968" i="1"/>
  <c r="Y967" i="1"/>
  <c r="Y966" i="1"/>
  <c r="Y965" i="1"/>
  <c r="Y964" i="1"/>
  <c r="Y963" i="1"/>
  <c r="Y960" i="1"/>
  <c r="Y961" i="1"/>
  <c r="Y962" i="1"/>
  <c r="Y959" i="1"/>
  <c r="Y956" i="1"/>
  <c r="Y957" i="1"/>
  <c r="Y958" i="1"/>
  <c r="Y955" i="1"/>
  <c r="Y953" i="1"/>
  <c r="Y954" i="1"/>
  <c r="Y952" i="1"/>
  <c r="Y951" i="1"/>
  <c r="Y949" i="1"/>
  <c r="Y950" i="1"/>
  <c r="Y948" i="1"/>
  <c r="Y947" i="1"/>
  <c r="Y946" i="1"/>
  <c r="Y945" i="1"/>
  <c r="Y943" i="1"/>
  <c r="Y944" i="1"/>
  <c r="Y942" i="1"/>
  <c r="Y941" i="1"/>
  <c r="Y939" i="1"/>
  <c r="Y940" i="1"/>
  <c r="Y937" i="1"/>
  <c r="Y938" i="1"/>
  <c r="Y935" i="1"/>
  <c r="Y936" i="1"/>
  <c r="Y934" i="1"/>
  <c r="Y933" i="1"/>
  <c r="Y931" i="1"/>
  <c r="Y932" i="1"/>
  <c r="Y929" i="1"/>
  <c r="Y930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89" i="1"/>
  <c r="Y890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0" i="1"/>
  <c r="Y871" i="1"/>
  <c r="Y869" i="1"/>
  <c r="Y868" i="1"/>
  <c r="Y865" i="1"/>
  <c r="Y866" i="1"/>
  <c r="Y867" i="1"/>
  <c r="Y864" i="1"/>
  <c r="Y863" i="1"/>
  <c r="Y862" i="1"/>
  <c r="Y861" i="1"/>
  <c r="Y860" i="1"/>
  <c r="Y859" i="1"/>
  <c r="Y858" i="1"/>
  <c r="Y857" i="1"/>
  <c r="Y855" i="1"/>
  <c r="Y856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0" i="1"/>
  <c r="Y811" i="1"/>
  <c r="Y809" i="1"/>
  <c r="Y807" i="1"/>
  <c r="Y808" i="1"/>
  <c r="Y806" i="1"/>
  <c r="Y805" i="1"/>
  <c r="Y803" i="1"/>
  <c r="Y804" i="1"/>
  <c r="Y802" i="1"/>
  <c r="Y800" i="1"/>
  <c r="Y801" i="1"/>
  <c r="Y799" i="1"/>
  <c r="Y798" i="1"/>
  <c r="Y796" i="1"/>
  <c r="Y797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8" i="1"/>
  <c r="Y779" i="1"/>
  <c r="Y776" i="1"/>
  <c r="Y777" i="1"/>
  <c r="Y775" i="1"/>
  <c r="Y774" i="1"/>
  <c r="Y773" i="1"/>
  <c r="Y772" i="1"/>
  <c r="Y771" i="1"/>
  <c r="Y769" i="1"/>
  <c r="Y770" i="1"/>
  <c r="Y767" i="1"/>
  <c r="Y768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0" i="1"/>
  <c r="Y751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1" i="1"/>
  <c r="Y722" i="1"/>
  <c r="Y720" i="1"/>
  <c r="Y719" i="1"/>
  <c r="Y718" i="1"/>
  <c r="Y717" i="1"/>
  <c r="Y716" i="1"/>
  <c r="Y715" i="1"/>
  <c r="Y714" i="1"/>
  <c r="Y712" i="1"/>
  <c r="Y713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4" i="1"/>
  <c r="Y675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0" i="1"/>
  <c r="Y651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8" i="1"/>
  <c r="Y619" i="1"/>
  <c r="Y617" i="1"/>
  <c r="Y616" i="1"/>
  <c r="Y615" i="1"/>
  <c r="Y614" i="1"/>
  <c r="Y613" i="1"/>
  <c r="Y612" i="1"/>
  <c r="Y611" i="1"/>
  <c r="Y610" i="1"/>
  <c r="Y609" i="1"/>
  <c r="Y607" i="1"/>
  <c r="Y608" i="1"/>
  <c r="Y606" i="1"/>
  <c r="Y605" i="1"/>
  <c r="Y604" i="1"/>
  <c r="Y603" i="1"/>
  <c r="Y602" i="1"/>
  <c r="Y601" i="1"/>
  <c r="Y600" i="1"/>
  <c r="Y599" i="1"/>
  <c r="Y596" i="1"/>
  <c r="Y597" i="1"/>
  <c r="Y598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8" i="1"/>
  <c r="Y579" i="1"/>
  <c r="Y577" i="1"/>
  <c r="Y576" i="1"/>
  <c r="Y575" i="1"/>
  <c r="Y574" i="1"/>
  <c r="Y573" i="1"/>
  <c r="Y572" i="1"/>
  <c r="Y571" i="1"/>
  <c r="Y570" i="1"/>
  <c r="Y569" i="1"/>
  <c r="Y568" i="1"/>
  <c r="Y567" i="1"/>
  <c r="Y565" i="1"/>
  <c r="Y566" i="1"/>
  <c r="Y564" i="1"/>
  <c r="Y563" i="1"/>
  <c r="Y562" i="1"/>
  <c r="Y561" i="1"/>
  <c r="Y560" i="1"/>
  <c r="Y559" i="1"/>
  <c r="Y558" i="1"/>
  <c r="Y557" i="1"/>
  <c r="Y555" i="1"/>
  <c r="Y556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0" i="1"/>
  <c r="Y511" i="1"/>
  <c r="Y509" i="1"/>
  <c r="Y508" i="1"/>
  <c r="Y507" i="1"/>
  <c r="Y506" i="1"/>
  <c r="Y505" i="1"/>
  <c r="Y504" i="1"/>
  <c r="Y503" i="1"/>
  <c r="Y502" i="1"/>
  <c r="Y500" i="1"/>
  <c r="Y501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6" i="1"/>
  <c r="Y477" i="1"/>
  <c r="Y475" i="1"/>
  <c r="Y473" i="1"/>
  <c r="Y474" i="1"/>
  <c r="Y472" i="1"/>
  <c r="Y471" i="1"/>
  <c r="Y470" i="1"/>
  <c r="Y468" i="1"/>
  <c r="Y469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7" i="1"/>
  <c r="Y418" i="1"/>
  <c r="Y416" i="1"/>
  <c r="Y415" i="1"/>
  <c r="Y414" i="1"/>
  <c r="Y413" i="1"/>
  <c r="Y412" i="1"/>
  <c r="Y410" i="1"/>
  <c r="Y411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7" i="1"/>
  <c r="Y388" i="1"/>
  <c r="Y386" i="1"/>
  <c r="Y385" i="1"/>
  <c r="Y384" i="1"/>
  <c r="Y383" i="1"/>
  <c r="Y382" i="1"/>
  <c r="Y381" i="1"/>
  <c r="Y380" i="1"/>
  <c r="Y379" i="1"/>
  <c r="Y378" i="1"/>
  <c r="Y376" i="1"/>
  <c r="Y377" i="1"/>
  <c r="Y375" i="1"/>
  <c r="Y374" i="1"/>
  <c r="Y372" i="1"/>
  <c r="Y373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0" i="1"/>
  <c r="Y351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8" i="1"/>
  <c r="Y329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8" i="1"/>
  <c r="Y309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2" i="1"/>
  <c r="Y293" i="1"/>
  <c r="Y291" i="1"/>
  <c r="Y290" i="1"/>
  <c r="Y289" i="1"/>
  <c r="Y288" i="1"/>
  <c r="Y287" i="1"/>
  <c r="Y286" i="1"/>
  <c r="Y285" i="1"/>
  <c r="Y284" i="1"/>
  <c r="Y283" i="1"/>
  <c r="Y281" i="1"/>
  <c r="Y282" i="1"/>
  <c r="Y280" i="1"/>
  <c r="Y279" i="1"/>
  <c r="Y278" i="1"/>
  <c r="Y277" i="1"/>
  <c r="Y276" i="1"/>
  <c r="Y275" i="1"/>
  <c r="Y274" i="1"/>
  <c r="Y273" i="1"/>
  <c r="Y272" i="1"/>
  <c r="Y271" i="1"/>
  <c r="Y270" i="1"/>
  <c r="Y268" i="1"/>
  <c r="Y269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7" i="1"/>
  <c r="Y198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5" i="1"/>
  <c r="Y156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Y1053" i="1"/>
  <c r="Y1706" i="1"/>
  <c r="X1705" i="1"/>
  <c r="X1704" i="1"/>
  <c r="X1693" i="1"/>
  <c r="X1694" i="1"/>
  <c r="X1695" i="1"/>
  <c r="X1696" i="1"/>
  <c r="X1697" i="1"/>
  <c r="X1698" i="1"/>
  <c r="X1699" i="1"/>
  <c r="X1700" i="1"/>
  <c r="X1701" i="1"/>
  <c r="X1702" i="1"/>
  <c r="X1703" i="1"/>
  <c r="X1689" i="1"/>
  <c r="X1690" i="1"/>
  <c r="X1691" i="1"/>
  <c r="X1692" i="1"/>
  <c r="X1688" i="1"/>
  <c r="X1687" i="1"/>
  <c r="X1686" i="1"/>
  <c r="X1684" i="1"/>
  <c r="X1685" i="1"/>
  <c r="X1683" i="1"/>
  <c r="X1680" i="1"/>
  <c r="X1681" i="1"/>
  <c r="X1682" i="1"/>
  <c r="X1679" i="1"/>
  <c r="X1678" i="1"/>
  <c r="X1677" i="1"/>
  <c r="X1675" i="1"/>
  <c r="X1676" i="1"/>
  <c r="X1674" i="1"/>
  <c r="X1673" i="1"/>
  <c r="X1672" i="1"/>
  <c r="X1664" i="1"/>
  <c r="X1665" i="1"/>
  <c r="X1666" i="1"/>
  <c r="X1667" i="1"/>
  <c r="X1668" i="1"/>
  <c r="X1669" i="1"/>
  <c r="X1670" i="1"/>
  <c r="X1671" i="1"/>
  <c r="X1663" i="1"/>
  <c r="X1662" i="1"/>
  <c r="X1661" i="1"/>
  <c r="X1660" i="1"/>
  <c r="X1659" i="1"/>
  <c r="X1658" i="1"/>
  <c r="X1657" i="1"/>
  <c r="X1656" i="1"/>
  <c r="X1654" i="1"/>
  <c r="X1655" i="1"/>
  <c r="X1653" i="1"/>
  <c r="X1652" i="1"/>
  <c r="X1651" i="1"/>
  <c r="X1650" i="1"/>
  <c r="X1649" i="1"/>
  <c r="X1647" i="1"/>
  <c r="X1648" i="1"/>
  <c r="X1646" i="1"/>
  <c r="X1645" i="1"/>
  <c r="X1644" i="1"/>
  <c r="X1643" i="1"/>
  <c r="X1642" i="1"/>
  <c r="X1641" i="1"/>
  <c r="X1639" i="1"/>
  <c r="X1640" i="1"/>
  <c r="X1635" i="1"/>
  <c r="X1636" i="1"/>
  <c r="X1637" i="1"/>
  <c r="X1638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2" i="1"/>
  <c r="X1533" i="1"/>
  <c r="X1530" i="1"/>
  <c r="X1531" i="1"/>
  <c r="X1529" i="1"/>
  <c r="X1528" i="1"/>
  <c r="X1527" i="1"/>
  <c r="X1526" i="1"/>
  <c r="X1525" i="1"/>
  <c r="X1524" i="1"/>
  <c r="X1523" i="1"/>
  <c r="X1522" i="1"/>
  <c r="X1521" i="1"/>
  <c r="X1519" i="1"/>
  <c r="X1520" i="1"/>
  <c r="X1518" i="1"/>
  <c r="X1517" i="1"/>
  <c r="X1516" i="1"/>
  <c r="X1515" i="1"/>
  <c r="X1514" i="1"/>
  <c r="X1513" i="1"/>
  <c r="X1512" i="1"/>
  <c r="X1511" i="1"/>
  <c r="X1510" i="1"/>
  <c r="X1508" i="1"/>
  <c r="X1509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59" i="1"/>
  <c r="X1460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4" i="1"/>
  <c r="X1435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1" i="1"/>
  <c r="X1412" i="1"/>
  <c r="X1413" i="1"/>
  <c r="X1410" i="1"/>
  <c r="X1409" i="1"/>
  <c r="X1408" i="1"/>
  <c r="X1406" i="1"/>
  <c r="X1407" i="1"/>
  <c r="X1405" i="1"/>
  <c r="X1404" i="1"/>
  <c r="X1402" i="1"/>
  <c r="X1403" i="1"/>
  <c r="X1401" i="1"/>
  <c r="X1400" i="1"/>
  <c r="X1399" i="1"/>
  <c r="X1397" i="1"/>
  <c r="X1398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4" i="1"/>
  <c r="X1355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7" i="1"/>
  <c r="X1328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1" i="1"/>
  <c r="X1310" i="1"/>
  <c r="X1307" i="1"/>
  <c r="X1308" i="1"/>
  <c r="X1309" i="1"/>
  <c r="X1306" i="1"/>
  <c r="X1305" i="1"/>
  <c r="X1303" i="1"/>
  <c r="X1304" i="1"/>
  <c r="X1296" i="1"/>
  <c r="X1297" i="1"/>
  <c r="X1298" i="1"/>
  <c r="X1299" i="1"/>
  <c r="X1300" i="1"/>
  <c r="X1301" i="1"/>
  <c r="X1302" i="1"/>
  <c r="X1295" i="1"/>
  <c r="X1293" i="1"/>
  <c r="X1294" i="1"/>
  <c r="X1291" i="1"/>
  <c r="X1292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5" i="1"/>
  <c r="X1266" i="1"/>
  <c r="X1264" i="1"/>
  <c r="X1263" i="1"/>
  <c r="X1262" i="1"/>
  <c r="X1261" i="1"/>
  <c r="X1260" i="1"/>
  <c r="X1259" i="1"/>
  <c r="X1257" i="1"/>
  <c r="X1258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6" i="1"/>
  <c r="X1217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2" i="1"/>
  <c r="X1173" i="1"/>
  <c r="X1171" i="1"/>
  <c r="X1170" i="1"/>
  <c r="X1169" i="1"/>
  <c r="X1167" i="1"/>
  <c r="X1168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8" i="1"/>
  <c r="X1149" i="1"/>
  <c r="X1147" i="1"/>
  <c r="X1146" i="1"/>
  <c r="X1145" i="1"/>
  <c r="X1144" i="1"/>
  <c r="X1143" i="1"/>
  <c r="X1142" i="1"/>
  <c r="X1141" i="1"/>
  <c r="X1140" i="1"/>
  <c r="X1139" i="1"/>
  <c r="X1138" i="1"/>
  <c r="X1137" i="1"/>
  <c r="X1134" i="1"/>
  <c r="X1135" i="1"/>
  <c r="X1136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7" i="1"/>
  <c r="X1118" i="1"/>
  <c r="X1119" i="1"/>
  <c r="X1116" i="1"/>
  <c r="X1114" i="1"/>
  <c r="X1115" i="1"/>
  <c r="X1112" i="1"/>
  <c r="X1113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5" i="1"/>
  <c r="X1066" i="1"/>
  <c r="X1064" i="1"/>
  <c r="X1063" i="1"/>
  <c r="X1062" i="1"/>
  <c r="X1061" i="1"/>
  <c r="X1060" i="1"/>
  <c r="X1059" i="1"/>
  <c r="X1057" i="1"/>
  <c r="X1058" i="1"/>
  <c r="X1056" i="1"/>
  <c r="X1055" i="1"/>
  <c r="X1054" i="1"/>
  <c r="X1052" i="1"/>
  <c r="X1051" i="1"/>
  <c r="X1050" i="1"/>
  <c r="X1049" i="1"/>
  <c r="X1048" i="1"/>
  <c r="X1047" i="1"/>
  <c r="X1046" i="1"/>
  <c r="X1045" i="1"/>
  <c r="X1044" i="1"/>
  <c r="X1043" i="1"/>
  <c r="X1041" i="1"/>
  <c r="X1042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2" i="1"/>
  <c r="X1023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6" i="1"/>
  <c r="X977" i="1"/>
  <c r="X975" i="1"/>
  <c r="X974" i="1"/>
  <c r="X972" i="1"/>
  <c r="X973" i="1"/>
  <c r="X971" i="1"/>
  <c r="X970" i="1"/>
  <c r="X969" i="1"/>
  <c r="X968" i="1"/>
  <c r="X967" i="1"/>
  <c r="X966" i="1"/>
  <c r="X965" i="1"/>
  <c r="X964" i="1"/>
  <c r="X963" i="1"/>
  <c r="X960" i="1"/>
  <c r="X961" i="1"/>
  <c r="X962" i="1"/>
  <c r="X959" i="1"/>
  <c r="X956" i="1"/>
  <c r="X957" i="1"/>
  <c r="X958" i="1"/>
  <c r="X955" i="1"/>
  <c r="X953" i="1"/>
  <c r="X954" i="1"/>
  <c r="X952" i="1"/>
  <c r="X951" i="1"/>
  <c r="X949" i="1"/>
  <c r="X950" i="1"/>
  <c r="X948" i="1"/>
  <c r="X947" i="1"/>
  <c r="X946" i="1"/>
  <c r="X945" i="1"/>
  <c r="X943" i="1"/>
  <c r="X944" i="1"/>
  <c r="X942" i="1"/>
  <c r="X941" i="1"/>
  <c r="X939" i="1"/>
  <c r="X940" i="1"/>
  <c r="X937" i="1"/>
  <c r="X938" i="1"/>
  <c r="X935" i="1"/>
  <c r="X936" i="1"/>
  <c r="X934" i="1"/>
  <c r="X933" i="1"/>
  <c r="X931" i="1"/>
  <c r="X932" i="1"/>
  <c r="X929" i="1"/>
  <c r="X930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89" i="1"/>
  <c r="X890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0" i="1"/>
  <c r="X871" i="1"/>
  <c r="X869" i="1"/>
  <c r="X868" i="1"/>
  <c r="X865" i="1"/>
  <c r="X866" i="1"/>
  <c r="X867" i="1"/>
  <c r="X864" i="1"/>
  <c r="X863" i="1"/>
  <c r="X862" i="1"/>
  <c r="X861" i="1"/>
  <c r="X860" i="1"/>
  <c r="X859" i="1"/>
  <c r="X858" i="1"/>
  <c r="X857" i="1"/>
  <c r="X855" i="1"/>
  <c r="X856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0" i="1"/>
  <c r="X811" i="1"/>
  <c r="X809" i="1"/>
  <c r="X807" i="1"/>
  <c r="X808" i="1"/>
  <c r="X806" i="1"/>
  <c r="X805" i="1"/>
  <c r="X803" i="1"/>
  <c r="X804" i="1"/>
  <c r="X802" i="1"/>
  <c r="X800" i="1"/>
  <c r="X801" i="1"/>
  <c r="X799" i="1"/>
  <c r="X798" i="1"/>
  <c r="X796" i="1"/>
  <c r="X797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8" i="1"/>
  <c r="X779" i="1"/>
  <c r="X776" i="1"/>
  <c r="X777" i="1"/>
  <c r="X775" i="1"/>
  <c r="X774" i="1"/>
  <c r="X773" i="1"/>
  <c r="X772" i="1"/>
  <c r="X771" i="1"/>
  <c r="X769" i="1"/>
  <c r="X770" i="1"/>
  <c r="X767" i="1"/>
  <c r="X768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0" i="1"/>
  <c r="X751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1" i="1"/>
  <c r="X722" i="1"/>
  <c r="X720" i="1"/>
  <c r="X719" i="1"/>
  <c r="X718" i="1"/>
  <c r="X717" i="1"/>
  <c r="X716" i="1"/>
  <c r="X715" i="1"/>
  <c r="X714" i="1"/>
  <c r="X712" i="1"/>
  <c r="X713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4" i="1"/>
  <c r="X675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0" i="1"/>
  <c r="X651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8" i="1"/>
  <c r="X619" i="1"/>
  <c r="X617" i="1"/>
  <c r="X616" i="1"/>
  <c r="X615" i="1"/>
  <c r="X614" i="1"/>
  <c r="X613" i="1"/>
  <c r="X612" i="1"/>
  <c r="X611" i="1"/>
  <c r="X610" i="1"/>
  <c r="X609" i="1"/>
  <c r="X607" i="1"/>
  <c r="X608" i="1"/>
  <c r="X606" i="1"/>
  <c r="X605" i="1"/>
  <c r="X604" i="1"/>
  <c r="X603" i="1"/>
  <c r="X602" i="1"/>
  <c r="X601" i="1"/>
  <c r="X600" i="1"/>
  <c r="X599" i="1"/>
  <c r="X596" i="1"/>
  <c r="X597" i="1"/>
  <c r="X598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8" i="1"/>
  <c r="X579" i="1"/>
  <c r="X577" i="1"/>
  <c r="X576" i="1"/>
  <c r="X575" i="1"/>
  <c r="X574" i="1"/>
  <c r="X573" i="1"/>
  <c r="X572" i="1"/>
  <c r="X571" i="1"/>
  <c r="X570" i="1"/>
  <c r="X569" i="1"/>
  <c r="X568" i="1"/>
  <c r="X567" i="1"/>
  <c r="X565" i="1"/>
  <c r="X566" i="1"/>
  <c r="X564" i="1"/>
  <c r="X563" i="1"/>
  <c r="X562" i="1"/>
  <c r="X561" i="1"/>
  <c r="X560" i="1"/>
  <c r="X559" i="1"/>
  <c r="X558" i="1"/>
  <c r="X557" i="1"/>
  <c r="X555" i="1"/>
  <c r="X556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0" i="1"/>
  <c r="X511" i="1"/>
  <c r="X509" i="1"/>
  <c r="X508" i="1"/>
  <c r="X507" i="1"/>
  <c r="X506" i="1"/>
  <c r="X505" i="1"/>
  <c r="X504" i="1"/>
  <c r="X503" i="1"/>
  <c r="X502" i="1"/>
  <c r="X500" i="1"/>
  <c r="X501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6" i="1"/>
  <c r="X477" i="1"/>
  <c r="X475" i="1"/>
  <c r="X473" i="1"/>
  <c r="X474" i="1"/>
  <c r="X472" i="1"/>
  <c r="X471" i="1"/>
  <c r="X470" i="1"/>
  <c r="X468" i="1"/>
  <c r="X469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7" i="1"/>
  <c r="X418" i="1"/>
  <c r="X416" i="1"/>
  <c r="X415" i="1"/>
  <c r="X414" i="1"/>
  <c r="X413" i="1"/>
  <c r="X412" i="1"/>
  <c r="X410" i="1"/>
  <c r="X411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7" i="1"/>
  <c r="X388" i="1"/>
  <c r="X386" i="1"/>
  <c r="X385" i="1"/>
  <c r="X384" i="1"/>
  <c r="X383" i="1"/>
  <c r="X382" i="1"/>
  <c r="X381" i="1"/>
  <c r="X380" i="1"/>
  <c r="X379" i="1"/>
  <c r="X378" i="1"/>
  <c r="X376" i="1"/>
  <c r="X377" i="1"/>
  <c r="X375" i="1"/>
  <c r="X374" i="1"/>
  <c r="X372" i="1"/>
  <c r="X373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0" i="1"/>
  <c r="X351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8" i="1"/>
  <c r="X329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8" i="1"/>
  <c r="X309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2" i="1"/>
  <c r="X293" i="1"/>
  <c r="X291" i="1"/>
  <c r="X290" i="1"/>
  <c r="X289" i="1"/>
  <c r="X288" i="1"/>
  <c r="X287" i="1"/>
  <c r="X286" i="1"/>
  <c r="X285" i="1"/>
  <c r="X284" i="1"/>
  <c r="X283" i="1"/>
  <c r="X281" i="1"/>
  <c r="X282" i="1"/>
  <c r="X280" i="1"/>
  <c r="X279" i="1"/>
  <c r="X278" i="1"/>
  <c r="X277" i="1"/>
  <c r="X276" i="1"/>
  <c r="X275" i="1"/>
  <c r="X274" i="1"/>
  <c r="X273" i="1"/>
  <c r="X272" i="1"/>
  <c r="X271" i="1"/>
  <c r="X270" i="1"/>
  <c r="X268" i="1"/>
  <c r="X269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7" i="1"/>
  <c r="X198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5" i="1"/>
  <c r="X156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X1053" i="1"/>
  <c r="X1706" i="1"/>
  <c r="W1705" i="1"/>
  <c r="W1704" i="1"/>
  <c r="W1693" i="1"/>
  <c r="W1694" i="1"/>
  <c r="W1695" i="1"/>
  <c r="W1696" i="1"/>
  <c r="W1697" i="1"/>
  <c r="W1698" i="1"/>
  <c r="W1699" i="1"/>
  <c r="W1700" i="1"/>
  <c r="W1701" i="1"/>
  <c r="W1702" i="1"/>
  <c r="W1703" i="1"/>
  <c r="W1689" i="1"/>
  <c r="W1690" i="1"/>
  <c r="W1691" i="1"/>
  <c r="W1692" i="1"/>
  <c r="W1688" i="1"/>
  <c r="W1687" i="1"/>
  <c r="W1686" i="1"/>
  <c r="W1684" i="1"/>
  <c r="W1685" i="1"/>
  <c r="W1683" i="1"/>
  <c r="W1680" i="1"/>
  <c r="W1681" i="1"/>
  <c r="W1682" i="1"/>
  <c r="W1679" i="1"/>
  <c r="W1678" i="1"/>
  <c r="W1677" i="1"/>
  <c r="W1675" i="1"/>
  <c r="W1676" i="1"/>
  <c r="W1674" i="1"/>
  <c r="W1673" i="1"/>
  <c r="W1672" i="1"/>
  <c r="W1664" i="1"/>
  <c r="W1665" i="1"/>
  <c r="W1666" i="1"/>
  <c r="W1667" i="1"/>
  <c r="W1668" i="1"/>
  <c r="W1669" i="1"/>
  <c r="W1670" i="1"/>
  <c r="W1671" i="1"/>
  <c r="W1663" i="1"/>
  <c r="W1662" i="1"/>
  <c r="W1661" i="1"/>
  <c r="W1660" i="1"/>
  <c r="W1659" i="1"/>
  <c r="W1658" i="1"/>
  <c r="W1657" i="1"/>
  <c r="W1656" i="1"/>
  <c r="W1654" i="1"/>
  <c r="W1655" i="1"/>
  <c r="W1653" i="1"/>
  <c r="W1652" i="1"/>
  <c r="W1651" i="1"/>
  <c r="W1650" i="1"/>
  <c r="W1649" i="1"/>
  <c r="W1647" i="1"/>
  <c r="W1648" i="1"/>
  <c r="W1646" i="1"/>
  <c r="W1645" i="1"/>
  <c r="W1644" i="1"/>
  <c r="W1643" i="1"/>
  <c r="W1642" i="1"/>
  <c r="W1641" i="1"/>
  <c r="W1639" i="1"/>
  <c r="W1640" i="1"/>
  <c r="W1635" i="1"/>
  <c r="W1636" i="1"/>
  <c r="W1637" i="1"/>
  <c r="W1638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2" i="1"/>
  <c r="W1533" i="1"/>
  <c r="W1530" i="1"/>
  <c r="W1531" i="1"/>
  <c r="W1529" i="1"/>
  <c r="W1528" i="1"/>
  <c r="W1527" i="1"/>
  <c r="W1526" i="1"/>
  <c r="W1525" i="1"/>
  <c r="W1524" i="1"/>
  <c r="W1523" i="1"/>
  <c r="W1522" i="1"/>
  <c r="W1521" i="1"/>
  <c r="W1519" i="1"/>
  <c r="W1520" i="1"/>
  <c r="W1518" i="1"/>
  <c r="W1517" i="1"/>
  <c r="W1516" i="1"/>
  <c r="W1515" i="1"/>
  <c r="W1514" i="1"/>
  <c r="W1513" i="1"/>
  <c r="W1512" i="1"/>
  <c r="W1511" i="1"/>
  <c r="W1510" i="1"/>
  <c r="W1508" i="1"/>
  <c r="W1509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59" i="1"/>
  <c r="W1460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4" i="1"/>
  <c r="W1435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1" i="1"/>
  <c r="W1412" i="1"/>
  <c r="W1413" i="1"/>
  <c r="W1410" i="1"/>
  <c r="W1409" i="1"/>
  <c r="W1408" i="1"/>
  <c r="W1406" i="1"/>
  <c r="W1407" i="1"/>
  <c r="W1405" i="1"/>
  <c r="W1404" i="1"/>
  <c r="W1402" i="1"/>
  <c r="W1403" i="1"/>
  <c r="W1401" i="1"/>
  <c r="W1400" i="1"/>
  <c r="W1399" i="1"/>
  <c r="W1397" i="1"/>
  <c r="W1398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4" i="1"/>
  <c r="W1355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7" i="1"/>
  <c r="W1328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1" i="1"/>
  <c r="W1310" i="1"/>
  <c r="W1307" i="1"/>
  <c r="W1308" i="1"/>
  <c r="W1309" i="1"/>
  <c r="W1306" i="1"/>
  <c r="W1305" i="1"/>
  <c r="W1303" i="1"/>
  <c r="W1304" i="1"/>
  <c r="W1296" i="1"/>
  <c r="W1297" i="1"/>
  <c r="W1298" i="1"/>
  <c r="W1299" i="1"/>
  <c r="W1300" i="1"/>
  <c r="W1301" i="1"/>
  <c r="W1302" i="1"/>
  <c r="W1295" i="1"/>
  <c r="W1293" i="1"/>
  <c r="W1294" i="1"/>
  <c r="W1291" i="1"/>
  <c r="W1292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5" i="1"/>
  <c r="W1266" i="1"/>
  <c r="W1264" i="1"/>
  <c r="W1263" i="1"/>
  <c r="W1262" i="1"/>
  <c r="W1261" i="1"/>
  <c r="W1260" i="1"/>
  <c r="W1259" i="1"/>
  <c r="W1257" i="1"/>
  <c r="W1258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6" i="1"/>
  <c r="W1217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2" i="1"/>
  <c r="W1173" i="1"/>
  <c r="W1171" i="1"/>
  <c r="W1170" i="1"/>
  <c r="W1169" i="1"/>
  <c r="W1167" i="1"/>
  <c r="W1168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8" i="1"/>
  <c r="W1149" i="1"/>
  <c r="W1147" i="1"/>
  <c r="W1146" i="1"/>
  <c r="W1145" i="1"/>
  <c r="W1144" i="1"/>
  <c r="W1143" i="1"/>
  <c r="W1142" i="1"/>
  <c r="W1141" i="1"/>
  <c r="W1140" i="1"/>
  <c r="W1139" i="1"/>
  <c r="W1138" i="1"/>
  <c r="W1137" i="1"/>
  <c r="W1134" i="1"/>
  <c r="W1135" i="1"/>
  <c r="W1136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7" i="1"/>
  <c r="W1118" i="1"/>
  <c r="W1119" i="1"/>
  <c r="W1116" i="1"/>
  <c r="W1114" i="1"/>
  <c r="W1115" i="1"/>
  <c r="W1112" i="1"/>
  <c r="W1113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5" i="1"/>
  <c r="W1066" i="1"/>
  <c r="W1064" i="1"/>
  <c r="W1063" i="1"/>
  <c r="W1062" i="1"/>
  <c r="W1061" i="1"/>
  <c r="W1060" i="1"/>
  <c r="W1059" i="1"/>
  <c r="W1057" i="1"/>
  <c r="W1058" i="1"/>
  <c r="W1056" i="1"/>
  <c r="W1055" i="1"/>
  <c r="W1054" i="1"/>
  <c r="W1052" i="1"/>
  <c r="W1051" i="1"/>
  <c r="W1050" i="1"/>
  <c r="W1049" i="1"/>
  <c r="W1048" i="1"/>
  <c r="W1047" i="1"/>
  <c r="W1046" i="1"/>
  <c r="W1045" i="1"/>
  <c r="W1044" i="1"/>
  <c r="W1043" i="1"/>
  <c r="W1041" i="1"/>
  <c r="W1042" i="1"/>
  <c r="W1040" i="1"/>
  <c r="W1039" i="1"/>
  <c r="W1038" i="1"/>
  <c r="W1037" i="1"/>
  <c r="W1036" i="1"/>
  <c r="W1035" i="1"/>
  <c r="W1034" i="1"/>
  <c r="W1033" i="1"/>
  <c r="W1032" i="1"/>
  <c r="W1031" i="1"/>
  <c r="W1030" i="1"/>
  <c r="W1029" i="1"/>
  <c r="W1028" i="1"/>
  <c r="W1027" i="1"/>
  <c r="W1026" i="1"/>
  <c r="W1025" i="1"/>
  <c r="W1024" i="1"/>
  <c r="W1022" i="1"/>
  <c r="W1023" i="1"/>
  <c r="W1021" i="1"/>
  <c r="W1020" i="1"/>
  <c r="W1019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6" i="1"/>
  <c r="W977" i="1"/>
  <c r="W975" i="1"/>
  <c r="W974" i="1"/>
  <c r="W972" i="1"/>
  <c r="W973" i="1"/>
  <c r="W971" i="1"/>
  <c r="W970" i="1"/>
  <c r="W969" i="1"/>
  <c r="W968" i="1"/>
  <c r="W967" i="1"/>
  <c r="W966" i="1"/>
  <c r="W965" i="1"/>
  <c r="W964" i="1"/>
  <c r="W963" i="1"/>
  <c r="W960" i="1"/>
  <c r="W961" i="1"/>
  <c r="W962" i="1"/>
  <c r="W959" i="1"/>
  <c r="W956" i="1"/>
  <c r="W957" i="1"/>
  <c r="W958" i="1"/>
  <c r="W955" i="1"/>
  <c r="W953" i="1"/>
  <c r="W954" i="1"/>
  <c r="W952" i="1"/>
  <c r="W951" i="1"/>
  <c r="W949" i="1"/>
  <c r="W950" i="1"/>
  <c r="W948" i="1"/>
  <c r="W947" i="1"/>
  <c r="W946" i="1"/>
  <c r="W945" i="1"/>
  <c r="W943" i="1"/>
  <c r="W944" i="1"/>
  <c r="W942" i="1"/>
  <c r="W941" i="1"/>
  <c r="W939" i="1"/>
  <c r="W940" i="1"/>
  <c r="W937" i="1"/>
  <c r="W938" i="1"/>
  <c r="W935" i="1"/>
  <c r="W936" i="1"/>
  <c r="W934" i="1"/>
  <c r="W933" i="1"/>
  <c r="W931" i="1"/>
  <c r="W932" i="1"/>
  <c r="W929" i="1"/>
  <c r="W930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89" i="1"/>
  <c r="W890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0" i="1"/>
  <c r="W871" i="1"/>
  <c r="W869" i="1"/>
  <c r="W868" i="1"/>
  <c r="W865" i="1"/>
  <c r="W866" i="1"/>
  <c r="W867" i="1"/>
  <c r="W864" i="1"/>
  <c r="W863" i="1"/>
  <c r="W862" i="1"/>
  <c r="W861" i="1"/>
  <c r="W860" i="1"/>
  <c r="W859" i="1"/>
  <c r="W858" i="1"/>
  <c r="W857" i="1"/>
  <c r="W855" i="1"/>
  <c r="W856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0" i="1"/>
  <c r="W811" i="1"/>
  <c r="W809" i="1"/>
  <c r="W807" i="1"/>
  <c r="W808" i="1"/>
  <c r="W806" i="1"/>
  <c r="W805" i="1"/>
  <c r="W803" i="1"/>
  <c r="W804" i="1"/>
  <c r="W802" i="1"/>
  <c r="W800" i="1"/>
  <c r="W801" i="1"/>
  <c r="W799" i="1"/>
  <c r="W798" i="1"/>
  <c r="W796" i="1"/>
  <c r="W797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8" i="1"/>
  <c r="W779" i="1"/>
  <c r="W776" i="1"/>
  <c r="W777" i="1"/>
  <c r="W775" i="1"/>
  <c r="W774" i="1"/>
  <c r="W773" i="1"/>
  <c r="W772" i="1"/>
  <c r="W771" i="1"/>
  <c r="W769" i="1"/>
  <c r="W770" i="1"/>
  <c r="W767" i="1"/>
  <c r="W768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0" i="1"/>
  <c r="W751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1" i="1"/>
  <c r="W722" i="1"/>
  <c r="W720" i="1"/>
  <c r="W719" i="1"/>
  <c r="W718" i="1"/>
  <c r="W717" i="1"/>
  <c r="W716" i="1"/>
  <c r="W715" i="1"/>
  <c r="W714" i="1"/>
  <c r="W712" i="1"/>
  <c r="W713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4" i="1"/>
  <c r="W675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0" i="1"/>
  <c r="W651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8" i="1"/>
  <c r="W619" i="1"/>
  <c r="W617" i="1"/>
  <c r="W616" i="1"/>
  <c r="W615" i="1"/>
  <c r="W614" i="1"/>
  <c r="W613" i="1"/>
  <c r="W612" i="1"/>
  <c r="W611" i="1"/>
  <c r="W610" i="1"/>
  <c r="W609" i="1"/>
  <c r="W607" i="1"/>
  <c r="W608" i="1"/>
  <c r="W606" i="1"/>
  <c r="W605" i="1"/>
  <c r="W604" i="1"/>
  <c r="W603" i="1"/>
  <c r="W602" i="1"/>
  <c r="W601" i="1"/>
  <c r="W600" i="1"/>
  <c r="W599" i="1"/>
  <c r="W596" i="1"/>
  <c r="W597" i="1"/>
  <c r="W598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8" i="1"/>
  <c r="W579" i="1"/>
  <c r="W577" i="1"/>
  <c r="W576" i="1"/>
  <c r="W575" i="1"/>
  <c r="W574" i="1"/>
  <c r="W573" i="1"/>
  <c r="W572" i="1"/>
  <c r="W571" i="1"/>
  <c r="W570" i="1"/>
  <c r="W569" i="1"/>
  <c r="W568" i="1"/>
  <c r="W567" i="1"/>
  <c r="W565" i="1"/>
  <c r="W566" i="1"/>
  <c r="W564" i="1"/>
  <c r="W563" i="1"/>
  <c r="W562" i="1"/>
  <c r="W561" i="1"/>
  <c r="W560" i="1"/>
  <c r="W559" i="1"/>
  <c r="W558" i="1"/>
  <c r="W557" i="1"/>
  <c r="W555" i="1"/>
  <c r="W556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0" i="1"/>
  <c r="W511" i="1"/>
  <c r="W509" i="1"/>
  <c r="W508" i="1"/>
  <c r="W507" i="1"/>
  <c r="W506" i="1"/>
  <c r="W505" i="1"/>
  <c r="W504" i="1"/>
  <c r="W503" i="1"/>
  <c r="W502" i="1"/>
  <c r="W500" i="1"/>
  <c r="W501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6" i="1"/>
  <c r="W477" i="1"/>
  <c r="W475" i="1"/>
  <c r="W473" i="1"/>
  <c r="W474" i="1"/>
  <c r="W472" i="1"/>
  <c r="W471" i="1"/>
  <c r="W470" i="1"/>
  <c r="W468" i="1"/>
  <c r="W469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7" i="1"/>
  <c r="W418" i="1"/>
  <c r="W416" i="1"/>
  <c r="W415" i="1"/>
  <c r="W414" i="1"/>
  <c r="W413" i="1"/>
  <c r="W412" i="1"/>
  <c r="W410" i="1"/>
  <c r="W411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7" i="1"/>
  <c r="W388" i="1"/>
  <c r="W386" i="1"/>
  <c r="W385" i="1"/>
  <c r="W384" i="1"/>
  <c r="W383" i="1"/>
  <c r="W382" i="1"/>
  <c r="W381" i="1"/>
  <c r="W380" i="1"/>
  <c r="W379" i="1"/>
  <c r="W378" i="1"/>
  <c r="W376" i="1"/>
  <c r="W377" i="1"/>
  <c r="W375" i="1"/>
  <c r="W374" i="1"/>
  <c r="W372" i="1"/>
  <c r="W373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0" i="1"/>
  <c r="W351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8" i="1"/>
  <c r="W329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8" i="1"/>
  <c r="W309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2" i="1"/>
  <c r="W293" i="1"/>
  <c r="W291" i="1"/>
  <c r="W290" i="1"/>
  <c r="W289" i="1"/>
  <c r="W288" i="1"/>
  <c r="W287" i="1"/>
  <c r="W286" i="1"/>
  <c r="W285" i="1"/>
  <c r="W284" i="1"/>
  <c r="W283" i="1"/>
  <c r="W281" i="1"/>
  <c r="W282" i="1"/>
  <c r="W280" i="1"/>
  <c r="W279" i="1"/>
  <c r="W278" i="1"/>
  <c r="W277" i="1"/>
  <c r="W276" i="1"/>
  <c r="W275" i="1"/>
  <c r="W274" i="1"/>
  <c r="W273" i="1"/>
  <c r="W272" i="1"/>
  <c r="W271" i="1"/>
  <c r="W270" i="1"/>
  <c r="W268" i="1"/>
  <c r="W269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7" i="1"/>
  <c r="W198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5" i="1"/>
  <c r="W156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W1053" i="1"/>
  <c r="W1706" i="1"/>
  <c r="V1705" i="1"/>
  <c r="V1704" i="1"/>
  <c r="V1693" i="1"/>
  <c r="V1694" i="1"/>
  <c r="V1695" i="1"/>
  <c r="V1696" i="1"/>
  <c r="V1697" i="1"/>
  <c r="V1698" i="1"/>
  <c r="V1699" i="1"/>
  <c r="V1700" i="1"/>
  <c r="V1701" i="1"/>
  <c r="V1702" i="1"/>
  <c r="V1703" i="1"/>
  <c r="V1689" i="1"/>
  <c r="V1690" i="1"/>
  <c r="V1691" i="1"/>
  <c r="V1692" i="1"/>
  <c r="V1688" i="1"/>
  <c r="V1687" i="1"/>
  <c r="V1686" i="1"/>
  <c r="V1684" i="1"/>
  <c r="V1685" i="1"/>
  <c r="V1683" i="1"/>
  <c r="V1680" i="1"/>
  <c r="V1681" i="1"/>
  <c r="V1682" i="1"/>
  <c r="V1679" i="1"/>
  <c r="V1678" i="1"/>
  <c r="V1677" i="1"/>
  <c r="V1675" i="1"/>
  <c r="V1676" i="1"/>
  <c r="V1674" i="1"/>
  <c r="V1673" i="1"/>
  <c r="V1672" i="1"/>
  <c r="V1664" i="1"/>
  <c r="V1665" i="1"/>
  <c r="V1666" i="1"/>
  <c r="V1667" i="1"/>
  <c r="V1668" i="1"/>
  <c r="V1669" i="1"/>
  <c r="V1670" i="1"/>
  <c r="V1671" i="1"/>
  <c r="V1663" i="1"/>
  <c r="V1662" i="1"/>
  <c r="V1661" i="1"/>
  <c r="V1660" i="1"/>
  <c r="V1659" i="1"/>
  <c r="V1658" i="1"/>
  <c r="V1657" i="1"/>
  <c r="V1656" i="1"/>
  <c r="V1654" i="1"/>
  <c r="V1655" i="1"/>
  <c r="V1653" i="1"/>
  <c r="V1652" i="1"/>
  <c r="V1651" i="1"/>
  <c r="V1650" i="1"/>
  <c r="V1649" i="1"/>
  <c r="V1647" i="1"/>
  <c r="V1648" i="1"/>
  <c r="V1646" i="1"/>
  <c r="V1645" i="1"/>
  <c r="V1644" i="1"/>
  <c r="V1643" i="1"/>
  <c r="V1642" i="1"/>
  <c r="V1641" i="1"/>
  <c r="V1639" i="1"/>
  <c r="V1640" i="1"/>
  <c r="V1635" i="1"/>
  <c r="V1636" i="1"/>
  <c r="V1637" i="1"/>
  <c r="V1638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2" i="1"/>
  <c r="V1533" i="1"/>
  <c r="V1530" i="1"/>
  <c r="V1531" i="1"/>
  <c r="V1529" i="1"/>
  <c r="V1528" i="1"/>
  <c r="V1527" i="1"/>
  <c r="V1526" i="1"/>
  <c r="V1525" i="1"/>
  <c r="V1524" i="1"/>
  <c r="V1523" i="1"/>
  <c r="V1522" i="1"/>
  <c r="V1521" i="1"/>
  <c r="V1519" i="1"/>
  <c r="V1520" i="1"/>
  <c r="V1518" i="1"/>
  <c r="V1517" i="1"/>
  <c r="V1516" i="1"/>
  <c r="V1515" i="1"/>
  <c r="V1514" i="1"/>
  <c r="V1513" i="1"/>
  <c r="V1512" i="1"/>
  <c r="V1511" i="1"/>
  <c r="V1510" i="1"/>
  <c r="V1508" i="1"/>
  <c r="V1509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59" i="1"/>
  <c r="V1460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4" i="1"/>
  <c r="V1435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1" i="1"/>
  <c r="V1412" i="1"/>
  <c r="V1413" i="1"/>
  <c r="V1410" i="1"/>
  <c r="V1409" i="1"/>
  <c r="V1408" i="1"/>
  <c r="V1406" i="1"/>
  <c r="V1407" i="1"/>
  <c r="V1405" i="1"/>
  <c r="V1404" i="1"/>
  <c r="V1402" i="1"/>
  <c r="V1403" i="1"/>
  <c r="V1401" i="1"/>
  <c r="V1400" i="1"/>
  <c r="V1399" i="1"/>
  <c r="V1397" i="1"/>
  <c r="V1398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4" i="1"/>
  <c r="V1355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7" i="1"/>
  <c r="V1328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1" i="1"/>
  <c r="V1310" i="1"/>
  <c r="V1307" i="1"/>
  <c r="V1308" i="1"/>
  <c r="V1309" i="1"/>
  <c r="V1306" i="1"/>
  <c r="V1305" i="1"/>
  <c r="V1303" i="1"/>
  <c r="V1304" i="1"/>
  <c r="V1296" i="1"/>
  <c r="V1297" i="1"/>
  <c r="V1298" i="1"/>
  <c r="V1299" i="1"/>
  <c r="V1300" i="1"/>
  <c r="V1301" i="1"/>
  <c r="V1302" i="1"/>
  <c r="V1295" i="1"/>
  <c r="V1293" i="1"/>
  <c r="V1294" i="1"/>
  <c r="V1291" i="1"/>
  <c r="V1292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5" i="1"/>
  <c r="V1266" i="1"/>
  <c r="V1264" i="1"/>
  <c r="V1263" i="1"/>
  <c r="V1262" i="1"/>
  <c r="V1261" i="1"/>
  <c r="V1260" i="1"/>
  <c r="V1259" i="1"/>
  <c r="V1257" i="1"/>
  <c r="V1258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6" i="1"/>
  <c r="V1217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2" i="1"/>
  <c r="V1173" i="1"/>
  <c r="V1171" i="1"/>
  <c r="V1170" i="1"/>
  <c r="V1169" i="1"/>
  <c r="V1167" i="1"/>
  <c r="V1168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8" i="1"/>
  <c r="V1149" i="1"/>
  <c r="V1147" i="1"/>
  <c r="V1146" i="1"/>
  <c r="V1145" i="1"/>
  <c r="V1144" i="1"/>
  <c r="V1143" i="1"/>
  <c r="V1142" i="1"/>
  <c r="V1141" i="1"/>
  <c r="V1140" i="1"/>
  <c r="V1139" i="1"/>
  <c r="V1138" i="1"/>
  <c r="V1137" i="1"/>
  <c r="V1134" i="1"/>
  <c r="V1135" i="1"/>
  <c r="V1136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7" i="1"/>
  <c r="V1118" i="1"/>
  <c r="V1119" i="1"/>
  <c r="V1116" i="1"/>
  <c r="V1114" i="1"/>
  <c r="V1115" i="1"/>
  <c r="V1112" i="1"/>
  <c r="V1113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5" i="1"/>
  <c r="V1066" i="1"/>
  <c r="V1064" i="1"/>
  <c r="V1063" i="1"/>
  <c r="V1062" i="1"/>
  <c r="V1061" i="1"/>
  <c r="V1060" i="1"/>
  <c r="V1059" i="1"/>
  <c r="V1057" i="1"/>
  <c r="V1058" i="1"/>
  <c r="V1056" i="1"/>
  <c r="V1055" i="1"/>
  <c r="V1054" i="1"/>
  <c r="V1052" i="1"/>
  <c r="V1051" i="1"/>
  <c r="V1050" i="1"/>
  <c r="V1049" i="1"/>
  <c r="V1048" i="1"/>
  <c r="V1047" i="1"/>
  <c r="V1046" i="1"/>
  <c r="V1045" i="1"/>
  <c r="V1044" i="1"/>
  <c r="V1043" i="1"/>
  <c r="V1041" i="1"/>
  <c r="V1042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2" i="1"/>
  <c r="V1023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6" i="1"/>
  <c r="V977" i="1"/>
  <c r="V975" i="1"/>
  <c r="V974" i="1"/>
  <c r="V972" i="1"/>
  <c r="V973" i="1"/>
  <c r="V971" i="1"/>
  <c r="V970" i="1"/>
  <c r="V969" i="1"/>
  <c r="V968" i="1"/>
  <c r="V967" i="1"/>
  <c r="V966" i="1"/>
  <c r="V965" i="1"/>
  <c r="V964" i="1"/>
  <c r="V963" i="1"/>
  <c r="V960" i="1"/>
  <c r="V961" i="1"/>
  <c r="V962" i="1"/>
  <c r="V959" i="1"/>
  <c r="V956" i="1"/>
  <c r="V957" i="1"/>
  <c r="V958" i="1"/>
  <c r="V955" i="1"/>
  <c r="V953" i="1"/>
  <c r="V954" i="1"/>
  <c r="V952" i="1"/>
  <c r="V951" i="1"/>
  <c r="V949" i="1"/>
  <c r="V950" i="1"/>
  <c r="V948" i="1"/>
  <c r="V947" i="1"/>
  <c r="V946" i="1"/>
  <c r="V945" i="1"/>
  <c r="V943" i="1"/>
  <c r="V944" i="1"/>
  <c r="V942" i="1"/>
  <c r="V941" i="1"/>
  <c r="V939" i="1"/>
  <c r="V940" i="1"/>
  <c r="V937" i="1"/>
  <c r="V938" i="1"/>
  <c r="V935" i="1"/>
  <c r="V936" i="1"/>
  <c r="V934" i="1"/>
  <c r="V933" i="1"/>
  <c r="V931" i="1"/>
  <c r="V932" i="1"/>
  <c r="V929" i="1"/>
  <c r="V930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89" i="1"/>
  <c r="V890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0" i="1"/>
  <c r="V871" i="1"/>
  <c r="V869" i="1"/>
  <c r="V868" i="1"/>
  <c r="V865" i="1"/>
  <c r="V866" i="1"/>
  <c r="V867" i="1"/>
  <c r="V864" i="1"/>
  <c r="V863" i="1"/>
  <c r="V862" i="1"/>
  <c r="V861" i="1"/>
  <c r="V860" i="1"/>
  <c r="V859" i="1"/>
  <c r="V858" i="1"/>
  <c r="V857" i="1"/>
  <c r="V855" i="1"/>
  <c r="V856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0" i="1"/>
  <c r="V811" i="1"/>
  <c r="V809" i="1"/>
  <c r="V807" i="1"/>
  <c r="V808" i="1"/>
  <c r="V806" i="1"/>
  <c r="V805" i="1"/>
  <c r="V803" i="1"/>
  <c r="V804" i="1"/>
  <c r="V802" i="1"/>
  <c r="V800" i="1"/>
  <c r="V801" i="1"/>
  <c r="V799" i="1"/>
  <c r="V798" i="1"/>
  <c r="V796" i="1"/>
  <c r="V797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8" i="1"/>
  <c r="V779" i="1"/>
  <c r="V776" i="1"/>
  <c r="V777" i="1"/>
  <c r="V775" i="1"/>
  <c r="V774" i="1"/>
  <c r="V773" i="1"/>
  <c r="V772" i="1"/>
  <c r="V771" i="1"/>
  <c r="V769" i="1"/>
  <c r="V770" i="1"/>
  <c r="V767" i="1"/>
  <c r="V768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0" i="1"/>
  <c r="V751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1" i="1"/>
  <c r="V722" i="1"/>
  <c r="V720" i="1"/>
  <c r="V719" i="1"/>
  <c r="V718" i="1"/>
  <c r="V717" i="1"/>
  <c r="V716" i="1"/>
  <c r="V715" i="1"/>
  <c r="V714" i="1"/>
  <c r="V712" i="1"/>
  <c r="V713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4" i="1"/>
  <c r="V675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0" i="1"/>
  <c r="V651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8" i="1"/>
  <c r="V619" i="1"/>
  <c r="V617" i="1"/>
  <c r="V616" i="1"/>
  <c r="V615" i="1"/>
  <c r="V614" i="1"/>
  <c r="V613" i="1"/>
  <c r="V612" i="1"/>
  <c r="V611" i="1"/>
  <c r="V610" i="1"/>
  <c r="V609" i="1"/>
  <c r="V607" i="1"/>
  <c r="V608" i="1"/>
  <c r="V606" i="1"/>
  <c r="V605" i="1"/>
  <c r="V604" i="1"/>
  <c r="V603" i="1"/>
  <c r="V602" i="1"/>
  <c r="V601" i="1"/>
  <c r="V600" i="1"/>
  <c r="V599" i="1"/>
  <c r="V596" i="1"/>
  <c r="V597" i="1"/>
  <c r="V598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8" i="1"/>
  <c r="V579" i="1"/>
  <c r="V577" i="1"/>
  <c r="V576" i="1"/>
  <c r="V575" i="1"/>
  <c r="V574" i="1"/>
  <c r="V573" i="1"/>
  <c r="V572" i="1"/>
  <c r="V571" i="1"/>
  <c r="V570" i="1"/>
  <c r="V569" i="1"/>
  <c r="V568" i="1"/>
  <c r="V567" i="1"/>
  <c r="V565" i="1"/>
  <c r="V566" i="1"/>
  <c r="V564" i="1"/>
  <c r="V563" i="1"/>
  <c r="V562" i="1"/>
  <c r="V561" i="1"/>
  <c r="V560" i="1"/>
  <c r="V559" i="1"/>
  <c r="V558" i="1"/>
  <c r="V557" i="1"/>
  <c r="V555" i="1"/>
  <c r="V556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0" i="1"/>
  <c r="V511" i="1"/>
  <c r="V509" i="1"/>
  <c r="V508" i="1"/>
  <c r="V507" i="1"/>
  <c r="V506" i="1"/>
  <c r="V505" i="1"/>
  <c r="V504" i="1"/>
  <c r="V503" i="1"/>
  <c r="V502" i="1"/>
  <c r="V500" i="1"/>
  <c r="V501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6" i="1"/>
  <c r="V477" i="1"/>
  <c r="V475" i="1"/>
  <c r="V473" i="1"/>
  <c r="V474" i="1"/>
  <c r="V472" i="1"/>
  <c r="V471" i="1"/>
  <c r="V470" i="1"/>
  <c r="V468" i="1"/>
  <c r="V469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7" i="1"/>
  <c r="V418" i="1"/>
  <c r="V416" i="1"/>
  <c r="V415" i="1"/>
  <c r="V414" i="1"/>
  <c r="V413" i="1"/>
  <c r="V412" i="1"/>
  <c r="V410" i="1"/>
  <c r="V411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7" i="1"/>
  <c r="V388" i="1"/>
  <c r="V386" i="1"/>
  <c r="V385" i="1"/>
  <c r="V384" i="1"/>
  <c r="V383" i="1"/>
  <c r="V382" i="1"/>
  <c r="V381" i="1"/>
  <c r="V380" i="1"/>
  <c r="V379" i="1"/>
  <c r="V378" i="1"/>
  <c r="V376" i="1"/>
  <c r="V377" i="1"/>
  <c r="V375" i="1"/>
  <c r="V374" i="1"/>
  <c r="V372" i="1"/>
  <c r="V373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0" i="1"/>
  <c r="V351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8" i="1"/>
  <c r="V329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8" i="1"/>
  <c r="V309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2" i="1"/>
  <c r="V293" i="1"/>
  <c r="V291" i="1"/>
  <c r="V290" i="1"/>
  <c r="V289" i="1"/>
  <c r="V288" i="1"/>
  <c r="V287" i="1"/>
  <c r="V286" i="1"/>
  <c r="V285" i="1"/>
  <c r="V284" i="1"/>
  <c r="V283" i="1"/>
  <c r="V281" i="1"/>
  <c r="V282" i="1"/>
  <c r="V280" i="1"/>
  <c r="V279" i="1"/>
  <c r="V278" i="1"/>
  <c r="V277" i="1"/>
  <c r="V276" i="1"/>
  <c r="V275" i="1"/>
  <c r="V274" i="1"/>
  <c r="V273" i="1"/>
  <c r="V272" i="1"/>
  <c r="V271" i="1"/>
  <c r="V270" i="1"/>
  <c r="V268" i="1"/>
  <c r="V269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7" i="1"/>
  <c r="V198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5" i="1"/>
  <c r="V156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V1053" i="1"/>
  <c r="V1706" i="1"/>
  <c r="U1705" i="1"/>
  <c r="U1704" i="1"/>
  <c r="U1693" i="1"/>
  <c r="U1694" i="1"/>
  <c r="U1695" i="1"/>
  <c r="U1696" i="1"/>
  <c r="U1697" i="1"/>
  <c r="U1698" i="1"/>
  <c r="U1699" i="1"/>
  <c r="U1700" i="1"/>
  <c r="U1701" i="1"/>
  <c r="U1702" i="1"/>
  <c r="U1703" i="1"/>
  <c r="U1689" i="1"/>
  <c r="U1690" i="1"/>
  <c r="U1691" i="1"/>
  <c r="U1692" i="1"/>
  <c r="U1688" i="1"/>
  <c r="U1687" i="1"/>
  <c r="U1686" i="1"/>
  <c r="U1684" i="1"/>
  <c r="U1685" i="1"/>
  <c r="U1683" i="1"/>
  <c r="U1680" i="1"/>
  <c r="U1681" i="1"/>
  <c r="U1682" i="1"/>
  <c r="U1679" i="1"/>
  <c r="U1678" i="1"/>
  <c r="U1677" i="1"/>
  <c r="U1675" i="1"/>
  <c r="U1676" i="1"/>
  <c r="U1674" i="1"/>
  <c r="U1673" i="1"/>
  <c r="U1672" i="1"/>
  <c r="U1664" i="1"/>
  <c r="U1665" i="1"/>
  <c r="U1666" i="1"/>
  <c r="U1667" i="1"/>
  <c r="U1668" i="1"/>
  <c r="U1669" i="1"/>
  <c r="U1670" i="1"/>
  <c r="U1671" i="1"/>
  <c r="U1663" i="1"/>
  <c r="U1662" i="1"/>
  <c r="U1661" i="1"/>
  <c r="U1660" i="1"/>
  <c r="U1659" i="1"/>
  <c r="U1658" i="1"/>
  <c r="U1657" i="1"/>
  <c r="U1656" i="1"/>
  <c r="U1654" i="1"/>
  <c r="U1655" i="1"/>
  <c r="U1653" i="1"/>
  <c r="U1652" i="1"/>
  <c r="U1651" i="1"/>
  <c r="U1650" i="1"/>
  <c r="U1649" i="1"/>
  <c r="U1647" i="1"/>
  <c r="U1648" i="1"/>
  <c r="U1646" i="1"/>
  <c r="U1645" i="1"/>
  <c r="U1644" i="1"/>
  <c r="U1643" i="1"/>
  <c r="U1642" i="1"/>
  <c r="U1641" i="1"/>
  <c r="U1639" i="1"/>
  <c r="U1640" i="1"/>
  <c r="U1635" i="1"/>
  <c r="U1636" i="1"/>
  <c r="U1637" i="1"/>
  <c r="U1638" i="1"/>
  <c r="U1634" i="1"/>
  <c r="U1633" i="1"/>
  <c r="U1632" i="1"/>
  <c r="U1631" i="1"/>
  <c r="U1630" i="1"/>
  <c r="U1629" i="1"/>
  <c r="U1628" i="1"/>
  <c r="U1627" i="1"/>
  <c r="U1626" i="1"/>
  <c r="U1625" i="1"/>
  <c r="U1624" i="1"/>
  <c r="U1623" i="1"/>
  <c r="U1622" i="1"/>
  <c r="U1621" i="1"/>
  <c r="U1620" i="1"/>
  <c r="U1619" i="1"/>
  <c r="U1618" i="1"/>
  <c r="U1617" i="1"/>
  <c r="U1616" i="1"/>
  <c r="U1615" i="1"/>
  <c r="U1614" i="1"/>
  <c r="U1613" i="1"/>
  <c r="U1612" i="1"/>
  <c r="U1611" i="1"/>
  <c r="U1610" i="1"/>
  <c r="U1609" i="1"/>
  <c r="U1608" i="1"/>
  <c r="U1607" i="1"/>
  <c r="U1606" i="1"/>
  <c r="U1605" i="1"/>
  <c r="U1604" i="1"/>
  <c r="U1603" i="1"/>
  <c r="U1602" i="1"/>
  <c r="U1601" i="1"/>
  <c r="U1600" i="1"/>
  <c r="U1599" i="1"/>
  <c r="U1598" i="1"/>
  <c r="U1597" i="1"/>
  <c r="U1596" i="1"/>
  <c r="U1595" i="1"/>
  <c r="U1594" i="1"/>
  <c r="U1593" i="1"/>
  <c r="U1592" i="1"/>
  <c r="U1591" i="1"/>
  <c r="U1590" i="1"/>
  <c r="U1589" i="1"/>
  <c r="U1588" i="1"/>
  <c r="U1587" i="1"/>
  <c r="U1586" i="1"/>
  <c r="U1585" i="1"/>
  <c r="U1584" i="1"/>
  <c r="U1583" i="1"/>
  <c r="U1582" i="1"/>
  <c r="U1581" i="1"/>
  <c r="U1580" i="1"/>
  <c r="U1579" i="1"/>
  <c r="U1578" i="1"/>
  <c r="U1577" i="1"/>
  <c r="U1576" i="1"/>
  <c r="U1575" i="1"/>
  <c r="U1574" i="1"/>
  <c r="U1573" i="1"/>
  <c r="U1572" i="1"/>
  <c r="U1571" i="1"/>
  <c r="U1570" i="1"/>
  <c r="U1569" i="1"/>
  <c r="U1568" i="1"/>
  <c r="U1567" i="1"/>
  <c r="U1566" i="1"/>
  <c r="U1565" i="1"/>
  <c r="U1564" i="1"/>
  <c r="U1563" i="1"/>
  <c r="U1562" i="1"/>
  <c r="U1561" i="1"/>
  <c r="U1560" i="1"/>
  <c r="U1559" i="1"/>
  <c r="U1558" i="1"/>
  <c r="U1557" i="1"/>
  <c r="U1556" i="1"/>
  <c r="U1555" i="1"/>
  <c r="U1554" i="1"/>
  <c r="U1553" i="1"/>
  <c r="U1552" i="1"/>
  <c r="U1551" i="1"/>
  <c r="U1550" i="1"/>
  <c r="U1549" i="1"/>
  <c r="U1548" i="1"/>
  <c r="U1547" i="1"/>
  <c r="U1546" i="1"/>
  <c r="U1545" i="1"/>
  <c r="U1544" i="1"/>
  <c r="U1543" i="1"/>
  <c r="U1542" i="1"/>
  <c r="U1541" i="1"/>
  <c r="U1540" i="1"/>
  <c r="U1539" i="1"/>
  <c r="U1538" i="1"/>
  <c r="U1537" i="1"/>
  <c r="U1536" i="1"/>
  <c r="U1535" i="1"/>
  <c r="U1534" i="1"/>
  <c r="U1532" i="1"/>
  <c r="U1533" i="1"/>
  <c r="U1530" i="1"/>
  <c r="U1531" i="1"/>
  <c r="U1529" i="1"/>
  <c r="U1528" i="1"/>
  <c r="U1527" i="1"/>
  <c r="U1526" i="1"/>
  <c r="U1525" i="1"/>
  <c r="U1524" i="1"/>
  <c r="U1523" i="1"/>
  <c r="U1522" i="1"/>
  <c r="U1521" i="1"/>
  <c r="U1519" i="1"/>
  <c r="U1520" i="1"/>
  <c r="U1518" i="1"/>
  <c r="U1517" i="1"/>
  <c r="U1516" i="1"/>
  <c r="U1515" i="1"/>
  <c r="U1514" i="1"/>
  <c r="U1513" i="1"/>
  <c r="U1512" i="1"/>
  <c r="U1511" i="1"/>
  <c r="U1510" i="1"/>
  <c r="U1508" i="1"/>
  <c r="U1509" i="1"/>
  <c r="U1507" i="1"/>
  <c r="U1506" i="1"/>
  <c r="U1505" i="1"/>
  <c r="U1504" i="1"/>
  <c r="U1503" i="1"/>
  <c r="U1502" i="1"/>
  <c r="U1501" i="1"/>
  <c r="U1500" i="1"/>
  <c r="U1499" i="1"/>
  <c r="U1498" i="1"/>
  <c r="U1497" i="1"/>
  <c r="U1496" i="1"/>
  <c r="U1495" i="1"/>
  <c r="U1494" i="1"/>
  <c r="U1493" i="1"/>
  <c r="U1492" i="1"/>
  <c r="U1491" i="1"/>
  <c r="U1490" i="1"/>
  <c r="U1489" i="1"/>
  <c r="U1488" i="1"/>
  <c r="U1487" i="1"/>
  <c r="U1486" i="1"/>
  <c r="U1485" i="1"/>
  <c r="U1484" i="1"/>
  <c r="U1483" i="1"/>
  <c r="U1482" i="1"/>
  <c r="U1481" i="1"/>
  <c r="U1480" i="1"/>
  <c r="U1479" i="1"/>
  <c r="U1478" i="1"/>
  <c r="U1477" i="1"/>
  <c r="U1476" i="1"/>
  <c r="U1475" i="1"/>
  <c r="U1474" i="1"/>
  <c r="U1473" i="1"/>
  <c r="U1472" i="1"/>
  <c r="U1471" i="1"/>
  <c r="U1470" i="1"/>
  <c r="U1469" i="1"/>
  <c r="U1468" i="1"/>
  <c r="U1467" i="1"/>
  <c r="U1466" i="1"/>
  <c r="U1465" i="1"/>
  <c r="U1464" i="1"/>
  <c r="U1463" i="1"/>
  <c r="U1462" i="1"/>
  <c r="U1461" i="1"/>
  <c r="U1459" i="1"/>
  <c r="U1460" i="1"/>
  <c r="U1458" i="1"/>
  <c r="U1457" i="1"/>
  <c r="U1456" i="1"/>
  <c r="U1455" i="1"/>
  <c r="U1454" i="1"/>
  <c r="U1453" i="1"/>
  <c r="U1452" i="1"/>
  <c r="U1451" i="1"/>
  <c r="U1450" i="1"/>
  <c r="U1449" i="1"/>
  <c r="U1448" i="1"/>
  <c r="U1447" i="1"/>
  <c r="U1446" i="1"/>
  <c r="U1445" i="1"/>
  <c r="U1444" i="1"/>
  <c r="U1443" i="1"/>
  <c r="U1442" i="1"/>
  <c r="U1441" i="1"/>
  <c r="U1440" i="1"/>
  <c r="U1439" i="1"/>
  <c r="U1438" i="1"/>
  <c r="U1437" i="1"/>
  <c r="U1436" i="1"/>
  <c r="U1434" i="1"/>
  <c r="U1435" i="1"/>
  <c r="U1433" i="1"/>
  <c r="U1432" i="1"/>
  <c r="U1431" i="1"/>
  <c r="U1430" i="1"/>
  <c r="U1429" i="1"/>
  <c r="U1428" i="1"/>
  <c r="U1427" i="1"/>
  <c r="U1426" i="1"/>
  <c r="U1425" i="1"/>
  <c r="U1424" i="1"/>
  <c r="U1423" i="1"/>
  <c r="U1422" i="1"/>
  <c r="U1421" i="1"/>
  <c r="U1420" i="1"/>
  <c r="U1419" i="1"/>
  <c r="U1418" i="1"/>
  <c r="U1417" i="1"/>
  <c r="U1416" i="1"/>
  <c r="U1415" i="1"/>
  <c r="U1414" i="1"/>
  <c r="U1411" i="1"/>
  <c r="U1412" i="1"/>
  <c r="U1413" i="1"/>
  <c r="U1410" i="1"/>
  <c r="U1409" i="1"/>
  <c r="U1408" i="1"/>
  <c r="U1406" i="1"/>
  <c r="U1407" i="1"/>
  <c r="U1405" i="1"/>
  <c r="U1404" i="1"/>
  <c r="U1402" i="1"/>
  <c r="U1403" i="1"/>
  <c r="U1401" i="1"/>
  <c r="U1400" i="1"/>
  <c r="U1399" i="1"/>
  <c r="U1397" i="1"/>
  <c r="U1398" i="1"/>
  <c r="U1396" i="1"/>
  <c r="U1395" i="1"/>
  <c r="U1394" i="1"/>
  <c r="U1393" i="1"/>
  <c r="U1392" i="1"/>
  <c r="U1391" i="1"/>
  <c r="U1390" i="1"/>
  <c r="U1389" i="1"/>
  <c r="U1388" i="1"/>
  <c r="U1387" i="1"/>
  <c r="U1386" i="1"/>
  <c r="U1385" i="1"/>
  <c r="U1384" i="1"/>
  <c r="U1383" i="1"/>
  <c r="U1382" i="1"/>
  <c r="U1381" i="1"/>
  <c r="U1380" i="1"/>
  <c r="U1379" i="1"/>
  <c r="U1378" i="1"/>
  <c r="U1377" i="1"/>
  <c r="U1376" i="1"/>
  <c r="U1375" i="1"/>
  <c r="U1374" i="1"/>
  <c r="U1373" i="1"/>
  <c r="U1372" i="1"/>
  <c r="U1371" i="1"/>
  <c r="U1370" i="1"/>
  <c r="U1369" i="1"/>
  <c r="U1368" i="1"/>
  <c r="U1367" i="1"/>
  <c r="U1366" i="1"/>
  <c r="U1365" i="1"/>
  <c r="U1364" i="1"/>
  <c r="U1363" i="1"/>
  <c r="U1362" i="1"/>
  <c r="U1361" i="1"/>
  <c r="U1360" i="1"/>
  <c r="U1359" i="1"/>
  <c r="U1358" i="1"/>
  <c r="U1357" i="1"/>
  <c r="U1356" i="1"/>
  <c r="U1354" i="1"/>
  <c r="U1355" i="1"/>
  <c r="U1353" i="1"/>
  <c r="U1352" i="1"/>
  <c r="U1351" i="1"/>
  <c r="U1350" i="1"/>
  <c r="U1349" i="1"/>
  <c r="U1348" i="1"/>
  <c r="U1347" i="1"/>
  <c r="U1346" i="1"/>
  <c r="U1345" i="1"/>
  <c r="U1344" i="1"/>
  <c r="U1343" i="1"/>
  <c r="U1342" i="1"/>
  <c r="U1341" i="1"/>
  <c r="U1340" i="1"/>
  <c r="U1339" i="1"/>
  <c r="U1338" i="1"/>
  <c r="U1337" i="1"/>
  <c r="U1336" i="1"/>
  <c r="U1335" i="1"/>
  <c r="U1334" i="1"/>
  <c r="U1333" i="1"/>
  <c r="U1332" i="1"/>
  <c r="U1331" i="1"/>
  <c r="U1330" i="1"/>
  <c r="U1329" i="1"/>
  <c r="U1327" i="1"/>
  <c r="U1328" i="1"/>
  <c r="U1326" i="1"/>
  <c r="U1325" i="1"/>
  <c r="U1324" i="1"/>
  <c r="U1323" i="1"/>
  <c r="U1322" i="1"/>
  <c r="U1321" i="1"/>
  <c r="U1320" i="1"/>
  <c r="U1319" i="1"/>
  <c r="U1318" i="1"/>
  <c r="U1317" i="1"/>
  <c r="U1316" i="1"/>
  <c r="U1315" i="1"/>
  <c r="U1314" i="1"/>
  <c r="U1313" i="1"/>
  <c r="U1311" i="1"/>
  <c r="U1310" i="1"/>
  <c r="U1307" i="1"/>
  <c r="U1308" i="1"/>
  <c r="U1309" i="1"/>
  <c r="U1306" i="1"/>
  <c r="U1305" i="1"/>
  <c r="U1303" i="1"/>
  <c r="U1304" i="1"/>
  <c r="U1296" i="1"/>
  <c r="U1297" i="1"/>
  <c r="U1298" i="1"/>
  <c r="U1299" i="1"/>
  <c r="U1300" i="1"/>
  <c r="U1301" i="1"/>
  <c r="U1302" i="1"/>
  <c r="U1295" i="1"/>
  <c r="U1293" i="1"/>
  <c r="U1294" i="1"/>
  <c r="U1291" i="1"/>
  <c r="U1292" i="1"/>
  <c r="U1290" i="1"/>
  <c r="U1289" i="1"/>
  <c r="U1288" i="1"/>
  <c r="U1287" i="1"/>
  <c r="U1286" i="1"/>
  <c r="U1285" i="1"/>
  <c r="U1284" i="1"/>
  <c r="U1283" i="1"/>
  <c r="U1282" i="1"/>
  <c r="U1281" i="1"/>
  <c r="U1280" i="1"/>
  <c r="U1279" i="1"/>
  <c r="U1278" i="1"/>
  <c r="U1277" i="1"/>
  <c r="U1276" i="1"/>
  <c r="U1275" i="1"/>
  <c r="U1274" i="1"/>
  <c r="U1273" i="1"/>
  <c r="U1272" i="1"/>
  <c r="U1271" i="1"/>
  <c r="U1270" i="1"/>
  <c r="U1269" i="1"/>
  <c r="U1268" i="1"/>
  <c r="U1267" i="1"/>
  <c r="U1265" i="1"/>
  <c r="U1266" i="1"/>
  <c r="U1264" i="1"/>
  <c r="U1263" i="1"/>
  <c r="U1262" i="1"/>
  <c r="U1261" i="1"/>
  <c r="U1260" i="1"/>
  <c r="U1259" i="1"/>
  <c r="U1257" i="1"/>
  <c r="U1258" i="1"/>
  <c r="U1256" i="1"/>
  <c r="U1255" i="1"/>
  <c r="U1254" i="1"/>
  <c r="U1253" i="1"/>
  <c r="U1252" i="1"/>
  <c r="U1251" i="1"/>
  <c r="U1250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29" i="1"/>
  <c r="U1228" i="1"/>
  <c r="U1227" i="1"/>
  <c r="U1226" i="1"/>
  <c r="U1225" i="1"/>
  <c r="U1224" i="1"/>
  <c r="U1223" i="1"/>
  <c r="U1222" i="1"/>
  <c r="U1221" i="1"/>
  <c r="U1220" i="1"/>
  <c r="U1219" i="1"/>
  <c r="U1218" i="1"/>
  <c r="U1216" i="1"/>
  <c r="U1217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2" i="1"/>
  <c r="U1173" i="1"/>
  <c r="U1171" i="1"/>
  <c r="U1170" i="1"/>
  <c r="U1169" i="1"/>
  <c r="U1167" i="1"/>
  <c r="U1168" i="1"/>
  <c r="U1166" i="1"/>
  <c r="U1165" i="1"/>
  <c r="U1164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8" i="1"/>
  <c r="U1149" i="1"/>
  <c r="U1147" i="1"/>
  <c r="U1146" i="1"/>
  <c r="U1145" i="1"/>
  <c r="U1144" i="1"/>
  <c r="U1143" i="1"/>
  <c r="U1142" i="1"/>
  <c r="U1141" i="1"/>
  <c r="U1140" i="1"/>
  <c r="U1139" i="1"/>
  <c r="U1138" i="1"/>
  <c r="U1137" i="1"/>
  <c r="U1134" i="1"/>
  <c r="U1135" i="1"/>
  <c r="U1136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7" i="1"/>
  <c r="U1118" i="1"/>
  <c r="U1119" i="1"/>
  <c r="U1116" i="1"/>
  <c r="U1114" i="1"/>
  <c r="U1115" i="1"/>
  <c r="U1112" i="1"/>
  <c r="U1113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5" i="1"/>
  <c r="U1066" i="1"/>
  <c r="U1064" i="1"/>
  <c r="U1063" i="1"/>
  <c r="U1062" i="1"/>
  <c r="U1061" i="1"/>
  <c r="U1060" i="1"/>
  <c r="U1059" i="1"/>
  <c r="U1057" i="1"/>
  <c r="U1058" i="1"/>
  <c r="U1056" i="1"/>
  <c r="U1055" i="1"/>
  <c r="U1054" i="1"/>
  <c r="U1052" i="1"/>
  <c r="U1051" i="1"/>
  <c r="U1050" i="1"/>
  <c r="U1049" i="1"/>
  <c r="U1048" i="1"/>
  <c r="U1047" i="1"/>
  <c r="U1046" i="1"/>
  <c r="U1045" i="1"/>
  <c r="U1044" i="1"/>
  <c r="U1043" i="1"/>
  <c r="U1041" i="1"/>
  <c r="U1042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2" i="1"/>
  <c r="U1023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6" i="1"/>
  <c r="U977" i="1"/>
  <c r="U975" i="1"/>
  <c r="U974" i="1"/>
  <c r="U972" i="1"/>
  <c r="U973" i="1"/>
  <c r="U971" i="1"/>
  <c r="U970" i="1"/>
  <c r="U969" i="1"/>
  <c r="U968" i="1"/>
  <c r="U967" i="1"/>
  <c r="U966" i="1"/>
  <c r="U965" i="1"/>
  <c r="U964" i="1"/>
  <c r="U963" i="1"/>
  <c r="U960" i="1"/>
  <c r="U961" i="1"/>
  <c r="U962" i="1"/>
  <c r="U959" i="1"/>
  <c r="U956" i="1"/>
  <c r="U957" i="1"/>
  <c r="U958" i="1"/>
  <c r="U955" i="1"/>
  <c r="U953" i="1"/>
  <c r="U954" i="1"/>
  <c r="U952" i="1"/>
  <c r="U951" i="1"/>
  <c r="U949" i="1"/>
  <c r="U950" i="1"/>
  <c r="U948" i="1"/>
  <c r="U947" i="1"/>
  <c r="U946" i="1"/>
  <c r="U945" i="1"/>
  <c r="U943" i="1"/>
  <c r="U944" i="1"/>
  <c r="U942" i="1"/>
  <c r="U941" i="1"/>
  <c r="U939" i="1"/>
  <c r="U940" i="1"/>
  <c r="U937" i="1"/>
  <c r="U938" i="1"/>
  <c r="U935" i="1"/>
  <c r="U936" i="1"/>
  <c r="U934" i="1"/>
  <c r="U933" i="1"/>
  <c r="U931" i="1"/>
  <c r="U932" i="1"/>
  <c r="U929" i="1"/>
  <c r="U930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89" i="1"/>
  <c r="U890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0" i="1"/>
  <c r="U871" i="1"/>
  <c r="U869" i="1"/>
  <c r="U868" i="1"/>
  <c r="U865" i="1"/>
  <c r="U866" i="1"/>
  <c r="U867" i="1"/>
  <c r="U864" i="1"/>
  <c r="U863" i="1"/>
  <c r="U862" i="1"/>
  <c r="U861" i="1"/>
  <c r="U860" i="1"/>
  <c r="U859" i="1"/>
  <c r="U858" i="1"/>
  <c r="U857" i="1"/>
  <c r="U855" i="1"/>
  <c r="U856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0" i="1"/>
  <c r="U811" i="1"/>
  <c r="U809" i="1"/>
  <c r="U807" i="1"/>
  <c r="U808" i="1"/>
  <c r="U806" i="1"/>
  <c r="U805" i="1"/>
  <c r="U803" i="1"/>
  <c r="U804" i="1"/>
  <c r="U802" i="1"/>
  <c r="U800" i="1"/>
  <c r="U801" i="1"/>
  <c r="U799" i="1"/>
  <c r="U798" i="1"/>
  <c r="U796" i="1"/>
  <c r="U797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8" i="1"/>
  <c r="U779" i="1"/>
  <c r="U776" i="1"/>
  <c r="U777" i="1"/>
  <c r="U775" i="1"/>
  <c r="U774" i="1"/>
  <c r="U773" i="1"/>
  <c r="U772" i="1"/>
  <c r="U771" i="1"/>
  <c r="U769" i="1"/>
  <c r="U770" i="1"/>
  <c r="U767" i="1"/>
  <c r="U768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0" i="1"/>
  <c r="U751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1" i="1"/>
  <c r="U722" i="1"/>
  <c r="U720" i="1"/>
  <c r="U719" i="1"/>
  <c r="U718" i="1"/>
  <c r="U717" i="1"/>
  <c r="U716" i="1"/>
  <c r="U715" i="1"/>
  <c r="U714" i="1"/>
  <c r="U712" i="1"/>
  <c r="U713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4" i="1"/>
  <c r="U675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0" i="1"/>
  <c r="U651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8" i="1"/>
  <c r="U619" i="1"/>
  <c r="U617" i="1"/>
  <c r="U616" i="1"/>
  <c r="U615" i="1"/>
  <c r="U614" i="1"/>
  <c r="U613" i="1"/>
  <c r="U612" i="1"/>
  <c r="U611" i="1"/>
  <c r="U610" i="1"/>
  <c r="U609" i="1"/>
  <c r="U607" i="1"/>
  <c r="U608" i="1"/>
  <c r="U606" i="1"/>
  <c r="U605" i="1"/>
  <c r="U604" i="1"/>
  <c r="U603" i="1"/>
  <c r="U602" i="1"/>
  <c r="U601" i="1"/>
  <c r="U600" i="1"/>
  <c r="U599" i="1"/>
  <c r="U596" i="1"/>
  <c r="U597" i="1"/>
  <c r="U598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8" i="1"/>
  <c r="U579" i="1"/>
  <c r="U577" i="1"/>
  <c r="U576" i="1"/>
  <c r="U575" i="1"/>
  <c r="U574" i="1"/>
  <c r="U573" i="1"/>
  <c r="U572" i="1"/>
  <c r="U571" i="1"/>
  <c r="U570" i="1"/>
  <c r="U569" i="1"/>
  <c r="U568" i="1"/>
  <c r="U567" i="1"/>
  <c r="U565" i="1"/>
  <c r="U566" i="1"/>
  <c r="U564" i="1"/>
  <c r="U563" i="1"/>
  <c r="U562" i="1"/>
  <c r="U561" i="1"/>
  <c r="U560" i="1"/>
  <c r="U559" i="1"/>
  <c r="U558" i="1"/>
  <c r="U557" i="1"/>
  <c r="U555" i="1"/>
  <c r="U556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0" i="1"/>
  <c r="U511" i="1"/>
  <c r="U509" i="1"/>
  <c r="U508" i="1"/>
  <c r="U507" i="1"/>
  <c r="U506" i="1"/>
  <c r="U505" i="1"/>
  <c r="U504" i="1"/>
  <c r="U503" i="1"/>
  <c r="U502" i="1"/>
  <c r="U500" i="1"/>
  <c r="U501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6" i="1"/>
  <c r="U477" i="1"/>
  <c r="U475" i="1"/>
  <c r="U473" i="1"/>
  <c r="U474" i="1"/>
  <c r="U472" i="1"/>
  <c r="U471" i="1"/>
  <c r="U470" i="1"/>
  <c r="U468" i="1"/>
  <c r="U469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7" i="1"/>
  <c r="U418" i="1"/>
  <c r="U416" i="1"/>
  <c r="U415" i="1"/>
  <c r="U414" i="1"/>
  <c r="U413" i="1"/>
  <c r="U412" i="1"/>
  <c r="U410" i="1"/>
  <c r="U411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7" i="1"/>
  <c r="U388" i="1"/>
  <c r="U386" i="1"/>
  <c r="U385" i="1"/>
  <c r="U384" i="1"/>
  <c r="U383" i="1"/>
  <c r="U382" i="1"/>
  <c r="U381" i="1"/>
  <c r="U380" i="1"/>
  <c r="U379" i="1"/>
  <c r="U378" i="1"/>
  <c r="U376" i="1"/>
  <c r="U377" i="1"/>
  <c r="U375" i="1"/>
  <c r="U374" i="1"/>
  <c r="U372" i="1"/>
  <c r="U373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0" i="1"/>
  <c r="U351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8" i="1"/>
  <c r="U329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8" i="1"/>
  <c r="U309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2" i="1"/>
  <c r="U293" i="1"/>
  <c r="U291" i="1"/>
  <c r="U290" i="1"/>
  <c r="U289" i="1"/>
  <c r="U288" i="1"/>
  <c r="U287" i="1"/>
  <c r="U286" i="1"/>
  <c r="U285" i="1"/>
  <c r="U284" i="1"/>
  <c r="U283" i="1"/>
  <c r="U281" i="1"/>
  <c r="U282" i="1"/>
  <c r="U280" i="1"/>
  <c r="U279" i="1"/>
  <c r="U278" i="1"/>
  <c r="U277" i="1"/>
  <c r="U276" i="1"/>
  <c r="U275" i="1"/>
  <c r="U274" i="1"/>
  <c r="U273" i="1"/>
  <c r="U272" i="1"/>
  <c r="U271" i="1"/>
  <c r="U270" i="1"/>
  <c r="U268" i="1"/>
  <c r="U269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7" i="1"/>
  <c r="U198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5" i="1"/>
  <c r="U156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U1053" i="1"/>
  <c r="U1706" i="1"/>
  <c r="T1705" i="1"/>
  <c r="T1704" i="1"/>
  <c r="T1693" i="1"/>
  <c r="T1694" i="1"/>
  <c r="T1695" i="1"/>
  <c r="T1696" i="1"/>
  <c r="T1697" i="1"/>
  <c r="T1698" i="1"/>
  <c r="T1699" i="1"/>
  <c r="T1700" i="1"/>
  <c r="T1701" i="1"/>
  <c r="T1702" i="1"/>
  <c r="T1703" i="1"/>
  <c r="T1689" i="1"/>
  <c r="T1690" i="1"/>
  <c r="T1691" i="1"/>
  <c r="T1692" i="1"/>
  <c r="T1688" i="1"/>
  <c r="T1687" i="1"/>
  <c r="T1686" i="1"/>
  <c r="T1684" i="1"/>
  <c r="T1685" i="1"/>
  <c r="T1683" i="1"/>
  <c r="T1680" i="1"/>
  <c r="T1681" i="1"/>
  <c r="T1682" i="1"/>
  <c r="T1679" i="1"/>
  <c r="T1678" i="1"/>
  <c r="T1677" i="1"/>
  <c r="T1675" i="1"/>
  <c r="T1676" i="1"/>
  <c r="T1674" i="1"/>
  <c r="T1673" i="1"/>
  <c r="T1672" i="1"/>
  <c r="T1664" i="1"/>
  <c r="T1665" i="1"/>
  <c r="T1666" i="1"/>
  <c r="T1667" i="1"/>
  <c r="T1668" i="1"/>
  <c r="T1669" i="1"/>
  <c r="T1670" i="1"/>
  <c r="T1671" i="1"/>
  <c r="T1663" i="1"/>
  <c r="T1662" i="1"/>
  <c r="T1661" i="1"/>
  <c r="T1660" i="1"/>
  <c r="T1659" i="1"/>
  <c r="T1658" i="1"/>
  <c r="T1657" i="1"/>
  <c r="T1656" i="1"/>
  <c r="T1654" i="1"/>
  <c r="T1655" i="1"/>
  <c r="T1653" i="1"/>
  <c r="T1652" i="1"/>
  <c r="T1651" i="1"/>
  <c r="T1650" i="1"/>
  <c r="T1649" i="1"/>
  <c r="T1647" i="1"/>
  <c r="T1648" i="1"/>
  <c r="T1646" i="1"/>
  <c r="T1645" i="1"/>
  <c r="T1644" i="1"/>
  <c r="T1643" i="1"/>
  <c r="T1642" i="1"/>
  <c r="T1641" i="1"/>
  <c r="T1639" i="1"/>
  <c r="T1640" i="1"/>
  <c r="T1635" i="1"/>
  <c r="T1636" i="1"/>
  <c r="T1637" i="1"/>
  <c r="T1638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2" i="1"/>
  <c r="T1533" i="1"/>
  <c r="T1530" i="1"/>
  <c r="T1531" i="1"/>
  <c r="T1529" i="1"/>
  <c r="T1528" i="1"/>
  <c r="T1527" i="1"/>
  <c r="T1526" i="1"/>
  <c r="T1525" i="1"/>
  <c r="T1524" i="1"/>
  <c r="T1523" i="1"/>
  <c r="T1522" i="1"/>
  <c r="T1521" i="1"/>
  <c r="T1519" i="1"/>
  <c r="T1520" i="1"/>
  <c r="T1518" i="1"/>
  <c r="T1517" i="1"/>
  <c r="T1516" i="1"/>
  <c r="T1515" i="1"/>
  <c r="T1514" i="1"/>
  <c r="T1513" i="1"/>
  <c r="T1512" i="1"/>
  <c r="T1511" i="1"/>
  <c r="T1510" i="1"/>
  <c r="T1508" i="1"/>
  <c r="T1509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59" i="1"/>
  <c r="T1460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4" i="1"/>
  <c r="T1435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1" i="1"/>
  <c r="T1412" i="1"/>
  <c r="T1413" i="1"/>
  <c r="T1410" i="1"/>
  <c r="T1409" i="1"/>
  <c r="T1408" i="1"/>
  <c r="T1406" i="1"/>
  <c r="T1407" i="1"/>
  <c r="T1405" i="1"/>
  <c r="T1404" i="1"/>
  <c r="T1402" i="1"/>
  <c r="T1403" i="1"/>
  <c r="T1401" i="1"/>
  <c r="T1400" i="1"/>
  <c r="T1399" i="1"/>
  <c r="T1397" i="1"/>
  <c r="T1398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4" i="1"/>
  <c r="T1355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7" i="1"/>
  <c r="T1328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1" i="1"/>
  <c r="T1310" i="1"/>
  <c r="T1307" i="1"/>
  <c r="T1308" i="1"/>
  <c r="T1309" i="1"/>
  <c r="T1306" i="1"/>
  <c r="T1305" i="1"/>
  <c r="T1303" i="1"/>
  <c r="T1304" i="1"/>
  <c r="T1296" i="1"/>
  <c r="T1297" i="1"/>
  <c r="T1298" i="1"/>
  <c r="T1299" i="1"/>
  <c r="T1300" i="1"/>
  <c r="T1301" i="1"/>
  <c r="T1302" i="1"/>
  <c r="T1295" i="1"/>
  <c r="T1293" i="1"/>
  <c r="T1294" i="1"/>
  <c r="T1291" i="1"/>
  <c r="T1292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5" i="1"/>
  <c r="T1266" i="1"/>
  <c r="T1264" i="1"/>
  <c r="T1263" i="1"/>
  <c r="T1262" i="1"/>
  <c r="T1261" i="1"/>
  <c r="T1260" i="1"/>
  <c r="T1259" i="1"/>
  <c r="T1257" i="1"/>
  <c r="T1258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6" i="1"/>
  <c r="T1217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2" i="1"/>
  <c r="T1173" i="1"/>
  <c r="T1171" i="1"/>
  <c r="T1170" i="1"/>
  <c r="T1169" i="1"/>
  <c r="T1167" i="1"/>
  <c r="T1168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8" i="1"/>
  <c r="T1149" i="1"/>
  <c r="T1147" i="1"/>
  <c r="T1146" i="1"/>
  <c r="T1145" i="1"/>
  <c r="T1144" i="1"/>
  <c r="T1143" i="1"/>
  <c r="T1142" i="1"/>
  <c r="T1141" i="1"/>
  <c r="T1140" i="1"/>
  <c r="T1139" i="1"/>
  <c r="T1138" i="1"/>
  <c r="T1137" i="1"/>
  <c r="T1134" i="1"/>
  <c r="T1135" i="1"/>
  <c r="T1136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7" i="1"/>
  <c r="T1118" i="1"/>
  <c r="T1119" i="1"/>
  <c r="T1116" i="1"/>
  <c r="T1114" i="1"/>
  <c r="T1115" i="1"/>
  <c r="T1112" i="1"/>
  <c r="T1113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5" i="1"/>
  <c r="T1066" i="1"/>
  <c r="T1064" i="1"/>
  <c r="T1063" i="1"/>
  <c r="T1062" i="1"/>
  <c r="T1061" i="1"/>
  <c r="T1060" i="1"/>
  <c r="T1059" i="1"/>
  <c r="T1057" i="1"/>
  <c r="T1058" i="1"/>
  <c r="T1056" i="1"/>
  <c r="T1055" i="1"/>
  <c r="T1054" i="1"/>
  <c r="T1052" i="1"/>
  <c r="T1051" i="1"/>
  <c r="T1050" i="1"/>
  <c r="T1049" i="1"/>
  <c r="T1048" i="1"/>
  <c r="T1047" i="1"/>
  <c r="T1046" i="1"/>
  <c r="T1045" i="1"/>
  <c r="T1044" i="1"/>
  <c r="T1043" i="1"/>
  <c r="T1041" i="1"/>
  <c r="T1042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2" i="1"/>
  <c r="T1023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6" i="1"/>
  <c r="T977" i="1"/>
  <c r="T975" i="1"/>
  <c r="T974" i="1"/>
  <c r="T972" i="1"/>
  <c r="T973" i="1"/>
  <c r="T971" i="1"/>
  <c r="T970" i="1"/>
  <c r="T969" i="1"/>
  <c r="T968" i="1"/>
  <c r="T967" i="1"/>
  <c r="T966" i="1"/>
  <c r="T965" i="1"/>
  <c r="T964" i="1"/>
  <c r="T963" i="1"/>
  <c r="T960" i="1"/>
  <c r="T961" i="1"/>
  <c r="T962" i="1"/>
  <c r="T959" i="1"/>
  <c r="T956" i="1"/>
  <c r="T957" i="1"/>
  <c r="T958" i="1"/>
  <c r="T955" i="1"/>
  <c r="T953" i="1"/>
  <c r="T954" i="1"/>
  <c r="T952" i="1"/>
  <c r="T951" i="1"/>
  <c r="T949" i="1"/>
  <c r="T950" i="1"/>
  <c r="T948" i="1"/>
  <c r="T947" i="1"/>
  <c r="T946" i="1"/>
  <c r="T945" i="1"/>
  <c r="T943" i="1"/>
  <c r="T944" i="1"/>
  <c r="T942" i="1"/>
  <c r="T941" i="1"/>
  <c r="T939" i="1"/>
  <c r="T940" i="1"/>
  <c r="T937" i="1"/>
  <c r="T938" i="1"/>
  <c r="T935" i="1"/>
  <c r="T936" i="1"/>
  <c r="T934" i="1"/>
  <c r="T933" i="1"/>
  <c r="T931" i="1"/>
  <c r="T932" i="1"/>
  <c r="T929" i="1"/>
  <c r="T930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89" i="1"/>
  <c r="T890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0" i="1"/>
  <c r="T871" i="1"/>
  <c r="T869" i="1"/>
  <c r="T868" i="1"/>
  <c r="T865" i="1"/>
  <c r="T866" i="1"/>
  <c r="T867" i="1"/>
  <c r="T864" i="1"/>
  <c r="T863" i="1"/>
  <c r="T862" i="1"/>
  <c r="T861" i="1"/>
  <c r="T860" i="1"/>
  <c r="T859" i="1"/>
  <c r="T858" i="1"/>
  <c r="T857" i="1"/>
  <c r="T855" i="1"/>
  <c r="T856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0" i="1"/>
  <c r="T811" i="1"/>
  <c r="T809" i="1"/>
  <c r="T807" i="1"/>
  <c r="T808" i="1"/>
  <c r="T806" i="1"/>
  <c r="T805" i="1"/>
  <c r="T803" i="1"/>
  <c r="T804" i="1"/>
  <c r="T802" i="1"/>
  <c r="T800" i="1"/>
  <c r="T801" i="1"/>
  <c r="T799" i="1"/>
  <c r="T798" i="1"/>
  <c r="T796" i="1"/>
  <c r="T797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8" i="1"/>
  <c r="T779" i="1"/>
  <c r="T776" i="1"/>
  <c r="T777" i="1"/>
  <c r="T775" i="1"/>
  <c r="T774" i="1"/>
  <c r="T773" i="1"/>
  <c r="T772" i="1"/>
  <c r="T771" i="1"/>
  <c r="T769" i="1"/>
  <c r="T770" i="1"/>
  <c r="T767" i="1"/>
  <c r="T768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0" i="1"/>
  <c r="T751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1" i="1"/>
  <c r="T722" i="1"/>
  <c r="T720" i="1"/>
  <c r="T719" i="1"/>
  <c r="T718" i="1"/>
  <c r="T717" i="1"/>
  <c r="T716" i="1"/>
  <c r="T715" i="1"/>
  <c r="T714" i="1"/>
  <c r="T712" i="1"/>
  <c r="T713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4" i="1"/>
  <c r="T675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0" i="1"/>
  <c r="T651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8" i="1"/>
  <c r="T619" i="1"/>
  <c r="T617" i="1"/>
  <c r="T616" i="1"/>
  <c r="T615" i="1"/>
  <c r="T614" i="1"/>
  <c r="T613" i="1"/>
  <c r="T612" i="1"/>
  <c r="T611" i="1"/>
  <c r="T610" i="1"/>
  <c r="T609" i="1"/>
  <c r="T607" i="1"/>
  <c r="T608" i="1"/>
  <c r="T606" i="1"/>
  <c r="T605" i="1"/>
  <c r="T604" i="1"/>
  <c r="T603" i="1"/>
  <c r="T602" i="1"/>
  <c r="T601" i="1"/>
  <c r="T600" i="1"/>
  <c r="T599" i="1"/>
  <c r="T596" i="1"/>
  <c r="T597" i="1"/>
  <c r="T598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8" i="1"/>
  <c r="T579" i="1"/>
  <c r="T577" i="1"/>
  <c r="T576" i="1"/>
  <c r="T575" i="1"/>
  <c r="T574" i="1"/>
  <c r="T573" i="1"/>
  <c r="T572" i="1"/>
  <c r="T571" i="1"/>
  <c r="T570" i="1"/>
  <c r="T569" i="1"/>
  <c r="T568" i="1"/>
  <c r="T567" i="1"/>
  <c r="T565" i="1"/>
  <c r="T566" i="1"/>
  <c r="T564" i="1"/>
  <c r="T563" i="1"/>
  <c r="T562" i="1"/>
  <c r="T561" i="1"/>
  <c r="T560" i="1"/>
  <c r="T559" i="1"/>
  <c r="T558" i="1"/>
  <c r="T557" i="1"/>
  <c r="T555" i="1"/>
  <c r="T556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0" i="1"/>
  <c r="T511" i="1"/>
  <c r="T509" i="1"/>
  <c r="T508" i="1"/>
  <c r="T507" i="1"/>
  <c r="T506" i="1"/>
  <c r="T505" i="1"/>
  <c r="T504" i="1"/>
  <c r="T503" i="1"/>
  <c r="T502" i="1"/>
  <c r="T500" i="1"/>
  <c r="T501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6" i="1"/>
  <c r="T477" i="1"/>
  <c r="T475" i="1"/>
  <c r="T473" i="1"/>
  <c r="T474" i="1"/>
  <c r="T472" i="1"/>
  <c r="T471" i="1"/>
  <c r="T470" i="1"/>
  <c r="T468" i="1"/>
  <c r="T469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7" i="1"/>
  <c r="T418" i="1"/>
  <c r="T416" i="1"/>
  <c r="T415" i="1"/>
  <c r="T414" i="1"/>
  <c r="T413" i="1"/>
  <c r="T412" i="1"/>
  <c r="T410" i="1"/>
  <c r="T411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7" i="1"/>
  <c r="T388" i="1"/>
  <c r="T386" i="1"/>
  <c r="T385" i="1"/>
  <c r="T384" i="1"/>
  <c r="T383" i="1"/>
  <c r="T382" i="1"/>
  <c r="T381" i="1"/>
  <c r="T380" i="1"/>
  <c r="T379" i="1"/>
  <c r="T378" i="1"/>
  <c r="T376" i="1"/>
  <c r="T377" i="1"/>
  <c r="T375" i="1"/>
  <c r="T374" i="1"/>
  <c r="T372" i="1"/>
  <c r="T373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0" i="1"/>
  <c r="T351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8" i="1"/>
  <c r="T329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8" i="1"/>
  <c r="T309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2" i="1"/>
  <c r="T293" i="1"/>
  <c r="T291" i="1"/>
  <c r="T290" i="1"/>
  <c r="T289" i="1"/>
  <c r="T288" i="1"/>
  <c r="T287" i="1"/>
  <c r="T286" i="1"/>
  <c r="T285" i="1"/>
  <c r="T284" i="1"/>
  <c r="T283" i="1"/>
  <c r="T281" i="1"/>
  <c r="T282" i="1"/>
  <c r="T280" i="1"/>
  <c r="T279" i="1"/>
  <c r="T278" i="1"/>
  <c r="T277" i="1"/>
  <c r="T276" i="1"/>
  <c r="T275" i="1"/>
  <c r="T274" i="1"/>
  <c r="T273" i="1"/>
  <c r="T272" i="1"/>
  <c r="T271" i="1"/>
  <c r="T270" i="1"/>
  <c r="T268" i="1"/>
  <c r="T269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7" i="1"/>
  <c r="T198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5" i="1"/>
  <c r="T156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T1053" i="1"/>
  <c r="T1706" i="1"/>
  <c r="S1705" i="1"/>
  <c r="S1704" i="1"/>
  <c r="S1693" i="1"/>
  <c r="S1694" i="1"/>
  <c r="S1695" i="1"/>
  <c r="S1696" i="1"/>
  <c r="S1697" i="1"/>
  <c r="S1698" i="1"/>
  <c r="S1699" i="1"/>
  <c r="S1700" i="1"/>
  <c r="S1701" i="1"/>
  <c r="S1702" i="1"/>
  <c r="S1703" i="1"/>
  <c r="S1689" i="1"/>
  <c r="S1690" i="1"/>
  <c r="S1691" i="1"/>
  <c r="S1692" i="1"/>
  <c r="S1688" i="1"/>
  <c r="S1687" i="1"/>
  <c r="S1686" i="1"/>
  <c r="S1684" i="1"/>
  <c r="S1685" i="1"/>
  <c r="S1683" i="1"/>
  <c r="S1680" i="1"/>
  <c r="S1681" i="1"/>
  <c r="S1682" i="1"/>
  <c r="S1679" i="1"/>
  <c r="S1678" i="1"/>
  <c r="S1677" i="1"/>
  <c r="S1675" i="1"/>
  <c r="S1676" i="1"/>
  <c r="S1674" i="1"/>
  <c r="S1673" i="1"/>
  <c r="S1672" i="1"/>
  <c r="S1664" i="1"/>
  <c r="S1665" i="1"/>
  <c r="S1666" i="1"/>
  <c r="S1667" i="1"/>
  <c r="S1668" i="1"/>
  <c r="S1669" i="1"/>
  <c r="S1670" i="1"/>
  <c r="S1671" i="1"/>
  <c r="S1663" i="1"/>
  <c r="S1662" i="1"/>
  <c r="S1661" i="1"/>
  <c r="S1660" i="1"/>
  <c r="S1659" i="1"/>
  <c r="S1658" i="1"/>
  <c r="S1657" i="1"/>
  <c r="S1656" i="1"/>
  <c r="S1654" i="1"/>
  <c r="S1655" i="1"/>
  <c r="S1653" i="1"/>
  <c r="S1652" i="1"/>
  <c r="S1651" i="1"/>
  <c r="S1650" i="1"/>
  <c r="S1649" i="1"/>
  <c r="S1647" i="1"/>
  <c r="S1648" i="1"/>
  <c r="S1646" i="1"/>
  <c r="S1645" i="1"/>
  <c r="S1644" i="1"/>
  <c r="S1643" i="1"/>
  <c r="S1642" i="1"/>
  <c r="S1641" i="1"/>
  <c r="S1639" i="1"/>
  <c r="S1640" i="1"/>
  <c r="S1635" i="1"/>
  <c r="S1636" i="1"/>
  <c r="S1637" i="1"/>
  <c r="S1638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2" i="1"/>
  <c r="S1533" i="1"/>
  <c r="S1530" i="1"/>
  <c r="S1531" i="1"/>
  <c r="S1529" i="1"/>
  <c r="S1528" i="1"/>
  <c r="S1527" i="1"/>
  <c r="S1526" i="1"/>
  <c r="S1525" i="1"/>
  <c r="S1524" i="1"/>
  <c r="S1523" i="1"/>
  <c r="S1522" i="1"/>
  <c r="S1521" i="1"/>
  <c r="S1519" i="1"/>
  <c r="S1520" i="1"/>
  <c r="S1518" i="1"/>
  <c r="S1517" i="1"/>
  <c r="S1516" i="1"/>
  <c r="S1515" i="1"/>
  <c r="S1514" i="1"/>
  <c r="S1513" i="1"/>
  <c r="S1512" i="1"/>
  <c r="S1511" i="1"/>
  <c r="S1510" i="1"/>
  <c r="S1508" i="1"/>
  <c r="S1509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59" i="1"/>
  <c r="S1460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4" i="1"/>
  <c r="S1435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1" i="1"/>
  <c r="S1412" i="1"/>
  <c r="S1413" i="1"/>
  <c r="S1410" i="1"/>
  <c r="S1409" i="1"/>
  <c r="S1408" i="1"/>
  <c r="S1406" i="1"/>
  <c r="S1407" i="1"/>
  <c r="S1405" i="1"/>
  <c r="S1404" i="1"/>
  <c r="S1402" i="1"/>
  <c r="S1403" i="1"/>
  <c r="S1401" i="1"/>
  <c r="S1400" i="1"/>
  <c r="S1399" i="1"/>
  <c r="S1397" i="1"/>
  <c r="S1398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4" i="1"/>
  <c r="S1355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7" i="1"/>
  <c r="S1328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1" i="1"/>
  <c r="S1310" i="1"/>
  <c r="S1307" i="1"/>
  <c r="S1308" i="1"/>
  <c r="S1309" i="1"/>
  <c r="S1306" i="1"/>
  <c r="S1305" i="1"/>
  <c r="S1303" i="1"/>
  <c r="S1304" i="1"/>
  <c r="S1296" i="1"/>
  <c r="S1297" i="1"/>
  <c r="S1298" i="1"/>
  <c r="S1299" i="1"/>
  <c r="S1300" i="1"/>
  <c r="S1301" i="1"/>
  <c r="S1302" i="1"/>
  <c r="S1295" i="1"/>
  <c r="S1293" i="1"/>
  <c r="S1294" i="1"/>
  <c r="S1291" i="1"/>
  <c r="S1292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5" i="1"/>
  <c r="S1266" i="1"/>
  <c r="S1264" i="1"/>
  <c r="S1263" i="1"/>
  <c r="S1262" i="1"/>
  <c r="S1261" i="1"/>
  <c r="S1260" i="1"/>
  <c r="S1259" i="1"/>
  <c r="S1257" i="1"/>
  <c r="S1258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6" i="1"/>
  <c r="S1217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2" i="1"/>
  <c r="S1173" i="1"/>
  <c r="S1171" i="1"/>
  <c r="S1170" i="1"/>
  <c r="S1169" i="1"/>
  <c r="S1167" i="1"/>
  <c r="S1168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8" i="1"/>
  <c r="S1149" i="1"/>
  <c r="S1147" i="1"/>
  <c r="S1146" i="1"/>
  <c r="S1145" i="1"/>
  <c r="S1144" i="1"/>
  <c r="S1143" i="1"/>
  <c r="S1142" i="1"/>
  <c r="S1141" i="1"/>
  <c r="S1140" i="1"/>
  <c r="S1139" i="1"/>
  <c r="S1138" i="1"/>
  <c r="S1137" i="1"/>
  <c r="S1134" i="1"/>
  <c r="S1135" i="1"/>
  <c r="S1136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7" i="1"/>
  <c r="S1118" i="1"/>
  <c r="S1119" i="1"/>
  <c r="S1116" i="1"/>
  <c r="S1114" i="1"/>
  <c r="S1115" i="1"/>
  <c r="S1112" i="1"/>
  <c r="S1113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5" i="1"/>
  <c r="S1066" i="1"/>
  <c r="S1064" i="1"/>
  <c r="S1063" i="1"/>
  <c r="S1062" i="1"/>
  <c r="S1061" i="1"/>
  <c r="S1060" i="1"/>
  <c r="S1059" i="1"/>
  <c r="S1057" i="1"/>
  <c r="S1058" i="1"/>
  <c r="S1056" i="1"/>
  <c r="S1055" i="1"/>
  <c r="S1054" i="1"/>
  <c r="S1052" i="1"/>
  <c r="S1051" i="1"/>
  <c r="S1050" i="1"/>
  <c r="S1049" i="1"/>
  <c r="S1048" i="1"/>
  <c r="S1047" i="1"/>
  <c r="S1046" i="1"/>
  <c r="S1045" i="1"/>
  <c r="S1044" i="1"/>
  <c r="S1043" i="1"/>
  <c r="S1041" i="1"/>
  <c r="S1042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2" i="1"/>
  <c r="S1023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6" i="1"/>
  <c r="S977" i="1"/>
  <c r="S975" i="1"/>
  <c r="S974" i="1"/>
  <c r="S972" i="1"/>
  <c r="S973" i="1"/>
  <c r="S971" i="1"/>
  <c r="S970" i="1"/>
  <c r="S969" i="1"/>
  <c r="S968" i="1"/>
  <c r="S967" i="1"/>
  <c r="S966" i="1"/>
  <c r="S965" i="1"/>
  <c r="S964" i="1"/>
  <c r="S963" i="1"/>
  <c r="S960" i="1"/>
  <c r="S961" i="1"/>
  <c r="S962" i="1"/>
  <c r="S959" i="1"/>
  <c r="S956" i="1"/>
  <c r="S957" i="1"/>
  <c r="S958" i="1"/>
  <c r="S955" i="1"/>
  <c r="S953" i="1"/>
  <c r="S954" i="1"/>
  <c r="S952" i="1"/>
  <c r="S951" i="1"/>
  <c r="S949" i="1"/>
  <c r="S950" i="1"/>
  <c r="S948" i="1"/>
  <c r="S947" i="1"/>
  <c r="S946" i="1"/>
  <c r="S945" i="1"/>
  <c r="S943" i="1"/>
  <c r="S944" i="1"/>
  <c r="S942" i="1"/>
  <c r="S941" i="1"/>
  <c r="S939" i="1"/>
  <c r="S940" i="1"/>
  <c r="S937" i="1"/>
  <c r="S938" i="1"/>
  <c r="S935" i="1"/>
  <c r="S936" i="1"/>
  <c r="S934" i="1"/>
  <c r="S933" i="1"/>
  <c r="S931" i="1"/>
  <c r="S932" i="1"/>
  <c r="S929" i="1"/>
  <c r="S930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89" i="1"/>
  <c r="S890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0" i="1"/>
  <c r="S871" i="1"/>
  <c r="S869" i="1"/>
  <c r="S868" i="1"/>
  <c r="S865" i="1"/>
  <c r="S866" i="1"/>
  <c r="S867" i="1"/>
  <c r="S864" i="1"/>
  <c r="S863" i="1"/>
  <c r="S862" i="1"/>
  <c r="S861" i="1"/>
  <c r="S860" i="1"/>
  <c r="S859" i="1"/>
  <c r="S858" i="1"/>
  <c r="S857" i="1"/>
  <c r="S855" i="1"/>
  <c r="S856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0" i="1"/>
  <c r="S811" i="1"/>
  <c r="S809" i="1"/>
  <c r="S807" i="1"/>
  <c r="S808" i="1"/>
  <c r="S806" i="1"/>
  <c r="S805" i="1"/>
  <c r="S803" i="1"/>
  <c r="S804" i="1"/>
  <c r="S802" i="1"/>
  <c r="S800" i="1"/>
  <c r="S801" i="1"/>
  <c r="S799" i="1"/>
  <c r="S798" i="1"/>
  <c r="S796" i="1"/>
  <c r="S797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8" i="1"/>
  <c r="S779" i="1"/>
  <c r="S776" i="1"/>
  <c r="S777" i="1"/>
  <c r="S775" i="1"/>
  <c r="S774" i="1"/>
  <c r="S773" i="1"/>
  <c r="S772" i="1"/>
  <c r="S771" i="1"/>
  <c r="S769" i="1"/>
  <c r="S770" i="1"/>
  <c r="S767" i="1"/>
  <c r="S768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0" i="1"/>
  <c r="S751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1" i="1"/>
  <c r="S722" i="1"/>
  <c r="S720" i="1"/>
  <c r="S719" i="1"/>
  <c r="S718" i="1"/>
  <c r="S717" i="1"/>
  <c r="S716" i="1"/>
  <c r="S715" i="1"/>
  <c r="S714" i="1"/>
  <c r="S712" i="1"/>
  <c r="S713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4" i="1"/>
  <c r="S675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0" i="1"/>
  <c r="S651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8" i="1"/>
  <c r="S619" i="1"/>
  <c r="S617" i="1"/>
  <c r="S616" i="1"/>
  <c r="S615" i="1"/>
  <c r="S614" i="1"/>
  <c r="S613" i="1"/>
  <c r="S612" i="1"/>
  <c r="S611" i="1"/>
  <c r="S610" i="1"/>
  <c r="S609" i="1"/>
  <c r="S607" i="1"/>
  <c r="S608" i="1"/>
  <c r="S606" i="1"/>
  <c r="S605" i="1"/>
  <c r="S604" i="1"/>
  <c r="S603" i="1"/>
  <c r="S602" i="1"/>
  <c r="S601" i="1"/>
  <c r="S600" i="1"/>
  <c r="S599" i="1"/>
  <c r="S596" i="1"/>
  <c r="S597" i="1"/>
  <c r="S598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8" i="1"/>
  <c r="S579" i="1"/>
  <c r="S577" i="1"/>
  <c r="S576" i="1"/>
  <c r="S575" i="1"/>
  <c r="S574" i="1"/>
  <c r="S573" i="1"/>
  <c r="S572" i="1"/>
  <c r="S571" i="1"/>
  <c r="S570" i="1"/>
  <c r="S569" i="1"/>
  <c r="S568" i="1"/>
  <c r="S567" i="1"/>
  <c r="S565" i="1"/>
  <c r="S566" i="1"/>
  <c r="S564" i="1"/>
  <c r="S563" i="1"/>
  <c r="S562" i="1"/>
  <c r="S561" i="1"/>
  <c r="S560" i="1"/>
  <c r="S559" i="1"/>
  <c r="S558" i="1"/>
  <c r="S557" i="1"/>
  <c r="S555" i="1"/>
  <c r="S556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0" i="1"/>
  <c r="S511" i="1"/>
  <c r="S509" i="1"/>
  <c r="S508" i="1"/>
  <c r="S507" i="1"/>
  <c r="S506" i="1"/>
  <c r="S505" i="1"/>
  <c r="S504" i="1"/>
  <c r="S503" i="1"/>
  <c r="S502" i="1"/>
  <c r="S500" i="1"/>
  <c r="S501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6" i="1"/>
  <c r="S477" i="1"/>
  <c r="S475" i="1"/>
  <c r="S473" i="1"/>
  <c r="S474" i="1"/>
  <c r="S472" i="1"/>
  <c r="S471" i="1"/>
  <c r="S470" i="1"/>
  <c r="S468" i="1"/>
  <c r="S469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7" i="1"/>
  <c r="S418" i="1"/>
  <c r="S416" i="1"/>
  <c r="S415" i="1"/>
  <c r="S414" i="1"/>
  <c r="S413" i="1"/>
  <c r="S412" i="1"/>
  <c r="S410" i="1"/>
  <c r="S411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7" i="1"/>
  <c r="S388" i="1"/>
  <c r="S386" i="1"/>
  <c r="S385" i="1"/>
  <c r="S384" i="1"/>
  <c r="S383" i="1"/>
  <c r="S382" i="1"/>
  <c r="S381" i="1"/>
  <c r="S380" i="1"/>
  <c r="S379" i="1"/>
  <c r="S378" i="1"/>
  <c r="S376" i="1"/>
  <c r="S377" i="1"/>
  <c r="S375" i="1"/>
  <c r="S374" i="1"/>
  <c r="S372" i="1"/>
  <c r="S373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0" i="1"/>
  <c r="S351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8" i="1"/>
  <c r="S329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8" i="1"/>
  <c r="S309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2" i="1"/>
  <c r="S293" i="1"/>
  <c r="S291" i="1"/>
  <c r="S290" i="1"/>
  <c r="S289" i="1"/>
  <c r="S288" i="1"/>
  <c r="S287" i="1"/>
  <c r="S286" i="1"/>
  <c r="S285" i="1"/>
  <c r="S284" i="1"/>
  <c r="S283" i="1"/>
  <c r="S281" i="1"/>
  <c r="S282" i="1"/>
  <c r="S280" i="1"/>
  <c r="S279" i="1"/>
  <c r="S278" i="1"/>
  <c r="S277" i="1"/>
  <c r="S276" i="1"/>
  <c r="S275" i="1"/>
  <c r="S274" i="1"/>
  <c r="S273" i="1"/>
  <c r="S272" i="1"/>
  <c r="S271" i="1"/>
  <c r="S270" i="1"/>
  <c r="S268" i="1"/>
  <c r="S269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7" i="1"/>
  <c r="S198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5" i="1"/>
  <c r="S156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S1053" i="1"/>
  <c r="S1706" i="1"/>
  <c r="AM1705" i="1"/>
  <c r="AM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D7" i="4"/>
  <c r="F7" i="4" s="1"/>
  <c r="D6" i="4"/>
  <c r="F6" i="4" s="1"/>
  <c r="B4" i="4"/>
  <c r="E32" i="4"/>
  <c r="D32" i="4"/>
  <c r="F32" i="4" s="1"/>
  <c r="D33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" i="4"/>
  <c r="E33" i="4"/>
  <c r="F33" i="4" s="1"/>
  <c r="E7" i="4"/>
  <c r="E6" i="4"/>
  <c r="E5" i="4"/>
  <c r="E4" i="4"/>
  <c r="E30" i="4"/>
  <c r="M5" i="4" l="1"/>
  <c r="M6" i="4"/>
  <c r="M11" i="4"/>
  <c r="M12" i="4"/>
  <c r="M13" i="4"/>
  <c r="AN1438" i="1"/>
  <c r="AN1422" i="1"/>
  <c r="AN1390" i="1"/>
  <c r="AN1374" i="1"/>
  <c r="AN1358" i="1"/>
  <c r="AN1342" i="1"/>
  <c r="AN1262" i="1"/>
  <c r="AN1246" i="1"/>
  <c r="AN1230" i="1"/>
  <c r="AN1198" i="1"/>
  <c r="AN1166" i="1"/>
  <c r="AN1134" i="1"/>
  <c r="AN1102" i="1"/>
  <c r="AN1054" i="1"/>
  <c r="AN990" i="1"/>
  <c r="AN894" i="1"/>
  <c r="AN830" i="1"/>
  <c r="AN814" i="1"/>
  <c r="AN750" i="1"/>
  <c r="AN734" i="1"/>
  <c r="AN718" i="1"/>
  <c r="AN494" i="1"/>
  <c r="AN398" i="1"/>
  <c r="AN382" i="1"/>
  <c r="AN366" i="1"/>
  <c r="AN350" i="1"/>
  <c r="AN270" i="1"/>
  <c r="AO1700" i="1"/>
  <c r="AO1508" i="1"/>
  <c r="AO1460" i="1"/>
  <c r="AO1444" i="1"/>
  <c r="AO1396" i="1"/>
  <c r="AO1380" i="1"/>
  <c r="AO1316" i="1"/>
  <c r="AO1300" i="1"/>
  <c r="AO1268" i="1"/>
  <c r="AO1252" i="1"/>
  <c r="AO1236" i="1"/>
  <c r="AO1220" i="1"/>
  <c r="AO1108" i="1"/>
  <c r="AO1044" i="1"/>
  <c r="AO980" i="1"/>
  <c r="AO964" i="1"/>
  <c r="AO948" i="1"/>
  <c r="AO932" i="1"/>
  <c r="AO900" i="1"/>
  <c r="AO884" i="1"/>
  <c r="AO852" i="1"/>
  <c r="AO708" i="1"/>
  <c r="AO564" i="1"/>
  <c r="AO516" i="1"/>
  <c r="AO452" i="1"/>
  <c r="AO404" i="1"/>
  <c r="AO340" i="1"/>
  <c r="AO316" i="1"/>
  <c r="AN1453" i="1"/>
  <c r="AN1405" i="1"/>
  <c r="AN1389" i="1"/>
  <c r="AN1373" i="1"/>
  <c r="AN1357" i="1"/>
  <c r="AN1341" i="1"/>
  <c r="AN1309" i="1"/>
  <c r="AN1261" i="1"/>
  <c r="AN1213" i="1"/>
  <c r="AN1165" i="1"/>
  <c r="AN1133" i="1"/>
  <c r="AN1117" i="1"/>
  <c r="AN1037" i="1"/>
  <c r="AN1005" i="1"/>
  <c r="AN973" i="1"/>
  <c r="AN909" i="1"/>
  <c r="AN813" i="1"/>
  <c r="AN781" i="1"/>
  <c r="AN717" i="1"/>
  <c r="AN685" i="1"/>
  <c r="AN621" i="1"/>
  <c r="AN509" i="1"/>
  <c r="AN493" i="1"/>
  <c r="AN461" i="1"/>
  <c r="AN429" i="1"/>
  <c r="AN349" i="1"/>
  <c r="AN317" i="1"/>
  <c r="AN221" i="1"/>
  <c r="AO1698" i="1"/>
  <c r="AO1506" i="1"/>
  <c r="AO1490" i="1"/>
  <c r="AO1458" i="1"/>
  <c r="AO1410" i="1"/>
  <c r="AO1394" i="1"/>
  <c r="AO1378" i="1"/>
  <c r="AO1362" i="1"/>
  <c r="AO1346" i="1"/>
  <c r="AO1314" i="1"/>
  <c r="AO1282" i="1"/>
  <c r="AO1266" i="1"/>
  <c r="AO1202" i="1"/>
  <c r="AO1106" i="1"/>
  <c r="AO1074" i="1"/>
  <c r="AO1058" i="1"/>
  <c r="AO978" i="1"/>
  <c r="AO962" i="1"/>
  <c r="AO914" i="1"/>
  <c r="AO850" i="1"/>
  <c r="AO834" i="1"/>
  <c r="AO802" i="1"/>
  <c r="AO786" i="1"/>
  <c r="AO770" i="1"/>
  <c r="AO626" i="1"/>
  <c r="AO578" i="1"/>
  <c r="AO514" i="1"/>
  <c r="AO402" i="1"/>
  <c r="AN1515" i="1"/>
  <c r="AN1499" i="1"/>
  <c r="AN1483" i="1"/>
  <c r="AN1467" i="1"/>
  <c r="AN1451" i="1"/>
  <c r="AN1419" i="1"/>
  <c r="AN1403" i="1"/>
  <c r="AN1387" i="1"/>
  <c r="AN1339" i="1"/>
  <c r="AN1307" i="1"/>
  <c r="AN1227" i="1"/>
  <c r="AN1211" i="1"/>
  <c r="AN1179" i="1"/>
  <c r="AN1147" i="1"/>
  <c r="AN1083" i="1"/>
  <c r="AN1067" i="1"/>
  <c r="AN1051" i="1"/>
  <c r="AN987" i="1"/>
  <c r="AN955" i="1"/>
  <c r="AN923" i="1"/>
  <c r="AN843" i="1"/>
  <c r="AN715" i="1"/>
  <c r="AN699" i="1"/>
  <c r="AN635" i="1"/>
  <c r="AN267" i="1"/>
  <c r="AN1532" i="1"/>
  <c r="AN1372" i="1"/>
  <c r="AO1489" i="1"/>
  <c r="AO1425" i="1"/>
  <c r="AO1409" i="1"/>
  <c r="AO1393" i="1"/>
  <c r="AO1377" i="1"/>
  <c r="AO1361" i="1"/>
  <c r="AO1345" i="1"/>
  <c r="AO1329" i="1"/>
  <c r="AO1313" i="1"/>
  <c r="AO1297" i="1"/>
  <c r="AO1281" i="1"/>
  <c r="AO1265" i="1"/>
  <c r="AO1233" i="1"/>
  <c r="AO1201" i="1"/>
  <c r="AO1073" i="1"/>
  <c r="AO1057" i="1"/>
  <c r="AO1009" i="1"/>
  <c r="AO881" i="1"/>
  <c r="AO849" i="1"/>
  <c r="AO833" i="1"/>
  <c r="AO817" i="1"/>
  <c r="AO801" i="1"/>
  <c r="AO785" i="1"/>
  <c r="AO769" i="1"/>
  <c r="AO481" i="1"/>
  <c r="AO369" i="1"/>
  <c r="AN1706" i="1"/>
  <c r="AN1546" i="1"/>
  <c r="AN1498" i="1"/>
  <c r="AN1466" i="1"/>
  <c r="AN1418" i="1"/>
  <c r="AN1386" i="1"/>
  <c r="AN1354" i="1"/>
  <c r="AN1338" i="1"/>
  <c r="AN1322" i="1"/>
  <c r="AN1306" i="1"/>
  <c r="AN1274" i="1"/>
  <c r="AN1242" i="1"/>
  <c r="AN1226" i="1"/>
  <c r="AN1210" i="1"/>
  <c r="AN1162" i="1"/>
  <c r="AN1130" i="1"/>
  <c r="AN1114" i="1"/>
  <c r="AN1050" i="1"/>
  <c r="AN954" i="1"/>
  <c r="AN938" i="1"/>
  <c r="AN906" i="1"/>
  <c r="AN842" i="1"/>
  <c r="AN810" i="1"/>
  <c r="AN746" i="1"/>
  <c r="AN730" i="1"/>
  <c r="AN714" i="1"/>
  <c r="AN698" i="1"/>
  <c r="AN586" i="1"/>
  <c r="AN538" i="1"/>
  <c r="AN522" i="1"/>
  <c r="AN394" i="1"/>
  <c r="AN314" i="1"/>
  <c r="AN282" i="1"/>
  <c r="AN266" i="1"/>
  <c r="AN234" i="1"/>
  <c r="AN1308" i="1"/>
  <c r="AN1164" i="1"/>
  <c r="AO1504" i="1"/>
  <c r="AO1488" i="1"/>
  <c r="AO1456" i="1"/>
  <c r="AO1424" i="1"/>
  <c r="AO1408" i="1"/>
  <c r="AO1392" i="1"/>
  <c r="AO1376" i="1"/>
  <c r="AO1360" i="1"/>
  <c r="AO1344" i="1"/>
  <c r="AO1328" i="1"/>
  <c r="AO1312" i="1"/>
  <c r="AO1296" i="1"/>
  <c r="AO1280" i="1"/>
  <c r="AO1264" i="1"/>
  <c r="AO1232" i="1"/>
  <c r="AO1216" i="1"/>
  <c r="AO1200" i="1"/>
  <c r="AO1168" i="1"/>
  <c r="AO1136" i="1"/>
  <c r="AO1120" i="1"/>
  <c r="AO1104" i="1"/>
  <c r="AO1088" i="1"/>
  <c r="AO1072" i="1"/>
  <c r="AO1056" i="1"/>
  <c r="AO1040" i="1"/>
  <c r="AO1008" i="1"/>
  <c r="AO992" i="1"/>
  <c r="AO880" i="1"/>
  <c r="AO784" i="1"/>
  <c r="AO768" i="1"/>
  <c r="AO736" i="1"/>
  <c r="AO672" i="1"/>
  <c r="AO656" i="1"/>
  <c r="AO512" i="1"/>
  <c r="AO368" i="1"/>
  <c r="AO271" i="1"/>
  <c r="AO207" i="1"/>
  <c r="AN1705" i="1"/>
  <c r="AN1577" i="1"/>
  <c r="AN1529" i="1"/>
  <c r="AN1481" i="1"/>
  <c r="AN1433" i="1"/>
  <c r="AN1401" i="1"/>
  <c r="AN1385" i="1"/>
  <c r="AN1337" i="1"/>
  <c r="AN1321" i="1"/>
  <c r="AN1289" i="1"/>
  <c r="AN1241" i="1"/>
  <c r="AN1209" i="1"/>
  <c r="AN1177" i="1"/>
  <c r="AN1001" i="1"/>
  <c r="AN953" i="1"/>
  <c r="AN921" i="1"/>
  <c r="AN905" i="1"/>
  <c r="AN825" i="1"/>
  <c r="AN809" i="1"/>
  <c r="AN777" i="1"/>
  <c r="AN745" i="1"/>
  <c r="AN729" i="1"/>
  <c r="AN713" i="1"/>
  <c r="AN521" i="1"/>
  <c r="AN505" i="1"/>
  <c r="AN441" i="1"/>
  <c r="AN265" i="1"/>
  <c r="AO1343" i="1"/>
  <c r="AO1327" i="1"/>
  <c r="AO1263" i="1"/>
  <c r="AO1247" i="1"/>
  <c r="AO1199" i="1"/>
  <c r="AO1151" i="1"/>
  <c r="AO1135" i="1"/>
  <c r="AO1119" i="1"/>
  <c r="AO1071" i="1"/>
  <c r="AO927" i="1"/>
  <c r="AO895" i="1"/>
  <c r="AO863" i="1"/>
  <c r="AO831" i="1"/>
  <c r="AO799" i="1"/>
  <c r="AO783" i="1"/>
  <c r="AO735" i="1"/>
  <c r="AO719" i="1"/>
  <c r="AO687" i="1"/>
  <c r="AO447" i="1"/>
  <c r="AO431" i="1"/>
  <c r="AO383" i="1"/>
  <c r="AO367" i="1"/>
  <c r="AO319" i="1"/>
  <c r="AO270" i="1"/>
  <c r="AN1704" i="1"/>
  <c r="AN1576" i="1"/>
  <c r="AN1560" i="1"/>
  <c r="AN1496" i="1"/>
  <c r="AN1432" i="1"/>
  <c r="AN1416" i="1"/>
  <c r="AN1400" i="1"/>
  <c r="AN1384" i="1"/>
  <c r="AN1336" i="1"/>
  <c r="AN1320" i="1"/>
  <c r="AN1304" i="1"/>
  <c r="AN1288" i="1"/>
  <c r="AN1272" i="1"/>
  <c r="AN1256" i="1"/>
  <c r="AN1240" i="1"/>
  <c r="AN1224" i="1"/>
  <c r="AN1208" i="1"/>
  <c r="AN1144" i="1"/>
  <c r="AN1112" i="1"/>
  <c r="AN1080" i="1"/>
  <c r="AN1048" i="1"/>
  <c r="AN1016" i="1"/>
  <c r="AN1000" i="1"/>
  <c r="AN984" i="1"/>
  <c r="AN904" i="1"/>
  <c r="AN808" i="1"/>
  <c r="AN776" i="1"/>
  <c r="AN744" i="1"/>
  <c r="AN680" i="1"/>
  <c r="AN520" i="1"/>
  <c r="AN504" i="1"/>
  <c r="AN264" i="1"/>
  <c r="AO1390" i="1"/>
  <c r="AO1342" i="1"/>
  <c r="AO1134" i="1"/>
  <c r="AO1054" i="1"/>
  <c r="AO990" i="1"/>
  <c r="AO830" i="1"/>
  <c r="AO814" i="1"/>
  <c r="AO750" i="1"/>
  <c r="AO718" i="1"/>
  <c r="AO494" i="1"/>
  <c r="AO398" i="1"/>
  <c r="AO382" i="1"/>
  <c r="AO366" i="1"/>
  <c r="AO350" i="1"/>
  <c r="AO221" i="1"/>
  <c r="AN1703" i="1"/>
  <c r="AN1543" i="1"/>
  <c r="AN1431" i="1"/>
  <c r="AN1399" i="1"/>
  <c r="AN1319" i="1"/>
  <c r="AN1287" i="1"/>
  <c r="AN1271" i="1"/>
  <c r="AN1223" i="1"/>
  <c r="AN1175" i="1"/>
  <c r="AN1159" i="1"/>
  <c r="AN1143" i="1"/>
  <c r="AN1095" i="1"/>
  <c r="AN1063" i="1"/>
  <c r="AN1047" i="1"/>
  <c r="AN919" i="1"/>
  <c r="AN903" i="1"/>
  <c r="AN855" i="1"/>
  <c r="AN807" i="1"/>
  <c r="AN743" i="1"/>
  <c r="AN711" i="1"/>
  <c r="AN695" i="1"/>
  <c r="AN631" i="1"/>
  <c r="AN503" i="1"/>
  <c r="AN407" i="1"/>
  <c r="AN215" i="1"/>
  <c r="AN199" i="1"/>
  <c r="AO1453" i="1"/>
  <c r="AO1405" i="1"/>
  <c r="AO1389" i="1"/>
  <c r="AO1373" i="1"/>
  <c r="AO1357" i="1"/>
  <c r="AO1341" i="1"/>
  <c r="AO1309" i="1"/>
  <c r="AO1261" i="1"/>
  <c r="AO1213" i="1"/>
  <c r="AO1165" i="1"/>
  <c r="AO1133" i="1"/>
  <c r="AO1117" i="1"/>
  <c r="AO1037" i="1"/>
  <c r="AO1005" i="1"/>
  <c r="AO973" i="1"/>
  <c r="AO909" i="1"/>
  <c r="AO813" i="1"/>
  <c r="AO781" i="1"/>
  <c r="AO717" i="1"/>
  <c r="AO685" i="1"/>
  <c r="AO621" i="1"/>
  <c r="AO509" i="1"/>
  <c r="AO493" i="1"/>
  <c r="AO461" i="1"/>
  <c r="AO429" i="1"/>
  <c r="AO349" i="1"/>
  <c r="AO317" i="1"/>
  <c r="AO268" i="1"/>
  <c r="AN1702" i="1"/>
  <c r="AN1574" i="1"/>
  <c r="AN1558" i="1"/>
  <c r="AN1462" i="1"/>
  <c r="AN1446" i="1"/>
  <c r="AN1398" i="1"/>
  <c r="AN1318" i="1"/>
  <c r="AN1238" i="1"/>
  <c r="AN1174" i="1"/>
  <c r="AN1126" i="1"/>
  <c r="AN1110" i="1"/>
  <c r="AN1094" i="1"/>
  <c r="AN1046" i="1"/>
  <c r="AN918" i="1"/>
  <c r="AN854" i="1"/>
  <c r="AN838" i="1"/>
  <c r="AN806" i="1"/>
  <c r="AN726" i="1"/>
  <c r="AN646" i="1"/>
  <c r="AN406" i="1"/>
  <c r="AO1340" i="1"/>
  <c r="AO1260" i="1"/>
  <c r="AO1068" i="1"/>
  <c r="AN1397" i="1"/>
  <c r="AN1381" i="1"/>
  <c r="AN1301" i="1"/>
  <c r="AN1285" i="1"/>
  <c r="AN1173" i="1"/>
  <c r="AN1061" i="1"/>
  <c r="AN949" i="1"/>
  <c r="AN901" i="1"/>
  <c r="AN885" i="1"/>
  <c r="AN789" i="1"/>
  <c r="AN741" i="1"/>
  <c r="AN725" i="1"/>
  <c r="AN661" i="1"/>
  <c r="AN565" i="1"/>
  <c r="AN517" i="1"/>
  <c r="AN485" i="1"/>
  <c r="AO1499" i="1"/>
  <c r="AO1483" i="1"/>
  <c r="AO1467" i="1"/>
  <c r="AO1451" i="1"/>
  <c r="AO1419" i="1"/>
  <c r="AO1403" i="1"/>
  <c r="AO1387" i="1"/>
  <c r="AO1339" i="1"/>
  <c r="AO1307" i="1"/>
  <c r="AO1227" i="1"/>
  <c r="AO1211" i="1"/>
  <c r="AO1179" i="1"/>
  <c r="AO1147" i="1"/>
  <c r="AO1083" i="1"/>
  <c r="AO1067" i="1"/>
  <c r="AO1051" i="1"/>
  <c r="AO987" i="1"/>
  <c r="AO955" i="1"/>
  <c r="AO923" i="1"/>
  <c r="AO843" i="1"/>
  <c r="AO715" i="1"/>
  <c r="AO699" i="1"/>
  <c r="AO635" i="1"/>
  <c r="AO314" i="1"/>
  <c r="AO282" i="1"/>
  <c r="AO266" i="1"/>
  <c r="AO234" i="1"/>
  <c r="AN1700" i="1"/>
  <c r="AN1508" i="1"/>
  <c r="AN1460" i="1"/>
  <c r="AN1444" i="1"/>
  <c r="AN1396" i="1"/>
  <c r="AN1380" i="1"/>
  <c r="AN1316" i="1"/>
  <c r="AN1300" i="1"/>
  <c r="AN1268" i="1"/>
  <c r="AN1252" i="1"/>
  <c r="AN1236" i="1"/>
  <c r="AN1220" i="1"/>
  <c r="AN1108" i="1"/>
  <c r="AN1044" i="1"/>
  <c r="AN980" i="1"/>
  <c r="AN964" i="1"/>
  <c r="AN948" i="1"/>
  <c r="AN932" i="1"/>
  <c r="AN900" i="1"/>
  <c r="AN884" i="1"/>
  <c r="AN852" i="1"/>
  <c r="AN708" i="1"/>
  <c r="AN564" i="1"/>
  <c r="AN516" i="1"/>
  <c r="AN452" i="1"/>
  <c r="AN404" i="1"/>
  <c r="AN340" i="1"/>
  <c r="AN292" i="1"/>
  <c r="AO1546" i="1"/>
  <c r="AO1498" i="1"/>
  <c r="AO1466" i="1"/>
  <c r="AO1418" i="1"/>
  <c r="AO1386" i="1"/>
  <c r="AO1354" i="1"/>
  <c r="AO1338" i="1"/>
  <c r="AO1322" i="1"/>
  <c r="AO1306" i="1"/>
  <c r="AO1274" i="1"/>
  <c r="AO1242" i="1"/>
  <c r="AO1226" i="1"/>
  <c r="AO1210" i="1"/>
  <c r="AO1162" i="1"/>
  <c r="AO1130" i="1"/>
  <c r="AO1114" i="1"/>
  <c r="AO1050" i="1"/>
  <c r="AO954" i="1"/>
  <c r="AO938" i="1"/>
  <c r="AO906" i="1"/>
  <c r="AO842" i="1"/>
  <c r="AO810" i="1"/>
  <c r="AO746" i="1"/>
  <c r="AO730" i="1"/>
  <c r="AO714" i="1"/>
  <c r="AO698" i="1"/>
  <c r="AO586" i="1"/>
  <c r="AO538" i="1"/>
  <c r="AO522" i="1"/>
  <c r="AO394" i="1"/>
  <c r="AO265" i="1"/>
  <c r="AN1699" i="1"/>
  <c r="AN1571" i="1"/>
  <c r="AN1427" i="1"/>
  <c r="AN1411" i="1"/>
  <c r="AN1395" i="1"/>
  <c r="AN1379" i="1"/>
  <c r="AN1347" i="1"/>
  <c r="AN1315" i="1"/>
  <c r="AN1203" i="1"/>
  <c r="AN1187" i="1"/>
  <c r="AN1155" i="1"/>
  <c r="AN1139" i="1"/>
  <c r="AN1043" i="1"/>
  <c r="AN963" i="1"/>
  <c r="AN883" i="1"/>
  <c r="AN771" i="1"/>
  <c r="AN563" i="1"/>
  <c r="AN531" i="1"/>
  <c r="AN515" i="1"/>
  <c r="AN371" i="1"/>
  <c r="AO1705" i="1"/>
  <c r="AO1577" i="1"/>
  <c r="AO1481" i="1"/>
  <c r="AO1433" i="1"/>
  <c r="AO1401" i="1"/>
  <c r="AO1385" i="1"/>
  <c r="AO1337" i="1"/>
  <c r="AO1321" i="1"/>
  <c r="AO1289" i="1"/>
  <c r="AO1241" i="1"/>
  <c r="AO1209" i="1"/>
  <c r="AO1177" i="1"/>
  <c r="AO1001" i="1"/>
  <c r="AO953" i="1"/>
  <c r="AO921" i="1"/>
  <c r="AO905" i="1"/>
  <c r="AO825" i="1"/>
  <c r="AO809" i="1"/>
  <c r="AO777" i="1"/>
  <c r="AO745" i="1"/>
  <c r="AO729" i="1"/>
  <c r="AO713" i="1"/>
  <c r="AO521" i="1"/>
  <c r="AO505" i="1"/>
  <c r="AO441" i="1"/>
  <c r="AO264" i="1"/>
  <c r="AN1698" i="1"/>
  <c r="AN1506" i="1"/>
  <c r="AN1490" i="1"/>
  <c r="AN1458" i="1"/>
  <c r="AN1410" i="1"/>
  <c r="AN1394" i="1"/>
  <c r="AN1378" i="1"/>
  <c r="AN1362" i="1"/>
  <c r="AN1346" i="1"/>
  <c r="AN1314" i="1"/>
  <c r="AN1282" i="1"/>
  <c r="AN1266" i="1"/>
  <c r="AN1202" i="1"/>
  <c r="AN1106" i="1"/>
  <c r="AN1074" i="1"/>
  <c r="AN1058" i="1"/>
  <c r="AN978" i="1"/>
  <c r="AN962" i="1"/>
  <c r="AN914" i="1"/>
  <c r="AN850" i="1"/>
  <c r="AN834" i="1"/>
  <c r="AN802" i="1"/>
  <c r="AN786" i="1"/>
  <c r="AN770" i="1"/>
  <c r="AN626" i="1"/>
  <c r="AN578" i="1"/>
  <c r="AN514" i="1"/>
  <c r="AN402" i="1"/>
  <c r="AN290" i="1"/>
  <c r="AO1704" i="1"/>
  <c r="AO1576" i="1"/>
  <c r="AO1560" i="1"/>
  <c r="AO1496" i="1"/>
  <c r="AO1432" i="1"/>
  <c r="AO1416" i="1"/>
  <c r="AO1400" i="1"/>
  <c r="AO1384" i="1"/>
  <c r="AO1336" i="1"/>
  <c r="AO1320" i="1"/>
  <c r="AO1304" i="1"/>
  <c r="AO1288" i="1"/>
  <c r="AO1272" i="1"/>
  <c r="AO1256" i="1"/>
  <c r="AO1240" i="1"/>
  <c r="AO1224" i="1"/>
  <c r="AO1208" i="1"/>
  <c r="AO1144" i="1"/>
  <c r="AO1112" i="1"/>
  <c r="AO1080" i="1"/>
  <c r="AO1048" i="1"/>
  <c r="AO1016" i="1"/>
  <c r="AO1000" i="1"/>
  <c r="AO984" i="1"/>
  <c r="AO904" i="1"/>
  <c r="AO808" i="1"/>
  <c r="AO776" i="1"/>
  <c r="AO744" i="1"/>
  <c r="AO680" i="1"/>
  <c r="AO520" i="1"/>
  <c r="AO504" i="1"/>
  <c r="AO215" i="1"/>
  <c r="AO199" i="1"/>
  <c r="AN1505" i="1"/>
  <c r="AN1489" i="1"/>
  <c r="AN1425" i="1"/>
  <c r="AN1409" i="1"/>
  <c r="AN1393" i="1"/>
  <c r="AN1377" i="1"/>
  <c r="AN1361" i="1"/>
  <c r="AN1345" i="1"/>
  <c r="AN1329" i="1"/>
  <c r="AN1313" i="1"/>
  <c r="AN1297" i="1"/>
  <c r="AN1281" i="1"/>
  <c r="AN1265" i="1"/>
  <c r="AN1233" i="1"/>
  <c r="AN1201" i="1"/>
  <c r="AN1073" i="1"/>
  <c r="AN1057" i="1"/>
  <c r="AN1009" i="1"/>
  <c r="AN881" i="1"/>
  <c r="AN849" i="1"/>
  <c r="AN833" i="1"/>
  <c r="AN817" i="1"/>
  <c r="AN801" i="1"/>
  <c r="AN785" i="1"/>
  <c r="AN769" i="1"/>
  <c r="AN481" i="1"/>
  <c r="AN369" i="1"/>
  <c r="AO1703" i="1"/>
  <c r="AO1543" i="1"/>
  <c r="AO1431" i="1"/>
  <c r="AO1399" i="1"/>
  <c r="AO1319" i="1"/>
  <c r="AO1287" i="1"/>
  <c r="AO1271" i="1"/>
  <c r="AO1223" i="1"/>
  <c r="AO1175" i="1"/>
  <c r="AO1159" i="1"/>
  <c r="AO1095" i="1"/>
  <c r="AO1063" i="1"/>
  <c r="AO1047" i="1"/>
  <c r="AO919" i="1"/>
  <c r="AO903" i="1"/>
  <c r="AO855" i="1"/>
  <c r="AO807" i="1"/>
  <c r="AO743" i="1"/>
  <c r="AO711" i="1"/>
  <c r="AO695" i="1"/>
  <c r="AO631" i="1"/>
  <c r="AO503" i="1"/>
  <c r="AO407" i="1"/>
  <c r="AN1568" i="1"/>
  <c r="AN1504" i="1"/>
  <c r="AN1488" i="1"/>
  <c r="AN1456" i="1"/>
  <c r="AN1424" i="1"/>
  <c r="AN1408" i="1"/>
  <c r="AN1392" i="1"/>
  <c r="AN1376" i="1"/>
  <c r="AN1360" i="1"/>
  <c r="AN1344" i="1"/>
  <c r="AN1328" i="1"/>
  <c r="AN1312" i="1"/>
  <c r="AN1296" i="1"/>
  <c r="AN1280" i="1"/>
  <c r="AN1264" i="1"/>
  <c r="AN1232" i="1"/>
  <c r="AN1216" i="1"/>
  <c r="AN1200" i="1"/>
  <c r="AN1168" i="1"/>
  <c r="AN1136" i="1"/>
  <c r="AN1120" i="1"/>
  <c r="AN1104" i="1"/>
  <c r="AN1088" i="1"/>
  <c r="AN1072" i="1"/>
  <c r="AN1056" i="1"/>
  <c r="AN1040" i="1"/>
  <c r="AN1008" i="1"/>
  <c r="AN992" i="1"/>
  <c r="AN880" i="1"/>
  <c r="AN784" i="1"/>
  <c r="AN768" i="1"/>
  <c r="AN736" i="1"/>
  <c r="AN672" i="1"/>
  <c r="AN656" i="1"/>
  <c r="AN512" i="1"/>
  <c r="AN368" i="1"/>
  <c r="AO1702" i="1"/>
  <c r="AO1574" i="1"/>
  <c r="AO1558" i="1"/>
  <c r="AO1462" i="1"/>
  <c r="AO1446" i="1"/>
  <c r="AO1398" i="1"/>
  <c r="AO1318" i="1"/>
  <c r="AO1174" i="1"/>
  <c r="AO1126" i="1"/>
  <c r="AO1046" i="1"/>
  <c r="AO918" i="1"/>
  <c r="AO854" i="1"/>
  <c r="AN1503" i="1"/>
  <c r="AN1487" i="1"/>
  <c r="AN1471" i="1"/>
  <c r="AN1391" i="1"/>
  <c r="AN1375" i="1"/>
  <c r="AN1359" i="1"/>
  <c r="AN1343" i="1"/>
  <c r="AN1327" i="1"/>
  <c r="AN1295" i="1"/>
  <c r="AN1263" i="1"/>
  <c r="AN1247" i="1"/>
  <c r="AN1199" i="1"/>
  <c r="AN1167" i="1"/>
  <c r="AN1135" i="1"/>
  <c r="AN1071" i="1"/>
  <c r="AN927" i="1"/>
  <c r="AN895" i="1"/>
  <c r="AN863" i="1"/>
  <c r="AN831" i="1"/>
  <c r="AN783" i="1"/>
  <c r="AN735" i="1"/>
  <c r="AN431" i="1"/>
  <c r="AN383" i="1"/>
  <c r="AN319" i="1"/>
  <c r="P58" i="3"/>
  <c r="L58" i="3"/>
  <c r="K58" i="3"/>
  <c r="D30" i="4"/>
  <c r="F30" i="4" s="1"/>
  <c r="D5" i="4"/>
  <c r="F5" i="4" s="1"/>
  <c r="D4" i="4"/>
  <c r="F4" i="4" s="1"/>
  <c r="E61" i="2" l="1"/>
  <c r="P57" i="3" l="1"/>
  <c r="L57" i="3"/>
  <c r="K57" i="3"/>
  <c r="P56" i="3"/>
  <c r="L56" i="3"/>
  <c r="K56" i="3"/>
  <c r="P55" i="3"/>
  <c r="L55" i="3"/>
  <c r="K55" i="3"/>
  <c r="P54" i="3"/>
  <c r="L54" i="3"/>
  <c r="K54" i="3"/>
  <c r="P53" i="3"/>
  <c r="L53" i="3"/>
  <c r="K53" i="3"/>
  <c r="P52" i="3"/>
  <c r="L52" i="3"/>
  <c r="K52" i="3"/>
  <c r="P51" i="3"/>
  <c r="L51" i="3"/>
  <c r="K51" i="3"/>
  <c r="P50" i="3"/>
  <c r="L50" i="3"/>
  <c r="K50" i="3"/>
  <c r="P49" i="3"/>
  <c r="L49" i="3"/>
  <c r="K49" i="3"/>
  <c r="P48" i="3"/>
  <c r="L48" i="3"/>
  <c r="K48" i="3"/>
  <c r="P47" i="3"/>
  <c r="L47" i="3"/>
  <c r="K47" i="3"/>
  <c r="P46" i="3"/>
  <c r="L46" i="3"/>
  <c r="K46" i="3"/>
  <c r="L45" i="3"/>
  <c r="K45" i="3"/>
  <c r="L44" i="3"/>
  <c r="K44" i="3"/>
  <c r="P43" i="3"/>
  <c r="L43" i="3"/>
  <c r="K43" i="3"/>
  <c r="P42" i="3"/>
  <c r="L42" i="3"/>
  <c r="K42" i="3"/>
  <c r="P41" i="3"/>
  <c r="L41" i="3"/>
  <c r="K41" i="3"/>
  <c r="P40" i="3"/>
  <c r="L40" i="3"/>
  <c r="K40" i="3"/>
  <c r="P39" i="3"/>
  <c r="L39" i="3"/>
  <c r="K39" i="3"/>
  <c r="P38" i="3"/>
  <c r="L38" i="3"/>
  <c r="K38" i="3"/>
  <c r="P37" i="3"/>
  <c r="L37" i="3"/>
  <c r="K37" i="3"/>
  <c r="P36" i="3"/>
  <c r="L36" i="3"/>
  <c r="K36" i="3"/>
  <c r="P35" i="3"/>
  <c r="L35" i="3"/>
  <c r="K35" i="3"/>
  <c r="P34" i="3"/>
  <c r="L34" i="3"/>
  <c r="K34" i="3"/>
  <c r="P33" i="3"/>
  <c r="L33" i="3"/>
  <c r="K33" i="3"/>
  <c r="P32" i="3"/>
  <c r="L32" i="3"/>
  <c r="K32" i="3"/>
  <c r="P31" i="3"/>
  <c r="L31" i="3"/>
  <c r="K31" i="3"/>
  <c r="P30" i="3"/>
  <c r="L30" i="3"/>
  <c r="K30" i="3"/>
  <c r="P29" i="3"/>
  <c r="L29" i="3"/>
  <c r="K29" i="3"/>
  <c r="L28" i="3"/>
  <c r="K28" i="3"/>
  <c r="P27" i="3"/>
  <c r="L27" i="3"/>
  <c r="K27" i="3"/>
  <c r="P26" i="3"/>
  <c r="L26" i="3"/>
  <c r="K26" i="3"/>
  <c r="P25" i="3"/>
  <c r="L25" i="3"/>
  <c r="K25" i="3"/>
  <c r="P24" i="3"/>
  <c r="L24" i="3"/>
  <c r="K24" i="3"/>
  <c r="P23" i="3"/>
  <c r="L23" i="3"/>
  <c r="K23" i="3"/>
  <c r="P22" i="3"/>
  <c r="L22" i="3"/>
  <c r="K22" i="3"/>
  <c r="L21" i="3"/>
  <c r="K21" i="3"/>
  <c r="P20" i="3"/>
  <c r="L20" i="3"/>
  <c r="K20" i="3"/>
  <c r="P19" i="3"/>
  <c r="L19" i="3"/>
  <c r="K19" i="3"/>
  <c r="P18" i="3"/>
  <c r="L18" i="3"/>
  <c r="K18" i="3"/>
  <c r="P17" i="3"/>
  <c r="L17" i="3"/>
  <c r="K17" i="3"/>
  <c r="P16" i="3"/>
  <c r="L16" i="3"/>
  <c r="K16" i="3"/>
  <c r="P15" i="3"/>
  <c r="L15" i="3"/>
  <c r="K15" i="3"/>
  <c r="P14" i="3"/>
  <c r="L14" i="3"/>
  <c r="K14" i="3"/>
  <c r="P13" i="3"/>
  <c r="L13" i="3"/>
  <c r="K13" i="3"/>
  <c r="P12" i="3"/>
  <c r="L12" i="3"/>
  <c r="K12" i="3"/>
  <c r="P11" i="3"/>
  <c r="L11" i="3"/>
  <c r="K11" i="3"/>
  <c r="P10" i="3"/>
  <c r="L10" i="3"/>
  <c r="K10" i="3"/>
  <c r="P9" i="3"/>
  <c r="L9" i="3"/>
  <c r="K9" i="3"/>
  <c r="P8" i="3"/>
  <c r="L8" i="3"/>
  <c r="K8" i="3"/>
  <c r="P7" i="3"/>
  <c r="L7" i="3"/>
  <c r="K7" i="3"/>
  <c r="P6" i="3"/>
  <c r="L6" i="3"/>
  <c r="K6" i="3"/>
  <c r="P5" i="3"/>
  <c r="L5" i="3"/>
  <c r="K5" i="3"/>
  <c r="P4" i="3"/>
  <c r="L4" i="3"/>
  <c r="K4" i="3"/>
  <c r="P3" i="3"/>
  <c r="L3" i="3"/>
  <c r="K3" i="3"/>
  <c r="P2" i="3"/>
  <c r="L2" i="3"/>
  <c r="K2" i="3"/>
  <c r="P1" i="3"/>
  <c r="L1" i="3"/>
  <c r="K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1" authorId="0" shapeId="0" xr:uid="{00000000-0006-0000-0000-000001000000}">
      <text>
        <r>
          <rPr>
            <sz val="10"/>
            <rFont val="Arial"/>
            <family val="2"/>
            <charset val="1"/>
          </rPr>
          <t>Mol Product/mol Carbon source
For C+H2, doesn’t account for H2. Only Carbon source (CO or Formate)</t>
        </r>
      </text>
    </comment>
    <comment ref="R1" authorId="0" shapeId="0" xr:uid="{00000000-0006-0000-0000-000002000000}">
      <text>
        <r>
          <rPr>
            <sz val="10"/>
            <rFont val="Arial"/>
            <family val="2"/>
            <charset val="1"/>
          </rPr>
          <t>2021-5-30: Mass yields in yellow were changed on May 30</t>
        </r>
        <r>
          <rPr>
            <vertAlign val="superscript"/>
            <sz val="10"/>
            <rFont val="Arial"/>
            <family val="2"/>
            <charset val="1"/>
          </rPr>
          <t>th</t>
        </r>
        <r>
          <rPr>
            <sz val="10"/>
            <rFont val="Arial"/>
            <family val="2"/>
            <charset val="1"/>
          </rPr>
          <t xml:space="preserve">; there was a mistake in the molecular weight calculation for the C+H2 mixture at a 1:2 ratio --&gt; assumed that a ratio of 1:2 was used, BUT the H2 maxed out at a lower ratio than this in most cases so the molecular weight of the mixture was wrong (and thus the mass yield).
The molecular weight is always g feedstock/mol carbon source --&gt; In the case of CO+H2 or Formate+H2 this means that it’s the mass of the C+H2 mixture/mol of C (ie. g mix/mol CO or g mix/mol Formate).
==&gt; g P/g mix =  (molP/mol CO)*(g P/mol)*(mol CO/g Mix)
= (Molar yield)*(MW_product)/(MW_mix on C basis)
</t>
        </r>
        <r>
          <rPr>
            <b/>
            <sz val="10"/>
            <rFont val="arial"/>
            <family val="2"/>
            <charset val="1"/>
          </rPr>
          <t>NOTE:
On 2021-5-31, I modified the RunModel JuPy file such that the molecular weight is calculated correctly</t>
        </r>
        <r>
          <rPr>
            <sz val="10"/>
            <rFont val="Arial"/>
            <family val="2"/>
            <charset val="1"/>
          </rPr>
          <t xml:space="preserve"> for all CO+H2 and Formate+H2 combinations (based on molar fluxes in the FBA result). So if running models in future, won’t need to perform these corrections!</t>
        </r>
      </text>
    </comment>
    <comment ref="AB1" authorId="0" shapeId="0" xr:uid="{00000000-0006-0000-0000-000003000000}">
      <text>
        <r>
          <rPr>
            <sz val="11"/>
            <color rgb="FF000000"/>
            <rFont val="Calibri"/>
            <family val="2"/>
            <charset val="1"/>
          </rPr>
          <t>Degree of reduction (see notes below for calculation details)</t>
        </r>
      </text>
    </comment>
    <comment ref="AD1" authorId="0" shapeId="0" xr:uid="{00000000-0006-0000-0000-000004000000}">
      <text>
        <r>
          <rPr>
            <sz val="11"/>
            <color rgb="FF000000"/>
            <rFont val="Calibri"/>
            <family val="2"/>
            <charset val="1"/>
          </rPr>
          <t>Normal boiling point (degC)</t>
        </r>
      </text>
    </comment>
    <comment ref="AD52" authorId="0" shapeId="0" xr:uid="{00000000-0006-0000-0000-000033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52" authorId="0" shapeId="0" xr:uid="{00000000-0006-0000-0000-000030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53" authorId="0" shapeId="0" xr:uid="{00000000-0006-0000-0000-000032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57" authorId="0" shapeId="0" xr:uid="{00000000-0006-0000-0000-000034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234" authorId="0" shapeId="0" xr:uid="{00000000-0006-0000-0000-00002D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323" authorId="0" shapeId="0" xr:uid="{00000000-0006-0000-0000-00002F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327" authorId="0" shapeId="0" xr:uid="{00000000-0006-0000-0000-000031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343" authorId="0" shapeId="0" xr:uid="{00000000-0006-0000-0000-000021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426" authorId="0" shapeId="0" xr:uid="{00000000-0006-0000-0000-00002C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430" authorId="0" shapeId="0" xr:uid="{00000000-0006-0000-0000-00002E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443" authorId="0" shapeId="0" xr:uid="{00000000-0006-0000-0000-000024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487" authorId="0" shapeId="0" xr:uid="{00000000-0006-0000-0000-000020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523" authorId="0" shapeId="0" xr:uid="{00000000-0006-0000-0000-000022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580" authorId="0" shapeId="0" xr:uid="{00000000-0006-0000-0000-000027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586" authorId="0" shapeId="0" xr:uid="{00000000-0006-0000-0000-00000C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688" authorId="0" shapeId="0" xr:uid="{00000000-0006-0000-0000-00002A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695" authorId="0" shapeId="0" xr:uid="{00000000-0006-0000-0000-000023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743" authorId="0" shapeId="0" xr:uid="{00000000-0006-0000-0000-000025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791" authorId="0" shapeId="0" xr:uid="{00000000-0006-0000-0000-00000F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841" authorId="0" shapeId="0" xr:uid="{00000000-0006-0000-0000-000026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850" authorId="0" shapeId="0" xr:uid="{00000000-0006-0000-0000-000029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874" authorId="0" shapeId="0" xr:uid="{00000000-0006-0000-0000-000028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877" authorId="0" shapeId="0" xr:uid="{00000000-0006-0000-0000-00000B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892" authorId="0" shapeId="0" xr:uid="{00000000-0006-0000-0000-00002B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917" authorId="0" shapeId="0" xr:uid="{00000000-0006-0000-0000-00000D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967" authorId="0" shapeId="0" xr:uid="{00000000-0006-0000-0000-000012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025" authorId="0" shapeId="0" xr:uid="{00000000-0006-0000-0000-000009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032" authorId="0" shapeId="0" xr:uid="{00000000-0006-0000-0000-00003C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072" authorId="0" shapeId="0" xr:uid="{00000000-0006-0000-0000-000015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095" authorId="0" shapeId="0" xr:uid="{00000000-0006-0000-0000-000048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120" authorId="0" shapeId="0" xr:uid="{00000000-0006-0000-0000-00000E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141" authorId="0" shapeId="0" xr:uid="{00000000-0006-0000-0000-00003F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162" authorId="0" shapeId="0" xr:uid="{00000000-0006-0000-0000-000010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197" authorId="0" shapeId="0" xr:uid="{00000000-0006-0000-0000-000018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227" authorId="0" shapeId="0" xr:uid="{00000000-0006-0000-0000-00004B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235" authorId="0" shapeId="0" xr:uid="{00000000-0006-0000-0000-000011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239" authorId="0" shapeId="0" xr:uid="{00000000-0006-0000-0000-000036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247" authorId="0" shapeId="0" xr:uid="{00000000-0006-0000-0000-000014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270" authorId="0" shapeId="0" xr:uid="{00000000-0006-0000-0000-000013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273" authorId="0" shapeId="0" xr:uid="{00000000-0006-0000-0000-00001B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278" authorId="0" shapeId="0" xr:uid="{00000000-0006-0000-0000-000016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317" authorId="0" shapeId="0" xr:uid="{00000000-0006-0000-0000-000039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354" authorId="0" shapeId="0" xr:uid="{00000000-0006-0000-0000-000042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355" authorId="0" shapeId="0" xr:uid="{00000000-0006-0000-0000-000045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417" authorId="0" shapeId="0" xr:uid="{00000000-0006-0000-0000-000006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418" authorId="0" shapeId="0" xr:uid="{00000000-0006-0000-0000-00003B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453" authorId="0" shapeId="0" xr:uid="{00000000-0006-0000-0000-000047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457" authorId="0" shapeId="0" xr:uid="{00000000-0006-0000-0000-000008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465" authorId="0" shapeId="0" xr:uid="{00000000-0006-0000-0000-00000A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469" authorId="0" shapeId="0" xr:uid="{00000000-0006-0000-0000-00003D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472" authorId="0" shapeId="0" xr:uid="{00000000-0006-0000-0000-00001E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473" authorId="0" shapeId="0" xr:uid="{00000000-0006-0000-0000-000017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476" authorId="0" shapeId="0" xr:uid="{00000000-0006-0000-0000-000049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487" authorId="0" shapeId="0" xr:uid="{00000000-0006-0000-0000-00003E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490" authorId="0" shapeId="0" xr:uid="{00000000-0006-0000-0000-000040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495" authorId="0" shapeId="0" xr:uid="{00000000-0006-0000-0000-00004A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496" authorId="0" shapeId="0" xr:uid="{00000000-0006-0000-0000-000019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497" authorId="0" shapeId="0" xr:uid="{00000000-0006-0000-0000-000035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504" authorId="0" shapeId="0" xr:uid="{00000000-0006-0000-0000-00004C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506" authorId="0" shapeId="0" xr:uid="{00000000-0006-0000-0000-000038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510" authorId="0" shapeId="0" xr:uid="{00000000-0006-0000-0000-000037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512" authorId="0" shapeId="0" xr:uid="{00000000-0006-0000-0000-00001A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516" authorId="0" shapeId="0" xr:uid="{00000000-0006-0000-0000-00001C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519" authorId="0" shapeId="0" xr:uid="{00000000-0006-0000-0000-000041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520" authorId="0" shapeId="0" xr:uid="{00000000-0006-0000-0000-000044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524" authorId="0" shapeId="0" xr:uid="{00000000-0006-0000-0000-00003A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532" authorId="0" shapeId="0" xr:uid="{00000000-0006-0000-0000-000043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533" authorId="0" shapeId="0" xr:uid="{00000000-0006-0000-0000-000046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538" authorId="0" shapeId="0" xr:uid="{00000000-0006-0000-0000-000005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539" authorId="0" shapeId="0" xr:uid="{00000000-0006-0000-0000-000007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543" authorId="0" shapeId="0" xr:uid="{00000000-0006-0000-0000-00001D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547" authorId="0" shapeId="0" xr:uid="{00000000-0006-0000-0000-00001F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28" authorId="0" shapeId="0" xr:uid="{6E9F0C6D-552C-45E1-BD4E-659E31919107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M44" authorId="0" shapeId="0" xr:uid="{9946B03B-998F-4F9C-9741-58426BBAA591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M45" authorId="0" shapeId="0" xr:uid="{3E4A462D-BACB-4705-B208-A1D5B82E8809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tc={BFAFC181-E464-44EE-8D73-DB01A30471EF}</author>
  </authors>
  <commentList>
    <comment ref="B1" authorId="0" shapeId="0" xr:uid="{BFAFC181-E464-44EE-8D73-DB01A30471EF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Web</t>
      </text>
    </comment>
  </commentList>
</comments>
</file>

<file path=xl/sharedStrings.xml><?xml version="1.0" encoding="utf-8"?>
<sst xmlns="http://schemas.openxmlformats.org/spreadsheetml/2006/main" count="13163" uniqueCount="842">
  <si>
    <t>Date</t>
  </si>
  <si>
    <t>BaseModel</t>
  </si>
  <si>
    <t>Substrate</t>
  </si>
  <si>
    <t>Substrate_Type</t>
  </si>
  <si>
    <t>Product</t>
  </si>
  <si>
    <t>Objective</t>
  </si>
  <si>
    <t>S_ExchangeLB</t>
  </si>
  <si>
    <t>O2_ExchangeLB</t>
  </si>
  <si>
    <t>H2_ExchangeLB</t>
  </si>
  <si>
    <t>ATPM_LB</t>
  </si>
  <si>
    <t>S_Flux</t>
  </si>
  <si>
    <t>O2_Flux</t>
  </si>
  <si>
    <t>H2_Flux</t>
  </si>
  <si>
    <t>CO2_Flux</t>
  </si>
  <si>
    <t>Obj_Flux</t>
  </si>
  <si>
    <t>By-Products</t>
  </si>
  <si>
    <t>Yield_Molar</t>
  </si>
  <si>
    <t>Yield_Mass</t>
  </si>
  <si>
    <t>ProductName</t>
  </si>
  <si>
    <t>ProductName_Graph</t>
  </si>
  <si>
    <t>Model_Author</t>
  </si>
  <si>
    <t>Formula_P</t>
  </si>
  <si>
    <t>C_P</t>
  </si>
  <si>
    <t>H_P</t>
  </si>
  <si>
    <t>O_P</t>
  </si>
  <si>
    <t>N_P</t>
  </si>
  <si>
    <t>Charge_P</t>
  </si>
  <si>
    <t>Deg_Red_P</t>
  </si>
  <si>
    <t>MW_g/mol_P</t>
  </si>
  <si>
    <t>BP_degC_P</t>
  </si>
  <si>
    <t>MoleculeType_P</t>
  </si>
  <si>
    <t>CCM_Feeder_P</t>
  </si>
  <si>
    <t>Transport_P</t>
  </si>
  <si>
    <t>MetID_P</t>
  </si>
  <si>
    <t>2021-05-11</t>
  </si>
  <si>
    <t>iJO1366</t>
  </si>
  <si>
    <t>Acetaldehyde</t>
  </si>
  <si>
    <t>ECR-C2</t>
  </si>
  <si>
    <t>1-3-Butanediol-PW1</t>
  </si>
  <si>
    <t>EX_r13bdo_e</t>
  </si>
  <si>
    <t>NA</t>
  </si>
  <si>
    <t>1-3-butanediol-PW1</t>
  </si>
  <si>
    <t>1,3-Butanediol (PW1)</t>
  </si>
  <si>
    <t>E</t>
  </si>
  <si>
    <t>C4H10O2</t>
  </si>
  <si>
    <t>Diol</t>
  </si>
  <si>
    <t>Acetyl-CoA</t>
  </si>
  <si>
    <t>13bdo__R_c</t>
  </si>
  <si>
    <t>1-3-Butanediol-PW2</t>
  </si>
  <si>
    <t>1-3-butanediol-PW2</t>
  </si>
  <si>
    <t>1,3-Butanediol (PW2)</t>
  </si>
  <si>
    <t>Pyruvate (acetalehyde)</t>
  </si>
  <si>
    <t>1-3-Diaminopropane</t>
  </si>
  <si>
    <t>EX_13dampp_e</t>
  </si>
  <si>
    <t>1,3-Diaminopropane</t>
  </si>
  <si>
    <t>A</t>
  </si>
  <si>
    <t>C3H12N2</t>
  </si>
  <si>
    <t>Diamine</t>
  </si>
  <si>
    <t>Oxaloacetate + aKG</t>
  </si>
  <si>
    <t>13dampp_c</t>
  </si>
  <si>
    <t>1-3-Propanediol</t>
  </si>
  <si>
    <t>EX_13ppd_e</t>
  </si>
  <si>
    <t>1,3-Propanediol</t>
  </si>
  <si>
    <t>C3H8O2</t>
  </si>
  <si>
    <t>Glyceraldehyde 3-P</t>
  </si>
  <si>
    <t>13ppd_c</t>
  </si>
  <si>
    <t>1-4-Butanediol</t>
  </si>
  <si>
    <t>EX_14bdo_e</t>
  </si>
  <si>
    <t>1-4-butanediol</t>
  </si>
  <si>
    <t>1,4-Butanediol</t>
  </si>
  <si>
    <t>aKG</t>
  </si>
  <si>
    <t>14bdo_c</t>
  </si>
  <si>
    <t>1-Propanol-PW1</t>
  </si>
  <si>
    <t>EX_ppoh_e</t>
  </si>
  <si>
    <t>1-propanol-PW1</t>
  </si>
  <si>
    <t>1-Propanol (PW1)</t>
  </si>
  <si>
    <t>E-S</t>
  </si>
  <si>
    <t>C3H8O</t>
  </si>
  <si>
    <t>Alcohol</t>
  </si>
  <si>
    <t>Glyceraldehyde 3-P (--&gt;DHAP)</t>
  </si>
  <si>
    <t>ppoh_c</t>
  </si>
  <si>
    <t>1-Propanol-PW2</t>
  </si>
  <si>
    <t>1-propanol-PW2</t>
  </si>
  <si>
    <t>1-Propanol (PW2)</t>
  </si>
  <si>
    <t>Oxaloacetate</t>
  </si>
  <si>
    <t>2-3-Butanediol</t>
  </si>
  <si>
    <t>EX_btd_RR_e</t>
  </si>
  <si>
    <t>2-3-butanediol</t>
  </si>
  <si>
    <t>2,3-Butanediol</t>
  </si>
  <si>
    <t>Pyruvate</t>
  </si>
  <si>
    <t>btd_RR_c</t>
  </si>
  <si>
    <t>2-Methyl-1-Butanol</t>
  </si>
  <si>
    <t>EX_2mbtoh_e</t>
  </si>
  <si>
    <t>2-Methyl-1-butanol</t>
  </si>
  <si>
    <t>C5H12O</t>
  </si>
  <si>
    <t>PEP</t>
  </si>
  <si>
    <t>2mbtoh_c</t>
  </si>
  <si>
    <t>2-Pyrone-4-6-Dicarboxylate</t>
  </si>
  <si>
    <t>EX_2p46dc_e</t>
  </si>
  <si>
    <t>2-Pyrone 4,6-dicarboxylate</t>
  </si>
  <si>
    <t>C7H2O6</t>
  </si>
  <si>
    <t>Dicarboxylate</t>
  </si>
  <si>
    <t>2p46dc_c</t>
  </si>
  <si>
    <t>3-Methyl-1-Pentanol</t>
  </si>
  <si>
    <t>EX_3mptoh_e</t>
  </si>
  <si>
    <t>3-Methyl-1-pentanol</t>
  </si>
  <si>
    <t>C6H14O</t>
  </si>
  <si>
    <t>3mptoh_c</t>
  </si>
  <si>
    <t>4-Hydroxystyrene</t>
  </si>
  <si>
    <t>EX_hxst_e</t>
  </si>
  <si>
    <t>C8H8O</t>
  </si>
  <si>
    <t>Aromatic + Alcohol</t>
  </si>
  <si>
    <t>E4P + L-glutamate</t>
  </si>
  <si>
    <t>4hxst_c</t>
  </si>
  <si>
    <t>5-Aminopentanoate</t>
  </si>
  <si>
    <t>EX_5aptn_e</t>
  </si>
  <si>
    <t>C5H11NO2</t>
  </si>
  <si>
    <t>D-Amino Acid</t>
  </si>
  <si>
    <t>5aptn_c</t>
  </si>
  <si>
    <t>Acetone</t>
  </si>
  <si>
    <t>EX_acetone_e</t>
  </si>
  <si>
    <t>C3H6O</t>
  </si>
  <si>
    <t>Ketone</t>
  </si>
  <si>
    <t>acetone_c</t>
  </si>
  <si>
    <t>Acrylate-PW1</t>
  </si>
  <si>
    <t>EX_acryl_e</t>
  </si>
  <si>
    <t>Acrylate (PW1)</t>
  </si>
  <si>
    <t>C3H3O2</t>
  </si>
  <si>
    <t>Carboxylate</t>
  </si>
  <si>
    <t>acryl_c</t>
  </si>
  <si>
    <t>Acrylate-PW2</t>
  </si>
  <si>
    <t>Acrylate (PW2)</t>
  </si>
  <si>
    <t>Adipate</t>
  </si>
  <si>
    <t>EX_adpac_e</t>
  </si>
  <si>
    <t>C6H8O4</t>
  </si>
  <si>
    <t>adpac_c</t>
  </si>
  <si>
    <t>Benzoate-PW1</t>
  </si>
  <si>
    <t>EX_bz_e</t>
  </si>
  <si>
    <t>Benzoate (PW1)</t>
  </si>
  <si>
    <t>C7H5O2</t>
  </si>
  <si>
    <t>Aromatic + Carboxylate</t>
  </si>
  <si>
    <t>E4P + aKG</t>
  </si>
  <si>
    <t>bz_c</t>
  </si>
  <si>
    <t>Benzoate-PW2</t>
  </si>
  <si>
    <t>Benzoate (PW2)</t>
  </si>
  <si>
    <t>BenzylAlcohol</t>
  </si>
  <si>
    <t>EX_bzalc_e</t>
  </si>
  <si>
    <t>Benzyl alcohol</t>
  </si>
  <si>
    <t>C7H8O</t>
  </si>
  <si>
    <t>E4P</t>
  </si>
  <si>
    <t>bzalc_c</t>
  </si>
  <si>
    <t>BetaCarotene</t>
  </si>
  <si>
    <t>EX_caro_e</t>
  </si>
  <si>
    <t>Beta carotene</t>
  </si>
  <si>
    <t>C40H56</t>
  </si>
  <si>
    <t>Hydrocarbon</t>
  </si>
  <si>
    <t>ABC Transporter</t>
  </si>
  <si>
    <t>caro_c</t>
  </si>
  <si>
    <t>Butane</t>
  </si>
  <si>
    <t>EX_butane_e</t>
  </si>
  <si>
    <t>C4H10</t>
  </si>
  <si>
    <t>Hydrocarbon (alkane)</t>
  </si>
  <si>
    <t>Acetyl-CoA + Succinyl-CoA</t>
  </si>
  <si>
    <t>butn_c</t>
  </si>
  <si>
    <t>Butanol-PW1</t>
  </si>
  <si>
    <t>EX_btoh_e</t>
  </si>
  <si>
    <t>Butanol (PW1)</t>
  </si>
  <si>
    <t>C4H10O</t>
  </si>
  <si>
    <t>btoh_c</t>
  </si>
  <si>
    <t>Butanol-PW2</t>
  </si>
  <si>
    <t>Butanol (PW2)</t>
  </si>
  <si>
    <t>Butyrate</t>
  </si>
  <si>
    <t>EX_but_e</t>
  </si>
  <si>
    <t>C4H7O2</t>
  </si>
  <si>
    <t>but_c</t>
  </si>
  <si>
    <t>Catechol</t>
  </si>
  <si>
    <t>EX_catechol_e</t>
  </si>
  <si>
    <t>C6H6O2</t>
  </si>
  <si>
    <t>Aromatic + Diol</t>
  </si>
  <si>
    <t>catechol_c</t>
  </si>
  <si>
    <t>ciscisMuconate</t>
  </si>
  <si>
    <t>EX_ccmuac_e</t>
  </si>
  <si>
    <t>cis,cis-Muconate</t>
  </si>
  <si>
    <t>C6H4O4</t>
  </si>
  <si>
    <t>ccmuac_c</t>
  </si>
  <si>
    <t>2021-05-17</t>
  </si>
  <si>
    <t>Citrate</t>
  </si>
  <si>
    <t>EX_cit_e</t>
  </si>
  <si>
    <t>C6H5O7</t>
  </si>
  <si>
    <t>Tricarboxylate + Alcohol</t>
  </si>
  <si>
    <t>Proton antiport</t>
  </si>
  <si>
    <t>cit_c</t>
  </si>
  <si>
    <t>CoumaricAcid</t>
  </si>
  <si>
    <t>EX_T4hcinnm_e</t>
  </si>
  <si>
    <t>Coumaric acid</t>
  </si>
  <si>
    <t>C9H7O3</t>
  </si>
  <si>
    <t>Aromatic + Alcohol + Carboxylate</t>
  </si>
  <si>
    <t>T4hcinnm_c</t>
  </si>
  <si>
    <t>EthylAcetate</t>
  </si>
  <si>
    <t>EX_aces_e</t>
  </si>
  <si>
    <t>Ethyl acetate</t>
  </si>
  <si>
    <t>C4H8O2</t>
  </si>
  <si>
    <t>Carboxylate Ester</t>
  </si>
  <si>
    <t>aces_c</t>
  </si>
  <si>
    <t>Farnesene</t>
  </si>
  <si>
    <t>EX_frene_e</t>
  </si>
  <si>
    <t>C15H24</t>
  </si>
  <si>
    <t>260 (A)/272 (B)</t>
  </si>
  <si>
    <t>frene_c</t>
  </si>
  <si>
    <t>GammaButyrolactone</t>
  </si>
  <si>
    <t>EX_gblt_e</t>
  </si>
  <si>
    <t>Gamma butyrolactone</t>
  </si>
  <si>
    <t>C4H6O2</t>
  </si>
  <si>
    <t>Lactone (cyclic ester)</t>
  </si>
  <si>
    <t>gblt_c</t>
  </si>
  <si>
    <t>Glutamate_L</t>
  </si>
  <si>
    <t>EX_glu__L_e</t>
  </si>
  <si>
    <t>L-Glutamate</t>
  </si>
  <si>
    <t>C5H8NO4</t>
  </si>
  <si>
    <t>Amino acid</t>
  </si>
  <si>
    <t>glu__L_c</t>
  </si>
  <si>
    <t>Glutarate</t>
  </si>
  <si>
    <t>EX_glutar_e</t>
  </si>
  <si>
    <t>C5H6O4</t>
  </si>
  <si>
    <t>glutar_c</t>
  </si>
  <si>
    <t>Glycolate</t>
  </si>
  <si>
    <t>EX_glyclt_e</t>
  </si>
  <si>
    <t>C2H3O3</t>
  </si>
  <si>
    <t>Carboxylate + Alcohol (hydroxy carboxylate)</t>
  </si>
  <si>
    <t>Glyoxylate (*isocitrate)</t>
  </si>
  <si>
    <t>glyclt_c</t>
  </si>
  <si>
    <t>2021-05-25</t>
  </si>
  <si>
    <t>Heptane</t>
  </si>
  <si>
    <t>EX_heptane_e</t>
  </si>
  <si>
    <t>C7H16</t>
  </si>
  <si>
    <t>hept_c</t>
  </si>
  <si>
    <t>Hexane</t>
  </si>
  <si>
    <t>EX_hexane_e</t>
  </si>
  <si>
    <t>C6H14</t>
  </si>
  <si>
    <t>hex_c</t>
  </si>
  <si>
    <t>Isobutanol</t>
  </si>
  <si>
    <t>EX_ibutoh_e</t>
  </si>
  <si>
    <t>C5H10O</t>
  </si>
  <si>
    <t>ibutoh_c</t>
  </si>
  <si>
    <t>Isobutyrate</t>
  </si>
  <si>
    <t>EX_ibt_e</t>
  </si>
  <si>
    <t>ibt_c</t>
  </si>
  <si>
    <t>Isoprene</t>
  </si>
  <si>
    <t>EX_iprene_e</t>
  </si>
  <si>
    <t>C5H8</t>
  </si>
  <si>
    <t>iprene_c</t>
  </si>
  <si>
    <t>Isopropanol</t>
  </si>
  <si>
    <t>EX_2ppoh_e</t>
  </si>
  <si>
    <t>2ppoh_c</t>
  </si>
  <si>
    <t>Itaconate</t>
  </si>
  <si>
    <t>EX_itacon_e</t>
  </si>
  <si>
    <t>C5H4O4</t>
  </si>
  <si>
    <t>Acetyl-CoA + Oxaloacetate</t>
  </si>
  <si>
    <t>itacon_c</t>
  </si>
  <si>
    <t>Limonene</t>
  </si>
  <si>
    <t>EX_limnen_e</t>
  </si>
  <si>
    <t>C10H16</t>
  </si>
  <si>
    <t>Isoprenoid; Aromatic (Cycloalkane)</t>
  </si>
  <si>
    <t>limnen_c</t>
  </si>
  <si>
    <t>Lysine_L</t>
  </si>
  <si>
    <t>EX_lys__L_e</t>
  </si>
  <si>
    <t>L-Lysine</t>
  </si>
  <si>
    <t>C6H15N2O2</t>
  </si>
  <si>
    <t>lys__L_</t>
  </si>
  <si>
    <t>Malate_L</t>
  </si>
  <si>
    <t>EX_mal__L_e</t>
  </si>
  <si>
    <t>L-Malate</t>
  </si>
  <si>
    <t>C4H4O5</t>
  </si>
  <si>
    <t>Proton symporter</t>
  </si>
  <si>
    <t>mal__L_e</t>
  </si>
  <si>
    <t>Malonate</t>
  </si>
  <si>
    <t>EX_malon_e</t>
  </si>
  <si>
    <t>C3H2O4</t>
  </si>
  <si>
    <t>malon_c</t>
  </si>
  <si>
    <t>Nonane</t>
  </si>
  <si>
    <t>EX_nonane_e</t>
  </si>
  <si>
    <t>C9H20</t>
  </si>
  <si>
    <t>nonan_c</t>
  </si>
  <si>
    <t>Octane</t>
  </si>
  <si>
    <t>EX_octane_e</t>
  </si>
  <si>
    <t>C8H18</t>
  </si>
  <si>
    <t>octn_c</t>
  </si>
  <si>
    <t>Pentane</t>
  </si>
  <si>
    <t>EX_pentane_e</t>
  </si>
  <si>
    <t>C5H12</t>
  </si>
  <si>
    <t>pent_c</t>
  </si>
  <si>
    <t>Pentanol-PW1</t>
  </si>
  <si>
    <t>EX_pentoh_e</t>
  </si>
  <si>
    <t>Pentanol (PW1)</t>
  </si>
  <si>
    <t>pentoh_c</t>
  </si>
  <si>
    <t>Pentanol-PW2</t>
  </si>
  <si>
    <t>Pentanol (PW2)</t>
  </si>
  <si>
    <t>Phenol</t>
  </si>
  <si>
    <t>EX_phenol_e</t>
  </si>
  <si>
    <t>C6H6O</t>
  </si>
  <si>
    <t>phenol_c</t>
  </si>
  <si>
    <t>Propane-PW1</t>
  </si>
  <si>
    <t>EX_propane_e</t>
  </si>
  <si>
    <t>Propane (PW1)</t>
  </si>
  <si>
    <t>C3H8</t>
  </si>
  <si>
    <t>prop_c</t>
  </si>
  <si>
    <t>Propane-PW2</t>
  </si>
  <si>
    <t>Propane (PW2)</t>
  </si>
  <si>
    <t>Shikimate</t>
  </si>
  <si>
    <t>EX_skm_e</t>
  </si>
  <si>
    <t>C7H9O5</t>
  </si>
  <si>
    <t>PEP + E4P (Glyceraldehyde 3-P)</t>
  </si>
  <si>
    <t>skm_c</t>
  </si>
  <si>
    <t>Styrene</t>
  </si>
  <si>
    <t>EX_styr_e</t>
  </si>
  <si>
    <t>C8H8</t>
  </si>
  <si>
    <t>Cycloalkane</t>
  </si>
  <si>
    <t>styr_c</t>
  </si>
  <si>
    <t>Succinate</t>
  </si>
  <si>
    <t>EX_succ_e</t>
  </si>
  <si>
    <t>C4H4O4</t>
  </si>
  <si>
    <t>succ_c</t>
  </si>
  <si>
    <t>Acetate</t>
  </si>
  <si>
    <t>2021-05-27</t>
  </si>
  <si>
    <t>iHN637</t>
  </si>
  <si>
    <t>CO_1:H2_0</t>
  </si>
  <si>
    <t>ECR-C1b</t>
  </si>
  <si>
    <t>CO_1:H2_0.5</t>
  </si>
  <si>
    <t>CO_1:H2_1</t>
  </si>
  <si>
    <t>CO_1:H2_2</t>
  </si>
  <si>
    <t>EG_Glycolate</t>
  </si>
  <si>
    <t>EG_SACA</t>
  </si>
  <si>
    <t>Ethanol</t>
  </si>
  <si>
    <t>FOR_1:H2_0</t>
  </si>
  <si>
    <t>FOR_1:H2_0.5</t>
  </si>
  <si>
    <t>FOR_1:H2_1</t>
  </si>
  <si>
    <t>FOR_1:H2_2</t>
  </si>
  <si>
    <t>Formate_Formolase</t>
  </si>
  <si>
    <t>ECR-C1a</t>
  </si>
  <si>
    <t>Formate_RGP-Serine</t>
  </si>
  <si>
    <t>Formate_SerineCycle</t>
  </si>
  <si>
    <t>Glucose</t>
  </si>
  <si>
    <t>Sugar</t>
  </si>
  <si>
    <t>Glycerol</t>
  </si>
  <si>
    <t>Glycolaldehyde_Glycolate</t>
  </si>
  <si>
    <t>Glycolaldehyde_SACA</t>
  </si>
  <si>
    <t>Methanol_Formolase</t>
  </si>
  <si>
    <t>Methanol_RuMP</t>
  </si>
  <si>
    <t>Methanol_SerineCycle</t>
  </si>
  <si>
    <t>Xylose</t>
  </si>
  <si>
    <t>isLiq</t>
  </si>
  <si>
    <t>Conc</t>
  </si>
  <si>
    <t>isGas</t>
  </si>
  <si>
    <t>Liquid</t>
  </si>
  <si>
    <t>Gas</t>
  </si>
  <si>
    <t>(solid soluble in water)</t>
  </si>
  <si>
    <t>(BP 53C)</t>
  </si>
  <si>
    <t>(solid soluble in organics)</t>
  </si>
  <si>
    <t>(BP 34)</t>
  </si>
  <si>
    <t>(BP 36)</t>
  </si>
  <si>
    <t>Concentration (kg/m3 or kg/L)</t>
  </si>
  <si>
    <t>*Add CAPEX of Bioreactor + Column/PSA - make column sizing assumptions</t>
  </si>
  <si>
    <t>Latent Heat of Vap kJ/mol</t>
  </si>
  <si>
    <t>LH</t>
  </si>
  <si>
    <t>(solid)</t>
  </si>
  <si>
    <t>Methanol_MethylTransferase_1</t>
  </si>
  <si>
    <t>1.4909090909090938</t>
  </si>
  <si>
    <t>0.14909090909090938</t>
  </si>
  <si>
    <t>0.42330639193262304</t>
  </si>
  <si>
    <t>Methanol_MethylTransferase_0.5</t>
  </si>
  <si>
    <t>0.7143912590457069</t>
  </si>
  <si>
    <t>Methanol_MethylTransferase_0.1</t>
  </si>
  <si>
    <t>Methanol_MethylTransferase_0</t>
  </si>
  <si>
    <t>0.5655172413793119</t>
  </si>
  <si>
    <t>0.5655172413793106</t>
  </si>
  <si>
    <t>0.1348644579318479</t>
  </si>
  <si>
    <t>1.1418181818181807</t>
  </si>
  <si>
    <t>0.11418181818181808</t>
  </si>
  <si>
    <t>0.27329512927719557</t>
  </si>
  <si>
    <t>1.6501901140684438</t>
  </si>
  <si>
    <t>1.6501901140684403</t>
  </si>
  <si>
    <t>0.16501901140684402</t>
  </si>
  <si>
    <t>0.3962510086482774</t>
  </si>
  <si>
    <t>1.7846153846153827</t>
  </si>
  <si>
    <t>1.784615384615386</t>
  </si>
  <si>
    <t>0.17846153846153862</t>
  </si>
  <si>
    <t>0.42889636797423675</t>
  </si>
  <si>
    <t>3.333333333333327</t>
  </si>
  <si>
    <t>3.3333333333333357</t>
  </si>
  <si>
    <t>0.3333333333333336</t>
  </si>
  <si>
    <t>0.8085761362735558</t>
  </si>
  <si>
    <t>3.333333333333334</t>
  </si>
  <si>
    <t>3.3333333333333375</t>
  </si>
  <si>
    <t>3.333333333333332</t>
  </si>
  <si>
    <t>0.3333333333333332</t>
  </si>
  <si>
    <t>0.8085761362735551</t>
  </si>
  <si>
    <t>3.3333333333333215</t>
  </si>
  <si>
    <t>3.3333333333333393</t>
  </si>
  <si>
    <t>0.3333333333333339</t>
  </si>
  <si>
    <t>0.8085761362735566</t>
  </si>
  <si>
    <t>0.42051282051281547</t>
  </si>
  <si>
    <t>0.4205128205128204</t>
  </si>
  <si>
    <t>0.11858787537558317</t>
  </si>
  <si>
    <t>0.8051282051282058</t>
  </si>
  <si>
    <t>0.8051282051282054</t>
  </si>
  <si>
    <t>0.22760465356268642</t>
  </si>
  <si>
    <t>1.112820512820516</t>
  </si>
  <si>
    <t>1.1128205128205133</t>
  </si>
  <si>
    <t>0.11128205128205133</t>
  </si>
  <si>
    <t>0.3152006520681478</t>
  </si>
  <si>
    <t>1.189743589743589</t>
  </si>
  <si>
    <t>1.1897435897435902</t>
  </si>
  <si>
    <t>0.11897435897435901</t>
  </si>
  <si>
    <t>0.3371530463566495</t>
  </si>
  <si>
    <t>0.5857142857142839</t>
  </si>
  <si>
    <t>0.058571428571428386</t>
  </si>
  <si>
    <t>0.1098521985762729</t>
  </si>
  <si>
    <t>1.184905660377357</t>
  </si>
  <si>
    <t>0.1184905660377357</t>
  </si>
  <si>
    <t>0.22223205933791834</t>
  </si>
  <si>
    <t>1.7154150197628448</t>
  </si>
  <si>
    <t>0.17154150197628448</t>
  </si>
  <si>
    <t>0.3217304340834068</t>
  </si>
  <si>
    <t>1.8559999999999945</t>
  </si>
  <si>
    <t>0.18559999999999946</t>
  </si>
  <si>
    <t>0.34809750339096046</t>
  </si>
  <si>
    <t>1.3666666666666725</t>
  </si>
  <si>
    <t>0.13666666666666724</t>
  </si>
  <si>
    <t>2.325925925925927</t>
  </si>
  <si>
    <t>0.23259259259259268</t>
  </si>
  <si>
    <t>0.43623330166332197</t>
  </si>
  <si>
    <t>2.9523809523809526</t>
  </si>
  <si>
    <t>0.29523809523809524</t>
  </si>
  <si>
    <t>3.093333333333323</t>
  </si>
  <si>
    <t>0.3093333333333323</t>
  </si>
  <si>
    <t>0.5801625056516005</t>
  </si>
  <si>
    <t>0.7256637168141467</t>
  </si>
  <si>
    <t>0.14513274336283288</t>
  </si>
  <si>
    <t>0.014513274336283289</t>
  </si>
  <si>
    <t>0.054671384178997556</t>
  </si>
  <si>
    <t>1.4144144144144155</t>
  </si>
  <si>
    <t>0.2828828828828849</t>
  </si>
  <si>
    <t>0.1070276868566897</t>
  </si>
  <si>
    <t>1.983546617915902</t>
  </si>
  <si>
    <t>0.3967093235831829</t>
  </si>
  <si>
    <t>0.15063776560770267</t>
  </si>
  <si>
    <t>2.1284403669724705</t>
  </si>
  <si>
    <t>0.4256880733944932</t>
  </si>
  <si>
    <t>0.16179088795529017</t>
  </si>
  <si>
    <t>3.3333333333333295</t>
  </si>
  <si>
    <t>3.333333333333333</t>
  </si>
  <si>
    <t>0.3333333333333333</t>
  </si>
  <si>
    <t>3.3333333333333335</t>
  </si>
  <si>
    <t>0.33333333333333337</t>
  </si>
  <si>
    <t>0.6171488721689461</t>
  </si>
  <si>
    <t>1.0040816326530644</t>
  </si>
  <si>
    <t>0.3346938775510204</t>
  </si>
  <si>
    <t>1.9831578947368413</t>
  </si>
  <si>
    <t>0.6610526315789471</t>
  </si>
  <si>
    <t>0.14844601434836935</t>
  </si>
  <si>
    <t>2.812095032397412</t>
  </si>
  <si>
    <t>0.9373650107991356</t>
  </si>
  <si>
    <t>0.21161237067976083</t>
  </si>
  <si>
    <t>3.026086956521742</t>
  </si>
  <si>
    <t>1.0086956521738997</t>
  </si>
  <si>
    <t>0.10086956521738996</t>
  </si>
  <si>
    <t>0.22802798378150363</t>
  </si>
  <si>
    <t>2.139130434782601</t>
  </si>
  <si>
    <t>0.7130434782608681</t>
  </si>
  <si>
    <t>0.1602803631442661</t>
  </si>
  <si>
    <t>4.381395348837216</t>
  </si>
  <si>
    <t>1.460465116279071</t>
  </si>
  <si>
    <t>0.1460465116279071</t>
  </si>
  <si>
    <t>0.33305121345890865</t>
  </si>
  <si>
    <t>6.413793103448278</t>
  </si>
  <si>
    <t>0.21379310344827598</t>
  </si>
  <si>
    <t>0.49404040946193684</t>
  </si>
  <si>
    <t>6.960000000000013</t>
  </si>
  <si>
    <t>2.3200000000000074</t>
  </si>
  <si>
    <t>0.23200000000000073</t>
  </si>
  <si>
    <t>0.5380403659203558</t>
  </si>
  <si>
    <t>0.8200000000000109</t>
  </si>
  <si>
    <t>0.13666666666666671</t>
  </si>
  <si>
    <t>1.6171673819742463</t>
  </si>
  <si>
    <t>0.2695278969957098</t>
  </si>
  <si>
    <t>0.10292621603368501</t>
  </si>
  <si>
    <t>2.2902374670184535</t>
  </si>
  <si>
    <t>0.3817062445030709</t>
  </si>
  <si>
    <t>0.14639075090935327</t>
  </si>
  <si>
    <t>2.463716814159298</t>
  </si>
  <si>
    <t>0.4106194690265486</t>
  </si>
  <si>
    <t>0.15765405617641584</t>
  </si>
  <si>
    <t>0.7687499999999985</t>
  </si>
  <si>
    <t>0.12812500000000007</t>
  </si>
  <si>
    <t>0.012812500000000008</t>
  </si>
  <si>
    <t>0.048665398231767625</t>
  </si>
  <si>
    <t>1.5132530120481782</t>
  </si>
  <si>
    <t>0.25220883534136923</t>
  </si>
  <si>
    <t>2.139687756778974</t>
  </si>
  <si>
    <t>0.35661462612983286</t>
  </si>
  <si>
    <t>0.13663637332336187</t>
  </si>
  <si>
    <t>2.3008264462809898</t>
  </si>
  <si>
    <t>0.3834710743801655</t>
  </si>
  <si>
    <t>0.038347107438016545</t>
  </si>
  <si>
    <t>0.1470775351078169</t>
  </si>
  <si>
    <t>0.10624622638220069</t>
  </si>
  <si>
    <t>1.012903225806444</t>
  </si>
  <si>
    <t>0.10129032258064441</t>
  </si>
  <si>
    <t>0.18373658976245325</t>
  </si>
  <si>
    <t>1.2994011976047903</t>
  </si>
  <si>
    <t>0.12994011976047903</t>
  </si>
  <si>
    <t>0.2357061747839414</t>
  </si>
  <si>
    <t>1.3647058823529408</t>
  </si>
  <si>
    <t>0.13647058823529407</t>
  </si>
  <si>
    <t>0.24755218313442728</t>
  </si>
  <si>
    <t>0.5783220030797982</t>
  </si>
  <si>
    <t>4.999999999999943</t>
  </si>
  <si>
    <t>2.5000000000000053</t>
  </si>
  <si>
    <t>0.25000000000000056</t>
  </si>
  <si>
    <t>0.7016362550132034</t>
  </si>
  <si>
    <t>5.000000000000002</t>
  </si>
  <si>
    <t>1.0649350649350584</t>
  </si>
  <si>
    <t>0.21298701298701442</t>
  </si>
  <si>
    <t>0.021298701298701442</t>
  </si>
  <si>
    <t>2.093333333333332</t>
  </si>
  <si>
    <t>0.4186666666666663</t>
  </si>
  <si>
    <t>0.14579526338620472</t>
  </si>
  <si>
    <t>2.9564032697547624</t>
  </si>
  <si>
    <t>0.5912806539509536</t>
  </si>
  <si>
    <t>0.2070451956506884</t>
  </si>
  <si>
    <t>3.1780821917808275</t>
  </si>
  <si>
    <t>0.6356164383561642</t>
  </si>
  <si>
    <t>0.22288676312038277</t>
  </si>
  <si>
    <t>1.0754098360655853</t>
  </si>
  <si>
    <t>0.13442622950819624</t>
  </si>
  <si>
    <t>0.013442622950819624</t>
  </si>
  <si>
    <t>2.119831223628693</t>
  </si>
  <si>
    <t>0.2649789029535876</t>
  </si>
  <si>
    <t>0.1367471159203529</t>
  </si>
  <si>
    <t>3.0008643042350904</t>
  </si>
  <si>
    <t>0.37510803802938647</t>
  </si>
  <si>
    <t>0.40347826086956057</t>
  </si>
  <si>
    <t>0.20970389092239677</t>
  </si>
  <si>
    <t>0.7097553383391776</t>
  </si>
  <si>
    <t>0.3699248120300753</t>
  </si>
  <si>
    <t>0.12330827067669184</t>
  </si>
  <si>
    <t>0.012330827067669184</t>
  </si>
  <si>
    <t>0.6850909090909081</t>
  </si>
  <si>
    <t>0.22836363636363616</t>
  </si>
  <si>
    <t>0.022836363636363616</t>
  </si>
  <si>
    <t>0.14627427687196076</t>
  </si>
  <si>
    <t>0.9227498228206912</t>
  </si>
  <si>
    <t>0.3075832742735646</t>
  </si>
  <si>
    <t>0.030758327427356458</t>
  </si>
  <si>
    <t>0.1973133372106578</t>
  </si>
  <si>
    <t>0.9802816901408562</t>
  </si>
  <si>
    <t>0.3267605633802816</t>
  </si>
  <si>
    <t>0.032676056338028156</t>
  </si>
  <si>
    <t>0.20969183388850698</t>
  </si>
  <si>
    <t>1.0933333333333373</t>
  </si>
  <si>
    <t>0.36444444444444396</t>
  </si>
  <si>
    <t>2.0933333333333337</t>
  </si>
  <si>
    <t>0.6977777777777779</t>
  </si>
  <si>
    <t>0.18998101805003625</t>
  </si>
  <si>
    <t>2.8933333333333344</t>
  </si>
  <si>
    <t>0.9644444444444447</t>
  </si>
  <si>
    <t>0.26393147021581775</t>
  </si>
  <si>
    <t>1.031111111111107</t>
  </si>
  <si>
    <t>0.10311111111111071</t>
  </si>
  <si>
    <t>0.2825377148935324</t>
  </si>
  <si>
    <t>0.45454545454545414</t>
  </si>
  <si>
    <t>1.3636363636363635</t>
  </si>
  <si>
    <t>0.13636363636363635</t>
  </si>
  <si>
    <t>0.4264429056739298</t>
  </si>
  <si>
    <t>0.45454545454545503</t>
  </si>
  <si>
    <t>0.45454545454545325</t>
  </si>
  <si>
    <t>1.3636363636363638</t>
  </si>
  <si>
    <t>0.13636363636363638</t>
  </si>
  <si>
    <t>0.4264429056739299</t>
  </si>
  <si>
    <t>1.3636363636363633</t>
  </si>
  <si>
    <t>0.13636363636363633</t>
  </si>
  <si>
    <t>0.42644290567392973</t>
  </si>
  <si>
    <t>1.3666666666666663</t>
  </si>
  <si>
    <t>0.13666666666666663</t>
  </si>
  <si>
    <t>0.36756299156977523</t>
  </si>
  <si>
    <t>0.5263157894736867</t>
  </si>
  <si>
    <t>1.5789473684210535</t>
  </si>
  <si>
    <t>0.15789473684210537</t>
  </si>
  <si>
    <t>0.4246555743424878</t>
  </si>
  <si>
    <t>0.5263157894736852</t>
  </si>
  <si>
    <t>1.5789473684210529</t>
  </si>
  <si>
    <t>0.15789473684210528</t>
  </si>
  <si>
    <t>0.4246555743424876</t>
  </si>
  <si>
    <t>1.5789473684210527</t>
  </si>
  <si>
    <t>0.15789473684210525</t>
  </si>
  <si>
    <t>0.42465557434248746</t>
  </si>
  <si>
    <t>1.0250000000000012</t>
  </si>
  <si>
    <t>0.10250000000000012</t>
  </si>
  <si>
    <t>0.2755344938650597</t>
  </si>
  <si>
    <t>1.9624999999999986</t>
  </si>
  <si>
    <t>0.19624999999999987</t>
  </si>
  <si>
    <t>0.5275477504489547</t>
  </si>
  <si>
    <t>0.6720353508903887</t>
  </si>
  <si>
    <t>5.000000000000007</t>
  </si>
  <si>
    <t>0.36444444444444457</t>
  </si>
  <si>
    <t>0.3644444444444428</t>
  </si>
  <si>
    <t>0.6752688172043007</t>
  </si>
  <si>
    <t>0.14416820647339273</t>
  </si>
  <si>
    <t>0.9098532494758942</t>
  </si>
  <si>
    <t>0.9098532494758906</t>
  </si>
  <si>
    <t>0.1945397606003578</t>
  </si>
  <si>
    <t>0.9666666666666774</t>
  </si>
  <si>
    <t>0.9666666666666668</t>
  </si>
  <si>
    <t>0.2067616252038183</t>
  </si>
  <si>
    <t>0.6251751138487096</t>
  </si>
  <si>
    <t>0.6251751138487095</t>
  </si>
  <si>
    <t>2.5894736842105424</t>
  </si>
  <si>
    <t>0.4315789473684233</t>
  </si>
  <si>
    <t>0.043157894736842325</t>
  </si>
  <si>
    <t>0.17537664256281618</t>
  </si>
  <si>
    <t>5.161643835616445</t>
  </si>
  <si>
    <t>0.8602739726027409</t>
  </si>
  <si>
    <t>0.3554288725160845</t>
  </si>
  <si>
    <t>7.376770538243619</t>
  </si>
  <si>
    <t>1.229461756373937</t>
  </si>
  <si>
    <t>0.1229461756373937</t>
  </si>
  <si>
    <t>0.5153859354298558</t>
  </si>
  <si>
    <t>1.3257142857142867</t>
  </si>
  <si>
    <t>0.13257142857142867</t>
  </si>
  <si>
    <t>0.5578604015279439</t>
  </si>
  <si>
    <t>2.827586206896555</t>
  </si>
  <si>
    <t>0.1833671723850059</t>
  </si>
  <si>
    <t>5.7090909090908575</t>
  </si>
  <si>
    <t>1.141818181818171</t>
  </si>
  <si>
    <t>0.1141818181818171</t>
  </si>
  <si>
    <t>0.3771933917766751</t>
  </si>
  <si>
    <t>8.250950570342193</t>
  </si>
  <si>
    <t>1.6501901140684385</t>
  </si>
  <si>
    <t>0.16501901140684386</t>
  </si>
  <si>
    <t>0.5543270633373683</t>
  </si>
  <si>
    <t>8.923076923076916</t>
  </si>
  <si>
    <t>0.17846153846153828</t>
  </si>
  <si>
    <t>0.6021688046476517</t>
  </si>
  <si>
    <t>0.3529411764705914</t>
  </si>
  <si>
    <t>1.0705882352941183</t>
  </si>
  <si>
    <t>0.10705882352941183</t>
  </si>
  <si>
    <t>0.42853220211815735</t>
  </si>
  <si>
    <t>0.3571428571428559</t>
  </si>
  <si>
    <t>1.0714285714285716</t>
  </si>
  <si>
    <t>0.10714285714285716</t>
  </si>
  <si>
    <t>0.4288685696237444</t>
  </si>
  <si>
    <t>1.0714285714285714</t>
  </si>
  <si>
    <t>0.10714285714285714</t>
  </si>
  <si>
    <t>0.4288685696237443</t>
  </si>
  <si>
    <t>1.0249999999999888</t>
  </si>
  <si>
    <t>0.10249999999999888</t>
  </si>
  <si>
    <t>0.3654135911858057</t>
  </si>
  <si>
    <t>0.3999999999999977</t>
  </si>
  <si>
    <t>1.1999999999999997</t>
  </si>
  <si>
    <t>0.11999999999999997</t>
  </si>
  <si>
    <t>0.42780127748582586</t>
  </si>
  <si>
    <t>0.40000000000000124</t>
  </si>
  <si>
    <t>1.2000000000000002</t>
  </si>
  <si>
    <t>0.12000000000000002</t>
  </si>
  <si>
    <t>0.4278012774858259</t>
  </si>
  <si>
    <t>0.4599999999999991</t>
  </si>
  <si>
    <t>1.819999999999999</t>
  </si>
  <si>
    <t>0.18199999999999988</t>
  </si>
  <si>
    <t>0.4098135192780761</t>
  </si>
  <si>
    <t>0.6249999999999982</t>
  </si>
  <si>
    <t>0.42219799376175443</t>
  </si>
  <si>
    <t>1.8749999999999998</t>
  </si>
  <si>
    <t>0.18749999999999997</t>
  </si>
  <si>
    <t>0.4221979937617544</t>
  </si>
  <si>
    <t>0.5466666666666646</t>
  </si>
  <si>
    <t>0.15039077067570947</t>
  </si>
  <si>
    <t>0.9968253968253955</t>
  </si>
  <si>
    <t>0.2742317188860215</t>
  </si>
  <si>
    <t>1.3272171253822627</t>
  </si>
  <si>
    <t>0.13272171253822626</t>
  </si>
  <si>
    <t>0.36512415793946157</t>
  </si>
  <si>
    <t>1.406060606060606</t>
  </si>
  <si>
    <t>0.1406060606060606</t>
  </si>
  <si>
    <t>0.38681439907721427</t>
  </si>
  <si>
    <t>0.18798846334463584</t>
  </si>
  <si>
    <t>1.1017543859649053</t>
  </si>
  <si>
    <t>0.11017543859649052</t>
  </si>
  <si>
    <t>0.30309821561086425</t>
  </si>
  <si>
    <t>1.3520249221183798</t>
  </si>
  <si>
    <t>0.13520249221183797</t>
  </si>
  <si>
    <t>0.3719489085551524</t>
  </si>
  <si>
    <t>1.4060606060606062</t>
  </si>
  <si>
    <t>0.14060606060606062</t>
  </si>
  <si>
    <t>0.3868143990772144</t>
  </si>
  <si>
    <t>0.16078431372549318</t>
  </si>
  <si>
    <t>1.2560000000000011</t>
  </si>
  <si>
    <t>0.31399999999999967</t>
  </si>
  <si>
    <t>1.7642276422764238</t>
  </si>
  <si>
    <t>0.44105691056910434</t>
  </si>
  <si>
    <t>0.13100034265232569</t>
  </si>
  <si>
    <t>0.4734693877551022</t>
  </si>
  <si>
    <t>0.047346938775510224</t>
  </si>
  <si>
    <t>0.14074342153533265</t>
  </si>
  <si>
    <t>0.41285918755496853</t>
  </si>
  <si>
    <t>1.350588235294119</t>
  </si>
  <si>
    <t>0.19294117647058845</t>
  </si>
  <si>
    <t>0.019294117647058844</t>
  </si>
  <si>
    <t>0.10515330636726242</t>
  </si>
  <si>
    <t>2.6969325153374313</t>
  </si>
  <si>
    <t>0.3852760736196317</t>
  </si>
  <si>
    <t>0.038527607361963166</t>
  </si>
  <si>
    <t>0.21178562264161974</t>
  </si>
  <si>
    <t>0.5514612452350687</t>
  </si>
  <si>
    <t>0.3054113449518341</t>
  </si>
  <si>
    <t>4.164102564102557</t>
  </si>
  <si>
    <t>0.5948717948717949</t>
  </si>
  <si>
    <t>0.059487179487179485</t>
  </si>
  <si>
    <t>0.3300999063574614</t>
  </si>
  <si>
    <t>0.5963636363636358</t>
  </si>
  <si>
    <t>0.14909090909091027</t>
  </si>
  <si>
    <t>0.014909090909091028</t>
  </si>
  <si>
    <t>0.048643992670458255</t>
  </si>
  <si>
    <t>1.1629629629629648</t>
  </si>
  <si>
    <t>0.29074074074074385</t>
  </si>
  <si>
    <t>0.029074074074074384</t>
  </si>
  <si>
    <t>1.6315789473684088</t>
  </si>
  <si>
    <t>0.4078947368421098</t>
  </si>
  <si>
    <t>0.1339599284046264</t>
  </si>
  <si>
    <t>1.7509433962264094</t>
  </si>
  <si>
    <t>0.1438694548278591</t>
  </si>
  <si>
    <t>0.3727272727272677</t>
  </si>
  <si>
    <t>0.18636363636363662</t>
  </si>
  <si>
    <t>0.018636363636363663</t>
  </si>
  <si>
    <t>0.6901098901098877</t>
  </si>
  <si>
    <t>0.34505494505494516</t>
  </si>
  <si>
    <t>0.1473505566326928</t>
  </si>
  <si>
    <t>0.9293361884368316</t>
  </si>
  <si>
    <t>0.46466809421841543</t>
  </si>
  <si>
    <t>0.046466809421841546</t>
  </si>
  <si>
    <t>0.9872340425531947</t>
  </si>
  <si>
    <t>0.4936170212765957</t>
  </si>
  <si>
    <t>0.21118830550475773</t>
  </si>
  <si>
    <t>2.733333333333327</t>
  </si>
  <si>
    <t>0.4555555555555548</t>
  </si>
  <si>
    <t>0.19106002332026292</t>
  </si>
  <si>
    <t>5.709090909090902</t>
  </si>
  <si>
    <t>0.9515151515151512</t>
  </si>
  <si>
    <t>0.4068157021223053</t>
  </si>
  <si>
    <t>8.509803921568635</t>
  </si>
  <si>
    <t>1.4183006535947689</t>
  </si>
  <si>
    <t>0.1418300653594769</t>
  </si>
  <si>
    <t>0.6176777882734902</t>
  </si>
  <si>
    <t>9.279999999999871</t>
  </si>
  <si>
    <t>1.5466666666666353</t>
  </si>
  <si>
    <t>0.15466666666666354</t>
  </si>
  <si>
    <t>0.6770484989189416</t>
  </si>
  <si>
    <t>2.562499999999999</t>
  </si>
  <si>
    <t>0.5125000000000003</t>
  </si>
  <si>
    <t>0.18869778261070938</t>
  </si>
  <si>
    <t>5.413793103448279</t>
  </si>
  <si>
    <t>1.0827586206896558</t>
  </si>
  <si>
    <t>0.10827586206896558</t>
  </si>
  <si>
    <t>0.4060660128689152</t>
  </si>
  <si>
    <t>1.6315789473684195</t>
  </si>
  <si>
    <t>0.16315789473684195</t>
  </si>
  <si>
    <t>0.6230259254489275</t>
  </si>
  <si>
    <t>8.923076923076922</t>
  </si>
  <si>
    <t>1.784615384615384</t>
  </si>
  <si>
    <t>0.1784615384615384</t>
  </si>
  <si>
    <t>0.6849396357373444</t>
  </si>
  <si>
    <t>2.981818181818177</t>
  </si>
  <si>
    <t>0.037272727272727305</t>
  </si>
  <si>
    <t>6.126829268292691</t>
  </si>
  <si>
    <t>0.1865588908500984</t>
  </si>
  <si>
    <t>8.994818652849741</t>
  </si>
  <si>
    <t>1.1243523316062178</t>
  </si>
  <si>
    <t>0.11243523316062179</t>
  </si>
  <si>
    <t>0.2791265792408693</t>
  </si>
  <si>
    <t>9.768421052631581</t>
  </si>
  <si>
    <t>1.2210526315789476</t>
  </si>
  <si>
    <t>0.12210526315789476</t>
  </si>
  <si>
    <t>0.3047050641240131</t>
  </si>
  <si>
    <t>2.8941176470588292</t>
  </si>
  <si>
    <t>0.1932997381661311</t>
  </si>
  <si>
    <t>5.887499999999996</t>
  </si>
  <si>
    <t>0.6541666666666668</t>
  </si>
  <si>
    <t>0.4009204653465197</t>
  </si>
  <si>
    <t>0.9517543859649127</t>
  </si>
  <si>
    <t>0.5936932091837559</t>
  </si>
  <si>
    <t>1.0311111111111089</t>
  </si>
  <si>
    <t>0.10311111111111089</t>
  </si>
  <si>
    <t>0.6462645973820492</t>
  </si>
  <si>
    <t>2023-11-29</t>
  </si>
  <si>
    <t>1.1714285714285726</t>
  </si>
  <si>
    <t>0.11714285714285726</t>
  </si>
  <si>
    <t>0.16121168275955927</t>
  </si>
  <si>
    <t>2.0258064516129055</t>
  </si>
  <si>
    <t>0.20258064516129054</t>
  </si>
  <si>
    <t>0.2787909352521726</t>
  </si>
  <si>
    <t>0.17098445595854983</t>
  </si>
  <si>
    <t>2.585492227979275</t>
  </si>
  <si>
    <t>0.25854922279792747</t>
  </si>
  <si>
    <t>0.3558147402244029</t>
  </si>
  <si>
    <t>0.41052631578947185</t>
  </si>
  <si>
    <t>2.705263157894736</t>
  </si>
  <si>
    <t>0.2705263157894736</t>
  </si>
  <si>
    <t>0.37229758316360306</t>
  </si>
  <si>
    <t>2023-12-13</t>
  </si>
  <si>
    <t>CO_2:H2_2</t>
  </si>
  <si>
    <t>2023-12-14</t>
  </si>
  <si>
    <t>Carbons in Compound</t>
  </si>
  <si>
    <t>Carbons</t>
  </si>
  <si>
    <t>2024-02-14</t>
  </si>
  <si>
    <t>N_Propanol</t>
  </si>
  <si>
    <t>Flue_Gas</t>
  </si>
  <si>
    <t>CO_2:CO1_4</t>
  </si>
  <si>
    <t>2024-02-15</t>
  </si>
  <si>
    <t>ECR Product</t>
  </si>
  <si>
    <t>LHV (MJ/kg)</t>
  </si>
  <si>
    <t>ΔGf (kJ/mol)</t>
  </si>
  <si>
    <t>CO</t>
  </si>
  <si>
    <t>CO2</t>
  </si>
  <si>
    <t>H2</t>
  </si>
  <si>
    <t>Products to look at</t>
  </si>
  <si>
    <t>C2H6O</t>
  </si>
  <si>
    <t>etoh_c</t>
  </si>
  <si>
    <t>EX_etoh_e</t>
  </si>
  <si>
    <t>2024-02-21</t>
  </si>
  <si>
    <t>MW_g/mol</t>
  </si>
  <si>
    <t>ΔGf (MJ/kg)</t>
  </si>
  <si>
    <t>LHV (kJ/mol)</t>
  </si>
  <si>
    <t>Formate</t>
  </si>
  <si>
    <t>2024-03-12</t>
  </si>
  <si>
    <t>LHVMass</t>
  </si>
  <si>
    <t>LHVMolar</t>
  </si>
  <si>
    <t>DoR_S</t>
  </si>
  <si>
    <t>DoR</t>
  </si>
  <si>
    <t>C</t>
  </si>
  <si>
    <t>H</t>
  </si>
  <si>
    <t>O</t>
  </si>
  <si>
    <t>Cn_S</t>
  </si>
  <si>
    <t>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</si>
</sst>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vertAlign val="superscript"/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0"/>
      <name val="Arial"/>
      <family val="2"/>
    </font>
    <font>
      <sz val="8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FFF9AE"/>
        <bgColor rgb="FFFFFFCC"/>
      </patternFill>
    </fill>
    <fill>
      <patternFill patternType="solid">
        <fgColor rgb="FFE0EFD4"/>
        <bgColor rgb="FFFFFFCC"/>
      </patternFill>
    </fill>
    <fill>
      <patternFill patternType="solid">
        <fgColor rgb="FF65FAED"/>
        <bgColor rgb="FF33CCCC"/>
      </patternFill>
    </fill>
    <fill>
      <patternFill patternType="solid">
        <fgColor rgb="FFBCE4E5"/>
        <bgColor rgb="FFE0EFD4"/>
      </patternFill>
    </fill>
    <fill>
      <patternFill patternType="solid">
        <fgColor rgb="FFDFCCE4"/>
        <bgColor rgb="FFFBE0F7"/>
      </patternFill>
    </fill>
    <fill>
      <patternFill patternType="solid">
        <fgColor rgb="FFFBE0F7"/>
        <bgColor rgb="FFE0EFD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1" fillId="0" borderId="0" xfId="0" applyNumberFormat="1" applyFont="1"/>
    <xf numFmtId="49" fontId="1" fillId="3" borderId="0" xfId="0" applyNumberFormat="1" applyFont="1" applyFill="1"/>
    <xf numFmtId="0" fontId="1" fillId="4" borderId="0" xfId="0" applyFont="1" applyFill="1"/>
    <xf numFmtId="0" fontId="2" fillId="0" borderId="0" xfId="0" applyFont="1"/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2" fontId="1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49" fontId="0" fillId="0" borderId="0" xfId="0" applyNumberFormat="1"/>
    <xf numFmtId="49" fontId="0" fillId="6" borderId="0" xfId="0" applyNumberFormat="1" applyFill="1"/>
    <xf numFmtId="0" fontId="0" fillId="6" borderId="0" xfId="0" applyFill="1"/>
    <xf numFmtId="0" fontId="0" fillId="2" borderId="0" xfId="0" applyFill="1"/>
    <xf numFmtId="0" fontId="1" fillId="2" borderId="0" xfId="0" applyFont="1" applyFill="1"/>
    <xf numFmtId="0" fontId="0" fillId="4" borderId="0" xfId="0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0" fontId="7" fillId="0" borderId="0" xfId="0" applyFont="1"/>
    <xf numFmtId="0" fontId="7" fillId="9" borderId="0" xfId="0" applyFont="1" applyFill="1"/>
    <xf numFmtId="0" fontId="0" fillId="0" borderId="0" xfId="0" quotePrefix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BE0F7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CE4E5"/>
      <rgbColor rgb="FF660066"/>
      <rgbColor rgb="FFFF8080"/>
      <rgbColor rgb="FF0066CC"/>
      <rgbColor rgb="FFDF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FD4"/>
      <rgbColor rgb="FFFFF9AE"/>
      <rgbColor rgb="FF65FAE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76" name="shapetype_202" hidden="1">
          <a:extLst>
            <a:ext uri="{FF2B5EF4-FFF2-40B4-BE49-F238E27FC236}">
              <a16:creationId xmlns:a16="http://schemas.microsoft.com/office/drawing/2014/main" id="{ED1E6F15-66EA-5240-A595-B158BCDD0A1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74" name="shapetype_202" hidden="1">
          <a:extLst>
            <a:ext uri="{FF2B5EF4-FFF2-40B4-BE49-F238E27FC236}">
              <a16:creationId xmlns:a16="http://schemas.microsoft.com/office/drawing/2014/main" id="{B8769269-9BE7-C14A-9C0D-9E5D33DEC47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72" name="shapetype_202" hidden="1">
          <a:extLst>
            <a:ext uri="{FF2B5EF4-FFF2-40B4-BE49-F238E27FC236}">
              <a16:creationId xmlns:a16="http://schemas.microsoft.com/office/drawing/2014/main" id="{467C7FF0-3311-3A4B-AE86-F91BCD2DEC7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70" name="shapetype_202" hidden="1">
          <a:extLst>
            <a:ext uri="{FF2B5EF4-FFF2-40B4-BE49-F238E27FC236}">
              <a16:creationId xmlns:a16="http://schemas.microsoft.com/office/drawing/2014/main" id="{4AEAE128-B16A-8A42-AB47-C039E460469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68" name="shapetype_202" hidden="1">
          <a:extLst>
            <a:ext uri="{FF2B5EF4-FFF2-40B4-BE49-F238E27FC236}">
              <a16:creationId xmlns:a16="http://schemas.microsoft.com/office/drawing/2014/main" id="{5D6C83E4-B68B-EF4E-8BBE-172F5227877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66" name="shapetype_202" hidden="1">
          <a:extLst>
            <a:ext uri="{FF2B5EF4-FFF2-40B4-BE49-F238E27FC236}">
              <a16:creationId xmlns:a16="http://schemas.microsoft.com/office/drawing/2014/main" id="{5E63F3BE-E1BD-6044-B2BB-7EDEBC55A39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64" name="shapetype_202" hidden="1">
          <a:extLst>
            <a:ext uri="{FF2B5EF4-FFF2-40B4-BE49-F238E27FC236}">
              <a16:creationId xmlns:a16="http://schemas.microsoft.com/office/drawing/2014/main" id="{DEC802DD-ABA6-4848-A23A-B142A7B8269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62" name="shapetype_202" hidden="1">
          <a:extLst>
            <a:ext uri="{FF2B5EF4-FFF2-40B4-BE49-F238E27FC236}">
              <a16:creationId xmlns:a16="http://schemas.microsoft.com/office/drawing/2014/main" id="{213886BC-35AE-E242-B380-33BFD4E5FEC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60" name="shapetype_202" hidden="1">
          <a:extLst>
            <a:ext uri="{FF2B5EF4-FFF2-40B4-BE49-F238E27FC236}">
              <a16:creationId xmlns:a16="http://schemas.microsoft.com/office/drawing/2014/main" id="{FE5937F1-CB13-9243-AD1F-DE081C17F91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58" name="shapetype_202" hidden="1">
          <a:extLst>
            <a:ext uri="{FF2B5EF4-FFF2-40B4-BE49-F238E27FC236}">
              <a16:creationId xmlns:a16="http://schemas.microsoft.com/office/drawing/2014/main" id="{7F6A6C7C-9CA6-2849-94BD-6C3F2FAEBFD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56" name="shapetype_202" hidden="1">
          <a:extLst>
            <a:ext uri="{FF2B5EF4-FFF2-40B4-BE49-F238E27FC236}">
              <a16:creationId xmlns:a16="http://schemas.microsoft.com/office/drawing/2014/main" id="{B73E6959-5258-5D4B-A8CF-6BBB35E351E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54" name="shapetype_202" hidden="1">
          <a:extLst>
            <a:ext uri="{FF2B5EF4-FFF2-40B4-BE49-F238E27FC236}">
              <a16:creationId xmlns:a16="http://schemas.microsoft.com/office/drawing/2014/main" id="{B85BA4A8-CFA4-C340-924B-2D4C5A08A95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52" name="shapetype_202" hidden="1">
          <a:extLst>
            <a:ext uri="{FF2B5EF4-FFF2-40B4-BE49-F238E27FC236}">
              <a16:creationId xmlns:a16="http://schemas.microsoft.com/office/drawing/2014/main" id="{C43FC8D3-432F-7141-926D-908F39A3F0A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50" name="shapetype_202" hidden="1">
          <a:extLst>
            <a:ext uri="{FF2B5EF4-FFF2-40B4-BE49-F238E27FC236}">
              <a16:creationId xmlns:a16="http://schemas.microsoft.com/office/drawing/2014/main" id="{D57527A1-B464-5344-A810-3C213468B22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48" name="shapetype_202" hidden="1">
          <a:extLst>
            <a:ext uri="{FF2B5EF4-FFF2-40B4-BE49-F238E27FC236}">
              <a16:creationId xmlns:a16="http://schemas.microsoft.com/office/drawing/2014/main" id="{64EE5B27-D9EC-AB48-B9E2-CA5426D721A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46" name="shapetype_202" hidden="1">
          <a:extLst>
            <a:ext uri="{FF2B5EF4-FFF2-40B4-BE49-F238E27FC236}">
              <a16:creationId xmlns:a16="http://schemas.microsoft.com/office/drawing/2014/main" id="{6D01661F-BA06-284B-9551-71076012137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44" name="shapetype_202" hidden="1">
          <a:extLst>
            <a:ext uri="{FF2B5EF4-FFF2-40B4-BE49-F238E27FC236}">
              <a16:creationId xmlns:a16="http://schemas.microsoft.com/office/drawing/2014/main" id="{6B009FFC-6923-F343-852A-65DE9D8FCAD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42" name="shapetype_202" hidden="1">
          <a:extLst>
            <a:ext uri="{FF2B5EF4-FFF2-40B4-BE49-F238E27FC236}">
              <a16:creationId xmlns:a16="http://schemas.microsoft.com/office/drawing/2014/main" id="{23CF3EF8-0AD9-4741-8680-3C085A265A8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40" name="shapetype_202" hidden="1">
          <a:extLst>
            <a:ext uri="{FF2B5EF4-FFF2-40B4-BE49-F238E27FC236}">
              <a16:creationId xmlns:a16="http://schemas.microsoft.com/office/drawing/2014/main" id="{DF43CFF8-ACAE-3247-ABBA-21432DE0E77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38" name="shapetype_202" hidden="1">
          <a:extLst>
            <a:ext uri="{FF2B5EF4-FFF2-40B4-BE49-F238E27FC236}">
              <a16:creationId xmlns:a16="http://schemas.microsoft.com/office/drawing/2014/main" id="{E15897D8-311F-CE40-8CD3-E67AE13C5FD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36" name="shapetype_202" hidden="1">
          <a:extLst>
            <a:ext uri="{FF2B5EF4-FFF2-40B4-BE49-F238E27FC236}">
              <a16:creationId xmlns:a16="http://schemas.microsoft.com/office/drawing/2014/main" id="{4CA91053-21D1-3C4E-9C02-177EDFF6A00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34" name="shapetype_202" hidden="1">
          <a:extLst>
            <a:ext uri="{FF2B5EF4-FFF2-40B4-BE49-F238E27FC236}">
              <a16:creationId xmlns:a16="http://schemas.microsoft.com/office/drawing/2014/main" id="{EC78B464-9061-D94C-8700-AAAB0C10E34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32" name="shapetype_202" hidden="1">
          <a:extLst>
            <a:ext uri="{FF2B5EF4-FFF2-40B4-BE49-F238E27FC236}">
              <a16:creationId xmlns:a16="http://schemas.microsoft.com/office/drawing/2014/main" id="{904240E4-9D0B-2446-B0C1-B371526B342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30" name="shapetype_202" hidden="1">
          <a:extLst>
            <a:ext uri="{FF2B5EF4-FFF2-40B4-BE49-F238E27FC236}">
              <a16:creationId xmlns:a16="http://schemas.microsoft.com/office/drawing/2014/main" id="{2CF07A0C-FEAE-7346-A519-2F3588D70FC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28" name="shapetype_202" hidden="1">
          <a:extLst>
            <a:ext uri="{FF2B5EF4-FFF2-40B4-BE49-F238E27FC236}">
              <a16:creationId xmlns:a16="http://schemas.microsoft.com/office/drawing/2014/main" id="{671B7775-5308-0247-9BF2-4A64DD0D5ED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26" name="shapetype_202" hidden="1">
          <a:extLst>
            <a:ext uri="{FF2B5EF4-FFF2-40B4-BE49-F238E27FC236}">
              <a16:creationId xmlns:a16="http://schemas.microsoft.com/office/drawing/2014/main" id="{28E2AF46-4089-7E43-A912-005DEC04174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24" name="shapetype_202" hidden="1">
          <a:extLst>
            <a:ext uri="{FF2B5EF4-FFF2-40B4-BE49-F238E27FC236}">
              <a16:creationId xmlns:a16="http://schemas.microsoft.com/office/drawing/2014/main" id="{FEBD3F87-9F83-FE4A-8433-B552FF6C424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22" name="shapetype_202" hidden="1">
          <a:extLst>
            <a:ext uri="{FF2B5EF4-FFF2-40B4-BE49-F238E27FC236}">
              <a16:creationId xmlns:a16="http://schemas.microsoft.com/office/drawing/2014/main" id="{A85CC111-B0AA-D94C-8B48-F7C0EB7A18D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20" name="shapetype_202" hidden="1">
          <a:extLst>
            <a:ext uri="{FF2B5EF4-FFF2-40B4-BE49-F238E27FC236}">
              <a16:creationId xmlns:a16="http://schemas.microsoft.com/office/drawing/2014/main" id="{C6C18DB8-8DE1-B44D-BD23-AF657A175C5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18" name="shapetype_202" hidden="1">
          <a:extLst>
            <a:ext uri="{FF2B5EF4-FFF2-40B4-BE49-F238E27FC236}">
              <a16:creationId xmlns:a16="http://schemas.microsoft.com/office/drawing/2014/main" id="{81F9313D-7E4A-5B41-A393-B9934B44189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16" name="shapetype_202" hidden="1">
          <a:extLst>
            <a:ext uri="{FF2B5EF4-FFF2-40B4-BE49-F238E27FC236}">
              <a16:creationId xmlns:a16="http://schemas.microsoft.com/office/drawing/2014/main" id="{9C67CB57-1FFD-614A-B205-6385A1FB1AE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14" name="shapetype_202" hidden="1">
          <a:extLst>
            <a:ext uri="{FF2B5EF4-FFF2-40B4-BE49-F238E27FC236}">
              <a16:creationId xmlns:a16="http://schemas.microsoft.com/office/drawing/2014/main" id="{7AB4653E-9B73-194F-A0EC-F082E98D7FE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12" name="shapetype_202" hidden="1">
          <a:extLst>
            <a:ext uri="{FF2B5EF4-FFF2-40B4-BE49-F238E27FC236}">
              <a16:creationId xmlns:a16="http://schemas.microsoft.com/office/drawing/2014/main" id="{211A5851-78D4-9746-B32F-C9C7B455F6B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10" name="shapetype_202" hidden="1">
          <a:extLst>
            <a:ext uri="{FF2B5EF4-FFF2-40B4-BE49-F238E27FC236}">
              <a16:creationId xmlns:a16="http://schemas.microsoft.com/office/drawing/2014/main" id="{F2219E4A-CC08-1441-AFB6-D635F38D188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08" name="shapetype_202" hidden="1">
          <a:extLst>
            <a:ext uri="{FF2B5EF4-FFF2-40B4-BE49-F238E27FC236}">
              <a16:creationId xmlns:a16="http://schemas.microsoft.com/office/drawing/2014/main" id="{8A1A3550-AEC8-2D4F-A429-13CB3065CAB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06" name="shapetype_202" hidden="1">
          <a:extLst>
            <a:ext uri="{FF2B5EF4-FFF2-40B4-BE49-F238E27FC236}">
              <a16:creationId xmlns:a16="http://schemas.microsoft.com/office/drawing/2014/main" id="{4902D635-6C3F-5245-977B-733D14CDFDF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04" name="shapetype_202" hidden="1">
          <a:extLst>
            <a:ext uri="{FF2B5EF4-FFF2-40B4-BE49-F238E27FC236}">
              <a16:creationId xmlns:a16="http://schemas.microsoft.com/office/drawing/2014/main" id="{61607C76-F4CA-A54B-9D3B-896CA18E7EA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02" name="shapetype_202" hidden="1">
          <a:extLst>
            <a:ext uri="{FF2B5EF4-FFF2-40B4-BE49-F238E27FC236}">
              <a16:creationId xmlns:a16="http://schemas.microsoft.com/office/drawing/2014/main" id="{A782D1F0-737D-1849-80EA-8E06A191F50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100" name="shapetype_202" hidden="1">
          <a:extLst>
            <a:ext uri="{FF2B5EF4-FFF2-40B4-BE49-F238E27FC236}">
              <a16:creationId xmlns:a16="http://schemas.microsoft.com/office/drawing/2014/main" id="{C1C65E5D-82B0-0249-9965-023B174E716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98" name="shapetype_202" hidden="1">
          <a:extLst>
            <a:ext uri="{FF2B5EF4-FFF2-40B4-BE49-F238E27FC236}">
              <a16:creationId xmlns:a16="http://schemas.microsoft.com/office/drawing/2014/main" id="{16BE592F-41CE-3146-A8EA-748580D00D1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96" name="shapetype_202" hidden="1">
          <a:extLst>
            <a:ext uri="{FF2B5EF4-FFF2-40B4-BE49-F238E27FC236}">
              <a16:creationId xmlns:a16="http://schemas.microsoft.com/office/drawing/2014/main" id="{20A10726-6DE8-9747-9161-05241A7D347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94" name="shapetype_202" hidden="1">
          <a:extLst>
            <a:ext uri="{FF2B5EF4-FFF2-40B4-BE49-F238E27FC236}">
              <a16:creationId xmlns:a16="http://schemas.microsoft.com/office/drawing/2014/main" id="{FF62AC7F-ACAD-B547-8975-969F177D613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92" name="shapetype_202" hidden="1">
          <a:extLst>
            <a:ext uri="{FF2B5EF4-FFF2-40B4-BE49-F238E27FC236}">
              <a16:creationId xmlns:a16="http://schemas.microsoft.com/office/drawing/2014/main" id="{53C9D2D3-2DA4-0A41-927A-FF231D47E00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90" name="shapetype_202" hidden="1">
          <a:extLst>
            <a:ext uri="{FF2B5EF4-FFF2-40B4-BE49-F238E27FC236}">
              <a16:creationId xmlns:a16="http://schemas.microsoft.com/office/drawing/2014/main" id="{8BC8B92C-E2AE-F047-BBB1-329F65A4E0F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88" name="shapetype_202" hidden="1">
          <a:extLst>
            <a:ext uri="{FF2B5EF4-FFF2-40B4-BE49-F238E27FC236}">
              <a16:creationId xmlns:a16="http://schemas.microsoft.com/office/drawing/2014/main" id="{3EA71B8E-D20F-E249-98B9-8A42C3F5199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86" name="shapetype_202" hidden="1">
          <a:extLst>
            <a:ext uri="{FF2B5EF4-FFF2-40B4-BE49-F238E27FC236}">
              <a16:creationId xmlns:a16="http://schemas.microsoft.com/office/drawing/2014/main" id="{FC80A4F9-7DFF-B247-ADAA-C343BB211FB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84" name="shapetype_202" hidden="1">
          <a:extLst>
            <a:ext uri="{FF2B5EF4-FFF2-40B4-BE49-F238E27FC236}">
              <a16:creationId xmlns:a16="http://schemas.microsoft.com/office/drawing/2014/main" id="{9802BDDC-6DA7-C640-9720-FF1903014AC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82" name="shapetype_202" hidden="1">
          <a:extLst>
            <a:ext uri="{FF2B5EF4-FFF2-40B4-BE49-F238E27FC236}">
              <a16:creationId xmlns:a16="http://schemas.microsoft.com/office/drawing/2014/main" id="{F095223B-BAF9-D447-9EA0-637711AF5FC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80" name="shapetype_202" hidden="1">
          <a:extLst>
            <a:ext uri="{FF2B5EF4-FFF2-40B4-BE49-F238E27FC236}">
              <a16:creationId xmlns:a16="http://schemas.microsoft.com/office/drawing/2014/main" id="{456DCA8E-474B-2A48-A476-2C3CF6CFDFD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78" name="shapetype_202" hidden="1">
          <a:extLst>
            <a:ext uri="{FF2B5EF4-FFF2-40B4-BE49-F238E27FC236}">
              <a16:creationId xmlns:a16="http://schemas.microsoft.com/office/drawing/2014/main" id="{15C8D8A4-6293-AD40-BBF4-9610A311BD5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76" name="shapetype_202" hidden="1">
          <a:extLst>
            <a:ext uri="{FF2B5EF4-FFF2-40B4-BE49-F238E27FC236}">
              <a16:creationId xmlns:a16="http://schemas.microsoft.com/office/drawing/2014/main" id="{92F8690F-6638-4943-9154-A5BADF9A937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74" name="shapetype_202" hidden="1">
          <a:extLst>
            <a:ext uri="{FF2B5EF4-FFF2-40B4-BE49-F238E27FC236}">
              <a16:creationId xmlns:a16="http://schemas.microsoft.com/office/drawing/2014/main" id="{18C10F93-40BF-FD43-B0CA-0BC8F5D4FE4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72" name="shapetype_202" hidden="1">
          <a:extLst>
            <a:ext uri="{FF2B5EF4-FFF2-40B4-BE49-F238E27FC236}">
              <a16:creationId xmlns:a16="http://schemas.microsoft.com/office/drawing/2014/main" id="{FB28BDEB-4F2D-2241-9E49-437950D73A3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70" name="shapetype_202" hidden="1">
          <a:extLst>
            <a:ext uri="{FF2B5EF4-FFF2-40B4-BE49-F238E27FC236}">
              <a16:creationId xmlns:a16="http://schemas.microsoft.com/office/drawing/2014/main" id="{EC8F1786-B66B-3146-8D11-3B04A3904E8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68" name="shapetype_202" hidden="1">
          <a:extLst>
            <a:ext uri="{FF2B5EF4-FFF2-40B4-BE49-F238E27FC236}">
              <a16:creationId xmlns:a16="http://schemas.microsoft.com/office/drawing/2014/main" id="{9B5269D1-6B68-644D-BA5D-ED00BE9B4C9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66" name="shapetype_202" hidden="1">
          <a:extLst>
            <a:ext uri="{FF2B5EF4-FFF2-40B4-BE49-F238E27FC236}">
              <a16:creationId xmlns:a16="http://schemas.microsoft.com/office/drawing/2014/main" id="{81AE6E1D-7E47-994D-BF1F-61ABB24F72A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64" name="shapetype_202" hidden="1">
          <a:extLst>
            <a:ext uri="{FF2B5EF4-FFF2-40B4-BE49-F238E27FC236}">
              <a16:creationId xmlns:a16="http://schemas.microsoft.com/office/drawing/2014/main" id="{A9CCB91C-B5F2-214C-85FC-E090614CCFD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62" name="shapetype_202" hidden="1">
          <a:extLst>
            <a:ext uri="{FF2B5EF4-FFF2-40B4-BE49-F238E27FC236}">
              <a16:creationId xmlns:a16="http://schemas.microsoft.com/office/drawing/2014/main" id="{E7BB93CC-7589-1F44-A9E6-BD32C9583F5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60" name="shapetype_202" hidden="1">
          <a:extLst>
            <a:ext uri="{FF2B5EF4-FFF2-40B4-BE49-F238E27FC236}">
              <a16:creationId xmlns:a16="http://schemas.microsoft.com/office/drawing/2014/main" id="{4F906A58-8FE1-0743-B750-A4024AF2207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58" name="shapetype_202" hidden="1">
          <a:extLst>
            <a:ext uri="{FF2B5EF4-FFF2-40B4-BE49-F238E27FC236}">
              <a16:creationId xmlns:a16="http://schemas.microsoft.com/office/drawing/2014/main" id="{073B42A1-8900-0C44-89A3-29158B93B77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56" name="shapetype_202" hidden="1">
          <a:extLst>
            <a:ext uri="{FF2B5EF4-FFF2-40B4-BE49-F238E27FC236}">
              <a16:creationId xmlns:a16="http://schemas.microsoft.com/office/drawing/2014/main" id="{2D355E12-3D3D-5A40-BE64-0A8D681EC3C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54" name="shapetype_202" hidden="1">
          <a:extLst>
            <a:ext uri="{FF2B5EF4-FFF2-40B4-BE49-F238E27FC236}">
              <a16:creationId xmlns:a16="http://schemas.microsoft.com/office/drawing/2014/main" id="{689551BC-EF05-1545-9352-A587870E785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52" name="shapetype_202" hidden="1">
          <a:extLst>
            <a:ext uri="{FF2B5EF4-FFF2-40B4-BE49-F238E27FC236}">
              <a16:creationId xmlns:a16="http://schemas.microsoft.com/office/drawing/2014/main" id="{345123D6-E0E5-2D4C-95FC-81EDE6642C8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50" name="shapetype_202" hidden="1">
          <a:extLst>
            <a:ext uri="{FF2B5EF4-FFF2-40B4-BE49-F238E27FC236}">
              <a16:creationId xmlns:a16="http://schemas.microsoft.com/office/drawing/2014/main" id="{75811084-E902-3E4B-A2F4-6CA4C3C3342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48" name="shapetype_202" hidden="1">
          <a:extLst>
            <a:ext uri="{FF2B5EF4-FFF2-40B4-BE49-F238E27FC236}">
              <a16:creationId xmlns:a16="http://schemas.microsoft.com/office/drawing/2014/main" id="{505B081A-67C0-0642-9A01-F554F2B84F6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46" name="shapetype_202" hidden="1">
          <a:extLst>
            <a:ext uri="{FF2B5EF4-FFF2-40B4-BE49-F238E27FC236}">
              <a16:creationId xmlns:a16="http://schemas.microsoft.com/office/drawing/2014/main" id="{0EF011D5-6619-6F4C-AF4F-DC5B9D57843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44" name="shapetype_202" hidden="1">
          <a:extLst>
            <a:ext uri="{FF2B5EF4-FFF2-40B4-BE49-F238E27FC236}">
              <a16:creationId xmlns:a16="http://schemas.microsoft.com/office/drawing/2014/main" id="{513E61D7-D09A-F541-A0C5-8CED999241F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42" name="shapetype_202" hidden="1">
          <a:extLst>
            <a:ext uri="{FF2B5EF4-FFF2-40B4-BE49-F238E27FC236}">
              <a16:creationId xmlns:a16="http://schemas.microsoft.com/office/drawing/2014/main" id="{27C090BF-373F-D94D-B19C-7AA9E7445D8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40" name="shapetype_202" hidden="1">
          <a:extLst>
            <a:ext uri="{FF2B5EF4-FFF2-40B4-BE49-F238E27FC236}">
              <a16:creationId xmlns:a16="http://schemas.microsoft.com/office/drawing/2014/main" id="{06B21E78-A495-5F44-9164-07B312A0C54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38" name="shapetype_202" hidden="1">
          <a:extLst>
            <a:ext uri="{FF2B5EF4-FFF2-40B4-BE49-F238E27FC236}">
              <a16:creationId xmlns:a16="http://schemas.microsoft.com/office/drawing/2014/main" id="{6816A7D0-AB07-EE4D-91DA-7C0DC31CB08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36" name="shapetype_202" hidden="1">
          <a:extLst>
            <a:ext uri="{FF2B5EF4-FFF2-40B4-BE49-F238E27FC236}">
              <a16:creationId xmlns:a16="http://schemas.microsoft.com/office/drawing/2014/main" id="{C97750B2-AF14-284E-8231-F42256606E1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34" name="shapetype_202" hidden="1">
          <a:extLst>
            <a:ext uri="{FF2B5EF4-FFF2-40B4-BE49-F238E27FC236}">
              <a16:creationId xmlns:a16="http://schemas.microsoft.com/office/drawing/2014/main" id="{ADC7B142-BD9D-B541-B873-B2D759F5023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DEBFB603-9055-E842-A08A-9795E38533C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7FA5947E-4BA3-8043-9F23-9B67A030E81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6E9D4479-7408-6046-9DF9-7CD819FA5D3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45</xdr:row>
      <xdr:rowOff>152400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DEEF0CED-F716-FC48-8485-E963FF709DC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stin Zheng" id="{0BE6CBDC-E39D-4CEF-AA2B-433B96F95132}" userId="S::azheng@apotex.com::a2ce8c3e-9c7c-47c4-965a-688c21c1c33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4-02-21T19:36:36.72" personId="{0BE6CBDC-E39D-4CEF-AA2B-433B96F95132}" id="{BFAFC181-E464-44EE-8D73-DB01A30471EF}">
    <text>From Web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I1706"/>
  <sheetViews>
    <sheetView zoomScale="85" zoomScaleNormal="85" workbookViewId="0">
      <pane xSplit="3" ySplit="1" topLeftCell="AH2" activePane="bottomRight" state="frozen"/>
      <selection pane="topRight" activeCell="S1" sqref="S1"/>
      <selection pane="bottomLeft" activeCell="A2" sqref="A2"/>
      <selection pane="bottomRight" activeCell="AP3" sqref="AP3"/>
    </sheetView>
  </sheetViews>
  <sheetFormatPr defaultColWidth="8.85546875" defaultRowHeight="12.75" x14ac:dyDescent="0.2"/>
  <cols>
    <col min="1" max="1" width="11.42578125" style="1"/>
    <col min="2" max="2" width="15.28515625" style="1" customWidth="1"/>
    <col min="3" max="3" width="27.5703125" style="1" customWidth="1"/>
    <col min="4" max="5" width="20" style="1" customWidth="1"/>
    <col min="6" max="6" width="16.7109375" style="1" customWidth="1"/>
    <col min="7" max="7" width="16.42578125" style="1" customWidth="1"/>
    <col min="8" max="8" width="18.42578125" style="1" customWidth="1"/>
    <col min="9" max="9" width="18" style="1" customWidth="1"/>
    <col min="10" max="10" width="12.7109375" style="1" customWidth="1"/>
    <col min="11" max="11" width="11.42578125" style="1"/>
    <col min="12" max="12" width="21" style="1" customWidth="1"/>
    <col min="13" max="14" width="11.42578125" style="1"/>
    <col min="15" max="15" width="17.7109375" style="1" customWidth="1"/>
    <col min="16" max="16" width="11.42578125" style="1"/>
    <col min="17" max="18" width="17.7109375" style="1" customWidth="1"/>
    <col min="19" max="19" width="21.7109375" style="1" customWidth="1"/>
    <col min="20" max="20" width="26.42578125" style="2" customWidth="1"/>
    <col min="21" max="30" width="11.42578125" style="1"/>
    <col min="31" max="31" width="31.85546875" style="1" customWidth="1"/>
    <col min="32" max="32" width="32" style="1" customWidth="1"/>
    <col min="33" max="33" width="17.28515625" style="1" customWidth="1"/>
    <col min="34" max="34" width="11.42578125" style="3"/>
    <col min="35" max="35" width="11.42578125" style="1"/>
    <col min="36" max="36" width="8.85546875" style="1"/>
    <col min="37" max="39" width="11.42578125" style="1"/>
    <col min="40" max="40" width="8.85546875" style="1"/>
    <col min="41" max="1023" width="11.42578125" style="1"/>
    <col min="1024" max="1026" width="11.42578125"/>
  </cols>
  <sheetData>
    <row r="1" spans="1:4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7" t="s">
        <v>33</v>
      </c>
      <c r="AI1" s="6" t="s">
        <v>350</v>
      </c>
      <c r="AJ1" s="6" t="s">
        <v>352</v>
      </c>
      <c r="AK1" s="6" t="s">
        <v>351</v>
      </c>
      <c r="AL1" s="6" t="s">
        <v>363</v>
      </c>
      <c r="AM1" s="6" t="s">
        <v>811</v>
      </c>
      <c r="AN1" s="6" t="s">
        <v>834</v>
      </c>
      <c r="AO1" s="6" t="s">
        <v>833</v>
      </c>
      <c r="AP1" s="6" t="s">
        <v>835</v>
      </c>
      <c r="AQ1" s="6" t="s">
        <v>840</v>
      </c>
      <c r="AR1" s="6" t="s">
        <v>841</v>
      </c>
    </row>
    <row r="2" spans="1:44" x14ac:dyDescent="0.2">
      <c r="A2" s="8" t="s">
        <v>34</v>
      </c>
      <c r="B2" s="9" t="s">
        <v>35</v>
      </c>
      <c r="C2" s="1" t="s">
        <v>340</v>
      </c>
      <c r="D2" s="23" t="s">
        <v>338</v>
      </c>
      <c r="E2" s="1" t="s">
        <v>306</v>
      </c>
      <c r="F2" s="1" t="s">
        <v>302</v>
      </c>
      <c r="G2" s="1">
        <v>-10</v>
      </c>
      <c r="H2" s="1">
        <v>-20</v>
      </c>
      <c r="I2" s="1" t="s">
        <v>40</v>
      </c>
      <c r="J2" s="1">
        <v>3.15</v>
      </c>
      <c r="K2" s="1">
        <v>-10</v>
      </c>
      <c r="L2" s="1">
        <v>-4.31344148319815</v>
      </c>
      <c r="M2" s="1" t="s">
        <v>40</v>
      </c>
      <c r="N2" s="1">
        <v>9.5880648899188792</v>
      </c>
      <c r="O2" s="1">
        <v>0.13731170336036899</v>
      </c>
      <c r="Q2" s="1">
        <v>1.3731170336036901E-2</v>
      </c>
      <c r="R2" s="1">
        <v>1.3154002736432399E-2</v>
      </c>
      <c r="S2" s="1" t="str">
        <f>VLOOKUP($E2,'Product Naming'!$A$1:$P$58,2,FALSE)</f>
        <v>Propane-PW2</v>
      </c>
      <c r="T2" s="1" t="str">
        <f>VLOOKUP($E2,'Product Naming'!$A$1:$P$58,3,FALSE)</f>
        <v>Propane (PW2)</v>
      </c>
      <c r="U2" s="1" t="str">
        <f>VLOOKUP($E2,'Product Naming'!$A$1:$P$58,4,FALSE)</f>
        <v>E</v>
      </c>
      <c r="V2" s="1" t="str">
        <f>VLOOKUP($E2,'Product Naming'!$A$1:$P$58,5,FALSE)</f>
        <v>C3H8</v>
      </c>
      <c r="W2" s="1">
        <f>VLOOKUP($E2,'Product Naming'!$A$1:$P$58,6,FALSE)</f>
        <v>3</v>
      </c>
      <c r="X2" s="1">
        <f>VLOOKUP($E2,'Product Naming'!$A$1:$P$58,7,FALSE)</f>
        <v>8</v>
      </c>
      <c r="Y2" s="1">
        <f>VLOOKUP($E2,'Product Naming'!$A$1:$P$58,8,FALSE)</f>
        <v>0</v>
      </c>
      <c r="Z2" s="1">
        <f>VLOOKUP($E2,'Product Naming'!$A$1:$P$58,9,FALSE)</f>
        <v>0</v>
      </c>
      <c r="AA2" s="1">
        <f>VLOOKUP($E2,'Product Naming'!$A$1:$P$58,10,FALSE)</f>
        <v>0</v>
      </c>
      <c r="AB2" s="29">
        <f>VLOOKUP($E2,'Product Naming'!$A$1:$P$58,11,FALSE)</f>
        <v>6.666666666666667</v>
      </c>
      <c r="AC2" s="3">
        <f>VLOOKUP($E2,'Product Naming'!$A$1:$P$58,12,FALSE)</f>
        <v>44.094819999999999</v>
      </c>
      <c r="AD2" s="1">
        <f>VLOOKUP($E2,'Product Naming'!$A$1:$P$58,13,FALSE)</f>
        <v>-42</v>
      </c>
      <c r="AE2" s="1" t="str">
        <f>VLOOKUP($E2,'Product Naming'!$A$1:$P$58,14,FALSE)</f>
        <v>Hydrocarbon</v>
      </c>
      <c r="AF2" s="1" t="str">
        <f>VLOOKUP($E2,'Product Naming'!$A$1:$P$58,15,FALSE)</f>
        <v>Oxaloacetate</v>
      </c>
      <c r="AG2" s="30" t="str">
        <f>VLOOKUP($E2,'Product Naming'!$A$1:$P$58,16,FALSE)</f>
        <v>Diffusion</v>
      </c>
      <c r="AH2" s="3" t="str">
        <f>VLOOKUP($E2,'Product Naming'!$A$1:$Q$58,17,FALSE)</f>
        <v>prop_c</v>
      </c>
      <c r="AI2" s="1">
        <f>VLOOKUP($E2,'Product Parameters'!$A$2:$D$59,2,FALSE)</f>
        <v>0</v>
      </c>
      <c r="AJ2" s="1">
        <f>VLOOKUP($E2,'Product Parameters'!$A$2:$D$59,3,FALSE)</f>
        <v>1</v>
      </c>
      <c r="AK2" s="1">
        <f>VLOOKUP($E2,'Product Parameters'!$A$2:$D$59,4,FALSE)</f>
        <v>0.12</v>
      </c>
      <c r="AL2" s="1">
        <f>VLOOKUP($E2,'Product Parameters'!$A$2:$E$59,5,FALSE)</f>
        <v>0</v>
      </c>
      <c r="AM2" s="1">
        <f>VLOOKUP($E2,'Product Parameters'!$A$2:$F$59,6,FALSE)</f>
        <v>3</v>
      </c>
      <c r="AN2" s="1">
        <f>VLOOKUP($C2,'Substrate Heating'!$A$2:$C$33,3,FALSE)</f>
        <v>247.59097</v>
      </c>
      <c r="AO2" s="1">
        <f>VLOOKUP($C2,'Substrate Heating'!$A$2:$B$33,2,FALSE)</f>
        <v>5.5</v>
      </c>
      <c r="AP2" s="1">
        <f>VLOOKUP($C2,'Substrate Heating'!$A$2:$M$33,13,FALSE)</f>
        <v>1</v>
      </c>
      <c r="AQ2" s="1">
        <f>VLOOKUP($C2,'Substrate Heating'!$A$2:$M$33,8,FALSE)</f>
        <v>1</v>
      </c>
      <c r="AR2" s="1">
        <f>Q2*W2/AQ2</f>
        <v>4.1193511008110702E-2</v>
      </c>
    </row>
    <row r="3" spans="1:44" x14ac:dyDescent="0.2">
      <c r="A3" s="8" t="s">
        <v>34</v>
      </c>
      <c r="B3" s="9" t="s">
        <v>35</v>
      </c>
      <c r="C3" s="1" t="s">
        <v>340</v>
      </c>
      <c r="D3" s="23" t="s">
        <v>338</v>
      </c>
      <c r="E3" s="1" t="s">
        <v>301</v>
      </c>
      <c r="F3" s="1" t="s">
        <v>302</v>
      </c>
      <c r="G3" s="1">
        <v>-10</v>
      </c>
      <c r="H3" s="1">
        <v>-20</v>
      </c>
      <c r="I3" s="1" t="s">
        <v>40</v>
      </c>
      <c r="J3" s="1">
        <v>3.15</v>
      </c>
      <c r="K3" s="1">
        <v>-10</v>
      </c>
      <c r="L3" s="1">
        <v>-4.1724860335195499</v>
      </c>
      <c r="M3" s="1" t="s">
        <v>40</v>
      </c>
      <c r="N3" s="1">
        <v>9.5034916201117294</v>
      </c>
      <c r="O3" s="1">
        <v>0.165502793296089</v>
      </c>
      <c r="Q3" s="1">
        <v>1.65502793296089E-2</v>
      </c>
      <c r="R3" s="1">
        <v>1.5854615030085499E-2</v>
      </c>
      <c r="S3" s="1" t="str">
        <f>VLOOKUP($E3,'Product Naming'!$A$1:$P$58,2,FALSE)</f>
        <v>Propane-PW1</v>
      </c>
      <c r="T3" s="1" t="str">
        <f>VLOOKUP($E3,'Product Naming'!$A$1:$P$58,3,FALSE)</f>
        <v>Propane (PW1)</v>
      </c>
      <c r="U3" s="1" t="str">
        <f>VLOOKUP($E3,'Product Naming'!$A$1:$P$58,4,FALSE)</f>
        <v>E</v>
      </c>
      <c r="V3" s="1" t="str">
        <f>VLOOKUP($E3,'Product Naming'!$A$1:$P$58,5,FALSE)</f>
        <v>C3H8</v>
      </c>
      <c r="W3" s="1">
        <f>VLOOKUP($E3,'Product Naming'!$A$1:$P$58,6,FALSE)</f>
        <v>3</v>
      </c>
      <c r="X3" s="1">
        <f>VLOOKUP($E3,'Product Naming'!$A$1:$P$58,7,FALSE)</f>
        <v>8</v>
      </c>
      <c r="Y3" s="1">
        <f>VLOOKUP($E3,'Product Naming'!$A$1:$P$58,8,FALSE)</f>
        <v>0</v>
      </c>
      <c r="Z3" s="1">
        <f>VLOOKUP($E3,'Product Naming'!$A$1:$P$58,9,FALSE)</f>
        <v>0</v>
      </c>
      <c r="AA3" s="1">
        <f>VLOOKUP($E3,'Product Naming'!$A$1:$P$58,10,FALSE)</f>
        <v>0</v>
      </c>
      <c r="AB3" s="29">
        <f>VLOOKUP($E3,'Product Naming'!$A$1:$P$58,11,FALSE)</f>
        <v>6.666666666666667</v>
      </c>
      <c r="AC3" s="3">
        <f>VLOOKUP($E3,'Product Naming'!$A$1:$P$58,12,FALSE)</f>
        <v>44.094819999999999</v>
      </c>
      <c r="AD3" s="1">
        <f>VLOOKUP($E3,'Product Naming'!$A$1:$P$58,13,FALSE)</f>
        <v>-42</v>
      </c>
      <c r="AE3" s="1" t="str">
        <f>VLOOKUP($E3,'Product Naming'!$A$1:$P$58,14,FALSE)</f>
        <v>Hydrocarbon</v>
      </c>
      <c r="AF3" s="1" t="str">
        <f>VLOOKUP($E3,'Product Naming'!$A$1:$P$58,15,FALSE)</f>
        <v>Acetyl-CoA</v>
      </c>
      <c r="AG3" s="30" t="str">
        <f>VLOOKUP($E3,'Product Naming'!$A$1:$P$58,16,FALSE)</f>
        <v>Diffusion</v>
      </c>
      <c r="AH3" s="3" t="str">
        <f>VLOOKUP($E3,'Product Naming'!$A$1:$Q$58,17,FALSE)</f>
        <v>prop_c</v>
      </c>
      <c r="AI3" s="1">
        <f>VLOOKUP($E3,'Product Parameters'!$A$2:$D$59,2,FALSE)</f>
        <v>0</v>
      </c>
      <c r="AJ3" s="1">
        <f>VLOOKUP($E3,'Product Parameters'!$A$2:$D$59,3,FALSE)</f>
        <v>1</v>
      </c>
      <c r="AK3" s="1">
        <f>VLOOKUP($E3,'Product Parameters'!$A$2:$D$59,4,FALSE)</f>
        <v>0.12</v>
      </c>
      <c r="AL3" s="1">
        <f>VLOOKUP($E3,'Product Parameters'!$A$2:$E$59,5,FALSE)</f>
        <v>0</v>
      </c>
      <c r="AM3" s="1">
        <f>VLOOKUP($E3,'Product Parameters'!$A$2:$F$59,6,FALSE)</f>
        <v>3</v>
      </c>
      <c r="AN3" s="1">
        <f>VLOOKUP($C3,'Substrate Heating'!$A$2:$C$33,3,FALSE)</f>
        <v>247.59097</v>
      </c>
      <c r="AO3" s="1">
        <f>VLOOKUP($C3,'Substrate Heating'!$A$2:$B$33,2,FALSE)</f>
        <v>5.5</v>
      </c>
      <c r="AP3" s="1">
        <f>VLOOKUP($C3,'Substrate Heating'!$A$2:$M$33,13,FALSE)</f>
        <v>1</v>
      </c>
      <c r="AQ3" s="1">
        <f>VLOOKUP($C3,'Substrate Heating'!$A$2:$M$33,8,FALSE)</f>
        <v>1</v>
      </c>
      <c r="AR3" s="1">
        <f t="shared" ref="AR3:AR66" si="0">Q3*W3/AQ3</f>
        <v>4.9650837988826704E-2</v>
      </c>
    </row>
    <row r="4" spans="1:44" x14ac:dyDescent="0.2">
      <c r="A4" s="8" t="s">
        <v>34</v>
      </c>
      <c r="B4" s="9" t="s">
        <v>35</v>
      </c>
      <c r="C4" s="1" t="s">
        <v>340</v>
      </c>
      <c r="D4" s="23" t="s">
        <v>338</v>
      </c>
      <c r="E4" s="1" t="s">
        <v>158</v>
      </c>
      <c r="F4" s="1" t="s">
        <v>159</v>
      </c>
      <c r="G4" s="1">
        <v>-10</v>
      </c>
      <c r="H4" s="1">
        <v>-20</v>
      </c>
      <c r="I4" s="1" t="s">
        <v>40</v>
      </c>
      <c r="J4" s="1">
        <v>3.15</v>
      </c>
      <c r="K4" s="1">
        <v>-10</v>
      </c>
      <c r="L4" s="1">
        <v>-4.1535714285714302</v>
      </c>
      <c r="M4" s="1" t="s">
        <v>40</v>
      </c>
      <c r="N4" s="1">
        <v>9.4791208791208899</v>
      </c>
      <c r="O4" s="1">
        <v>0.13021978021978101</v>
      </c>
      <c r="Q4" s="1">
        <v>1.30219780219781E-2</v>
      </c>
      <c r="R4" s="1">
        <v>1.6442745298916199E-2</v>
      </c>
      <c r="S4" s="1" t="str">
        <f>VLOOKUP($E4,'Product Naming'!$A$1:$P$58,2,FALSE)</f>
        <v>Butane</v>
      </c>
      <c r="T4" s="1" t="str">
        <f>VLOOKUP($E4,'Product Naming'!$A$1:$P$58,3,FALSE)</f>
        <v>Butane</v>
      </c>
      <c r="U4" s="1" t="str">
        <f>VLOOKUP($E4,'Product Naming'!$A$1:$P$58,4,FALSE)</f>
        <v>E</v>
      </c>
      <c r="V4" s="1" t="str">
        <f>VLOOKUP($E4,'Product Naming'!$A$1:$P$58,5,FALSE)</f>
        <v>C4H10</v>
      </c>
      <c r="W4" s="1">
        <f>VLOOKUP($E4,'Product Naming'!$A$1:$P$58,6,FALSE)</f>
        <v>4</v>
      </c>
      <c r="X4" s="1">
        <f>VLOOKUP($E4,'Product Naming'!$A$1:$P$58,7,FALSE)</f>
        <v>10</v>
      </c>
      <c r="Y4" s="1">
        <f>VLOOKUP($E4,'Product Naming'!$A$1:$P$58,8,FALSE)</f>
        <v>0</v>
      </c>
      <c r="Z4" s="1">
        <f>VLOOKUP($E4,'Product Naming'!$A$1:$P$58,9,FALSE)</f>
        <v>0</v>
      </c>
      <c r="AA4" s="1">
        <f>VLOOKUP($E4,'Product Naming'!$A$1:$P$58,10,FALSE)</f>
        <v>0</v>
      </c>
      <c r="AB4" s="29">
        <f>VLOOKUP($E4,'Product Naming'!$A$1:$P$58,11,FALSE)</f>
        <v>6.5</v>
      </c>
      <c r="AC4" s="3">
        <f>VLOOKUP($E4,'Product Naming'!$A$1:$P$58,12,FALSE)</f>
        <v>58.121200000000002</v>
      </c>
      <c r="AD4" s="1">
        <f>VLOOKUP($E4,'Product Naming'!$A$1:$P$58,13,FALSE)</f>
        <v>-1</v>
      </c>
      <c r="AE4" s="1" t="str">
        <f>VLOOKUP($E4,'Product Naming'!$A$1:$P$58,14,FALSE)</f>
        <v>Hydrocarbon (alkane)</v>
      </c>
      <c r="AF4" s="1" t="str">
        <f>VLOOKUP($E4,'Product Naming'!$A$1:$P$58,15,FALSE)</f>
        <v>Acetyl-CoA + Succinyl-CoA</v>
      </c>
      <c r="AG4" s="30" t="str">
        <f>VLOOKUP($E4,'Product Naming'!$A$1:$P$58,16,FALSE)</f>
        <v>Diffusion</v>
      </c>
      <c r="AH4" s="3" t="str">
        <f>VLOOKUP($E4,'Product Naming'!$A$1:$Q$58,17,FALSE)</f>
        <v>butn_c</v>
      </c>
      <c r="AI4" s="1">
        <f>VLOOKUP($E4,'Product Parameters'!$A$2:$D$59,2,FALSE)</f>
        <v>0</v>
      </c>
      <c r="AJ4" s="1">
        <f>VLOOKUP($E4,'Product Parameters'!$A$2:$D$59,3,FALSE)</f>
        <v>1</v>
      </c>
      <c r="AK4" s="1">
        <f>VLOOKUP($E4,'Product Parameters'!$A$2:$D$59,4,FALSE)</f>
        <v>0.12</v>
      </c>
      <c r="AL4" s="1">
        <f>VLOOKUP($E4,'Product Parameters'!$A$2:$E$59,5,FALSE)</f>
        <v>0</v>
      </c>
      <c r="AM4" s="1">
        <f>VLOOKUP($E4,'Product Parameters'!$A$2:$F$59,6,FALSE)</f>
        <v>4</v>
      </c>
      <c r="AN4" s="1">
        <f>VLOOKUP($C4,'Substrate Heating'!$A$2:$C$33,3,FALSE)</f>
        <v>247.59097</v>
      </c>
      <c r="AO4" s="1">
        <f>VLOOKUP($C4,'Substrate Heating'!$A$2:$B$33,2,FALSE)</f>
        <v>5.5</v>
      </c>
      <c r="AP4" s="1">
        <f>VLOOKUP($C4,'Substrate Heating'!$A$2:$M$33,13,FALSE)</f>
        <v>1</v>
      </c>
      <c r="AQ4" s="1">
        <f>VLOOKUP($C4,'Substrate Heating'!$A$2:$M$33,8,FALSE)</f>
        <v>1</v>
      </c>
      <c r="AR4" s="1">
        <f t="shared" si="0"/>
        <v>5.20879120879124E-2</v>
      </c>
    </row>
    <row r="5" spans="1:44" x14ac:dyDescent="0.2">
      <c r="A5" s="8" t="s">
        <v>34</v>
      </c>
      <c r="B5" s="9" t="s">
        <v>35</v>
      </c>
      <c r="C5" s="1" t="s">
        <v>340</v>
      </c>
      <c r="D5" s="23" t="s">
        <v>338</v>
      </c>
      <c r="E5" s="1" t="s">
        <v>287</v>
      </c>
      <c r="F5" s="1" t="s">
        <v>288</v>
      </c>
      <c r="G5" s="1">
        <v>-10</v>
      </c>
      <c r="H5" s="1">
        <v>-20</v>
      </c>
      <c r="I5" s="1" t="s">
        <v>40</v>
      </c>
      <c r="J5" s="1">
        <v>3.15</v>
      </c>
      <c r="K5" s="1">
        <v>-10</v>
      </c>
      <c r="L5" s="1">
        <v>-4.1512981199641903</v>
      </c>
      <c r="M5" s="1" t="s">
        <v>40</v>
      </c>
      <c r="N5" s="1">
        <v>9.4695613249776205</v>
      </c>
      <c r="O5" s="1">
        <v>0.106087735004477</v>
      </c>
      <c r="Q5" s="1">
        <v>1.0608773500447701E-2</v>
      </c>
      <c r="R5" s="1">
        <v>1.6628372499987599E-2</v>
      </c>
      <c r="S5" s="1" t="str">
        <f>VLOOKUP($E5,'Product Naming'!$A$1:$P$58,2,FALSE)</f>
        <v>Pentane</v>
      </c>
      <c r="T5" s="1" t="str">
        <f>VLOOKUP($E5,'Product Naming'!$A$1:$P$58,3,FALSE)</f>
        <v>Pentane</v>
      </c>
      <c r="U5" s="1" t="str">
        <f>VLOOKUP($E5,'Product Naming'!$A$1:$P$58,4,FALSE)</f>
        <v>E</v>
      </c>
      <c r="V5" s="1" t="str">
        <f>VLOOKUP($E5,'Product Naming'!$A$1:$P$58,5,FALSE)</f>
        <v>C5H12</v>
      </c>
      <c r="W5" s="1">
        <f>VLOOKUP($E5,'Product Naming'!$A$1:$P$58,6,FALSE)</f>
        <v>5</v>
      </c>
      <c r="X5" s="1">
        <f>VLOOKUP($E5,'Product Naming'!$A$1:$P$58,7,FALSE)</f>
        <v>12</v>
      </c>
      <c r="Y5" s="1">
        <f>VLOOKUP($E5,'Product Naming'!$A$1:$P$58,8,FALSE)</f>
        <v>0</v>
      </c>
      <c r="Z5" s="1">
        <f>VLOOKUP($E5,'Product Naming'!$A$1:$P$58,9,FALSE)</f>
        <v>0</v>
      </c>
      <c r="AA5" s="1">
        <f>VLOOKUP($E5,'Product Naming'!$A$1:$P$58,10,FALSE)</f>
        <v>0</v>
      </c>
      <c r="AB5" s="29">
        <f>VLOOKUP($E5,'Product Naming'!$A$1:$P$58,11,FALSE)</f>
        <v>6.4</v>
      </c>
      <c r="AC5" s="3">
        <f>VLOOKUP($E5,'Product Naming'!$A$1:$P$58,12,FALSE)</f>
        <v>72.147580000000005</v>
      </c>
      <c r="AD5" s="1">
        <f>VLOOKUP($E5,'Product Naming'!$A$1:$P$58,13,FALSE)</f>
        <v>36.1</v>
      </c>
      <c r="AE5" s="1" t="str">
        <f>VLOOKUP($E5,'Product Naming'!$A$1:$P$58,14,FALSE)</f>
        <v>Hydrocarbon (alkane)</v>
      </c>
      <c r="AF5" s="1" t="str">
        <f>VLOOKUP($E5,'Product Naming'!$A$1:$P$58,15,FALSE)</f>
        <v>Acetyl-CoA</v>
      </c>
      <c r="AG5" s="30" t="str">
        <f>VLOOKUP($E5,'Product Naming'!$A$1:$P$58,16,FALSE)</f>
        <v>Diffusion</v>
      </c>
      <c r="AH5" s="3" t="str">
        <f>VLOOKUP($E5,'Product Naming'!$A$1:$Q$58,17,FALSE)</f>
        <v>pent_c</v>
      </c>
      <c r="AI5" s="1">
        <f>VLOOKUP($E5,'Product Parameters'!$A$2:$D$59,2,FALSE)</f>
        <v>0</v>
      </c>
      <c r="AJ5" s="1">
        <f>VLOOKUP($E5,'Product Parameters'!$A$2:$D$59,3,FALSE)</f>
        <v>1</v>
      </c>
      <c r="AK5" s="1">
        <f>VLOOKUP($E5,'Product Parameters'!$A$2:$D$59,4,FALSE)</f>
        <v>0.12</v>
      </c>
      <c r="AL5" s="1">
        <f>VLOOKUP($E5,'Product Parameters'!$A$2:$E$59,5,FALSE)</f>
        <v>26.5</v>
      </c>
      <c r="AM5" s="1">
        <f>VLOOKUP($E5,'Product Parameters'!$A$2:$F$59,6,FALSE)</f>
        <v>5</v>
      </c>
      <c r="AN5" s="1">
        <f>VLOOKUP($C5,'Substrate Heating'!$A$2:$C$33,3,FALSE)</f>
        <v>247.59097</v>
      </c>
      <c r="AO5" s="1">
        <f>VLOOKUP($C5,'Substrate Heating'!$A$2:$B$33,2,FALSE)</f>
        <v>5.5</v>
      </c>
      <c r="AP5" s="1">
        <f>VLOOKUP($C5,'Substrate Heating'!$A$2:$M$33,13,FALSE)</f>
        <v>1</v>
      </c>
      <c r="AQ5" s="1">
        <f>VLOOKUP($C5,'Substrate Heating'!$A$2:$M$33,8,FALSE)</f>
        <v>1</v>
      </c>
      <c r="AR5" s="1">
        <f t="shared" si="0"/>
        <v>5.3043867502238502E-2</v>
      </c>
    </row>
    <row r="6" spans="1:44" x14ac:dyDescent="0.2">
      <c r="A6" s="17" t="s">
        <v>231</v>
      </c>
      <c r="B6" s="9" t="s">
        <v>35</v>
      </c>
      <c r="C6" t="s">
        <v>340</v>
      </c>
      <c r="D6" s="23" t="s">
        <v>338</v>
      </c>
      <c r="E6" t="s">
        <v>232</v>
      </c>
      <c r="F6" t="s">
        <v>233</v>
      </c>
      <c r="G6">
        <v>-10</v>
      </c>
      <c r="H6">
        <v>-20</v>
      </c>
      <c r="I6" s="1" t="s">
        <v>40</v>
      </c>
      <c r="J6">
        <v>3.15</v>
      </c>
      <c r="K6">
        <v>-10</v>
      </c>
      <c r="L6">
        <v>-4.13988782580007</v>
      </c>
      <c r="M6" s="1" t="s">
        <v>40</v>
      </c>
      <c r="N6">
        <v>9.4526558891455004</v>
      </c>
      <c r="O6">
        <v>7.8192015836357903E-2</v>
      </c>
      <c r="P6"/>
      <c r="Q6">
        <v>7.8192015836357903E-3</v>
      </c>
      <c r="R6">
        <v>1.7021365756140501E-2</v>
      </c>
      <c r="S6" s="1" t="str">
        <f>VLOOKUP($E6,'Product Naming'!$A$1:$P$58,2,FALSE)</f>
        <v>Heptane</v>
      </c>
      <c r="T6" s="1" t="str">
        <f>VLOOKUP($E6,'Product Naming'!$A$1:$P$58,3,FALSE)</f>
        <v>Heptane</v>
      </c>
      <c r="U6" s="1" t="str">
        <f>VLOOKUP($E6,'Product Naming'!$A$1:$P$58,4,FALSE)</f>
        <v>E</v>
      </c>
      <c r="V6" s="1" t="str">
        <f>VLOOKUP($E6,'Product Naming'!$A$1:$P$58,5,FALSE)</f>
        <v>C7H16</v>
      </c>
      <c r="W6" s="1">
        <f>VLOOKUP($E6,'Product Naming'!$A$1:$P$58,6,FALSE)</f>
        <v>7</v>
      </c>
      <c r="X6" s="1">
        <f>VLOOKUP($E6,'Product Naming'!$A$1:$P$58,7,FALSE)</f>
        <v>16</v>
      </c>
      <c r="Y6" s="1">
        <f>VLOOKUP($E6,'Product Naming'!$A$1:$P$58,8,FALSE)</f>
        <v>0</v>
      </c>
      <c r="Z6" s="1">
        <f>VLOOKUP($E6,'Product Naming'!$A$1:$P$58,9,FALSE)</f>
        <v>0</v>
      </c>
      <c r="AA6" s="1">
        <f>VLOOKUP($E6,'Product Naming'!$A$1:$P$58,10,FALSE)</f>
        <v>0</v>
      </c>
      <c r="AB6" s="29">
        <f>VLOOKUP($E6,'Product Naming'!$A$1:$P$58,11,FALSE)</f>
        <v>6.2857142857142856</v>
      </c>
      <c r="AC6" s="3">
        <f>VLOOKUP($E6,'Product Naming'!$A$1:$P$58,12,FALSE)</f>
        <v>100.20034</v>
      </c>
      <c r="AD6" s="1">
        <f>VLOOKUP($E6,'Product Naming'!$A$1:$P$58,13,FALSE)</f>
        <v>98</v>
      </c>
      <c r="AE6" s="1" t="str">
        <f>VLOOKUP($E6,'Product Naming'!$A$1:$P$58,14,FALSE)</f>
        <v>Hydrocarbon (alkane)</v>
      </c>
      <c r="AF6" s="1" t="str">
        <f>VLOOKUP($E6,'Product Naming'!$A$1:$P$58,15,FALSE)</f>
        <v>Acetyl-CoA</v>
      </c>
      <c r="AG6" s="30" t="str">
        <f>VLOOKUP($E6,'Product Naming'!$A$1:$P$58,16,FALSE)</f>
        <v>Proton symporter</v>
      </c>
      <c r="AH6" s="3" t="str">
        <f>VLOOKUP($E6,'Product Naming'!$A$1:$Q$58,17,FALSE)</f>
        <v>hept_c</v>
      </c>
      <c r="AI6" s="1">
        <f>VLOOKUP($E6,'Product Parameters'!$A$2:$D$59,2,FALSE)</f>
        <v>1</v>
      </c>
      <c r="AJ6" s="1">
        <f>VLOOKUP($E6,'Product Parameters'!$A$2:$D$59,3,FALSE)</f>
        <v>0</v>
      </c>
      <c r="AK6" s="1">
        <f>VLOOKUP($E6,'Product Parameters'!$A$2:$D$59,4,FALSE)</f>
        <v>0.12</v>
      </c>
      <c r="AL6" s="1">
        <f>VLOOKUP($E6,'Product Parameters'!$A$2:$E$59,5,FALSE)</f>
        <v>36</v>
      </c>
      <c r="AM6" s="1">
        <f>VLOOKUP($E6,'Product Parameters'!$A$2:$F$59,6,FALSE)</f>
        <v>7</v>
      </c>
      <c r="AN6" s="1">
        <f>VLOOKUP($C6,'Substrate Heating'!$A$2:$C$33,3,FALSE)</f>
        <v>247.59097</v>
      </c>
      <c r="AO6" s="1">
        <f>VLOOKUP($C6,'Substrate Heating'!$A$2:$B$33,2,FALSE)</f>
        <v>5.5</v>
      </c>
      <c r="AP6" s="1">
        <f>VLOOKUP($C6,'Substrate Heating'!$A$2:$M$33,13,FALSE)</f>
        <v>1</v>
      </c>
      <c r="AQ6" s="1">
        <f>VLOOKUP($C6,'Substrate Heating'!$A$2:$M$33,8,FALSE)</f>
        <v>1</v>
      </c>
      <c r="AR6" s="1">
        <f t="shared" si="0"/>
        <v>5.4734411085450532E-2</v>
      </c>
    </row>
    <row r="7" spans="1:44" x14ac:dyDescent="0.2">
      <c r="A7" s="17" t="s">
        <v>231</v>
      </c>
      <c r="B7" s="9" t="s">
        <v>35</v>
      </c>
      <c r="C7" t="s">
        <v>340</v>
      </c>
      <c r="D7" s="23" t="s">
        <v>338</v>
      </c>
      <c r="E7" t="s">
        <v>236</v>
      </c>
      <c r="F7" t="s">
        <v>237</v>
      </c>
      <c r="G7">
        <v>-10</v>
      </c>
      <c r="H7">
        <v>-20</v>
      </c>
      <c r="I7" s="1" t="s">
        <v>40</v>
      </c>
      <c r="J7">
        <v>3.15</v>
      </c>
      <c r="K7">
        <v>-10</v>
      </c>
      <c r="L7">
        <v>-4.1323699421965401</v>
      </c>
      <c r="M7" s="1" t="s">
        <v>40</v>
      </c>
      <c r="N7">
        <v>9.4520231213872492</v>
      </c>
      <c r="O7">
        <v>9.1329479768780295E-2</v>
      </c>
      <c r="P7"/>
      <c r="Q7">
        <v>9.1329479768780305E-3</v>
      </c>
      <c r="R7">
        <v>1.7098177990718302E-2</v>
      </c>
      <c r="S7" s="1" t="str">
        <f>VLOOKUP($E7,'Product Naming'!$A$1:$P$58,2,FALSE)</f>
        <v>Hexane</v>
      </c>
      <c r="T7" s="1" t="str">
        <f>VLOOKUP($E7,'Product Naming'!$A$1:$P$58,3,FALSE)</f>
        <v>Hexane</v>
      </c>
      <c r="U7" s="1" t="str">
        <f>VLOOKUP($E7,'Product Naming'!$A$1:$P$58,4,FALSE)</f>
        <v>E</v>
      </c>
      <c r="V7" s="1" t="str">
        <f>VLOOKUP($E7,'Product Naming'!$A$1:$P$58,5,FALSE)</f>
        <v>C6H14</v>
      </c>
      <c r="W7" s="1">
        <f>VLOOKUP($E7,'Product Naming'!$A$1:$P$58,6,FALSE)</f>
        <v>6</v>
      </c>
      <c r="X7" s="1">
        <f>VLOOKUP($E7,'Product Naming'!$A$1:$P$58,7,FALSE)</f>
        <v>14</v>
      </c>
      <c r="Y7" s="1">
        <f>VLOOKUP($E7,'Product Naming'!$A$1:$P$58,8,FALSE)</f>
        <v>0</v>
      </c>
      <c r="Z7" s="1">
        <f>VLOOKUP($E7,'Product Naming'!$A$1:$P$58,9,FALSE)</f>
        <v>0</v>
      </c>
      <c r="AA7" s="1">
        <f>VLOOKUP($E7,'Product Naming'!$A$1:$P$58,10,FALSE)</f>
        <v>0</v>
      </c>
      <c r="AB7" s="29">
        <f>VLOOKUP($E7,'Product Naming'!$A$1:$P$58,11,FALSE)</f>
        <v>6.333333333333333</v>
      </c>
      <c r="AC7" s="3">
        <f>VLOOKUP($E7,'Product Naming'!$A$1:$P$58,12,FALSE)</f>
        <v>86.173959999999994</v>
      </c>
      <c r="AD7" s="1">
        <f>VLOOKUP($E7,'Product Naming'!$A$1:$P$58,13,FALSE)</f>
        <v>69</v>
      </c>
      <c r="AE7" s="1" t="str">
        <f>VLOOKUP($E7,'Product Naming'!$A$1:$P$58,14,FALSE)</f>
        <v>Hydrocarbon (alkane)</v>
      </c>
      <c r="AF7" s="1" t="str">
        <f>VLOOKUP($E7,'Product Naming'!$A$1:$P$58,15,FALSE)</f>
        <v>Acetyl-CoA + Succinyl-CoA</v>
      </c>
      <c r="AG7" s="30" t="str">
        <f>VLOOKUP($E7,'Product Naming'!$A$1:$P$58,16,FALSE)</f>
        <v>Proton symporter</v>
      </c>
      <c r="AH7" s="3" t="str">
        <f>VLOOKUP($E7,'Product Naming'!$A$1:$Q$58,17,FALSE)</f>
        <v>hex_c</v>
      </c>
      <c r="AI7" s="1">
        <f>VLOOKUP($E7,'Product Parameters'!$A$2:$D$59,2,FALSE)</f>
        <v>1</v>
      </c>
      <c r="AJ7" s="1">
        <f>VLOOKUP($E7,'Product Parameters'!$A$2:$D$59,3,FALSE)</f>
        <v>0</v>
      </c>
      <c r="AK7" s="1">
        <f>VLOOKUP($E7,'Product Parameters'!$A$2:$D$59,4,FALSE)</f>
        <v>0.12</v>
      </c>
      <c r="AL7" s="1">
        <f>VLOOKUP($E7,'Product Parameters'!$A$2:$E$59,5,FALSE)</f>
        <v>31</v>
      </c>
      <c r="AM7" s="1">
        <f>VLOOKUP($E7,'Product Parameters'!$A$2:$F$59,6,FALSE)</f>
        <v>6</v>
      </c>
      <c r="AN7" s="1">
        <f>VLOOKUP($C7,'Substrate Heating'!$A$2:$C$33,3,FALSE)</f>
        <v>247.59097</v>
      </c>
      <c r="AO7" s="1">
        <f>VLOOKUP($C7,'Substrate Heating'!$A$2:$B$33,2,FALSE)</f>
        <v>5.5</v>
      </c>
      <c r="AP7" s="1">
        <f>VLOOKUP($C7,'Substrate Heating'!$A$2:$M$33,13,FALSE)</f>
        <v>1</v>
      </c>
      <c r="AQ7" s="1">
        <f>VLOOKUP($C7,'Substrate Heating'!$A$2:$M$33,8,FALSE)</f>
        <v>1</v>
      </c>
      <c r="AR7" s="1">
        <f t="shared" si="0"/>
        <v>5.4797687861268179E-2</v>
      </c>
    </row>
    <row r="8" spans="1:44" x14ac:dyDescent="0.2">
      <c r="A8" s="17" t="s">
        <v>231</v>
      </c>
      <c r="B8" s="9" t="s">
        <v>35</v>
      </c>
      <c r="C8" t="s">
        <v>340</v>
      </c>
      <c r="D8" s="23" t="s">
        <v>338</v>
      </c>
      <c r="E8" t="s">
        <v>279</v>
      </c>
      <c r="F8" t="s">
        <v>280</v>
      </c>
      <c r="G8">
        <v>-10</v>
      </c>
      <c r="H8">
        <v>-20</v>
      </c>
      <c r="I8" s="1" t="s">
        <v>40</v>
      </c>
      <c r="J8">
        <v>3.15</v>
      </c>
      <c r="K8">
        <v>-10</v>
      </c>
      <c r="L8">
        <v>-4.1343595095225698</v>
      </c>
      <c r="M8" s="1" t="s">
        <v>40</v>
      </c>
      <c r="N8">
        <v>9.4435168275502193</v>
      </c>
      <c r="O8">
        <v>6.1831463605531101E-2</v>
      </c>
      <c r="P8"/>
      <c r="Q8">
        <v>6.1831463605531104E-3</v>
      </c>
      <c r="R8">
        <v>1.7228211596334801E-2</v>
      </c>
      <c r="S8" s="1" t="str">
        <f>VLOOKUP($E8,'Product Naming'!$A$1:$P$58,2,FALSE)</f>
        <v>Nonane</v>
      </c>
      <c r="T8" s="1" t="str">
        <f>VLOOKUP($E8,'Product Naming'!$A$1:$P$58,3,FALSE)</f>
        <v>Nonane</v>
      </c>
      <c r="U8" s="1" t="str">
        <f>VLOOKUP($E8,'Product Naming'!$A$1:$P$58,4,FALSE)</f>
        <v>E</v>
      </c>
      <c r="V8" s="1" t="str">
        <f>VLOOKUP($E8,'Product Naming'!$A$1:$P$58,5,FALSE)</f>
        <v>C9H20</v>
      </c>
      <c r="W8" s="1">
        <f>VLOOKUP($E8,'Product Naming'!$A$1:$P$58,6,FALSE)</f>
        <v>9</v>
      </c>
      <c r="X8" s="1">
        <f>VLOOKUP($E8,'Product Naming'!$A$1:$P$58,7,FALSE)</f>
        <v>20</v>
      </c>
      <c r="Y8" s="1">
        <f>VLOOKUP($E8,'Product Naming'!$A$1:$P$58,8,FALSE)</f>
        <v>0</v>
      </c>
      <c r="Z8" s="1">
        <f>VLOOKUP($E8,'Product Naming'!$A$1:$P$58,9,FALSE)</f>
        <v>0</v>
      </c>
      <c r="AA8" s="1">
        <f>VLOOKUP($E8,'Product Naming'!$A$1:$P$58,10,FALSE)</f>
        <v>0</v>
      </c>
      <c r="AB8" s="29">
        <f>VLOOKUP($E8,'Product Naming'!$A$1:$P$58,11,FALSE)</f>
        <v>6.2222222222222223</v>
      </c>
      <c r="AC8" s="3">
        <f>VLOOKUP($E8,'Product Naming'!$A$1:$P$58,12,FALSE)</f>
        <v>128.25309999999999</v>
      </c>
      <c r="AD8" s="1">
        <f>VLOOKUP($E8,'Product Naming'!$A$1:$P$58,13,FALSE)</f>
        <v>151</v>
      </c>
      <c r="AE8" s="1" t="str">
        <f>VLOOKUP($E8,'Product Naming'!$A$1:$P$58,14,FALSE)</f>
        <v>Hydrocarbon (alkane)</v>
      </c>
      <c r="AF8" s="1" t="str">
        <f>VLOOKUP($E8,'Product Naming'!$A$1:$P$58,15,FALSE)</f>
        <v>Acetyl-CoA</v>
      </c>
      <c r="AG8" s="30" t="str">
        <f>VLOOKUP($E8,'Product Naming'!$A$1:$P$58,16,FALSE)</f>
        <v>Proton symporter</v>
      </c>
      <c r="AH8" s="3" t="str">
        <f>VLOOKUP($E8,'Product Naming'!$A$1:$Q$58,17,FALSE)</f>
        <v>nonan_c</v>
      </c>
      <c r="AI8" s="1">
        <f>VLOOKUP($E8,'Product Parameters'!$A$2:$D$59,2,FALSE)</f>
        <v>1</v>
      </c>
      <c r="AJ8" s="1">
        <f>VLOOKUP($E8,'Product Parameters'!$A$2:$D$59,3,FALSE)</f>
        <v>0</v>
      </c>
      <c r="AK8" s="1">
        <f>VLOOKUP($E8,'Product Parameters'!$A$2:$D$59,4,FALSE)</f>
        <v>0.12</v>
      </c>
      <c r="AL8" s="1">
        <f>VLOOKUP($E8,'Product Parameters'!$A$2:$E$59,5,FALSE)</f>
        <v>46.5</v>
      </c>
      <c r="AM8" s="1">
        <f>VLOOKUP($E8,'Product Parameters'!$A$2:$F$59,6,FALSE)</f>
        <v>9</v>
      </c>
      <c r="AN8" s="1">
        <f>VLOOKUP($C8,'Substrate Heating'!$A$2:$C$33,3,FALSE)</f>
        <v>247.59097</v>
      </c>
      <c r="AO8" s="1">
        <f>VLOOKUP($C8,'Substrate Heating'!$A$2:$B$33,2,FALSE)</f>
        <v>5.5</v>
      </c>
      <c r="AP8" s="1">
        <f>VLOOKUP($C8,'Substrate Heating'!$A$2:$M$33,13,FALSE)</f>
        <v>1</v>
      </c>
      <c r="AQ8" s="1">
        <f>VLOOKUP($C8,'Substrate Heating'!$A$2:$M$33,8,FALSE)</f>
        <v>1</v>
      </c>
      <c r="AR8" s="1">
        <f t="shared" si="0"/>
        <v>5.5648317244977992E-2</v>
      </c>
    </row>
    <row r="9" spans="1:44" x14ac:dyDescent="0.2">
      <c r="A9" s="17" t="s">
        <v>231</v>
      </c>
      <c r="B9" s="9" t="s">
        <v>35</v>
      </c>
      <c r="C9" t="s">
        <v>340</v>
      </c>
      <c r="D9" s="23" t="s">
        <v>338</v>
      </c>
      <c r="E9" t="s">
        <v>283</v>
      </c>
      <c r="F9" t="s">
        <v>284</v>
      </c>
      <c r="G9">
        <v>-10</v>
      </c>
      <c r="H9">
        <v>-20</v>
      </c>
      <c r="I9" s="1" t="s">
        <v>40</v>
      </c>
      <c r="J9">
        <v>3.15</v>
      </c>
      <c r="K9">
        <v>-10</v>
      </c>
      <c r="L9">
        <v>-4.1279069767441801</v>
      </c>
      <c r="M9" s="1" t="s">
        <v>40</v>
      </c>
      <c r="N9">
        <v>9.4418604651162692</v>
      </c>
      <c r="O9">
        <v>6.9767441860464102E-2</v>
      </c>
      <c r="P9"/>
      <c r="Q9">
        <v>6.97674418604641E-3</v>
      </c>
      <c r="R9">
        <v>1.7313437541302799E-2</v>
      </c>
      <c r="S9" s="1" t="str">
        <f>VLOOKUP($E9,'Product Naming'!$A$1:$P$58,2,FALSE)</f>
        <v>Octane</v>
      </c>
      <c r="T9" s="1" t="str">
        <f>VLOOKUP($E9,'Product Naming'!$A$1:$P$58,3,FALSE)</f>
        <v>Octane</v>
      </c>
      <c r="U9" s="1" t="str">
        <f>VLOOKUP($E9,'Product Naming'!$A$1:$P$58,4,FALSE)</f>
        <v>E</v>
      </c>
      <c r="V9" s="1" t="str">
        <f>VLOOKUP($E9,'Product Naming'!$A$1:$P$58,5,FALSE)</f>
        <v>C8H18</v>
      </c>
      <c r="W9" s="1">
        <f>VLOOKUP($E9,'Product Naming'!$A$1:$P$58,6,FALSE)</f>
        <v>8</v>
      </c>
      <c r="X9" s="1">
        <f>VLOOKUP($E9,'Product Naming'!$A$1:$P$58,7,FALSE)</f>
        <v>18</v>
      </c>
      <c r="Y9" s="1">
        <f>VLOOKUP($E9,'Product Naming'!$A$1:$P$58,8,FALSE)</f>
        <v>0</v>
      </c>
      <c r="Z9" s="1">
        <f>VLOOKUP($E9,'Product Naming'!$A$1:$P$58,9,FALSE)</f>
        <v>0</v>
      </c>
      <c r="AA9" s="1">
        <f>VLOOKUP($E9,'Product Naming'!$A$1:$P$58,10,FALSE)</f>
        <v>0</v>
      </c>
      <c r="AB9" s="29">
        <f>VLOOKUP($E9,'Product Naming'!$A$1:$P$58,11,FALSE)</f>
        <v>6.25</v>
      </c>
      <c r="AC9" s="3">
        <f>VLOOKUP($E9,'Product Naming'!$A$1:$P$58,12,FALSE)</f>
        <v>114.22672</v>
      </c>
      <c r="AD9" s="1">
        <f>VLOOKUP($E9,'Product Naming'!$A$1:$P$58,13,FALSE)</f>
        <v>126</v>
      </c>
      <c r="AE9" s="1" t="str">
        <f>VLOOKUP($E9,'Product Naming'!$A$1:$P$58,14,FALSE)</f>
        <v>Hydrocarbon (alkane)</v>
      </c>
      <c r="AF9" s="1" t="str">
        <f>VLOOKUP($E9,'Product Naming'!$A$1:$P$58,15,FALSE)</f>
        <v>Acetyl-CoA + Succinyl-CoA</v>
      </c>
      <c r="AG9" s="30" t="str">
        <f>VLOOKUP($E9,'Product Naming'!$A$1:$P$58,16,FALSE)</f>
        <v>Proton symporter</v>
      </c>
      <c r="AH9" s="3" t="str">
        <f>VLOOKUP($E9,'Product Naming'!$A$1:$Q$58,17,FALSE)</f>
        <v>octn_c</v>
      </c>
      <c r="AI9" s="1">
        <f>VLOOKUP($E9,'Product Parameters'!$A$2:$D$59,2,FALSE)</f>
        <v>1</v>
      </c>
      <c r="AJ9" s="1">
        <f>VLOOKUP($E9,'Product Parameters'!$A$2:$D$59,3,FALSE)</f>
        <v>0</v>
      </c>
      <c r="AK9" s="1">
        <f>VLOOKUP($E9,'Product Parameters'!$A$2:$D$59,4,FALSE)</f>
        <v>0.12</v>
      </c>
      <c r="AL9" s="1">
        <f>VLOOKUP($E9,'Product Parameters'!$A$2:$E$59,5,FALSE)</f>
        <v>41</v>
      </c>
      <c r="AM9" s="1">
        <f>VLOOKUP($E9,'Product Parameters'!$A$2:$F$59,6,FALSE)</f>
        <v>8</v>
      </c>
      <c r="AN9" s="1">
        <f>VLOOKUP($C9,'Substrate Heating'!$A$2:$C$33,3,FALSE)</f>
        <v>247.59097</v>
      </c>
      <c r="AO9" s="1">
        <f>VLOOKUP($C9,'Substrate Heating'!$A$2:$B$33,2,FALSE)</f>
        <v>5.5</v>
      </c>
      <c r="AP9" s="1">
        <f>VLOOKUP($C9,'Substrate Heating'!$A$2:$M$33,13,FALSE)</f>
        <v>1</v>
      </c>
      <c r="AQ9" s="1">
        <f>VLOOKUP($C9,'Substrate Heating'!$A$2:$M$33,8,FALSE)</f>
        <v>1</v>
      </c>
      <c r="AR9" s="1">
        <f t="shared" si="0"/>
        <v>5.581395348837128E-2</v>
      </c>
    </row>
    <row r="10" spans="1:44" x14ac:dyDescent="0.2">
      <c r="A10" s="8" t="s">
        <v>34</v>
      </c>
      <c r="B10" s="9" t="s">
        <v>35</v>
      </c>
      <c r="C10" s="1" t="s">
        <v>340</v>
      </c>
      <c r="D10" s="23" t="s">
        <v>338</v>
      </c>
      <c r="E10" s="1" t="s">
        <v>151</v>
      </c>
      <c r="F10" s="1" t="s">
        <v>152</v>
      </c>
      <c r="G10" s="1">
        <v>-10</v>
      </c>
      <c r="H10" s="1">
        <v>-20</v>
      </c>
      <c r="I10" s="1" t="s">
        <v>40</v>
      </c>
      <c r="J10" s="1">
        <v>3.15</v>
      </c>
      <c r="K10" s="1">
        <v>-10</v>
      </c>
      <c r="L10" s="1">
        <v>-4.1604565730779299</v>
      </c>
      <c r="M10" s="1" t="s">
        <v>40</v>
      </c>
      <c r="N10" s="1">
        <v>9.3781159800577196</v>
      </c>
      <c r="O10" s="1">
        <v>1.5547100498556799E-2</v>
      </c>
      <c r="Q10" s="1">
        <v>1.5547100498556801E-3</v>
      </c>
      <c r="R10" s="1">
        <v>1.8133387701050399E-2</v>
      </c>
      <c r="S10" s="1" t="str">
        <f>VLOOKUP($E10,'Product Naming'!$A$1:$P$58,2,FALSE)</f>
        <v>BetaCarotene</v>
      </c>
      <c r="T10" s="1" t="str">
        <f>VLOOKUP($E10,'Product Naming'!$A$1:$P$58,3,FALSE)</f>
        <v>Beta carotene</v>
      </c>
      <c r="U10" s="1" t="str">
        <f>VLOOKUP($E10,'Product Naming'!$A$1:$P$58,4,FALSE)</f>
        <v>A</v>
      </c>
      <c r="V10" s="1" t="str">
        <f>VLOOKUP($E10,'Product Naming'!$A$1:$P$58,5,FALSE)</f>
        <v>C40H56</v>
      </c>
      <c r="W10" s="1">
        <f>VLOOKUP($E10,'Product Naming'!$A$1:$P$58,6,FALSE)</f>
        <v>40</v>
      </c>
      <c r="X10" s="1">
        <f>VLOOKUP($E10,'Product Naming'!$A$1:$P$58,7,FALSE)</f>
        <v>56</v>
      </c>
      <c r="Y10" s="1">
        <f>VLOOKUP($E10,'Product Naming'!$A$1:$P$58,8,FALSE)</f>
        <v>0</v>
      </c>
      <c r="Z10" s="1">
        <f>VLOOKUP($E10,'Product Naming'!$A$1:$P$58,9,FALSE)</f>
        <v>0</v>
      </c>
      <c r="AA10" s="1">
        <f>VLOOKUP($E10,'Product Naming'!$A$1:$P$58,10,FALSE)</f>
        <v>0</v>
      </c>
      <c r="AB10" s="29">
        <f>VLOOKUP($E10,'Product Naming'!$A$1:$P$58,11,FALSE)</f>
        <v>5.4</v>
      </c>
      <c r="AC10" s="3">
        <f>VLOOKUP($E10,'Product Naming'!$A$1:$P$58,12,FALSE)</f>
        <v>536.86703999999997</v>
      </c>
      <c r="AD10" s="1">
        <f>VLOOKUP($E10,'Product Naming'!$A$1:$P$58,13,FALSE)</f>
        <v>633</v>
      </c>
      <c r="AE10" s="1" t="str">
        <f>VLOOKUP($E10,'Product Naming'!$A$1:$P$58,14,FALSE)</f>
        <v>Hydrocarbon</v>
      </c>
      <c r="AF10" s="1" t="str">
        <f>VLOOKUP($E10,'Product Naming'!$A$1:$P$58,15,FALSE)</f>
        <v>Acetyl-CoA</v>
      </c>
      <c r="AG10" s="30" t="str">
        <f>VLOOKUP($E10,'Product Naming'!$A$1:$P$58,16,FALSE)</f>
        <v>ABC Transporter</v>
      </c>
      <c r="AH10" s="3" t="str">
        <f>VLOOKUP($E10,'Product Naming'!$A$1:$Q$58,17,FALSE)</f>
        <v>caro_c</v>
      </c>
      <c r="AI10" s="1">
        <f>VLOOKUP($E10,'Product Parameters'!$A$2:$D$59,2,FALSE)</f>
        <v>1</v>
      </c>
      <c r="AJ10" s="1">
        <f>VLOOKUP($E10,'Product Parameters'!$A$2:$D$59,3,FALSE)</f>
        <v>0</v>
      </c>
      <c r="AK10" s="1">
        <f>VLOOKUP($E10,'Product Parameters'!$A$2:$D$59,4,FALSE)</f>
        <v>0.12</v>
      </c>
      <c r="AL10" s="1">
        <f>VLOOKUP($E10,'Product Parameters'!$A$2:$E$59,5,FALSE)</f>
        <v>40.65</v>
      </c>
      <c r="AM10" s="1">
        <f>VLOOKUP($E10,'Product Parameters'!$A$2:$F$59,6,FALSE)</f>
        <v>40</v>
      </c>
      <c r="AN10" s="1">
        <f>VLOOKUP($C10,'Substrate Heating'!$A$2:$C$33,3,FALSE)</f>
        <v>247.59097</v>
      </c>
      <c r="AO10" s="1">
        <f>VLOOKUP($C10,'Substrate Heating'!$A$2:$B$33,2,FALSE)</f>
        <v>5.5</v>
      </c>
      <c r="AP10" s="1">
        <f>VLOOKUP($C10,'Substrate Heating'!$A$2:$M$33,13,FALSE)</f>
        <v>1</v>
      </c>
      <c r="AQ10" s="1">
        <f>VLOOKUP($C10,'Substrate Heating'!$A$2:$M$33,8,FALSE)</f>
        <v>1</v>
      </c>
      <c r="AR10" s="1">
        <f t="shared" si="0"/>
        <v>6.2188401994227205E-2</v>
      </c>
    </row>
    <row r="11" spans="1:44" x14ac:dyDescent="0.2">
      <c r="A11" s="8" t="s">
        <v>34</v>
      </c>
      <c r="B11" s="9" t="s">
        <v>35</v>
      </c>
      <c r="C11" s="1" t="s">
        <v>340</v>
      </c>
      <c r="D11" s="23" t="s">
        <v>338</v>
      </c>
      <c r="E11" s="1" t="s">
        <v>247</v>
      </c>
      <c r="F11" s="1" t="s">
        <v>248</v>
      </c>
      <c r="G11" s="1">
        <v>-10</v>
      </c>
      <c r="H11" s="1">
        <v>-20</v>
      </c>
      <c r="I11" s="1" t="s">
        <v>40</v>
      </c>
      <c r="J11" s="1">
        <v>3.15</v>
      </c>
      <c r="K11" s="1">
        <v>-10</v>
      </c>
      <c r="L11" s="1">
        <v>-4.1184909670563297</v>
      </c>
      <c r="M11" s="1" t="s">
        <v>40</v>
      </c>
      <c r="N11" s="1">
        <v>9.3703506907545293</v>
      </c>
      <c r="O11" s="1">
        <v>0.12592986184909799</v>
      </c>
      <c r="Q11" s="1">
        <v>1.25929861849098E-2</v>
      </c>
      <c r="R11" s="1">
        <v>1.86355435943019E-2</v>
      </c>
      <c r="S11" s="1" t="str">
        <f>VLOOKUP($E11,'Product Naming'!$A$1:$P$58,2,FALSE)</f>
        <v>Isoprene</v>
      </c>
      <c r="T11" s="1" t="str">
        <f>VLOOKUP($E11,'Product Naming'!$A$1:$P$58,3,FALSE)</f>
        <v>Isoprene</v>
      </c>
      <c r="U11" s="1" t="str">
        <f>VLOOKUP($E11,'Product Naming'!$A$1:$P$58,4,FALSE)</f>
        <v>E</v>
      </c>
      <c r="V11" s="1" t="str">
        <f>VLOOKUP($E11,'Product Naming'!$A$1:$P$58,5,FALSE)</f>
        <v>C5H8</v>
      </c>
      <c r="W11" s="1">
        <f>VLOOKUP($E11,'Product Naming'!$A$1:$P$58,6,FALSE)</f>
        <v>5</v>
      </c>
      <c r="X11" s="1">
        <f>VLOOKUP($E11,'Product Naming'!$A$1:$P$58,7,FALSE)</f>
        <v>8</v>
      </c>
      <c r="Y11" s="1">
        <f>VLOOKUP($E11,'Product Naming'!$A$1:$P$58,8,FALSE)</f>
        <v>0</v>
      </c>
      <c r="Z11" s="1">
        <f>VLOOKUP($E11,'Product Naming'!$A$1:$P$58,9,FALSE)</f>
        <v>0</v>
      </c>
      <c r="AA11" s="1">
        <f>VLOOKUP($E11,'Product Naming'!$A$1:$P$58,10,FALSE)</f>
        <v>0</v>
      </c>
      <c r="AB11" s="29">
        <f>VLOOKUP($E11,'Product Naming'!$A$1:$P$58,11,FALSE)</f>
        <v>5.6</v>
      </c>
      <c r="AC11" s="3">
        <f>VLOOKUP($E11,'Product Naming'!$A$1:$P$58,12,FALSE)</f>
        <v>68.116219999999998</v>
      </c>
      <c r="AD11" s="1">
        <f>VLOOKUP($E11,'Product Naming'!$A$1:$P$58,13,FALSE)</f>
        <v>34.07</v>
      </c>
      <c r="AE11" s="1" t="str">
        <f>VLOOKUP($E11,'Product Naming'!$A$1:$P$58,14,FALSE)</f>
        <v>Hydrocarbon</v>
      </c>
      <c r="AF11" s="1" t="str">
        <f>VLOOKUP($E11,'Product Naming'!$A$1:$P$58,15,FALSE)</f>
        <v>Acetyl-CoA</v>
      </c>
      <c r="AG11" s="30" t="str">
        <f>VLOOKUP($E11,'Product Naming'!$A$1:$P$58,16,FALSE)</f>
        <v>Diffusion</v>
      </c>
      <c r="AH11" s="3" t="str">
        <f>VLOOKUP($E11,'Product Naming'!$A$1:$Q$58,17,FALSE)</f>
        <v>iprene_c</v>
      </c>
      <c r="AI11" s="1">
        <f>VLOOKUP($E11,'Product Parameters'!$A$2:$D$59,2,FALSE)</f>
        <v>0</v>
      </c>
      <c r="AJ11" s="1">
        <f>VLOOKUP($E11,'Product Parameters'!$A$2:$D$59,3,FALSE)</f>
        <v>1</v>
      </c>
      <c r="AK11" s="1">
        <f>VLOOKUP($E11,'Product Parameters'!$A$2:$D$59,4,FALSE)</f>
        <v>0.12</v>
      </c>
      <c r="AL11" s="1">
        <f>VLOOKUP($E11,'Product Parameters'!$A$2:$E$59,5,FALSE)</f>
        <v>26.4</v>
      </c>
      <c r="AM11" s="1">
        <f>VLOOKUP($E11,'Product Parameters'!$A$2:$F$59,6,FALSE)</f>
        <v>5</v>
      </c>
      <c r="AN11" s="1">
        <f>VLOOKUP($C11,'Substrate Heating'!$A$2:$C$33,3,FALSE)</f>
        <v>247.59097</v>
      </c>
      <c r="AO11" s="1">
        <f>VLOOKUP($C11,'Substrate Heating'!$A$2:$B$33,2,FALSE)</f>
        <v>5.5</v>
      </c>
      <c r="AP11" s="1">
        <f>VLOOKUP($C11,'Substrate Heating'!$A$2:$M$33,13,FALSE)</f>
        <v>1</v>
      </c>
      <c r="AQ11" s="1">
        <f>VLOOKUP($C11,'Substrate Heating'!$A$2:$M$33,8,FALSE)</f>
        <v>1</v>
      </c>
      <c r="AR11" s="1">
        <f t="shared" si="0"/>
        <v>6.2964930924548995E-2</v>
      </c>
    </row>
    <row r="12" spans="1:44" x14ac:dyDescent="0.2">
      <c r="A12" s="8" t="s">
        <v>34</v>
      </c>
      <c r="B12" s="9" t="s">
        <v>35</v>
      </c>
      <c r="C12" s="1" t="s">
        <v>340</v>
      </c>
      <c r="D12" s="23" t="s">
        <v>338</v>
      </c>
      <c r="E12" s="1" t="s">
        <v>204</v>
      </c>
      <c r="F12" s="1" t="s">
        <v>205</v>
      </c>
      <c r="G12" s="1">
        <v>-10</v>
      </c>
      <c r="H12" s="1">
        <v>-20</v>
      </c>
      <c r="I12" s="1" t="s">
        <v>40</v>
      </c>
      <c r="J12" s="1">
        <v>3.15</v>
      </c>
      <c r="K12" s="1">
        <v>-10</v>
      </c>
      <c r="L12" s="1">
        <v>-4.1177096259528501</v>
      </c>
      <c r="M12" s="1" t="s">
        <v>40</v>
      </c>
      <c r="N12" s="1">
        <v>9.3697925899663197</v>
      </c>
      <c r="O12" s="1">
        <v>4.2013827335578798E-2</v>
      </c>
      <c r="Q12" s="1">
        <v>4.2013827335578803E-3</v>
      </c>
      <c r="R12" s="1">
        <v>1.8652061537569101E-2</v>
      </c>
      <c r="S12" s="1" t="str">
        <f>VLOOKUP($E12,'Product Naming'!$A$1:$P$58,2,FALSE)</f>
        <v>Farnesene</v>
      </c>
      <c r="T12" s="1" t="str">
        <f>VLOOKUP($E12,'Product Naming'!$A$1:$P$58,3,FALSE)</f>
        <v>Farnesene</v>
      </c>
      <c r="U12" s="1" t="str">
        <f>VLOOKUP($E12,'Product Naming'!$A$1:$P$58,4,FALSE)</f>
        <v>A</v>
      </c>
      <c r="V12" s="1" t="str">
        <f>VLOOKUP($E12,'Product Naming'!$A$1:$P$58,5,FALSE)</f>
        <v>C15H24</v>
      </c>
      <c r="W12" s="1">
        <f>VLOOKUP($E12,'Product Naming'!$A$1:$P$58,6,FALSE)</f>
        <v>15</v>
      </c>
      <c r="X12" s="1">
        <f>VLOOKUP($E12,'Product Naming'!$A$1:$P$58,7,FALSE)</f>
        <v>24</v>
      </c>
      <c r="Y12" s="1">
        <f>VLOOKUP($E12,'Product Naming'!$A$1:$P$58,8,FALSE)</f>
        <v>0</v>
      </c>
      <c r="Z12" s="1">
        <f>VLOOKUP($E12,'Product Naming'!$A$1:$P$58,9,FALSE)</f>
        <v>0</v>
      </c>
      <c r="AA12" s="1">
        <f>VLOOKUP($E12,'Product Naming'!$A$1:$P$58,10,FALSE)</f>
        <v>0</v>
      </c>
      <c r="AB12" s="29">
        <f>VLOOKUP($E12,'Product Naming'!$A$1:$P$58,11,FALSE)</f>
        <v>5.6</v>
      </c>
      <c r="AC12" s="3">
        <f>VLOOKUP($E12,'Product Naming'!$A$1:$P$58,12,FALSE)</f>
        <v>204.34866000000002</v>
      </c>
      <c r="AD12" s="1" t="str">
        <f>VLOOKUP($E12,'Product Naming'!$A$1:$P$58,13,FALSE)</f>
        <v>260 (A)/272 (B)</v>
      </c>
      <c r="AE12" s="1" t="str">
        <f>VLOOKUP($E12,'Product Naming'!$A$1:$P$58,14,FALSE)</f>
        <v>Hydrocarbon</v>
      </c>
      <c r="AF12" s="1" t="str">
        <f>VLOOKUP($E12,'Product Naming'!$A$1:$P$58,15,FALSE)</f>
        <v>Acetyl-CoA</v>
      </c>
      <c r="AG12" s="30" t="str">
        <f>VLOOKUP($E12,'Product Naming'!$A$1:$P$58,16,FALSE)</f>
        <v>Proton symporter</v>
      </c>
      <c r="AH12" s="3" t="str">
        <f>VLOOKUP($E12,'Product Naming'!$A$1:$Q$58,17,FALSE)</f>
        <v>frene_c</v>
      </c>
      <c r="AI12" s="1">
        <f>VLOOKUP($E12,'Product Parameters'!$A$2:$D$59,2,FALSE)</f>
        <v>1</v>
      </c>
      <c r="AJ12" s="1">
        <f>VLOOKUP($E12,'Product Parameters'!$A$2:$D$59,3,FALSE)</f>
        <v>0</v>
      </c>
      <c r="AK12" s="1">
        <f>VLOOKUP($E12,'Product Parameters'!$A$2:$D$59,4,FALSE)</f>
        <v>0.12</v>
      </c>
      <c r="AL12" s="1">
        <f>VLOOKUP($E12,'Product Parameters'!$A$2:$E$59,5,FALSE)</f>
        <v>0</v>
      </c>
      <c r="AM12" s="1">
        <f>VLOOKUP($E12,'Product Parameters'!$A$2:$F$59,6,FALSE)</f>
        <v>15</v>
      </c>
      <c r="AN12" s="1">
        <f>VLOOKUP($C12,'Substrate Heating'!$A$2:$C$33,3,FALSE)</f>
        <v>247.59097</v>
      </c>
      <c r="AO12" s="1">
        <f>VLOOKUP($C12,'Substrate Heating'!$A$2:$B$33,2,FALSE)</f>
        <v>5.5</v>
      </c>
      <c r="AP12" s="1">
        <f>VLOOKUP($C12,'Substrate Heating'!$A$2:$M$33,13,FALSE)</f>
        <v>1</v>
      </c>
      <c r="AQ12" s="1">
        <f>VLOOKUP($C12,'Substrate Heating'!$A$2:$M$33,8,FALSE)</f>
        <v>1</v>
      </c>
      <c r="AR12" s="1">
        <f t="shared" si="0"/>
        <v>6.30207410033682E-2</v>
      </c>
    </row>
    <row r="13" spans="1:44" x14ac:dyDescent="0.2">
      <c r="A13" s="17" t="s">
        <v>185</v>
      </c>
      <c r="B13" s="9" t="s">
        <v>35</v>
      </c>
      <c r="C13" t="s">
        <v>340</v>
      </c>
      <c r="D13" s="23" t="s">
        <v>338</v>
      </c>
      <c r="E13" t="s">
        <v>259</v>
      </c>
      <c r="F13" t="s">
        <v>260</v>
      </c>
      <c r="G13">
        <v>-10</v>
      </c>
      <c r="H13">
        <v>-20</v>
      </c>
      <c r="I13" s="1" t="s">
        <v>40</v>
      </c>
      <c r="J13">
        <v>3.15</v>
      </c>
      <c r="K13">
        <v>-10</v>
      </c>
      <c r="L13">
        <v>-4.1173184357541901</v>
      </c>
      <c r="M13" s="1" t="s">
        <v>40</v>
      </c>
      <c r="N13">
        <v>9.3695131683958497</v>
      </c>
      <c r="O13">
        <v>6.3048683160413996E-2</v>
      </c>
      <c r="P13"/>
      <c r="Q13">
        <v>6.3048683160413996E-3</v>
      </c>
      <c r="R13">
        <v>1.86603314947992E-2</v>
      </c>
      <c r="S13" s="1" t="str">
        <f>VLOOKUP($E13,'Product Naming'!$A$1:$P$58,2,FALSE)</f>
        <v>Limonene</v>
      </c>
      <c r="T13" s="1" t="str">
        <f>VLOOKUP($E13,'Product Naming'!$A$1:$P$58,3,FALSE)</f>
        <v>Limonene</v>
      </c>
      <c r="U13" s="1" t="str">
        <f>VLOOKUP($E13,'Product Naming'!$A$1:$P$58,4,FALSE)</f>
        <v>E</v>
      </c>
      <c r="V13" s="1" t="str">
        <f>VLOOKUP($E13,'Product Naming'!$A$1:$P$58,5,FALSE)</f>
        <v>C10H16</v>
      </c>
      <c r="W13" s="1">
        <f>VLOOKUP($E13,'Product Naming'!$A$1:$P$58,6,FALSE)</f>
        <v>10</v>
      </c>
      <c r="X13" s="1">
        <f>VLOOKUP($E13,'Product Naming'!$A$1:$P$58,7,FALSE)</f>
        <v>16</v>
      </c>
      <c r="Y13" s="1">
        <f>VLOOKUP($E13,'Product Naming'!$A$1:$P$58,8,FALSE)</f>
        <v>0</v>
      </c>
      <c r="Z13" s="1">
        <f>VLOOKUP($E13,'Product Naming'!$A$1:$P$58,9,FALSE)</f>
        <v>0</v>
      </c>
      <c r="AA13" s="1">
        <f>VLOOKUP($E13,'Product Naming'!$A$1:$P$58,10,FALSE)</f>
        <v>0</v>
      </c>
      <c r="AB13" s="29">
        <f>VLOOKUP($E13,'Product Naming'!$A$1:$P$58,11,FALSE)</f>
        <v>5.6</v>
      </c>
      <c r="AC13" s="3">
        <f>VLOOKUP($E13,'Product Naming'!$A$1:$P$58,12,FALSE)</f>
        <v>136.23244</v>
      </c>
      <c r="AD13" s="1">
        <f>VLOOKUP($E13,'Product Naming'!$A$1:$P$58,13,FALSE)</f>
        <v>176</v>
      </c>
      <c r="AE13" s="1" t="str">
        <f>VLOOKUP($E13,'Product Naming'!$A$1:$P$58,14,FALSE)</f>
        <v>Isoprenoid; Aromatic (Cycloalkane)</v>
      </c>
      <c r="AF13" s="1" t="str">
        <f>VLOOKUP($E13,'Product Naming'!$A$1:$P$58,15,FALSE)</f>
        <v>Acetyl-CoA</v>
      </c>
      <c r="AG13" s="30" t="str">
        <f>VLOOKUP($E13,'Product Naming'!$A$1:$P$58,16,FALSE)</f>
        <v>Proton symporter</v>
      </c>
      <c r="AH13" s="3" t="str">
        <f>VLOOKUP($E13,'Product Naming'!$A$1:$Q$58,17,FALSE)</f>
        <v>limnen_c</v>
      </c>
      <c r="AI13" s="1">
        <f>VLOOKUP($E13,'Product Parameters'!$A$2:$D$59,2,FALSE)</f>
        <v>1</v>
      </c>
      <c r="AJ13" s="1">
        <f>VLOOKUP($E13,'Product Parameters'!$A$2:$D$59,3,FALSE)</f>
        <v>0</v>
      </c>
      <c r="AK13" s="1">
        <f>VLOOKUP($E13,'Product Parameters'!$A$2:$D$59,4,FALSE)</f>
        <v>0.12</v>
      </c>
      <c r="AL13" s="1">
        <f>VLOOKUP($E13,'Product Parameters'!$A$2:$E$59,5,FALSE)</f>
        <v>49.5</v>
      </c>
      <c r="AM13" s="1">
        <f>VLOOKUP($E13,'Product Parameters'!$A$2:$F$59,6,FALSE)</f>
        <v>10</v>
      </c>
      <c r="AN13" s="1">
        <f>VLOOKUP($C13,'Substrate Heating'!$A$2:$C$33,3,FALSE)</f>
        <v>247.59097</v>
      </c>
      <c r="AO13" s="1">
        <f>VLOOKUP($C13,'Substrate Heating'!$A$2:$B$33,2,FALSE)</f>
        <v>5.5</v>
      </c>
      <c r="AP13" s="1">
        <f>VLOOKUP($C13,'Substrate Heating'!$A$2:$M$33,13,FALSE)</f>
        <v>1</v>
      </c>
      <c r="AQ13" s="1">
        <f>VLOOKUP($C13,'Substrate Heating'!$A$2:$M$33,8,FALSE)</f>
        <v>1</v>
      </c>
      <c r="AR13" s="1">
        <f t="shared" si="0"/>
        <v>6.3048683160413996E-2</v>
      </c>
    </row>
    <row r="14" spans="1:44" x14ac:dyDescent="0.2">
      <c r="A14" s="8" t="s">
        <v>34</v>
      </c>
      <c r="B14" s="9" t="s">
        <v>35</v>
      </c>
      <c r="C14" s="1" t="s">
        <v>340</v>
      </c>
      <c r="D14" s="23" t="s">
        <v>338</v>
      </c>
      <c r="E14" s="1" t="s">
        <v>313</v>
      </c>
      <c r="F14" s="1" t="s">
        <v>314</v>
      </c>
      <c r="G14" s="1">
        <v>-10</v>
      </c>
      <c r="H14" s="1">
        <v>-20</v>
      </c>
      <c r="I14" s="1" t="s">
        <v>40</v>
      </c>
      <c r="J14" s="1">
        <v>3.15</v>
      </c>
      <c r="K14" s="1">
        <v>-10</v>
      </c>
      <c r="L14" s="1">
        <v>-4.1710388247639001</v>
      </c>
      <c r="M14" s="1" t="s">
        <v>40</v>
      </c>
      <c r="N14" s="1">
        <v>9.3368310598111499</v>
      </c>
      <c r="O14" s="1">
        <v>8.2896117523615601E-2</v>
      </c>
      <c r="Q14" s="1">
        <v>8.2896117523615608E-3</v>
      </c>
      <c r="R14" s="1">
        <v>1.8756390180681801E-2</v>
      </c>
      <c r="S14" s="1" t="str">
        <f>VLOOKUP($E14,'Product Naming'!$A$1:$P$58,2,FALSE)</f>
        <v>Styrene</v>
      </c>
      <c r="T14" s="1" t="str">
        <f>VLOOKUP($E14,'Product Naming'!$A$1:$P$58,3,FALSE)</f>
        <v>Styrene</v>
      </c>
      <c r="U14" s="1" t="str">
        <f>VLOOKUP($E14,'Product Naming'!$A$1:$P$58,4,FALSE)</f>
        <v>E-S</v>
      </c>
      <c r="V14" s="1" t="str">
        <f>VLOOKUP($E14,'Product Naming'!$A$1:$P$58,5,FALSE)</f>
        <v>C8H8</v>
      </c>
      <c r="W14" s="1">
        <f>VLOOKUP($E14,'Product Naming'!$A$1:$P$58,6,FALSE)</f>
        <v>8</v>
      </c>
      <c r="X14" s="1">
        <f>VLOOKUP($E14,'Product Naming'!$A$1:$P$58,7,FALSE)</f>
        <v>8</v>
      </c>
      <c r="Y14" s="1">
        <f>VLOOKUP($E14,'Product Naming'!$A$1:$P$58,8,FALSE)</f>
        <v>0</v>
      </c>
      <c r="Z14" s="1">
        <f>VLOOKUP($E14,'Product Naming'!$A$1:$P$58,9,FALSE)</f>
        <v>0</v>
      </c>
      <c r="AA14" s="1">
        <f>VLOOKUP($E14,'Product Naming'!$A$1:$P$58,10,FALSE)</f>
        <v>0</v>
      </c>
      <c r="AB14" s="29">
        <f>VLOOKUP($E14,'Product Naming'!$A$1:$P$58,11,FALSE)</f>
        <v>5</v>
      </c>
      <c r="AC14" s="3">
        <f>VLOOKUP($E14,'Product Naming'!$A$1:$P$58,12,FALSE)</f>
        <v>104.14832</v>
      </c>
      <c r="AD14" s="1">
        <f>VLOOKUP($E14,'Product Naming'!$A$1:$P$58,13,FALSE)</f>
        <v>145</v>
      </c>
      <c r="AE14" s="1" t="str">
        <f>VLOOKUP($E14,'Product Naming'!$A$1:$P$58,14,FALSE)</f>
        <v>Cycloalkane</v>
      </c>
      <c r="AF14" s="1" t="str">
        <f>VLOOKUP($E14,'Product Naming'!$A$1:$P$58,15,FALSE)</f>
        <v>E4P</v>
      </c>
      <c r="AG14" s="30" t="str">
        <f>VLOOKUP($E14,'Product Naming'!$A$1:$P$58,16,FALSE)</f>
        <v>Proton symporter</v>
      </c>
      <c r="AH14" s="3" t="str">
        <f>VLOOKUP($E14,'Product Naming'!$A$1:$Q$58,17,FALSE)</f>
        <v>styr_c</v>
      </c>
      <c r="AI14" s="1">
        <f>VLOOKUP($E14,'Product Parameters'!$A$2:$D$59,2,FALSE)</f>
        <v>1</v>
      </c>
      <c r="AJ14" s="1">
        <f>VLOOKUP($E14,'Product Parameters'!$A$2:$D$59,3,FALSE)</f>
        <v>0</v>
      </c>
      <c r="AK14" s="1">
        <f>VLOOKUP($E14,'Product Parameters'!$A$2:$D$59,4,FALSE)</f>
        <v>0.12</v>
      </c>
      <c r="AL14" s="1">
        <f>VLOOKUP($E14,'Product Parameters'!$A$2:$E$59,5,FALSE)</f>
        <v>43.9</v>
      </c>
      <c r="AM14" s="1">
        <f>VLOOKUP($E14,'Product Parameters'!$A$2:$F$59,6,FALSE)</f>
        <v>8</v>
      </c>
      <c r="AN14" s="1">
        <f>VLOOKUP($C14,'Substrate Heating'!$A$2:$C$33,3,FALSE)</f>
        <v>247.59097</v>
      </c>
      <c r="AO14" s="1">
        <f>VLOOKUP($C14,'Substrate Heating'!$A$2:$B$33,2,FALSE)</f>
        <v>5.5</v>
      </c>
      <c r="AP14" s="1">
        <f>VLOOKUP($C14,'Substrate Heating'!$A$2:$M$33,13,FALSE)</f>
        <v>1</v>
      </c>
      <c r="AQ14" s="1">
        <f>VLOOKUP($C14,'Substrate Heating'!$A$2:$M$33,8,FALSE)</f>
        <v>1</v>
      </c>
      <c r="AR14" s="1">
        <f t="shared" si="0"/>
        <v>6.6316894018892486E-2</v>
      </c>
    </row>
    <row r="15" spans="1:44" x14ac:dyDescent="0.2">
      <c r="A15" s="8" t="s">
        <v>34</v>
      </c>
      <c r="B15" s="9" t="s">
        <v>35</v>
      </c>
      <c r="C15" s="1" t="s">
        <v>340</v>
      </c>
      <c r="D15" s="23" t="s">
        <v>338</v>
      </c>
      <c r="E15" s="1" t="s">
        <v>145</v>
      </c>
      <c r="F15" s="1" t="s">
        <v>146</v>
      </c>
      <c r="G15" s="1">
        <v>-10</v>
      </c>
      <c r="H15" s="1">
        <v>-20</v>
      </c>
      <c r="I15" s="1" t="s">
        <v>40</v>
      </c>
      <c r="J15" s="1">
        <v>3.15</v>
      </c>
      <c r="K15" s="1">
        <v>-10</v>
      </c>
      <c r="L15" s="1">
        <v>-4.2580110497237502</v>
      </c>
      <c r="M15" s="1" t="s">
        <v>40</v>
      </c>
      <c r="N15" s="1">
        <v>9.3889502762430794</v>
      </c>
      <c r="O15" s="1">
        <v>8.7292817679557599E-2</v>
      </c>
      <c r="Q15" s="1">
        <v>8.7292817679557599E-3</v>
      </c>
      <c r="R15" s="1">
        <v>2.0507565249629801E-2</v>
      </c>
      <c r="S15" s="1" t="str">
        <f>VLOOKUP($E15,'Product Naming'!$A$1:$P$58,2,FALSE)</f>
        <v>Benzyl alcohol</v>
      </c>
      <c r="T15" s="1" t="str">
        <f>VLOOKUP($E15,'Product Naming'!$A$1:$P$58,3,FALSE)</f>
        <v>Benzyl alcohol</v>
      </c>
      <c r="U15" s="1" t="str">
        <f>VLOOKUP($E15,'Product Naming'!$A$1:$P$58,4,FALSE)</f>
        <v>E</v>
      </c>
      <c r="V15" s="1" t="str">
        <f>VLOOKUP($E15,'Product Naming'!$A$1:$P$58,5,FALSE)</f>
        <v>C7H8O</v>
      </c>
      <c r="W15" s="1">
        <f>VLOOKUP($E15,'Product Naming'!$A$1:$P$58,6,FALSE)</f>
        <v>7</v>
      </c>
      <c r="X15" s="1">
        <f>VLOOKUP($E15,'Product Naming'!$A$1:$P$58,7,FALSE)</f>
        <v>8</v>
      </c>
      <c r="Y15" s="1">
        <f>VLOOKUP($E15,'Product Naming'!$A$1:$P$58,8,FALSE)</f>
        <v>1</v>
      </c>
      <c r="Z15" s="1">
        <f>VLOOKUP($E15,'Product Naming'!$A$1:$P$58,9,FALSE)</f>
        <v>0</v>
      </c>
      <c r="AA15" s="1">
        <f>VLOOKUP($E15,'Product Naming'!$A$1:$P$58,10,FALSE)</f>
        <v>0</v>
      </c>
      <c r="AB15" s="29">
        <f>VLOOKUP($E15,'Product Naming'!$A$1:$P$58,11,FALSE)</f>
        <v>4.8571428571428568</v>
      </c>
      <c r="AC15" s="3">
        <f>VLOOKUP($E15,'Product Naming'!$A$1:$P$58,12,FALSE)</f>
        <v>108.13661999999999</v>
      </c>
      <c r="AD15" s="1">
        <f>VLOOKUP($E15,'Product Naming'!$A$1:$P$58,13,FALSE)</f>
        <v>205</v>
      </c>
      <c r="AE15" s="1" t="str">
        <f>VLOOKUP($E15,'Product Naming'!$A$1:$P$58,14,FALSE)</f>
        <v>Aromatic + Alcohol</v>
      </c>
      <c r="AF15" s="1" t="str">
        <f>VLOOKUP($E15,'Product Naming'!$A$1:$P$58,15,FALSE)</f>
        <v>E4P</v>
      </c>
      <c r="AG15" s="30" t="str">
        <f>VLOOKUP($E15,'Product Naming'!$A$1:$P$58,16,FALSE)</f>
        <v>Proton symporter</v>
      </c>
      <c r="AH15" s="3" t="str">
        <f>VLOOKUP($E15,'Product Naming'!$A$1:$Q$58,17,FALSE)</f>
        <v>bzalc_c</v>
      </c>
      <c r="AI15" s="1">
        <f>VLOOKUP($E15,'Product Parameters'!$A$2:$D$59,2,FALSE)</f>
        <v>1</v>
      </c>
      <c r="AJ15" s="1">
        <f>VLOOKUP($E15,'Product Parameters'!$A$2:$D$59,3,FALSE)</f>
        <v>0</v>
      </c>
      <c r="AK15" s="1">
        <f>VLOOKUP($E15,'Product Parameters'!$A$2:$D$59,4,FALSE)</f>
        <v>0.12</v>
      </c>
      <c r="AL15" s="1">
        <f>VLOOKUP($E15,'Product Parameters'!$A$2:$E$59,5,FALSE)</f>
        <v>63</v>
      </c>
      <c r="AM15" s="1">
        <f>VLOOKUP($E15,'Product Parameters'!$A$2:$F$59,6,FALSE)</f>
        <v>7</v>
      </c>
      <c r="AN15" s="1">
        <f>VLOOKUP($C15,'Substrate Heating'!$A$2:$C$33,3,FALSE)</f>
        <v>247.59097</v>
      </c>
      <c r="AO15" s="1">
        <f>VLOOKUP($C15,'Substrate Heating'!$A$2:$B$33,2,FALSE)</f>
        <v>5.5</v>
      </c>
      <c r="AP15" s="1">
        <f>VLOOKUP($C15,'Substrate Heating'!$A$2:$M$33,13,FALSE)</f>
        <v>1</v>
      </c>
      <c r="AQ15" s="1">
        <f>VLOOKUP($C15,'Substrate Heating'!$A$2:$M$33,8,FALSE)</f>
        <v>1</v>
      </c>
      <c r="AR15" s="1">
        <f t="shared" si="0"/>
        <v>6.110497237569032E-2</v>
      </c>
    </row>
    <row r="16" spans="1:44" x14ac:dyDescent="0.2">
      <c r="A16" s="8" t="s">
        <v>34</v>
      </c>
      <c r="B16" s="9" t="s">
        <v>35</v>
      </c>
      <c r="C16" s="1" t="s">
        <v>340</v>
      </c>
      <c r="D16" s="23" t="s">
        <v>338</v>
      </c>
      <c r="E16" s="1" t="s">
        <v>103</v>
      </c>
      <c r="F16" s="1" t="s">
        <v>104</v>
      </c>
      <c r="G16" s="1">
        <v>-10</v>
      </c>
      <c r="H16" s="1">
        <v>-20</v>
      </c>
      <c r="I16" s="1" t="s">
        <v>40</v>
      </c>
      <c r="J16" s="1">
        <v>3.15</v>
      </c>
      <c r="K16" s="1">
        <v>-10</v>
      </c>
      <c r="L16" s="1">
        <v>-4.1450901803607199</v>
      </c>
      <c r="M16" s="1" t="s">
        <v>40</v>
      </c>
      <c r="N16" s="1">
        <v>9.4300601202404906</v>
      </c>
      <c r="O16" s="1">
        <v>9.4989979959922699E-2</v>
      </c>
      <c r="Q16" s="1">
        <v>9.4989979959922699E-3</v>
      </c>
      <c r="R16" s="1">
        <v>2.1085143957031999E-2</v>
      </c>
      <c r="S16" s="1" t="str">
        <f>VLOOKUP($E16,'Product Naming'!$A$1:$P$58,2,FALSE)</f>
        <v>3-Methyl-1-Pentanol</v>
      </c>
      <c r="T16" s="1" t="str">
        <f>VLOOKUP($E16,'Product Naming'!$A$1:$P$58,3,FALSE)</f>
        <v>3-Methyl-1-pentanol</v>
      </c>
      <c r="U16" s="1" t="str">
        <f>VLOOKUP($E16,'Product Naming'!$A$1:$P$58,4,FALSE)</f>
        <v>A</v>
      </c>
      <c r="V16" s="1" t="str">
        <f>VLOOKUP($E16,'Product Naming'!$A$1:$P$58,5,FALSE)</f>
        <v>C6H14O</v>
      </c>
      <c r="W16" s="1">
        <f>VLOOKUP($E16,'Product Naming'!$A$1:$P$58,6,FALSE)</f>
        <v>6</v>
      </c>
      <c r="X16" s="1">
        <f>VLOOKUP($E16,'Product Naming'!$A$1:$P$58,7,FALSE)</f>
        <v>14</v>
      </c>
      <c r="Y16" s="1">
        <f>VLOOKUP($E16,'Product Naming'!$A$1:$P$58,8,FALSE)</f>
        <v>1</v>
      </c>
      <c r="Z16" s="1">
        <f>VLOOKUP($E16,'Product Naming'!$A$1:$P$58,9,FALSE)</f>
        <v>0</v>
      </c>
      <c r="AA16" s="1">
        <f>VLOOKUP($E16,'Product Naming'!$A$1:$P$58,10,FALSE)</f>
        <v>0</v>
      </c>
      <c r="AB16" s="29">
        <f>VLOOKUP($E16,'Product Naming'!$A$1:$P$58,11,FALSE)</f>
        <v>6</v>
      </c>
      <c r="AC16" s="3">
        <f>VLOOKUP($E16,'Product Naming'!$A$1:$P$58,12,FALSE)</f>
        <v>102.17295999999999</v>
      </c>
      <c r="AD16" s="1">
        <f>VLOOKUP($E16,'Product Naming'!$A$1:$P$58,13,FALSE)</f>
        <v>153</v>
      </c>
      <c r="AE16" s="1" t="str">
        <f>VLOOKUP($E16,'Product Naming'!$A$1:$P$58,14,FALSE)</f>
        <v>Alcohol</v>
      </c>
      <c r="AF16" s="1" t="str">
        <f>VLOOKUP($E16,'Product Naming'!$A$1:$P$58,15,FALSE)</f>
        <v>Oxaloacetate</v>
      </c>
      <c r="AG16" s="30" t="str">
        <f>VLOOKUP($E16,'Product Naming'!$A$1:$P$58,16,FALSE)</f>
        <v>Proton symporter</v>
      </c>
      <c r="AH16" s="3" t="str">
        <f>VLOOKUP($E16,'Product Naming'!$A$1:$Q$58,17,FALSE)</f>
        <v>3mptoh_c</v>
      </c>
      <c r="AI16" s="1">
        <f>VLOOKUP($E16,'Product Parameters'!$A$2:$D$59,2,FALSE)</f>
        <v>1</v>
      </c>
      <c r="AJ16" s="1">
        <f>VLOOKUP($E16,'Product Parameters'!$A$2:$D$59,3,FALSE)</f>
        <v>0</v>
      </c>
      <c r="AK16" s="1">
        <f>VLOOKUP($E16,'Product Parameters'!$A$2:$D$59,4,FALSE)</f>
        <v>0.12</v>
      </c>
      <c r="AL16" s="1">
        <f>VLOOKUP($E16,'Product Parameters'!$A$2:$E$59,5,FALSE)</f>
        <v>61.7</v>
      </c>
      <c r="AM16" s="1">
        <f>VLOOKUP($E16,'Product Parameters'!$A$2:$F$59,6,FALSE)</f>
        <v>6</v>
      </c>
      <c r="AN16" s="1">
        <f>VLOOKUP($C16,'Substrate Heating'!$A$2:$C$33,3,FALSE)</f>
        <v>247.59097</v>
      </c>
      <c r="AO16" s="1">
        <f>VLOOKUP($C16,'Substrate Heating'!$A$2:$B$33,2,FALSE)</f>
        <v>5.5</v>
      </c>
      <c r="AP16" s="1">
        <f>VLOOKUP($C16,'Substrate Heating'!$A$2:$M$33,13,FALSE)</f>
        <v>1</v>
      </c>
      <c r="AQ16" s="1">
        <f>VLOOKUP($C16,'Substrate Heating'!$A$2:$M$33,8,FALSE)</f>
        <v>1</v>
      </c>
      <c r="AR16" s="1">
        <f t="shared" si="0"/>
        <v>5.6993987975953619E-2</v>
      </c>
    </row>
    <row r="17" spans="1:44" x14ac:dyDescent="0.2">
      <c r="A17" s="8" t="s">
        <v>34</v>
      </c>
      <c r="B17" s="9" t="s">
        <v>35</v>
      </c>
      <c r="C17" s="1" t="s">
        <v>340</v>
      </c>
      <c r="D17" s="23" t="s">
        <v>338</v>
      </c>
      <c r="E17" s="1" t="s">
        <v>91</v>
      </c>
      <c r="F17" s="1" t="s">
        <v>92</v>
      </c>
      <c r="G17" s="1">
        <v>-10</v>
      </c>
      <c r="H17" s="1">
        <v>-20</v>
      </c>
      <c r="I17" s="1" t="s">
        <v>40</v>
      </c>
      <c r="J17" s="1">
        <v>3.15</v>
      </c>
      <c r="K17" s="1">
        <v>-10</v>
      </c>
      <c r="L17" s="1">
        <v>-4.1603684459140302</v>
      </c>
      <c r="M17" s="1" t="s">
        <v>40</v>
      </c>
      <c r="N17" s="1">
        <v>9.4402456306093203</v>
      </c>
      <c r="O17" s="1">
        <v>0.111950873878121</v>
      </c>
      <c r="Q17" s="1">
        <v>1.11950873878121E-2</v>
      </c>
      <c r="R17" s="1">
        <v>2.14385670533042E-2</v>
      </c>
      <c r="S17" s="1" t="str">
        <f>VLOOKUP($E17,'Product Naming'!$A$1:$P$58,2,FALSE)</f>
        <v>2-Methyl-1-Butanol</v>
      </c>
      <c r="T17" s="1" t="str">
        <f>VLOOKUP($E17,'Product Naming'!$A$1:$P$58,3,FALSE)</f>
        <v>2-Methyl-1-butanol</v>
      </c>
      <c r="U17" s="1" t="str">
        <f>VLOOKUP($E17,'Product Naming'!$A$1:$P$58,4,FALSE)</f>
        <v>A</v>
      </c>
      <c r="V17" s="1" t="str">
        <f>VLOOKUP($E17,'Product Naming'!$A$1:$P$58,5,FALSE)</f>
        <v>C5H12O</v>
      </c>
      <c r="W17" s="1">
        <f>VLOOKUP($E17,'Product Naming'!$A$1:$P$58,6,FALSE)</f>
        <v>5</v>
      </c>
      <c r="X17" s="1">
        <f>VLOOKUP($E17,'Product Naming'!$A$1:$P$58,7,FALSE)</f>
        <v>12</v>
      </c>
      <c r="Y17" s="1">
        <f>VLOOKUP($E17,'Product Naming'!$A$1:$P$58,8,FALSE)</f>
        <v>1</v>
      </c>
      <c r="Z17" s="1">
        <f>VLOOKUP($E17,'Product Naming'!$A$1:$P$58,9,FALSE)</f>
        <v>0</v>
      </c>
      <c r="AA17" s="1">
        <f>VLOOKUP($E17,'Product Naming'!$A$1:$P$58,10,FALSE)</f>
        <v>0</v>
      </c>
      <c r="AB17" s="29">
        <f>VLOOKUP($E17,'Product Naming'!$A$1:$P$58,11,FALSE)</f>
        <v>6</v>
      </c>
      <c r="AC17" s="3">
        <f>VLOOKUP($E17,'Product Naming'!$A$1:$P$58,12,FALSE)</f>
        <v>88.14658</v>
      </c>
      <c r="AD17" s="1">
        <f>VLOOKUP($E17,'Product Naming'!$A$1:$P$58,13,FALSE)</f>
        <v>129</v>
      </c>
      <c r="AE17" s="1" t="str">
        <f>VLOOKUP($E17,'Product Naming'!$A$1:$P$58,14,FALSE)</f>
        <v>Alcohol</v>
      </c>
      <c r="AF17" s="1" t="str">
        <f>VLOOKUP($E17,'Product Naming'!$A$1:$P$58,15,FALSE)</f>
        <v>PEP</v>
      </c>
      <c r="AG17" s="30" t="str">
        <f>VLOOKUP($E17,'Product Naming'!$A$1:$P$58,16,FALSE)</f>
        <v>Proton symporter</v>
      </c>
      <c r="AH17" s="3" t="str">
        <f>VLOOKUP($E17,'Product Naming'!$A$1:$Q$58,17,FALSE)</f>
        <v>2mbtoh_c</v>
      </c>
      <c r="AI17" s="1">
        <f>VLOOKUP($E17,'Product Parameters'!$A$2:$D$59,2,FALSE)</f>
        <v>1</v>
      </c>
      <c r="AJ17" s="1">
        <f>VLOOKUP($E17,'Product Parameters'!$A$2:$D$59,3,FALSE)</f>
        <v>0</v>
      </c>
      <c r="AK17" s="1">
        <f>VLOOKUP($E17,'Product Parameters'!$A$2:$D$59,4,FALSE)</f>
        <v>0.12</v>
      </c>
      <c r="AL17" s="1">
        <f>VLOOKUP($E17,'Product Parameters'!$A$2:$E$59,5,FALSE)</f>
        <v>54.6</v>
      </c>
      <c r="AM17" s="1">
        <f>VLOOKUP($E17,'Product Parameters'!$A$2:$F$59,6,FALSE)</f>
        <v>5</v>
      </c>
      <c r="AN17" s="1">
        <f>VLOOKUP($C17,'Substrate Heating'!$A$2:$C$33,3,FALSE)</f>
        <v>247.59097</v>
      </c>
      <c r="AO17" s="1">
        <f>VLOOKUP($C17,'Substrate Heating'!$A$2:$B$33,2,FALSE)</f>
        <v>5.5</v>
      </c>
      <c r="AP17" s="1">
        <f>VLOOKUP($C17,'Substrate Heating'!$A$2:$M$33,13,FALSE)</f>
        <v>1</v>
      </c>
      <c r="AQ17" s="1">
        <f>VLOOKUP($C17,'Substrate Heating'!$A$2:$M$33,8,FALSE)</f>
        <v>1</v>
      </c>
      <c r="AR17" s="1">
        <f t="shared" si="0"/>
        <v>5.5975436939060499E-2</v>
      </c>
    </row>
    <row r="18" spans="1:44" x14ac:dyDescent="0.2">
      <c r="A18" s="8" t="s">
        <v>34</v>
      </c>
      <c r="B18" s="9" t="s">
        <v>35</v>
      </c>
      <c r="C18" s="1" t="s">
        <v>340</v>
      </c>
      <c r="D18" s="23" t="s">
        <v>338</v>
      </c>
      <c r="E18" s="1" t="s">
        <v>295</v>
      </c>
      <c r="F18" s="1" t="s">
        <v>292</v>
      </c>
      <c r="G18" s="1">
        <v>-10</v>
      </c>
      <c r="H18" s="1">
        <v>-20</v>
      </c>
      <c r="I18" s="1" t="s">
        <v>40</v>
      </c>
      <c r="J18" s="1">
        <v>3.15</v>
      </c>
      <c r="K18" s="1">
        <v>-10</v>
      </c>
      <c r="L18" s="1">
        <v>-4.1383906931652898</v>
      </c>
      <c r="M18" s="1" t="s">
        <v>40</v>
      </c>
      <c r="N18" s="1">
        <v>9.4255937954435307</v>
      </c>
      <c r="O18" s="1">
        <v>0.11488124091129399</v>
      </c>
      <c r="Q18" s="1">
        <v>1.14881240911294E-2</v>
      </c>
      <c r="R18" s="1">
        <v>2.1999731678065099E-2</v>
      </c>
      <c r="S18" s="1" t="str">
        <f>VLOOKUP($E18,'Product Naming'!$A$1:$P$58,2,FALSE)</f>
        <v>Pentanol-PW2</v>
      </c>
      <c r="T18" s="1" t="str">
        <f>VLOOKUP($E18,'Product Naming'!$A$1:$P$58,3,FALSE)</f>
        <v>Pentanol (PW2)</v>
      </c>
      <c r="U18" s="1" t="str">
        <f>VLOOKUP($E18,'Product Naming'!$A$1:$P$58,4,FALSE)</f>
        <v>E</v>
      </c>
      <c r="V18" s="1" t="str">
        <f>VLOOKUP($E18,'Product Naming'!$A$1:$P$58,5,FALSE)</f>
        <v>C5H12O</v>
      </c>
      <c r="W18" s="1">
        <f>VLOOKUP($E18,'Product Naming'!$A$1:$P$58,6,FALSE)</f>
        <v>5</v>
      </c>
      <c r="X18" s="1">
        <f>VLOOKUP($E18,'Product Naming'!$A$1:$P$58,7,FALSE)</f>
        <v>12</v>
      </c>
      <c r="Y18" s="1">
        <f>VLOOKUP($E18,'Product Naming'!$A$1:$P$58,8,FALSE)</f>
        <v>1</v>
      </c>
      <c r="Z18" s="1">
        <f>VLOOKUP($E18,'Product Naming'!$A$1:$P$58,9,FALSE)</f>
        <v>0</v>
      </c>
      <c r="AA18" s="1">
        <f>VLOOKUP($E18,'Product Naming'!$A$1:$P$58,10,FALSE)</f>
        <v>0</v>
      </c>
      <c r="AB18" s="29">
        <f>VLOOKUP($E18,'Product Naming'!$A$1:$P$58,11,FALSE)</f>
        <v>6</v>
      </c>
      <c r="AC18" s="3">
        <f>VLOOKUP($E18,'Product Naming'!$A$1:$P$58,12,FALSE)</f>
        <v>88.14658</v>
      </c>
      <c r="AD18" s="1">
        <f>VLOOKUP($E18,'Product Naming'!$A$1:$P$58,13,FALSE)</f>
        <v>138</v>
      </c>
      <c r="AE18" s="1" t="str">
        <f>VLOOKUP($E18,'Product Naming'!$A$1:$P$58,14,FALSE)</f>
        <v>Alcohol</v>
      </c>
      <c r="AF18" s="1" t="str">
        <f>VLOOKUP($E18,'Product Naming'!$A$1:$P$58,15,FALSE)</f>
        <v>Oxaloacetate</v>
      </c>
      <c r="AG18" s="30" t="str">
        <f>VLOOKUP($E18,'Product Naming'!$A$1:$P$58,16,FALSE)</f>
        <v>Proton symporter</v>
      </c>
      <c r="AH18" s="3" t="str">
        <f>VLOOKUP($E18,'Product Naming'!$A$1:$Q$58,17,FALSE)</f>
        <v>pentoh_c</v>
      </c>
      <c r="AI18" s="1">
        <f>VLOOKUP($E18,'Product Parameters'!$A$2:$D$59,2,FALSE)</f>
        <v>1</v>
      </c>
      <c r="AJ18" s="1">
        <f>VLOOKUP($E18,'Product Parameters'!$A$2:$D$59,3,FALSE)</f>
        <v>0</v>
      </c>
      <c r="AK18" s="1">
        <f>VLOOKUP($E18,'Product Parameters'!$A$2:$D$59,4,FALSE)</f>
        <v>0.12</v>
      </c>
      <c r="AL18" s="1">
        <f>VLOOKUP($E18,'Product Parameters'!$A$2:$E$59,5,FALSE)</f>
        <v>57</v>
      </c>
      <c r="AM18" s="1">
        <f>VLOOKUP($E18,'Product Parameters'!$A$2:$F$59,6,FALSE)</f>
        <v>5</v>
      </c>
      <c r="AN18" s="1">
        <f>VLOOKUP($C18,'Substrate Heating'!$A$2:$C$33,3,FALSE)</f>
        <v>247.59097</v>
      </c>
      <c r="AO18" s="1">
        <f>VLOOKUP($C18,'Substrate Heating'!$A$2:$B$33,2,FALSE)</f>
        <v>5.5</v>
      </c>
      <c r="AP18" s="1">
        <f>VLOOKUP($C18,'Substrate Heating'!$A$2:$M$33,13,FALSE)</f>
        <v>1</v>
      </c>
      <c r="AQ18" s="1">
        <f>VLOOKUP($C18,'Substrate Heating'!$A$2:$M$33,8,FALSE)</f>
        <v>1</v>
      </c>
      <c r="AR18" s="1">
        <f t="shared" si="0"/>
        <v>5.7440620455646997E-2</v>
      </c>
    </row>
    <row r="19" spans="1:44" x14ac:dyDescent="0.2">
      <c r="A19" s="8" t="s">
        <v>34</v>
      </c>
      <c r="B19" s="9" t="s">
        <v>35</v>
      </c>
      <c r="C19" s="1" t="s">
        <v>340</v>
      </c>
      <c r="D19" s="23" t="s">
        <v>338</v>
      </c>
      <c r="E19" s="1" t="s">
        <v>169</v>
      </c>
      <c r="F19" s="1" t="s">
        <v>165</v>
      </c>
      <c r="G19" s="1">
        <v>-10</v>
      </c>
      <c r="H19" s="1">
        <v>-20</v>
      </c>
      <c r="I19" s="1" t="s">
        <v>40</v>
      </c>
      <c r="J19" s="1">
        <v>3.15</v>
      </c>
      <c r="K19" s="1">
        <v>-10</v>
      </c>
      <c r="L19" s="1">
        <v>-4.1570835803200996</v>
      </c>
      <c r="M19" s="1" t="s">
        <v>40</v>
      </c>
      <c r="N19" s="1">
        <v>9.4380557202134003</v>
      </c>
      <c r="O19" s="1">
        <v>0.14048606994665</v>
      </c>
      <c r="Q19" s="1">
        <v>1.4048606994665E-2</v>
      </c>
      <c r="R19" s="1">
        <v>2.2622085791881099E-2</v>
      </c>
      <c r="S19" s="1" t="str">
        <f>VLOOKUP($E19,'Product Naming'!$A$1:$P$58,2,FALSE)</f>
        <v>Butanol-PW2</v>
      </c>
      <c r="T19" s="1" t="str">
        <f>VLOOKUP($E19,'Product Naming'!$A$1:$P$58,3,FALSE)</f>
        <v>Butanol (PW2)</v>
      </c>
      <c r="U19" s="1" t="str">
        <f>VLOOKUP($E19,'Product Naming'!$A$1:$P$58,4,FALSE)</f>
        <v>E</v>
      </c>
      <c r="V19" s="1" t="str">
        <f>VLOOKUP($E19,'Product Naming'!$A$1:$P$58,5,FALSE)</f>
        <v>C4H10O</v>
      </c>
      <c r="W19" s="1">
        <f>VLOOKUP($E19,'Product Naming'!$A$1:$P$58,6,FALSE)</f>
        <v>4</v>
      </c>
      <c r="X19" s="1">
        <f>VLOOKUP($E19,'Product Naming'!$A$1:$P$58,7,FALSE)</f>
        <v>10</v>
      </c>
      <c r="Y19" s="1">
        <f>VLOOKUP($E19,'Product Naming'!$A$1:$P$58,8,FALSE)</f>
        <v>1</v>
      </c>
      <c r="Z19" s="1">
        <f>VLOOKUP($E19,'Product Naming'!$A$1:$P$58,9,FALSE)</f>
        <v>0</v>
      </c>
      <c r="AA19" s="1">
        <f>VLOOKUP($E19,'Product Naming'!$A$1:$P$58,10,FALSE)</f>
        <v>0</v>
      </c>
      <c r="AB19" s="29">
        <f>VLOOKUP($E19,'Product Naming'!$A$1:$P$58,11,FALSE)</f>
        <v>6</v>
      </c>
      <c r="AC19" s="3">
        <f>VLOOKUP($E19,'Product Naming'!$A$1:$P$58,12,FALSE)</f>
        <v>74.120199999999997</v>
      </c>
      <c r="AD19" s="1">
        <f>VLOOKUP($E19,'Product Naming'!$A$1:$P$58,13,FALSE)</f>
        <v>117.7</v>
      </c>
      <c r="AE19" s="1" t="str">
        <f>VLOOKUP($E19,'Product Naming'!$A$1:$P$58,14,FALSE)</f>
        <v>Alcohol</v>
      </c>
      <c r="AF19" s="1" t="str">
        <f>VLOOKUP($E19,'Product Naming'!$A$1:$P$58,15,FALSE)</f>
        <v>Oxaloacetate</v>
      </c>
      <c r="AG19" s="30" t="str">
        <f>VLOOKUP($E19,'Product Naming'!$A$1:$P$58,16,FALSE)</f>
        <v>Proton symporter</v>
      </c>
      <c r="AH19" s="3" t="str">
        <f>VLOOKUP($E19,'Product Naming'!$A$1:$Q$58,17,FALSE)</f>
        <v>btoh_c</v>
      </c>
      <c r="AI19" s="1">
        <f>VLOOKUP($E19,'Product Parameters'!$A$2:$D$59,2,FALSE)</f>
        <v>1</v>
      </c>
      <c r="AJ19" s="1">
        <f>VLOOKUP($E19,'Product Parameters'!$A$2:$D$59,3,FALSE)</f>
        <v>0</v>
      </c>
      <c r="AK19" s="1">
        <f>VLOOKUP($E19,'Product Parameters'!$A$2:$D$59,4,FALSE)</f>
        <v>0.12</v>
      </c>
      <c r="AL19" s="1">
        <f>VLOOKUP($E19,'Product Parameters'!$A$2:$E$59,5,FALSE)</f>
        <v>52</v>
      </c>
      <c r="AM19" s="1">
        <f>VLOOKUP($E19,'Product Parameters'!$A$2:$F$59,6,FALSE)</f>
        <v>4</v>
      </c>
      <c r="AN19" s="1">
        <f>VLOOKUP($C19,'Substrate Heating'!$A$2:$C$33,3,FALSE)</f>
        <v>247.59097</v>
      </c>
      <c r="AO19" s="1">
        <f>VLOOKUP($C19,'Substrate Heating'!$A$2:$B$33,2,FALSE)</f>
        <v>5.5</v>
      </c>
      <c r="AP19" s="1">
        <f>VLOOKUP($C19,'Substrate Heating'!$A$2:$M$33,13,FALSE)</f>
        <v>1</v>
      </c>
      <c r="AQ19" s="1">
        <f>VLOOKUP($C19,'Substrate Heating'!$A$2:$M$33,8,FALSE)</f>
        <v>1</v>
      </c>
      <c r="AR19" s="1">
        <f t="shared" si="0"/>
        <v>5.6194427978659998E-2</v>
      </c>
    </row>
    <row r="20" spans="1:44" x14ac:dyDescent="0.2">
      <c r="A20" s="8" t="s">
        <v>34</v>
      </c>
      <c r="B20" s="9" t="s">
        <v>35</v>
      </c>
      <c r="C20" s="1" t="s">
        <v>340</v>
      </c>
      <c r="D20" s="23" t="s">
        <v>338</v>
      </c>
      <c r="E20" s="1" t="s">
        <v>108</v>
      </c>
      <c r="F20" s="1" t="s">
        <v>109</v>
      </c>
      <c r="G20" s="1">
        <v>-10</v>
      </c>
      <c r="H20" s="1">
        <v>-20</v>
      </c>
      <c r="I20" s="1" t="s">
        <v>40</v>
      </c>
      <c r="J20" s="1">
        <v>3.15</v>
      </c>
      <c r="K20" s="1">
        <v>-10</v>
      </c>
      <c r="L20" s="1">
        <v>-4.1713286713286699</v>
      </c>
      <c r="M20" s="1" t="s">
        <v>40</v>
      </c>
      <c r="N20" s="1">
        <v>9.3021715126978197</v>
      </c>
      <c r="O20" s="1">
        <v>8.7228560912770994E-2</v>
      </c>
      <c r="Q20" s="1">
        <v>8.7228560912770998E-3</v>
      </c>
      <c r="R20" s="1">
        <v>2.2768561580214002E-2</v>
      </c>
      <c r="S20" s="1" t="str">
        <f>VLOOKUP($E20,'Product Naming'!$A$1:$P$58,2,FALSE)</f>
        <v>4-Hydroxystyrene</v>
      </c>
      <c r="T20" s="1" t="str">
        <f>VLOOKUP($E20,'Product Naming'!$A$1:$P$58,3,FALSE)</f>
        <v>4-Hydroxystyrene</v>
      </c>
      <c r="U20" s="1" t="str">
        <f>VLOOKUP($E20,'Product Naming'!$A$1:$P$58,4,FALSE)</f>
        <v>E</v>
      </c>
      <c r="V20" s="1" t="str">
        <f>VLOOKUP($E20,'Product Naming'!$A$1:$P$58,5,FALSE)</f>
        <v>C8H8O</v>
      </c>
      <c r="W20" s="1">
        <f>VLOOKUP($E20,'Product Naming'!$A$1:$P$58,6,FALSE)</f>
        <v>8</v>
      </c>
      <c r="X20" s="1">
        <f>VLOOKUP($E20,'Product Naming'!$A$1:$P$58,7,FALSE)</f>
        <v>8</v>
      </c>
      <c r="Y20" s="1">
        <f>VLOOKUP($E20,'Product Naming'!$A$1:$P$58,8,FALSE)</f>
        <v>1</v>
      </c>
      <c r="Z20" s="1">
        <f>VLOOKUP($E20,'Product Naming'!$A$1:$P$58,9,FALSE)</f>
        <v>0</v>
      </c>
      <c r="AA20" s="1">
        <f>VLOOKUP($E20,'Product Naming'!$A$1:$P$58,10,FALSE)</f>
        <v>0</v>
      </c>
      <c r="AB20" s="29">
        <f>VLOOKUP($E20,'Product Naming'!$A$1:$P$58,11,FALSE)</f>
        <v>4.75</v>
      </c>
      <c r="AC20" s="3">
        <f>VLOOKUP($E20,'Product Naming'!$A$1:$P$58,12,FALSE)</f>
        <v>120.14731999999999</v>
      </c>
      <c r="AD20" s="1">
        <f>VLOOKUP($E20,'Product Naming'!$A$1:$P$58,13,FALSE)</f>
        <v>229</v>
      </c>
      <c r="AE20" s="1" t="str">
        <f>VLOOKUP($E20,'Product Naming'!$A$1:$P$58,14,FALSE)</f>
        <v>Aromatic + Alcohol</v>
      </c>
      <c r="AF20" s="1" t="str">
        <f>VLOOKUP($E20,'Product Naming'!$A$1:$P$58,15,FALSE)</f>
        <v>E4P + L-glutamate</v>
      </c>
      <c r="AG20" s="30" t="str">
        <f>VLOOKUP($E20,'Product Naming'!$A$1:$P$58,16,FALSE)</f>
        <v>Proton symporter</v>
      </c>
      <c r="AH20" s="3" t="str">
        <f>VLOOKUP($E20,'Product Naming'!$A$1:$Q$58,17,FALSE)</f>
        <v>4hxst_c</v>
      </c>
      <c r="AI20" s="1">
        <f>VLOOKUP($E20,'Product Parameters'!$A$2:$D$59,2,FALSE)</f>
        <v>1</v>
      </c>
      <c r="AJ20" s="1">
        <f>VLOOKUP($E20,'Product Parameters'!$A$2:$D$59,3,FALSE)</f>
        <v>0</v>
      </c>
      <c r="AK20" s="1">
        <f>VLOOKUP($E20,'Product Parameters'!$A$2:$D$59,4,FALSE)</f>
        <v>0.12</v>
      </c>
      <c r="AL20" s="1">
        <f>VLOOKUP($E20,'Product Parameters'!$A$2:$E$59,5,FALSE)</f>
        <v>40.65</v>
      </c>
      <c r="AM20" s="1">
        <f>VLOOKUP($E20,'Product Parameters'!$A$2:$F$59,6,FALSE)</f>
        <v>8</v>
      </c>
      <c r="AN20" s="1">
        <f>VLOOKUP($C20,'Substrate Heating'!$A$2:$C$33,3,FALSE)</f>
        <v>247.59097</v>
      </c>
      <c r="AO20" s="1">
        <f>VLOOKUP($C20,'Substrate Heating'!$A$2:$B$33,2,FALSE)</f>
        <v>5.5</v>
      </c>
      <c r="AP20" s="1">
        <f>VLOOKUP($C20,'Substrate Heating'!$A$2:$M$33,13,FALSE)</f>
        <v>1</v>
      </c>
      <c r="AQ20" s="1">
        <f>VLOOKUP($C20,'Substrate Heating'!$A$2:$M$33,8,FALSE)</f>
        <v>1</v>
      </c>
      <c r="AR20" s="1">
        <f t="shared" si="0"/>
        <v>6.9782848730216798E-2</v>
      </c>
    </row>
    <row r="21" spans="1:44" x14ac:dyDescent="0.2">
      <c r="A21" s="8" t="s">
        <v>34</v>
      </c>
      <c r="B21" s="9" t="s">
        <v>35</v>
      </c>
      <c r="C21" s="1" t="s">
        <v>340</v>
      </c>
      <c r="D21" s="23" t="s">
        <v>338</v>
      </c>
      <c r="E21" s="1" t="s">
        <v>291</v>
      </c>
      <c r="F21" s="1" t="s">
        <v>292</v>
      </c>
      <c r="G21" s="1">
        <v>-10</v>
      </c>
      <c r="H21" s="1">
        <v>-20</v>
      </c>
      <c r="I21" s="1" t="s">
        <v>40</v>
      </c>
      <c r="J21" s="1">
        <v>3.15</v>
      </c>
      <c r="K21" s="1">
        <v>-10</v>
      </c>
      <c r="L21" s="1">
        <v>-4.1054353296426802</v>
      </c>
      <c r="M21" s="1" t="s">
        <v>40</v>
      </c>
      <c r="N21" s="1">
        <v>9.4036235530951195</v>
      </c>
      <c r="O21" s="1">
        <v>0.11927528938097701</v>
      </c>
      <c r="Q21" s="1">
        <v>1.19275289380977E-2</v>
      </c>
      <c r="R21" s="1">
        <v>2.28411909672111E-2</v>
      </c>
      <c r="S21" s="1" t="str">
        <f>VLOOKUP($E21,'Product Naming'!$A$1:$P$58,2,FALSE)</f>
        <v>Pentanol-PW1</v>
      </c>
      <c r="T21" s="1" t="str">
        <f>VLOOKUP($E21,'Product Naming'!$A$1:$P$58,3,FALSE)</f>
        <v>Pentanol (PW1)</v>
      </c>
      <c r="U21" s="1" t="str">
        <f>VLOOKUP($E21,'Product Naming'!$A$1:$P$58,4,FALSE)</f>
        <v>E</v>
      </c>
      <c r="V21" s="1" t="str">
        <f>VLOOKUP($E21,'Product Naming'!$A$1:$P$58,5,FALSE)</f>
        <v>C5H12O</v>
      </c>
      <c r="W21" s="1">
        <f>VLOOKUP($E21,'Product Naming'!$A$1:$P$58,6,FALSE)</f>
        <v>5</v>
      </c>
      <c r="X21" s="1">
        <f>VLOOKUP($E21,'Product Naming'!$A$1:$P$58,7,FALSE)</f>
        <v>12</v>
      </c>
      <c r="Y21" s="1">
        <f>VLOOKUP($E21,'Product Naming'!$A$1:$P$58,8,FALSE)</f>
        <v>1</v>
      </c>
      <c r="Z21" s="1">
        <f>VLOOKUP($E21,'Product Naming'!$A$1:$P$58,9,FALSE)</f>
        <v>0</v>
      </c>
      <c r="AA21" s="1">
        <f>VLOOKUP($E21,'Product Naming'!$A$1:$P$58,10,FALSE)</f>
        <v>0</v>
      </c>
      <c r="AB21" s="29">
        <f>VLOOKUP($E21,'Product Naming'!$A$1:$P$58,11,FALSE)</f>
        <v>6</v>
      </c>
      <c r="AC21" s="3">
        <f>VLOOKUP($E21,'Product Naming'!$A$1:$P$58,12,FALSE)</f>
        <v>88.14658</v>
      </c>
      <c r="AD21" s="1">
        <f>VLOOKUP($E21,'Product Naming'!$A$1:$P$58,13,FALSE)</f>
        <v>138</v>
      </c>
      <c r="AE21" s="1" t="str">
        <f>VLOOKUP($E21,'Product Naming'!$A$1:$P$58,14,FALSE)</f>
        <v>Alcohol</v>
      </c>
      <c r="AF21" s="1" t="str">
        <f>VLOOKUP($E21,'Product Naming'!$A$1:$P$58,15,FALSE)</f>
        <v>Acetyl-CoA + Succinyl-CoA</v>
      </c>
      <c r="AG21" s="30" t="str">
        <f>VLOOKUP($E21,'Product Naming'!$A$1:$P$58,16,FALSE)</f>
        <v>Proton symporter</v>
      </c>
      <c r="AH21" s="3" t="str">
        <f>VLOOKUP($E21,'Product Naming'!$A$1:$Q$58,17,FALSE)</f>
        <v>pentoh_c</v>
      </c>
      <c r="AI21" s="1">
        <f>VLOOKUP($E21,'Product Parameters'!$A$2:$D$59,2,FALSE)</f>
        <v>1</v>
      </c>
      <c r="AJ21" s="1">
        <f>VLOOKUP($E21,'Product Parameters'!$A$2:$D$59,3,FALSE)</f>
        <v>0</v>
      </c>
      <c r="AK21" s="1">
        <f>VLOOKUP($E21,'Product Parameters'!$A$2:$D$59,4,FALSE)</f>
        <v>0.12</v>
      </c>
      <c r="AL21" s="1">
        <f>VLOOKUP($E21,'Product Parameters'!$A$2:$E$59,5,FALSE)</f>
        <v>57</v>
      </c>
      <c r="AM21" s="1">
        <f>VLOOKUP($E21,'Product Parameters'!$A$2:$F$59,6,FALSE)</f>
        <v>5</v>
      </c>
      <c r="AN21" s="1">
        <f>VLOOKUP($C21,'Substrate Heating'!$A$2:$C$33,3,FALSE)</f>
        <v>247.59097</v>
      </c>
      <c r="AO21" s="1">
        <f>VLOOKUP($C21,'Substrate Heating'!$A$2:$B$33,2,FALSE)</f>
        <v>5.5</v>
      </c>
      <c r="AP21" s="1">
        <f>VLOOKUP($C21,'Substrate Heating'!$A$2:$M$33,13,FALSE)</f>
        <v>1</v>
      </c>
      <c r="AQ21" s="1">
        <f>VLOOKUP($C21,'Substrate Heating'!$A$2:$M$33,8,FALSE)</f>
        <v>1</v>
      </c>
      <c r="AR21" s="1">
        <f t="shared" si="0"/>
        <v>5.9637644690488503E-2</v>
      </c>
    </row>
    <row r="22" spans="1:44" x14ac:dyDescent="0.2">
      <c r="A22" s="8" t="s">
        <v>34</v>
      </c>
      <c r="B22" s="9" t="s">
        <v>35</v>
      </c>
      <c r="C22" s="1" t="s">
        <v>340</v>
      </c>
      <c r="D22" s="23" t="s">
        <v>338</v>
      </c>
      <c r="E22" s="1" t="s">
        <v>297</v>
      </c>
      <c r="F22" s="1" t="s">
        <v>298</v>
      </c>
      <c r="G22" s="1">
        <v>-10</v>
      </c>
      <c r="H22" s="1">
        <v>-20</v>
      </c>
      <c r="I22" s="1" t="s">
        <v>40</v>
      </c>
      <c r="J22" s="1">
        <v>3.15</v>
      </c>
      <c r="K22" s="1">
        <v>-10</v>
      </c>
      <c r="L22" s="1">
        <v>-4.1927007299270098</v>
      </c>
      <c r="M22" s="1" t="s">
        <v>40</v>
      </c>
      <c r="N22" s="1">
        <v>9.3080291970803</v>
      </c>
      <c r="O22" s="1">
        <v>0.115328467153285</v>
      </c>
      <c r="Q22" s="1">
        <v>1.1532846715328501E-2</v>
      </c>
      <c r="R22" s="1">
        <v>2.3579587314744899E-2</v>
      </c>
      <c r="S22" s="1" t="str">
        <f>VLOOKUP($E22,'Product Naming'!$A$1:$P$58,2,FALSE)</f>
        <v>Phenol</v>
      </c>
      <c r="T22" s="1" t="str">
        <f>VLOOKUP($E22,'Product Naming'!$A$1:$P$58,3,FALSE)</f>
        <v>Phenol</v>
      </c>
      <c r="U22" s="1" t="str">
        <f>VLOOKUP($E22,'Product Naming'!$A$1:$P$58,4,FALSE)</f>
        <v>E-S</v>
      </c>
      <c r="V22" s="1" t="str">
        <f>VLOOKUP($E22,'Product Naming'!$A$1:$P$58,5,FALSE)</f>
        <v>C6H6O</v>
      </c>
      <c r="W22" s="1">
        <f>VLOOKUP($E22,'Product Naming'!$A$1:$P$58,6,FALSE)</f>
        <v>6</v>
      </c>
      <c r="X22" s="1">
        <f>VLOOKUP($E22,'Product Naming'!$A$1:$P$58,7,FALSE)</f>
        <v>6</v>
      </c>
      <c r="Y22" s="1">
        <f>VLOOKUP($E22,'Product Naming'!$A$1:$P$58,8,FALSE)</f>
        <v>1</v>
      </c>
      <c r="Z22" s="1">
        <f>VLOOKUP($E22,'Product Naming'!$A$1:$P$58,9,FALSE)</f>
        <v>0</v>
      </c>
      <c r="AA22" s="1">
        <f>VLOOKUP($E22,'Product Naming'!$A$1:$P$58,10,FALSE)</f>
        <v>0</v>
      </c>
      <c r="AB22" s="29">
        <f>VLOOKUP($E22,'Product Naming'!$A$1:$P$58,11,FALSE)</f>
        <v>4.666666666666667</v>
      </c>
      <c r="AC22" s="3">
        <f>VLOOKUP($E22,'Product Naming'!$A$1:$P$58,12,FALSE)</f>
        <v>94.11023999999999</v>
      </c>
      <c r="AD22" s="1">
        <f>VLOOKUP($E22,'Product Naming'!$A$1:$P$58,13,FALSE)</f>
        <v>181.7</v>
      </c>
      <c r="AE22" s="1" t="str">
        <f>VLOOKUP($E22,'Product Naming'!$A$1:$P$58,14,FALSE)</f>
        <v>Aromatic + Alcohol</v>
      </c>
      <c r="AF22" s="1" t="str">
        <f>VLOOKUP($E22,'Product Naming'!$A$1:$P$58,15,FALSE)</f>
        <v>E4P + L-glutamate</v>
      </c>
      <c r="AG22" s="30" t="str">
        <f>VLOOKUP($E22,'Product Naming'!$A$1:$P$58,16,FALSE)</f>
        <v>Proton symporter</v>
      </c>
      <c r="AH22" s="3" t="str">
        <f>VLOOKUP($E22,'Product Naming'!$A$1:$Q$58,17,FALSE)</f>
        <v>phenol_c</v>
      </c>
      <c r="AI22" s="1">
        <f>VLOOKUP($E22,'Product Parameters'!$A$2:$D$59,2,FALSE)</f>
        <v>1</v>
      </c>
      <c r="AJ22" s="1">
        <f>VLOOKUP($E22,'Product Parameters'!$A$2:$D$59,3,FALSE)</f>
        <v>0</v>
      </c>
      <c r="AK22" s="1">
        <f>VLOOKUP($E22,'Product Parameters'!$A$2:$D$59,4,FALSE)</f>
        <v>0.12</v>
      </c>
      <c r="AL22" s="1">
        <f>VLOOKUP($E22,'Product Parameters'!$A$2:$E$59,5,FALSE)</f>
        <v>58.8</v>
      </c>
      <c r="AM22" s="1">
        <f>VLOOKUP($E22,'Product Parameters'!$A$2:$F$59,6,FALSE)</f>
        <v>6</v>
      </c>
      <c r="AN22" s="1">
        <f>VLOOKUP($C22,'Substrate Heating'!$A$2:$C$33,3,FALSE)</f>
        <v>247.59097</v>
      </c>
      <c r="AO22" s="1">
        <f>VLOOKUP($C22,'Substrate Heating'!$A$2:$B$33,2,FALSE)</f>
        <v>5.5</v>
      </c>
      <c r="AP22" s="1">
        <f>VLOOKUP($C22,'Substrate Heating'!$A$2:$M$33,13,FALSE)</f>
        <v>1</v>
      </c>
      <c r="AQ22" s="1">
        <f>VLOOKUP($C22,'Substrate Heating'!$A$2:$M$33,8,FALSE)</f>
        <v>1</v>
      </c>
      <c r="AR22" s="1">
        <f t="shared" si="0"/>
        <v>6.9197080291970997E-2</v>
      </c>
    </row>
    <row r="23" spans="1:44" x14ac:dyDescent="0.2">
      <c r="A23" s="8" t="s">
        <v>34</v>
      </c>
      <c r="B23" s="9" t="s">
        <v>35</v>
      </c>
      <c r="C23" s="1" t="s">
        <v>340</v>
      </c>
      <c r="D23" s="23" t="s">
        <v>338</v>
      </c>
      <c r="E23" s="1" t="s">
        <v>81</v>
      </c>
      <c r="F23" s="1" t="s">
        <v>73</v>
      </c>
      <c r="G23" s="1">
        <v>-10</v>
      </c>
      <c r="H23" s="1">
        <v>-20</v>
      </c>
      <c r="I23" s="1" t="s">
        <v>40</v>
      </c>
      <c r="J23" s="1">
        <v>3.15</v>
      </c>
      <c r="K23" s="1">
        <v>-10</v>
      </c>
      <c r="L23" s="1">
        <v>-4.1864988558352403</v>
      </c>
      <c r="M23" s="1" t="s">
        <v>40</v>
      </c>
      <c r="N23" s="1">
        <v>9.4576659038901596</v>
      </c>
      <c r="O23" s="1">
        <v>0.18077803203661399</v>
      </c>
      <c r="Q23" s="1">
        <v>1.80778032036614E-2</v>
      </c>
      <c r="R23" s="1">
        <v>2.3601427162440101E-2</v>
      </c>
      <c r="S23" s="1" t="str">
        <f>VLOOKUP($E23,'Product Naming'!$A$1:$P$58,2,FALSE)</f>
        <v>1-propanol-PW2</v>
      </c>
      <c r="T23" s="1" t="str">
        <f>VLOOKUP($E23,'Product Naming'!$A$1:$P$58,3,FALSE)</f>
        <v>1-Propanol (PW2)</v>
      </c>
      <c r="U23" s="1" t="str">
        <f>VLOOKUP($E23,'Product Naming'!$A$1:$P$58,4,FALSE)</f>
        <v>E-S</v>
      </c>
      <c r="V23" s="1" t="str">
        <f>VLOOKUP($E23,'Product Naming'!$A$1:$P$58,5,FALSE)</f>
        <v>C3H8O</v>
      </c>
      <c r="W23" s="1">
        <f>VLOOKUP($E23,'Product Naming'!$A$1:$P$58,6,FALSE)</f>
        <v>3</v>
      </c>
      <c r="X23" s="1">
        <f>VLOOKUP($E23,'Product Naming'!$A$1:$P$58,7,FALSE)</f>
        <v>8</v>
      </c>
      <c r="Y23" s="1">
        <f>VLOOKUP($E23,'Product Naming'!$A$1:$P$58,8,FALSE)</f>
        <v>1</v>
      </c>
      <c r="Z23" s="1">
        <f>VLOOKUP($E23,'Product Naming'!$A$1:$P$58,9,FALSE)</f>
        <v>0</v>
      </c>
      <c r="AA23" s="1">
        <f>VLOOKUP($E23,'Product Naming'!$A$1:$P$58,10,FALSE)</f>
        <v>0</v>
      </c>
      <c r="AB23" s="29">
        <f>VLOOKUP($E23,'Product Naming'!$A$1:$P$58,11,FALSE)</f>
        <v>6</v>
      </c>
      <c r="AC23" s="3">
        <f>VLOOKUP($E23,'Product Naming'!$A$1:$P$58,12,FALSE)</f>
        <v>60.093820000000001</v>
      </c>
      <c r="AD23" s="1">
        <f>VLOOKUP($E23,'Product Naming'!$A$1:$P$58,13,FALSE)</f>
        <v>97</v>
      </c>
      <c r="AE23" s="1" t="str">
        <f>VLOOKUP($E23,'Product Naming'!$A$1:$P$58,14,FALSE)</f>
        <v>Alcohol</v>
      </c>
      <c r="AF23" s="1" t="str">
        <f>VLOOKUP($E23,'Product Naming'!$A$1:$P$58,15,FALSE)</f>
        <v>Oxaloacetate</v>
      </c>
      <c r="AG23" s="30" t="str">
        <f>VLOOKUP($E23,'Product Naming'!$A$1:$P$58,16,FALSE)</f>
        <v>Proton symporter</v>
      </c>
      <c r="AH23" s="3" t="str">
        <f>VLOOKUP($E23,'Product Naming'!$A$1:$Q$58,17,FALSE)</f>
        <v>ppoh_c</v>
      </c>
      <c r="AI23" s="1">
        <f>VLOOKUP($E23,'Product Parameters'!$A$2:$D$59,2,FALSE)</f>
        <v>1</v>
      </c>
      <c r="AJ23" s="1">
        <f>VLOOKUP($E23,'Product Parameters'!$A$2:$D$59,3,FALSE)</f>
        <v>0</v>
      </c>
      <c r="AK23" s="1">
        <f>VLOOKUP($E23,'Product Parameters'!$A$2:$D$59,4,FALSE)</f>
        <v>0.12</v>
      </c>
      <c r="AL23" s="1">
        <f>VLOOKUP($E23,'Product Parameters'!$A$2:$E$59,5,FALSE)</f>
        <v>47</v>
      </c>
      <c r="AM23" s="1">
        <f>VLOOKUP($E23,'Product Parameters'!$A$2:$F$59,6,FALSE)</f>
        <v>3</v>
      </c>
      <c r="AN23" s="1">
        <f>VLOOKUP($C23,'Substrate Heating'!$A$2:$C$33,3,FALSE)</f>
        <v>247.59097</v>
      </c>
      <c r="AO23" s="1">
        <f>VLOOKUP($C23,'Substrate Heating'!$A$2:$B$33,2,FALSE)</f>
        <v>5.5</v>
      </c>
      <c r="AP23" s="1">
        <f>VLOOKUP($C23,'Substrate Heating'!$A$2:$M$33,13,FALSE)</f>
        <v>1</v>
      </c>
      <c r="AQ23" s="1">
        <f>VLOOKUP($C23,'Substrate Heating'!$A$2:$M$33,8,FALSE)</f>
        <v>1</v>
      </c>
      <c r="AR23" s="1">
        <f t="shared" si="0"/>
        <v>5.4233409610984204E-2</v>
      </c>
    </row>
    <row r="24" spans="1:44" x14ac:dyDescent="0.2">
      <c r="A24" s="8" t="s">
        <v>34</v>
      </c>
      <c r="B24" s="9" t="s">
        <v>35</v>
      </c>
      <c r="C24" s="1" t="s">
        <v>340</v>
      </c>
      <c r="D24" s="23" t="s">
        <v>338</v>
      </c>
      <c r="E24" s="1" t="s">
        <v>164</v>
      </c>
      <c r="F24" s="1" t="s">
        <v>165</v>
      </c>
      <c r="G24" s="1">
        <v>-10</v>
      </c>
      <c r="H24" s="1">
        <v>-20</v>
      </c>
      <c r="I24" s="1" t="s">
        <v>40</v>
      </c>
      <c r="J24" s="1">
        <v>3.15</v>
      </c>
      <c r="K24" s="1">
        <v>-10</v>
      </c>
      <c r="L24" s="1">
        <v>-4.1106941838649202</v>
      </c>
      <c r="M24" s="1" t="s">
        <v>40</v>
      </c>
      <c r="N24" s="1">
        <v>9.4071294559099403</v>
      </c>
      <c r="O24" s="1">
        <v>0.148217636022515</v>
      </c>
      <c r="Q24" s="1">
        <v>1.48217636022515E-2</v>
      </c>
      <c r="R24" s="1">
        <v>2.3867078630959201E-2</v>
      </c>
      <c r="S24" s="1" t="str">
        <f>VLOOKUP($E24,'Product Naming'!$A$1:$P$58,2,FALSE)</f>
        <v>Butanol-PW1</v>
      </c>
      <c r="T24" s="1" t="str">
        <f>VLOOKUP($E24,'Product Naming'!$A$1:$P$58,3,FALSE)</f>
        <v>Butanol (PW1)</v>
      </c>
      <c r="U24" s="1" t="str">
        <f>VLOOKUP($E24,'Product Naming'!$A$1:$P$58,4,FALSE)</f>
        <v>E</v>
      </c>
      <c r="V24" s="1" t="str">
        <f>VLOOKUP($E24,'Product Naming'!$A$1:$P$58,5,FALSE)</f>
        <v>C4H10O</v>
      </c>
      <c r="W24" s="1">
        <f>VLOOKUP($E24,'Product Naming'!$A$1:$P$58,6,FALSE)</f>
        <v>4</v>
      </c>
      <c r="X24" s="1">
        <f>VLOOKUP($E24,'Product Naming'!$A$1:$P$58,7,FALSE)</f>
        <v>10</v>
      </c>
      <c r="Y24" s="1">
        <f>VLOOKUP($E24,'Product Naming'!$A$1:$P$58,8,FALSE)</f>
        <v>1</v>
      </c>
      <c r="Z24" s="1">
        <f>VLOOKUP($E24,'Product Naming'!$A$1:$P$58,9,FALSE)</f>
        <v>0</v>
      </c>
      <c r="AA24" s="1">
        <f>VLOOKUP($E24,'Product Naming'!$A$1:$P$58,10,FALSE)</f>
        <v>0</v>
      </c>
      <c r="AB24" s="29">
        <f>VLOOKUP($E24,'Product Naming'!$A$1:$P$58,11,FALSE)</f>
        <v>6</v>
      </c>
      <c r="AC24" s="3">
        <f>VLOOKUP($E24,'Product Naming'!$A$1:$P$58,12,FALSE)</f>
        <v>74.120199999999997</v>
      </c>
      <c r="AD24" s="1">
        <f>VLOOKUP($E24,'Product Naming'!$A$1:$P$58,13,FALSE)</f>
        <v>117.7</v>
      </c>
      <c r="AE24" s="1" t="str">
        <f>VLOOKUP($E24,'Product Naming'!$A$1:$P$58,14,FALSE)</f>
        <v>Alcohol</v>
      </c>
      <c r="AF24" s="1" t="str">
        <f>VLOOKUP($E24,'Product Naming'!$A$1:$P$58,15,FALSE)</f>
        <v>Acetyl-CoA</v>
      </c>
      <c r="AG24" s="30" t="str">
        <f>VLOOKUP($E24,'Product Naming'!$A$1:$P$58,16,FALSE)</f>
        <v>Proton symporter</v>
      </c>
      <c r="AH24" s="3" t="str">
        <f>VLOOKUP($E24,'Product Naming'!$A$1:$Q$58,17,FALSE)</f>
        <v>btoh_c</v>
      </c>
      <c r="AI24" s="1">
        <f>VLOOKUP($E24,'Product Parameters'!$A$2:$D$59,2,FALSE)</f>
        <v>1</v>
      </c>
      <c r="AJ24" s="1">
        <f>VLOOKUP($E24,'Product Parameters'!$A$2:$D$59,3,FALSE)</f>
        <v>0</v>
      </c>
      <c r="AK24" s="1">
        <f>VLOOKUP($E24,'Product Parameters'!$A$2:$D$59,4,FALSE)</f>
        <v>0.12</v>
      </c>
      <c r="AL24" s="1">
        <f>VLOOKUP($E24,'Product Parameters'!$A$2:$E$59,5,FALSE)</f>
        <v>52</v>
      </c>
      <c r="AM24" s="1">
        <f>VLOOKUP($E24,'Product Parameters'!$A$2:$F$59,6,FALSE)</f>
        <v>4</v>
      </c>
      <c r="AN24" s="1">
        <f>VLOOKUP($C24,'Substrate Heating'!$A$2:$C$33,3,FALSE)</f>
        <v>247.59097</v>
      </c>
      <c r="AO24" s="1">
        <f>VLOOKUP($C24,'Substrate Heating'!$A$2:$B$33,2,FALSE)</f>
        <v>5.5</v>
      </c>
      <c r="AP24" s="1">
        <f>VLOOKUP($C24,'Substrate Heating'!$A$2:$M$33,13,FALSE)</f>
        <v>1</v>
      </c>
      <c r="AQ24" s="1">
        <f>VLOOKUP($C24,'Substrate Heating'!$A$2:$M$33,8,FALSE)</f>
        <v>1</v>
      </c>
      <c r="AR24" s="1">
        <f t="shared" si="0"/>
        <v>5.9287054409006001E-2</v>
      </c>
    </row>
    <row r="25" spans="1:44" x14ac:dyDescent="0.2">
      <c r="A25" s="8" t="s">
        <v>34</v>
      </c>
      <c r="B25" s="9" t="s">
        <v>35</v>
      </c>
      <c r="C25" s="1" t="s">
        <v>340</v>
      </c>
      <c r="D25" s="23" t="s">
        <v>338</v>
      </c>
      <c r="E25" s="1" t="s">
        <v>72</v>
      </c>
      <c r="F25" s="1" t="s">
        <v>73</v>
      </c>
      <c r="G25" s="1">
        <v>-10</v>
      </c>
      <c r="H25" s="1">
        <v>-20</v>
      </c>
      <c r="I25" s="1" t="s">
        <v>40</v>
      </c>
      <c r="J25" s="1">
        <v>3.15</v>
      </c>
      <c r="K25" s="1">
        <v>-10</v>
      </c>
      <c r="L25" s="1">
        <v>-4.1700389105058404</v>
      </c>
      <c r="M25" s="1" t="s">
        <v>40</v>
      </c>
      <c r="N25" s="1">
        <v>9.4466926070038895</v>
      </c>
      <c r="O25" s="1">
        <v>0.18443579766536999</v>
      </c>
      <c r="Q25" s="1">
        <v>1.8443579766536999E-2</v>
      </c>
      <c r="R25" s="1">
        <v>2.4078965766504999E-2</v>
      </c>
      <c r="S25" s="1" t="str">
        <f>VLOOKUP($E25,'Product Naming'!$A$1:$P$58,2,FALSE)</f>
        <v>1-propanol-PW1</v>
      </c>
      <c r="T25" s="1" t="str">
        <f>VLOOKUP($E25,'Product Naming'!$A$1:$P$58,3,FALSE)</f>
        <v>1-Propanol (PW1)</v>
      </c>
      <c r="U25" s="1" t="str">
        <f>VLOOKUP($E25,'Product Naming'!$A$1:$P$58,4,FALSE)</f>
        <v>E-S</v>
      </c>
      <c r="V25" s="1" t="str">
        <f>VLOOKUP($E25,'Product Naming'!$A$1:$P$58,5,FALSE)</f>
        <v>C3H8O</v>
      </c>
      <c r="W25" s="1">
        <f>VLOOKUP($E25,'Product Naming'!$A$1:$P$58,6,FALSE)</f>
        <v>3</v>
      </c>
      <c r="X25" s="1">
        <f>VLOOKUP($E25,'Product Naming'!$A$1:$P$58,7,FALSE)</f>
        <v>8</v>
      </c>
      <c r="Y25" s="1">
        <f>VLOOKUP($E25,'Product Naming'!$A$1:$P$58,8,FALSE)</f>
        <v>1</v>
      </c>
      <c r="Z25" s="1">
        <f>VLOOKUP($E25,'Product Naming'!$A$1:$P$58,9,FALSE)</f>
        <v>0</v>
      </c>
      <c r="AA25" s="1">
        <f>VLOOKUP($E25,'Product Naming'!$A$1:$P$58,10,FALSE)</f>
        <v>0</v>
      </c>
      <c r="AB25" s="29">
        <f>VLOOKUP($E25,'Product Naming'!$A$1:$P$58,11,FALSE)</f>
        <v>6</v>
      </c>
      <c r="AC25" s="3">
        <f>VLOOKUP($E25,'Product Naming'!$A$1:$P$58,12,FALSE)</f>
        <v>60.093820000000001</v>
      </c>
      <c r="AD25" s="1">
        <f>VLOOKUP($E25,'Product Naming'!$A$1:$P$58,13,FALSE)</f>
        <v>97</v>
      </c>
      <c r="AE25" s="1" t="str">
        <f>VLOOKUP($E25,'Product Naming'!$A$1:$P$58,14,FALSE)</f>
        <v>Alcohol</v>
      </c>
      <c r="AF25" s="1" t="str">
        <f>VLOOKUP($E25,'Product Naming'!$A$1:$P$58,15,FALSE)</f>
        <v>Glyceraldehyde 3-P (--&gt;DHAP)</v>
      </c>
      <c r="AG25" s="30" t="str">
        <f>VLOOKUP($E25,'Product Naming'!$A$1:$P$58,16,FALSE)</f>
        <v>Proton symporter</v>
      </c>
      <c r="AH25" s="3" t="str">
        <f>VLOOKUP($E25,'Product Naming'!$A$1:$Q$58,17,FALSE)</f>
        <v>ppoh_c</v>
      </c>
      <c r="AI25" s="1">
        <f>VLOOKUP($E25,'Product Parameters'!$A$2:$D$59,2,FALSE)</f>
        <v>1</v>
      </c>
      <c r="AJ25" s="1">
        <f>VLOOKUP($E25,'Product Parameters'!$A$2:$D$59,3,FALSE)</f>
        <v>0</v>
      </c>
      <c r="AK25" s="1">
        <f>VLOOKUP($E25,'Product Parameters'!$A$2:$D$59,4,FALSE)</f>
        <v>0.12</v>
      </c>
      <c r="AL25" s="1">
        <f>VLOOKUP($E25,'Product Parameters'!$A$2:$E$59,5,FALSE)</f>
        <v>47</v>
      </c>
      <c r="AM25" s="1">
        <f>VLOOKUP($E25,'Product Parameters'!$A$2:$F$59,6,FALSE)</f>
        <v>3</v>
      </c>
      <c r="AN25" s="1">
        <f>VLOOKUP($C25,'Substrate Heating'!$A$2:$C$33,3,FALSE)</f>
        <v>247.59097</v>
      </c>
      <c r="AO25" s="1">
        <f>VLOOKUP($C25,'Substrate Heating'!$A$2:$B$33,2,FALSE)</f>
        <v>5.5</v>
      </c>
      <c r="AP25" s="1">
        <f>VLOOKUP($C25,'Substrate Heating'!$A$2:$M$33,13,FALSE)</f>
        <v>1</v>
      </c>
      <c r="AQ25" s="1">
        <f>VLOOKUP($C25,'Substrate Heating'!$A$2:$M$33,8,FALSE)</f>
        <v>1</v>
      </c>
      <c r="AR25" s="1">
        <f t="shared" si="0"/>
        <v>5.5330739299610993E-2</v>
      </c>
    </row>
    <row r="26" spans="1:44" x14ac:dyDescent="0.2">
      <c r="A26" s="8" t="s">
        <v>34</v>
      </c>
      <c r="B26" s="9" t="s">
        <v>35</v>
      </c>
      <c r="C26" s="1" t="s">
        <v>340</v>
      </c>
      <c r="D26" s="23" t="s">
        <v>338</v>
      </c>
      <c r="E26" s="1" t="s">
        <v>251</v>
      </c>
      <c r="F26" s="1" t="s">
        <v>252</v>
      </c>
      <c r="G26" s="1">
        <v>-10</v>
      </c>
      <c r="H26" s="1">
        <v>-20</v>
      </c>
      <c r="I26" s="1" t="s">
        <v>40</v>
      </c>
      <c r="J26" s="1">
        <v>3.15</v>
      </c>
      <c r="K26" s="1">
        <v>-10</v>
      </c>
      <c r="L26" s="1">
        <v>-4.0766233766233801</v>
      </c>
      <c r="M26" s="1" t="s">
        <v>40</v>
      </c>
      <c r="N26" s="1">
        <v>9.3844155844155708</v>
      </c>
      <c r="O26" s="1">
        <v>0.20519480519479999</v>
      </c>
      <c r="Q26" s="1">
        <v>2.051948051948E-2</v>
      </c>
      <c r="R26" s="1">
        <v>2.6789152389574099E-2</v>
      </c>
      <c r="S26" s="1" t="str">
        <f>VLOOKUP($E26,'Product Naming'!$A$1:$P$58,2,FALSE)</f>
        <v>Isopropanol</v>
      </c>
      <c r="T26" s="1" t="str">
        <f>VLOOKUP($E26,'Product Naming'!$A$1:$P$58,3,FALSE)</f>
        <v>Isopropanol</v>
      </c>
      <c r="U26" s="1" t="str">
        <f>VLOOKUP($E26,'Product Naming'!$A$1:$P$58,4,FALSE)</f>
        <v>A</v>
      </c>
      <c r="V26" s="1" t="str">
        <f>VLOOKUP($E26,'Product Naming'!$A$1:$P$58,5,FALSE)</f>
        <v>C3H8O</v>
      </c>
      <c r="W26" s="1">
        <f>VLOOKUP($E26,'Product Naming'!$A$1:$P$58,6,FALSE)</f>
        <v>3</v>
      </c>
      <c r="X26" s="1">
        <f>VLOOKUP($E26,'Product Naming'!$A$1:$P$58,7,FALSE)</f>
        <v>8</v>
      </c>
      <c r="Y26" s="1">
        <f>VLOOKUP($E26,'Product Naming'!$A$1:$P$58,8,FALSE)</f>
        <v>1</v>
      </c>
      <c r="Z26" s="1">
        <f>VLOOKUP($E26,'Product Naming'!$A$1:$P$58,9,FALSE)</f>
        <v>0</v>
      </c>
      <c r="AA26" s="1">
        <f>VLOOKUP($E26,'Product Naming'!$A$1:$P$58,10,FALSE)</f>
        <v>0</v>
      </c>
      <c r="AB26" s="29">
        <f>VLOOKUP($E26,'Product Naming'!$A$1:$P$58,11,FALSE)</f>
        <v>6</v>
      </c>
      <c r="AC26" s="3">
        <f>VLOOKUP($E26,'Product Naming'!$A$1:$P$58,12,FALSE)</f>
        <v>60.093820000000001</v>
      </c>
      <c r="AD26" s="1">
        <f>VLOOKUP($E26,'Product Naming'!$A$1:$P$58,13,FALSE)</f>
        <v>82.5</v>
      </c>
      <c r="AE26" s="1" t="str">
        <f>VLOOKUP($E26,'Product Naming'!$A$1:$P$58,14,FALSE)</f>
        <v>Alcohol</v>
      </c>
      <c r="AF26" s="1" t="str">
        <f>VLOOKUP($E26,'Product Naming'!$A$1:$P$58,15,FALSE)</f>
        <v>Acetyl-CoA</v>
      </c>
      <c r="AG26" s="30" t="str">
        <f>VLOOKUP($E26,'Product Naming'!$A$1:$P$58,16,FALSE)</f>
        <v>Proton symporter</v>
      </c>
      <c r="AH26" s="3" t="str">
        <f>VLOOKUP($E26,'Product Naming'!$A$1:$Q$58,17,FALSE)</f>
        <v>2ppoh_c</v>
      </c>
      <c r="AI26" s="1">
        <f>VLOOKUP($E26,'Product Parameters'!$A$2:$D$59,2,FALSE)</f>
        <v>1</v>
      </c>
      <c r="AJ26" s="1">
        <f>VLOOKUP($E26,'Product Parameters'!$A$2:$D$59,3,FALSE)</f>
        <v>0</v>
      </c>
      <c r="AK26" s="1">
        <f>VLOOKUP($E26,'Product Parameters'!$A$2:$D$59,4,FALSE)</f>
        <v>0.12</v>
      </c>
      <c r="AL26" s="1">
        <f>VLOOKUP($E26,'Product Parameters'!$A$2:$E$59,5,FALSE)</f>
        <v>45</v>
      </c>
      <c r="AM26" s="1">
        <f>VLOOKUP($E26,'Product Parameters'!$A$2:$F$59,6,FALSE)</f>
        <v>3</v>
      </c>
      <c r="AN26" s="1">
        <f>VLOOKUP($C26,'Substrate Heating'!$A$2:$C$33,3,FALSE)</f>
        <v>247.59097</v>
      </c>
      <c r="AO26" s="1">
        <f>VLOOKUP($C26,'Substrate Heating'!$A$2:$B$33,2,FALSE)</f>
        <v>5.5</v>
      </c>
      <c r="AP26" s="1">
        <f>VLOOKUP($C26,'Substrate Heating'!$A$2:$M$33,13,FALSE)</f>
        <v>1</v>
      </c>
      <c r="AQ26" s="1">
        <f>VLOOKUP($C26,'Substrate Heating'!$A$2:$M$33,8,FALSE)</f>
        <v>1</v>
      </c>
      <c r="AR26" s="1">
        <f t="shared" si="0"/>
        <v>6.1558441558440001E-2</v>
      </c>
    </row>
    <row r="27" spans="1:44" x14ac:dyDescent="0.2">
      <c r="A27" s="8" t="s">
        <v>34</v>
      </c>
      <c r="B27" s="9" t="s">
        <v>35</v>
      </c>
      <c r="C27" s="1" t="s">
        <v>340</v>
      </c>
      <c r="D27" s="23" t="s">
        <v>338</v>
      </c>
      <c r="E27" s="1" t="s">
        <v>240</v>
      </c>
      <c r="F27" s="1" t="s">
        <v>241</v>
      </c>
      <c r="G27" s="1">
        <v>-10</v>
      </c>
      <c r="H27" s="1">
        <v>-20</v>
      </c>
      <c r="I27" s="1" t="s">
        <v>40</v>
      </c>
      <c r="J27" s="1">
        <v>3.15</v>
      </c>
      <c r="K27" s="1">
        <v>-10</v>
      </c>
      <c r="L27" s="1">
        <v>-4.1140186915887904</v>
      </c>
      <c r="M27" s="1" t="s">
        <v>40</v>
      </c>
      <c r="N27" s="1">
        <v>9.4093457943925092</v>
      </c>
      <c r="O27" s="1">
        <v>0.14766355140186399</v>
      </c>
      <c r="Q27" s="1">
        <v>1.4766355140186401E-2</v>
      </c>
      <c r="R27" s="1">
        <v>2.76309039823045E-2</v>
      </c>
      <c r="S27" s="1" t="str">
        <f>VLOOKUP($E27,'Product Naming'!$A$1:$P$58,2,FALSE)</f>
        <v>Isobutanol</v>
      </c>
      <c r="T27" s="1" t="str">
        <f>VLOOKUP($E27,'Product Naming'!$A$1:$P$58,3,FALSE)</f>
        <v>Isobutanol</v>
      </c>
      <c r="U27" s="1" t="str">
        <f>VLOOKUP($E27,'Product Naming'!$A$1:$P$58,4,FALSE)</f>
        <v>E</v>
      </c>
      <c r="V27" s="1" t="str">
        <f>VLOOKUP($E27,'Product Naming'!$A$1:$P$58,5,FALSE)</f>
        <v>C5H10O</v>
      </c>
      <c r="W27" s="1">
        <f>VLOOKUP($E27,'Product Naming'!$A$1:$P$58,6,FALSE)</f>
        <v>5</v>
      </c>
      <c r="X27" s="1">
        <f>VLOOKUP($E27,'Product Naming'!$A$1:$P$58,7,FALSE)</f>
        <v>10</v>
      </c>
      <c r="Y27" s="1">
        <f>VLOOKUP($E27,'Product Naming'!$A$1:$P$58,8,FALSE)</f>
        <v>1</v>
      </c>
      <c r="Z27" s="1">
        <f>VLOOKUP($E27,'Product Naming'!$A$1:$P$58,9,FALSE)</f>
        <v>0</v>
      </c>
      <c r="AA27" s="1">
        <f>VLOOKUP($E27,'Product Naming'!$A$1:$P$58,10,FALSE)</f>
        <v>0</v>
      </c>
      <c r="AB27" s="29">
        <f>VLOOKUP($E27,'Product Naming'!$A$1:$P$58,11,FALSE)</f>
        <v>5.6</v>
      </c>
      <c r="AC27" s="3">
        <f>VLOOKUP($E27,'Product Naming'!$A$1:$P$58,12,FALSE)</f>
        <v>86.130899999999997</v>
      </c>
      <c r="AD27" s="1">
        <f>VLOOKUP($E27,'Product Naming'!$A$1:$P$58,13,FALSE)</f>
        <v>108</v>
      </c>
      <c r="AE27" s="1" t="str">
        <f>VLOOKUP($E27,'Product Naming'!$A$1:$P$58,14,FALSE)</f>
        <v>Alcohol</v>
      </c>
      <c r="AF27" s="1" t="str">
        <f>VLOOKUP($E27,'Product Naming'!$A$1:$P$58,15,FALSE)</f>
        <v>Pyruvate</v>
      </c>
      <c r="AG27" s="30" t="str">
        <f>VLOOKUP($E27,'Product Naming'!$A$1:$P$58,16,FALSE)</f>
        <v>Proton symporter</v>
      </c>
      <c r="AH27" s="3" t="str">
        <f>VLOOKUP($E27,'Product Naming'!$A$1:$Q$58,17,FALSE)</f>
        <v>ibutoh_c</v>
      </c>
      <c r="AI27" s="1">
        <f>VLOOKUP($E27,'Product Parameters'!$A$2:$D$59,2,FALSE)</f>
        <v>1</v>
      </c>
      <c r="AJ27" s="1">
        <f>VLOOKUP($E27,'Product Parameters'!$A$2:$D$59,3,FALSE)</f>
        <v>0</v>
      </c>
      <c r="AK27" s="1">
        <f>VLOOKUP($E27,'Product Parameters'!$A$2:$D$59,4,FALSE)</f>
        <v>0.12</v>
      </c>
      <c r="AL27" s="1">
        <f>VLOOKUP($E27,'Product Parameters'!$A$2:$E$59,5,FALSE)</f>
        <v>51</v>
      </c>
      <c r="AM27" s="1">
        <f>VLOOKUP($E27,'Product Parameters'!$A$2:$F$59,6,FALSE)</f>
        <v>5</v>
      </c>
      <c r="AN27" s="1">
        <f>VLOOKUP($C27,'Substrate Heating'!$A$2:$C$33,3,FALSE)</f>
        <v>247.59097</v>
      </c>
      <c r="AO27" s="1">
        <f>VLOOKUP($C27,'Substrate Heating'!$A$2:$B$33,2,FALSE)</f>
        <v>5.5</v>
      </c>
      <c r="AP27" s="1">
        <f>VLOOKUP($C27,'Substrate Heating'!$A$2:$M$33,13,FALSE)</f>
        <v>1</v>
      </c>
      <c r="AQ27" s="1">
        <f>VLOOKUP($C27,'Substrate Heating'!$A$2:$M$33,8,FALSE)</f>
        <v>1</v>
      </c>
      <c r="AR27" s="1">
        <f t="shared" si="0"/>
        <v>7.3831775700932009E-2</v>
      </c>
    </row>
    <row r="28" spans="1:44" x14ac:dyDescent="0.2">
      <c r="A28" s="8" t="s">
        <v>34</v>
      </c>
      <c r="B28" s="9" t="s">
        <v>35</v>
      </c>
      <c r="C28" s="1" t="s">
        <v>340</v>
      </c>
      <c r="D28" s="23" t="s">
        <v>338</v>
      </c>
      <c r="E28" s="1" t="s">
        <v>143</v>
      </c>
      <c r="F28" s="1" t="s">
        <v>137</v>
      </c>
      <c r="G28" s="1">
        <v>-10</v>
      </c>
      <c r="H28" s="1">
        <v>-20</v>
      </c>
      <c r="I28" s="1" t="s">
        <v>40</v>
      </c>
      <c r="J28" s="1">
        <v>3.15</v>
      </c>
      <c r="K28" s="1">
        <v>-10</v>
      </c>
      <c r="L28" s="1">
        <v>-4.2007643884892101</v>
      </c>
      <c r="M28" s="1" t="s">
        <v>40</v>
      </c>
      <c r="N28" s="1">
        <v>9.2540467625899208</v>
      </c>
      <c r="O28" s="1">
        <v>0.10656474820143801</v>
      </c>
      <c r="Q28" s="1">
        <v>1.0656474820143799E-2</v>
      </c>
      <c r="R28" s="1">
        <v>2.80390888485831E-2</v>
      </c>
      <c r="S28" s="1" t="str">
        <f>VLOOKUP($E28,'Product Naming'!$A$1:$P$58,2,FALSE)</f>
        <v>Benzoate-PW2</v>
      </c>
      <c r="T28" s="1" t="str">
        <f>VLOOKUP($E28,'Product Naming'!$A$1:$P$58,3,FALSE)</f>
        <v>Benzoate (PW2)</v>
      </c>
      <c r="U28" s="1" t="str">
        <f>VLOOKUP($E28,'Product Naming'!$A$1:$P$58,4,FALSE)</f>
        <v>A</v>
      </c>
      <c r="V28" s="1" t="str">
        <f>VLOOKUP($E28,'Product Naming'!$A$1:$P$58,5,FALSE)</f>
        <v>C7H5O2</v>
      </c>
      <c r="W28" s="1">
        <f>VLOOKUP($E28,'Product Naming'!$A$1:$P$58,6,FALSE)</f>
        <v>7</v>
      </c>
      <c r="X28" s="1">
        <f>VLOOKUP($E28,'Product Naming'!$A$1:$P$58,7,FALSE)</f>
        <v>5</v>
      </c>
      <c r="Y28" s="1">
        <f>VLOOKUP($E28,'Product Naming'!$A$1:$P$58,8,FALSE)</f>
        <v>2</v>
      </c>
      <c r="Z28" s="1">
        <f>VLOOKUP($E28,'Product Naming'!$A$1:$P$58,9,FALSE)</f>
        <v>0</v>
      </c>
      <c r="AA28" s="1">
        <f>VLOOKUP($E28,'Product Naming'!$A$1:$P$58,10,FALSE)</f>
        <v>-1</v>
      </c>
      <c r="AB28" s="29">
        <f>VLOOKUP($E28,'Product Naming'!$A$1:$P$58,11,FALSE)</f>
        <v>4.1428571428571432</v>
      </c>
      <c r="AC28" s="3">
        <f>VLOOKUP($E28,'Product Naming'!$A$1:$P$58,12,FALSE)</f>
        <v>121.1121</v>
      </c>
      <c r="AD28" s="1">
        <f>VLOOKUP($E28,'Product Naming'!$A$1:$P$58,13,FALSE)</f>
        <v>249.2</v>
      </c>
      <c r="AE28" s="1" t="str">
        <f>VLOOKUP($E28,'Product Naming'!$A$1:$P$58,14,FALSE)</f>
        <v>Aromatic + Carboxylate</v>
      </c>
      <c r="AF28" s="1" t="str">
        <f>VLOOKUP($E28,'Product Naming'!$A$1:$P$58,15,FALSE)</f>
        <v>E4P + aKG</v>
      </c>
      <c r="AG28" s="30" t="str">
        <f>VLOOKUP($E28,'Product Naming'!$A$1:$P$58,16,FALSE)</f>
        <v>Proton symporter</v>
      </c>
      <c r="AH28" s="3" t="str">
        <f>VLOOKUP($E28,'Product Naming'!$A$1:$Q$58,17,FALSE)</f>
        <v>bz_c</v>
      </c>
      <c r="AI28" s="1">
        <f>VLOOKUP($E28,'Product Parameters'!$A$2:$D$59,2,FALSE)</f>
        <v>1</v>
      </c>
      <c r="AJ28" s="1">
        <f>VLOOKUP($E28,'Product Parameters'!$A$2:$D$59,3,FALSE)</f>
        <v>0</v>
      </c>
      <c r="AK28" s="1">
        <f>VLOOKUP($E28,'Product Parameters'!$A$2:$D$59,4,FALSE)</f>
        <v>0.12</v>
      </c>
      <c r="AL28" s="1">
        <f>VLOOKUP($E28,'Product Parameters'!$A$2:$E$59,5,FALSE)</f>
        <v>40.65</v>
      </c>
      <c r="AM28" s="1">
        <f>VLOOKUP($E28,'Product Parameters'!$A$2:$F$59,6,FALSE)</f>
        <v>7</v>
      </c>
      <c r="AN28" s="1">
        <f>VLOOKUP($C28,'Substrate Heating'!$A$2:$C$33,3,FALSE)</f>
        <v>247.59097</v>
      </c>
      <c r="AO28" s="1">
        <f>VLOOKUP($C28,'Substrate Heating'!$A$2:$B$33,2,FALSE)</f>
        <v>5.5</v>
      </c>
      <c r="AP28" s="1">
        <f>VLOOKUP($C28,'Substrate Heating'!$A$2:$M$33,13,FALSE)</f>
        <v>1</v>
      </c>
      <c r="AQ28" s="1">
        <f>VLOOKUP($C28,'Substrate Heating'!$A$2:$M$33,8,FALSE)</f>
        <v>1</v>
      </c>
      <c r="AR28" s="1">
        <f t="shared" si="0"/>
        <v>7.4595323741006594E-2</v>
      </c>
    </row>
    <row r="29" spans="1:44" x14ac:dyDescent="0.2">
      <c r="A29" s="8" t="s">
        <v>34</v>
      </c>
      <c r="B29" s="9" t="s">
        <v>35</v>
      </c>
      <c r="C29" s="1" t="s">
        <v>340</v>
      </c>
      <c r="D29" s="23" t="s">
        <v>338</v>
      </c>
      <c r="E29" s="1" t="s">
        <v>136</v>
      </c>
      <c r="F29" s="1" t="s">
        <v>137</v>
      </c>
      <c r="G29" s="1">
        <v>-10</v>
      </c>
      <c r="H29" s="1">
        <v>-20</v>
      </c>
      <c r="I29" s="1" t="s">
        <v>40</v>
      </c>
      <c r="J29" s="1">
        <v>3.15</v>
      </c>
      <c r="K29" s="1">
        <v>-10</v>
      </c>
      <c r="L29" s="1">
        <v>-4.2007643884892101</v>
      </c>
      <c r="M29" s="1" t="s">
        <v>40</v>
      </c>
      <c r="N29" s="1">
        <v>9.2540467625899296</v>
      </c>
      <c r="O29" s="1">
        <v>0.10656474820143901</v>
      </c>
      <c r="Q29" s="1">
        <v>1.06564748201439E-2</v>
      </c>
      <c r="R29" s="1">
        <v>2.8039088848583402E-2</v>
      </c>
      <c r="S29" s="1" t="str">
        <f>VLOOKUP($E29,'Product Naming'!$A$1:$P$58,2,FALSE)</f>
        <v>Benzoate-PW1</v>
      </c>
      <c r="T29" s="1" t="str">
        <f>VLOOKUP($E29,'Product Naming'!$A$1:$P$58,3,FALSE)</f>
        <v>Benzoate (PW1)</v>
      </c>
      <c r="U29" s="1" t="str">
        <f>VLOOKUP($E29,'Product Naming'!$A$1:$P$58,4,FALSE)</f>
        <v>A</v>
      </c>
      <c r="V29" s="1" t="str">
        <f>VLOOKUP($E29,'Product Naming'!$A$1:$P$58,5,FALSE)</f>
        <v>C7H5O2</v>
      </c>
      <c r="W29" s="1">
        <f>VLOOKUP($E29,'Product Naming'!$A$1:$P$58,6,FALSE)</f>
        <v>7</v>
      </c>
      <c r="X29" s="1">
        <f>VLOOKUP($E29,'Product Naming'!$A$1:$P$58,7,FALSE)</f>
        <v>5</v>
      </c>
      <c r="Y29" s="1">
        <f>VLOOKUP($E29,'Product Naming'!$A$1:$P$58,8,FALSE)</f>
        <v>2</v>
      </c>
      <c r="Z29" s="1">
        <f>VLOOKUP($E29,'Product Naming'!$A$1:$P$58,9,FALSE)</f>
        <v>0</v>
      </c>
      <c r="AA29" s="1">
        <f>VLOOKUP($E29,'Product Naming'!$A$1:$P$58,10,FALSE)</f>
        <v>-1</v>
      </c>
      <c r="AB29" s="29">
        <f>VLOOKUP($E29,'Product Naming'!$A$1:$P$58,11,FALSE)</f>
        <v>4.1428571428571432</v>
      </c>
      <c r="AC29" s="3">
        <f>VLOOKUP($E29,'Product Naming'!$A$1:$P$58,12,FALSE)</f>
        <v>121.1121</v>
      </c>
      <c r="AD29" s="1">
        <f>VLOOKUP($E29,'Product Naming'!$A$1:$P$58,13,FALSE)</f>
        <v>249.2</v>
      </c>
      <c r="AE29" s="1" t="str">
        <f>VLOOKUP($E29,'Product Naming'!$A$1:$P$58,14,FALSE)</f>
        <v>Aromatic + Carboxylate</v>
      </c>
      <c r="AF29" s="1" t="str">
        <f>VLOOKUP($E29,'Product Naming'!$A$1:$P$58,15,FALSE)</f>
        <v>E4P + aKG</v>
      </c>
      <c r="AG29" s="30" t="str">
        <f>VLOOKUP($E29,'Product Naming'!$A$1:$P$58,16,FALSE)</f>
        <v>Proton symporter</v>
      </c>
      <c r="AH29" s="3" t="str">
        <f>VLOOKUP($E29,'Product Naming'!$A$1:$Q$58,17,FALSE)</f>
        <v>bz_c</v>
      </c>
      <c r="AI29" s="1">
        <f>VLOOKUP($E29,'Product Parameters'!$A$2:$D$59,2,FALSE)</f>
        <v>1</v>
      </c>
      <c r="AJ29" s="1">
        <f>VLOOKUP($E29,'Product Parameters'!$A$2:$D$59,3,FALSE)</f>
        <v>0</v>
      </c>
      <c r="AK29" s="1">
        <f>VLOOKUP($E29,'Product Parameters'!$A$2:$D$59,4,FALSE)</f>
        <v>0.12</v>
      </c>
      <c r="AL29" s="1">
        <f>VLOOKUP($E29,'Product Parameters'!$A$2:$E$59,5,FALSE)</f>
        <v>40.65</v>
      </c>
      <c r="AM29" s="1">
        <f>VLOOKUP($E29,'Product Parameters'!$A$2:$F$59,6,FALSE)</f>
        <v>7</v>
      </c>
      <c r="AN29" s="1">
        <f>VLOOKUP($C29,'Substrate Heating'!$A$2:$C$33,3,FALSE)</f>
        <v>247.59097</v>
      </c>
      <c r="AO29" s="1">
        <f>VLOOKUP($C29,'Substrate Heating'!$A$2:$B$33,2,FALSE)</f>
        <v>5.5</v>
      </c>
      <c r="AP29" s="1">
        <f>VLOOKUP($C29,'Substrate Heating'!$A$2:$M$33,13,FALSE)</f>
        <v>1</v>
      </c>
      <c r="AQ29" s="1">
        <f>VLOOKUP($C29,'Substrate Heating'!$A$2:$M$33,8,FALSE)</f>
        <v>1</v>
      </c>
      <c r="AR29" s="1">
        <f t="shared" si="0"/>
        <v>7.4595323741007302E-2</v>
      </c>
    </row>
    <row r="30" spans="1:44" x14ac:dyDescent="0.2">
      <c r="A30" s="8" t="s">
        <v>34</v>
      </c>
      <c r="B30" s="9" t="s">
        <v>35</v>
      </c>
      <c r="C30" s="1" t="s">
        <v>339</v>
      </c>
      <c r="D30" s="23" t="s">
        <v>338</v>
      </c>
      <c r="E30" s="1" t="s">
        <v>306</v>
      </c>
      <c r="F30" s="1" t="s">
        <v>302</v>
      </c>
      <c r="G30" s="1">
        <v>-10</v>
      </c>
      <c r="H30" s="1">
        <v>-20</v>
      </c>
      <c r="I30" s="1" t="s">
        <v>40</v>
      </c>
      <c r="J30" s="1">
        <v>3.15</v>
      </c>
      <c r="K30" s="1">
        <v>-10</v>
      </c>
      <c r="L30" s="1">
        <v>-3.4807692307692299</v>
      </c>
      <c r="M30" s="1" t="s">
        <v>40</v>
      </c>
      <c r="N30" s="1">
        <v>9.0884615384615195</v>
      </c>
      <c r="O30" s="1">
        <v>0.30384615384614899</v>
      </c>
      <c r="Q30" s="1">
        <v>3.0384615384614899E-2</v>
      </c>
      <c r="R30" s="1">
        <v>2.91074470808746E-2</v>
      </c>
      <c r="S30" s="1" t="str">
        <f>VLOOKUP($E30,'Product Naming'!$A$1:$P$58,2,FALSE)</f>
        <v>Propane-PW2</v>
      </c>
      <c r="T30" s="1" t="str">
        <f>VLOOKUP($E30,'Product Naming'!$A$1:$P$58,3,FALSE)</f>
        <v>Propane (PW2)</v>
      </c>
      <c r="U30" s="1" t="str">
        <f>VLOOKUP($E30,'Product Naming'!$A$1:$P$58,4,FALSE)</f>
        <v>E</v>
      </c>
      <c r="V30" s="1" t="str">
        <f>VLOOKUP($E30,'Product Naming'!$A$1:$P$58,5,FALSE)</f>
        <v>C3H8</v>
      </c>
      <c r="W30" s="1">
        <f>VLOOKUP($E30,'Product Naming'!$A$1:$P$58,6,FALSE)</f>
        <v>3</v>
      </c>
      <c r="X30" s="1">
        <f>VLOOKUP($E30,'Product Naming'!$A$1:$P$58,7,FALSE)</f>
        <v>8</v>
      </c>
      <c r="Y30" s="1">
        <f>VLOOKUP($E30,'Product Naming'!$A$1:$P$58,8,FALSE)</f>
        <v>0</v>
      </c>
      <c r="Z30" s="1">
        <f>VLOOKUP($E30,'Product Naming'!$A$1:$P$58,9,FALSE)</f>
        <v>0</v>
      </c>
      <c r="AA30" s="1">
        <f>VLOOKUP($E30,'Product Naming'!$A$1:$P$58,10,FALSE)</f>
        <v>0</v>
      </c>
      <c r="AB30" s="29">
        <f>VLOOKUP($E30,'Product Naming'!$A$1:$P$58,11,FALSE)</f>
        <v>6.666666666666667</v>
      </c>
      <c r="AC30" s="3">
        <f>VLOOKUP($E30,'Product Naming'!$A$1:$P$58,12,FALSE)</f>
        <v>44.094819999999999</v>
      </c>
      <c r="AD30" s="1">
        <f>VLOOKUP($E30,'Product Naming'!$A$1:$P$58,13,FALSE)</f>
        <v>-42</v>
      </c>
      <c r="AE30" s="1" t="str">
        <f>VLOOKUP($E30,'Product Naming'!$A$1:$P$58,14,FALSE)</f>
        <v>Hydrocarbon</v>
      </c>
      <c r="AF30" s="1" t="str">
        <f>VLOOKUP($E30,'Product Naming'!$A$1:$P$58,15,FALSE)</f>
        <v>Oxaloacetate</v>
      </c>
      <c r="AG30" s="30" t="str">
        <f>VLOOKUP($E30,'Product Naming'!$A$1:$P$58,16,FALSE)</f>
        <v>Diffusion</v>
      </c>
      <c r="AH30" s="3" t="str">
        <f>VLOOKUP($E30,'Product Naming'!$A$1:$Q$58,17,FALSE)</f>
        <v>prop_c</v>
      </c>
      <c r="AI30" s="1">
        <f>VLOOKUP($E30,'Product Parameters'!$A$2:$D$59,2,FALSE)</f>
        <v>0</v>
      </c>
      <c r="AJ30" s="1">
        <f>VLOOKUP($E30,'Product Parameters'!$A$2:$D$59,3,FALSE)</f>
        <v>1</v>
      </c>
      <c r="AK30" s="1">
        <f>VLOOKUP($E30,'Product Parameters'!$A$2:$D$59,4,FALSE)</f>
        <v>0.12</v>
      </c>
      <c r="AL30" s="1">
        <f>VLOOKUP($E30,'Product Parameters'!$A$2:$E$59,5,FALSE)</f>
        <v>0</v>
      </c>
      <c r="AM30" s="1">
        <f>VLOOKUP($E30,'Product Parameters'!$A$2:$F$59,6,FALSE)</f>
        <v>3</v>
      </c>
      <c r="AN30" s="1">
        <f>VLOOKUP($C30,'Substrate Heating'!$A$2:$C$33,3,FALSE)</f>
        <v>247.59097</v>
      </c>
      <c r="AO30" s="1">
        <f>VLOOKUP($C30,'Substrate Heating'!$A$2:$B$33,2,FALSE)</f>
        <v>5.5</v>
      </c>
      <c r="AP30" s="1">
        <f>VLOOKUP($C30,'Substrate Heating'!$A$2:$M$33,13,FALSE)</f>
        <v>1</v>
      </c>
      <c r="AQ30" s="1">
        <f>VLOOKUP($C30,'Substrate Heating'!$A$2:$M$33,8,FALSE)</f>
        <v>1</v>
      </c>
      <c r="AR30" s="1">
        <f t="shared" si="0"/>
        <v>9.1153846153844698E-2</v>
      </c>
    </row>
    <row r="31" spans="1:44" x14ac:dyDescent="0.2">
      <c r="A31" s="8" t="s">
        <v>34</v>
      </c>
      <c r="B31" s="9" t="s">
        <v>35</v>
      </c>
      <c r="C31" s="1" t="s">
        <v>340</v>
      </c>
      <c r="D31" s="23" t="s">
        <v>338</v>
      </c>
      <c r="E31" s="1" t="s">
        <v>119</v>
      </c>
      <c r="F31" s="1" t="s">
        <v>120</v>
      </c>
      <c r="G31" s="1">
        <v>-10</v>
      </c>
      <c r="H31" s="1">
        <v>-20</v>
      </c>
      <c r="I31" s="1" t="s">
        <v>40</v>
      </c>
      <c r="J31" s="1">
        <v>3.15</v>
      </c>
      <c r="K31" s="1">
        <v>-10</v>
      </c>
      <c r="L31" s="1">
        <v>-4.0623145400593499</v>
      </c>
      <c r="M31" s="1" t="s">
        <v>40</v>
      </c>
      <c r="N31" s="1">
        <v>9.2967359050445104</v>
      </c>
      <c r="O31" s="1">
        <v>0.234421364985164</v>
      </c>
      <c r="Q31" s="1">
        <v>2.3442136498516401E-2</v>
      </c>
      <c r="R31" s="1">
        <v>2.9578264539773198E-2</v>
      </c>
      <c r="S31" s="1" t="str">
        <f>VLOOKUP($E31,'Product Naming'!$A$1:$P$58,2,FALSE)</f>
        <v>Acetone</v>
      </c>
      <c r="T31" s="1" t="str">
        <f>VLOOKUP($E31,'Product Naming'!$A$1:$P$58,3,FALSE)</f>
        <v>Acetone</v>
      </c>
      <c r="U31" s="1" t="str">
        <f>VLOOKUP($E31,'Product Naming'!$A$1:$P$58,4,FALSE)</f>
        <v>A</v>
      </c>
      <c r="V31" s="1" t="str">
        <f>VLOOKUP($E31,'Product Naming'!$A$1:$P$58,5,FALSE)</f>
        <v>C3H6O</v>
      </c>
      <c r="W31" s="1">
        <f>VLOOKUP($E31,'Product Naming'!$A$1:$P$58,6,FALSE)</f>
        <v>3</v>
      </c>
      <c r="X31" s="1">
        <f>VLOOKUP($E31,'Product Naming'!$A$1:$P$58,7,FALSE)</f>
        <v>6</v>
      </c>
      <c r="Y31" s="1">
        <f>VLOOKUP($E31,'Product Naming'!$A$1:$P$58,8,FALSE)</f>
        <v>1</v>
      </c>
      <c r="Z31" s="1">
        <f>VLOOKUP($E31,'Product Naming'!$A$1:$P$58,9,FALSE)</f>
        <v>0</v>
      </c>
      <c r="AA31" s="1">
        <f>VLOOKUP($E31,'Product Naming'!$A$1:$P$58,10,FALSE)</f>
        <v>0</v>
      </c>
      <c r="AB31" s="29">
        <f>VLOOKUP($E31,'Product Naming'!$A$1:$P$58,11,FALSE)</f>
        <v>5.333333333333333</v>
      </c>
      <c r="AC31" s="3">
        <f>VLOOKUP($E31,'Product Naming'!$A$1:$P$58,12,FALSE)</f>
        <v>58.078140000000005</v>
      </c>
      <c r="AD31" s="1">
        <f>VLOOKUP($E31,'Product Naming'!$A$1:$P$58,13,FALSE)</f>
        <v>56</v>
      </c>
      <c r="AE31" s="1" t="str">
        <f>VLOOKUP($E31,'Product Naming'!$A$1:$P$58,14,FALSE)</f>
        <v>Ketone</v>
      </c>
      <c r="AF31" s="1" t="str">
        <f>VLOOKUP($E31,'Product Naming'!$A$1:$P$58,15,FALSE)</f>
        <v>Acetyl-CoA</v>
      </c>
      <c r="AG31" s="30" t="str">
        <f>VLOOKUP($E31,'Product Naming'!$A$1:$P$58,16,FALSE)</f>
        <v>Proton symporter</v>
      </c>
      <c r="AH31" s="3" t="str">
        <f>VLOOKUP($E31,'Product Naming'!$A$1:$Q$58,17,FALSE)</f>
        <v>acetone_c</v>
      </c>
      <c r="AI31" s="1">
        <f>VLOOKUP($E31,'Product Parameters'!$A$2:$D$59,2,FALSE)</f>
        <v>1</v>
      </c>
      <c r="AJ31" s="1">
        <f>VLOOKUP($E31,'Product Parameters'!$A$2:$D$59,3,FALSE)</f>
        <v>0</v>
      </c>
      <c r="AK31" s="1">
        <f>VLOOKUP($E31,'Product Parameters'!$A$2:$D$59,4,FALSE)</f>
        <v>0.12</v>
      </c>
      <c r="AL31" s="1">
        <f>VLOOKUP($E31,'Product Parameters'!$A$2:$E$59,5,FALSE)</f>
        <v>31.3</v>
      </c>
      <c r="AM31" s="1">
        <f>VLOOKUP($E31,'Product Parameters'!$A$2:$F$59,6,FALSE)</f>
        <v>3</v>
      </c>
      <c r="AN31" s="1">
        <f>VLOOKUP($C31,'Substrate Heating'!$A$2:$C$33,3,FALSE)</f>
        <v>247.59097</v>
      </c>
      <c r="AO31" s="1">
        <f>VLOOKUP($C31,'Substrate Heating'!$A$2:$B$33,2,FALSE)</f>
        <v>5.5</v>
      </c>
      <c r="AP31" s="1">
        <f>VLOOKUP($C31,'Substrate Heating'!$A$2:$M$33,13,FALSE)</f>
        <v>1</v>
      </c>
      <c r="AQ31" s="1">
        <f>VLOOKUP($C31,'Substrate Heating'!$A$2:$M$33,8,FALSE)</f>
        <v>1</v>
      </c>
      <c r="AR31" s="1">
        <f t="shared" si="0"/>
        <v>7.0326409495549205E-2</v>
      </c>
    </row>
    <row r="32" spans="1:44" x14ac:dyDescent="0.2">
      <c r="A32" s="8" t="s">
        <v>34</v>
      </c>
      <c r="B32" s="9" t="s">
        <v>35</v>
      </c>
      <c r="C32" s="1" t="s">
        <v>340</v>
      </c>
      <c r="D32" s="23" t="s">
        <v>338</v>
      </c>
      <c r="E32" s="1" t="s">
        <v>114</v>
      </c>
      <c r="F32" s="1" t="s">
        <v>115</v>
      </c>
      <c r="G32" s="1">
        <v>-10</v>
      </c>
      <c r="H32" s="1">
        <v>-20</v>
      </c>
      <c r="I32" s="1" t="s">
        <v>40</v>
      </c>
      <c r="J32" s="1">
        <v>3.15</v>
      </c>
      <c r="K32" s="1">
        <v>-10</v>
      </c>
      <c r="L32" s="1">
        <v>-4.2818181818181804</v>
      </c>
      <c r="M32" s="1" t="s">
        <v>40</v>
      </c>
      <c r="N32" s="1">
        <v>9.4015151515151594</v>
      </c>
      <c r="O32" s="1">
        <v>0.11969696969697199</v>
      </c>
      <c r="Q32" s="1">
        <v>1.1969696969697199E-2</v>
      </c>
      <c r="R32" s="1">
        <v>3.04626468291028E-2</v>
      </c>
      <c r="S32" s="1" t="str">
        <f>VLOOKUP($E32,'Product Naming'!$A$1:$P$58,2,FALSE)</f>
        <v>5-Aminopentanoate</v>
      </c>
      <c r="T32" s="1" t="str">
        <f>VLOOKUP($E32,'Product Naming'!$A$1:$P$58,3,FALSE)</f>
        <v>5-Aminopentanoate</v>
      </c>
      <c r="U32" s="1" t="str">
        <f>VLOOKUP($E32,'Product Naming'!$A$1:$P$58,4,FALSE)</f>
        <v>A</v>
      </c>
      <c r="V32" s="1" t="str">
        <f>VLOOKUP($E32,'Product Naming'!$A$1:$P$58,5,FALSE)</f>
        <v>C5H11NO2</v>
      </c>
      <c r="W32" s="1">
        <f>VLOOKUP($E32,'Product Naming'!$A$1:$P$58,6,FALSE)</f>
        <v>5</v>
      </c>
      <c r="X32" s="1">
        <f>VLOOKUP($E32,'Product Naming'!$A$1:$P$58,7,FALSE)</f>
        <v>11</v>
      </c>
      <c r="Y32" s="1">
        <f>VLOOKUP($E32,'Product Naming'!$A$1:$P$58,8,FALSE)</f>
        <v>2</v>
      </c>
      <c r="Z32" s="1">
        <f>VLOOKUP($E32,'Product Naming'!$A$1:$P$58,9,FALSE)</f>
        <v>1</v>
      </c>
      <c r="AA32" s="1">
        <f>VLOOKUP($E32,'Product Naming'!$A$1:$P$58,10,FALSE)</f>
        <v>0</v>
      </c>
      <c r="AB32" s="29">
        <f>VLOOKUP($E32,'Product Naming'!$A$1:$P$58,11,FALSE)</f>
        <v>4.8</v>
      </c>
      <c r="AC32" s="3">
        <f>VLOOKUP($E32,'Product Naming'!$A$1:$P$58,12,FALSE)</f>
        <v>117.14444</v>
      </c>
      <c r="AD32" s="1">
        <f>VLOOKUP($E32,'Product Naming'!$A$1:$P$58,13,FALSE)</f>
        <v>247.5</v>
      </c>
      <c r="AE32" s="1" t="str">
        <f>VLOOKUP($E32,'Product Naming'!$A$1:$P$58,14,FALSE)</f>
        <v>D-Amino Acid</v>
      </c>
      <c r="AF32" s="1" t="str">
        <f>VLOOKUP($E32,'Product Naming'!$A$1:$P$58,15,FALSE)</f>
        <v>Oxaloacetate</v>
      </c>
      <c r="AG32" s="30" t="str">
        <f>VLOOKUP($E32,'Product Naming'!$A$1:$P$58,16,FALSE)</f>
        <v>Proton symporter</v>
      </c>
      <c r="AH32" s="3" t="str">
        <f>VLOOKUP($E32,'Product Naming'!$A$1:$Q$58,17,FALSE)</f>
        <v>5aptn_c</v>
      </c>
      <c r="AI32" s="1">
        <f>VLOOKUP($E32,'Product Parameters'!$A$2:$D$59,2,FALSE)</f>
        <v>1</v>
      </c>
      <c r="AJ32" s="1">
        <f>VLOOKUP($E32,'Product Parameters'!$A$2:$D$59,3,FALSE)</f>
        <v>0</v>
      </c>
      <c r="AK32" s="1">
        <f>VLOOKUP($E32,'Product Parameters'!$A$2:$D$59,4,FALSE)</f>
        <v>0.12</v>
      </c>
      <c r="AL32" s="1">
        <f>VLOOKUP($E32,'Product Parameters'!$A$2:$E$59,5,FALSE)</f>
        <v>40.65</v>
      </c>
      <c r="AM32" s="1">
        <f>VLOOKUP($E32,'Product Parameters'!$A$2:$F$59,6,FALSE)</f>
        <v>5</v>
      </c>
      <c r="AN32" s="1">
        <f>VLOOKUP($C32,'Substrate Heating'!$A$2:$C$33,3,FALSE)</f>
        <v>247.59097</v>
      </c>
      <c r="AO32" s="1">
        <f>VLOOKUP($C32,'Substrate Heating'!$A$2:$B$33,2,FALSE)</f>
        <v>5.5</v>
      </c>
      <c r="AP32" s="1">
        <f>VLOOKUP($C32,'Substrate Heating'!$A$2:$M$33,13,FALSE)</f>
        <v>1</v>
      </c>
      <c r="AQ32" s="1">
        <f>VLOOKUP($C32,'Substrate Heating'!$A$2:$M$33,8,FALSE)</f>
        <v>1</v>
      </c>
      <c r="AR32" s="1">
        <f t="shared" si="0"/>
        <v>5.9848484848485997E-2</v>
      </c>
    </row>
    <row r="33" spans="1:44" x14ac:dyDescent="0.2">
      <c r="A33" s="8" t="s">
        <v>34</v>
      </c>
      <c r="B33" s="9" t="s">
        <v>35</v>
      </c>
      <c r="C33" s="1" t="s">
        <v>340</v>
      </c>
      <c r="D33" s="23" t="s">
        <v>338</v>
      </c>
      <c r="E33" s="1" t="s">
        <v>175</v>
      </c>
      <c r="F33" s="1" t="s">
        <v>176</v>
      </c>
      <c r="G33" s="1">
        <v>-10</v>
      </c>
      <c r="H33" s="1">
        <v>-20</v>
      </c>
      <c r="I33" s="1" t="s">
        <v>40</v>
      </c>
      <c r="J33" s="1">
        <v>3.15</v>
      </c>
      <c r="K33" s="1">
        <v>-10</v>
      </c>
      <c r="L33" s="1">
        <v>-4.1668469442942104</v>
      </c>
      <c r="M33" s="1" t="s">
        <v>40</v>
      </c>
      <c r="N33" s="1">
        <v>9.2309356408869601</v>
      </c>
      <c r="O33" s="1">
        <v>0.128177393185506</v>
      </c>
      <c r="Q33" s="1">
        <v>1.2817739318550601E-2</v>
      </c>
      <c r="R33" s="1">
        <v>3.06618248884135E-2</v>
      </c>
      <c r="S33" s="1" t="str">
        <f>VLOOKUP($E33,'Product Naming'!$A$1:$P$58,2,FALSE)</f>
        <v>Catechol</v>
      </c>
      <c r="T33" s="1" t="str">
        <f>VLOOKUP($E33,'Product Naming'!$A$1:$P$58,3,FALSE)</f>
        <v>Catechol</v>
      </c>
      <c r="U33" s="1" t="str">
        <f>VLOOKUP($E33,'Product Naming'!$A$1:$P$58,4,FALSE)</f>
        <v>E</v>
      </c>
      <c r="V33" s="1" t="str">
        <f>VLOOKUP($E33,'Product Naming'!$A$1:$P$58,5,FALSE)</f>
        <v>C6H6O2</v>
      </c>
      <c r="W33" s="1">
        <f>VLOOKUP($E33,'Product Naming'!$A$1:$P$58,6,FALSE)</f>
        <v>6</v>
      </c>
      <c r="X33" s="1">
        <f>VLOOKUP($E33,'Product Naming'!$A$1:$P$58,7,FALSE)</f>
        <v>6</v>
      </c>
      <c r="Y33" s="1">
        <f>VLOOKUP($E33,'Product Naming'!$A$1:$P$58,8,FALSE)</f>
        <v>2</v>
      </c>
      <c r="Z33" s="1">
        <f>VLOOKUP($E33,'Product Naming'!$A$1:$P$58,9,FALSE)</f>
        <v>0</v>
      </c>
      <c r="AA33" s="1">
        <f>VLOOKUP($E33,'Product Naming'!$A$1:$P$58,10,FALSE)</f>
        <v>0</v>
      </c>
      <c r="AB33" s="29">
        <f>VLOOKUP($E33,'Product Naming'!$A$1:$P$58,11,FALSE)</f>
        <v>4.333333333333333</v>
      </c>
      <c r="AC33" s="3">
        <f>VLOOKUP($E33,'Product Naming'!$A$1:$P$58,12,FALSE)</f>
        <v>110.10924</v>
      </c>
      <c r="AD33" s="1">
        <f>VLOOKUP($E33,'Product Naming'!$A$1:$P$58,13,FALSE)</f>
        <v>245</v>
      </c>
      <c r="AE33" s="1" t="str">
        <f>VLOOKUP($E33,'Product Naming'!$A$1:$P$58,14,FALSE)</f>
        <v>Aromatic + Diol</v>
      </c>
      <c r="AF33" s="1" t="str">
        <f>VLOOKUP($E33,'Product Naming'!$A$1:$P$58,15,FALSE)</f>
        <v>Glyceraldehyde 3-P</v>
      </c>
      <c r="AG33" s="30" t="str">
        <f>VLOOKUP($E33,'Product Naming'!$A$1:$P$58,16,FALSE)</f>
        <v>Proton symporter</v>
      </c>
      <c r="AH33" s="3" t="str">
        <f>VLOOKUP($E33,'Product Naming'!$A$1:$Q$58,17,FALSE)</f>
        <v>catechol_c</v>
      </c>
      <c r="AI33" s="1">
        <f>VLOOKUP($E33,'Product Parameters'!$A$2:$D$59,2,FALSE)</f>
        <v>1</v>
      </c>
      <c r="AJ33" s="1">
        <f>VLOOKUP($E33,'Product Parameters'!$A$2:$D$59,3,FALSE)</f>
        <v>0</v>
      </c>
      <c r="AK33" s="1">
        <f>VLOOKUP($E33,'Product Parameters'!$A$2:$D$59,4,FALSE)</f>
        <v>0.12</v>
      </c>
      <c r="AL33" s="1">
        <f>VLOOKUP($E33,'Product Parameters'!$A$2:$E$59,5,FALSE)</f>
        <v>40.65</v>
      </c>
      <c r="AM33" s="1">
        <f>VLOOKUP($E33,'Product Parameters'!$A$2:$F$59,6,FALSE)</f>
        <v>6</v>
      </c>
      <c r="AN33" s="1">
        <f>VLOOKUP($C33,'Substrate Heating'!$A$2:$C$33,3,FALSE)</f>
        <v>247.59097</v>
      </c>
      <c r="AO33" s="1">
        <f>VLOOKUP($C33,'Substrate Heating'!$A$2:$B$33,2,FALSE)</f>
        <v>5.5</v>
      </c>
      <c r="AP33" s="1">
        <f>VLOOKUP($C33,'Substrate Heating'!$A$2:$M$33,13,FALSE)</f>
        <v>1</v>
      </c>
      <c r="AQ33" s="1">
        <f>VLOOKUP($C33,'Substrate Heating'!$A$2:$M$33,8,FALSE)</f>
        <v>1</v>
      </c>
      <c r="AR33" s="1">
        <f t="shared" si="0"/>
        <v>7.6906435911303611E-2</v>
      </c>
    </row>
    <row r="34" spans="1:44" x14ac:dyDescent="0.2">
      <c r="A34" s="8" t="s">
        <v>34</v>
      </c>
      <c r="B34" s="9" t="s">
        <v>35</v>
      </c>
      <c r="C34" s="1" t="s">
        <v>340</v>
      </c>
      <c r="D34" s="23" t="s">
        <v>338</v>
      </c>
      <c r="E34" s="1" t="s">
        <v>192</v>
      </c>
      <c r="F34" s="1" t="s">
        <v>193</v>
      </c>
      <c r="G34" s="1">
        <v>-10</v>
      </c>
      <c r="H34" s="1">
        <v>-20</v>
      </c>
      <c r="I34" s="1" t="s">
        <v>40</v>
      </c>
      <c r="J34" s="1">
        <v>3.15</v>
      </c>
      <c r="K34" s="1">
        <v>-10</v>
      </c>
      <c r="L34" s="1">
        <v>-4.1728508449669404</v>
      </c>
      <c r="M34" s="1" t="s">
        <v>40</v>
      </c>
      <c r="N34" s="1">
        <v>9.2163850110213197</v>
      </c>
      <c r="O34" s="1">
        <v>8.7068332108743707E-2</v>
      </c>
      <c r="Q34" s="1">
        <v>8.7068332108743707E-3</v>
      </c>
      <c r="R34" s="1">
        <v>3.0860663397416201E-2</v>
      </c>
      <c r="S34" s="1" t="str">
        <f>VLOOKUP($E34,'Product Naming'!$A$1:$P$58,2,FALSE)</f>
        <v>Coumaric acid</v>
      </c>
      <c r="T34" s="1" t="str">
        <f>VLOOKUP($E34,'Product Naming'!$A$1:$P$58,3,FALSE)</f>
        <v>Coumaric acid</v>
      </c>
      <c r="U34" s="1" t="str">
        <f>VLOOKUP($E34,'Product Naming'!$A$1:$P$58,4,FALSE)</f>
        <v>E</v>
      </c>
      <c r="V34" s="1" t="str">
        <f>VLOOKUP($E34,'Product Naming'!$A$1:$P$58,5,FALSE)</f>
        <v>C9H7O3</v>
      </c>
      <c r="W34" s="1">
        <f>VLOOKUP($E34,'Product Naming'!$A$1:$P$58,6,FALSE)</f>
        <v>9</v>
      </c>
      <c r="X34" s="1">
        <f>VLOOKUP($E34,'Product Naming'!$A$1:$P$58,7,FALSE)</f>
        <v>7</v>
      </c>
      <c r="Y34" s="1">
        <f>VLOOKUP($E34,'Product Naming'!$A$1:$P$58,8,FALSE)</f>
        <v>3</v>
      </c>
      <c r="Z34" s="1">
        <f>VLOOKUP($E34,'Product Naming'!$A$1:$P$58,9,FALSE)</f>
        <v>0</v>
      </c>
      <c r="AA34" s="1">
        <f>VLOOKUP($E34,'Product Naming'!$A$1:$P$58,10,FALSE)</f>
        <v>-1</v>
      </c>
      <c r="AB34" s="29">
        <f>VLOOKUP($E34,'Product Naming'!$A$1:$P$58,11,FALSE)</f>
        <v>4.1111111111111107</v>
      </c>
      <c r="AC34" s="3">
        <f>VLOOKUP($E34,'Product Naming'!$A$1:$P$58,12,FALSE)</f>
        <v>163.14818</v>
      </c>
      <c r="AD34" s="1">
        <f>VLOOKUP($E34,'Product Naming'!$A$1:$P$58,13,FALSE)</f>
        <v>346</v>
      </c>
      <c r="AE34" s="1" t="str">
        <f>VLOOKUP($E34,'Product Naming'!$A$1:$P$58,14,FALSE)</f>
        <v>Aromatic + Alcohol + Carboxylate</v>
      </c>
      <c r="AF34" s="1" t="str">
        <f>VLOOKUP($E34,'Product Naming'!$A$1:$P$58,15,FALSE)</f>
        <v>E4P + L-glutamate</v>
      </c>
      <c r="AG34" s="30" t="str">
        <f>VLOOKUP($E34,'Product Naming'!$A$1:$P$58,16,FALSE)</f>
        <v>Proton symporter</v>
      </c>
      <c r="AH34" s="3" t="str">
        <f>VLOOKUP($E34,'Product Naming'!$A$1:$Q$58,17,FALSE)</f>
        <v>T4hcinnm_c</v>
      </c>
      <c r="AI34" s="1">
        <f>VLOOKUP($E34,'Product Parameters'!$A$2:$D$59,2,FALSE)</f>
        <v>1</v>
      </c>
      <c r="AJ34" s="1">
        <f>VLOOKUP($E34,'Product Parameters'!$A$2:$D$59,3,FALSE)</f>
        <v>0</v>
      </c>
      <c r="AK34" s="1">
        <f>VLOOKUP($E34,'Product Parameters'!$A$2:$D$59,4,FALSE)</f>
        <v>0.12</v>
      </c>
      <c r="AL34" s="1">
        <f>VLOOKUP($E34,'Product Parameters'!$A$2:$E$59,5,FALSE)</f>
        <v>40.65</v>
      </c>
      <c r="AM34" s="1">
        <f>VLOOKUP($E34,'Product Parameters'!$A$2:$F$59,6,FALSE)</f>
        <v>9</v>
      </c>
      <c r="AN34" s="1">
        <f>VLOOKUP($C34,'Substrate Heating'!$A$2:$C$33,3,FALSE)</f>
        <v>247.59097</v>
      </c>
      <c r="AO34" s="1">
        <f>VLOOKUP($C34,'Substrate Heating'!$A$2:$B$33,2,FALSE)</f>
        <v>5.5</v>
      </c>
      <c r="AP34" s="1">
        <f>VLOOKUP($C34,'Substrate Heating'!$A$2:$M$33,13,FALSE)</f>
        <v>1</v>
      </c>
      <c r="AQ34" s="1">
        <f>VLOOKUP($C34,'Substrate Heating'!$A$2:$M$33,8,FALSE)</f>
        <v>1</v>
      </c>
      <c r="AR34" s="1">
        <f t="shared" si="0"/>
        <v>7.8361498897869336E-2</v>
      </c>
    </row>
    <row r="35" spans="1:44" x14ac:dyDescent="0.2">
      <c r="A35" s="8" t="s">
        <v>34</v>
      </c>
      <c r="B35" s="9" t="s">
        <v>35</v>
      </c>
      <c r="C35" s="1" t="s">
        <v>340</v>
      </c>
      <c r="D35" s="23" t="s">
        <v>338</v>
      </c>
      <c r="E35" s="1" t="s">
        <v>66</v>
      </c>
      <c r="F35" s="1" t="s">
        <v>67</v>
      </c>
      <c r="G35" s="1">
        <v>-10</v>
      </c>
      <c r="H35" s="1">
        <v>-20</v>
      </c>
      <c r="I35" s="1" t="s">
        <v>40</v>
      </c>
      <c r="J35" s="1">
        <v>3.15</v>
      </c>
      <c r="K35" s="1">
        <v>-10</v>
      </c>
      <c r="L35" s="1">
        <v>-4.11145194274029</v>
      </c>
      <c r="M35" s="1" t="s">
        <v>40</v>
      </c>
      <c r="N35" s="1">
        <v>9.35378323108384</v>
      </c>
      <c r="O35" s="1">
        <v>0.16155419222903999</v>
      </c>
      <c r="Q35" s="1">
        <v>1.6155419222904002E-2</v>
      </c>
      <c r="R35" s="1">
        <v>3.1629939344090197E-2</v>
      </c>
      <c r="S35" s="1" t="str">
        <f>VLOOKUP($E35,'Product Naming'!$A$1:$P$58,2,FALSE)</f>
        <v>1-4-butanediol</v>
      </c>
      <c r="T35" s="1" t="str">
        <f>VLOOKUP($E35,'Product Naming'!$A$1:$P$58,3,FALSE)</f>
        <v>1,4-Butanediol</v>
      </c>
      <c r="U35" s="1" t="str">
        <f>VLOOKUP($E35,'Product Naming'!$A$1:$P$58,4,FALSE)</f>
        <v>E</v>
      </c>
      <c r="V35" s="1" t="str">
        <f>VLOOKUP($E35,'Product Naming'!$A$1:$P$58,5,FALSE)</f>
        <v>C4H10O2</v>
      </c>
      <c r="W35" s="1">
        <f>VLOOKUP($E35,'Product Naming'!$A$1:$P$58,6,FALSE)</f>
        <v>4</v>
      </c>
      <c r="X35" s="1">
        <f>VLOOKUP($E35,'Product Naming'!$A$1:$P$58,7,FALSE)</f>
        <v>10</v>
      </c>
      <c r="Y35" s="1">
        <f>VLOOKUP($E35,'Product Naming'!$A$1:$P$58,8,FALSE)</f>
        <v>2</v>
      </c>
      <c r="Z35" s="1">
        <f>VLOOKUP($E35,'Product Naming'!$A$1:$P$58,9,FALSE)</f>
        <v>0</v>
      </c>
      <c r="AA35" s="1">
        <f>VLOOKUP($E35,'Product Naming'!$A$1:$P$58,10,FALSE)</f>
        <v>0</v>
      </c>
      <c r="AB35" s="29">
        <f>VLOOKUP($E35,'Product Naming'!$A$1:$P$58,11,FALSE)</f>
        <v>5.5</v>
      </c>
      <c r="AC35" s="3">
        <f>VLOOKUP($E35,'Product Naming'!$A$1:$P$58,12,FALSE)</f>
        <v>90.119200000000006</v>
      </c>
      <c r="AD35" s="1">
        <f>VLOOKUP($E35,'Product Naming'!$A$1:$P$58,13,FALSE)</f>
        <v>230</v>
      </c>
      <c r="AE35" s="1" t="str">
        <f>VLOOKUP($E35,'Product Naming'!$A$1:$P$58,14,FALSE)</f>
        <v>Diol</v>
      </c>
      <c r="AF35" s="1" t="str">
        <f>VLOOKUP($E35,'Product Naming'!$A$1:$P$58,15,FALSE)</f>
        <v>aKG</v>
      </c>
      <c r="AG35" s="30" t="str">
        <f>VLOOKUP($E35,'Product Naming'!$A$1:$P$58,16,FALSE)</f>
        <v>Proton symporter</v>
      </c>
      <c r="AH35" s="3" t="str">
        <f>VLOOKUP($E35,'Product Naming'!$A$1:$Q$58,17,FALSE)</f>
        <v>14bdo_c</v>
      </c>
      <c r="AI35" s="1">
        <f>VLOOKUP($E35,'Product Parameters'!$A$2:$D$59,2,FALSE)</f>
        <v>1</v>
      </c>
      <c r="AJ35" s="1">
        <f>VLOOKUP($E35,'Product Parameters'!$A$2:$D$59,3,FALSE)</f>
        <v>0</v>
      </c>
      <c r="AK35" s="1">
        <f>VLOOKUP($E35,'Product Parameters'!$A$2:$D$59,4,FALSE)</f>
        <v>0.12</v>
      </c>
      <c r="AL35" s="1">
        <f>VLOOKUP($E35,'Product Parameters'!$A$2:$E$59,5,FALSE)</f>
        <v>78</v>
      </c>
      <c r="AM35" s="1">
        <f>VLOOKUP($E35,'Product Parameters'!$A$2:$F$59,6,FALSE)</f>
        <v>4</v>
      </c>
      <c r="AN35" s="1">
        <f>VLOOKUP($C35,'Substrate Heating'!$A$2:$C$33,3,FALSE)</f>
        <v>247.59097</v>
      </c>
      <c r="AO35" s="1">
        <f>VLOOKUP($C35,'Substrate Heating'!$A$2:$B$33,2,FALSE)</f>
        <v>5.5</v>
      </c>
      <c r="AP35" s="1">
        <f>VLOOKUP($C35,'Substrate Heating'!$A$2:$M$33,13,FALSE)</f>
        <v>1</v>
      </c>
      <c r="AQ35" s="1">
        <f>VLOOKUP($C35,'Substrate Heating'!$A$2:$M$33,8,FALSE)</f>
        <v>1</v>
      </c>
      <c r="AR35" s="1">
        <f t="shared" si="0"/>
        <v>6.4621676891616006E-2</v>
      </c>
    </row>
    <row r="36" spans="1:44" x14ac:dyDescent="0.2">
      <c r="A36" s="8" t="s">
        <v>34</v>
      </c>
      <c r="B36" s="9" t="s">
        <v>35</v>
      </c>
      <c r="C36" s="1" t="s">
        <v>340</v>
      </c>
      <c r="D36" s="23" t="s">
        <v>338</v>
      </c>
      <c r="E36" s="1" t="s">
        <v>85</v>
      </c>
      <c r="F36" s="1" t="s">
        <v>86</v>
      </c>
      <c r="G36" s="1">
        <v>-10</v>
      </c>
      <c r="H36" s="1">
        <v>-20</v>
      </c>
      <c r="I36" s="1" t="s">
        <v>40</v>
      </c>
      <c r="J36" s="1">
        <v>3.15</v>
      </c>
      <c r="K36" s="1">
        <v>-10</v>
      </c>
      <c r="L36" s="1">
        <v>-4.1078028747433297</v>
      </c>
      <c r="M36" s="1" t="s">
        <v>40</v>
      </c>
      <c r="N36" s="1">
        <v>9.3511293634497008</v>
      </c>
      <c r="O36" s="1">
        <v>0.16221765913757899</v>
      </c>
      <c r="Q36" s="1">
        <v>1.6221765913757898E-2</v>
      </c>
      <c r="R36" s="1">
        <v>3.17598364255854E-2</v>
      </c>
      <c r="S36" s="1" t="str">
        <f>VLOOKUP($E36,'Product Naming'!$A$1:$P$58,2,FALSE)</f>
        <v>2-3-butanediol</v>
      </c>
      <c r="T36" s="1" t="str">
        <f>VLOOKUP($E36,'Product Naming'!$A$1:$P$58,3,FALSE)</f>
        <v>2,3-Butanediol</v>
      </c>
      <c r="U36" s="1" t="str">
        <f>VLOOKUP($E36,'Product Naming'!$A$1:$P$58,4,FALSE)</f>
        <v>E</v>
      </c>
      <c r="V36" s="1" t="str">
        <f>VLOOKUP($E36,'Product Naming'!$A$1:$P$58,5,FALSE)</f>
        <v>C4H10O2</v>
      </c>
      <c r="W36" s="1">
        <f>VLOOKUP($E36,'Product Naming'!$A$1:$P$58,6,FALSE)</f>
        <v>4</v>
      </c>
      <c r="X36" s="1">
        <f>VLOOKUP($E36,'Product Naming'!$A$1:$P$58,7,FALSE)</f>
        <v>10</v>
      </c>
      <c r="Y36" s="1">
        <f>VLOOKUP($E36,'Product Naming'!$A$1:$P$58,8,FALSE)</f>
        <v>2</v>
      </c>
      <c r="Z36" s="1">
        <f>VLOOKUP($E36,'Product Naming'!$A$1:$P$58,9,FALSE)</f>
        <v>0</v>
      </c>
      <c r="AA36" s="1">
        <f>VLOOKUP($E36,'Product Naming'!$A$1:$P$58,10,FALSE)</f>
        <v>0</v>
      </c>
      <c r="AB36" s="29">
        <f>VLOOKUP($E36,'Product Naming'!$A$1:$P$58,11,FALSE)</f>
        <v>5.5</v>
      </c>
      <c r="AC36" s="3">
        <f>VLOOKUP($E36,'Product Naming'!$A$1:$P$58,12,FALSE)</f>
        <v>90.119200000000006</v>
      </c>
      <c r="AD36" s="1">
        <f>VLOOKUP($E36,'Product Naming'!$A$1:$P$58,13,FALSE)</f>
        <v>177</v>
      </c>
      <c r="AE36" s="1" t="str">
        <f>VLOOKUP($E36,'Product Naming'!$A$1:$P$58,14,FALSE)</f>
        <v>Diol</v>
      </c>
      <c r="AF36" s="1" t="str">
        <f>VLOOKUP($E36,'Product Naming'!$A$1:$P$58,15,FALSE)</f>
        <v>Pyruvate</v>
      </c>
      <c r="AG36" s="30" t="str">
        <f>VLOOKUP($E36,'Product Naming'!$A$1:$P$58,16,FALSE)</f>
        <v>Proton symporter</v>
      </c>
      <c r="AH36" s="3" t="str">
        <f>VLOOKUP($E36,'Product Naming'!$A$1:$Q$58,17,FALSE)</f>
        <v>btd_RR_c</v>
      </c>
      <c r="AI36" s="1">
        <f>VLOOKUP($E36,'Product Parameters'!$A$2:$D$59,2,FALSE)</f>
        <v>1</v>
      </c>
      <c r="AJ36" s="1">
        <f>VLOOKUP($E36,'Product Parameters'!$A$2:$D$59,3,FALSE)</f>
        <v>0</v>
      </c>
      <c r="AK36" s="1">
        <f>VLOOKUP($E36,'Product Parameters'!$A$2:$D$59,4,FALSE)</f>
        <v>0.12</v>
      </c>
      <c r="AL36" s="1">
        <f>VLOOKUP($E36,'Product Parameters'!$A$2:$E$59,5,FALSE)</f>
        <v>63</v>
      </c>
      <c r="AM36" s="1">
        <f>VLOOKUP($E36,'Product Parameters'!$A$2:$F$59,6,FALSE)</f>
        <v>4</v>
      </c>
      <c r="AN36" s="1">
        <f>VLOOKUP($C36,'Substrate Heating'!$A$2:$C$33,3,FALSE)</f>
        <v>247.59097</v>
      </c>
      <c r="AO36" s="1">
        <f>VLOOKUP($C36,'Substrate Heating'!$A$2:$B$33,2,FALSE)</f>
        <v>5.5</v>
      </c>
      <c r="AP36" s="1">
        <f>VLOOKUP($C36,'Substrate Heating'!$A$2:$M$33,13,FALSE)</f>
        <v>1</v>
      </c>
      <c r="AQ36" s="1">
        <f>VLOOKUP($C36,'Substrate Heating'!$A$2:$M$33,8,FALSE)</f>
        <v>1</v>
      </c>
      <c r="AR36" s="1">
        <f t="shared" si="0"/>
        <v>6.4887063655031593E-2</v>
      </c>
    </row>
    <row r="37" spans="1:44" x14ac:dyDescent="0.2">
      <c r="A37" s="8" t="s">
        <v>34</v>
      </c>
      <c r="B37" s="9" t="s">
        <v>35</v>
      </c>
      <c r="C37" s="1" t="s">
        <v>340</v>
      </c>
      <c r="D37" s="23" t="s">
        <v>338</v>
      </c>
      <c r="E37" s="1" t="s">
        <v>38</v>
      </c>
      <c r="F37" s="1" t="s">
        <v>39</v>
      </c>
      <c r="G37" s="1">
        <v>-10</v>
      </c>
      <c r="H37" s="1">
        <v>-20</v>
      </c>
      <c r="I37" s="1" t="s">
        <v>40</v>
      </c>
      <c r="J37" s="1">
        <v>3.15</v>
      </c>
      <c r="K37" s="1">
        <v>-10</v>
      </c>
      <c r="L37" s="1">
        <v>-4.1065798492117898</v>
      </c>
      <c r="M37" s="1" t="s">
        <v>40</v>
      </c>
      <c r="N37" s="1">
        <v>9.3502398903358408</v>
      </c>
      <c r="O37" s="1">
        <v>0.162440027416038</v>
      </c>
      <c r="Q37" s="1">
        <v>1.62440027416038E-2</v>
      </c>
      <c r="R37" s="1">
        <v>3.1803372870308197E-2</v>
      </c>
      <c r="S37" s="1" t="str">
        <f>VLOOKUP($E37,'Product Naming'!$A$1:$P$58,2,FALSE)</f>
        <v>1-3-butanediol-PW1</v>
      </c>
      <c r="T37" s="1" t="str">
        <f>VLOOKUP($E37,'Product Naming'!$A$1:$P$58,3,FALSE)</f>
        <v>1,3-Butanediol (PW1)</v>
      </c>
      <c r="U37" s="1" t="str">
        <f>VLOOKUP($E37,'Product Naming'!$A$1:$P$58,4,FALSE)</f>
        <v>E</v>
      </c>
      <c r="V37" s="1" t="str">
        <f>VLOOKUP($E37,'Product Naming'!$A$1:$P$58,5,FALSE)</f>
        <v>C4H10O2</v>
      </c>
      <c r="W37" s="1">
        <f>VLOOKUP($E37,'Product Naming'!$A$1:$P$58,6,FALSE)</f>
        <v>4</v>
      </c>
      <c r="X37" s="1">
        <f>VLOOKUP($E37,'Product Naming'!$A$1:$P$58,7,FALSE)</f>
        <v>10</v>
      </c>
      <c r="Y37" s="1">
        <f>VLOOKUP($E37,'Product Naming'!$A$1:$P$58,8,FALSE)</f>
        <v>2</v>
      </c>
      <c r="Z37" s="1">
        <f>VLOOKUP($E37,'Product Naming'!$A$1:$P$58,9,FALSE)</f>
        <v>0</v>
      </c>
      <c r="AA37" s="1">
        <f>VLOOKUP($E37,'Product Naming'!$A$1:$P$58,10,FALSE)</f>
        <v>0</v>
      </c>
      <c r="AB37" s="29">
        <f>VLOOKUP($E37,'Product Naming'!$A$1:$P$58,11,FALSE)</f>
        <v>5.5</v>
      </c>
      <c r="AC37" s="3">
        <f>VLOOKUP($E37,'Product Naming'!$A$1:$P$58,12,FALSE)</f>
        <v>90.119200000000006</v>
      </c>
      <c r="AD37" s="1">
        <f>VLOOKUP($E37,'Product Naming'!$A$1:$P$58,13,FALSE)</f>
        <v>207</v>
      </c>
      <c r="AE37" s="1" t="str">
        <f>VLOOKUP($E37,'Product Naming'!$A$1:$P$58,14,FALSE)</f>
        <v>Diol</v>
      </c>
      <c r="AF37" s="1" t="str">
        <f>VLOOKUP($E37,'Product Naming'!$A$1:$P$58,15,FALSE)</f>
        <v>Acetyl-CoA</v>
      </c>
      <c r="AG37" s="30" t="str">
        <f>VLOOKUP($E37,'Product Naming'!$A$1:$P$58,16,FALSE)</f>
        <v>Proton symporter</v>
      </c>
      <c r="AH37" s="3" t="str">
        <f>VLOOKUP($E37,'Product Naming'!$A$1:$Q$58,17,FALSE)</f>
        <v>13bdo__R_c</v>
      </c>
      <c r="AI37" s="1">
        <f>VLOOKUP($E37,'Product Parameters'!$A$2:$D$59,2,FALSE)</f>
        <v>1</v>
      </c>
      <c r="AJ37" s="1">
        <f>VLOOKUP($E37,'Product Parameters'!$A$2:$D$59,3,FALSE)</f>
        <v>0</v>
      </c>
      <c r="AK37" s="1">
        <f>VLOOKUP($E37,'Product Parameters'!$A$2:$D$59,4,FALSE)</f>
        <v>0.12</v>
      </c>
      <c r="AL37" s="1">
        <f>VLOOKUP($E37,'Product Parameters'!$A$2:$E$59,5,FALSE)</f>
        <v>72.599999999999994</v>
      </c>
      <c r="AM37" s="1">
        <f>VLOOKUP($E37,'Product Parameters'!$A$2:$F$59,6,FALSE)</f>
        <v>4</v>
      </c>
      <c r="AN37" s="1">
        <f>VLOOKUP($C37,'Substrate Heating'!$A$2:$C$33,3,FALSE)</f>
        <v>247.59097</v>
      </c>
      <c r="AO37" s="1">
        <f>VLOOKUP($C37,'Substrate Heating'!$A$2:$B$33,2,FALSE)</f>
        <v>5.5</v>
      </c>
      <c r="AP37" s="1">
        <f>VLOOKUP($C37,'Substrate Heating'!$A$2:$M$33,13,FALSE)</f>
        <v>1</v>
      </c>
      <c r="AQ37" s="1">
        <f>VLOOKUP($C37,'Substrate Heating'!$A$2:$M$33,8,FALSE)</f>
        <v>1</v>
      </c>
      <c r="AR37" s="1">
        <f t="shared" si="0"/>
        <v>6.4976010966415199E-2</v>
      </c>
    </row>
    <row r="38" spans="1:44" x14ac:dyDescent="0.2">
      <c r="A38" s="8" t="s">
        <v>34</v>
      </c>
      <c r="B38" s="9" t="s">
        <v>35</v>
      </c>
      <c r="C38" s="1" t="s">
        <v>340</v>
      </c>
      <c r="D38" s="23" t="s">
        <v>338</v>
      </c>
      <c r="E38" s="1" t="s">
        <v>48</v>
      </c>
      <c r="F38" s="1" t="s">
        <v>39</v>
      </c>
      <c r="G38" s="1">
        <v>-10</v>
      </c>
      <c r="H38" s="1">
        <v>-20</v>
      </c>
      <c r="I38" s="1" t="s">
        <v>40</v>
      </c>
      <c r="J38" s="1">
        <v>3.15</v>
      </c>
      <c r="K38" s="1">
        <v>-10</v>
      </c>
      <c r="L38" s="1">
        <v>-4.10535346602608</v>
      </c>
      <c r="M38" s="1" t="s">
        <v>40</v>
      </c>
      <c r="N38" s="1">
        <v>9.3493479752916997</v>
      </c>
      <c r="O38" s="1">
        <v>0.16266300617707899</v>
      </c>
      <c r="Q38" s="1">
        <v>1.62663006177079E-2</v>
      </c>
      <c r="R38" s="1">
        <v>3.1847028838559201E-2</v>
      </c>
      <c r="S38" s="1" t="str">
        <f>VLOOKUP($E38,'Product Naming'!$A$1:$P$58,2,FALSE)</f>
        <v>1-3-butanediol-PW2</v>
      </c>
      <c r="T38" s="1" t="str">
        <f>VLOOKUP($E38,'Product Naming'!$A$1:$P$58,3,FALSE)</f>
        <v>1,3-Butanediol (PW2)</v>
      </c>
      <c r="U38" s="1" t="str">
        <f>VLOOKUP($E38,'Product Naming'!$A$1:$P$58,4,FALSE)</f>
        <v>E</v>
      </c>
      <c r="V38" s="1" t="str">
        <f>VLOOKUP($E38,'Product Naming'!$A$1:$P$58,5,FALSE)</f>
        <v>C4H10O2</v>
      </c>
      <c r="W38" s="1">
        <f>VLOOKUP($E38,'Product Naming'!$A$1:$P$58,6,FALSE)</f>
        <v>4</v>
      </c>
      <c r="X38" s="1">
        <f>VLOOKUP($E38,'Product Naming'!$A$1:$P$58,7,FALSE)</f>
        <v>10</v>
      </c>
      <c r="Y38" s="1">
        <f>VLOOKUP($E38,'Product Naming'!$A$1:$P$58,8,FALSE)</f>
        <v>2</v>
      </c>
      <c r="Z38" s="1">
        <f>VLOOKUP($E38,'Product Naming'!$A$1:$P$58,9,FALSE)</f>
        <v>0</v>
      </c>
      <c r="AA38" s="1">
        <f>VLOOKUP($E38,'Product Naming'!$A$1:$P$58,10,FALSE)</f>
        <v>0</v>
      </c>
      <c r="AB38" s="29">
        <f>VLOOKUP($E38,'Product Naming'!$A$1:$P$58,11,FALSE)</f>
        <v>5.5</v>
      </c>
      <c r="AC38" s="3">
        <f>VLOOKUP($E38,'Product Naming'!$A$1:$P$58,12,FALSE)</f>
        <v>90.119200000000006</v>
      </c>
      <c r="AD38" s="1">
        <f>VLOOKUP($E38,'Product Naming'!$A$1:$P$58,13,FALSE)</f>
        <v>207</v>
      </c>
      <c r="AE38" s="1" t="str">
        <f>VLOOKUP($E38,'Product Naming'!$A$1:$P$58,14,FALSE)</f>
        <v>Diol</v>
      </c>
      <c r="AF38" s="1" t="str">
        <f>VLOOKUP($E38,'Product Naming'!$A$1:$P$58,15,FALSE)</f>
        <v>Pyruvate (acetalehyde)</v>
      </c>
      <c r="AG38" s="30" t="str">
        <f>VLOOKUP($E38,'Product Naming'!$A$1:$P$58,16,FALSE)</f>
        <v>Proton symporter</v>
      </c>
      <c r="AH38" s="3" t="str">
        <f>VLOOKUP($E38,'Product Naming'!$A$1:$Q$58,17,FALSE)</f>
        <v>13bdo__R_c</v>
      </c>
      <c r="AI38" s="1">
        <f>VLOOKUP($E38,'Product Parameters'!$A$2:$D$59,2,FALSE)</f>
        <v>1</v>
      </c>
      <c r="AJ38" s="1">
        <f>VLOOKUP($E38,'Product Parameters'!$A$2:$D$59,3,FALSE)</f>
        <v>0</v>
      </c>
      <c r="AK38" s="1">
        <f>VLOOKUP($E38,'Product Parameters'!$A$2:$D$59,4,FALSE)</f>
        <v>0.12</v>
      </c>
      <c r="AL38" s="1">
        <f>VLOOKUP($E38,'Product Parameters'!$A$2:$E$59,5,FALSE)</f>
        <v>72.599999999999994</v>
      </c>
      <c r="AM38" s="1">
        <f>VLOOKUP($E38,'Product Parameters'!$A$2:$F$59,6,FALSE)</f>
        <v>4</v>
      </c>
      <c r="AN38" s="1">
        <f>VLOOKUP($C38,'Substrate Heating'!$A$2:$C$33,3,FALSE)</f>
        <v>247.59097</v>
      </c>
      <c r="AO38" s="1">
        <f>VLOOKUP($C38,'Substrate Heating'!$A$2:$B$33,2,FALSE)</f>
        <v>5.5</v>
      </c>
      <c r="AP38" s="1">
        <f>VLOOKUP($C38,'Substrate Heating'!$A$2:$M$33,13,FALSE)</f>
        <v>1</v>
      </c>
      <c r="AQ38" s="1">
        <f>VLOOKUP($C38,'Substrate Heating'!$A$2:$M$33,8,FALSE)</f>
        <v>1</v>
      </c>
      <c r="AR38" s="1">
        <f t="shared" si="0"/>
        <v>6.5065202470831598E-2</v>
      </c>
    </row>
    <row r="39" spans="1:44" x14ac:dyDescent="0.2">
      <c r="A39" s="8" t="s">
        <v>34</v>
      </c>
      <c r="B39" s="9" t="s">
        <v>35</v>
      </c>
      <c r="C39" s="1" t="s">
        <v>340</v>
      </c>
      <c r="D39" s="23" t="s">
        <v>338</v>
      </c>
      <c r="E39" s="1" t="s">
        <v>244</v>
      </c>
      <c r="F39" s="1" t="s">
        <v>245</v>
      </c>
      <c r="G39" s="1">
        <v>-10</v>
      </c>
      <c r="H39" s="1">
        <v>-20</v>
      </c>
      <c r="I39" s="1" t="s">
        <v>40</v>
      </c>
      <c r="J39" s="1">
        <v>3.15</v>
      </c>
      <c r="K39" s="1">
        <v>-10</v>
      </c>
      <c r="L39" s="1">
        <v>-4.1049848942598199</v>
      </c>
      <c r="M39" s="1" t="s">
        <v>40</v>
      </c>
      <c r="N39" s="1">
        <v>9.2839879154078595</v>
      </c>
      <c r="O39" s="1">
        <v>0.17900302114803601</v>
      </c>
      <c r="Q39" s="1">
        <v>1.7900302114803601E-2</v>
      </c>
      <c r="R39" s="1">
        <v>3.3870357007105403E-2</v>
      </c>
      <c r="S39" s="1" t="str">
        <f>VLOOKUP($E39,'Product Naming'!$A$1:$P$58,2,FALSE)</f>
        <v>Isobutyrate</v>
      </c>
      <c r="T39" s="1" t="str">
        <f>VLOOKUP($E39,'Product Naming'!$A$1:$P$58,3,FALSE)</f>
        <v>Isobutyrate</v>
      </c>
      <c r="U39" s="1" t="str">
        <f>VLOOKUP($E39,'Product Naming'!$A$1:$P$58,4,FALSE)</f>
        <v>A</v>
      </c>
      <c r="V39" s="1" t="str">
        <f>VLOOKUP($E39,'Product Naming'!$A$1:$P$58,5,FALSE)</f>
        <v>C4H7O2</v>
      </c>
      <c r="W39" s="1">
        <f>VLOOKUP($E39,'Product Naming'!$A$1:$P$58,6,FALSE)</f>
        <v>4</v>
      </c>
      <c r="X39" s="1">
        <f>VLOOKUP($E39,'Product Naming'!$A$1:$P$58,7,FALSE)</f>
        <v>7</v>
      </c>
      <c r="Y39" s="1">
        <f>VLOOKUP($E39,'Product Naming'!$A$1:$P$58,8,FALSE)</f>
        <v>2</v>
      </c>
      <c r="Z39" s="1">
        <f>VLOOKUP($E39,'Product Naming'!$A$1:$P$58,9,FALSE)</f>
        <v>0</v>
      </c>
      <c r="AA39" s="1">
        <f>VLOOKUP($E39,'Product Naming'!$A$1:$P$58,10,FALSE)</f>
        <v>-1</v>
      </c>
      <c r="AB39" s="29">
        <f>VLOOKUP($E39,'Product Naming'!$A$1:$P$58,11,FALSE)</f>
        <v>4.75</v>
      </c>
      <c r="AC39" s="3">
        <f>VLOOKUP($E39,'Product Naming'!$A$1:$P$58,12,FALSE)</f>
        <v>87.095680000000002</v>
      </c>
      <c r="AD39" s="1">
        <f>VLOOKUP($E39,'Product Naming'!$A$1:$P$58,13,FALSE)</f>
        <v>155</v>
      </c>
      <c r="AE39" s="1" t="str">
        <f>VLOOKUP($E39,'Product Naming'!$A$1:$P$58,14,FALSE)</f>
        <v>Carboxylate</v>
      </c>
      <c r="AF39" s="1" t="str">
        <f>VLOOKUP($E39,'Product Naming'!$A$1:$P$58,15,FALSE)</f>
        <v>Pyruvate</v>
      </c>
      <c r="AG39" s="30" t="str">
        <f>VLOOKUP($E39,'Product Naming'!$A$1:$P$58,16,FALSE)</f>
        <v>Proton symporter</v>
      </c>
      <c r="AH39" s="3" t="str">
        <f>VLOOKUP($E39,'Product Naming'!$A$1:$Q$58,17,FALSE)</f>
        <v>ibt_c</v>
      </c>
      <c r="AI39" s="1">
        <f>VLOOKUP($E39,'Product Parameters'!$A$2:$D$59,2,FALSE)</f>
        <v>1</v>
      </c>
      <c r="AJ39" s="1">
        <f>VLOOKUP($E39,'Product Parameters'!$A$2:$D$59,3,FALSE)</f>
        <v>0</v>
      </c>
      <c r="AK39" s="1">
        <f>VLOOKUP($E39,'Product Parameters'!$A$2:$D$59,4,FALSE)</f>
        <v>0.12</v>
      </c>
      <c r="AL39" s="1">
        <f>VLOOKUP($E39,'Product Parameters'!$A$2:$E$59,5,FALSE)</f>
        <v>44.5</v>
      </c>
      <c r="AM39" s="1">
        <f>VLOOKUP($E39,'Product Parameters'!$A$2:$F$59,6,FALSE)</f>
        <v>4</v>
      </c>
      <c r="AN39" s="1">
        <f>VLOOKUP($C39,'Substrate Heating'!$A$2:$C$33,3,FALSE)</f>
        <v>247.59097</v>
      </c>
      <c r="AO39" s="1">
        <f>VLOOKUP($C39,'Substrate Heating'!$A$2:$B$33,2,FALSE)</f>
        <v>5.5</v>
      </c>
      <c r="AP39" s="1">
        <f>VLOOKUP($C39,'Substrate Heating'!$A$2:$M$33,13,FALSE)</f>
        <v>1</v>
      </c>
      <c r="AQ39" s="1">
        <f>VLOOKUP($C39,'Substrate Heating'!$A$2:$M$33,8,FALSE)</f>
        <v>1</v>
      </c>
      <c r="AR39" s="1">
        <f t="shared" si="0"/>
        <v>7.1601208459214402E-2</v>
      </c>
    </row>
    <row r="40" spans="1:44" x14ac:dyDescent="0.2">
      <c r="A40" s="8" t="s">
        <v>34</v>
      </c>
      <c r="B40" s="9" t="s">
        <v>35</v>
      </c>
      <c r="C40" s="1" t="s">
        <v>340</v>
      </c>
      <c r="D40" s="23" t="s">
        <v>338</v>
      </c>
      <c r="E40" s="1" t="s">
        <v>52</v>
      </c>
      <c r="F40" s="1" t="s">
        <v>53</v>
      </c>
      <c r="G40" s="1">
        <v>-10</v>
      </c>
      <c r="H40" s="1">
        <v>-20</v>
      </c>
      <c r="I40" s="1" t="s">
        <v>40</v>
      </c>
      <c r="J40" s="1">
        <v>3.15</v>
      </c>
      <c r="K40" s="1">
        <v>-10</v>
      </c>
      <c r="L40" s="1">
        <v>-4.1749347258485701</v>
      </c>
      <c r="M40" s="1" t="s">
        <v>40</v>
      </c>
      <c r="N40" s="1">
        <v>9.3812010443864295</v>
      </c>
      <c r="O40" s="1">
        <v>0.20626631853786001</v>
      </c>
      <c r="Q40" s="1">
        <v>2.0626631853786E-2</v>
      </c>
      <c r="R40" s="1">
        <v>3.4119416335616298E-2</v>
      </c>
      <c r="S40" s="1" t="str">
        <f>VLOOKUP($E40,'Product Naming'!$A$1:$P$58,2,FALSE)</f>
        <v>1-3-Diaminopropane</v>
      </c>
      <c r="T40" s="1" t="str">
        <f>VLOOKUP($E40,'Product Naming'!$A$1:$P$58,3,FALSE)</f>
        <v>1,3-Diaminopropane</v>
      </c>
      <c r="U40" s="1" t="str">
        <f>VLOOKUP($E40,'Product Naming'!$A$1:$P$58,4,FALSE)</f>
        <v>A</v>
      </c>
      <c r="V40" s="1" t="str">
        <f>VLOOKUP($E40,'Product Naming'!$A$1:$P$58,5,FALSE)</f>
        <v>C3H12N2</v>
      </c>
      <c r="W40" s="1">
        <f>VLOOKUP($E40,'Product Naming'!$A$1:$P$58,6,FALSE)</f>
        <v>3</v>
      </c>
      <c r="X40" s="1">
        <f>VLOOKUP($E40,'Product Naming'!$A$1:$P$58,7,FALSE)</f>
        <v>12</v>
      </c>
      <c r="Y40" s="1">
        <f>VLOOKUP($E40,'Product Naming'!$A$1:$P$58,8,FALSE)</f>
        <v>0</v>
      </c>
      <c r="Z40" s="1">
        <f>VLOOKUP($E40,'Product Naming'!$A$1:$P$58,9,FALSE)</f>
        <v>2</v>
      </c>
      <c r="AA40" s="1">
        <f>VLOOKUP($E40,'Product Naming'!$A$1:$P$58,10,FALSE)</f>
        <v>2</v>
      </c>
      <c r="AB40" s="29">
        <f>VLOOKUP($E40,'Product Naming'!$A$1:$P$58,11,FALSE)</f>
        <v>6</v>
      </c>
      <c r="AC40" s="3">
        <f>VLOOKUP($E40,'Product Naming'!$A$1:$P$58,12,FALSE)</f>
        <v>76.139580000000009</v>
      </c>
      <c r="AD40" s="1">
        <f>VLOOKUP($E40,'Product Naming'!$A$1:$P$58,13,FALSE)</f>
        <v>139.30000000000001</v>
      </c>
      <c r="AE40" s="1" t="str">
        <f>VLOOKUP($E40,'Product Naming'!$A$1:$P$58,14,FALSE)</f>
        <v>Diamine</v>
      </c>
      <c r="AF40" s="1" t="str">
        <f>VLOOKUP($E40,'Product Naming'!$A$1:$P$58,15,FALSE)</f>
        <v>Oxaloacetate + aKG</v>
      </c>
      <c r="AG40" s="30" t="str">
        <f>VLOOKUP($E40,'Product Naming'!$A$1:$P$58,16,FALSE)</f>
        <v>Proton symporter</v>
      </c>
      <c r="AH40" s="3" t="str">
        <f>VLOOKUP($E40,'Product Naming'!$A$1:$Q$58,17,FALSE)</f>
        <v>13dampp_c</v>
      </c>
      <c r="AI40" s="1">
        <f>VLOOKUP($E40,'Product Parameters'!$A$2:$D$59,2,FALSE)</f>
        <v>1</v>
      </c>
      <c r="AJ40" s="1">
        <f>VLOOKUP($E40,'Product Parameters'!$A$2:$D$59,3,FALSE)</f>
        <v>0</v>
      </c>
      <c r="AK40" s="1">
        <f>VLOOKUP($E40,'Product Parameters'!$A$2:$D$59,4,FALSE)</f>
        <v>0.12</v>
      </c>
      <c r="AL40" s="1">
        <f>VLOOKUP($E40,'Product Parameters'!$A$2:$E$59,5,FALSE)</f>
        <v>50.18</v>
      </c>
      <c r="AM40" s="1">
        <f>VLOOKUP($E40,'Product Parameters'!$A$2:$F$59,6,FALSE)</f>
        <v>3</v>
      </c>
      <c r="AN40" s="1">
        <f>VLOOKUP($C40,'Substrate Heating'!$A$2:$C$33,3,FALSE)</f>
        <v>247.59097</v>
      </c>
      <c r="AO40" s="1">
        <f>VLOOKUP($C40,'Substrate Heating'!$A$2:$B$33,2,FALSE)</f>
        <v>5.5</v>
      </c>
      <c r="AP40" s="1">
        <f>VLOOKUP($C40,'Substrate Heating'!$A$2:$M$33,13,FALSE)</f>
        <v>1</v>
      </c>
      <c r="AQ40" s="1">
        <f>VLOOKUP($C40,'Substrate Heating'!$A$2:$M$33,8,FALSE)</f>
        <v>1</v>
      </c>
      <c r="AR40" s="1">
        <f t="shared" si="0"/>
        <v>6.1879895561357999E-2</v>
      </c>
    </row>
    <row r="41" spans="1:44" x14ac:dyDescent="0.2">
      <c r="A41" s="8" t="s">
        <v>34</v>
      </c>
      <c r="B41" s="9" t="s">
        <v>35</v>
      </c>
      <c r="C41" s="1" t="s">
        <v>340</v>
      </c>
      <c r="D41" s="23" t="s">
        <v>338</v>
      </c>
      <c r="E41" s="1" t="s">
        <v>171</v>
      </c>
      <c r="F41" s="1" t="s">
        <v>172</v>
      </c>
      <c r="G41" s="1">
        <v>-10</v>
      </c>
      <c r="H41" s="1">
        <v>-20</v>
      </c>
      <c r="I41" s="1" t="s">
        <v>40</v>
      </c>
      <c r="J41" s="1">
        <v>3.15</v>
      </c>
      <c r="K41" s="1">
        <v>-10</v>
      </c>
      <c r="L41" s="1">
        <v>-4.0884615384615302</v>
      </c>
      <c r="M41" s="1" t="s">
        <v>40</v>
      </c>
      <c r="N41" s="1">
        <v>9.2707692307692202</v>
      </c>
      <c r="O41" s="1">
        <v>0.182307692307694</v>
      </c>
      <c r="Q41" s="1">
        <v>1.8230769230769401E-2</v>
      </c>
      <c r="R41" s="1">
        <v>3.4495655905698398E-2</v>
      </c>
      <c r="S41" s="1" t="str">
        <f>VLOOKUP($E41,'Product Naming'!$A$1:$P$58,2,FALSE)</f>
        <v>Butyrate</v>
      </c>
      <c r="T41" s="1" t="str">
        <f>VLOOKUP($E41,'Product Naming'!$A$1:$P$58,3,FALSE)</f>
        <v>Butyrate</v>
      </c>
      <c r="U41" s="1" t="str">
        <f>VLOOKUP($E41,'Product Naming'!$A$1:$P$58,4,FALSE)</f>
        <v>A</v>
      </c>
      <c r="V41" s="1" t="str">
        <f>VLOOKUP($E41,'Product Naming'!$A$1:$P$58,5,FALSE)</f>
        <v>C4H7O2</v>
      </c>
      <c r="W41" s="1">
        <f>VLOOKUP($E41,'Product Naming'!$A$1:$P$58,6,FALSE)</f>
        <v>4</v>
      </c>
      <c r="X41" s="1">
        <f>VLOOKUP($E41,'Product Naming'!$A$1:$P$58,7,FALSE)</f>
        <v>7</v>
      </c>
      <c r="Y41" s="1">
        <f>VLOOKUP($E41,'Product Naming'!$A$1:$P$58,8,FALSE)</f>
        <v>2</v>
      </c>
      <c r="Z41" s="1">
        <f>VLOOKUP($E41,'Product Naming'!$A$1:$P$58,9,FALSE)</f>
        <v>0</v>
      </c>
      <c r="AA41" s="1">
        <f>VLOOKUP($E41,'Product Naming'!$A$1:$P$58,10,FALSE)</f>
        <v>-1</v>
      </c>
      <c r="AB41" s="29">
        <f>VLOOKUP($E41,'Product Naming'!$A$1:$P$58,11,FALSE)</f>
        <v>4.75</v>
      </c>
      <c r="AC41" s="3">
        <f>VLOOKUP($E41,'Product Naming'!$A$1:$P$58,12,FALSE)</f>
        <v>87.095680000000002</v>
      </c>
      <c r="AD41" s="1">
        <f>VLOOKUP($E41,'Product Naming'!$A$1:$P$58,13,FALSE)</f>
        <v>163.5</v>
      </c>
      <c r="AE41" s="1" t="str">
        <f>VLOOKUP($E41,'Product Naming'!$A$1:$P$58,14,FALSE)</f>
        <v>Carboxylate</v>
      </c>
      <c r="AF41" s="1" t="str">
        <f>VLOOKUP($E41,'Product Naming'!$A$1:$P$58,15,FALSE)</f>
        <v>Acetyl-CoA</v>
      </c>
      <c r="AG41" s="30" t="str">
        <f>VLOOKUP($E41,'Product Naming'!$A$1:$P$58,16,FALSE)</f>
        <v>Proton symporter</v>
      </c>
      <c r="AH41" s="3" t="str">
        <f>VLOOKUP($E41,'Product Naming'!$A$1:$Q$58,17,FALSE)</f>
        <v>but_c</v>
      </c>
      <c r="AI41" s="1">
        <f>VLOOKUP($E41,'Product Parameters'!$A$2:$D$59,2,FALSE)</f>
        <v>1</v>
      </c>
      <c r="AJ41" s="1">
        <f>VLOOKUP($E41,'Product Parameters'!$A$2:$D$59,3,FALSE)</f>
        <v>0</v>
      </c>
      <c r="AK41" s="1">
        <f>VLOOKUP($E41,'Product Parameters'!$A$2:$D$59,4,FALSE)</f>
        <v>0.12</v>
      </c>
      <c r="AL41" s="1">
        <f>VLOOKUP($E41,'Product Parameters'!$A$2:$E$59,5,FALSE)</f>
        <v>42</v>
      </c>
      <c r="AM41" s="1">
        <f>VLOOKUP($E41,'Product Parameters'!$A$2:$F$59,6,FALSE)</f>
        <v>4</v>
      </c>
      <c r="AN41" s="1">
        <f>VLOOKUP($C41,'Substrate Heating'!$A$2:$C$33,3,FALSE)</f>
        <v>247.59097</v>
      </c>
      <c r="AO41" s="1">
        <f>VLOOKUP($C41,'Substrate Heating'!$A$2:$B$33,2,FALSE)</f>
        <v>5.5</v>
      </c>
      <c r="AP41" s="1">
        <f>VLOOKUP($C41,'Substrate Heating'!$A$2:$M$33,13,FALSE)</f>
        <v>1</v>
      </c>
      <c r="AQ41" s="1">
        <f>VLOOKUP($C41,'Substrate Heating'!$A$2:$M$33,8,FALSE)</f>
        <v>1</v>
      </c>
      <c r="AR41" s="1">
        <f t="shared" si="0"/>
        <v>7.2923076923077604E-2</v>
      </c>
    </row>
    <row r="42" spans="1:44" x14ac:dyDescent="0.2">
      <c r="A42" s="8" t="s">
        <v>34</v>
      </c>
      <c r="B42" s="9" t="s">
        <v>35</v>
      </c>
      <c r="C42" s="1" t="s">
        <v>340</v>
      </c>
      <c r="D42" s="23" t="s">
        <v>338</v>
      </c>
      <c r="E42" s="1" t="s">
        <v>198</v>
      </c>
      <c r="F42" s="1" t="s">
        <v>199</v>
      </c>
      <c r="G42" s="1">
        <v>-10</v>
      </c>
      <c r="H42" s="1">
        <v>-20</v>
      </c>
      <c r="I42" s="1" t="s">
        <v>40</v>
      </c>
      <c r="J42" s="1">
        <v>3.15</v>
      </c>
      <c r="K42" s="1">
        <v>-10</v>
      </c>
      <c r="L42" s="1">
        <v>-4.0988593155893502</v>
      </c>
      <c r="M42" s="1" t="s">
        <v>40</v>
      </c>
      <c r="N42" s="1">
        <v>9.2790874524714795</v>
      </c>
      <c r="O42" s="1">
        <v>0.18022813688212999</v>
      </c>
      <c r="Q42" s="1">
        <v>1.8022813688212999E-2</v>
      </c>
      <c r="R42" s="1">
        <v>3.44967874201762E-2</v>
      </c>
      <c r="S42" s="1" t="str">
        <f>VLOOKUP($E42,'Product Naming'!$A$1:$P$58,2,FALSE)</f>
        <v>EthylAcetate</v>
      </c>
      <c r="T42" s="1" t="str">
        <f>VLOOKUP($E42,'Product Naming'!$A$1:$P$58,3,FALSE)</f>
        <v>Ethyl acetate</v>
      </c>
      <c r="U42" s="1" t="str">
        <f>VLOOKUP($E42,'Product Naming'!$A$1:$P$58,4,FALSE)</f>
        <v>E</v>
      </c>
      <c r="V42" s="1" t="str">
        <f>VLOOKUP($E42,'Product Naming'!$A$1:$P$58,5,FALSE)</f>
        <v>C4H8O2</v>
      </c>
      <c r="W42" s="1">
        <f>VLOOKUP($E42,'Product Naming'!$A$1:$P$58,6,FALSE)</f>
        <v>4</v>
      </c>
      <c r="X42" s="1">
        <f>VLOOKUP($E42,'Product Naming'!$A$1:$P$58,7,FALSE)</f>
        <v>8</v>
      </c>
      <c r="Y42" s="1">
        <f>VLOOKUP($E42,'Product Naming'!$A$1:$P$58,8,FALSE)</f>
        <v>2</v>
      </c>
      <c r="Z42" s="1">
        <f>VLOOKUP($E42,'Product Naming'!$A$1:$P$58,9,FALSE)</f>
        <v>0</v>
      </c>
      <c r="AA42" s="1">
        <f>VLOOKUP($E42,'Product Naming'!$A$1:$P$58,10,FALSE)</f>
        <v>0</v>
      </c>
      <c r="AB42" s="29">
        <f>VLOOKUP($E42,'Product Naming'!$A$1:$P$58,11,FALSE)</f>
        <v>5</v>
      </c>
      <c r="AC42" s="3">
        <f>VLOOKUP($E42,'Product Naming'!$A$1:$P$58,12,FALSE)</f>
        <v>88.103520000000003</v>
      </c>
      <c r="AD42" s="1">
        <f>VLOOKUP($E42,'Product Naming'!$A$1:$P$58,13,FALSE)</f>
        <v>77.099999999999994</v>
      </c>
      <c r="AE42" s="1" t="str">
        <f>VLOOKUP($E42,'Product Naming'!$A$1:$P$58,14,FALSE)</f>
        <v>Carboxylate Ester</v>
      </c>
      <c r="AF42" s="1" t="str">
        <f>VLOOKUP($E42,'Product Naming'!$A$1:$P$58,15,FALSE)</f>
        <v>Acetyl-CoA</v>
      </c>
      <c r="AG42" s="30" t="str">
        <f>VLOOKUP($E42,'Product Naming'!$A$1:$P$58,16,FALSE)</f>
        <v>Proton symporter</v>
      </c>
      <c r="AH42" s="3" t="str">
        <f>VLOOKUP($E42,'Product Naming'!$A$1:$Q$58,17,FALSE)</f>
        <v>aces_c</v>
      </c>
      <c r="AI42" s="1">
        <f>VLOOKUP($E42,'Product Parameters'!$A$2:$D$59,2,FALSE)</f>
        <v>1</v>
      </c>
      <c r="AJ42" s="1">
        <f>VLOOKUP($E42,'Product Parameters'!$A$2:$D$59,3,FALSE)</f>
        <v>0</v>
      </c>
      <c r="AK42" s="1">
        <f>VLOOKUP($E42,'Product Parameters'!$A$2:$D$59,4,FALSE)</f>
        <v>0.12</v>
      </c>
      <c r="AL42" s="1">
        <f>VLOOKUP($E42,'Product Parameters'!$A$2:$E$59,5,FALSE)</f>
        <v>35</v>
      </c>
      <c r="AM42" s="1">
        <f>VLOOKUP($E42,'Product Parameters'!$A$2:$F$59,6,FALSE)</f>
        <v>4</v>
      </c>
      <c r="AN42" s="1">
        <f>VLOOKUP($C42,'Substrate Heating'!$A$2:$C$33,3,FALSE)</f>
        <v>247.59097</v>
      </c>
      <c r="AO42" s="1">
        <f>VLOOKUP($C42,'Substrate Heating'!$A$2:$B$33,2,FALSE)</f>
        <v>5.5</v>
      </c>
      <c r="AP42" s="1">
        <f>VLOOKUP($C42,'Substrate Heating'!$A$2:$M$33,13,FALSE)</f>
        <v>1</v>
      </c>
      <c r="AQ42" s="1">
        <f>VLOOKUP($C42,'Substrate Heating'!$A$2:$M$33,8,FALSE)</f>
        <v>1</v>
      </c>
      <c r="AR42" s="1">
        <f t="shared" si="0"/>
        <v>7.2091254752851996E-2</v>
      </c>
    </row>
    <row r="43" spans="1:44" x14ac:dyDescent="0.2">
      <c r="A43" s="8" t="s">
        <v>34</v>
      </c>
      <c r="B43" s="9" t="s">
        <v>35</v>
      </c>
      <c r="C43" s="1" t="s">
        <v>340</v>
      </c>
      <c r="D43" s="23" t="s">
        <v>338</v>
      </c>
      <c r="E43" s="1" t="s">
        <v>132</v>
      </c>
      <c r="F43" s="1" t="s">
        <v>133</v>
      </c>
      <c r="G43" s="1">
        <v>-10</v>
      </c>
      <c r="H43" s="1">
        <v>-20</v>
      </c>
      <c r="I43" s="1" t="s">
        <v>40</v>
      </c>
      <c r="J43" s="1">
        <v>3.15</v>
      </c>
      <c r="K43" s="1">
        <v>-10</v>
      </c>
      <c r="L43" s="1">
        <v>-4.28114792347177</v>
      </c>
      <c r="M43" s="1" t="s">
        <v>40</v>
      </c>
      <c r="N43" s="1">
        <v>9.3364442370508698</v>
      </c>
      <c r="O43" s="1">
        <v>0.110592627158189</v>
      </c>
      <c r="Q43" s="1">
        <v>1.1059262715818899E-2</v>
      </c>
      <c r="R43" s="1">
        <v>3.4627570859858799E-2</v>
      </c>
      <c r="S43" s="1" t="str">
        <f>VLOOKUP($E43,'Product Naming'!$A$1:$P$58,2,FALSE)</f>
        <v>Adipate</v>
      </c>
      <c r="T43" s="1" t="str">
        <f>VLOOKUP($E43,'Product Naming'!$A$1:$P$58,3,FALSE)</f>
        <v>Adipate</v>
      </c>
      <c r="U43" s="1" t="str">
        <f>VLOOKUP($E43,'Product Naming'!$A$1:$P$58,4,FALSE)</f>
        <v>E</v>
      </c>
      <c r="V43" s="1" t="str">
        <f>VLOOKUP($E43,'Product Naming'!$A$1:$P$58,5,FALSE)</f>
        <v>C6H8O4</v>
      </c>
      <c r="W43" s="1">
        <f>VLOOKUP($E43,'Product Naming'!$A$1:$P$58,6,FALSE)</f>
        <v>6</v>
      </c>
      <c r="X43" s="1">
        <f>VLOOKUP($E43,'Product Naming'!$A$1:$P$58,7,FALSE)</f>
        <v>8</v>
      </c>
      <c r="Y43" s="1">
        <f>VLOOKUP($E43,'Product Naming'!$A$1:$P$58,8,FALSE)</f>
        <v>4</v>
      </c>
      <c r="Z43" s="1">
        <f>VLOOKUP($E43,'Product Naming'!$A$1:$P$58,9,FALSE)</f>
        <v>0</v>
      </c>
      <c r="AA43" s="1">
        <f>VLOOKUP($E43,'Product Naming'!$A$1:$P$58,10,FALSE)</f>
        <v>-2</v>
      </c>
      <c r="AB43" s="29">
        <f>VLOOKUP($E43,'Product Naming'!$A$1:$P$58,11,FALSE)</f>
        <v>4</v>
      </c>
      <c r="AC43" s="3">
        <f>VLOOKUP($E43,'Product Naming'!$A$1:$P$58,12,FALSE)</f>
        <v>144.12291999999999</v>
      </c>
      <c r="AD43" s="1">
        <f>VLOOKUP($E43,'Product Naming'!$A$1:$P$58,13,FALSE)</f>
        <v>337.5</v>
      </c>
      <c r="AE43" s="1" t="str">
        <f>VLOOKUP($E43,'Product Naming'!$A$1:$P$58,14,FALSE)</f>
        <v>Dicarboxylate</v>
      </c>
      <c r="AF43" s="1" t="str">
        <f>VLOOKUP($E43,'Product Naming'!$A$1:$P$58,15,FALSE)</f>
        <v>Glyceraldehyde 3-P</v>
      </c>
      <c r="AG43" s="30" t="str">
        <f>VLOOKUP($E43,'Product Naming'!$A$1:$P$58,16,FALSE)</f>
        <v>Proton symporter</v>
      </c>
      <c r="AH43" s="3" t="str">
        <f>VLOOKUP($E43,'Product Naming'!$A$1:$Q$58,17,FALSE)</f>
        <v>adpac_c</v>
      </c>
      <c r="AI43" s="1">
        <f>VLOOKUP($E43,'Product Parameters'!$A$2:$D$59,2,FALSE)</f>
        <v>1</v>
      </c>
      <c r="AJ43" s="1">
        <f>VLOOKUP($E43,'Product Parameters'!$A$2:$D$59,3,FALSE)</f>
        <v>0</v>
      </c>
      <c r="AK43" s="1">
        <f>VLOOKUP($E43,'Product Parameters'!$A$2:$D$59,4,FALSE)</f>
        <v>0.12</v>
      </c>
      <c r="AL43" s="1">
        <f>VLOOKUP($E43,'Product Parameters'!$A$2:$E$59,5,FALSE)</f>
        <v>40.65</v>
      </c>
      <c r="AM43" s="1">
        <f>VLOOKUP($E43,'Product Parameters'!$A$2:$F$59,6,FALSE)</f>
        <v>6</v>
      </c>
      <c r="AN43" s="1">
        <f>VLOOKUP($C43,'Substrate Heating'!$A$2:$C$33,3,FALSE)</f>
        <v>247.59097</v>
      </c>
      <c r="AO43" s="1">
        <f>VLOOKUP($C43,'Substrate Heating'!$A$2:$B$33,2,FALSE)</f>
        <v>5.5</v>
      </c>
      <c r="AP43" s="1">
        <f>VLOOKUP($C43,'Substrate Heating'!$A$2:$M$33,13,FALSE)</f>
        <v>1</v>
      </c>
      <c r="AQ43" s="1">
        <f>VLOOKUP($C43,'Substrate Heating'!$A$2:$M$33,8,FALSE)</f>
        <v>1</v>
      </c>
      <c r="AR43" s="1">
        <f t="shared" si="0"/>
        <v>6.6355576294913399E-2</v>
      </c>
    </row>
    <row r="44" spans="1:44" x14ac:dyDescent="0.2">
      <c r="A44" s="8" t="s">
        <v>34</v>
      </c>
      <c r="B44" s="9" t="s">
        <v>35</v>
      </c>
      <c r="C44" s="1" t="s">
        <v>339</v>
      </c>
      <c r="D44" s="23" t="s">
        <v>338</v>
      </c>
      <c r="E44" s="1" t="s">
        <v>158</v>
      </c>
      <c r="F44" s="1" t="s">
        <v>159</v>
      </c>
      <c r="G44" s="1">
        <v>-10</v>
      </c>
      <c r="H44" s="1">
        <v>-20</v>
      </c>
      <c r="I44" s="1" t="s">
        <v>40</v>
      </c>
      <c r="J44" s="1">
        <v>3.15</v>
      </c>
      <c r="K44" s="1">
        <v>-10</v>
      </c>
      <c r="L44" s="1">
        <v>-3.2087209302325599</v>
      </c>
      <c r="M44" s="1" t="s">
        <v>40</v>
      </c>
      <c r="N44" s="1">
        <v>8.8976744186046499</v>
      </c>
      <c r="O44" s="1">
        <v>0.27558139534883702</v>
      </c>
      <c r="Q44" s="1">
        <v>2.7558139534883699E-2</v>
      </c>
      <c r="R44" s="1">
        <v>3.4797437725613202E-2</v>
      </c>
      <c r="S44" s="1" t="str">
        <f>VLOOKUP($E44,'Product Naming'!$A$1:$P$58,2,FALSE)</f>
        <v>Butane</v>
      </c>
      <c r="T44" s="1" t="str">
        <f>VLOOKUP($E44,'Product Naming'!$A$1:$P$58,3,FALSE)</f>
        <v>Butane</v>
      </c>
      <c r="U44" s="1" t="str">
        <f>VLOOKUP($E44,'Product Naming'!$A$1:$P$58,4,FALSE)</f>
        <v>E</v>
      </c>
      <c r="V44" s="1" t="str">
        <f>VLOOKUP($E44,'Product Naming'!$A$1:$P$58,5,FALSE)</f>
        <v>C4H10</v>
      </c>
      <c r="W44" s="1">
        <f>VLOOKUP($E44,'Product Naming'!$A$1:$P$58,6,FALSE)</f>
        <v>4</v>
      </c>
      <c r="X44" s="1">
        <f>VLOOKUP($E44,'Product Naming'!$A$1:$P$58,7,FALSE)</f>
        <v>10</v>
      </c>
      <c r="Y44" s="1">
        <f>VLOOKUP($E44,'Product Naming'!$A$1:$P$58,8,FALSE)</f>
        <v>0</v>
      </c>
      <c r="Z44" s="1">
        <f>VLOOKUP($E44,'Product Naming'!$A$1:$P$58,9,FALSE)</f>
        <v>0</v>
      </c>
      <c r="AA44" s="1">
        <f>VLOOKUP($E44,'Product Naming'!$A$1:$P$58,10,FALSE)</f>
        <v>0</v>
      </c>
      <c r="AB44" s="29">
        <f>VLOOKUP($E44,'Product Naming'!$A$1:$P$58,11,FALSE)</f>
        <v>6.5</v>
      </c>
      <c r="AC44" s="3">
        <f>VLOOKUP($E44,'Product Naming'!$A$1:$P$58,12,FALSE)</f>
        <v>58.121200000000002</v>
      </c>
      <c r="AD44" s="1">
        <f>VLOOKUP($E44,'Product Naming'!$A$1:$P$58,13,FALSE)</f>
        <v>-1</v>
      </c>
      <c r="AE44" s="1" t="str">
        <f>VLOOKUP($E44,'Product Naming'!$A$1:$P$58,14,FALSE)</f>
        <v>Hydrocarbon (alkane)</v>
      </c>
      <c r="AF44" s="1" t="str">
        <f>VLOOKUP($E44,'Product Naming'!$A$1:$P$58,15,FALSE)</f>
        <v>Acetyl-CoA + Succinyl-CoA</v>
      </c>
      <c r="AG44" s="30" t="str">
        <f>VLOOKUP($E44,'Product Naming'!$A$1:$P$58,16,FALSE)</f>
        <v>Diffusion</v>
      </c>
      <c r="AH44" s="3" t="str">
        <f>VLOOKUP($E44,'Product Naming'!$A$1:$Q$58,17,FALSE)</f>
        <v>butn_c</v>
      </c>
      <c r="AI44" s="1">
        <f>VLOOKUP($E44,'Product Parameters'!$A$2:$D$59,2,FALSE)</f>
        <v>0</v>
      </c>
      <c r="AJ44" s="1">
        <f>VLOOKUP($E44,'Product Parameters'!$A$2:$D$59,3,FALSE)</f>
        <v>1</v>
      </c>
      <c r="AK44" s="1">
        <f>VLOOKUP($E44,'Product Parameters'!$A$2:$D$59,4,FALSE)</f>
        <v>0.12</v>
      </c>
      <c r="AL44" s="1">
        <f>VLOOKUP($E44,'Product Parameters'!$A$2:$E$59,5,FALSE)</f>
        <v>0</v>
      </c>
      <c r="AM44" s="1">
        <f>VLOOKUP($E44,'Product Parameters'!$A$2:$F$59,6,FALSE)</f>
        <v>4</v>
      </c>
      <c r="AN44" s="1">
        <f>VLOOKUP($C44,'Substrate Heating'!$A$2:$C$33,3,FALSE)</f>
        <v>247.59097</v>
      </c>
      <c r="AO44" s="1">
        <f>VLOOKUP($C44,'Substrate Heating'!$A$2:$B$33,2,FALSE)</f>
        <v>5.5</v>
      </c>
      <c r="AP44" s="1">
        <f>VLOOKUP($C44,'Substrate Heating'!$A$2:$M$33,13,FALSE)</f>
        <v>1</v>
      </c>
      <c r="AQ44" s="1">
        <f>VLOOKUP($C44,'Substrate Heating'!$A$2:$M$33,8,FALSE)</f>
        <v>1</v>
      </c>
      <c r="AR44" s="1">
        <f t="shared" si="0"/>
        <v>0.11023255813953479</v>
      </c>
    </row>
    <row r="45" spans="1:44" x14ac:dyDescent="0.2">
      <c r="A45" s="8" t="s">
        <v>34</v>
      </c>
      <c r="B45" s="9" t="s">
        <v>35</v>
      </c>
      <c r="C45" s="1" t="s">
        <v>340</v>
      </c>
      <c r="D45" s="23" t="s">
        <v>338</v>
      </c>
      <c r="E45" s="1" t="s">
        <v>60</v>
      </c>
      <c r="F45" s="1" t="s">
        <v>61</v>
      </c>
      <c r="G45" s="1">
        <v>-10</v>
      </c>
      <c r="H45" s="1">
        <v>-20</v>
      </c>
      <c r="I45" s="1" t="s">
        <v>40</v>
      </c>
      <c r="J45" s="1">
        <v>3.15</v>
      </c>
      <c r="K45" s="1">
        <v>-10</v>
      </c>
      <c r="L45" s="1">
        <v>-4.1573333333333302</v>
      </c>
      <c r="M45" s="1" t="s">
        <v>40</v>
      </c>
      <c r="N45" s="1">
        <v>9.3680000000000092</v>
      </c>
      <c r="O45" s="1">
        <v>0.210666666666669</v>
      </c>
      <c r="Q45" s="1">
        <v>2.10666666666669E-2</v>
      </c>
      <c r="R45" s="1">
        <v>3.4825896263853698E-2</v>
      </c>
      <c r="S45" s="1" t="str">
        <f>VLOOKUP($E45,'Product Naming'!$A$1:$P$58,2,FALSE)</f>
        <v>1-3-Propanediol</v>
      </c>
      <c r="T45" s="1" t="str">
        <f>VLOOKUP($E45,'Product Naming'!$A$1:$P$58,3,FALSE)</f>
        <v>1,3-Propanediol</v>
      </c>
      <c r="U45" s="1" t="str">
        <f>VLOOKUP($E45,'Product Naming'!$A$1:$P$58,4,FALSE)</f>
        <v>A</v>
      </c>
      <c r="V45" s="1" t="str">
        <f>VLOOKUP($E45,'Product Naming'!$A$1:$P$58,5,FALSE)</f>
        <v>C3H8O2</v>
      </c>
      <c r="W45" s="1">
        <f>VLOOKUP($E45,'Product Naming'!$A$1:$P$58,6,FALSE)</f>
        <v>3</v>
      </c>
      <c r="X45" s="1">
        <f>VLOOKUP($E45,'Product Naming'!$A$1:$P$58,7,FALSE)</f>
        <v>8</v>
      </c>
      <c r="Y45" s="1">
        <f>VLOOKUP($E45,'Product Naming'!$A$1:$P$58,8,FALSE)</f>
        <v>2</v>
      </c>
      <c r="Z45" s="1">
        <f>VLOOKUP($E45,'Product Naming'!$A$1:$P$58,9,FALSE)</f>
        <v>0</v>
      </c>
      <c r="AA45" s="1">
        <f>VLOOKUP($E45,'Product Naming'!$A$1:$P$58,10,FALSE)</f>
        <v>0</v>
      </c>
      <c r="AB45" s="29">
        <f>VLOOKUP($E45,'Product Naming'!$A$1:$P$58,11,FALSE)</f>
        <v>5.333333333333333</v>
      </c>
      <c r="AC45" s="3">
        <f>VLOOKUP($E45,'Product Naming'!$A$1:$P$58,12,FALSE)</f>
        <v>76.092820000000003</v>
      </c>
      <c r="AD45" s="1">
        <f>VLOOKUP($E45,'Product Naming'!$A$1:$P$58,13,FALSE)</f>
        <v>213</v>
      </c>
      <c r="AE45" s="1" t="str">
        <f>VLOOKUP($E45,'Product Naming'!$A$1:$P$58,14,FALSE)</f>
        <v>Diol</v>
      </c>
      <c r="AF45" s="1" t="str">
        <f>VLOOKUP($E45,'Product Naming'!$A$1:$P$58,15,FALSE)</f>
        <v>Glyceraldehyde 3-P</v>
      </c>
      <c r="AG45" s="30" t="str">
        <f>VLOOKUP($E45,'Product Naming'!$A$1:$P$58,16,FALSE)</f>
        <v>Proton symporter</v>
      </c>
      <c r="AH45" s="3" t="str">
        <f>VLOOKUP($E45,'Product Naming'!$A$1:$Q$58,17,FALSE)</f>
        <v>13ppd_c</v>
      </c>
      <c r="AI45" s="1">
        <f>VLOOKUP($E45,'Product Parameters'!$A$2:$D$59,2,FALSE)</f>
        <v>1</v>
      </c>
      <c r="AJ45" s="1">
        <f>VLOOKUP($E45,'Product Parameters'!$A$2:$D$59,3,FALSE)</f>
        <v>0</v>
      </c>
      <c r="AK45" s="1">
        <f>VLOOKUP($E45,'Product Parameters'!$A$2:$D$59,4,FALSE)</f>
        <v>0.12</v>
      </c>
      <c r="AL45" s="1">
        <f>VLOOKUP($E45,'Product Parameters'!$A$2:$E$59,5,FALSE)</f>
        <v>70</v>
      </c>
      <c r="AM45" s="1">
        <f>VLOOKUP($E45,'Product Parameters'!$A$2:$F$59,6,FALSE)</f>
        <v>3</v>
      </c>
      <c r="AN45" s="1">
        <f>VLOOKUP($C45,'Substrate Heating'!$A$2:$C$33,3,FALSE)</f>
        <v>247.59097</v>
      </c>
      <c r="AO45" s="1">
        <f>VLOOKUP($C45,'Substrate Heating'!$A$2:$B$33,2,FALSE)</f>
        <v>5.5</v>
      </c>
      <c r="AP45" s="1">
        <f>VLOOKUP($C45,'Substrate Heating'!$A$2:$M$33,13,FALSE)</f>
        <v>1</v>
      </c>
      <c r="AQ45" s="1">
        <f>VLOOKUP($C45,'Substrate Heating'!$A$2:$M$33,8,FALSE)</f>
        <v>1</v>
      </c>
      <c r="AR45" s="1">
        <f t="shared" si="0"/>
        <v>6.32000000000007E-2</v>
      </c>
    </row>
    <row r="46" spans="1:44" x14ac:dyDescent="0.2">
      <c r="A46" s="8" t="s">
        <v>34</v>
      </c>
      <c r="B46" s="9" t="s">
        <v>35</v>
      </c>
      <c r="C46" s="1" t="s">
        <v>340</v>
      </c>
      <c r="D46" s="23" t="s">
        <v>338</v>
      </c>
      <c r="E46" s="1" t="s">
        <v>209</v>
      </c>
      <c r="F46" s="1" t="s">
        <v>210</v>
      </c>
      <c r="G46" s="1">
        <v>-10</v>
      </c>
      <c r="H46" s="1">
        <v>-20</v>
      </c>
      <c r="I46" s="1" t="s">
        <v>40</v>
      </c>
      <c r="J46" s="1">
        <v>3.15</v>
      </c>
      <c r="K46" s="1">
        <v>-10</v>
      </c>
      <c r="L46" s="1">
        <v>-4.1350364963503603</v>
      </c>
      <c r="M46" s="1" t="s">
        <v>40</v>
      </c>
      <c r="N46" s="1">
        <v>9.2311435523114298</v>
      </c>
      <c r="O46" s="1">
        <v>0.192214111922141</v>
      </c>
      <c r="Q46" s="1">
        <v>1.92214111922141E-2</v>
      </c>
      <c r="R46" s="1">
        <v>3.5949253769086399E-2</v>
      </c>
      <c r="S46" s="1" t="str">
        <f>VLOOKUP($E46,'Product Naming'!$A$1:$P$58,2,FALSE)</f>
        <v>GammaButyrolactone</v>
      </c>
      <c r="T46" s="1" t="str">
        <f>VLOOKUP($E46,'Product Naming'!$A$1:$P$58,3,FALSE)</f>
        <v>Gamma butyrolactone</v>
      </c>
      <c r="U46" s="1" t="str">
        <f>VLOOKUP($E46,'Product Naming'!$A$1:$P$58,4,FALSE)</f>
        <v>A</v>
      </c>
      <c r="V46" s="1" t="str">
        <f>VLOOKUP($E46,'Product Naming'!$A$1:$P$58,5,FALSE)</f>
        <v>C4H6O2</v>
      </c>
      <c r="W46" s="1">
        <f>VLOOKUP($E46,'Product Naming'!$A$1:$P$58,6,FALSE)</f>
        <v>4</v>
      </c>
      <c r="X46" s="1">
        <f>VLOOKUP($E46,'Product Naming'!$A$1:$P$58,7,FALSE)</f>
        <v>6</v>
      </c>
      <c r="Y46" s="1">
        <f>VLOOKUP($E46,'Product Naming'!$A$1:$P$58,8,FALSE)</f>
        <v>2</v>
      </c>
      <c r="Z46" s="1">
        <f>VLOOKUP($E46,'Product Naming'!$A$1:$P$58,9,FALSE)</f>
        <v>0</v>
      </c>
      <c r="AA46" s="1">
        <f>VLOOKUP($E46,'Product Naming'!$A$1:$P$58,10,FALSE)</f>
        <v>0</v>
      </c>
      <c r="AB46" s="29">
        <f>VLOOKUP($E46,'Product Naming'!$A$1:$P$58,11,FALSE)</f>
        <v>4.5</v>
      </c>
      <c r="AC46" s="3">
        <f>VLOOKUP($E46,'Product Naming'!$A$1:$P$58,12,FALSE)</f>
        <v>86.08784</v>
      </c>
      <c r="AD46" s="1">
        <f>VLOOKUP($E46,'Product Naming'!$A$1:$P$58,13,FALSE)</f>
        <v>204</v>
      </c>
      <c r="AE46" s="1" t="str">
        <f>VLOOKUP($E46,'Product Naming'!$A$1:$P$58,14,FALSE)</f>
        <v>Lactone (cyclic ester)</v>
      </c>
      <c r="AF46" s="1" t="str">
        <f>VLOOKUP($E46,'Product Naming'!$A$1:$P$58,15,FALSE)</f>
        <v>aKG</v>
      </c>
      <c r="AG46" s="30" t="str">
        <f>VLOOKUP($E46,'Product Naming'!$A$1:$P$58,16,FALSE)</f>
        <v>Proton symporter</v>
      </c>
      <c r="AH46" s="3" t="str">
        <f>VLOOKUP($E46,'Product Naming'!$A$1:$Q$58,17,FALSE)</f>
        <v>gblt_c</v>
      </c>
      <c r="AI46" s="1">
        <f>VLOOKUP($E46,'Product Parameters'!$A$2:$D$59,2,FALSE)</f>
        <v>1</v>
      </c>
      <c r="AJ46" s="1">
        <f>VLOOKUP($E46,'Product Parameters'!$A$2:$D$59,3,FALSE)</f>
        <v>0</v>
      </c>
      <c r="AK46" s="1">
        <f>VLOOKUP($E46,'Product Parameters'!$A$2:$D$59,4,FALSE)</f>
        <v>0.12</v>
      </c>
      <c r="AL46" s="1">
        <f>VLOOKUP($E46,'Product Parameters'!$A$2:$E$59,5,FALSE)</f>
        <v>0</v>
      </c>
      <c r="AM46" s="1">
        <f>VLOOKUP($E46,'Product Parameters'!$A$2:$F$59,6,FALSE)</f>
        <v>4</v>
      </c>
      <c r="AN46" s="1">
        <f>VLOOKUP($C46,'Substrate Heating'!$A$2:$C$33,3,FALSE)</f>
        <v>247.59097</v>
      </c>
      <c r="AO46" s="1">
        <f>VLOOKUP($C46,'Substrate Heating'!$A$2:$B$33,2,FALSE)</f>
        <v>5.5</v>
      </c>
      <c r="AP46" s="1">
        <f>VLOOKUP($C46,'Substrate Heating'!$A$2:$M$33,13,FALSE)</f>
        <v>1</v>
      </c>
      <c r="AQ46" s="1">
        <f>VLOOKUP($C46,'Substrate Heating'!$A$2:$M$33,8,FALSE)</f>
        <v>1</v>
      </c>
      <c r="AR46" s="1">
        <f t="shared" si="0"/>
        <v>7.6885644768856398E-2</v>
      </c>
    </row>
    <row r="47" spans="1:44" x14ac:dyDescent="0.2">
      <c r="A47" s="8" t="s">
        <v>34</v>
      </c>
      <c r="B47" s="9" t="s">
        <v>35</v>
      </c>
      <c r="C47" s="1" t="s">
        <v>339</v>
      </c>
      <c r="D47" s="23" t="s">
        <v>338</v>
      </c>
      <c r="E47" s="1" t="s">
        <v>301</v>
      </c>
      <c r="F47" s="1" t="s">
        <v>302</v>
      </c>
      <c r="G47" s="1">
        <v>-10</v>
      </c>
      <c r="H47" s="1">
        <v>-20</v>
      </c>
      <c r="I47" s="1" t="s">
        <v>40</v>
      </c>
      <c r="J47" s="1">
        <v>3.15</v>
      </c>
      <c r="K47" s="1">
        <v>-10</v>
      </c>
      <c r="L47" s="1">
        <v>-3.11904761904762</v>
      </c>
      <c r="M47" s="1" t="s">
        <v>40</v>
      </c>
      <c r="N47" s="1">
        <v>8.8714285714285701</v>
      </c>
      <c r="O47" s="1">
        <v>0.37619047619047502</v>
      </c>
      <c r="Q47" s="1">
        <v>3.7619047619047503E-2</v>
      </c>
      <c r="R47" s="1">
        <v>3.6037791623940503E-2</v>
      </c>
      <c r="S47" s="1" t="str">
        <f>VLOOKUP($E47,'Product Naming'!$A$1:$P$58,2,FALSE)</f>
        <v>Propane-PW1</v>
      </c>
      <c r="T47" s="1" t="str">
        <f>VLOOKUP($E47,'Product Naming'!$A$1:$P$58,3,FALSE)</f>
        <v>Propane (PW1)</v>
      </c>
      <c r="U47" s="1" t="str">
        <f>VLOOKUP($E47,'Product Naming'!$A$1:$P$58,4,FALSE)</f>
        <v>E</v>
      </c>
      <c r="V47" s="1" t="str">
        <f>VLOOKUP($E47,'Product Naming'!$A$1:$P$58,5,FALSE)</f>
        <v>C3H8</v>
      </c>
      <c r="W47" s="1">
        <f>VLOOKUP($E47,'Product Naming'!$A$1:$P$58,6,FALSE)</f>
        <v>3</v>
      </c>
      <c r="X47" s="1">
        <f>VLOOKUP($E47,'Product Naming'!$A$1:$P$58,7,FALSE)</f>
        <v>8</v>
      </c>
      <c r="Y47" s="1">
        <f>VLOOKUP($E47,'Product Naming'!$A$1:$P$58,8,FALSE)</f>
        <v>0</v>
      </c>
      <c r="Z47" s="1">
        <f>VLOOKUP($E47,'Product Naming'!$A$1:$P$58,9,FALSE)</f>
        <v>0</v>
      </c>
      <c r="AA47" s="1">
        <f>VLOOKUP($E47,'Product Naming'!$A$1:$P$58,10,FALSE)</f>
        <v>0</v>
      </c>
      <c r="AB47" s="29">
        <f>VLOOKUP($E47,'Product Naming'!$A$1:$P$58,11,FALSE)</f>
        <v>6.666666666666667</v>
      </c>
      <c r="AC47" s="3">
        <f>VLOOKUP($E47,'Product Naming'!$A$1:$P$58,12,FALSE)</f>
        <v>44.094819999999999</v>
      </c>
      <c r="AD47" s="1">
        <f>VLOOKUP($E47,'Product Naming'!$A$1:$P$58,13,FALSE)</f>
        <v>-42</v>
      </c>
      <c r="AE47" s="1" t="str">
        <f>VLOOKUP($E47,'Product Naming'!$A$1:$P$58,14,FALSE)</f>
        <v>Hydrocarbon</v>
      </c>
      <c r="AF47" s="1" t="str">
        <f>VLOOKUP($E47,'Product Naming'!$A$1:$P$58,15,FALSE)</f>
        <v>Acetyl-CoA</v>
      </c>
      <c r="AG47" s="30" t="str">
        <f>VLOOKUP($E47,'Product Naming'!$A$1:$P$58,16,FALSE)</f>
        <v>Diffusion</v>
      </c>
      <c r="AH47" s="3" t="str">
        <f>VLOOKUP($E47,'Product Naming'!$A$1:$Q$58,17,FALSE)</f>
        <v>prop_c</v>
      </c>
      <c r="AI47" s="1">
        <f>VLOOKUP($E47,'Product Parameters'!$A$2:$D$59,2,FALSE)</f>
        <v>0</v>
      </c>
      <c r="AJ47" s="1">
        <f>VLOOKUP($E47,'Product Parameters'!$A$2:$D$59,3,FALSE)</f>
        <v>1</v>
      </c>
      <c r="AK47" s="1">
        <f>VLOOKUP($E47,'Product Parameters'!$A$2:$D$59,4,FALSE)</f>
        <v>0.12</v>
      </c>
      <c r="AL47" s="1">
        <f>VLOOKUP($E47,'Product Parameters'!$A$2:$E$59,5,FALSE)</f>
        <v>0</v>
      </c>
      <c r="AM47" s="1">
        <f>VLOOKUP($E47,'Product Parameters'!$A$2:$F$59,6,FALSE)</f>
        <v>3</v>
      </c>
      <c r="AN47" s="1">
        <f>VLOOKUP($C47,'Substrate Heating'!$A$2:$C$33,3,FALSE)</f>
        <v>247.59097</v>
      </c>
      <c r="AO47" s="1">
        <f>VLOOKUP($C47,'Substrate Heating'!$A$2:$B$33,2,FALSE)</f>
        <v>5.5</v>
      </c>
      <c r="AP47" s="1">
        <f>VLOOKUP($C47,'Substrate Heating'!$A$2:$M$33,13,FALSE)</f>
        <v>1</v>
      </c>
      <c r="AQ47" s="1">
        <f>VLOOKUP($C47,'Substrate Heating'!$A$2:$M$33,8,FALSE)</f>
        <v>1</v>
      </c>
      <c r="AR47" s="1">
        <f t="shared" si="0"/>
        <v>0.11285714285714252</v>
      </c>
    </row>
    <row r="48" spans="1:44" x14ac:dyDescent="0.2">
      <c r="A48" s="17" t="s">
        <v>231</v>
      </c>
      <c r="B48" s="9" t="s">
        <v>35</v>
      </c>
      <c r="C48" t="s">
        <v>339</v>
      </c>
      <c r="D48" s="23" t="s">
        <v>338</v>
      </c>
      <c r="E48" t="s">
        <v>236</v>
      </c>
      <c r="F48" t="s">
        <v>237</v>
      </c>
      <c r="G48">
        <v>-10</v>
      </c>
      <c r="H48">
        <v>-20</v>
      </c>
      <c r="I48" s="1" t="s">
        <v>40</v>
      </c>
      <c r="J48">
        <v>3.15</v>
      </c>
      <c r="K48">
        <v>-10</v>
      </c>
      <c r="L48">
        <v>-3.1</v>
      </c>
      <c r="M48" s="1" t="s">
        <v>40</v>
      </c>
      <c r="N48">
        <v>8.8000000000000007</v>
      </c>
      <c r="O48">
        <v>0.20000000000000101</v>
      </c>
      <c r="P48"/>
      <c r="Q48">
        <v>2.0000000000000101E-2</v>
      </c>
      <c r="R48">
        <v>3.7442845473347697E-2</v>
      </c>
      <c r="S48" s="1" t="str">
        <f>VLOOKUP($E48,'Product Naming'!$A$1:$P$58,2,FALSE)</f>
        <v>Hexane</v>
      </c>
      <c r="T48" s="1" t="str">
        <f>VLOOKUP($E48,'Product Naming'!$A$1:$P$58,3,FALSE)</f>
        <v>Hexane</v>
      </c>
      <c r="U48" s="1" t="str">
        <f>VLOOKUP($E48,'Product Naming'!$A$1:$P$58,4,FALSE)</f>
        <v>E</v>
      </c>
      <c r="V48" s="1" t="str">
        <f>VLOOKUP($E48,'Product Naming'!$A$1:$P$58,5,FALSE)</f>
        <v>C6H14</v>
      </c>
      <c r="W48" s="1">
        <f>VLOOKUP($E48,'Product Naming'!$A$1:$P$58,6,FALSE)</f>
        <v>6</v>
      </c>
      <c r="X48" s="1">
        <f>VLOOKUP($E48,'Product Naming'!$A$1:$P$58,7,FALSE)</f>
        <v>14</v>
      </c>
      <c r="Y48" s="1">
        <f>VLOOKUP($E48,'Product Naming'!$A$1:$P$58,8,FALSE)</f>
        <v>0</v>
      </c>
      <c r="Z48" s="1">
        <f>VLOOKUP($E48,'Product Naming'!$A$1:$P$58,9,FALSE)</f>
        <v>0</v>
      </c>
      <c r="AA48" s="1">
        <f>VLOOKUP($E48,'Product Naming'!$A$1:$P$58,10,FALSE)</f>
        <v>0</v>
      </c>
      <c r="AB48" s="29">
        <f>VLOOKUP($E48,'Product Naming'!$A$1:$P$58,11,FALSE)</f>
        <v>6.333333333333333</v>
      </c>
      <c r="AC48" s="3">
        <f>VLOOKUP($E48,'Product Naming'!$A$1:$P$58,12,FALSE)</f>
        <v>86.173959999999994</v>
      </c>
      <c r="AD48" s="1">
        <f>VLOOKUP($E48,'Product Naming'!$A$1:$P$58,13,FALSE)</f>
        <v>69</v>
      </c>
      <c r="AE48" s="1" t="str">
        <f>VLOOKUP($E48,'Product Naming'!$A$1:$P$58,14,FALSE)</f>
        <v>Hydrocarbon (alkane)</v>
      </c>
      <c r="AF48" s="1" t="str">
        <f>VLOOKUP($E48,'Product Naming'!$A$1:$P$58,15,FALSE)</f>
        <v>Acetyl-CoA + Succinyl-CoA</v>
      </c>
      <c r="AG48" s="30" t="str">
        <f>VLOOKUP($E48,'Product Naming'!$A$1:$P$58,16,FALSE)</f>
        <v>Proton symporter</v>
      </c>
      <c r="AH48" s="3" t="str">
        <f>VLOOKUP($E48,'Product Naming'!$A$1:$Q$58,17,FALSE)</f>
        <v>hex_c</v>
      </c>
      <c r="AI48" s="1">
        <f>VLOOKUP($E48,'Product Parameters'!$A$2:$D$59,2,FALSE)</f>
        <v>1</v>
      </c>
      <c r="AJ48" s="1">
        <f>VLOOKUP($E48,'Product Parameters'!$A$2:$D$59,3,FALSE)</f>
        <v>0</v>
      </c>
      <c r="AK48" s="1">
        <f>VLOOKUP($E48,'Product Parameters'!$A$2:$D$59,4,FALSE)</f>
        <v>0.12</v>
      </c>
      <c r="AL48" s="1">
        <f>VLOOKUP($E48,'Product Parameters'!$A$2:$E$59,5,FALSE)</f>
        <v>31</v>
      </c>
      <c r="AM48" s="1">
        <f>VLOOKUP($E48,'Product Parameters'!$A$2:$F$59,6,FALSE)</f>
        <v>6</v>
      </c>
      <c r="AN48" s="1">
        <f>VLOOKUP($C48,'Substrate Heating'!$A$2:$C$33,3,FALSE)</f>
        <v>247.59097</v>
      </c>
      <c r="AO48" s="1">
        <f>VLOOKUP($C48,'Substrate Heating'!$A$2:$B$33,2,FALSE)</f>
        <v>5.5</v>
      </c>
      <c r="AP48" s="1">
        <f>VLOOKUP($C48,'Substrate Heating'!$A$2:$M$33,13,FALSE)</f>
        <v>1</v>
      </c>
      <c r="AQ48" s="1">
        <f>VLOOKUP($C48,'Substrate Heating'!$A$2:$M$33,8,FALSE)</f>
        <v>1</v>
      </c>
      <c r="AR48" s="1">
        <f t="shared" si="0"/>
        <v>0.12000000000000061</v>
      </c>
    </row>
    <row r="49" spans="1:44" x14ac:dyDescent="0.2">
      <c r="A49" s="8" t="s">
        <v>34</v>
      </c>
      <c r="B49" s="9" t="s">
        <v>35</v>
      </c>
      <c r="C49" s="1" t="s">
        <v>339</v>
      </c>
      <c r="D49" s="23" t="s">
        <v>338</v>
      </c>
      <c r="E49" s="1" t="s">
        <v>287</v>
      </c>
      <c r="F49" s="1" t="s">
        <v>288</v>
      </c>
      <c r="G49" s="1">
        <v>-10</v>
      </c>
      <c r="H49" s="1">
        <v>-20</v>
      </c>
      <c r="I49" s="1" t="s">
        <v>40</v>
      </c>
      <c r="J49" s="1">
        <v>3.15</v>
      </c>
      <c r="K49" s="1">
        <v>-10</v>
      </c>
      <c r="L49" s="1">
        <v>-3.0848484848484898</v>
      </c>
      <c r="M49" s="1" t="s">
        <v>40</v>
      </c>
      <c r="N49" s="1">
        <v>8.8030303030303099</v>
      </c>
      <c r="O49" s="1">
        <v>0.23939393939393999</v>
      </c>
      <c r="Q49" s="1">
        <v>2.3939393939394E-2</v>
      </c>
      <c r="R49" s="1">
        <v>3.7523014308052702E-2</v>
      </c>
      <c r="S49" s="1" t="str">
        <f>VLOOKUP($E49,'Product Naming'!$A$1:$P$58,2,FALSE)</f>
        <v>Pentane</v>
      </c>
      <c r="T49" s="1" t="str">
        <f>VLOOKUP($E49,'Product Naming'!$A$1:$P$58,3,FALSE)</f>
        <v>Pentane</v>
      </c>
      <c r="U49" s="1" t="str">
        <f>VLOOKUP($E49,'Product Naming'!$A$1:$P$58,4,FALSE)</f>
        <v>E</v>
      </c>
      <c r="V49" s="1" t="str">
        <f>VLOOKUP($E49,'Product Naming'!$A$1:$P$58,5,FALSE)</f>
        <v>C5H12</v>
      </c>
      <c r="W49" s="1">
        <f>VLOOKUP($E49,'Product Naming'!$A$1:$P$58,6,FALSE)</f>
        <v>5</v>
      </c>
      <c r="X49" s="1">
        <f>VLOOKUP($E49,'Product Naming'!$A$1:$P$58,7,FALSE)</f>
        <v>12</v>
      </c>
      <c r="Y49" s="1">
        <f>VLOOKUP($E49,'Product Naming'!$A$1:$P$58,8,FALSE)</f>
        <v>0</v>
      </c>
      <c r="Z49" s="1">
        <f>VLOOKUP($E49,'Product Naming'!$A$1:$P$58,9,FALSE)</f>
        <v>0</v>
      </c>
      <c r="AA49" s="1">
        <f>VLOOKUP($E49,'Product Naming'!$A$1:$P$58,10,FALSE)</f>
        <v>0</v>
      </c>
      <c r="AB49" s="29">
        <f>VLOOKUP($E49,'Product Naming'!$A$1:$P$58,11,FALSE)</f>
        <v>6.4</v>
      </c>
      <c r="AC49" s="3">
        <f>VLOOKUP($E49,'Product Naming'!$A$1:$P$58,12,FALSE)</f>
        <v>72.147580000000005</v>
      </c>
      <c r="AD49" s="1">
        <f>VLOOKUP($E49,'Product Naming'!$A$1:$P$58,13,FALSE)</f>
        <v>36.1</v>
      </c>
      <c r="AE49" s="1" t="str">
        <f>VLOOKUP($E49,'Product Naming'!$A$1:$P$58,14,FALSE)</f>
        <v>Hydrocarbon (alkane)</v>
      </c>
      <c r="AF49" s="1" t="str">
        <f>VLOOKUP($E49,'Product Naming'!$A$1:$P$58,15,FALSE)</f>
        <v>Acetyl-CoA</v>
      </c>
      <c r="AG49" s="30" t="str">
        <f>VLOOKUP($E49,'Product Naming'!$A$1:$P$58,16,FALSE)</f>
        <v>Diffusion</v>
      </c>
      <c r="AH49" s="3" t="str">
        <f>VLOOKUP($E49,'Product Naming'!$A$1:$Q$58,17,FALSE)</f>
        <v>pent_c</v>
      </c>
      <c r="AI49" s="1">
        <f>VLOOKUP($E49,'Product Parameters'!$A$2:$D$59,2,FALSE)</f>
        <v>0</v>
      </c>
      <c r="AJ49" s="1">
        <f>VLOOKUP($E49,'Product Parameters'!$A$2:$D$59,3,FALSE)</f>
        <v>1</v>
      </c>
      <c r="AK49" s="1">
        <f>VLOOKUP($E49,'Product Parameters'!$A$2:$D$59,4,FALSE)</f>
        <v>0.12</v>
      </c>
      <c r="AL49" s="1">
        <f>VLOOKUP($E49,'Product Parameters'!$A$2:$E$59,5,FALSE)</f>
        <v>26.5</v>
      </c>
      <c r="AM49" s="1">
        <f>VLOOKUP($E49,'Product Parameters'!$A$2:$F$59,6,FALSE)</f>
        <v>5</v>
      </c>
      <c r="AN49" s="1">
        <f>VLOOKUP($C49,'Substrate Heating'!$A$2:$C$33,3,FALSE)</f>
        <v>247.59097</v>
      </c>
      <c r="AO49" s="1">
        <f>VLOOKUP($C49,'Substrate Heating'!$A$2:$B$33,2,FALSE)</f>
        <v>5.5</v>
      </c>
      <c r="AP49" s="1">
        <f>VLOOKUP($C49,'Substrate Heating'!$A$2:$M$33,13,FALSE)</f>
        <v>1</v>
      </c>
      <c r="AQ49" s="1">
        <f>VLOOKUP($C49,'Substrate Heating'!$A$2:$M$33,8,FALSE)</f>
        <v>1</v>
      </c>
      <c r="AR49" s="1">
        <f t="shared" si="0"/>
        <v>0.11969696969697</v>
      </c>
    </row>
    <row r="50" spans="1:44" x14ac:dyDescent="0.2">
      <c r="A50" s="17" t="s">
        <v>231</v>
      </c>
      <c r="B50" s="9" t="s">
        <v>35</v>
      </c>
      <c r="C50" t="s">
        <v>339</v>
      </c>
      <c r="D50" s="23" t="s">
        <v>338</v>
      </c>
      <c r="E50" t="s">
        <v>283</v>
      </c>
      <c r="F50" t="s">
        <v>284</v>
      </c>
      <c r="G50">
        <v>-10</v>
      </c>
      <c r="H50">
        <v>-20</v>
      </c>
      <c r="I50" s="1" t="s">
        <v>40</v>
      </c>
      <c r="J50">
        <v>3.15</v>
      </c>
      <c r="K50">
        <v>-10</v>
      </c>
      <c r="L50">
        <v>-3.0825242718446599</v>
      </c>
      <c r="M50" s="1" t="s">
        <v>40</v>
      </c>
      <c r="N50">
        <v>8.7728155339805802</v>
      </c>
      <c r="O50">
        <v>0.153398058252426</v>
      </c>
      <c r="P50"/>
      <c r="Q50">
        <v>1.53398058252426E-2</v>
      </c>
      <c r="R50">
        <v>3.80671503739844E-2</v>
      </c>
      <c r="S50" s="1" t="str">
        <f>VLOOKUP($E50,'Product Naming'!$A$1:$P$58,2,FALSE)</f>
        <v>Octane</v>
      </c>
      <c r="T50" s="1" t="str">
        <f>VLOOKUP($E50,'Product Naming'!$A$1:$P$58,3,FALSE)</f>
        <v>Octane</v>
      </c>
      <c r="U50" s="1" t="str">
        <f>VLOOKUP($E50,'Product Naming'!$A$1:$P$58,4,FALSE)</f>
        <v>E</v>
      </c>
      <c r="V50" s="1" t="str">
        <f>VLOOKUP($E50,'Product Naming'!$A$1:$P$58,5,FALSE)</f>
        <v>C8H18</v>
      </c>
      <c r="W50" s="1">
        <f>VLOOKUP($E50,'Product Naming'!$A$1:$P$58,6,FALSE)</f>
        <v>8</v>
      </c>
      <c r="X50" s="1">
        <f>VLOOKUP($E50,'Product Naming'!$A$1:$P$58,7,FALSE)</f>
        <v>18</v>
      </c>
      <c r="Y50" s="1">
        <f>VLOOKUP($E50,'Product Naming'!$A$1:$P$58,8,FALSE)</f>
        <v>0</v>
      </c>
      <c r="Z50" s="1">
        <f>VLOOKUP($E50,'Product Naming'!$A$1:$P$58,9,FALSE)</f>
        <v>0</v>
      </c>
      <c r="AA50" s="1">
        <f>VLOOKUP($E50,'Product Naming'!$A$1:$P$58,10,FALSE)</f>
        <v>0</v>
      </c>
      <c r="AB50" s="29">
        <f>VLOOKUP($E50,'Product Naming'!$A$1:$P$58,11,FALSE)</f>
        <v>6.25</v>
      </c>
      <c r="AC50" s="3">
        <f>VLOOKUP($E50,'Product Naming'!$A$1:$P$58,12,FALSE)</f>
        <v>114.22672</v>
      </c>
      <c r="AD50" s="1">
        <f>VLOOKUP($E50,'Product Naming'!$A$1:$P$58,13,FALSE)</f>
        <v>126</v>
      </c>
      <c r="AE50" s="1" t="str">
        <f>VLOOKUP($E50,'Product Naming'!$A$1:$P$58,14,FALSE)</f>
        <v>Hydrocarbon (alkane)</v>
      </c>
      <c r="AF50" s="1" t="str">
        <f>VLOOKUP($E50,'Product Naming'!$A$1:$P$58,15,FALSE)</f>
        <v>Acetyl-CoA + Succinyl-CoA</v>
      </c>
      <c r="AG50" s="30" t="str">
        <f>VLOOKUP($E50,'Product Naming'!$A$1:$P$58,16,FALSE)</f>
        <v>Proton symporter</v>
      </c>
      <c r="AH50" s="3" t="str">
        <f>VLOOKUP($E50,'Product Naming'!$A$1:$Q$58,17,FALSE)</f>
        <v>octn_c</v>
      </c>
      <c r="AI50" s="1">
        <f>VLOOKUP($E50,'Product Parameters'!$A$2:$D$59,2,FALSE)</f>
        <v>1</v>
      </c>
      <c r="AJ50" s="1">
        <f>VLOOKUP($E50,'Product Parameters'!$A$2:$D$59,3,FALSE)</f>
        <v>0</v>
      </c>
      <c r="AK50" s="1">
        <f>VLOOKUP($E50,'Product Parameters'!$A$2:$D$59,4,FALSE)</f>
        <v>0.12</v>
      </c>
      <c r="AL50" s="1">
        <f>VLOOKUP($E50,'Product Parameters'!$A$2:$E$59,5,FALSE)</f>
        <v>41</v>
      </c>
      <c r="AM50" s="1">
        <f>VLOOKUP($E50,'Product Parameters'!$A$2:$F$59,6,FALSE)</f>
        <v>8</v>
      </c>
      <c r="AN50" s="1">
        <f>VLOOKUP($C50,'Substrate Heating'!$A$2:$C$33,3,FALSE)</f>
        <v>247.59097</v>
      </c>
      <c r="AO50" s="1">
        <f>VLOOKUP($C50,'Substrate Heating'!$A$2:$B$33,2,FALSE)</f>
        <v>5.5</v>
      </c>
      <c r="AP50" s="1">
        <f>VLOOKUP($C50,'Substrate Heating'!$A$2:$M$33,13,FALSE)</f>
        <v>1</v>
      </c>
      <c r="AQ50" s="1">
        <f>VLOOKUP($C50,'Substrate Heating'!$A$2:$M$33,8,FALSE)</f>
        <v>1</v>
      </c>
      <c r="AR50" s="1">
        <f t="shared" si="0"/>
        <v>0.1227184466019408</v>
      </c>
    </row>
    <row r="51" spans="1:44" x14ac:dyDescent="0.2">
      <c r="A51" s="8" t="s">
        <v>34</v>
      </c>
      <c r="B51" s="9" t="s">
        <v>35</v>
      </c>
      <c r="C51" s="1" t="s">
        <v>339</v>
      </c>
      <c r="D51" s="23" t="s">
        <v>338</v>
      </c>
      <c r="E51" s="1" t="s">
        <v>151</v>
      </c>
      <c r="F51" s="1" t="s">
        <v>152</v>
      </c>
      <c r="G51" s="1">
        <v>-10</v>
      </c>
      <c r="H51" s="1">
        <v>-20</v>
      </c>
      <c r="I51" s="1" t="s">
        <v>40</v>
      </c>
      <c r="J51" s="1">
        <v>3.15</v>
      </c>
      <c r="K51" s="1">
        <v>-10</v>
      </c>
      <c r="L51" s="1">
        <v>-3.2371900826446298</v>
      </c>
      <c r="M51" s="1" t="s">
        <v>40</v>
      </c>
      <c r="N51" s="1">
        <v>8.69421487603306</v>
      </c>
      <c r="O51" s="1">
        <v>3.2644628099173401E-2</v>
      </c>
      <c r="Q51" s="1">
        <v>3.2644628099173399E-3</v>
      </c>
      <c r="R51" s="1">
        <v>3.8075118748596697E-2</v>
      </c>
      <c r="S51" s="1" t="str">
        <f>VLOOKUP($E51,'Product Naming'!$A$1:$P$58,2,FALSE)</f>
        <v>BetaCarotene</v>
      </c>
      <c r="T51" s="1" t="str">
        <f>VLOOKUP($E51,'Product Naming'!$A$1:$P$58,3,FALSE)</f>
        <v>Beta carotene</v>
      </c>
      <c r="U51" s="1" t="str">
        <f>VLOOKUP($E51,'Product Naming'!$A$1:$P$58,4,FALSE)</f>
        <v>A</v>
      </c>
      <c r="V51" s="1" t="str">
        <f>VLOOKUP($E51,'Product Naming'!$A$1:$P$58,5,FALSE)</f>
        <v>C40H56</v>
      </c>
      <c r="W51" s="1">
        <f>VLOOKUP($E51,'Product Naming'!$A$1:$P$58,6,FALSE)</f>
        <v>40</v>
      </c>
      <c r="X51" s="1">
        <f>VLOOKUP($E51,'Product Naming'!$A$1:$P$58,7,FALSE)</f>
        <v>56</v>
      </c>
      <c r="Y51" s="1">
        <f>VLOOKUP($E51,'Product Naming'!$A$1:$P$58,8,FALSE)</f>
        <v>0</v>
      </c>
      <c r="Z51" s="1">
        <f>VLOOKUP($E51,'Product Naming'!$A$1:$P$58,9,FALSE)</f>
        <v>0</v>
      </c>
      <c r="AA51" s="1">
        <f>VLOOKUP($E51,'Product Naming'!$A$1:$P$58,10,FALSE)</f>
        <v>0</v>
      </c>
      <c r="AB51" s="29">
        <f>VLOOKUP($E51,'Product Naming'!$A$1:$P$58,11,FALSE)</f>
        <v>5.4</v>
      </c>
      <c r="AC51" s="3">
        <f>VLOOKUP($E51,'Product Naming'!$A$1:$P$58,12,FALSE)</f>
        <v>536.86703999999997</v>
      </c>
      <c r="AD51" s="1">
        <f>VLOOKUP($E51,'Product Naming'!$A$1:$P$58,13,FALSE)</f>
        <v>633</v>
      </c>
      <c r="AE51" s="1" t="str">
        <f>VLOOKUP($E51,'Product Naming'!$A$1:$P$58,14,FALSE)</f>
        <v>Hydrocarbon</v>
      </c>
      <c r="AF51" s="1" t="str">
        <f>VLOOKUP($E51,'Product Naming'!$A$1:$P$58,15,FALSE)</f>
        <v>Acetyl-CoA</v>
      </c>
      <c r="AG51" s="30" t="str">
        <f>VLOOKUP($E51,'Product Naming'!$A$1:$P$58,16,FALSE)</f>
        <v>ABC Transporter</v>
      </c>
      <c r="AH51" s="3" t="str">
        <f>VLOOKUP($E51,'Product Naming'!$A$1:$Q$58,17,FALSE)</f>
        <v>caro_c</v>
      </c>
      <c r="AI51" s="1">
        <f>VLOOKUP($E51,'Product Parameters'!$A$2:$D$59,2,FALSE)</f>
        <v>1</v>
      </c>
      <c r="AJ51" s="1">
        <f>VLOOKUP($E51,'Product Parameters'!$A$2:$D$59,3,FALSE)</f>
        <v>0</v>
      </c>
      <c r="AK51" s="1">
        <f>VLOOKUP($E51,'Product Parameters'!$A$2:$D$59,4,FALSE)</f>
        <v>0.12</v>
      </c>
      <c r="AL51" s="1">
        <f>VLOOKUP($E51,'Product Parameters'!$A$2:$E$59,5,FALSE)</f>
        <v>40.65</v>
      </c>
      <c r="AM51" s="1">
        <f>VLOOKUP($E51,'Product Parameters'!$A$2:$F$59,6,FALSE)</f>
        <v>40</v>
      </c>
      <c r="AN51" s="1">
        <f>VLOOKUP($C51,'Substrate Heating'!$A$2:$C$33,3,FALSE)</f>
        <v>247.59097</v>
      </c>
      <c r="AO51" s="1">
        <f>VLOOKUP($C51,'Substrate Heating'!$A$2:$B$33,2,FALSE)</f>
        <v>5.5</v>
      </c>
      <c r="AP51" s="1">
        <f>VLOOKUP($C51,'Substrate Heating'!$A$2:$M$33,13,FALSE)</f>
        <v>1</v>
      </c>
      <c r="AQ51" s="1">
        <f>VLOOKUP($C51,'Substrate Heating'!$A$2:$M$33,8,FALSE)</f>
        <v>1</v>
      </c>
      <c r="AR51" s="1">
        <f t="shared" si="0"/>
        <v>0.1305785123966936</v>
      </c>
    </row>
    <row r="52" spans="1:44" x14ac:dyDescent="0.2">
      <c r="A52" s="17" t="s">
        <v>185</v>
      </c>
      <c r="B52" s="9" t="s">
        <v>35</v>
      </c>
      <c r="C52" t="s">
        <v>340</v>
      </c>
      <c r="D52" s="23" t="s">
        <v>338</v>
      </c>
      <c r="E52" t="s">
        <v>264</v>
      </c>
      <c r="F52" t="s">
        <v>265</v>
      </c>
      <c r="G52">
        <v>-10</v>
      </c>
      <c r="H52">
        <v>-20</v>
      </c>
      <c r="I52" s="1" t="s">
        <v>40</v>
      </c>
      <c r="J52">
        <v>3.15</v>
      </c>
      <c r="K52">
        <v>-10</v>
      </c>
      <c r="L52">
        <v>-4.16633165829146</v>
      </c>
      <c r="M52" s="1" t="s">
        <v>40</v>
      </c>
      <c r="N52">
        <v>9.2854271356784004</v>
      </c>
      <c r="O52">
        <v>0.119095477386935</v>
      </c>
      <c r="P52"/>
      <c r="Q52">
        <v>1.19095477386935E-2</v>
      </c>
      <c r="R52">
        <v>3.8084285811978903E-2</v>
      </c>
      <c r="S52" s="1" t="str">
        <f>VLOOKUP($E52,'Product Naming'!$A$1:$P$58,2,FALSE)</f>
        <v>Lysine_L</v>
      </c>
      <c r="T52" s="1" t="str">
        <f>VLOOKUP($E52,'Product Naming'!$A$1:$P$58,3,FALSE)</f>
        <v>L-Lysine</v>
      </c>
      <c r="U52" s="1" t="str">
        <f>VLOOKUP($E52,'Product Naming'!$A$1:$P$58,4,FALSE)</f>
        <v>iJO1366</v>
      </c>
      <c r="V52" s="1" t="str">
        <f>VLOOKUP($E52,'Product Naming'!$A$1:$P$58,5,FALSE)</f>
        <v>C6H15N2O2</v>
      </c>
      <c r="W52" s="1">
        <f>VLOOKUP($E52,'Product Naming'!$A$1:$P$58,6,FALSE)</f>
        <v>6</v>
      </c>
      <c r="X52" s="1">
        <f>VLOOKUP($E52,'Product Naming'!$A$1:$P$58,7,FALSE)</f>
        <v>15</v>
      </c>
      <c r="Y52" s="1">
        <f>VLOOKUP($E52,'Product Naming'!$A$1:$P$58,8,FALSE)</f>
        <v>2</v>
      </c>
      <c r="Z52" s="1">
        <f>VLOOKUP($E52,'Product Naming'!$A$1:$P$58,9,FALSE)</f>
        <v>2</v>
      </c>
      <c r="AA52" s="1">
        <f>VLOOKUP($E52,'Product Naming'!$A$1:$P$58,10,FALSE)</f>
        <v>1</v>
      </c>
      <c r="AB52" s="29">
        <f>VLOOKUP($E52,'Product Naming'!$A$1:$P$58,11,FALSE)</f>
        <v>4.833333333333333</v>
      </c>
      <c r="AC52" s="3">
        <f>VLOOKUP($E52,'Product Naming'!$A$1:$P$58,12,FALSE)</f>
        <v>147.19319999999999</v>
      </c>
      <c r="AD52" s="1" t="str">
        <f>VLOOKUP($E52,'Product Naming'!$A$1:$P$58,13,FALSE)</f>
        <v>NA</v>
      </c>
      <c r="AE52" s="1" t="str">
        <f>VLOOKUP($E52,'Product Naming'!$A$1:$P$58,14,FALSE)</f>
        <v>Amino acid</v>
      </c>
      <c r="AF52" s="1" t="str">
        <f>VLOOKUP($E52,'Product Naming'!$A$1:$P$58,15,FALSE)</f>
        <v>Oxaloacetate</v>
      </c>
      <c r="AG52" s="30" t="str">
        <f>VLOOKUP($E52,'Product Naming'!$A$1:$P$58,16,FALSE)</f>
        <v>Proton antiport</v>
      </c>
      <c r="AH52" s="3" t="str">
        <f>VLOOKUP($E52,'Product Naming'!$A$1:$Q$58,17,FALSE)</f>
        <v>lys__L_</v>
      </c>
      <c r="AI52" s="1">
        <f>VLOOKUP($E52,'Product Parameters'!$A$2:$D$59,2,FALSE)</f>
        <v>1</v>
      </c>
      <c r="AJ52" s="1">
        <f>VLOOKUP($E52,'Product Parameters'!$A$2:$D$59,3,FALSE)</f>
        <v>0</v>
      </c>
      <c r="AK52" s="1">
        <f>VLOOKUP($E52,'Product Parameters'!$A$2:$D$59,4,FALSE)</f>
        <v>0.12</v>
      </c>
      <c r="AL52" s="1">
        <f>VLOOKUP($E52,'Product Parameters'!$A$2:$E$59,5,FALSE)</f>
        <v>40.65</v>
      </c>
      <c r="AM52" s="1">
        <f>VLOOKUP($E52,'Product Parameters'!$A$2:$F$59,6,FALSE)</f>
        <v>6</v>
      </c>
      <c r="AN52" s="1">
        <f>VLOOKUP($C52,'Substrate Heating'!$A$2:$C$33,3,FALSE)</f>
        <v>247.59097</v>
      </c>
      <c r="AO52" s="1">
        <f>VLOOKUP($C52,'Substrate Heating'!$A$2:$B$33,2,FALSE)</f>
        <v>5.5</v>
      </c>
      <c r="AP52" s="1">
        <f>VLOOKUP($C52,'Substrate Heating'!$A$2:$M$33,13,FALSE)</f>
        <v>1</v>
      </c>
      <c r="AQ52" s="1">
        <f>VLOOKUP($C52,'Substrate Heating'!$A$2:$M$33,8,FALSE)</f>
        <v>1</v>
      </c>
      <c r="AR52" s="1">
        <f t="shared" si="0"/>
        <v>7.1457286432160996E-2</v>
      </c>
    </row>
    <row r="53" spans="1:44" x14ac:dyDescent="0.2">
      <c r="A53" s="17" t="s">
        <v>231</v>
      </c>
      <c r="B53" s="9" t="s">
        <v>35</v>
      </c>
      <c r="C53" t="s">
        <v>339</v>
      </c>
      <c r="D53" s="23" t="s">
        <v>338</v>
      </c>
      <c r="E53" t="s">
        <v>232</v>
      </c>
      <c r="F53" t="s">
        <v>233</v>
      </c>
      <c r="G53">
        <v>-10</v>
      </c>
      <c r="H53">
        <v>-20</v>
      </c>
      <c r="I53" s="1" t="s">
        <v>40</v>
      </c>
      <c r="J53">
        <v>3.15</v>
      </c>
      <c r="K53">
        <v>-10</v>
      </c>
      <c r="L53">
        <v>-3.0617100371747199</v>
      </c>
      <c r="M53" s="1" t="s">
        <v>40</v>
      </c>
      <c r="N53">
        <v>8.7665427509293607</v>
      </c>
      <c r="O53">
        <v>0.17620817843866099</v>
      </c>
      <c r="P53"/>
      <c r="Q53">
        <v>1.7620817843866099E-2</v>
      </c>
      <c r="R53">
        <v>3.8358185581309698E-2</v>
      </c>
      <c r="S53" s="1" t="str">
        <f>VLOOKUP($E53,'Product Naming'!$A$1:$P$58,2,FALSE)</f>
        <v>Heptane</v>
      </c>
      <c r="T53" s="1" t="str">
        <f>VLOOKUP($E53,'Product Naming'!$A$1:$P$58,3,FALSE)</f>
        <v>Heptane</v>
      </c>
      <c r="U53" s="1" t="str">
        <f>VLOOKUP($E53,'Product Naming'!$A$1:$P$58,4,FALSE)</f>
        <v>E</v>
      </c>
      <c r="V53" s="1" t="str">
        <f>VLOOKUP($E53,'Product Naming'!$A$1:$P$58,5,FALSE)</f>
        <v>C7H16</v>
      </c>
      <c r="W53" s="1">
        <f>VLOOKUP($E53,'Product Naming'!$A$1:$P$58,6,FALSE)</f>
        <v>7</v>
      </c>
      <c r="X53" s="1">
        <f>VLOOKUP($E53,'Product Naming'!$A$1:$P$58,7,FALSE)</f>
        <v>16</v>
      </c>
      <c r="Y53" s="1">
        <f>VLOOKUP($E53,'Product Naming'!$A$1:$P$58,8,FALSE)</f>
        <v>0</v>
      </c>
      <c r="Z53" s="1">
        <f>VLOOKUP($E53,'Product Naming'!$A$1:$P$58,9,FALSE)</f>
        <v>0</v>
      </c>
      <c r="AA53" s="1">
        <f>VLOOKUP($E53,'Product Naming'!$A$1:$P$58,10,FALSE)</f>
        <v>0</v>
      </c>
      <c r="AB53" s="29">
        <f>VLOOKUP($E53,'Product Naming'!$A$1:$P$58,11,FALSE)</f>
        <v>6.2857142857142856</v>
      </c>
      <c r="AC53" s="3">
        <f>VLOOKUP($E53,'Product Naming'!$A$1:$P$58,12,FALSE)</f>
        <v>100.20034</v>
      </c>
      <c r="AD53" s="1">
        <f>VLOOKUP($E53,'Product Naming'!$A$1:$P$58,13,FALSE)</f>
        <v>98</v>
      </c>
      <c r="AE53" s="1" t="str">
        <f>VLOOKUP($E53,'Product Naming'!$A$1:$P$58,14,FALSE)</f>
        <v>Hydrocarbon (alkane)</v>
      </c>
      <c r="AF53" s="1" t="str">
        <f>VLOOKUP($E53,'Product Naming'!$A$1:$P$58,15,FALSE)</f>
        <v>Acetyl-CoA</v>
      </c>
      <c r="AG53" s="30" t="str">
        <f>VLOOKUP($E53,'Product Naming'!$A$1:$P$58,16,FALSE)</f>
        <v>Proton symporter</v>
      </c>
      <c r="AH53" s="3" t="str">
        <f>VLOOKUP($E53,'Product Naming'!$A$1:$Q$58,17,FALSE)</f>
        <v>hept_c</v>
      </c>
      <c r="AI53" s="1">
        <f>VLOOKUP($E53,'Product Parameters'!$A$2:$D$59,2,FALSE)</f>
        <v>1</v>
      </c>
      <c r="AJ53" s="1">
        <f>VLOOKUP($E53,'Product Parameters'!$A$2:$D$59,3,FALSE)</f>
        <v>0</v>
      </c>
      <c r="AK53" s="1">
        <f>VLOOKUP($E53,'Product Parameters'!$A$2:$D$59,4,FALSE)</f>
        <v>0.12</v>
      </c>
      <c r="AL53" s="1">
        <f>VLOOKUP($E53,'Product Parameters'!$A$2:$E$59,5,FALSE)</f>
        <v>36</v>
      </c>
      <c r="AM53" s="1">
        <f>VLOOKUP($E53,'Product Parameters'!$A$2:$F$59,6,FALSE)</f>
        <v>7</v>
      </c>
      <c r="AN53" s="1">
        <f>VLOOKUP($C53,'Substrate Heating'!$A$2:$C$33,3,FALSE)</f>
        <v>247.59097</v>
      </c>
      <c r="AO53" s="1">
        <f>VLOOKUP($C53,'Substrate Heating'!$A$2:$B$33,2,FALSE)</f>
        <v>5.5</v>
      </c>
      <c r="AP53" s="1">
        <f>VLOOKUP($C53,'Substrate Heating'!$A$2:$M$33,13,FALSE)</f>
        <v>1</v>
      </c>
      <c r="AQ53" s="1">
        <f>VLOOKUP($C53,'Substrate Heating'!$A$2:$M$33,8,FALSE)</f>
        <v>1</v>
      </c>
      <c r="AR53" s="1">
        <f t="shared" si="0"/>
        <v>0.12334572490706269</v>
      </c>
    </row>
    <row r="54" spans="1:44" x14ac:dyDescent="0.2">
      <c r="A54" s="8" t="s">
        <v>34</v>
      </c>
      <c r="B54" s="9" t="s">
        <v>35</v>
      </c>
      <c r="C54" s="1" t="s">
        <v>339</v>
      </c>
      <c r="D54" s="23" t="s">
        <v>338</v>
      </c>
      <c r="E54" s="1" t="s">
        <v>313</v>
      </c>
      <c r="F54" s="1" t="s">
        <v>314</v>
      </c>
      <c r="G54" s="1">
        <v>-10</v>
      </c>
      <c r="H54" s="1">
        <v>-20</v>
      </c>
      <c r="I54" s="1" t="s">
        <v>40</v>
      </c>
      <c r="J54" s="1">
        <v>3.15</v>
      </c>
      <c r="K54" s="1">
        <v>-10</v>
      </c>
      <c r="L54" s="1">
        <v>-3.3010752688172</v>
      </c>
      <c r="M54" s="1" t="s">
        <v>40</v>
      </c>
      <c r="N54" s="1">
        <v>8.6408602150537703</v>
      </c>
      <c r="O54" s="1">
        <v>0.16989247311828001</v>
      </c>
      <c r="Q54" s="1">
        <v>1.6989247311828E-2</v>
      </c>
      <c r="R54" s="1">
        <v>3.84405157896529E-2</v>
      </c>
      <c r="S54" s="1" t="str">
        <f>VLOOKUP($E54,'Product Naming'!$A$1:$P$58,2,FALSE)</f>
        <v>Styrene</v>
      </c>
      <c r="T54" s="1" t="str">
        <f>VLOOKUP($E54,'Product Naming'!$A$1:$P$58,3,FALSE)</f>
        <v>Styrene</v>
      </c>
      <c r="U54" s="1" t="str">
        <f>VLOOKUP($E54,'Product Naming'!$A$1:$P$58,4,FALSE)</f>
        <v>E-S</v>
      </c>
      <c r="V54" s="1" t="str">
        <f>VLOOKUP($E54,'Product Naming'!$A$1:$P$58,5,FALSE)</f>
        <v>C8H8</v>
      </c>
      <c r="W54" s="1">
        <f>VLOOKUP($E54,'Product Naming'!$A$1:$P$58,6,FALSE)</f>
        <v>8</v>
      </c>
      <c r="X54" s="1">
        <f>VLOOKUP($E54,'Product Naming'!$A$1:$P$58,7,FALSE)</f>
        <v>8</v>
      </c>
      <c r="Y54" s="1">
        <f>VLOOKUP($E54,'Product Naming'!$A$1:$P$58,8,FALSE)</f>
        <v>0</v>
      </c>
      <c r="Z54" s="1">
        <f>VLOOKUP($E54,'Product Naming'!$A$1:$P$58,9,FALSE)</f>
        <v>0</v>
      </c>
      <c r="AA54" s="1">
        <f>VLOOKUP($E54,'Product Naming'!$A$1:$P$58,10,FALSE)</f>
        <v>0</v>
      </c>
      <c r="AB54" s="29">
        <f>VLOOKUP($E54,'Product Naming'!$A$1:$P$58,11,FALSE)</f>
        <v>5</v>
      </c>
      <c r="AC54" s="3">
        <f>VLOOKUP($E54,'Product Naming'!$A$1:$P$58,12,FALSE)</f>
        <v>104.14832</v>
      </c>
      <c r="AD54" s="1">
        <f>VLOOKUP($E54,'Product Naming'!$A$1:$P$58,13,FALSE)</f>
        <v>145</v>
      </c>
      <c r="AE54" s="1" t="str">
        <f>VLOOKUP($E54,'Product Naming'!$A$1:$P$58,14,FALSE)</f>
        <v>Cycloalkane</v>
      </c>
      <c r="AF54" s="1" t="str">
        <f>VLOOKUP($E54,'Product Naming'!$A$1:$P$58,15,FALSE)</f>
        <v>E4P</v>
      </c>
      <c r="AG54" s="30" t="str">
        <f>VLOOKUP($E54,'Product Naming'!$A$1:$P$58,16,FALSE)</f>
        <v>Proton symporter</v>
      </c>
      <c r="AH54" s="3" t="str">
        <f>VLOOKUP($E54,'Product Naming'!$A$1:$Q$58,17,FALSE)</f>
        <v>styr_c</v>
      </c>
      <c r="AI54" s="1">
        <f>VLOOKUP($E54,'Product Parameters'!$A$2:$D$59,2,FALSE)</f>
        <v>1</v>
      </c>
      <c r="AJ54" s="1">
        <f>VLOOKUP($E54,'Product Parameters'!$A$2:$D$59,3,FALSE)</f>
        <v>0</v>
      </c>
      <c r="AK54" s="1">
        <f>VLOOKUP($E54,'Product Parameters'!$A$2:$D$59,4,FALSE)</f>
        <v>0.12</v>
      </c>
      <c r="AL54" s="1">
        <f>VLOOKUP($E54,'Product Parameters'!$A$2:$E$59,5,FALSE)</f>
        <v>43.9</v>
      </c>
      <c r="AM54" s="1">
        <f>VLOOKUP($E54,'Product Parameters'!$A$2:$F$59,6,FALSE)</f>
        <v>8</v>
      </c>
      <c r="AN54" s="1">
        <f>VLOOKUP($C54,'Substrate Heating'!$A$2:$C$33,3,FALSE)</f>
        <v>247.59097</v>
      </c>
      <c r="AO54" s="1">
        <f>VLOOKUP($C54,'Substrate Heating'!$A$2:$B$33,2,FALSE)</f>
        <v>5.5</v>
      </c>
      <c r="AP54" s="1">
        <f>VLOOKUP($C54,'Substrate Heating'!$A$2:$M$33,13,FALSE)</f>
        <v>1</v>
      </c>
      <c r="AQ54" s="1">
        <f>VLOOKUP($C54,'Substrate Heating'!$A$2:$M$33,8,FALSE)</f>
        <v>1</v>
      </c>
      <c r="AR54" s="1">
        <f t="shared" si="0"/>
        <v>0.135913978494624</v>
      </c>
    </row>
    <row r="55" spans="1:44" x14ac:dyDescent="0.2">
      <c r="A55" s="17" t="s">
        <v>231</v>
      </c>
      <c r="B55" s="9" t="s">
        <v>35</v>
      </c>
      <c r="C55" t="s">
        <v>339</v>
      </c>
      <c r="D55" s="23" t="s">
        <v>338</v>
      </c>
      <c r="E55" t="s">
        <v>279</v>
      </c>
      <c r="F55" t="s">
        <v>280</v>
      </c>
      <c r="G55">
        <v>-10</v>
      </c>
      <c r="H55">
        <v>-20</v>
      </c>
      <c r="I55" s="1" t="s">
        <v>40</v>
      </c>
      <c r="J55">
        <v>3.15</v>
      </c>
      <c r="K55">
        <v>-10</v>
      </c>
      <c r="L55">
        <v>-3.0539589442815198</v>
      </c>
      <c r="M55" s="1" t="s">
        <v>40</v>
      </c>
      <c r="N55">
        <v>8.7489736070381294</v>
      </c>
      <c r="O55">
        <v>0.13900293255132001</v>
      </c>
      <c r="P55"/>
      <c r="Q55">
        <v>1.3900293255132101E-2</v>
      </c>
      <c r="R55">
        <v>3.8730636392229699E-2</v>
      </c>
      <c r="S55" s="1" t="str">
        <f>VLOOKUP($E55,'Product Naming'!$A$1:$P$58,2,FALSE)</f>
        <v>Nonane</v>
      </c>
      <c r="T55" s="1" t="str">
        <f>VLOOKUP($E55,'Product Naming'!$A$1:$P$58,3,FALSE)</f>
        <v>Nonane</v>
      </c>
      <c r="U55" s="1" t="str">
        <f>VLOOKUP($E55,'Product Naming'!$A$1:$P$58,4,FALSE)</f>
        <v>E</v>
      </c>
      <c r="V55" s="1" t="str">
        <f>VLOOKUP($E55,'Product Naming'!$A$1:$P$58,5,FALSE)</f>
        <v>C9H20</v>
      </c>
      <c r="W55" s="1">
        <f>VLOOKUP($E55,'Product Naming'!$A$1:$P$58,6,FALSE)</f>
        <v>9</v>
      </c>
      <c r="X55" s="1">
        <f>VLOOKUP($E55,'Product Naming'!$A$1:$P$58,7,FALSE)</f>
        <v>20</v>
      </c>
      <c r="Y55" s="1">
        <f>VLOOKUP($E55,'Product Naming'!$A$1:$P$58,8,FALSE)</f>
        <v>0</v>
      </c>
      <c r="Z55" s="1">
        <f>VLOOKUP($E55,'Product Naming'!$A$1:$P$58,9,FALSE)</f>
        <v>0</v>
      </c>
      <c r="AA55" s="1">
        <f>VLOOKUP($E55,'Product Naming'!$A$1:$P$58,10,FALSE)</f>
        <v>0</v>
      </c>
      <c r="AB55" s="29">
        <f>VLOOKUP($E55,'Product Naming'!$A$1:$P$58,11,FALSE)</f>
        <v>6.2222222222222223</v>
      </c>
      <c r="AC55" s="3">
        <f>VLOOKUP($E55,'Product Naming'!$A$1:$P$58,12,FALSE)</f>
        <v>128.25309999999999</v>
      </c>
      <c r="AD55" s="1">
        <f>VLOOKUP($E55,'Product Naming'!$A$1:$P$58,13,FALSE)</f>
        <v>151</v>
      </c>
      <c r="AE55" s="1" t="str">
        <f>VLOOKUP($E55,'Product Naming'!$A$1:$P$58,14,FALSE)</f>
        <v>Hydrocarbon (alkane)</v>
      </c>
      <c r="AF55" s="1" t="str">
        <f>VLOOKUP($E55,'Product Naming'!$A$1:$P$58,15,FALSE)</f>
        <v>Acetyl-CoA</v>
      </c>
      <c r="AG55" s="30" t="str">
        <f>VLOOKUP($E55,'Product Naming'!$A$1:$P$58,16,FALSE)</f>
        <v>Proton symporter</v>
      </c>
      <c r="AH55" s="3" t="str">
        <f>VLOOKUP($E55,'Product Naming'!$A$1:$Q$58,17,FALSE)</f>
        <v>nonan_c</v>
      </c>
      <c r="AI55" s="1">
        <f>VLOOKUP($E55,'Product Parameters'!$A$2:$D$59,2,FALSE)</f>
        <v>1</v>
      </c>
      <c r="AJ55" s="1">
        <f>VLOOKUP($E55,'Product Parameters'!$A$2:$D$59,3,FALSE)</f>
        <v>0</v>
      </c>
      <c r="AK55" s="1">
        <f>VLOOKUP($E55,'Product Parameters'!$A$2:$D$59,4,FALSE)</f>
        <v>0.12</v>
      </c>
      <c r="AL55" s="1">
        <f>VLOOKUP($E55,'Product Parameters'!$A$2:$E$59,5,FALSE)</f>
        <v>46.5</v>
      </c>
      <c r="AM55" s="1">
        <f>VLOOKUP($E55,'Product Parameters'!$A$2:$F$59,6,FALSE)</f>
        <v>9</v>
      </c>
      <c r="AN55" s="1">
        <f>VLOOKUP($C55,'Substrate Heating'!$A$2:$C$33,3,FALSE)</f>
        <v>247.59097</v>
      </c>
      <c r="AO55" s="1">
        <f>VLOOKUP($C55,'Substrate Heating'!$A$2:$B$33,2,FALSE)</f>
        <v>5.5</v>
      </c>
      <c r="AP55" s="1">
        <f>VLOOKUP($C55,'Substrate Heating'!$A$2:$M$33,13,FALSE)</f>
        <v>1</v>
      </c>
      <c r="AQ55" s="1">
        <f>VLOOKUP($C55,'Substrate Heating'!$A$2:$M$33,8,FALSE)</f>
        <v>1</v>
      </c>
      <c r="AR55" s="1">
        <f t="shared" si="0"/>
        <v>0.12510263929618889</v>
      </c>
    </row>
    <row r="56" spans="1:44" x14ac:dyDescent="0.2">
      <c r="A56" s="8" t="s">
        <v>34</v>
      </c>
      <c r="B56" s="9" t="s">
        <v>35</v>
      </c>
      <c r="C56" s="1" t="s">
        <v>340</v>
      </c>
      <c r="D56" s="23" t="s">
        <v>338</v>
      </c>
      <c r="E56" s="1" t="s">
        <v>180</v>
      </c>
      <c r="F56" s="1" t="s">
        <v>181</v>
      </c>
      <c r="G56" s="1">
        <v>-10</v>
      </c>
      <c r="H56" s="1">
        <v>-20</v>
      </c>
      <c r="I56" s="1" t="s">
        <v>40</v>
      </c>
      <c r="J56" s="1">
        <v>3.15</v>
      </c>
      <c r="K56" s="1">
        <v>-10</v>
      </c>
      <c r="L56" s="1">
        <v>-4.2988165680473402</v>
      </c>
      <c r="M56" s="1" t="s">
        <v>40</v>
      </c>
      <c r="N56" s="1">
        <v>9.2350726196879993</v>
      </c>
      <c r="O56" s="1">
        <v>0.127487896718667</v>
      </c>
      <c r="Q56" s="1">
        <v>1.2748789671866699E-2</v>
      </c>
      <c r="R56" s="1">
        <v>3.8801072206660299E-2</v>
      </c>
      <c r="S56" s="1" t="str">
        <f>VLOOKUP($E56,'Product Naming'!$A$1:$P$58,2,FALSE)</f>
        <v>ciscisMuconate</v>
      </c>
      <c r="T56" s="1" t="str">
        <f>VLOOKUP($E56,'Product Naming'!$A$1:$P$58,3,FALSE)</f>
        <v>cis,cis-Muconate</v>
      </c>
      <c r="U56" s="1" t="str">
        <f>VLOOKUP($E56,'Product Naming'!$A$1:$P$58,4,FALSE)</f>
        <v>A</v>
      </c>
      <c r="V56" s="1" t="str">
        <f>VLOOKUP($E56,'Product Naming'!$A$1:$P$58,5,FALSE)</f>
        <v>C6H4O4</v>
      </c>
      <c r="W56" s="1">
        <f>VLOOKUP($E56,'Product Naming'!$A$1:$P$58,6,FALSE)</f>
        <v>6</v>
      </c>
      <c r="X56" s="1">
        <f>VLOOKUP($E56,'Product Naming'!$A$1:$P$58,7,FALSE)</f>
        <v>4</v>
      </c>
      <c r="Y56" s="1">
        <f>VLOOKUP($E56,'Product Naming'!$A$1:$P$58,8,FALSE)</f>
        <v>4</v>
      </c>
      <c r="Z56" s="1">
        <f>VLOOKUP($E56,'Product Naming'!$A$1:$P$58,9,FALSE)</f>
        <v>0</v>
      </c>
      <c r="AA56" s="1">
        <f>VLOOKUP($E56,'Product Naming'!$A$1:$P$58,10,FALSE)</f>
        <v>-2</v>
      </c>
      <c r="AB56" s="29">
        <f>VLOOKUP($E56,'Product Naming'!$A$1:$P$58,11,FALSE)</f>
        <v>3.3333333333333335</v>
      </c>
      <c r="AC56" s="3">
        <f>VLOOKUP($E56,'Product Naming'!$A$1:$P$58,12,FALSE)</f>
        <v>140.09156000000002</v>
      </c>
      <c r="AD56" s="1">
        <f>VLOOKUP($E56,'Product Naming'!$A$1:$P$58,13,FALSE)</f>
        <v>345.4</v>
      </c>
      <c r="AE56" s="1" t="str">
        <f>VLOOKUP($E56,'Product Naming'!$A$1:$P$58,14,FALSE)</f>
        <v>Dicarboxylate</v>
      </c>
      <c r="AF56" s="1" t="str">
        <f>VLOOKUP($E56,'Product Naming'!$A$1:$P$58,15,FALSE)</f>
        <v>Glyceraldehyde 3-P</v>
      </c>
      <c r="AG56" s="30" t="str">
        <f>VLOOKUP($E56,'Product Naming'!$A$1:$P$58,16,FALSE)</f>
        <v>Proton symporter</v>
      </c>
      <c r="AH56" s="3" t="str">
        <f>VLOOKUP($E56,'Product Naming'!$A$1:$Q$58,17,FALSE)</f>
        <v>ccmuac_c</v>
      </c>
      <c r="AI56" s="1">
        <f>VLOOKUP($E56,'Product Parameters'!$A$2:$D$59,2,FALSE)</f>
        <v>1</v>
      </c>
      <c r="AJ56" s="1">
        <f>VLOOKUP($E56,'Product Parameters'!$A$2:$D$59,3,FALSE)</f>
        <v>0</v>
      </c>
      <c r="AK56" s="1">
        <f>VLOOKUP($E56,'Product Parameters'!$A$2:$D$59,4,FALSE)</f>
        <v>0.12</v>
      </c>
      <c r="AL56" s="1">
        <f>VLOOKUP($E56,'Product Parameters'!$A$2:$E$59,5,FALSE)</f>
        <v>40.65</v>
      </c>
      <c r="AM56" s="1">
        <f>VLOOKUP($E56,'Product Parameters'!$A$2:$F$59,6,FALSE)</f>
        <v>6</v>
      </c>
      <c r="AN56" s="1">
        <f>VLOOKUP($C56,'Substrate Heating'!$A$2:$C$33,3,FALSE)</f>
        <v>247.59097</v>
      </c>
      <c r="AO56" s="1">
        <f>VLOOKUP($C56,'Substrate Heating'!$A$2:$B$33,2,FALSE)</f>
        <v>5.5</v>
      </c>
      <c r="AP56" s="1">
        <f>VLOOKUP($C56,'Substrate Heating'!$A$2:$M$33,13,FALSE)</f>
        <v>1</v>
      </c>
      <c r="AQ56" s="1">
        <f>VLOOKUP($C56,'Substrate Heating'!$A$2:$M$33,8,FALSE)</f>
        <v>1</v>
      </c>
      <c r="AR56" s="1">
        <f t="shared" si="0"/>
        <v>7.64927380312002E-2</v>
      </c>
    </row>
    <row r="57" spans="1:44" x14ac:dyDescent="0.2">
      <c r="A57" s="8" t="s">
        <v>34</v>
      </c>
      <c r="B57" s="9" t="s">
        <v>35</v>
      </c>
      <c r="C57" s="1" t="s">
        <v>339</v>
      </c>
      <c r="D57" s="23" t="s">
        <v>338</v>
      </c>
      <c r="E57" s="1" t="s">
        <v>247</v>
      </c>
      <c r="F57" s="1" t="s">
        <v>248</v>
      </c>
      <c r="G57" s="1">
        <v>-10</v>
      </c>
      <c r="H57" s="1">
        <v>-20</v>
      </c>
      <c r="I57" s="1" t="s">
        <v>40</v>
      </c>
      <c r="J57" s="1">
        <v>3.15</v>
      </c>
      <c r="K57" s="1">
        <v>-10</v>
      </c>
      <c r="L57" s="1">
        <v>-3.1566666666666698</v>
      </c>
      <c r="M57" s="1" t="s">
        <v>40</v>
      </c>
      <c r="N57" s="1">
        <v>8.6833333333333194</v>
      </c>
      <c r="O57" s="1">
        <v>0.26333333333332898</v>
      </c>
      <c r="Q57" s="1">
        <v>2.63333333333329E-2</v>
      </c>
      <c r="R57" s="1">
        <v>3.8968992271638997E-2</v>
      </c>
      <c r="S57" s="1" t="str">
        <f>VLOOKUP($E57,'Product Naming'!$A$1:$P$58,2,FALSE)</f>
        <v>Isoprene</v>
      </c>
      <c r="T57" s="1" t="str">
        <f>VLOOKUP($E57,'Product Naming'!$A$1:$P$58,3,FALSE)</f>
        <v>Isoprene</v>
      </c>
      <c r="U57" s="1" t="str">
        <f>VLOOKUP($E57,'Product Naming'!$A$1:$P$58,4,FALSE)</f>
        <v>E</v>
      </c>
      <c r="V57" s="1" t="str">
        <f>VLOOKUP($E57,'Product Naming'!$A$1:$P$58,5,FALSE)</f>
        <v>C5H8</v>
      </c>
      <c r="W57" s="1">
        <f>VLOOKUP($E57,'Product Naming'!$A$1:$P$58,6,FALSE)</f>
        <v>5</v>
      </c>
      <c r="X57" s="1">
        <f>VLOOKUP($E57,'Product Naming'!$A$1:$P$58,7,FALSE)</f>
        <v>8</v>
      </c>
      <c r="Y57" s="1">
        <f>VLOOKUP($E57,'Product Naming'!$A$1:$P$58,8,FALSE)</f>
        <v>0</v>
      </c>
      <c r="Z57" s="1">
        <f>VLOOKUP($E57,'Product Naming'!$A$1:$P$58,9,FALSE)</f>
        <v>0</v>
      </c>
      <c r="AA57" s="1">
        <f>VLOOKUP($E57,'Product Naming'!$A$1:$P$58,10,FALSE)</f>
        <v>0</v>
      </c>
      <c r="AB57" s="29">
        <f>VLOOKUP($E57,'Product Naming'!$A$1:$P$58,11,FALSE)</f>
        <v>5.6</v>
      </c>
      <c r="AC57" s="3">
        <f>VLOOKUP($E57,'Product Naming'!$A$1:$P$58,12,FALSE)</f>
        <v>68.116219999999998</v>
      </c>
      <c r="AD57" s="1">
        <f>VLOOKUP($E57,'Product Naming'!$A$1:$P$58,13,FALSE)</f>
        <v>34.07</v>
      </c>
      <c r="AE57" s="1" t="str">
        <f>VLOOKUP($E57,'Product Naming'!$A$1:$P$58,14,FALSE)</f>
        <v>Hydrocarbon</v>
      </c>
      <c r="AF57" s="1" t="str">
        <f>VLOOKUP($E57,'Product Naming'!$A$1:$P$58,15,FALSE)</f>
        <v>Acetyl-CoA</v>
      </c>
      <c r="AG57" s="30" t="str">
        <f>VLOOKUP($E57,'Product Naming'!$A$1:$P$58,16,FALSE)</f>
        <v>Diffusion</v>
      </c>
      <c r="AH57" s="3" t="str">
        <f>VLOOKUP($E57,'Product Naming'!$A$1:$Q$58,17,FALSE)</f>
        <v>iprene_c</v>
      </c>
      <c r="AI57" s="1">
        <f>VLOOKUP($E57,'Product Parameters'!$A$2:$D$59,2,FALSE)</f>
        <v>0</v>
      </c>
      <c r="AJ57" s="1">
        <f>VLOOKUP($E57,'Product Parameters'!$A$2:$D$59,3,FALSE)</f>
        <v>1</v>
      </c>
      <c r="AK57" s="1">
        <f>VLOOKUP($E57,'Product Parameters'!$A$2:$D$59,4,FALSE)</f>
        <v>0.12</v>
      </c>
      <c r="AL57" s="1">
        <f>VLOOKUP($E57,'Product Parameters'!$A$2:$E$59,5,FALSE)</f>
        <v>26.4</v>
      </c>
      <c r="AM57" s="1">
        <f>VLOOKUP($E57,'Product Parameters'!$A$2:$F$59,6,FALSE)</f>
        <v>5</v>
      </c>
      <c r="AN57" s="1">
        <f>VLOOKUP($C57,'Substrate Heating'!$A$2:$C$33,3,FALSE)</f>
        <v>247.59097</v>
      </c>
      <c r="AO57" s="1">
        <f>VLOOKUP($C57,'Substrate Heating'!$A$2:$B$33,2,FALSE)</f>
        <v>5.5</v>
      </c>
      <c r="AP57" s="1">
        <f>VLOOKUP($C57,'Substrate Heating'!$A$2:$M$33,13,FALSE)</f>
        <v>1</v>
      </c>
      <c r="AQ57" s="1">
        <f>VLOOKUP($C57,'Substrate Heating'!$A$2:$M$33,8,FALSE)</f>
        <v>1</v>
      </c>
      <c r="AR57" s="1">
        <f t="shared" si="0"/>
        <v>0.13166666666666449</v>
      </c>
    </row>
    <row r="58" spans="1:44" x14ac:dyDescent="0.2">
      <c r="A58" s="8" t="s">
        <v>34</v>
      </c>
      <c r="B58" s="9" t="s">
        <v>35</v>
      </c>
      <c r="C58" s="1" t="s">
        <v>339</v>
      </c>
      <c r="D58" s="23" t="s">
        <v>338</v>
      </c>
      <c r="E58" s="1" t="s">
        <v>204</v>
      </c>
      <c r="F58" s="1" t="s">
        <v>205</v>
      </c>
      <c r="G58" s="1">
        <v>-10</v>
      </c>
      <c r="H58" s="1">
        <v>-20</v>
      </c>
      <c r="I58" s="1" t="s">
        <v>40</v>
      </c>
      <c r="J58" s="1">
        <v>3.15</v>
      </c>
      <c r="K58" s="1">
        <v>-10</v>
      </c>
      <c r="L58" s="1">
        <v>-3.1532467532467501</v>
      </c>
      <c r="M58" s="1" t="s">
        <v>40</v>
      </c>
      <c r="N58" s="1">
        <v>8.6808905380333901</v>
      </c>
      <c r="O58" s="1">
        <v>8.7940630797773395E-2</v>
      </c>
      <c r="Q58" s="1">
        <v>8.7940630797773405E-3</v>
      </c>
      <c r="R58" s="1">
        <v>3.9041290958599997E-2</v>
      </c>
      <c r="S58" s="1" t="str">
        <f>VLOOKUP($E58,'Product Naming'!$A$1:$P$58,2,FALSE)</f>
        <v>Farnesene</v>
      </c>
      <c r="T58" s="1" t="str">
        <f>VLOOKUP($E58,'Product Naming'!$A$1:$P$58,3,FALSE)</f>
        <v>Farnesene</v>
      </c>
      <c r="U58" s="1" t="str">
        <f>VLOOKUP($E58,'Product Naming'!$A$1:$P$58,4,FALSE)</f>
        <v>A</v>
      </c>
      <c r="V58" s="1" t="str">
        <f>VLOOKUP($E58,'Product Naming'!$A$1:$P$58,5,FALSE)</f>
        <v>C15H24</v>
      </c>
      <c r="W58" s="1">
        <f>VLOOKUP($E58,'Product Naming'!$A$1:$P$58,6,FALSE)</f>
        <v>15</v>
      </c>
      <c r="X58" s="1">
        <f>VLOOKUP($E58,'Product Naming'!$A$1:$P$58,7,FALSE)</f>
        <v>24</v>
      </c>
      <c r="Y58" s="1">
        <f>VLOOKUP($E58,'Product Naming'!$A$1:$P$58,8,FALSE)</f>
        <v>0</v>
      </c>
      <c r="Z58" s="1">
        <f>VLOOKUP($E58,'Product Naming'!$A$1:$P$58,9,FALSE)</f>
        <v>0</v>
      </c>
      <c r="AA58" s="1">
        <f>VLOOKUP($E58,'Product Naming'!$A$1:$P$58,10,FALSE)</f>
        <v>0</v>
      </c>
      <c r="AB58" s="29">
        <f>VLOOKUP($E58,'Product Naming'!$A$1:$P$58,11,FALSE)</f>
        <v>5.6</v>
      </c>
      <c r="AC58" s="3">
        <f>VLOOKUP($E58,'Product Naming'!$A$1:$P$58,12,FALSE)</f>
        <v>204.34866000000002</v>
      </c>
      <c r="AD58" s="1" t="str">
        <f>VLOOKUP($E58,'Product Naming'!$A$1:$P$58,13,FALSE)</f>
        <v>260 (A)/272 (B)</v>
      </c>
      <c r="AE58" s="1" t="str">
        <f>VLOOKUP($E58,'Product Naming'!$A$1:$P$58,14,FALSE)</f>
        <v>Hydrocarbon</v>
      </c>
      <c r="AF58" s="1" t="str">
        <f>VLOOKUP($E58,'Product Naming'!$A$1:$P$58,15,FALSE)</f>
        <v>Acetyl-CoA</v>
      </c>
      <c r="AG58" s="30" t="str">
        <f>VLOOKUP($E58,'Product Naming'!$A$1:$P$58,16,FALSE)</f>
        <v>Proton symporter</v>
      </c>
      <c r="AH58" s="3" t="str">
        <f>VLOOKUP($E58,'Product Naming'!$A$1:$Q$58,17,FALSE)</f>
        <v>frene_c</v>
      </c>
      <c r="AI58" s="1">
        <f>VLOOKUP($E58,'Product Parameters'!$A$2:$D$59,2,FALSE)</f>
        <v>1</v>
      </c>
      <c r="AJ58" s="1">
        <f>VLOOKUP($E58,'Product Parameters'!$A$2:$D$59,3,FALSE)</f>
        <v>0</v>
      </c>
      <c r="AK58" s="1">
        <f>VLOOKUP($E58,'Product Parameters'!$A$2:$D$59,4,FALSE)</f>
        <v>0.12</v>
      </c>
      <c r="AL58" s="1">
        <f>VLOOKUP($E58,'Product Parameters'!$A$2:$E$59,5,FALSE)</f>
        <v>0</v>
      </c>
      <c r="AM58" s="1">
        <f>VLOOKUP($E58,'Product Parameters'!$A$2:$F$59,6,FALSE)</f>
        <v>15</v>
      </c>
      <c r="AN58" s="1">
        <f>VLOOKUP($C58,'Substrate Heating'!$A$2:$C$33,3,FALSE)</f>
        <v>247.59097</v>
      </c>
      <c r="AO58" s="1">
        <f>VLOOKUP($C58,'Substrate Heating'!$A$2:$B$33,2,FALSE)</f>
        <v>5.5</v>
      </c>
      <c r="AP58" s="1">
        <f>VLOOKUP($C58,'Substrate Heating'!$A$2:$M$33,13,FALSE)</f>
        <v>1</v>
      </c>
      <c r="AQ58" s="1">
        <f>VLOOKUP($C58,'Substrate Heating'!$A$2:$M$33,8,FALSE)</f>
        <v>1</v>
      </c>
      <c r="AR58" s="1">
        <f t="shared" si="0"/>
        <v>0.13191094619666011</v>
      </c>
    </row>
    <row r="59" spans="1:44" x14ac:dyDescent="0.2">
      <c r="A59" s="17" t="s">
        <v>185</v>
      </c>
      <c r="B59" s="9" t="s">
        <v>35</v>
      </c>
      <c r="C59" t="s">
        <v>339</v>
      </c>
      <c r="D59" s="23" t="s">
        <v>338</v>
      </c>
      <c r="E59" t="s">
        <v>259</v>
      </c>
      <c r="F59" t="s">
        <v>260</v>
      </c>
      <c r="G59">
        <v>-10</v>
      </c>
      <c r="H59">
        <v>-20</v>
      </c>
      <c r="I59" s="1" t="s">
        <v>40</v>
      </c>
      <c r="J59">
        <v>3.15</v>
      </c>
      <c r="K59">
        <v>-10</v>
      </c>
      <c r="L59">
        <v>-3.1515320334261898</v>
      </c>
      <c r="M59" s="1" t="s">
        <v>40</v>
      </c>
      <c r="N59">
        <v>8.6796657381615603</v>
      </c>
      <c r="O59">
        <v>0.13203342618384301</v>
      </c>
      <c r="P59"/>
      <c r="Q59">
        <v>1.32033426183843E-2</v>
      </c>
      <c r="R59">
        <v>3.9077540996630002E-2</v>
      </c>
      <c r="S59" s="1" t="str">
        <f>VLOOKUP($E59,'Product Naming'!$A$1:$P$58,2,FALSE)</f>
        <v>Limonene</v>
      </c>
      <c r="T59" s="1" t="str">
        <f>VLOOKUP($E59,'Product Naming'!$A$1:$P$58,3,FALSE)</f>
        <v>Limonene</v>
      </c>
      <c r="U59" s="1" t="str">
        <f>VLOOKUP($E59,'Product Naming'!$A$1:$P$58,4,FALSE)</f>
        <v>E</v>
      </c>
      <c r="V59" s="1" t="str">
        <f>VLOOKUP($E59,'Product Naming'!$A$1:$P$58,5,FALSE)</f>
        <v>C10H16</v>
      </c>
      <c r="W59" s="1">
        <f>VLOOKUP($E59,'Product Naming'!$A$1:$P$58,6,FALSE)</f>
        <v>10</v>
      </c>
      <c r="X59" s="1">
        <f>VLOOKUP($E59,'Product Naming'!$A$1:$P$58,7,FALSE)</f>
        <v>16</v>
      </c>
      <c r="Y59" s="1">
        <f>VLOOKUP($E59,'Product Naming'!$A$1:$P$58,8,FALSE)</f>
        <v>0</v>
      </c>
      <c r="Z59" s="1">
        <f>VLOOKUP($E59,'Product Naming'!$A$1:$P$58,9,FALSE)</f>
        <v>0</v>
      </c>
      <c r="AA59" s="1">
        <f>VLOOKUP($E59,'Product Naming'!$A$1:$P$58,10,FALSE)</f>
        <v>0</v>
      </c>
      <c r="AB59" s="29">
        <f>VLOOKUP($E59,'Product Naming'!$A$1:$P$58,11,FALSE)</f>
        <v>5.6</v>
      </c>
      <c r="AC59" s="3">
        <f>VLOOKUP($E59,'Product Naming'!$A$1:$P$58,12,FALSE)</f>
        <v>136.23244</v>
      </c>
      <c r="AD59" s="1">
        <f>VLOOKUP($E59,'Product Naming'!$A$1:$P$58,13,FALSE)</f>
        <v>176</v>
      </c>
      <c r="AE59" s="1" t="str">
        <f>VLOOKUP($E59,'Product Naming'!$A$1:$P$58,14,FALSE)</f>
        <v>Isoprenoid; Aromatic (Cycloalkane)</v>
      </c>
      <c r="AF59" s="1" t="str">
        <f>VLOOKUP($E59,'Product Naming'!$A$1:$P$58,15,FALSE)</f>
        <v>Acetyl-CoA</v>
      </c>
      <c r="AG59" s="30" t="str">
        <f>VLOOKUP($E59,'Product Naming'!$A$1:$P$58,16,FALSE)</f>
        <v>Proton symporter</v>
      </c>
      <c r="AH59" s="3" t="str">
        <f>VLOOKUP($E59,'Product Naming'!$A$1:$Q$58,17,FALSE)</f>
        <v>limnen_c</v>
      </c>
      <c r="AI59" s="1">
        <f>VLOOKUP($E59,'Product Parameters'!$A$2:$D$59,2,FALSE)</f>
        <v>1</v>
      </c>
      <c r="AJ59" s="1">
        <f>VLOOKUP($E59,'Product Parameters'!$A$2:$D$59,3,FALSE)</f>
        <v>0</v>
      </c>
      <c r="AK59" s="1">
        <f>VLOOKUP($E59,'Product Parameters'!$A$2:$D$59,4,FALSE)</f>
        <v>0.12</v>
      </c>
      <c r="AL59" s="1">
        <f>VLOOKUP($E59,'Product Parameters'!$A$2:$E$59,5,FALSE)</f>
        <v>49.5</v>
      </c>
      <c r="AM59" s="1">
        <f>VLOOKUP($E59,'Product Parameters'!$A$2:$F$59,6,FALSE)</f>
        <v>10</v>
      </c>
      <c r="AN59" s="1">
        <f>VLOOKUP($C59,'Substrate Heating'!$A$2:$C$33,3,FALSE)</f>
        <v>247.59097</v>
      </c>
      <c r="AO59" s="1">
        <f>VLOOKUP($C59,'Substrate Heating'!$A$2:$B$33,2,FALSE)</f>
        <v>5.5</v>
      </c>
      <c r="AP59" s="1">
        <f>VLOOKUP($C59,'Substrate Heating'!$A$2:$M$33,13,FALSE)</f>
        <v>1</v>
      </c>
      <c r="AQ59" s="1">
        <f>VLOOKUP($C59,'Substrate Heating'!$A$2:$M$33,8,FALSE)</f>
        <v>1</v>
      </c>
      <c r="AR59" s="1">
        <f t="shared" si="0"/>
        <v>0.13203342618384301</v>
      </c>
    </row>
    <row r="60" spans="1:44" x14ac:dyDescent="0.2">
      <c r="A60" s="8" t="s">
        <v>34</v>
      </c>
      <c r="B60" s="9" t="s">
        <v>35</v>
      </c>
      <c r="C60" s="1" t="s">
        <v>340</v>
      </c>
      <c r="D60" s="23" t="s">
        <v>338</v>
      </c>
      <c r="E60" s="1" t="s">
        <v>221</v>
      </c>
      <c r="F60" s="1" t="s">
        <v>222</v>
      </c>
      <c r="G60" s="1">
        <v>-10</v>
      </c>
      <c r="H60" s="1">
        <v>-20</v>
      </c>
      <c r="I60" s="1" t="s">
        <v>40</v>
      </c>
      <c r="J60" s="1">
        <v>3.15</v>
      </c>
      <c r="K60" s="1">
        <v>-10</v>
      </c>
      <c r="L60" s="1">
        <v>-4.3045774647887303</v>
      </c>
      <c r="M60" s="1" t="s">
        <v>40</v>
      </c>
      <c r="N60" s="1">
        <v>9.3045774647887303</v>
      </c>
      <c r="O60" s="1">
        <v>0.139084507042253</v>
      </c>
      <c r="Q60" s="1">
        <v>1.3908450704225301E-2</v>
      </c>
      <c r="R60" s="1">
        <v>3.93103853472608E-2</v>
      </c>
      <c r="S60" s="1" t="str">
        <f>VLOOKUP($E60,'Product Naming'!$A$1:$P$58,2,FALSE)</f>
        <v>Glutarate</v>
      </c>
      <c r="T60" s="1" t="str">
        <f>VLOOKUP($E60,'Product Naming'!$A$1:$P$58,3,FALSE)</f>
        <v>Glutarate</v>
      </c>
      <c r="U60" s="1" t="str">
        <f>VLOOKUP($E60,'Product Naming'!$A$1:$P$58,4,FALSE)</f>
        <v>A</v>
      </c>
      <c r="V60" s="1" t="str">
        <f>VLOOKUP($E60,'Product Naming'!$A$1:$P$58,5,FALSE)</f>
        <v>C5H6O4</v>
      </c>
      <c r="W60" s="1">
        <f>VLOOKUP($E60,'Product Naming'!$A$1:$P$58,6,FALSE)</f>
        <v>5</v>
      </c>
      <c r="X60" s="1">
        <f>VLOOKUP($E60,'Product Naming'!$A$1:$P$58,7,FALSE)</f>
        <v>6</v>
      </c>
      <c r="Y60" s="1">
        <f>VLOOKUP($E60,'Product Naming'!$A$1:$P$58,8,FALSE)</f>
        <v>4</v>
      </c>
      <c r="Z60" s="1">
        <f>VLOOKUP($E60,'Product Naming'!$A$1:$P$58,9,FALSE)</f>
        <v>0</v>
      </c>
      <c r="AA60" s="1">
        <f>VLOOKUP($E60,'Product Naming'!$A$1:$P$58,10,FALSE)</f>
        <v>-2</v>
      </c>
      <c r="AB60" s="29">
        <f>VLOOKUP($E60,'Product Naming'!$A$1:$P$58,11,FALSE)</f>
        <v>3.6</v>
      </c>
      <c r="AC60" s="3">
        <f>VLOOKUP($E60,'Product Naming'!$A$1:$P$58,12,FALSE)</f>
        <v>130.09654</v>
      </c>
      <c r="AD60" s="1">
        <f>VLOOKUP($E60,'Product Naming'!$A$1:$P$58,13,FALSE)</f>
        <v>200</v>
      </c>
      <c r="AE60" s="1" t="str">
        <f>VLOOKUP($E60,'Product Naming'!$A$1:$P$58,14,FALSE)</f>
        <v>Dicarboxylate</v>
      </c>
      <c r="AF60" s="1" t="str">
        <f>VLOOKUP($E60,'Product Naming'!$A$1:$P$58,15,FALSE)</f>
        <v>Oxaloacetate + aKG</v>
      </c>
      <c r="AG60" s="30" t="str">
        <f>VLOOKUP($E60,'Product Naming'!$A$1:$P$58,16,FALSE)</f>
        <v>Proton symporter</v>
      </c>
      <c r="AH60" s="3" t="str">
        <f>VLOOKUP($E60,'Product Naming'!$A$1:$Q$58,17,FALSE)</f>
        <v>glutar_c</v>
      </c>
      <c r="AI60" s="1">
        <f>VLOOKUP($E60,'Product Parameters'!$A$2:$D$59,2,FALSE)</f>
        <v>1</v>
      </c>
      <c r="AJ60" s="1">
        <f>VLOOKUP($E60,'Product Parameters'!$A$2:$D$59,3,FALSE)</f>
        <v>0</v>
      </c>
      <c r="AK60" s="1">
        <f>VLOOKUP($E60,'Product Parameters'!$A$2:$D$59,4,FALSE)</f>
        <v>0.12</v>
      </c>
      <c r="AL60" s="1">
        <f>VLOOKUP($E60,'Product Parameters'!$A$2:$E$59,5,FALSE)</f>
        <v>40.65</v>
      </c>
      <c r="AM60" s="1">
        <f>VLOOKUP($E60,'Product Parameters'!$A$2:$F$59,6,FALSE)</f>
        <v>5</v>
      </c>
      <c r="AN60" s="1">
        <f>VLOOKUP($C60,'Substrate Heating'!$A$2:$C$33,3,FALSE)</f>
        <v>247.59097</v>
      </c>
      <c r="AO60" s="1">
        <f>VLOOKUP($C60,'Substrate Heating'!$A$2:$B$33,2,FALSE)</f>
        <v>5.5</v>
      </c>
      <c r="AP60" s="1">
        <f>VLOOKUP($C60,'Substrate Heating'!$A$2:$M$33,13,FALSE)</f>
        <v>1</v>
      </c>
      <c r="AQ60" s="1">
        <f>VLOOKUP($C60,'Substrate Heating'!$A$2:$M$33,8,FALSE)</f>
        <v>1</v>
      </c>
      <c r="AR60" s="1">
        <f t="shared" si="0"/>
        <v>6.9542253521126501E-2</v>
      </c>
    </row>
    <row r="61" spans="1:44" x14ac:dyDescent="0.2">
      <c r="A61" s="8" t="s">
        <v>34</v>
      </c>
      <c r="B61" s="9" t="s">
        <v>35</v>
      </c>
      <c r="C61" s="1" t="s">
        <v>340</v>
      </c>
      <c r="D61" s="23" t="s">
        <v>338</v>
      </c>
      <c r="E61" s="1" t="s">
        <v>124</v>
      </c>
      <c r="F61" s="1" t="s">
        <v>125</v>
      </c>
      <c r="G61" s="1">
        <v>-10</v>
      </c>
      <c r="H61" s="1">
        <v>-20</v>
      </c>
      <c r="I61" s="1" t="s">
        <v>40</v>
      </c>
      <c r="J61" s="1">
        <v>3.15</v>
      </c>
      <c r="K61" s="1">
        <v>-10</v>
      </c>
      <c r="L61" s="1">
        <v>-4.1975169300225703</v>
      </c>
      <c r="M61" s="1" t="s">
        <v>40</v>
      </c>
      <c r="N61" s="1">
        <v>9.1975169300225694</v>
      </c>
      <c r="O61" s="1">
        <v>0.26749435665914501</v>
      </c>
      <c r="Q61" s="1">
        <v>2.6749435665914499E-2</v>
      </c>
      <c r="R61" s="1">
        <v>4.1291782614238097E-2</v>
      </c>
      <c r="S61" s="1" t="str">
        <f>VLOOKUP($E61,'Product Naming'!$A$1:$P$58,2,FALSE)</f>
        <v>Acrylate-PW1</v>
      </c>
      <c r="T61" s="1" t="str">
        <f>VLOOKUP($E61,'Product Naming'!$A$1:$P$58,3,FALSE)</f>
        <v>Acrylate (PW1)</v>
      </c>
      <c r="U61" s="1" t="str">
        <f>VLOOKUP($E61,'Product Naming'!$A$1:$P$58,4,FALSE)</f>
        <v>A</v>
      </c>
      <c r="V61" s="1" t="str">
        <f>VLOOKUP($E61,'Product Naming'!$A$1:$P$58,5,FALSE)</f>
        <v>C3H3O2</v>
      </c>
      <c r="W61" s="1">
        <f>VLOOKUP($E61,'Product Naming'!$A$1:$P$58,6,FALSE)</f>
        <v>3</v>
      </c>
      <c r="X61" s="1">
        <f>VLOOKUP($E61,'Product Naming'!$A$1:$P$58,7,FALSE)</f>
        <v>3</v>
      </c>
      <c r="Y61" s="1">
        <f>VLOOKUP($E61,'Product Naming'!$A$1:$P$58,8,FALSE)</f>
        <v>2</v>
      </c>
      <c r="Z61" s="1">
        <f>VLOOKUP($E61,'Product Naming'!$A$1:$P$58,9,FALSE)</f>
        <v>0</v>
      </c>
      <c r="AA61" s="1">
        <f>VLOOKUP($E61,'Product Naming'!$A$1:$P$58,10,FALSE)</f>
        <v>-1</v>
      </c>
      <c r="AB61" s="29">
        <f>VLOOKUP($E61,'Product Naming'!$A$1:$P$58,11,FALSE)</f>
        <v>3.6666666666666665</v>
      </c>
      <c r="AC61" s="3">
        <f>VLOOKUP($E61,'Product Naming'!$A$1:$P$58,12,FALSE)</f>
        <v>71.053619999999995</v>
      </c>
      <c r="AD61" s="1">
        <f>VLOOKUP($E61,'Product Naming'!$A$1:$P$58,13,FALSE)</f>
        <v>80</v>
      </c>
      <c r="AE61" s="1" t="str">
        <f>VLOOKUP($E61,'Product Naming'!$A$1:$P$58,14,FALSE)</f>
        <v>Carboxylate</v>
      </c>
      <c r="AF61" s="1" t="str">
        <f>VLOOKUP($E61,'Product Naming'!$A$1:$P$58,15,FALSE)</f>
        <v>Glyceraldehyde 3-P</v>
      </c>
      <c r="AG61" s="30" t="str">
        <f>VLOOKUP($E61,'Product Naming'!$A$1:$P$58,16,FALSE)</f>
        <v>Proton symporter</v>
      </c>
      <c r="AH61" s="3" t="str">
        <f>VLOOKUP($E61,'Product Naming'!$A$1:$Q$58,17,FALSE)</f>
        <v>acryl_c</v>
      </c>
      <c r="AI61" s="1">
        <f>VLOOKUP($E61,'Product Parameters'!$A$2:$D$59,2,FALSE)</f>
        <v>1</v>
      </c>
      <c r="AJ61" s="1">
        <f>VLOOKUP($E61,'Product Parameters'!$A$2:$D$59,3,FALSE)</f>
        <v>0</v>
      </c>
      <c r="AK61" s="1">
        <f>VLOOKUP($E61,'Product Parameters'!$A$2:$D$59,4,FALSE)</f>
        <v>0.12</v>
      </c>
      <c r="AL61" s="1">
        <f>VLOOKUP($E61,'Product Parameters'!$A$2:$E$59,5,FALSE)</f>
        <v>53.1</v>
      </c>
      <c r="AM61" s="1">
        <f>VLOOKUP($E61,'Product Parameters'!$A$2:$F$59,6,FALSE)</f>
        <v>3</v>
      </c>
      <c r="AN61" s="1">
        <f>VLOOKUP($C61,'Substrate Heating'!$A$2:$C$33,3,FALSE)</f>
        <v>247.59097</v>
      </c>
      <c r="AO61" s="1">
        <f>VLOOKUP($C61,'Substrate Heating'!$A$2:$B$33,2,FALSE)</f>
        <v>5.5</v>
      </c>
      <c r="AP61" s="1">
        <f>VLOOKUP($C61,'Substrate Heating'!$A$2:$M$33,13,FALSE)</f>
        <v>1</v>
      </c>
      <c r="AQ61" s="1">
        <f>VLOOKUP($C61,'Substrate Heating'!$A$2:$M$33,8,FALSE)</f>
        <v>1</v>
      </c>
      <c r="AR61" s="1">
        <f t="shared" si="0"/>
        <v>8.024830699774349E-2</v>
      </c>
    </row>
    <row r="62" spans="1:44" x14ac:dyDescent="0.2">
      <c r="A62" s="8" t="s">
        <v>34</v>
      </c>
      <c r="B62" s="9" t="s">
        <v>35</v>
      </c>
      <c r="C62" s="1" t="s">
        <v>337</v>
      </c>
      <c r="D62" s="23" t="s">
        <v>338</v>
      </c>
      <c r="E62" s="1" t="s">
        <v>306</v>
      </c>
      <c r="F62" s="1" t="s">
        <v>302</v>
      </c>
      <c r="G62" s="1">
        <v>-10</v>
      </c>
      <c r="H62" s="1">
        <v>-20</v>
      </c>
      <c r="I62" s="1" t="s">
        <v>40</v>
      </c>
      <c r="J62" s="1">
        <v>3.15</v>
      </c>
      <c r="K62" s="1">
        <v>-10</v>
      </c>
      <c r="L62" s="1">
        <v>-2.8256880733944998</v>
      </c>
      <c r="M62" s="1" t="s">
        <v>40</v>
      </c>
      <c r="N62" s="1">
        <v>8.6954128440366905</v>
      </c>
      <c r="O62" s="1">
        <v>0.434862385321099</v>
      </c>
      <c r="Q62" s="1">
        <v>4.3486238532109901E-2</v>
      </c>
      <c r="R62" s="1">
        <v>4.1658364629509101E-2</v>
      </c>
      <c r="S62" s="1" t="str">
        <f>VLOOKUP($E62,'Product Naming'!$A$1:$P$58,2,FALSE)</f>
        <v>Propane-PW2</v>
      </c>
      <c r="T62" s="1" t="str">
        <f>VLOOKUP($E62,'Product Naming'!$A$1:$P$58,3,FALSE)</f>
        <v>Propane (PW2)</v>
      </c>
      <c r="U62" s="1" t="str">
        <f>VLOOKUP($E62,'Product Naming'!$A$1:$P$58,4,FALSE)</f>
        <v>E</v>
      </c>
      <c r="V62" s="1" t="str">
        <f>VLOOKUP($E62,'Product Naming'!$A$1:$P$58,5,FALSE)</f>
        <v>C3H8</v>
      </c>
      <c r="W62" s="1">
        <f>VLOOKUP($E62,'Product Naming'!$A$1:$P$58,6,FALSE)</f>
        <v>3</v>
      </c>
      <c r="X62" s="1">
        <f>VLOOKUP($E62,'Product Naming'!$A$1:$P$58,7,FALSE)</f>
        <v>8</v>
      </c>
      <c r="Y62" s="1">
        <f>VLOOKUP($E62,'Product Naming'!$A$1:$P$58,8,FALSE)</f>
        <v>0</v>
      </c>
      <c r="Z62" s="1">
        <f>VLOOKUP($E62,'Product Naming'!$A$1:$P$58,9,FALSE)</f>
        <v>0</v>
      </c>
      <c r="AA62" s="1">
        <f>VLOOKUP($E62,'Product Naming'!$A$1:$P$58,10,FALSE)</f>
        <v>0</v>
      </c>
      <c r="AB62" s="29">
        <f>VLOOKUP($E62,'Product Naming'!$A$1:$P$58,11,FALSE)</f>
        <v>6.666666666666667</v>
      </c>
      <c r="AC62" s="3">
        <f>VLOOKUP($E62,'Product Naming'!$A$1:$P$58,12,FALSE)</f>
        <v>44.094819999999999</v>
      </c>
      <c r="AD62" s="1">
        <f>VLOOKUP($E62,'Product Naming'!$A$1:$P$58,13,FALSE)</f>
        <v>-42</v>
      </c>
      <c r="AE62" s="1" t="str">
        <f>VLOOKUP($E62,'Product Naming'!$A$1:$P$58,14,FALSE)</f>
        <v>Hydrocarbon</v>
      </c>
      <c r="AF62" s="1" t="str">
        <f>VLOOKUP($E62,'Product Naming'!$A$1:$P$58,15,FALSE)</f>
        <v>Oxaloacetate</v>
      </c>
      <c r="AG62" s="30" t="str">
        <f>VLOOKUP($E62,'Product Naming'!$A$1:$P$58,16,FALSE)</f>
        <v>Diffusion</v>
      </c>
      <c r="AH62" s="3" t="str">
        <f>VLOOKUP($E62,'Product Naming'!$A$1:$Q$58,17,FALSE)</f>
        <v>prop_c</v>
      </c>
      <c r="AI62" s="1">
        <f>VLOOKUP($E62,'Product Parameters'!$A$2:$D$59,2,FALSE)</f>
        <v>0</v>
      </c>
      <c r="AJ62" s="1">
        <f>VLOOKUP($E62,'Product Parameters'!$A$2:$D$59,3,FALSE)</f>
        <v>1</v>
      </c>
      <c r="AK62" s="1">
        <f>VLOOKUP($E62,'Product Parameters'!$A$2:$D$59,4,FALSE)</f>
        <v>0.12</v>
      </c>
      <c r="AL62" s="1">
        <f>VLOOKUP($E62,'Product Parameters'!$A$2:$E$59,5,FALSE)</f>
        <v>0</v>
      </c>
      <c r="AM62" s="1">
        <f>VLOOKUP($E62,'Product Parameters'!$A$2:$F$59,6,FALSE)</f>
        <v>3</v>
      </c>
      <c r="AN62" s="1">
        <f>VLOOKUP($C62,'Substrate Heating'!$A$2:$C$33,3,FALSE)</f>
        <v>247.59097</v>
      </c>
      <c r="AO62" s="1">
        <f>VLOOKUP($C62,'Substrate Heating'!$A$2:$B$33,2,FALSE)</f>
        <v>5.5</v>
      </c>
      <c r="AP62" s="1">
        <f>VLOOKUP($C62,'Substrate Heating'!$A$2:$M$33,13,FALSE)</f>
        <v>1</v>
      </c>
      <c r="AQ62" s="1">
        <f>VLOOKUP($C62,'Substrate Heating'!$A$2:$M$33,8,FALSE)</f>
        <v>1</v>
      </c>
      <c r="AR62" s="1">
        <f t="shared" si="0"/>
        <v>0.13045871559632971</v>
      </c>
    </row>
    <row r="63" spans="1:44" x14ac:dyDescent="0.2">
      <c r="A63" s="8" t="s">
        <v>34</v>
      </c>
      <c r="B63" s="9" t="s">
        <v>35</v>
      </c>
      <c r="C63" s="1" t="s">
        <v>339</v>
      </c>
      <c r="D63" s="23" t="s">
        <v>338</v>
      </c>
      <c r="E63" s="1" t="s">
        <v>145</v>
      </c>
      <c r="F63" s="1" t="s">
        <v>146</v>
      </c>
      <c r="G63" s="1">
        <v>-10</v>
      </c>
      <c r="H63" s="1">
        <v>-20</v>
      </c>
      <c r="I63" s="1" t="s">
        <v>40</v>
      </c>
      <c r="J63" s="1">
        <v>3.15</v>
      </c>
      <c r="K63" s="1">
        <v>-10</v>
      </c>
      <c r="L63" s="1">
        <v>-3.47962264150943</v>
      </c>
      <c r="M63" s="1" t="s">
        <v>40</v>
      </c>
      <c r="N63" s="1">
        <v>8.7479245283018905</v>
      </c>
      <c r="O63" s="1">
        <v>0.178867924528302</v>
      </c>
      <c r="Q63" s="1">
        <v>1.7886792452830199E-2</v>
      </c>
      <c r="R63" s="1">
        <v>4.2021162002071802E-2</v>
      </c>
      <c r="S63" s="1" t="str">
        <f>VLOOKUP($E63,'Product Naming'!$A$1:$P$58,2,FALSE)</f>
        <v>Benzyl alcohol</v>
      </c>
      <c r="T63" s="1" t="str">
        <f>VLOOKUP($E63,'Product Naming'!$A$1:$P$58,3,FALSE)</f>
        <v>Benzyl alcohol</v>
      </c>
      <c r="U63" s="1" t="str">
        <f>VLOOKUP($E63,'Product Naming'!$A$1:$P$58,4,FALSE)</f>
        <v>E</v>
      </c>
      <c r="V63" s="1" t="str">
        <f>VLOOKUP($E63,'Product Naming'!$A$1:$P$58,5,FALSE)</f>
        <v>C7H8O</v>
      </c>
      <c r="W63" s="1">
        <f>VLOOKUP($E63,'Product Naming'!$A$1:$P$58,6,FALSE)</f>
        <v>7</v>
      </c>
      <c r="X63" s="1">
        <f>VLOOKUP($E63,'Product Naming'!$A$1:$P$58,7,FALSE)</f>
        <v>8</v>
      </c>
      <c r="Y63" s="1">
        <f>VLOOKUP($E63,'Product Naming'!$A$1:$P$58,8,FALSE)</f>
        <v>1</v>
      </c>
      <c r="Z63" s="1">
        <f>VLOOKUP($E63,'Product Naming'!$A$1:$P$58,9,FALSE)</f>
        <v>0</v>
      </c>
      <c r="AA63" s="1">
        <f>VLOOKUP($E63,'Product Naming'!$A$1:$P$58,10,FALSE)</f>
        <v>0</v>
      </c>
      <c r="AB63" s="29">
        <f>VLOOKUP($E63,'Product Naming'!$A$1:$P$58,11,FALSE)</f>
        <v>4.8571428571428568</v>
      </c>
      <c r="AC63" s="3">
        <f>VLOOKUP($E63,'Product Naming'!$A$1:$P$58,12,FALSE)</f>
        <v>108.13661999999999</v>
      </c>
      <c r="AD63" s="1">
        <f>VLOOKUP($E63,'Product Naming'!$A$1:$P$58,13,FALSE)</f>
        <v>205</v>
      </c>
      <c r="AE63" s="1" t="str">
        <f>VLOOKUP($E63,'Product Naming'!$A$1:$P$58,14,FALSE)</f>
        <v>Aromatic + Alcohol</v>
      </c>
      <c r="AF63" s="1" t="str">
        <f>VLOOKUP($E63,'Product Naming'!$A$1:$P$58,15,FALSE)</f>
        <v>E4P</v>
      </c>
      <c r="AG63" s="30" t="str">
        <f>VLOOKUP($E63,'Product Naming'!$A$1:$P$58,16,FALSE)</f>
        <v>Proton symporter</v>
      </c>
      <c r="AH63" s="3" t="str">
        <f>VLOOKUP($E63,'Product Naming'!$A$1:$Q$58,17,FALSE)</f>
        <v>bzalc_c</v>
      </c>
      <c r="AI63" s="1">
        <f>VLOOKUP($E63,'Product Parameters'!$A$2:$D$59,2,FALSE)</f>
        <v>1</v>
      </c>
      <c r="AJ63" s="1">
        <f>VLOOKUP($E63,'Product Parameters'!$A$2:$D$59,3,FALSE)</f>
        <v>0</v>
      </c>
      <c r="AK63" s="1">
        <f>VLOOKUP($E63,'Product Parameters'!$A$2:$D$59,4,FALSE)</f>
        <v>0.12</v>
      </c>
      <c r="AL63" s="1">
        <f>VLOOKUP($E63,'Product Parameters'!$A$2:$E$59,5,FALSE)</f>
        <v>63</v>
      </c>
      <c r="AM63" s="1">
        <f>VLOOKUP($E63,'Product Parameters'!$A$2:$F$59,6,FALSE)</f>
        <v>7</v>
      </c>
      <c r="AN63" s="1">
        <f>VLOOKUP($C63,'Substrate Heating'!$A$2:$C$33,3,FALSE)</f>
        <v>247.59097</v>
      </c>
      <c r="AO63" s="1">
        <f>VLOOKUP($C63,'Substrate Heating'!$A$2:$B$33,2,FALSE)</f>
        <v>5.5</v>
      </c>
      <c r="AP63" s="1">
        <f>VLOOKUP($C63,'Substrate Heating'!$A$2:$M$33,13,FALSE)</f>
        <v>1</v>
      </c>
      <c r="AQ63" s="1">
        <f>VLOOKUP($C63,'Substrate Heating'!$A$2:$M$33,8,FALSE)</f>
        <v>1</v>
      </c>
      <c r="AR63" s="1">
        <f t="shared" si="0"/>
        <v>0.12520754716981139</v>
      </c>
    </row>
    <row r="64" spans="1:44" x14ac:dyDescent="0.2">
      <c r="A64" s="8" t="s">
        <v>34</v>
      </c>
      <c r="B64" s="9" t="s">
        <v>35</v>
      </c>
      <c r="C64" s="1" t="s">
        <v>339</v>
      </c>
      <c r="D64" s="23" t="s">
        <v>338</v>
      </c>
      <c r="E64" s="1" t="s">
        <v>103</v>
      </c>
      <c r="F64" s="1" t="s">
        <v>104</v>
      </c>
      <c r="G64" s="1">
        <v>-10</v>
      </c>
      <c r="H64" s="1">
        <v>-20</v>
      </c>
      <c r="I64" s="1" t="s">
        <v>40</v>
      </c>
      <c r="J64" s="1">
        <v>3.15</v>
      </c>
      <c r="K64" s="1">
        <v>-10</v>
      </c>
      <c r="L64" s="1">
        <v>-3.2298755186722001</v>
      </c>
      <c r="M64" s="1" t="s">
        <v>40</v>
      </c>
      <c r="N64" s="1">
        <v>8.8199170124481405</v>
      </c>
      <c r="O64" s="1">
        <v>0.196680497925311</v>
      </c>
      <c r="Q64" s="1">
        <v>1.96680497925311E-2</v>
      </c>
      <c r="R64" s="1">
        <v>4.36576217201603E-2</v>
      </c>
      <c r="S64" s="1" t="str">
        <f>VLOOKUP($E64,'Product Naming'!$A$1:$P$58,2,FALSE)</f>
        <v>3-Methyl-1-Pentanol</v>
      </c>
      <c r="T64" s="1" t="str">
        <f>VLOOKUP($E64,'Product Naming'!$A$1:$P$58,3,FALSE)</f>
        <v>3-Methyl-1-pentanol</v>
      </c>
      <c r="U64" s="1" t="str">
        <f>VLOOKUP($E64,'Product Naming'!$A$1:$P$58,4,FALSE)</f>
        <v>A</v>
      </c>
      <c r="V64" s="1" t="str">
        <f>VLOOKUP($E64,'Product Naming'!$A$1:$P$58,5,FALSE)</f>
        <v>C6H14O</v>
      </c>
      <c r="W64" s="1">
        <f>VLOOKUP($E64,'Product Naming'!$A$1:$P$58,6,FALSE)</f>
        <v>6</v>
      </c>
      <c r="X64" s="1">
        <f>VLOOKUP($E64,'Product Naming'!$A$1:$P$58,7,FALSE)</f>
        <v>14</v>
      </c>
      <c r="Y64" s="1">
        <f>VLOOKUP($E64,'Product Naming'!$A$1:$P$58,8,FALSE)</f>
        <v>1</v>
      </c>
      <c r="Z64" s="1">
        <f>VLOOKUP($E64,'Product Naming'!$A$1:$P$58,9,FALSE)</f>
        <v>0</v>
      </c>
      <c r="AA64" s="1">
        <f>VLOOKUP($E64,'Product Naming'!$A$1:$P$58,10,FALSE)</f>
        <v>0</v>
      </c>
      <c r="AB64" s="29">
        <f>VLOOKUP($E64,'Product Naming'!$A$1:$P$58,11,FALSE)</f>
        <v>6</v>
      </c>
      <c r="AC64" s="3">
        <f>VLOOKUP($E64,'Product Naming'!$A$1:$P$58,12,FALSE)</f>
        <v>102.17295999999999</v>
      </c>
      <c r="AD64" s="1">
        <f>VLOOKUP($E64,'Product Naming'!$A$1:$P$58,13,FALSE)</f>
        <v>153</v>
      </c>
      <c r="AE64" s="1" t="str">
        <f>VLOOKUP($E64,'Product Naming'!$A$1:$P$58,14,FALSE)</f>
        <v>Alcohol</v>
      </c>
      <c r="AF64" s="1" t="str">
        <f>VLOOKUP($E64,'Product Naming'!$A$1:$P$58,15,FALSE)</f>
        <v>Oxaloacetate</v>
      </c>
      <c r="AG64" s="30" t="str">
        <f>VLOOKUP($E64,'Product Naming'!$A$1:$P$58,16,FALSE)</f>
        <v>Proton symporter</v>
      </c>
      <c r="AH64" s="3" t="str">
        <f>VLOOKUP($E64,'Product Naming'!$A$1:$Q$58,17,FALSE)</f>
        <v>3mptoh_c</v>
      </c>
      <c r="AI64" s="1">
        <f>VLOOKUP($E64,'Product Parameters'!$A$2:$D$59,2,FALSE)</f>
        <v>1</v>
      </c>
      <c r="AJ64" s="1">
        <f>VLOOKUP($E64,'Product Parameters'!$A$2:$D$59,3,FALSE)</f>
        <v>0</v>
      </c>
      <c r="AK64" s="1">
        <f>VLOOKUP($E64,'Product Parameters'!$A$2:$D$59,4,FALSE)</f>
        <v>0.12</v>
      </c>
      <c r="AL64" s="1">
        <f>VLOOKUP($E64,'Product Parameters'!$A$2:$E$59,5,FALSE)</f>
        <v>61.7</v>
      </c>
      <c r="AM64" s="1">
        <f>VLOOKUP($E64,'Product Parameters'!$A$2:$F$59,6,FALSE)</f>
        <v>6</v>
      </c>
      <c r="AN64" s="1">
        <f>VLOOKUP($C64,'Substrate Heating'!$A$2:$C$33,3,FALSE)</f>
        <v>247.59097</v>
      </c>
      <c r="AO64" s="1">
        <f>VLOOKUP($C64,'Substrate Heating'!$A$2:$B$33,2,FALSE)</f>
        <v>5.5</v>
      </c>
      <c r="AP64" s="1">
        <f>VLOOKUP($C64,'Substrate Heating'!$A$2:$M$33,13,FALSE)</f>
        <v>1</v>
      </c>
      <c r="AQ64" s="1">
        <f>VLOOKUP($C64,'Substrate Heating'!$A$2:$M$33,8,FALSE)</f>
        <v>1</v>
      </c>
      <c r="AR64" s="1">
        <f t="shared" si="0"/>
        <v>0.11800829875518659</v>
      </c>
    </row>
    <row r="65" spans="1:44" x14ac:dyDescent="0.2">
      <c r="A65" s="8" t="s">
        <v>34</v>
      </c>
      <c r="B65" s="9" t="s">
        <v>35</v>
      </c>
      <c r="C65" s="1" t="s">
        <v>340</v>
      </c>
      <c r="D65" s="23" t="s">
        <v>338</v>
      </c>
      <c r="E65" s="1" t="s">
        <v>130</v>
      </c>
      <c r="F65" s="1" t="s">
        <v>125</v>
      </c>
      <c r="G65" s="1">
        <v>-10</v>
      </c>
      <c r="H65" s="1">
        <v>-20</v>
      </c>
      <c r="I65" s="1" t="s">
        <v>40</v>
      </c>
      <c r="J65" s="1">
        <v>3.15</v>
      </c>
      <c r="K65" s="1">
        <v>-10</v>
      </c>
      <c r="L65" s="1">
        <v>-4.1371359223301001</v>
      </c>
      <c r="M65" s="1" t="s">
        <v>40</v>
      </c>
      <c r="N65" s="1">
        <v>9.1371359223300992</v>
      </c>
      <c r="O65" s="1">
        <v>0.28762135922329901</v>
      </c>
      <c r="Q65" s="1">
        <v>2.8762135922329901E-2</v>
      </c>
      <c r="R65" s="1">
        <v>4.4398688587638797E-2</v>
      </c>
      <c r="S65" s="1" t="str">
        <f>VLOOKUP($E65,'Product Naming'!$A$1:$P$58,2,FALSE)</f>
        <v>Acrylate-PW2</v>
      </c>
      <c r="T65" s="1" t="str">
        <f>VLOOKUP($E65,'Product Naming'!$A$1:$P$58,3,FALSE)</f>
        <v>Acrylate (PW2)</v>
      </c>
      <c r="U65" s="1" t="str">
        <f>VLOOKUP($E65,'Product Naming'!$A$1:$P$58,4,FALSE)</f>
        <v>A</v>
      </c>
      <c r="V65" s="1" t="str">
        <f>VLOOKUP($E65,'Product Naming'!$A$1:$P$58,5,FALSE)</f>
        <v>C3H3O2</v>
      </c>
      <c r="W65" s="1">
        <f>VLOOKUP($E65,'Product Naming'!$A$1:$P$58,6,FALSE)</f>
        <v>3</v>
      </c>
      <c r="X65" s="1">
        <f>VLOOKUP($E65,'Product Naming'!$A$1:$P$58,7,FALSE)</f>
        <v>3</v>
      </c>
      <c r="Y65" s="1">
        <f>VLOOKUP($E65,'Product Naming'!$A$1:$P$58,8,FALSE)</f>
        <v>2</v>
      </c>
      <c r="Z65" s="1">
        <f>VLOOKUP($E65,'Product Naming'!$A$1:$P$58,9,FALSE)</f>
        <v>0</v>
      </c>
      <c r="AA65" s="1">
        <f>VLOOKUP($E65,'Product Naming'!$A$1:$P$58,10,FALSE)</f>
        <v>-1</v>
      </c>
      <c r="AB65" s="29">
        <f>VLOOKUP($E65,'Product Naming'!$A$1:$P$58,11,FALSE)</f>
        <v>3.6666666666666665</v>
      </c>
      <c r="AC65" s="3">
        <f>VLOOKUP($E65,'Product Naming'!$A$1:$P$58,12,FALSE)</f>
        <v>71.053619999999995</v>
      </c>
      <c r="AD65" s="1">
        <f>VLOOKUP($E65,'Product Naming'!$A$1:$P$58,13,FALSE)</f>
        <v>80</v>
      </c>
      <c r="AE65" s="1" t="str">
        <f>VLOOKUP($E65,'Product Naming'!$A$1:$P$58,14,FALSE)</f>
        <v>Carboxylate</v>
      </c>
      <c r="AF65" s="1" t="str">
        <f>VLOOKUP($E65,'Product Naming'!$A$1:$P$58,15,FALSE)</f>
        <v>Pyruvate</v>
      </c>
      <c r="AG65" s="30" t="str">
        <f>VLOOKUP($E65,'Product Naming'!$A$1:$P$58,16,FALSE)</f>
        <v>Proton symporter</v>
      </c>
      <c r="AH65" s="3" t="str">
        <f>VLOOKUP($E65,'Product Naming'!$A$1:$Q$58,17,FALSE)</f>
        <v>acryl_c</v>
      </c>
      <c r="AI65" s="1">
        <f>VLOOKUP($E65,'Product Parameters'!$A$2:$D$59,2,FALSE)</f>
        <v>1</v>
      </c>
      <c r="AJ65" s="1">
        <f>VLOOKUP($E65,'Product Parameters'!$A$2:$D$59,3,FALSE)</f>
        <v>0</v>
      </c>
      <c r="AK65" s="1">
        <f>VLOOKUP($E65,'Product Parameters'!$A$2:$D$59,4,FALSE)</f>
        <v>0.12</v>
      </c>
      <c r="AL65" s="1">
        <f>VLOOKUP($E65,'Product Parameters'!$A$2:$E$59,5,FALSE)</f>
        <v>53.1</v>
      </c>
      <c r="AM65" s="1">
        <f>VLOOKUP($E65,'Product Parameters'!$A$2:$F$59,6,FALSE)</f>
        <v>3</v>
      </c>
      <c r="AN65" s="1">
        <f>VLOOKUP($C65,'Substrate Heating'!$A$2:$C$33,3,FALSE)</f>
        <v>247.59097</v>
      </c>
      <c r="AO65" s="1">
        <f>VLOOKUP($C65,'Substrate Heating'!$A$2:$B$33,2,FALSE)</f>
        <v>5.5</v>
      </c>
      <c r="AP65" s="1">
        <f>VLOOKUP($C65,'Substrate Heating'!$A$2:$M$33,13,FALSE)</f>
        <v>1</v>
      </c>
      <c r="AQ65" s="1">
        <f>VLOOKUP($C65,'Substrate Heating'!$A$2:$M$33,8,FALSE)</f>
        <v>1</v>
      </c>
      <c r="AR65" s="1">
        <f t="shared" si="0"/>
        <v>8.6286407766989703E-2</v>
      </c>
    </row>
    <row r="66" spans="1:44" x14ac:dyDescent="0.2">
      <c r="A66" s="8" t="s">
        <v>34</v>
      </c>
      <c r="B66" s="9" t="s">
        <v>35</v>
      </c>
      <c r="C66" s="1" t="s">
        <v>340</v>
      </c>
      <c r="D66" s="23" t="s">
        <v>338</v>
      </c>
      <c r="E66" s="1" t="s">
        <v>308</v>
      </c>
      <c r="F66" s="1" t="s">
        <v>309</v>
      </c>
      <c r="G66" s="1">
        <v>-10</v>
      </c>
      <c r="H66" s="1">
        <v>-20</v>
      </c>
      <c r="I66" s="1" t="s">
        <v>40</v>
      </c>
      <c r="J66" s="1">
        <v>3.15</v>
      </c>
      <c r="K66" s="1">
        <v>-10</v>
      </c>
      <c r="L66" s="1">
        <v>-4.1696696696696698</v>
      </c>
      <c r="M66" s="1" t="s">
        <v>40</v>
      </c>
      <c r="N66" s="1">
        <v>9.1696696696696698</v>
      </c>
      <c r="O66" s="1">
        <v>0.118618618618618</v>
      </c>
      <c r="Q66" s="1">
        <v>1.18618618618618E-2</v>
      </c>
      <c r="R66" s="1">
        <v>4.46184242144015E-2</v>
      </c>
      <c r="S66" s="1" t="str">
        <f>VLOOKUP($E66,'Product Naming'!$A$1:$P$58,2,FALSE)</f>
        <v>Shikimate</v>
      </c>
      <c r="T66" s="1" t="str">
        <f>VLOOKUP($E66,'Product Naming'!$A$1:$P$58,3,FALSE)</f>
        <v>Shikimate</v>
      </c>
      <c r="U66" s="1" t="str">
        <f>VLOOKUP($E66,'Product Naming'!$A$1:$P$58,4,FALSE)</f>
        <v>E</v>
      </c>
      <c r="V66" s="1" t="str">
        <f>VLOOKUP($E66,'Product Naming'!$A$1:$P$58,5,FALSE)</f>
        <v>C7H9O5</v>
      </c>
      <c r="W66" s="1">
        <f>VLOOKUP($E66,'Product Naming'!$A$1:$P$58,6,FALSE)</f>
        <v>7</v>
      </c>
      <c r="X66" s="1">
        <f>VLOOKUP($E66,'Product Naming'!$A$1:$P$58,7,FALSE)</f>
        <v>9</v>
      </c>
      <c r="Y66" s="1">
        <f>VLOOKUP($E66,'Product Naming'!$A$1:$P$58,8,FALSE)</f>
        <v>5</v>
      </c>
      <c r="Z66" s="1">
        <f>VLOOKUP($E66,'Product Naming'!$A$1:$P$58,9,FALSE)</f>
        <v>0</v>
      </c>
      <c r="AA66" s="1">
        <f>VLOOKUP($E66,'Product Naming'!$A$1:$P$58,10,FALSE)</f>
        <v>-1</v>
      </c>
      <c r="AB66" s="29">
        <f>VLOOKUP($E66,'Product Naming'!$A$1:$P$58,11,FALSE)</f>
        <v>3.8571428571428572</v>
      </c>
      <c r="AC66" s="3">
        <f>VLOOKUP($E66,'Product Naming'!$A$1:$P$58,12,FALSE)</f>
        <v>173.14046000000002</v>
      </c>
      <c r="AD66" s="1">
        <f>VLOOKUP($E66,'Product Naming'!$A$1:$P$58,13,FALSE)</f>
        <v>400.5</v>
      </c>
      <c r="AE66" s="1" t="str">
        <f>VLOOKUP($E66,'Product Naming'!$A$1:$P$58,14,FALSE)</f>
        <v>Aromatic + Alcohol + Carboxylate</v>
      </c>
      <c r="AF66" s="1" t="str">
        <f>VLOOKUP($E66,'Product Naming'!$A$1:$P$58,15,FALSE)</f>
        <v>PEP + E4P (Glyceraldehyde 3-P)</v>
      </c>
      <c r="AG66" s="30" t="str">
        <f>VLOOKUP($E66,'Product Naming'!$A$1:$P$58,16,FALSE)</f>
        <v>Proton symporter</v>
      </c>
      <c r="AH66" s="3" t="str">
        <f>VLOOKUP($E66,'Product Naming'!$A$1:$Q$58,17,FALSE)</f>
        <v>skm_c</v>
      </c>
      <c r="AI66" s="1">
        <f>VLOOKUP($E66,'Product Parameters'!$A$2:$D$59,2,FALSE)</f>
        <v>1</v>
      </c>
      <c r="AJ66" s="1">
        <f>VLOOKUP($E66,'Product Parameters'!$A$2:$D$59,3,FALSE)</f>
        <v>0</v>
      </c>
      <c r="AK66" s="1">
        <f>VLOOKUP($E66,'Product Parameters'!$A$2:$D$59,4,FALSE)</f>
        <v>0.12</v>
      </c>
      <c r="AL66" s="1">
        <f>VLOOKUP($E66,'Product Parameters'!$A$2:$E$59,5,FALSE)</f>
        <v>40.65</v>
      </c>
      <c r="AM66" s="1">
        <f>VLOOKUP($E66,'Product Parameters'!$A$2:$F$59,6,FALSE)</f>
        <v>7</v>
      </c>
      <c r="AN66" s="1">
        <f>VLOOKUP($C66,'Substrate Heating'!$A$2:$C$33,3,FALSE)</f>
        <v>247.59097</v>
      </c>
      <c r="AO66" s="1">
        <f>VLOOKUP($C66,'Substrate Heating'!$A$2:$B$33,2,FALSE)</f>
        <v>5.5</v>
      </c>
      <c r="AP66" s="1">
        <f>VLOOKUP($C66,'Substrate Heating'!$A$2:$M$33,13,FALSE)</f>
        <v>1</v>
      </c>
      <c r="AQ66" s="1">
        <f>VLOOKUP($C66,'Substrate Heating'!$A$2:$M$33,8,FALSE)</f>
        <v>1</v>
      </c>
      <c r="AR66" s="1">
        <f t="shared" si="0"/>
        <v>8.3033033033032597E-2</v>
      </c>
    </row>
    <row r="67" spans="1:44" x14ac:dyDescent="0.2">
      <c r="A67" s="8" t="s">
        <v>34</v>
      </c>
      <c r="B67" s="9" t="s">
        <v>35</v>
      </c>
      <c r="C67" s="1" t="s">
        <v>339</v>
      </c>
      <c r="D67" s="23" t="s">
        <v>338</v>
      </c>
      <c r="E67" s="1" t="s">
        <v>91</v>
      </c>
      <c r="F67" s="1" t="s">
        <v>92</v>
      </c>
      <c r="G67" s="1">
        <v>-10</v>
      </c>
      <c r="H67" s="1">
        <v>-20</v>
      </c>
      <c r="I67" s="1" t="s">
        <v>40</v>
      </c>
      <c r="J67" s="1">
        <v>3.15</v>
      </c>
      <c r="K67" s="1">
        <v>-10</v>
      </c>
      <c r="L67" s="1">
        <v>-3.2487684729064101</v>
      </c>
      <c r="M67" s="1" t="s">
        <v>40</v>
      </c>
      <c r="N67" s="1">
        <v>8.8325123152709395</v>
      </c>
      <c r="O67" s="1">
        <v>0.23349753694581299</v>
      </c>
      <c r="Q67" s="1">
        <v>2.33497536945813E-2</v>
      </c>
      <c r="R67" s="1">
        <v>4.4714725568323503E-2</v>
      </c>
      <c r="S67" s="1" t="str">
        <f>VLOOKUP($E67,'Product Naming'!$A$1:$P$58,2,FALSE)</f>
        <v>2-Methyl-1-Butanol</v>
      </c>
      <c r="T67" s="1" t="str">
        <f>VLOOKUP($E67,'Product Naming'!$A$1:$P$58,3,FALSE)</f>
        <v>2-Methyl-1-butanol</v>
      </c>
      <c r="U67" s="1" t="str">
        <f>VLOOKUP($E67,'Product Naming'!$A$1:$P$58,4,FALSE)</f>
        <v>A</v>
      </c>
      <c r="V67" s="1" t="str">
        <f>VLOOKUP($E67,'Product Naming'!$A$1:$P$58,5,FALSE)</f>
        <v>C5H12O</v>
      </c>
      <c r="W67" s="1">
        <f>VLOOKUP($E67,'Product Naming'!$A$1:$P$58,6,FALSE)</f>
        <v>5</v>
      </c>
      <c r="X67" s="1">
        <f>VLOOKUP($E67,'Product Naming'!$A$1:$P$58,7,FALSE)</f>
        <v>12</v>
      </c>
      <c r="Y67" s="1">
        <f>VLOOKUP($E67,'Product Naming'!$A$1:$P$58,8,FALSE)</f>
        <v>1</v>
      </c>
      <c r="Z67" s="1">
        <f>VLOOKUP($E67,'Product Naming'!$A$1:$P$58,9,FALSE)</f>
        <v>0</v>
      </c>
      <c r="AA67" s="1">
        <f>VLOOKUP($E67,'Product Naming'!$A$1:$P$58,10,FALSE)</f>
        <v>0</v>
      </c>
      <c r="AB67" s="29">
        <f>VLOOKUP($E67,'Product Naming'!$A$1:$P$58,11,FALSE)</f>
        <v>6</v>
      </c>
      <c r="AC67" s="3">
        <f>VLOOKUP($E67,'Product Naming'!$A$1:$P$58,12,FALSE)</f>
        <v>88.14658</v>
      </c>
      <c r="AD67" s="1">
        <f>VLOOKUP($E67,'Product Naming'!$A$1:$P$58,13,FALSE)</f>
        <v>129</v>
      </c>
      <c r="AE67" s="1" t="str">
        <f>VLOOKUP($E67,'Product Naming'!$A$1:$P$58,14,FALSE)</f>
        <v>Alcohol</v>
      </c>
      <c r="AF67" s="1" t="str">
        <f>VLOOKUP($E67,'Product Naming'!$A$1:$P$58,15,FALSE)</f>
        <v>PEP</v>
      </c>
      <c r="AG67" s="30" t="str">
        <f>VLOOKUP($E67,'Product Naming'!$A$1:$P$58,16,FALSE)</f>
        <v>Proton symporter</v>
      </c>
      <c r="AH67" s="3" t="str">
        <f>VLOOKUP($E67,'Product Naming'!$A$1:$Q$58,17,FALSE)</f>
        <v>2mbtoh_c</v>
      </c>
      <c r="AI67" s="1">
        <f>VLOOKUP($E67,'Product Parameters'!$A$2:$D$59,2,FALSE)</f>
        <v>1</v>
      </c>
      <c r="AJ67" s="1">
        <f>VLOOKUP($E67,'Product Parameters'!$A$2:$D$59,3,FALSE)</f>
        <v>0</v>
      </c>
      <c r="AK67" s="1">
        <f>VLOOKUP($E67,'Product Parameters'!$A$2:$D$59,4,FALSE)</f>
        <v>0.12</v>
      </c>
      <c r="AL67" s="1">
        <f>VLOOKUP($E67,'Product Parameters'!$A$2:$E$59,5,FALSE)</f>
        <v>54.6</v>
      </c>
      <c r="AM67" s="1">
        <f>VLOOKUP($E67,'Product Parameters'!$A$2:$F$59,6,FALSE)</f>
        <v>5</v>
      </c>
      <c r="AN67" s="1">
        <f>VLOOKUP($C67,'Substrate Heating'!$A$2:$C$33,3,FALSE)</f>
        <v>247.59097</v>
      </c>
      <c r="AO67" s="1">
        <f>VLOOKUP($C67,'Substrate Heating'!$A$2:$B$33,2,FALSE)</f>
        <v>5.5</v>
      </c>
      <c r="AP67" s="1">
        <f>VLOOKUP($C67,'Substrate Heating'!$A$2:$M$33,13,FALSE)</f>
        <v>1</v>
      </c>
      <c r="AQ67" s="1">
        <f>VLOOKUP($C67,'Substrate Heating'!$A$2:$M$33,8,FALSE)</f>
        <v>1</v>
      </c>
      <c r="AR67" s="1">
        <f t="shared" ref="AR67:AR130" si="1">Q67*W67/AQ67</f>
        <v>0.11674876847290649</v>
      </c>
    </row>
    <row r="68" spans="1:44" x14ac:dyDescent="0.2">
      <c r="A68" s="8" t="s">
        <v>34</v>
      </c>
      <c r="B68" s="9" t="s">
        <v>35</v>
      </c>
      <c r="C68" s="1" t="s">
        <v>339</v>
      </c>
      <c r="D68" s="23" t="s">
        <v>338</v>
      </c>
      <c r="E68" s="1" t="s">
        <v>295</v>
      </c>
      <c r="F68" s="1" t="s">
        <v>292</v>
      </c>
      <c r="G68" s="1">
        <v>-10</v>
      </c>
      <c r="H68" s="1">
        <v>-20</v>
      </c>
      <c r="I68" s="1" t="s">
        <v>40</v>
      </c>
      <c r="J68" s="1">
        <v>3.15</v>
      </c>
      <c r="K68" s="1">
        <v>-10</v>
      </c>
      <c r="L68" s="1">
        <v>-3.2313432835820901</v>
      </c>
      <c r="M68" s="1" t="s">
        <v>40</v>
      </c>
      <c r="N68" s="1">
        <v>8.8208955223880192</v>
      </c>
      <c r="O68" s="1">
        <v>0.23582089552238</v>
      </c>
      <c r="Q68" s="1">
        <v>2.3582089552237999E-2</v>
      </c>
      <c r="R68" s="1">
        <v>4.5159648210792901E-2</v>
      </c>
      <c r="S68" s="1" t="str">
        <f>VLOOKUP($E68,'Product Naming'!$A$1:$P$58,2,FALSE)</f>
        <v>Pentanol-PW2</v>
      </c>
      <c r="T68" s="1" t="str">
        <f>VLOOKUP($E68,'Product Naming'!$A$1:$P$58,3,FALSE)</f>
        <v>Pentanol (PW2)</v>
      </c>
      <c r="U68" s="1" t="str">
        <f>VLOOKUP($E68,'Product Naming'!$A$1:$P$58,4,FALSE)</f>
        <v>E</v>
      </c>
      <c r="V68" s="1" t="str">
        <f>VLOOKUP($E68,'Product Naming'!$A$1:$P$58,5,FALSE)</f>
        <v>C5H12O</v>
      </c>
      <c r="W68" s="1">
        <f>VLOOKUP($E68,'Product Naming'!$A$1:$P$58,6,FALSE)</f>
        <v>5</v>
      </c>
      <c r="X68" s="1">
        <f>VLOOKUP($E68,'Product Naming'!$A$1:$P$58,7,FALSE)</f>
        <v>12</v>
      </c>
      <c r="Y68" s="1">
        <f>VLOOKUP($E68,'Product Naming'!$A$1:$P$58,8,FALSE)</f>
        <v>1</v>
      </c>
      <c r="Z68" s="1">
        <f>VLOOKUP($E68,'Product Naming'!$A$1:$P$58,9,FALSE)</f>
        <v>0</v>
      </c>
      <c r="AA68" s="1">
        <f>VLOOKUP($E68,'Product Naming'!$A$1:$P$58,10,FALSE)</f>
        <v>0</v>
      </c>
      <c r="AB68" s="29">
        <f>VLOOKUP($E68,'Product Naming'!$A$1:$P$58,11,FALSE)</f>
        <v>6</v>
      </c>
      <c r="AC68" s="3">
        <f>VLOOKUP($E68,'Product Naming'!$A$1:$P$58,12,FALSE)</f>
        <v>88.14658</v>
      </c>
      <c r="AD68" s="1">
        <f>VLOOKUP($E68,'Product Naming'!$A$1:$P$58,13,FALSE)</f>
        <v>138</v>
      </c>
      <c r="AE68" s="1" t="str">
        <f>VLOOKUP($E68,'Product Naming'!$A$1:$P$58,14,FALSE)</f>
        <v>Alcohol</v>
      </c>
      <c r="AF68" s="1" t="str">
        <f>VLOOKUP($E68,'Product Naming'!$A$1:$P$58,15,FALSE)</f>
        <v>Oxaloacetate</v>
      </c>
      <c r="AG68" s="30" t="str">
        <f>VLOOKUP($E68,'Product Naming'!$A$1:$P$58,16,FALSE)</f>
        <v>Proton symporter</v>
      </c>
      <c r="AH68" s="3" t="str">
        <f>VLOOKUP($E68,'Product Naming'!$A$1:$Q$58,17,FALSE)</f>
        <v>pentoh_c</v>
      </c>
      <c r="AI68" s="1">
        <f>VLOOKUP($E68,'Product Parameters'!$A$2:$D$59,2,FALSE)</f>
        <v>1</v>
      </c>
      <c r="AJ68" s="1">
        <f>VLOOKUP($E68,'Product Parameters'!$A$2:$D$59,3,FALSE)</f>
        <v>0</v>
      </c>
      <c r="AK68" s="1">
        <f>VLOOKUP($E68,'Product Parameters'!$A$2:$D$59,4,FALSE)</f>
        <v>0.12</v>
      </c>
      <c r="AL68" s="1">
        <f>VLOOKUP($E68,'Product Parameters'!$A$2:$E$59,5,FALSE)</f>
        <v>57</v>
      </c>
      <c r="AM68" s="1">
        <f>VLOOKUP($E68,'Product Parameters'!$A$2:$F$59,6,FALSE)</f>
        <v>5</v>
      </c>
      <c r="AN68" s="1">
        <f>VLOOKUP($C68,'Substrate Heating'!$A$2:$C$33,3,FALSE)</f>
        <v>247.59097</v>
      </c>
      <c r="AO68" s="1">
        <f>VLOOKUP($C68,'Substrate Heating'!$A$2:$B$33,2,FALSE)</f>
        <v>5.5</v>
      </c>
      <c r="AP68" s="1">
        <f>VLOOKUP($C68,'Substrate Heating'!$A$2:$M$33,13,FALSE)</f>
        <v>1</v>
      </c>
      <c r="AQ68" s="1">
        <f>VLOOKUP($C68,'Substrate Heating'!$A$2:$M$33,8,FALSE)</f>
        <v>1</v>
      </c>
      <c r="AR68" s="1">
        <f t="shared" si="1"/>
        <v>0.11791044776119</v>
      </c>
    </row>
    <row r="69" spans="1:44" x14ac:dyDescent="0.2">
      <c r="A69" s="17" t="s">
        <v>323</v>
      </c>
      <c r="B69" s="18" t="s">
        <v>324</v>
      </c>
      <c r="C69" t="s">
        <v>333</v>
      </c>
      <c r="D69" s="19" t="s">
        <v>326</v>
      </c>
      <c r="E69" t="s">
        <v>297</v>
      </c>
      <c r="F69" t="s">
        <v>298</v>
      </c>
      <c r="G69">
        <v>-10</v>
      </c>
      <c r="H69">
        <v>0</v>
      </c>
      <c r="I69">
        <v>0</v>
      </c>
      <c r="J69">
        <v>0.45</v>
      </c>
      <c r="K69">
        <v>-10</v>
      </c>
      <c r="L69">
        <v>0</v>
      </c>
      <c r="M69">
        <v>0</v>
      </c>
      <c r="N69">
        <v>5.2252631578947399</v>
      </c>
      <c r="O69">
        <v>0.225263157894737</v>
      </c>
      <c r="P69"/>
      <c r="Q69">
        <v>2.25263157894737E-2</v>
      </c>
      <c r="R69">
        <v>4.6056385136155002E-2</v>
      </c>
      <c r="S69" s="1" t="str">
        <f>VLOOKUP($E69,'Product Naming'!$A$1:$P$58,2,FALSE)</f>
        <v>Phenol</v>
      </c>
      <c r="T69" s="1" t="str">
        <f>VLOOKUP($E69,'Product Naming'!$A$1:$P$58,3,FALSE)</f>
        <v>Phenol</v>
      </c>
      <c r="U69" s="1" t="str">
        <f>VLOOKUP($E69,'Product Naming'!$A$1:$P$58,4,FALSE)</f>
        <v>E-S</v>
      </c>
      <c r="V69" s="1" t="str">
        <f>VLOOKUP($E69,'Product Naming'!$A$1:$P$58,5,FALSE)</f>
        <v>C6H6O</v>
      </c>
      <c r="W69" s="1">
        <f>VLOOKUP($E69,'Product Naming'!$A$1:$P$58,6,FALSE)</f>
        <v>6</v>
      </c>
      <c r="X69" s="1">
        <f>VLOOKUP($E69,'Product Naming'!$A$1:$P$58,7,FALSE)</f>
        <v>6</v>
      </c>
      <c r="Y69" s="1">
        <f>VLOOKUP($E69,'Product Naming'!$A$1:$P$58,8,FALSE)</f>
        <v>1</v>
      </c>
      <c r="Z69" s="1">
        <f>VLOOKUP($E69,'Product Naming'!$A$1:$P$58,9,FALSE)</f>
        <v>0</v>
      </c>
      <c r="AA69" s="1">
        <f>VLOOKUP($E69,'Product Naming'!$A$1:$P$58,10,FALSE)</f>
        <v>0</v>
      </c>
      <c r="AB69" s="29">
        <f>VLOOKUP($E69,'Product Naming'!$A$1:$P$58,11,FALSE)</f>
        <v>4.666666666666667</v>
      </c>
      <c r="AC69" s="3">
        <f>VLOOKUP($E69,'Product Naming'!$A$1:$P$58,12,FALSE)</f>
        <v>94.11023999999999</v>
      </c>
      <c r="AD69" s="1">
        <f>VLOOKUP($E69,'Product Naming'!$A$1:$P$58,13,FALSE)</f>
        <v>181.7</v>
      </c>
      <c r="AE69" s="1" t="str">
        <f>VLOOKUP($E69,'Product Naming'!$A$1:$P$58,14,FALSE)</f>
        <v>Aromatic + Alcohol</v>
      </c>
      <c r="AF69" s="1" t="str">
        <f>VLOOKUP($E69,'Product Naming'!$A$1:$P$58,15,FALSE)</f>
        <v>E4P + L-glutamate</v>
      </c>
      <c r="AG69" s="30" t="str">
        <f>VLOOKUP($E69,'Product Naming'!$A$1:$P$58,16,FALSE)</f>
        <v>Proton symporter</v>
      </c>
      <c r="AH69" s="3" t="str">
        <f>VLOOKUP($E69,'Product Naming'!$A$1:$Q$58,17,FALSE)</f>
        <v>phenol_c</v>
      </c>
      <c r="AI69" s="1">
        <f>VLOOKUP($E69,'Product Parameters'!$A$2:$D$59,2,FALSE)</f>
        <v>1</v>
      </c>
      <c r="AJ69" s="1">
        <f>VLOOKUP($E69,'Product Parameters'!$A$2:$D$59,3,FALSE)</f>
        <v>0</v>
      </c>
      <c r="AK69" s="1">
        <f>VLOOKUP($E69,'Product Parameters'!$A$2:$D$59,4,FALSE)</f>
        <v>0.12</v>
      </c>
      <c r="AL69" s="1">
        <f>VLOOKUP($E69,'Product Parameters'!$A$2:$E$59,5,FALSE)</f>
        <v>58.8</v>
      </c>
      <c r="AM69" s="1">
        <f>VLOOKUP($E69,'Product Parameters'!$A$2:$F$59,6,FALSE)</f>
        <v>6</v>
      </c>
      <c r="AN69" s="1">
        <f>VLOOKUP($C69,'Substrate Heating'!$A$2:$C$33,3,FALSE)</f>
        <v>247.59097</v>
      </c>
      <c r="AO69" s="1">
        <f>VLOOKUP($C69,'Substrate Heating'!$A$2:$B$33,2,FALSE)</f>
        <v>5.5</v>
      </c>
      <c r="AP69" s="1">
        <f>VLOOKUP($C69,'Substrate Heating'!$A$2:$M$33,13,FALSE)</f>
        <v>1</v>
      </c>
      <c r="AQ69" s="1">
        <f>VLOOKUP($C69,'Substrate Heating'!$A$2:$M$33,8,FALSE)</f>
        <v>1</v>
      </c>
      <c r="AR69" s="1">
        <f t="shared" si="1"/>
        <v>0.1351578947368422</v>
      </c>
    </row>
    <row r="70" spans="1:44" x14ac:dyDescent="0.2">
      <c r="A70" s="8" t="s">
        <v>34</v>
      </c>
      <c r="B70" s="9" t="s">
        <v>35</v>
      </c>
      <c r="C70" s="1" t="s">
        <v>339</v>
      </c>
      <c r="D70" s="23" t="s">
        <v>338</v>
      </c>
      <c r="E70" s="1" t="s">
        <v>169</v>
      </c>
      <c r="F70" s="1" t="s">
        <v>165</v>
      </c>
      <c r="G70" s="1">
        <v>-10</v>
      </c>
      <c r="H70" s="1">
        <v>-20</v>
      </c>
      <c r="I70" s="1" t="s">
        <v>40</v>
      </c>
      <c r="J70" s="1">
        <v>3.15</v>
      </c>
      <c r="K70" s="1">
        <v>-10</v>
      </c>
      <c r="L70" s="1">
        <v>-3.2763636363636301</v>
      </c>
      <c r="M70" s="1" t="s">
        <v>40</v>
      </c>
      <c r="N70" s="1">
        <v>8.8509090909090897</v>
      </c>
      <c r="O70" s="1">
        <v>0.28727272727272701</v>
      </c>
      <c r="Q70" s="1">
        <v>2.8727272727272699E-2</v>
      </c>
      <c r="R70" s="1">
        <v>4.6258737855640698E-2</v>
      </c>
      <c r="S70" s="1" t="str">
        <f>VLOOKUP($E70,'Product Naming'!$A$1:$P$58,2,FALSE)</f>
        <v>Butanol-PW2</v>
      </c>
      <c r="T70" s="1" t="str">
        <f>VLOOKUP($E70,'Product Naming'!$A$1:$P$58,3,FALSE)</f>
        <v>Butanol (PW2)</v>
      </c>
      <c r="U70" s="1" t="str">
        <f>VLOOKUP($E70,'Product Naming'!$A$1:$P$58,4,FALSE)</f>
        <v>E</v>
      </c>
      <c r="V70" s="1" t="str">
        <f>VLOOKUP($E70,'Product Naming'!$A$1:$P$58,5,FALSE)</f>
        <v>C4H10O</v>
      </c>
      <c r="W70" s="1">
        <f>VLOOKUP($E70,'Product Naming'!$A$1:$P$58,6,FALSE)</f>
        <v>4</v>
      </c>
      <c r="X70" s="1">
        <f>VLOOKUP($E70,'Product Naming'!$A$1:$P$58,7,FALSE)</f>
        <v>10</v>
      </c>
      <c r="Y70" s="1">
        <f>VLOOKUP($E70,'Product Naming'!$A$1:$P$58,8,FALSE)</f>
        <v>1</v>
      </c>
      <c r="Z70" s="1">
        <f>VLOOKUP($E70,'Product Naming'!$A$1:$P$58,9,FALSE)</f>
        <v>0</v>
      </c>
      <c r="AA70" s="1">
        <f>VLOOKUP($E70,'Product Naming'!$A$1:$P$58,10,FALSE)</f>
        <v>0</v>
      </c>
      <c r="AB70" s="29">
        <f>VLOOKUP($E70,'Product Naming'!$A$1:$P$58,11,FALSE)</f>
        <v>6</v>
      </c>
      <c r="AC70" s="3">
        <f>VLOOKUP($E70,'Product Naming'!$A$1:$P$58,12,FALSE)</f>
        <v>74.120199999999997</v>
      </c>
      <c r="AD70" s="1">
        <f>VLOOKUP($E70,'Product Naming'!$A$1:$P$58,13,FALSE)</f>
        <v>117.7</v>
      </c>
      <c r="AE70" s="1" t="str">
        <f>VLOOKUP($E70,'Product Naming'!$A$1:$P$58,14,FALSE)</f>
        <v>Alcohol</v>
      </c>
      <c r="AF70" s="1" t="str">
        <f>VLOOKUP($E70,'Product Naming'!$A$1:$P$58,15,FALSE)</f>
        <v>Oxaloacetate</v>
      </c>
      <c r="AG70" s="30" t="str">
        <f>VLOOKUP($E70,'Product Naming'!$A$1:$P$58,16,FALSE)</f>
        <v>Proton symporter</v>
      </c>
      <c r="AH70" s="3" t="str">
        <f>VLOOKUP($E70,'Product Naming'!$A$1:$Q$58,17,FALSE)</f>
        <v>btoh_c</v>
      </c>
      <c r="AI70" s="1">
        <f>VLOOKUP($E70,'Product Parameters'!$A$2:$D$59,2,FALSE)</f>
        <v>1</v>
      </c>
      <c r="AJ70" s="1">
        <f>VLOOKUP($E70,'Product Parameters'!$A$2:$D$59,3,FALSE)</f>
        <v>0</v>
      </c>
      <c r="AK70" s="1">
        <f>VLOOKUP($E70,'Product Parameters'!$A$2:$D$59,4,FALSE)</f>
        <v>0.12</v>
      </c>
      <c r="AL70" s="1">
        <f>VLOOKUP($E70,'Product Parameters'!$A$2:$E$59,5,FALSE)</f>
        <v>52</v>
      </c>
      <c r="AM70" s="1">
        <f>VLOOKUP($E70,'Product Parameters'!$A$2:$F$59,6,FALSE)</f>
        <v>4</v>
      </c>
      <c r="AN70" s="1">
        <f>VLOOKUP($C70,'Substrate Heating'!$A$2:$C$33,3,FALSE)</f>
        <v>247.59097</v>
      </c>
      <c r="AO70" s="1">
        <f>VLOOKUP($C70,'Substrate Heating'!$A$2:$B$33,2,FALSE)</f>
        <v>5.5</v>
      </c>
      <c r="AP70" s="1">
        <f>VLOOKUP($C70,'Substrate Heating'!$A$2:$M$33,13,FALSE)</f>
        <v>1</v>
      </c>
      <c r="AQ70" s="1">
        <f>VLOOKUP($C70,'Substrate Heating'!$A$2:$M$33,8,FALSE)</f>
        <v>1</v>
      </c>
      <c r="AR70" s="1">
        <f t="shared" si="1"/>
        <v>0.11490909090909079</v>
      </c>
    </row>
    <row r="71" spans="1:44" x14ac:dyDescent="0.2">
      <c r="A71" s="8" t="s">
        <v>34</v>
      </c>
      <c r="B71" s="9" t="s">
        <v>35</v>
      </c>
      <c r="C71" s="1" t="s">
        <v>339</v>
      </c>
      <c r="D71" s="23" t="s">
        <v>338</v>
      </c>
      <c r="E71" s="1" t="s">
        <v>108</v>
      </c>
      <c r="F71" s="1" t="s">
        <v>109</v>
      </c>
      <c r="G71" s="1">
        <v>-10</v>
      </c>
      <c r="H71" s="1">
        <v>-20</v>
      </c>
      <c r="I71" s="1" t="s">
        <v>40</v>
      </c>
      <c r="J71" s="1">
        <v>3.15</v>
      </c>
      <c r="K71" s="1">
        <v>-10</v>
      </c>
      <c r="L71" s="1">
        <v>-3.3134831460674201</v>
      </c>
      <c r="M71" s="1" t="s">
        <v>40</v>
      </c>
      <c r="N71" s="1">
        <v>8.5797752808988808</v>
      </c>
      <c r="O71" s="1">
        <v>0.17752808988763999</v>
      </c>
      <c r="Q71" s="1">
        <v>1.7752808988764E-2</v>
      </c>
      <c r="R71" s="1">
        <v>4.6338712968870301E-2</v>
      </c>
      <c r="S71" s="1" t="str">
        <f>VLOOKUP($E71,'Product Naming'!$A$1:$P$58,2,FALSE)</f>
        <v>4-Hydroxystyrene</v>
      </c>
      <c r="T71" s="1" t="str">
        <f>VLOOKUP($E71,'Product Naming'!$A$1:$P$58,3,FALSE)</f>
        <v>4-Hydroxystyrene</v>
      </c>
      <c r="U71" s="1" t="str">
        <f>VLOOKUP($E71,'Product Naming'!$A$1:$P$58,4,FALSE)</f>
        <v>E</v>
      </c>
      <c r="V71" s="1" t="str">
        <f>VLOOKUP($E71,'Product Naming'!$A$1:$P$58,5,FALSE)</f>
        <v>C8H8O</v>
      </c>
      <c r="W71" s="1">
        <f>VLOOKUP($E71,'Product Naming'!$A$1:$P$58,6,FALSE)</f>
        <v>8</v>
      </c>
      <c r="X71" s="1">
        <f>VLOOKUP($E71,'Product Naming'!$A$1:$P$58,7,FALSE)</f>
        <v>8</v>
      </c>
      <c r="Y71" s="1">
        <f>VLOOKUP($E71,'Product Naming'!$A$1:$P$58,8,FALSE)</f>
        <v>1</v>
      </c>
      <c r="Z71" s="1">
        <f>VLOOKUP($E71,'Product Naming'!$A$1:$P$58,9,FALSE)</f>
        <v>0</v>
      </c>
      <c r="AA71" s="1">
        <f>VLOOKUP($E71,'Product Naming'!$A$1:$P$58,10,FALSE)</f>
        <v>0</v>
      </c>
      <c r="AB71" s="29">
        <f>VLOOKUP($E71,'Product Naming'!$A$1:$P$58,11,FALSE)</f>
        <v>4.75</v>
      </c>
      <c r="AC71" s="3">
        <f>VLOOKUP($E71,'Product Naming'!$A$1:$P$58,12,FALSE)</f>
        <v>120.14731999999999</v>
      </c>
      <c r="AD71" s="1">
        <f>VLOOKUP($E71,'Product Naming'!$A$1:$P$58,13,FALSE)</f>
        <v>229</v>
      </c>
      <c r="AE71" s="1" t="str">
        <f>VLOOKUP($E71,'Product Naming'!$A$1:$P$58,14,FALSE)</f>
        <v>Aromatic + Alcohol</v>
      </c>
      <c r="AF71" s="1" t="str">
        <f>VLOOKUP($E71,'Product Naming'!$A$1:$P$58,15,FALSE)</f>
        <v>E4P + L-glutamate</v>
      </c>
      <c r="AG71" s="30" t="str">
        <f>VLOOKUP($E71,'Product Naming'!$A$1:$P$58,16,FALSE)</f>
        <v>Proton symporter</v>
      </c>
      <c r="AH71" s="3" t="str">
        <f>VLOOKUP($E71,'Product Naming'!$A$1:$Q$58,17,FALSE)</f>
        <v>4hxst_c</v>
      </c>
      <c r="AI71" s="1">
        <f>VLOOKUP($E71,'Product Parameters'!$A$2:$D$59,2,FALSE)</f>
        <v>1</v>
      </c>
      <c r="AJ71" s="1">
        <f>VLOOKUP($E71,'Product Parameters'!$A$2:$D$59,3,FALSE)</f>
        <v>0</v>
      </c>
      <c r="AK71" s="1">
        <f>VLOOKUP($E71,'Product Parameters'!$A$2:$D$59,4,FALSE)</f>
        <v>0.12</v>
      </c>
      <c r="AL71" s="1">
        <f>VLOOKUP($E71,'Product Parameters'!$A$2:$E$59,5,FALSE)</f>
        <v>40.65</v>
      </c>
      <c r="AM71" s="1">
        <f>VLOOKUP($E71,'Product Parameters'!$A$2:$F$59,6,FALSE)</f>
        <v>8</v>
      </c>
      <c r="AN71" s="1">
        <f>VLOOKUP($C71,'Substrate Heating'!$A$2:$C$33,3,FALSE)</f>
        <v>247.59097</v>
      </c>
      <c r="AO71" s="1">
        <f>VLOOKUP($C71,'Substrate Heating'!$A$2:$B$33,2,FALSE)</f>
        <v>5.5</v>
      </c>
      <c r="AP71" s="1">
        <f>VLOOKUP($C71,'Substrate Heating'!$A$2:$M$33,13,FALSE)</f>
        <v>1</v>
      </c>
      <c r="AQ71" s="1">
        <f>VLOOKUP($C71,'Substrate Heating'!$A$2:$M$33,8,FALSE)</f>
        <v>1</v>
      </c>
      <c r="AR71" s="1">
        <f t="shared" si="1"/>
        <v>0.142022471910112</v>
      </c>
    </row>
    <row r="72" spans="1:44" x14ac:dyDescent="0.2">
      <c r="A72" s="17" t="s">
        <v>323</v>
      </c>
      <c r="B72" s="18" t="s">
        <v>324</v>
      </c>
      <c r="C72" t="s">
        <v>333</v>
      </c>
      <c r="D72" s="19" t="s">
        <v>326</v>
      </c>
      <c r="E72" t="s">
        <v>313</v>
      </c>
      <c r="F72" t="s">
        <v>314</v>
      </c>
      <c r="G72">
        <v>-10</v>
      </c>
      <c r="H72">
        <v>0</v>
      </c>
      <c r="I72">
        <v>0</v>
      </c>
      <c r="J72">
        <v>0.45</v>
      </c>
      <c r="K72">
        <v>-10</v>
      </c>
      <c r="L72">
        <v>0</v>
      </c>
      <c r="M72">
        <v>0</v>
      </c>
      <c r="N72">
        <v>5.4115384615384601</v>
      </c>
      <c r="O72">
        <v>0.20576923076923101</v>
      </c>
      <c r="P72"/>
      <c r="Q72">
        <v>2.05769230769231E-2</v>
      </c>
      <c r="R72">
        <v>4.6558127144940897E-2</v>
      </c>
      <c r="S72" s="1" t="str">
        <f>VLOOKUP($E72,'Product Naming'!$A$1:$P$58,2,FALSE)</f>
        <v>Styrene</v>
      </c>
      <c r="T72" s="1" t="str">
        <f>VLOOKUP($E72,'Product Naming'!$A$1:$P$58,3,FALSE)</f>
        <v>Styrene</v>
      </c>
      <c r="U72" s="1" t="str">
        <f>VLOOKUP($E72,'Product Naming'!$A$1:$P$58,4,FALSE)</f>
        <v>E-S</v>
      </c>
      <c r="V72" s="1" t="str">
        <f>VLOOKUP($E72,'Product Naming'!$A$1:$P$58,5,FALSE)</f>
        <v>C8H8</v>
      </c>
      <c r="W72" s="1">
        <f>VLOOKUP($E72,'Product Naming'!$A$1:$P$58,6,FALSE)</f>
        <v>8</v>
      </c>
      <c r="X72" s="1">
        <f>VLOOKUP($E72,'Product Naming'!$A$1:$P$58,7,FALSE)</f>
        <v>8</v>
      </c>
      <c r="Y72" s="1">
        <f>VLOOKUP($E72,'Product Naming'!$A$1:$P$58,8,FALSE)</f>
        <v>0</v>
      </c>
      <c r="Z72" s="1">
        <f>VLOOKUP($E72,'Product Naming'!$A$1:$P$58,9,FALSE)</f>
        <v>0</v>
      </c>
      <c r="AA72" s="1">
        <f>VLOOKUP($E72,'Product Naming'!$A$1:$P$58,10,FALSE)</f>
        <v>0</v>
      </c>
      <c r="AB72" s="29">
        <f>VLOOKUP($E72,'Product Naming'!$A$1:$P$58,11,FALSE)</f>
        <v>5</v>
      </c>
      <c r="AC72" s="3">
        <f>VLOOKUP($E72,'Product Naming'!$A$1:$P$58,12,FALSE)</f>
        <v>104.14832</v>
      </c>
      <c r="AD72" s="1">
        <f>VLOOKUP($E72,'Product Naming'!$A$1:$P$58,13,FALSE)</f>
        <v>145</v>
      </c>
      <c r="AE72" s="1" t="str">
        <f>VLOOKUP($E72,'Product Naming'!$A$1:$P$58,14,FALSE)</f>
        <v>Cycloalkane</v>
      </c>
      <c r="AF72" s="1" t="str">
        <f>VLOOKUP($E72,'Product Naming'!$A$1:$P$58,15,FALSE)</f>
        <v>E4P</v>
      </c>
      <c r="AG72" s="30" t="str">
        <f>VLOOKUP($E72,'Product Naming'!$A$1:$P$58,16,FALSE)</f>
        <v>Proton symporter</v>
      </c>
      <c r="AH72" s="3" t="str">
        <f>VLOOKUP($E72,'Product Naming'!$A$1:$Q$58,17,FALSE)</f>
        <v>styr_c</v>
      </c>
      <c r="AI72" s="1">
        <f>VLOOKUP($E72,'Product Parameters'!$A$2:$D$59,2,FALSE)</f>
        <v>1</v>
      </c>
      <c r="AJ72" s="1">
        <f>VLOOKUP($E72,'Product Parameters'!$A$2:$D$59,3,FALSE)</f>
        <v>0</v>
      </c>
      <c r="AK72" s="1">
        <f>VLOOKUP($E72,'Product Parameters'!$A$2:$D$59,4,FALSE)</f>
        <v>0.12</v>
      </c>
      <c r="AL72" s="1">
        <f>VLOOKUP($E72,'Product Parameters'!$A$2:$E$59,5,FALSE)</f>
        <v>43.9</v>
      </c>
      <c r="AM72" s="1">
        <f>VLOOKUP($E72,'Product Parameters'!$A$2:$F$59,6,FALSE)</f>
        <v>8</v>
      </c>
      <c r="AN72" s="1">
        <f>VLOOKUP($C72,'Substrate Heating'!$A$2:$C$33,3,FALSE)</f>
        <v>247.59097</v>
      </c>
      <c r="AO72" s="1">
        <f>VLOOKUP($C72,'Substrate Heating'!$A$2:$B$33,2,FALSE)</f>
        <v>5.5</v>
      </c>
      <c r="AP72" s="1">
        <f>VLOOKUP($C72,'Substrate Heating'!$A$2:$M$33,13,FALSE)</f>
        <v>1</v>
      </c>
      <c r="AQ72" s="1">
        <f>VLOOKUP($C72,'Substrate Heating'!$A$2:$M$33,8,FALSE)</f>
        <v>1</v>
      </c>
      <c r="AR72" s="1">
        <f t="shared" si="1"/>
        <v>0.1646153846153848</v>
      </c>
    </row>
    <row r="73" spans="1:44" x14ac:dyDescent="0.2">
      <c r="A73" s="8" t="s">
        <v>34</v>
      </c>
      <c r="B73" s="9" t="s">
        <v>35</v>
      </c>
      <c r="C73" s="1" t="s">
        <v>339</v>
      </c>
      <c r="D73" s="23" t="s">
        <v>338</v>
      </c>
      <c r="E73" s="1" t="s">
        <v>297</v>
      </c>
      <c r="F73" s="1" t="s">
        <v>298</v>
      </c>
      <c r="G73" s="1">
        <v>-10</v>
      </c>
      <c r="H73" s="1">
        <v>-20</v>
      </c>
      <c r="I73" s="1" t="s">
        <v>40</v>
      </c>
      <c r="J73" s="1">
        <v>3.15</v>
      </c>
      <c r="K73" s="1">
        <v>-10</v>
      </c>
      <c r="L73" s="1">
        <v>-3.3971014492753602</v>
      </c>
      <c r="M73" s="1" t="s">
        <v>40</v>
      </c>
      <c r="N73" s="1">
        <v>8.6260869565217408</v>
      </c>
      <c r="O73" s="1">
        <v>0.22898550724637801</v>
      </c>
      <c r="Q73" s="1">
        <v>2.2898550724637801E-2</v>
      </c>
      <c r="R73" s="1">
        <v>4.6817441480000603E-2</v>
      </c>
      <c r="S73" s="1" t="str">
        <f>VLOOKUP($E73,'Product Naming'!$A$1:$P$58,2,FALSE)</f>
        <v>Phenol</v>
      </c>
      <c r="T73" s="1" t="str">
        <f>VLOOKUP($E73,'Product Naming'!$A$1:$P$58,3,FALSE)</f>
        <v>Phenol</v>
      </c>
      <c r="U73" s="1" t="str">
        <f>VLOOKUP($E73,'Product Naming'!$A$1:$P$58,4,FALSE)</f>
        <v>E-S</v>
      </c>
      <c r="V73" s="1" t="str">
        <f>VLOOKUP($E73,'Product Naming'!$A$1:$P$58,5,FALSE)</f>
        <v>C6H6O</v>
      </c>
      <c r="W73" s="1">
        <f>VLOOKUP($E73,'Product Naming'!$A$1:$P$58,6,FALSE)</f>
        <v>6</v>
      </c>
      <c r="X73" s="1">
        <f>VLOOKUP($E73,'Product Naming'!$A$1:$P$58,7,FALSE)</f>
        <v>6</v>
      </c>
      <c r="Y73" s="1">
        <f>VLOOKUP($E73,'Product Naming'!$A$1:$P$58,8,FALSE)</f>
        <v>1</v>
      </c>
      <c r="Z73" s="1">
        <f>VLOOKUP($E73,'Product Naming'!$A$1:$P$58,9,FALSE)</f>
        <v>0</v>
      </c>
      <c r="AA73" s="1">
        <f>VLOOKUP($E73,'Product Naming'!$A$1:$P$58,10,FALSE)</f>
        <v>0</v>
      </c>
      <c r="AB73" s="29">
        <f>VLOOKUP($E73,'Product Naming'!$A$1:$P$58,11,FALSE)</f>
        <v>4.666666666666667</v>
      </c>
      <c r="AC73" s="3">
        <f>VLOOKUP($E73,'Product Naming'!$A$1:$P$58,12,FALSE)</f>
        <v>94.11023999999999</v>
      </c>
      <c r="AD73" s="1">
        <f>VLOOKUP($E73,'Product Naming'!$A$1:$P$58,13,FALSE)</f>
        <v>181.7</v>
      </c>
      <c r="AE73" s="1" t="str">
        <f>VLOOKUP($E73,'Product Naming'!$A$1:$P$58,14,FALSE)</f>
        <v>Aromatic + Alcohol</v>
      </c>
      <c r="AF73" s="1" t="str">
        <f>VLOOKUP($E73,'Product Naming'!$A$1:$P$58,15,FALSE)</f>
        <v>E4P + L-glutamate</v>
      </c>
      <c r="AG73" s="30" t="str">
        <f>VLOOKUP($E73,'Product Naming'!$A$1:$P$58,16,FALSE)</f>
        <v>Proton symporter</v>
      </c>
      <c r="AH73" s="3" t="str">
        <f>VLOOKUP($E73,'Product Naming'!$A$1:$Q$58,17,FALSE)</f>
        <v>phenol_c</v>
      </c>
      <c r="AI73" s="1">
        <f>VLOOKUP($E73,'Product Parameters'!$A$2:$D$59,2,FALSE)</f>
        <v>1</v>
      </c>
      <c r="AJ73" s="1">
        <f>VLOOKUP($E73,'Product Parameters'!$A$2:$D$59,3,FALSE)</f>
        <v>0</v>
      </c>
      <c r="AK73" s="1">
        <f>VLOOKUP($E73,'Product Parameters'!$A$2:$D$59,4,FALSE)</f>
        <v>0.12</v>
      </c>
      <c r="AL73" s="1">
        <f>VLOOKUP($E73,'Product Parameters'!$A$2:$E$59,5,FALSE)</f>
        <v>58.8</v>
      </c>
      <c r="AM73" s="1">
        <f>VLOOKUP($E73,'Product Parameters'!$A$2:$F$59,6,FALSE)</f>
        <v>6</v>
      </c>
      <c r="AN73" s="1">
        <f>VLOOKUP($C73,'Substrate Heating'!$A$2:$C$33,3,FALSE)</f>
        <v>247.59097</v>
      </c>
      <c r="AO73" s="1">
        <f>VLOOKUP($C73,'Substrate Heating'!$A$2:$B$33,2,FALSE)</f>
        <v>5.5</v>
      </c>
      <c r="AP73" s="1">
        <f>VLOOKUP($C73,'Substrate Heating'!$A$2:$M$33,13,FALSE)</f>
        <v>1</v>
      </c>
      <c r="AQ73" s="1">
        <f>VLOOKUP($C73,'Substrate Heating'!$A$2:$M$33,8,FALSE)</f>
        <v>1</v>
      </c>
      <c r="AR73" s="1">
        <f t="shared" si="1"/>
        <v>0.13739130434782681</v>
      </c>
    </row>
    <row r="74" spans="1:44" x14ac:dyDescent="0.2">
      <c r="A74" s="8" t="s">
        <v>792</v>
      </c>
      <c r="B74" s="18" t="s">
        <v>324</v>
      </c>
      <c r="C74" t="s">
        <v>365</v>
      </c>
      <c r="D74" s="23" t="s">
        <v>338</v>
      </c>
      <c r="E74" t="s">
        <v>297</v>
      </c>
      <c r="F74" t="s">
        <v>298</v>
      </c>
      <c r="G74">
        <v>-10</v>
      </c>
      <c r="H74">
        <v>0</v>
      </c>
      <c r="I74">
        <v>0</v>
      </c>
      <c r="J74">
        <v>0.45</v>
      </c>
      <c r="K74">
        <v>-10</v>
      </c>
      <c r="L74">
        <v>0</v>
      </c>
      <c r="M74">
        <v>0.64313725490195495</v>
      </c>
      <c r="N74">
        <v>0</v>
      </c>
      <c r="O74" s="28" t="s">
        <v>694</v>
      </c>
      <c r="P74"/>
      <c r="Q74">
        <v>1.6078431372549301E-2</v>
      </c>
      <c r="R74">
        <v>4.7417063116622998E-2</v>
      </c>
      <c r="S74" s="1" t="str">
        <f>VLOOKUP($E74,'Product Naming'!$A$1:$P$58,2,FALSE)</f>
        <v>Phenol</v>
      </c>
      <c r="T74" s="1" t="str">
        <f>VLOOKUP($E74,'Product Naming'!$A$1:$P$58,3,FALSE)</f>
        <v>Phenol</v>
      </c>
      <c r="U74" s="1" t="str">
        <f>VLOOKUP($E74,'Product Naming'!$A$1:$P$58,4,FALSE)</f>
        <v>E-S</v>
      </c>
      <c r="V74" s="1" t="str">
        <f>VLOOKUP($E74,'Product Naming'!$A$1:$P$58,5,FALSE)</f>
        <v>C6H6O</v>
      </c>
      <c r="W74" s="1">
        <f>VLOOKUP($E74,'Product Naming'!$A$1:$P$58,6,FALSE)</f>
        <v>6</v>
      </c>
      <c r="X74" s="1">
        <f>VLOOKUP($E74,'Product Naming'!$A$1:$P$58,7,FALSE)</f>
        <v>6</v>
      </c>
      <c r="Y74" s="1">
        <f>VLOOKUP($E74,'Product Naming'!$A$1:$P$58,8,FALSE)</f>
        <v>1</v>
      </c>
      <c r="Z74" s="1">
        <f>VLOOKUP($E74,'Product Naming'!$A$1:$P$58,9,FALSE)</f>
        <v>0</v>
      </c>
      <c r="AA74" s="1">
        <f>VLOOKUP($E74,'Product Naming'!$A$1:$P$58,10,FALSE)</f>
        <v>0</v>
      </c>
      <c r="AB74" s="29">
        <f>VLOOKUP($E74,'Product Naming'!$A$1:$P$58,11,FALSE)</f>
        <v>4.666666666666667</v>
      </c>
      <c r="AC74" s="3">
        <f>VLOOKUP($E74,'Product Naming'!$A$1:$P$58,12,FALSE)</f>
        <v>94.11023999999999</v>
      </c>
      <c r="AD74" s="1">
        <f>VLOOKUP($E74,'Product Naming'!$A$1:$P$58,13,FALSE)</f>
        <v>181.7</v>
      </c>
      <c r="AE74" s="1" t="str">
        <f>VLOOKUP($E74,'Product Naming'!$A$1:$P$58,14,FALSE)</f>
        <v>Aromatic + Alcohol</v>
      </c>
      <c r="AF74" s="1" t="str">
        <f>VLOOKUP($E74,'Product Naming'!$A$1:$P$58,15,FALSE)</f>
        <v>E4P + L-glutamate</v>
      </c>
      <c r="AG74" s="30" t="str">
        <f>VLOOKUP($E74,'Product Naming'!$A$1:$P$58,16,FALSE)</f>
        <v>Proton symporter</v>
      </c>
      <c r="AH74" s="3" t="str">
        <f>VLOOKUP($E74,'Product Naming'!$A$1:$Q$58,17,FALSE)</f>
        <v>phenol_c</v>
      </c>
      <c r="AI74" s="1">
        <f>VLOOKUP($E74,'Product Parameters'!$A$2:$D$59,2,FALSE)</f>
        <v>1</v>
      </c>
      <c r="AJ74" s="1">
        <f>VLOOKUP($E74,'Product Parameters'!$A$2:$D$59,3,FALSE)</f>
        <v>0</v>
      </c>
      <c r="AK74" s="1">
        <f>VLOOKUP($E74,'Product Parameters'!$A$2:$D$59,4,FALSE)</f>
        <v>0.12</v>
      </c>
      <c r="AL74" s="1">
        <f>VLOOKUP($E74,'Product Parameters'!$A$2:$E$59,5,FALSE)</f>
        <v>58.8</v>
      </c>
      <c r="AM74" s="1">
        <f>VLOOKUP($E74,'Product Parameters'!$A$2:$F$59,6,FALSE)</f>
        <v>6</v>
      </c>
      <c r="AN74" s="1">
        <f>VLOOKUP($C74,'Substrate Heating'!$A$2:$C$33,3,FALSE)</f>
        <v>638.57832580000002</v>
      </c>
      <c r="AO74" s="1">
        <f>VLOOKUP($C74,'Substrate Heating'!$A$2:$B$33,2,FALSE)</f>
        <v>19.93</v>
      </c>
      <c r="AP74" s="1">
        <f>VLOOKUP($C74,'Substrate Heating'!$A$2:$M$33,13,FALSE)</f>
        <v>6</v>
      </c>
      <c r="AQ74" s="1">
        <f>VLOOKUP($C74,'Substrate Heating'!$A$2:$M$33,8,FALSE)</f>
        <v>1</v>
      </c>
      <c r="AR74" s="1">
        <f t="shared" si="1"/>
        <v>9.6470588235295807E-2</v>
      </c>
    </row>
    <row r="75" spans="1:44" x14ac:dyDescent="0.2">
      <c r="A75" s="8" t="s">
        <v>34</v>
      </c>
      <c r="B75" s="9" t="s">
        <v>35</v>
      </c>
      <c r="C75" s="1" t="s">
        <v>337</v>
      </c>
      <c r="D75" s="23" t="s">
        <v>338</v>
      </c>
      <c r="E75" s="1" t="s">
        <v>158</v>
      </c>
      <c r="F75" s="1" t="s">
        <v>159</v>
      </c>
      <c r="G75" s="1">
        <v>-10</v>
      </c>
      <c r="H75" s="1">
        <v>-20</v>
      </c>
      <c r="I75" s="1" t="s">
        <v>40</v>
      </c>
      <c r="J75" s="1">
        <v>3.15</v>
      </c>
      <c r="K75" s="1">
        <v>-10</v>
      </c>
      <c r="L75" s="1">
        <v>-2.5352000000000001</v>
      </c>
      <c r="M75" s="1" t="s">
        <v>40</v>
      </c>
      <c r="N75" s="1">
        <v>8.4832000000000107</v>
      </c>
      <c r="O75" s="1">
        <v>0.37920000000000198</v>
      </c>
      <c r="Q75" s="1">
        <v>3.7920000000000197E-2</v>
      </c>
      <c r="R75" s="1">
        <v>4.7881274310443901E-2</v>
      </c>
      <c r="S75" s="1" t="str">
        <f>VLOOKUP($E75,'Product Naming'!$A$1:$P$58,2,FALSE)</f>
        <v>Butane</v>
      </c>
      <c r="T75" s="1" t="str">
        <f>VLOOKUP($E75,'Product Naming'!$A$1:$P$58,3,FALSE)</f>
        <v>Butane</v>
      </c>
      <c r="U75" s="1" t="str">
        <f>VLOOKUP($E75,'Product Naming'!$A$1:$P$58,4,FALSE)</f>
        <v>E</v>
      </c>
      <c r="V75" s="1" t="str">
        <f>VLOOKUP($E75,'Product Naming'!$A$1:$P$58,5,FALSE)</f>
        <v>C4H10</v>
      </c>
      <c r="W75" s="1">
        <f>VLOOKUP($E75,'Product Naming'!$A$1:$P$58,6,FALSE)</f>
        <v>4</v>
      </c>
      <c r="X75" s="1">
        <f>VLOOKUP($E75,'Product Naming'!$A$1:$P$58,7,FALSE)</f>
        <v>10</v>
      </c>
      <c r="Y75" s="1">
        <f>VLOOKUP($E75,'Product Naming'!$A$1:$P$58,8,FALSE)</f>
        <v>0</v>
      </c>
      <c r="Z75" s="1">
        <f>VLOOKUP($E75,'Product Naming'!$A$1:$P$58,9,FALSE)</f>
        <v>0</v>
      </c>
      <c r="AA75" s="1">
        <f>VLOOKUP($E75,'Product Naming'!$A$1:$P$58,10,FALSE)</f>
        <v>0</v>
      </c>
      <c r="AB75" s="29">
        <f>VLOOKUP($E75,'Product Naming'!$A$1:$P$58,11,FALSE)</f>
        <v>6.5</v>
      </c>
      <c r="AC75" s="3">
        <f>VLOOKUP($E75,'Product Naming'!$A$1:$P$58,12,FALSE)</f>
        <v>58.121200000000002</v>
      </c>
      <c r="AD75" s="1">
        <f>VLOOKUP($E75,'Product Naming'!$A$1:$P$58,13,FALSE)</f>
        <v>-1</v>
      </c>
      <c r="AE75" s="1" t="str">
        <f>VLOOKUP($E75,'Product Naming'!$A$1:$P$58,14,FALSE)</f>
        <v>Hydrocarbon (alkane)</v>
      </c>
      <c r="AF75" s="1" t="str">
        <f>VLOOKUP($E75,'Product Naming'!$A$1:$P$58,15,FALSE)</f>
        <v>Acetyl-CoA + Succinyl-CoA</v>
      </c>
      <c r="AG75" s="30" t="str">
        <f>VLOOKUP($E75,'Product Naming'!$A$1:$P$58,16,FALSE)</f>
        <v>Diffusion</v>
      </c>
      <c r="AH75" s="3" t="str">
        <f>VLOOKUP($E75,'Product Naming'!$A$1:$Q$58,17,FALSE)</f>
        <v>butn_c</v>
      </c>
      <c r="AI75" s="1">
        <f>VLOOKUP($E75,'Product Parameters'!$A$2:$D$59,2,FALSE)</f>
        <v>0</v>
      </c>
      <c r="AJ75" s="1">
        <f>VLOOKUP($E75,'Product Parameters'!$A$2:$D$59,3,FALSE)</f>
        <v>1</v>
      </c>
      <c r="AK75" s="1">
        <f>VLOOKUP($E75,'Product Parameters'!$A$2:$D$59,4,FALSE)</f>
        <v>0.12</v>
      </c>
      <c r="AL75" s="1">
        <f>VLOOKUP($E75,'Product Parameters'!$A$2:$E$59,5,FALSE)</f>
        <v>0</v>
      </c>
      <c r="AM75" s="1">
        <f>VLOOKUP($E75,'Product Parameters'!$A$2:$F$59,6,FALSE)</f>
        <v>4</v>
      </c>
      <c r="AN75" s="1">
        <f>VLOOKUP($C75,'Substrate Heating'!$A$2:$C$33,3,FALSE)</f>
        <v>247.59097</v>
      </c>
      <c r="AO75" s="1">
        <f>VLOOKUP($C75,'Substrate Heating'!$A$2:$B$33,2,FALSE)</f>
        <v>5.5</v>
      </c>
      <c r="AP75" s="1">
        <f>VLOOKUP($C75,'Substrate Heating'!$A$2:$M$33,13,FALSE)</f>
        <v>1</v>
      </c>
      <c r="AQ75" s="1">
        <f>VLOOKUP($C75,'Substrate Heating'!$A$2:$M$33,8,FALSE)</f>
        <v>1</v>
      </c>
      <c r="AR75" s="1">
        <f t="shared" si="1"/>
        <v>0.15168000000000079</v>
      </c>
    </row>
    <row r="76" spans="1:44" x14ac:dyDescent="0.2">
      <c r="A76" s="8" t="s">
        <v>34</v>
      </c>
      <c r="B76" s="9" t="s">
        <v>35</v>
      </c>
      <c r="C76" s="1" t="s">
        <v>339</v>
      </c>
      <c r="D76" s="23" t="s">
        <v>338</v>
      </c>
      <c r="E76" s="1" t="s">
        <v>81</v>
      </c>
      <c r="F76" s="1" t="s">
        <v>73</v>
      </c>
      <c r="G76" s="1">
        <v>-10</v>
      </c>
      <c r="H76" s="1">
        <v>-20</v>
      </c>
      <c r="I76" s="1" t="s">
        <v>40</v>
      </c>
      <c r="J76" s="1">
        <v>3.15</v>
      </c>
      <c r="K76" s="1">
        <v>-10</v>
      </c>
      <c r="L76" s="1">
        <v>-3.3465116279069802</v>
      </c>
      <c r="M76" s="1" t="s">
        <v>40</v>
      </c>
      <c r="N76" s="1">
        <v>8.8976744186046606</v>
      </c>
      <c r="O76" s="1">
        <v>0.36744186046511701</v>
      </c>
      <c r="Q76" s="1">
        <v>3.6744186046511702E-2</v>
      </c>
      <c r="R76" s="1">
        <v>4.7971272883657101E-2</v>
      </c>
      <c r="S76" s="1" t="str">
        <f>VLOOKUP($E76,'Product Naming'!$A$1:$P$58,2,FALSE)</f>
        <v>1-propanol-PW2</v>
      </c>
      <c r="T76" s="1" t="str">
        <f>VLOOKUP($E76,'Product Naming'!$A$1:$P$58,3,FALSE)</f>
        <v>1-Propanol (PW2)</v>
      </c>
      <c r="U76" s="1" t="str">
        <f>VLOOKUP($E76,'Product Naming'!$A$1:$P$58,4,FALSE)</f>
        <v>E-S</v>
      </c>
      <c r="V76" s="1" t="str">
        <f>VLOOKUP($E76,'Product Naming'!$A$1:$P$58,5,FALSE)</f>
        <v>C3H8O</v>
      </c>
      <c r="W76" s="1">
        <f>VLOOKUP($E76,'Product Naming'!$A$1:$P$58,6,FALSE)</f>
        <v>3</v>
      </c>
      <c r="X76" s="1">
        <f>VLOOKUP($E76,'Product Naming'!$A$1:$P$58,7,FALSE)</f>
        <v>8</v>
      </c>
      <c r="Y76" s="1">
        <f>VLOOKUP($E76,'Product Naming'!$A$1:$P$58,8,FALSE)</f>
        <v>1</v>
      </c>
      <c r="Z76" s="1">
        <f>VLOOKUP($E76,'Product Naming'!$A$1:$P$58,9,FALSE)</f>
        <v>0</v>
      </c>
      <c r="AA76" s="1">
        <f>VLOOKUP($E76,'Product Naming'!$A$1:$P$58,10,FALSE)</f>
        <v>0</v>
      </c>
      <c r="AB76" s="29">
        <f>VLOOKUP($E76,'Product Naming'!$A$1:$P$58,11,FALSE)</f>
        <v>6</v>
      </c>
      <c r="AC76" s="3">
        <f>VLOOKUP($E76,'Product Naming'!$A$1:$P$58,12,FALSE)</f>
        <v>60.093820000000001</v>
      </c>
      <c r="AD76" s="1">
        <f>VLOOKUP($E76,'Product Naming'!$A$1:$P$58,13,FALSE)</f>
        <v>97</v>
      </c>
      <c r="AE76" s="1" t="str">
        <f>VLOOKUP($E76,'Product Naming'!$A$1:$P$58,14,FALSE)</f>
        <v>Alcohol</v>
      </c>
      <c r="AF76" s="1" t="str">
        <f>VLOOKUP($E76,'Product Naming'!$A$1:$P$58,15,FALSE)</f>
        <v>Oxaloacetate</v>
      </c>
      <c r="AG76" s="30" t="str">
        <f>VLOOKUP($E76,'Product Naming'!$A$1:$P$58,16,FALSE)</f>
        <v>Proton symporter</v>
      </c>
      <c r="AH76" s="3" t="str">
        <f>VLOOKUP($E76,'Product Naming'!$A$1:$Q$58,17,FALSE)</f>
        <v>ppoh_c</v>
      </c>
      <c r="AI76" s="1">
        <f>VLOOKUP($E76,'Product Parameters'!$A$2:$D$59,2,FALSE)</f>
        <v>1</v>
      </c>
      <c r="AJ76" s="1">
        <f>VLOOKUP($E76,'Product Parameters'!$A$2:$D$59,3,FALSE)</f>
        <v>0</v>
      </c>
      <c r="AK76" s="1">
        <f>VLOOKUP($E76,'Product Parameters'!$A$2:$D$59,4,FALSE)</f>
        <v>0.12</v>
      </c>
      <c r="AL76" s="1">
        <f>VLOOKUP($E76,'Product Parameters'!$A$2:$E$59,5,FALSE)</f>
        <v>47</v>
      </c>
      <c r="AM76" s="1">
        <f>VLOOKUP($E76,'Product Parameters'!$A$2:$F$59,6,FALSE)</f>
        <v>3</v>
      </c>
      <c r="AN76" s="1">
        <f>VLOOKUP($C76,'Substrate Heating'!$A$2:$C$33,3,FALSE)</f>
        <v>247.59097</v>
      </c>
      <c r="AO76" s="1">
        <f>VLOOKUP($C76,'Substrate Heating'!$A$2:$B$33,2,FALSE)</f>
        <v>5.5</v>
      </c>
      <c r="AP76" s="1">
        <f>VLOOKUP($C76,'Substrate Heating'!$A$2:$M$33,13,FALSE)</f>
        <v>1</v>
      </c>
      <c r="AQ76" s="1">
        <f>VLOOKUP($C76,'Substrate Heating'!$A$2:$M$33,8,FALSE)</f>
        <v>1</v>
      </c>
      <c r="AR76" s="1">
        <f t="shared" si="1"/>
        <v>0.11023255813953511</v>
      </c>
    </row>
    <row r="77" spans="1:44" x14ac:dyDescent="0.2">
      <c r="A77" s="8" t="s">
        <v>34</v>
      </c>
      <c r="B77" s="9" t="s">
        <v>35</v>
      </c>
      <c r="C77" s="1" t="s">
        <v>339</v>
      </c>
      <c r="D77" s="23" t="s">
        <v>338</v>
      </c>
      <c r="E77" s="1" t="s">
        <v>291</v>
      </c>
      <c r="F77" s="1" t="s">
        <v>292</v>
      </c>
      <c r="G77" s="1">
        <v>-10</v>
      </c>
      <c r="H77" s="1">
        <v>-20</v>
      </c>
      <c r="I77" s="1" t="s">
        <v>40</v>
      </c>
      <c r="J77" s="1">
        <v>3.15</v>
      </c>
      <c r="K77" s="1">
        <v>-10</v>
      </c>
      <c r="L77" s="1">
        <v>-3.11904761904762</v>
      </c>
      <c r="M77" s="1" t="s">
        <v>40</v>
      </c>
      <c r="N77" s="1">
        <v>8.7460317460317505</v>
      </c>
      <c r="O77" s="1">
        <v>0.25079365079365101</v>
      </c>
      <c r="Q77" s="1">
        <v>2.5079365079365101E-2</v>
      </c>
      <c r="R77" s="1">
        <v>4.8026927462273397E-2</v>
      </c>
      <c r="S77" s="1" t="str">
        <f>VLOOKUP($E77,'Product Naming'!$A$1:$P$58,2,FALSE)</f>
        <v>Pentanol-PW1</v>
      </c>
      <c r="T77" s="1" t="str">
        <f>VLOOKUP($E77,'Product Naming'!$A$1:$P$58,3,FALSE)</f>
        <v>Pentanol (PW1)</v>
      </c>
      <c r="U77" s="1" t="str">
        <f>VLOOKUP($E77,'Product Naming'!$A$1:$P$58,4,FALSE)</f>
        <v>E</v>
      </c>
      <c r="V77" s="1" t="str">
        <f>VLOOKUP($E77,'Product Naming'!$A$1:$P$58,5,FALSE)</f>
        <v>C5H12O</v>
      </c>
      <c r="W77" s="1">
        <f>VLOOKUP($E77,'Product Naming'!$A$1:$P$58,6,FALSE)</f>
        <v>5</v>
      </c>
      <c r="X77" s="1">
        <f>VLOOKUP($E77,'Product Naming'!$A$1:$P$58,7,FALSE)</f>
        <v>12</v>
      </c>
      <c r="Y77" s="1">
        <f>VLOOKUP($E77,'Product Naming'!$A$1:$P$58,8,FALSE)</f>
        <v>1</v>
      </c>
      <c r="Z77" s="1">
        <f>VLOOKUP($E77,'Product Naming'!$A$1:$P$58,9,FALSE)</f>
        <v>0</v>
      </c>
      <c r="AA77" s="1">
        <f>VLOOKUP($E77,'Product Naming'!$A$1:$P$58,10,FALSE)</f>
        <v>0</v>
      </c>
      <c r="AB77" s="29">
        <f>VLOOKUP($E77,'Product Naming'!$A$1:$P$58,11,FALSE)</f>
        <v>6</v>
      </c>
      <c r="AC77" s="3">
        <f>VLOOKUP($E77,'Product Naming'!$A$1:$P$58,12,FALSE)</f>
        <v>88.14658</v>
      </c>
      <c r="AD77" s="1">
        <f>VLOOKUP($E77,'Product Naming'!$A$1:$P$58,13,FALSE)</f>
        <v>138</v>
      </c>
      <c r="AE77" s="1" t="str">
        <f>VLOOKUP($E77,'Product Naming'!$A$1:$P$58,14,FALSE)</f>
        <v>Alcohol</v>
      </c>
      <c r="AF77" s="1" t="str">
        <f>VLOOKUP($E77,'Product Naming'!$A$1:$P$58,15,FALSE)</f>
        <v>Acetyl-CoA + Succinyl-CoA</v>
      </c>
      <c r="AG77" s="30" t="str">
        <f>VLOOKUP($E77,'Product Naming'!$A$1:$P$58,16,FALSE)</f>
        <v>Proton symporter</v>
      </c>
      <c r="AH77" s="3" t="str">
        <f>VLOOKUP($E77,'Product Naming'!$A$1:$Q$58,17,FALSE)</f>
        <v>pentoh_c</v>
      </c>
      <c r="AI77" s="1">
        <f>VLOOKUP($E77,'Product Parameters'!$A$2:$D$59,2,FALSE)</f>
        <v>1</v>
      </c>
      <c r="AJ77" s="1">
        <f>VLOOKUP($E77,'Product Parameters'!$A$2:$D$59,3,FALSE)</f>
        <v>0</v>
      </c>
      <c r="AK77" s="1">
        <f>VLOOKUP($E77,'Product Parameters'!$A$2:$D$59,4,FALSE)</f>
        <v>0.12</v>
      </c>
      <c r="AL77" s="1">
        <f>VLOOKUP($E77,'Product Parameters'!$A$2:$E$59,5,FALSE)</f>
        <v>57</v>
      </c>
      <c r="AM77" s="1">
        <f>VLOOKUP($E77,'Product Parameters'!$A$2:$F$59,6,FALSE)</f>
        <v>5</v>
      </c>
      <c r="AN77" s="1">
        <f>VLOOKUP($C77,'Substrate Heating'!$A$2:$C$33,3,FALSE)</f>
        <v>247.59097</v>
      </c>
      <c r="AO77" s="1">
        <f>VLOOKUP($C77,'Substrate Heating'!$A$2:$B$33,2,FALSE)</f>
        <v>5.5</v>
      </c>
      <c r="AP77" s="1">
        <f>VLOOKUP($C77,'Substrate Heating'!$A$2:$M$33,13,FALSE)</f>
        <v>1</v>
      </c>
      <c r="AQ77" s="1">
        <f>VLOOKUP($C77,'Substrate Heating'!$A$2:$M$33,8,FALSE)</f>
        <v>1</v>
      </c>
      <c r="AR77" s="1">
        <f t="shared" si="1"/>
        <v>0.12539682539682551</v>
      </c>
    </row>
    <row r="78" spans="1:44" x14ac:dyDescent="0.2">
      <c r="A78" s="17" t="s">
        <v>323</v>
      </c>
      <c r="B78" s="18" t="s">
        <v>324</v>
      </c>
      <c r="C78" t="s">
        <v>333</v>
      </c>
      <c r="D78" s="19" t="s">
        <v>326</v>
      </c>
      <c r="E78" t="s">
        <v>143</v>
      </c>
      <c r="F78" t="s">
        <v>137</v>
      </c>
      <c r="G78">
        <v>-10</v>
      </c>
      <c r="H78">
        <v>0</v>
      </c>
      <c r="I78">
        <v>0</v>
      </c>
      <c r="J78">
        <v>0.45</v>
      </c>
      <c r="K78">
        <v>-10</v>
      </c>
      <c r="L78">
        <v>0</v>
      </c>
      <c r="M78">
        <v>0</v>
      </c>
      <c r="N78">
        <v>5.0926406926406997</v>
      </c>
      <c r="O78">
        <v>0.18528138528138499</v>
      </c>
      <c r="P78"/>
      <c r="Q78">
        <v>1.8528138528139001E-2</v>
      </c>
      <c r="R78">
        <v>4.8750842202273999E-2</v>
      </c>
      <c r="S78" s="1" t="str">
        <f>VLOOKUP($E78,'Product Naming'!$A$1:$P$58,2,FALSE)</f>
        <v>Benzoate-PW2</v>
      </c>
      <c r="T78" s="1" t="str">
        <f>VLOOKUP($E78,'Product Naming'!$A$1:$P$58,3,FALSE)</f>
        <v>Benzoate (PW2)</v>
      </c>
      <c r="U78" s="1" t="str">
        <f>VLOOKUP($E78,'Product Naming'!$A$1:$P$58,4,FALSE)</f>
        <v>A</v>
      </c>
      <c r="V78" s="1" t="str">
        <f>VLOOKUP($E78,'Product Naming'!$A$1:$P$58,5,FALSE)</f>
        <v>C7H5O2</v>
      </c>
      <c r="W78" s="1">
        <f>VLOOKUP($E78,'Product Naming'!$A$1:$P$58,6,FALSE)</f>
        <v>7</v>
      </c>
      <c r="X78" s="1">
        <f>VLOOKUP($E78,'Product Naming'!$A$1:$P$58,7,FALSE)</f>
        <v>5</v>
      </c>
      <c r="Y78" s="1">
        <f>VLOOKUP($E78,'Product Naming'!$A$1:$P$58,8,FALSE)</f>
        <v>2</v>
      </c>
      <c r="Z78" s="1">
        <f>VLOOKUP($E78,'Product Naming'!$A$1:$P$58,9,FALSE)</f>
        <v>0</v>
      </c>
      <c r="AA78" s="1">
        <f>VLOOKUP($E78,'Product Naming'!$A$1:$P$58,10,FALSE)</f>
        <v>-1</v>
      </c>
      <c r="AB78" s="29">
        <f>VLOOKUP($E78,'Product Naming'!$A$1:$P$58,11,FALSE)</f>
        <v>4.1428571428571432</v>
      </c>
      <c r="AC78" s="3">
        <f>VLOOKUP($E78,'Product Naming'!$A$1:$P$58,12,FALSE)</f>
        <v>121.1121</v>
      </c>
      <c r="AD78" s="1">
        <f>VLOOKUP($E78,'Product Naming'!$A$1:$P$58,13,FALSE)</f>
        <v>249.2</v>
      </c>
      <c r="AE78" s="1" t="str">
        <f>VLOOKUP($E78,'Product Naming'!$A$1:$P$58,14,FALSE)</f>
        <v>Aromatic + Carboxylate</v>
      </c>
      <c r="AF78" s="1" t="str">
        <f>VLOOKUP($E78,'Product Naming'!$A$1:$P$58,15,FALSE)</f>
        <v>E4P + aKG</v>
      </c>
      <c r="AG78" s="30" t="str">
        <f>VLOOKUP($E78,'Product Naming'!$A$1:$P$58,16,FALSE)</f>
        <v>Proton symporter</v>
      </c>
      <c r="AH78" s="3" t="str">
        <f>VLOOKUP($E78,'Product Naming'!$A$1:$Q$58,17,FALSE)</f>
        <v>bz_c</v>
      </c>
      <c r="AI78" s="1">
        <f>VLOOKUP($E78,'Product Parameters'!$A$2:$D$59,2,FALSE)</f>
        <v>1</v>
      </c>
      <c r="AJ78" s="1">
        <f>VLOOKUP($E78,'Product Parameters'!$A$2:$D$59,3,FALSE)</f>
        <v>0</v>
      </c>
      <c r="AK78" s="1">
        <f>VLOOKUP($E78,'Product Parameters'!$A$2:$D$59,4,FALSE)</f>
        <v>0.12</v>
      </c>
      <c r="AL78" s="1">
        <f>VLOOKUP($E78,'Product Parameters'!$A$2:$E$59,5,FALSE)</f>
        <v>40.65</v>
      </c>
      <c r="AM78" s="1">
        <f>VLOOKUP($E78,'Product Parameters'!$A$2:$F$59,6,FALSE)</f>
        <v>7</v>
      </c>
      <c r="AN78" s="1">
        <f>VLOOKUP($C78,'Substrate Heating'!$A$2:$C$33,3,FALSE)</f>
        <v>247.59097</v>
      </c>
      <c r="AO78" s="1">
        <f>VLOOKUP($C78,'Substrate Heating'!$A$2:$B$33,2,FALSE)</f>
        <v>5.5</v>
      </c>
      <c r="AP78" s="1">
        <f>VLOOKUP($C78,'Substrate Heating'!$A$2:$M$33,13,FALSE)</f>
        <v>1</v>
      </c>
      <c r="AQ78" s="1">
        <f>VLOOKUP($C78,'Substrate Heating'!$A$2:$M$33,8,FALSE)</f>
        <v>1</v>
      </c>
      <c r="AR78" s="1">
        <f t="shared" si="1"/>
        <v>0.129696969696973</v>
      </c>
    </row>
    <row r="79" spans="1:44" x14ac:dyDescent="0.2">
      <c r="A79" s="8" t="s">
        <v>34</v>
      </c>
      <c r="B79" s="9" t="s">
        <v>35</v>
      </c>
      <c r="C79" s="1" t="s">
        <v>337</v>
      </c>
      <c r="D79" s="23" t="s">
        <v>338</v>
      </c>
      <c r="E79" s="1" t="s">
        <v>301</v>
      </c>
      <c r="F79" s="1" t="s">
        <v>302</v>
      </c>
      <c r="G79" s="1">
        <v>-10</v>
      </c>
      <c r="H79" s="1">
        <v>-20</v>
      </c>
      <c r="I79" s="1" t="s">
        <v>40</v>
      </c>
      <c r="J79" s="1">
        <v>3.15</v>
      </c>
      <c r="K79" s="1">
        <v>-10</v>
      </c>
      <c r="L79" s="1">
        <v>-2.3956043956044</v>
      </c>
      <c r="M79" s="1" t="s">
        <v>40</v>
      </c>
      <c r="N79" s="1">
        <v>8.4373626373626198</v>
      </c>
      <c r="O79" s="1">
        <v>0.52087912087911603</v>
      </c>
      <c r="Q79" s="1">
        <v>5.2087912087911602E-2</v>
      </c>
      <c r="R79" s="1">
        <v>4.9898480710071101E-2</v>
      </c>
      <c r="S79" s="1" t="str">
        <f>VLOOKUP($E79,'Product Naming'!$A$1:$P$58,2,FALSE)</f>
        <v>Propane-PW1</v>
      </c>
      <c r="T79" s="1" t="str">
        <f>VLOOKUP($E79,'Product Naming'!$A$1:$P$58,3,FALSE)</f>
        <v>Propane (PW1)</v>
      </c>
      <c r="U79" s="1" t="str">
        <f>VLOOKUP($E79,'Product Naming'!$A$1:$P$58,4,FALSE)</f>
        <v>E</v>
      </c>
      <c r="V79" s="1" t="str">
        <f>VLOOKUP($E79,'Product Naming'!$A$1:$P$58,5,FALSE)</f>
        <v>C3H8</v>
      </c>
      <c r="W79" s="1">
        <f>VLOOKUP($E79,'Product Naming'!$A$1:$P$58,6,FALSE)</f>
        <v>3</v>
      </c>
      <c r="X79" s="1">
        <f>VLOOKUP($E79,'Product Naming'!$A$1:$P$58,7,FALSE)</f>
        <v>8</v>
      </c>
      <c r="Y79" s="1">
        <f>VLOOKUP($E79,'Product Naming'!$A$1:$P$58,8,FALSE)</f>
        <v>0</v>
      </c>
      <c r="Z79" s="1">
        <f>VLOOKUP($E79,'Product Naming'!$A$1:$P$58,9,FALSE)</f>
        <v>0</v>
      </c>
      <c r="AA79" s="1">
        <f>VLOOKUP($E79,'Product Naming'!$A$1:$P$58,10,FALSE)</f>
        <v>0</v>
      </c>
      <c r="AB79" s="29">
        <f>VLOOKUP($E79,'Product Naming'!$A$1:$P$58,11,FALSE)</f>
        <v>6.666666666666667</v>
      </c>
      <c r="AC79" s="3">
        <f>VLOOKUP($E79,'Product Naming'!$A$1:$P$58,12,FALSE)</f>
        <v>44.094819999999999</v>
      </c>
      <c r="AD79" s="1">
        <f>VLOOKUP($E79,'Product Naming'!$A$1:$P$58,13,FALSE)</f>
        <v>-42</v>
      </c>
      <c r="AE79" s="1" t="str">
        <f>VLOOKUP($E79,'Product Naming'!$A$1:$P$58,14,FALSE)</f>
        <v>Hydrocarbon</v>
      </c>
      <c r="AF79" s="1" t="str">
        <f>VLOOKUP($E79,'Product Naming'!$A$1:$P$58,15,FALSE)</f>
        <v>Acetyl-CoA</v>
      </c>
      <c r="AG79" s="30" t="str">
        <f>VLOOKUP($E79,'Product Naming'!$A$1:$P$58,16,FALSE)</f>
        <v>Diffusion</v>
      </c>
      <c r="AH79" s="3" t="str">
        <f>VLOOKUP($E79,'Product Naming'!$A$1:$Q$58,17,FALSE)</f>
        <v>prop_c</v>
      </c>
      <c r="AI79" s="1">
        <f>VLOOKUP($E79,'Product Parameters'!$A$2:$D$59,2,FALSE)</f>
        <v>0</v>
      </c>
      <c r="AJ79" s="1">
        <f>VLOOKUP($E79,'Product Parameters'!$A$2:$D$59,3,FALSE)</f>
        <v>1</v>
      </c>
      <c r="AK79" s="1">
        <f>VLOOKUP($E79,'Product Parameters'!$A$2:$D$59,4,FALSE)</f>
        <v>0.12</v>
      </c>
      <c r="AL79" s="1">
        <f>VLOOKUP($E79,'Product Parameters'!$A$2:$E$59,5,FALSE)</f>
        <v>0</v>
      </c>
      <c r="AM79" s="1">
        <f>VLOOKUP($E79,'Product Parameters'!$A$2:$F$59,6,FALSE)</f>
        <v>3</v>
      </c>
      <c r="AN79" s="1">
        <f>VLOOKUP($C79,'Substrate Heating'!$A$2:$C$33,3,FALSE)</f>
        <v>247.59097</v>
      </c>
      <c r="AO79" s="1">
        <f>VLOOKUP($C79,'Substrate Heating'!$A$2:$B$33,2,FALSE)</f>
        <v>5.5</v>
      </c>
      <c r="AP79" s="1">
        <f>VLOOKUP($C79,'Substrate Heating'!$A$2:$M$33,13,FALSE)</f>
        <v>1</v>
      </c>
      <c r="AQ79" s="1">
        <f>VLOOKUP($C79,'Substrate Heating'!$A$2:$M$33,8,FALSE)</f>
        <v>1</v>
      </c>
      <c r="AR79" s="1">
        <f t="shared" si="1"/>
        <v>0.1562637362637348</v>
      </c>
    </row>
    <row r="80" spans="1:44" x14ac:dyDescent="0.2">
      <c r="A80" s="8" t="s">
        <v>34</v>
      </c>
      <c r="B80" s="9" t="s">
        <v>35</v>
      </c>
      <c r="C80" s="1" t="s">
        <v>337</v>
      </c>
      <c r="D80" s="23" t="s">
        <v>338</v>
      </c>
      <c r="E80" s="1" t="s">
        <v>151</v>
      </c>
      <c r="F80" s="1" t="s">
        <v>152</v>
      </c>
      <c r="G80" s="1">
        <v>-10</v>
      </c>
      <c r="H80" s="1">
        <v>-20</v>
      </c>
      <c r="I80" s="1" t="s">
        <v>40</v>
      </c>
      <c r="J80" s="1">
        <v>3.15</v>
      </c>
      <c r="K80" s="1">
        <v>-10</v>
      </c>
      <c r="L80" s="1">
        <v>-2.63</v>
      </c>
      <c r="M80" s="1" t="s">
        <v>40</v>
      </c>
      <c r="N80" s="1">
        <v>8.2444444444444507</v>
      </c>
      <c r="O80" s="1">
        <v>4.3888888888888603E-2</v>
      </c>
      <c r="Q80" s="1">
        <v>4.3888888888888597E-3</v>
      </c>
      <c r="R80" s="1">
        <v>5.1189881873113199E-2</v>
      </c>
      <c r="S80" s="1" t="str">
        <f>VLOOKUP($E80,'Product Naming'!$A$1:$P$58,2,FALSE)</f>
        <v>BetaCarotene</v>
      </c>
      <c r="T80" s="1" t="str">
        <f>VLOOKUP($E80,'Product Naming'!$A$1:$P$58,3,FALSE)</f>
        <v>Beta carotene</v>
      </c>
      <c r="U80" s="1" t="str">
        <f>VLOOKUP($E80,'Product Naming'!$A$1:$P$58,4,FALSE)</f>
        <v>A</v>
      </c>
      <c r="V80" s="1" t="str">
        <f>VLOOKUP($E80,'Product Naming'!$A$1:$P$58,5,FALSE)</f>
        <v>C40H56</v>
      </c>
      <c r="W80" s="1">
        <f>VLOOKUP($E80,'Product Naming'!$A$1:$P$58,6,FALSE)</f>
        <v>40</v>
      </c>
      <c r="X80" s="1">
        <f>VLOOKUP($E80,'Product Naming'!$A$1:$P$58,7,FALSE)</f>
        <v>56</v>
      </c>
      <c r="Y80" s="1">
        <f>VLOOKUP($E80,'Product Naming'!$A$1:$P$58,8,FALSE)</f>
        <v>0</v>
      </c>
      <c r="Z80" s="1">
        <f>VLOOKUP($E80,'Product Naming'!$A$1:$P$58,9,FALSE)</f>
        <v>0</v>
      </c>
      <c r="AA80" s="1">
        <f>VLOOKUP($E80,'Product Naming'!$A$1:$P$58,10,FALSE)</f>
        <v>0</v>
      </c>
      <c r="AB80" s="29">
        <f>VLOOKUP($E80,'Product Naming'!$A$1:$P$58,11,FALSE)</f>
        <v>5.4</v>
      </c>
      <c r="AC80" s="3">
        <f>VLOOKUP($E80,'Product Naming'!$A$1:$P$58,12,FALSE)</f>
        <v>536.86703999999997</v>
      </c>
      <c r="AD80" s="1">
        <f>VLOOKUP($E80,'Product Naming'!$A$1:$P$58,13,FALSE)</f>
        <v>633</v>
      </c>
      <c r="AE80" s="1" t="str">
        <f>VLOOKUP($E80,'Product Naming'!$A$1:$P$58,14,FALSE)</f>
        <v>Hydrocarbon</v>
      </c>
      <c r="AF80" s="1" t="str">
        <f>VLOOKUP($E80,'Product Naming'!$A$1:$P$58,15,FALSE)</f>
        <v>Acetyl-CoA</v>
      </c>
      <c r="AG80" s="30" t="str">
        <f>VLOOKUP($E80,'Product Naming'!$A$1:$P$58,16,FALSE)</f>
        <v>ABC Transporter</v>
      </c>
      <c r="AH80" s="3" t="str">
        <f>VLOOKUP($E80,'Product Naming'!$A$1:$Q$58,17,FALSE)</f>
        <v>caro_c</v>
      </c>
      <c r="AI80" s="1">
        <f>VLOOKUP($E80,'Product Parameters'!$A$2:$D$59,2,FALSE)</f>
        <v>1</v>
      </c>
      <c r="AJ80" s="1">
        <f>VLOOKUP($E80,'Product Parameters'!$A$2:$D$59,3,FALSE)</f>
        <v>0</v>
      </c>
      <c r="AK80" s="1">
        <f>VLOOKUP($E80,'Product Parameters'!$A$2:$D$59,4,FALSE)</f>
        <v>0.12</v>
      </c>
      <c r="AL80" s="1">
        <f>VLOOKUP($E80,'Product Parameters'!$A$2:$E$59,5,FALSE)</f>
        <v>40.65</v>
      </c>
      <c r="AM80" s="1">
        <f>VLOOKUP($E80,'Product Parameters'!$A$2:$F$59,6,FALSE)</f>
        <v>40</v>
      </c>
      <c r="AN80" s="1">
        <f>VLOOKUP($C80,'Substrate Heating'!$A$2:$C$33,3,FALSE)</f>
        <v>247.59097</v>
      </c>
      <c r="AO80" s="1">
        <f>VLOOKUP($C80,'Substrate Heating'!$A$2:$B$33,2,FALSE)</f>
        <v>5.5</v>
      </c>
      <c r="AP80" s="1">
        <f>VLOOKUP($C80,'Substrate Heating'!$A$2:$M$33,13,FALSE)</f>
        <v>1</v>
      </c>
      <c r="AQ80" s="1">
        <f>VLOOKUP($C80,'Substrate Heating'!$A$2:$M$33,8,FALSE)</f>
        <v>1</v>
      </c>
      <c r="AR80" s="1">
        <f t="shared" si="1"/>
        <v>0.17555555555555438</v>
      </c>
    </row>
    <row r="81" spans="1:44" x14ac:dyDescent="0.2">
      <c r="A81" s="17" t="s">
        <v>231</v>
      </c>
      <c r="B81" s="9" t="s">
        <v>35</v>
      </c>
      <c r="C81" t="s">
        <v>337</v>
      </c>
      <c r="D81" s="23" t="s">
        <v>338</v>
      </c>
      <c r="E81" t="s">
        <v>236</v>
      </c>
      <c r="F81" t="s">
        <v>237</v>
      </c>
      <c r="G81">
        <v>-10</v>
      </c>
      <c r="H81">
        <v>-20</v>
      </c>
      <c r="I81" s="1" t="s">
        <v>40</v>
      </c>
      <c r="J81">
        <v>3.15</v>
      </c>
      <c r="K81">
        <v>-10</v>
      </c>
      <c r="L81">
        <v>-2.39710982658959</v>
      </c>
      <c r="M81" s="1" t="s">
        <v>40</v>
      </c>
      <c r="N81">
        <v>8.3560693641618595</v>
      </c>
      <c r="O81">
        <v>0.27398843930635902</v>
      </c>
      <c r="P81"/>
      <c r="Q81">
        <v>2.7398843930635901E-2</v>
      </c>
      <c r="R81">
        <v>5.1294533972158399E-2</v>
      </c>
      <c r="S81" s="1" t="str">
        <f>VLOOKUP($E81,'Product Naming'!$A$1:$P$58,2,FALSE)</f>
        <v>Hexane</v>
      </c>
      <c r="T81" s="1" t="str">
        <f>VLOOKUP($E81,'Product Naming'!$A$1:$P$58,3,FALSE)</f>
        <v>Hexane</v>
      </c>
      <c r="U81" s="1" t="str">
        <f>VLOOKUP($E81,'Product Naming'!$A$1:$P$58,4,FALSE)</f>
        <v>E</v>
      </c>
      <c r="V81" s="1" t="str">
        <f>VLOOKUP($E81,'Product Naming'!$A$1:$P$58,5,FALSE)</f>
        <v>C6H14</v>
      </c>
      <c r="W81" s="1">
        <f>VLOOKUP($E81,'Product Naming'!$A$1:$P$58,6,FALSE)</f>
        <v>6</v>
      </c>
      <c r="X81" s="1">
        <f>VLOOKUP($E81,'Product Naming'!$A$1:$P$58,7,FALSE)</f>
        <v>14</v>
      </c>
      <c r="Y81" s="1">
        <f>VLOOKUP($E81,'Product Naming'!$A$1:$P$58,8,FALSE)</f>
        <v>0</v>
      </c>
      <c r="Z81" s="1">
        <f>VLOOKUP($E81,'Product Naming'!$A$1:$P$58,9,FALSE)</f>
        <v>0</v>
      </c>
      <c r="AA81" s="1">
        <f>VLOOKUP($E81,'Product Naming'!$A$1:$P$58,10,FALSE)</f>
        <v>0</v>
      </c>
      <c r="AB81" s="29">
        <f>VLOOKUP($E81,'Product Naming'!$A$1:$P$58,11,FALSE)</f>
        <v>6.333333333333333</v>
      </c>
      <c r="AC81" s="3">
        <f>VLOOKUP($E81,'Product Naming'!$A$1:$P$58,12,FALSE)</f>
        <v>86.173959999999994</v>
      </c>
      <c r="AD81" s="1">
        <f>VLOOKUP($E81,'Product Naming'!$A$1:$P$58,13,FALSE)</f>
        <v>69</v>
      </c>
      <c r="AE81" s="1" t="str">
        <f>VLOOKUP($E81,'Product Naming'!$A$1:$P$58,14,FALSE)</f>
        <v>Hydrocarbon (alkane)</v>
      </c>
      <c r="AF81" s="1" t="str">
        <f>VLOOKUP($E81,'Product Naming'!$A$1:$P$58,15,FALSE)</f>
        <v>Acetyl-CoA + Succinyl-CoA</v>
      </c>
      <c r="AG81" s="30" t="str">
        <f>VLOOKUP($E81,'Product Naming'!$A$1:$P$58,16,FALSE)</f>
        <v>Proton symporter</v>
      </c>
      <c r="AH81" s="3" t="str">
        <f>VLOOKUP($E81,'Product Naming'!$A$1:$Q$58,17,FALSE)</f>
        <v>hex_c</v>
      </c>
      <c r="AI81" s="1">
        <f>VLOOKUP($E81,'Product Parameters'!$A$2:$D$59,2,FALSE)</f>
        <v>1</v>
      </c>
      <c r="AJ81" s="1">
        <f>VLOOKUP($E81,'Product Parameters'!$A$2:$D$59,3,FALSE)</f>
        <v>0</v>
      </c>
      <c r="AK81" s="1">
        <f>VLOOKUP($E81,'Product Parameters'!$A$2:$D$59,4,FALSE)</f>
        <v>0.12</v>
      </c>
      <c r="AL81" s="1">
        <f>VLOOKUP($E81,'Product Parameters'!$A$2:$E$59,5,FALSE)</f>
        <v>31</v>
      </c>
      <c r="AM81" s="1">
        <f>VLOOKUP($E81,'Product Parameters'!$A$2:$F$59,6,FALSE)</f>
        <v>6</v>
      </c>
      <c r="AN81" s="1">
        <f>VLOOKUP($C81,'Substrate Heating'!$A$2:$C$33,3,FALSE)</f>
        <v>247.59097</v>
      </c>
      <c r="AO81" s="1">
        <f>VLOOKUP($C81,'Substrate Heating'!$A$2:$B$33,2,FALSE)</f>
        <v>5.5</v>
      </c>
      <c r="AP81" s="1">
        <f>VLOOKUP($C81,'Substrate Heating'!$A$2:$M$33,13,FALSE)</f>
        <v>1</v>
      </c>
      <c r="AQ81" s="1">
        <f>VLOOKUP($C81,'Substrate Heating'!$A$2:$M$33,8,FALSE)</f>
        <v>1</v>
      </c>
      <c r="AR81" s="1">
        <f t="shared" si="1"/>
        <v>0.16439306358381539</v>
      </c>
    </row>
    <row r="82" spans="1:44" x14ac:dyDescent="0.2">
      <c r="A82" s="8" t="s">
        <v>34</v>
      </c>
      <c r="B82" s="9" t="s">
        <v>35</v>
      </c>
      <c r="C82" s="1" t="s">
        <v>337</v>
      </c>
      <c r="D82" s="23" t="s">
        <v>338</v>
      </c>
      <c r="E82" s="1" t="s">
        <v>287</v>
      </c>
      <c r="F82" s="1" t="s">
        <v>288</v>
      </c>
      <c r="G82" s="1">
        <v>-10</v>
      </c>
      <c r="H82" s="1">
        <v>-20</v>
      </c>
      <c r="I82" s="1" t="s">
        <v>40</v>
      </c>
      <c r="J82" s="1">
        <v>3.15</v>
      </c>
      <c r="K82" s="1">
        <v>-10</v>
      </c>
      <c r="L82" s="1">
        <v>-2.3666666666666698</v>
      </c>
      <c r="M82" s="1" t="s">
        <v>40</v>
      </c>
      <c r="N82" s="1">
        <v>8.3541666666666696</v>
      </c>
      <c r="O82" s="1">
        <v>0.329166666666667</v>
      </c>
      <c r="Q82" s="1">
        <v>3.2916666666666698E-2</v>
      </c>
      <c r="R82" s="1">
        <v>5.1594144673572401E-2</v>
      </c>
      <c r="S82" s="1" t="str">
        <f>VLOOKUP($E82,'Product Naming'!$A$1:$P$58,2,FALSE)</f>
        <v>Pentane</v>
      </c>
      <c r="T82" s="1" t="str">
        <f>VLOOKUP($E82,'Product Naming'!$A$1:$P$58,3,FALSE)</f>
        <v>Pentane</v>
      </c>
      <c r="U82" s="1" t="str">
        <f>VLOOKUP($E82,'Product Naming'!$A$1:$P$58,4,FALSE)</f>
        <v>E</v>
      </c>
      <c r="V82" s="1" t="str">
        <f>VLOOKUP($E82,'Product Naming'!$A$1:$P$58,5,FALSE)</f>
        <v>C5H12</v>
      </c>
      <c r="W82" s="1">
        <f>VLOOKUP($E82,'Product Naming'!$A$1:$P$58,6,FALSE)</f>
        <v>5</v>
      </c>
      <c r="X82" s="1">
        <f>VLOOKUP($E82,'Product Naming'!$A$1:$P$58,7,FALSE)</f>
        <v>12</v>
      </c>
      <c r="Y82" s="1">
        <f>VLOOKUP($E82,'Product Naming'!$A$1:$P$58,8,FALSE)</f>
        <v>0</v>
      </c>
      <c r="Z82" s="1">
        <f>VLOOKUP($E82,'Product Naming'!$A$1:$P$58,9,FALSE)</f>
        <v>0</v>
      </c>
      <c r="AA82" s="1">
        <f>VLOOKUP($E82,'Product Naming'!$A$1:$P$58,10,FALSE)</f>
        <v>0</v>
      </c>
      <c r="AB82" s="29">
        <f>VLOOKUP($E82,'Product Naming'!$A$1:$P$58,11,FALSE)</f>
        <v>6.4</v>
      </c>
      <c r="AC82" s="3">
        <f>VLOOKUP($E82,'Product Naming'!$A$1:$P$58,12,FALSE)</f>
        <v>72.147580000000005</v>
      </c>
      <c r="AD82" s="1">
        <f>VLOOKUP($E82,'Product Naming'!$A$1:$P$58,13,FALSE)</f>
        <v>36.1</v>
      </c>
      <c r="AE82" s="1" t="str">
        <f>VLOOKUP($E82,'Product Naming'!$A$1:$P$58,14,FALSE)</f>
        <v>Hydrocarbon (alkane)</v>
      </c>
      <c r="AF82" s="1" t="str">
        <f>VLOOKUP($E82,'Product Naming'!$A$1:$P$58,15,FALSE)</f>
        <v>Acetyl-CoA</v>
      </c>
      <c r="AG82" s="30" t="str">
        <f>VLOOKUP($E82,'Product Naming'!$A$1:$P$58,16,FALSE)</f>
        <v>Diffusion</v>
      </c>
      <c r="AH82" s="3" t="str">
        <f>VLOOKUP($E82,'Product Naming'!$A$1:$Q$58,17,FALSE)</f>
        <v>pent_c</v>
      </c>
      <c r="AI82" s="1">
        <f>VLOOKUP($E82,'Product Parameters'!$A$2:$D$59,2,FALSE)</f>
        <v>0</v>
      </c>
      <c r="AJ82" s="1">
        <f>VLOOKUP($E82,'Product Parameters'!$A$2:$D$59,3,FALSE)</f>
        <v>1</v>
      </c>
      <c r="AK82" s="1">
        <f>VLOOKUP($E82,'Product Parameters'!$A$2:$D$59,4,FALSE)</f>
        <v>0.12</v>
      </c>
      <c r="AL82" s="1">
        <f>VLOOKUP($E82,'Product Parameters'!$A$2:$E$59,5,FALSE)</f>
        <v>26.5</v>
      </c>
      <c r="AM82" s="1">
        <f>VLOOKUP($E82,'Product Parameters'!$A$2:$F$59,6,FALSE)</f>
        <v>5</v>
      </c>
      <c r="AN82" s="1">
        <f>VLOOKUP($C82,'Substrate Heating'!$A$2:$C$33,3,FALSE)</f>
        <v>247.59097</v>
      </c>
      <c r="AO82" s="1">
        <f>VLOOKUP($C82,'Substrate Heating'!$A$2:$B$33,2,FALSE)</f>
        <v>5.5</v>
      </c>
      <c r="AP82" s="1">
        <f>VLOOKUP($C82,'Substrate Heating'!$A$2:$M$33,13,FALSE)</f>
        <v>1</v>
      </c>
      <c r="AQ82" s="1">
        <f>VLOOKUP($C82,'Substrate Heating'!$A$2:$M$33,8,FALSE)</f>
        <v>1</v>
      </c>
      <c r="AR82" s="1">
        <f t="shared" si="1"/>
        <v>0.1645833333333335</v>
      </c>
    </row>
    <row r="83" spans="1:44" x14ac:dyDescent="0.2">
      <c r="A83" s="8" t="s">
        <v>792</v>
      </c>
      <c r="B83" s="18" t="s">
        <v>324</v>
      </c>
      <c r="C83" t="s">
        <v>365</v>
      </c>
      <c r="D83" s="23" t="s">
        <v>338</v>
      </c>
      <c r="E83" t="s">
        <v>136</v>
      </c>
      <c r="F83" t="s">
        <v>137</v>
      </c>
      <c r="G83">
        <v>-10</v>
      </c>
      <c r="H83">
        <v>0</v>
      </c>
      <c r="I83">
        <v>0</v>
      </c>
      <c r="J83">
        <v>0.45</v>
      </c>
      <c r="K83">
        <v>-10</v>
      </c>
      <c r="L83">
        <v>0</v>
      </c>
      <c r="M83" s="28" t="s">
        <v>481</v>
      </c>
      <c r="N83">
        <v>0</v>
      </c>
      <c r="O83" s="28" t="s">
        <v>482</v>
      </c>
      <c r="P83"/>
      <c r="Q83">
        <v>1.36666666666666E-2</v>
      </c>
      <c r="R83">
        <v>5.19265838091078E-2</v>
      </c>
      <c r="S83" s="1" t="str">
        <f>VLOOKUP($E83,'Product Naming'!$A$1:$P$58,2,FALSE)</f>
        <v>Benzoate-PW1</v>
      </c>
      <c r="T83" s="1" t="str">
        <f>VLOOKUP($E83,'Product Naming'!$A$1:$P$58,3,FALSE)</f>
        <v>Benzoate (PW1)</v>
      </c>
      <c r="U83" s="1" t="str">
        <f>VLOOKUP($E83,'Product Naming'!$A$1:$P$58,4,FALSE)</f>
        <v>A</v>
      </c>
      <c r="V83" s="1" t="str">
        <f>VLOOKUP($E83,'Product Naming'!$A$1:$P$58,5,FALSE)</f>
        <v>C7H5O2</v>
      </c>
      <c r="W83" s="1">
        <f>VLOOKUP($E83,'Product Naming'!$A$1:$P$58,6,FALSE)</f>
        <v>7</v>
      </c>
      <c r="X83" s="1">
        <f>VLOOKUP($E83,'Product Naming'!$A$1:$P$58,7,FALSE)</f>
        <v>5</v>
      </c>
      <c r="Y83" s="1">
        <f>VLOOKUP($E83,'Product Naming'!$A$1:$P$58,8,FALSE)</f>
        <v>2</v>
      </c>
      <c r="Z83" s="1">
        <f>VLOOKUP($E83,'Product Naming'!$A$1:$P$58,9,FALSE)</f>
        <v>0</v>
      </c>
      <c r="AA83" s="1">
        <f>VLOOKUP($E83,'Product Naming'!$A$1:$P$58,10,FALSE)</f>
        <v>-1</v>
      </c>
      <c r="AB83" s="29">
        <f>VLOOKUP($E83,'Product Naming'!$A$1:$P$58,11,FALSE)</f>
        <v>4.1428571428571432</v>
      </c>
      <c r="AC83" s="3">
        <f>VLOOKUP($E83,'Product Naming'!$A$1:$P$58,12,FALSE)</f>
        <v>121.1121</v>
      </c>
      <c r="AD83" s="1">
        <f>VLOOKUP($E83,'Product Naming'!$A$1:$P$58,13,FALSE)</f>
        <v>249.2</v>
      </c>
      <c r="AE83" s="1" t="str">
        <f>VLOOKUP($E83,'Product Naming'!$A$1:$P$58,14,FALSE)</f>
        <v>Aromatic + Carboxylate</v>
      </c>
      <c r="AF83" s="1" t="str">
        <f>VLOOKUP($E83,'Product Naming'!$A$1:$P$58,15,FALSE)</f>
        <v>E4P + aKG</v>
      </c>
      <c r="AG83" s="30" t="str">
        <f>VLOOKUP($E83,'Product Naming'!$A$1:$P$58,16,FALSE)</f>
        <v>Proton symporter</v>
      </c>
      <c r="AH83" s="3" t="str">
        <f>VLOOKUP($E83,'Product Naming'!$A$1:$Q$58,17,FALSE)</f>
        <v>bz_c</v>
      </c>
      <c r="AI83" s="1">
        <f>VLOOKUP($E83,'Product Parameters'!$A$2:$D$59,2,FALSE)</f>
        <v>1</v>
      </c>
      <c r="AJ83" s="1">
        <f>VLOOKUP($E83,'Product Parameters'!$A$2:$D$59,3,FALSE)</f>
        <v>0</v>
      </c>
      <c r="AK83" s="1">
        <f>VLOOKUP($E83,'Product Parameters'!$A$2:$D$59,4,FALSE)</f>
        <v>0.12</v>
      </c>
      <c r="AL83" s="1">
        <f>VLOOKUP($E83,'Product Parameters'!$A$2:$E$59,5,FALSE)</f>
        <v>40.65</v>
      </c>
      <c r="AM83" s="1">
        <f>VLOOKUP($E83,'Product Parameters'!$A$2:$F$59,6,FALSE)</f>
        <v>7</v>
      </c>
      <c r="AN83" s="1">
        <f>VLOOKUP($C83,'Substrate Heating'!$A$2:$C$33,3,FALSE)</f>
        <v>638.57832580000002</v>
      </c>
      <c r="AO83" s="1">
        <f>VLOOKUP($C83,'Substrate Heating'!$A$2:$B$33,2,FALSE)</f>
        <v>19.93</v>
      </c>
      <c r="AP83" s="1">
        <f>VLOOKUP($C83,'Substrate Heating'!$A$2:$M$33,13,FALSE)</f>
        <v>6</v>
      </c>
      <c r="AQ83" s="1">
        <f>VLOOKUP($C83,'Substrate Heating'!$A$2:$M$33,8,FALSE)</f>
        <v>1</v>
      </c>
      <c r="AR83" s="1">
        <f t="shared" si="1"/>
        <v>9.5666666666666192E-2</v>
      </c>
    </row>
    <row r="84" spans="1:44" x14ac:dyDescent="0.2">
      <c r="A84" s="17" t="s">
        <v>231</v>
      </c>
      <c r="B84" s="9" t="s">
        <v>35</v>
      </c>
      <c r="C84" t="s">
        <v>337</v>
      </c>
      <c r="D84" s="23" t="s">
        <v>338</v>
      </c>
      <c r="E84" t="s">
        <v>283</v>
      </c>
      <c r="F84" t="s">
        <v>284</v>
      </c>
      <c r="G84">
        <v>-10</v>
      </c>
      <c r="H84">
        <v>-20</v>
      </c>
      <c r="I84" s="1" t="s">
        <v>40</v>
      </c>
      <c r="J84">
        <v>3.15</v>
      </c>
      <c r="K84">
        <v>-10</v>
      </c>
      <c r="L84">
        <v>-2.3783185840707999</v>
      </c>
      <c r="M84" s="1" t="s">
        <v>40</v>
      </c>
      <c r="N84">
        <v>8.3221238938053208</v>
      </c>
      <c r="O84">
        <v>0.20973451327433701</v>
      </c>
      <c r="P84"/>
      <c r="Q84">
        <v>2.0973451327433699E-2</v>
      </c>
      <c r="R84">
        <v>5.2047564006908499E-2</v>
      </c>
      <c r="S84" s="1" t="str">
        <f>VLOOKUP($E84,'Product Naming'!$A$1:$P$58,2,FALSE)</f>
        <v>Octane</v>
      </c>
      <c r="T84" s="1" t="str">
        <f>VLOOKUP($E84,'Product Naming'!$A$1:$P$58,3,FALSE)</f>
        <v>Octane</v>
      </c>
      <c r="U84" s="1" t="str">
        <f>VLOOKUP($E84,'Product Naming'!$A$1:$P$58,4,FALSE)</f>
        <v>E</v>
      </c>
      <c r="V84" s="1" t="str">
        <f>VLOOKUP($E84,'Product Naming'!$A$1:$P$58,5,FALSE)</f>
        <v>C8H18</v>
      </c>
      <c r="W84" s="1">
        <f>VLOOKUP($E84,'Product Naming'!$A$1:$P$58,6,FALSE)</f>
        <v>8</v>
      </c>
      <c r="X84" s="1">
        <f>VLOOKUP($E84,'Product Naming'!$A$1:$P$58,7,FALSE)</f>
        <v>18</v>
      </c>
      <c r="Y84" s="1">
        <f>VLOOKUP($E84,'Product Naming'!$A$1:$P$58,8,FALSE)</f>
        <v>0</v>
      </c>
      <c r="Z84" s="1">
        <f>VLOOKUP($E84,'Product Naming'!$A$1:$P$58,9,FALSE)</f>
        <v>0</v>
      </c>
      <c r="AA84" s="1">
        <f>VLOOKUP($E84,'Product Naming'!$A$1:$P$58,10,FALSE)</f>
        <v>0</v>
      </c>
      <c r="AB84" s="29">
        <f>VLOOKUP($E84,'Product Naming'!$A$1:$P$58,11,FALSE)</f>
        <v>6.25</v>
      </c>
      <c r="AC84" s="3">
        <f>VLOOKUP($E84,'Product Naming'!$A$1:$P$58,12,FALSE)</f>
        <v>114.22672</v>
      </c>
      <c r="AD84" s="1">
        <f>VLOOKUP($E84,'Product Naming'!$A$1:$P$58,13,FALSE)</f>
        <v>126</v>
      </c>
      <c r="AE84" s="1" t="str">
        <f>VLOOKUP($E84,'Product Naming'!$A$1:$P$58,14,FALSE)</f>
        <v>Hydrocarbon (alkane)</v>
      </c>
      <c r="AF84" s="1" t="str">
        <f>VLOOKUP($E84,'Product Naming'!$A$1:$P$58,15,FALSE)</f>
        <v>Acetyl-CoA + Succinyl-CoA</v>
      </c>
      <c r="AG84" s="30" t="str">
        <f>VLOOKUP($E84,'Product Naming'!$A$1:$P$58,16,FALSE)</f>
        <v>Proton symporter</v>
      </c>
      <c r="AH84" s="3" t="str">
        <f>VLOOKUP($E84,'Product Naming'!$A$1:$Q$58,17,FALSE)</f>
        <v>octn_c</v>
      </c>
      <c r="AI84" s="1">
        <f>VLOOKUP($E84,'Product Parameters'!$A$2:$D$59,2,FALSE)</f>
        <v>1</v>
      </c>
      <c r="AJ84" s="1">
        <f>VLOOKUP($E84,'Product Parameters'!$A$2:$D$59,3,FALSE)</f>
        <v>0</v>
      </c>
      <c r="AK84" s="1">
        <f>VLOOKUP($E84,'Product Parameters'!$A$2:$D$59,4,FALSE)</f>
        <v>0.12</v>
      </c>
      <c r="AL84" s="1">
        <f>VLOOKUP($E84,'Product Parameters'!$A$2:$E$59,5,FALSE)</f>
        <v>41</v>
      </c>
      <c r="AM84" s="1">
        <f>VLOOKUP($E84,'Product Parameters'!$A$2:$F$59,6,FALSE)</f>
        <v>8</v>
      </c>
      <c r="AN84" s="1">
        <f>VLOOKUP($C84,'Substrate Heating'!$A$2:$C$33,3,FALSE)</f>
        <v>247.59097</v>
      </c>
      <c r="AO84" s="1">
        <f>VLOOKUP($C84,'Substrate Heating'!$A$2:$B$33,2,FALSE)</f>
        <v>5.5</v>
      </c>
      <c r="AP84" s="1">
        <f>VLOOKUP($C84,'Substrate Heating'!$A$2:$M$33,13,FALSE)</f>
        <v>1</v>
      </c>
      <c r="AQ84" s="1">
        <f>VLOOKUP($C84,'Substrate Heating'!$A$2:$M$33,8,FALSE)</f>
        <v>1</v>
      </c>
      <c r="AR84" s="1">
        <f t="shared" si="1"/>
        <v>0.16778761061946959</v>
      </c>
    </row>
    <row r="85" spans="1:44" x14ac:dyDescent="0.2">
      <c r="A85" s="17" t="s">
        <v>323</v>
      </c>
      <c r="B85" s="18" t="s">
        <v>324</v>
      </c>
      <c r="C85" t="s">
        <v>333</v>
      </c>
      <c r="D85" s="19" t="s">
        <v>326</v>
      </c>
      <c r="E85" t="s">
        <v>136</v>
      </c>
      <c r="F85" t="s">
        <v>137</v>
      </c>
      <c r="G85">
        <v>-10</v>
      </c>
      <c r="H85">
        <v>0</v>
      </c>
      <c r="I85">
        <v>0</v>
      </c>
      <c r="J85">
        <v>0.45</v>
      </c>
      <c r="K85">
        <v>-10</v>
      </c>
      <c r="L85">
        <v>0</v>
      </c>
      <c r="M85">
        <v>0</v>
      </c>
      <c r="N85">
        <v>5.0995348837209296</v>
      </c>
      <c r="O85">
        <v>0.199069767441861</v>
      </c>
      <c r="P85"/>
      <c r="Q85">
        <v>1.9906976744186001E-2</v>
      </c>
      <c r="R85">
        <v>5.2378811854536002E-2</v>
      </c>
      <c r="S85" s="1" t="str">
        <f>VLOOKUP($E85,'Product Naming'!$A$1:$P$58,2,FALSE)</f>
        <v>Benzoate-PW1</v>
      </c>
      <c r="T85" s="1" t="str">
        <f>VLOOKUP($E85,'Product Naming'!$A$1:$P$58,3,FALSE)</f>
        <v>Benzoate (PW1)</v>
      </c>
      <c r="U85" s="1" t="str">
        <f>VLOOKUP($E85,'Product Naming'!$A$1:$P$58,4,FALSE)</f>
        <v>A</v>
      </c>
      <c r="V85" s="1" t="str">
        <f>VLOOKUP($E85,'Product Naming'!$A$1:$P$58,5,FALSE)</f>
        <v>C7H5O2</v>
      </c>
      <c r="W85" s="1">
        <f>VLOOKUP($E85,'Product Naming'!$A$1:$P$58,6,FALSE)</f>
        <v>7</v>
      </c>
      <c r="X85" s="1">
        <f>VLOOKUP($E85,'Product Naming'!$A$1:$P$58,7,FALSE)</f>
        <v>5</v>
      </c>
      <c r="Y85" s="1">
        <f>VLOOKUP($E85,'Product Naming'!$A$1:$P$58,8,FALSE)</f>
        <v>2</v>
      </c>
      <c r="Z85" s="1">
        <f>VLOOKUP($E85,'Product Naming'!$A$1:$P$58,9,FALSE)</f>
        <v>0</v>
      </c>
      <c r="AA85" s="1">
        <f>VLOOKUP($E85,'Product Naming'!$A$1:$P$58,10,FALSE)</f>
        <v>-1</v>
      </c>
      <c r="AB85" s="29">
        <f>VLOOKUP($E85,'Product Naming'!$A$1:$P$58,11,FALSE)</f>
        <v>4.1428571428571432</v>
      </c>
      <c r="AC85" s="3">
        <f>VLOOKUP($E85,'Product Naming'!$A$1:$P$58,12,FALSE)</f>
        <v>121.1121</v>
      </c>
      <c r="AD85" s="1">
        <f>VLOOKUP($E85,'Product Naming'!$A$1:$P$58,13,FALSE)</f>
        <v>249.2</v>
      </c>
      <c r="AE85" s="1" t="str">
        <f>VLOOKUP($E85,'Product Naming'!$A$1:$P$58,14,FALSE)</f>
        <v>Aromatic + Carboxylate</v>
      </c>
      <c r="AF85" s="1" t="str">
        <f>VLOOKUP($E85,'Product Naming'!$A$1:$P$58,15,FALSE)</f>
        <v>E4P + aKG</v>
      </c>
      <c r="AG85" s="30" t="str">
        <f>VLOOKUP($E85,'Product Naming'!$A$1:$P$58,16,FALSE)</f>
        <v>Proton symporter</v>
      </c>
      <c r="AH85" s="3" t="str">
        <f>VLOOKUP($E85,'Product Naming'!$A$1:$Q$58,17,FALSE)</f>
        <v>bz_c</v>
      </c>
      <c r="AI85" s="1">
        <f>VLOOKUP($E85,'Product Parameters'!$A$2:$D$59,2,FALSE)</f>
        <v>1</v>
      </c>
      <c r="AJ85" s="1">
        <f>VLOOKUP($E85,'Product Parameters'!$A$2:$D$59,3,FALSE)</f>
        <v>0</v>
      </c>
      <c r="AK85" s="1">
        <f>VLOOKUP($E85,'Product Parameters'!$A$2:$D$59,4,FALSE)</f>
        <v>0.12</v>
      </c>
      <c r="AL85" s="1">
        <f>VLOOKUP($E85,'Product Parameters'!$A$2:$E$59,5,FALSE)</f>
        <v>40.65</v>
      </c>
      <c r="AM85" s="1">
        <f>VLOOKUP($E85,'Product Parameters'!$A$2:$F$59,6,FALSE)</f>
        <v>7</v>
      </c>
      <c r="AN85" s="1">
        <f>VLOOKUP($C85,'Substrate Heating'!$A$2:$C$33,3,FALSE)</f>
        <v>247.59097</v>
      </c>
      <c r="AO85" s="1">
        <f>VLOOKUP($C85,'Substrate Heating'!$A$2:$B$33,2,FALSE)</f>
        <v>5.5</v>
      </c>
      <c r="AP85" s="1">
        <f>VLOOKUP($C85,'Substrate Heating'!$A$2:$M$33,13,FALSE)</f>
        <v>1</v>
      </c>
      <c r="AQ85" s="1">
        <f>VLOOKUP($C85,'Substrate Heating'!$A$2:$M$33,8,FALSE)</f>
        <v>1</v>
      </c>
      <c r="AR85" s="1">
        <f t="shared" si="1"/>
        <v>0.139348837209302</v>
      </c>
    </row>
    <row r="86" spans="1:44" x14ac:dyDescent="0.2">
      <c r="A86" s="17" t="s">
        <v>231</v>
      </c>
      <c r="B86" s="9" t="s">
        <v>35</v>
      </c>
      <c r="C86" t="s">
        <v>337</v>
      </c>
      <c r="D86" s="23" t="s">
        <v>338</v>
      </c>
      <c r="E86" t="s">
        <v>232</v>
      </c>
      <c r="F86" t="s">
        <v>233</v>
      </c>
      <c r="G86">
        <v>-10</v>
      </c>
      <c r="H86">
        <v>-20</v>
      </c>
      <c r="I86" s="1" t="s">
        <v>40</v>
      </c>
      <c r="J86">
        <v>3.15</v>
      </c>
      <c r="K86">
        <v>-10</v>
      </c>
      <c r="L86">
        <v>-2.33979591836734</v>
      </c>
      <c r="M86" s="1" t="s">
        <v>40</v>
      </c>
      <c r="N86">
        <v>8.3071428571428498</v>
      </c>
      <c r="O86">
        <v>0.24183673469387701</v>
      </c>
      <c r="P86"/>
      <c r="Q86">
        <v>2.4183673469387702E-2</v>
      </c>
      <c r="R86">
        <v>5.26446526600629E-2</v>
      </c>
      <c r="S86" s="1" t="str">
        <f>VLOOKUP($E86,'Product Naming'!$A$1:$P$58,2,FALSE)</f>
        <v>Heptane</v>
      </c>
      <c r="T86" s="1" t="str">
        <f>VLOOKUP($E86,'Product Naming'!$A$1:$P$58,3,FALSE)</f>
        <v>Heptane</v>
      </c>
      <c r="U86" s="1" t="str">
        <f>VLOOKUP($E86,'Product Naming'!$A$1:$P$58,4,FALSE)</f>
        <v>E</v>
      </c>
      <c r="V86" s="1" t="str">
        <f>VLOOKUP($E86,'Product Naming'!$A$1:$P$58,5,FALSE)</f>
        <v>C7H16</v>
      </c>
      <c r="W86" s="1">
        <f>VLOOKUP($E86,'Product Naming'!$A$1:$P$58,6,FALSE)</f>
        <v>7</v>
      </c>
      <c r="X86" s="1">
        <f>VLOOKUP($E86,'Product Naming'!$A$1:$P$58,7,FALSE)</f>
        <v>16</v>
      </c>
      <c r="Y86" s="1">
        <f>VLOOKUP($E86,'Product Naming'!$A$1:$P$58,8,FALSE)</f>
        <v>0</v>
      </c>
      <c r="Z86" s="1">
        <f>VLOOKUP($E86,'Product Naming'!$A$1:$P$58,9,FALSE)</f>
        <v>0</v>
      </c>
      <c r="AA86" s="1">
        <f>VLOOKUP($E86,'Product Naming'!$A$1:$P$58,10,FALSE)</f>
        <v>0</v>
      </c>
      <c r="AB86" s="29">
        <f>VLOOKUP($E86,'Product Naming'!$A$1:$P$58,11,FALSE)</f>
        <v>6.2857142857142856</v>
      </c>
      <c r="AC86" s="3">
        <f>VLOOKUP($E86,'Product Naming'!$A$1:$P$58,12,FALSE)</f>
        <v>100.20034</v>
      </c>
      <c r="AD86" s="1">
        <f>VLOOKUP($E86,'Product Naming'!$A$1:$P$58,13,FALSE)</f>
        <v>98</v>
      </c>
      <c r="AE86" s="1" t="str">
        <f>VLOOKUP($E86,'Product Naming'!$A$1:$P$58,14,FALSE)</f>
        <v>Hydrocarbon (alkane)</v>
      </c>
      <c r="AF86" s="1" t="str">
        <f>VLOOKUP($E86,'Product Naming'!$A$1:$P$58,15,FALSE)</f>
        <v>Acetyl-CoA</v>
      </c>
      <c r="AG86" s="30" t="str">
        <f>VLOOKUP($E86,'Product Naming'!$A$1:$P$58,16,FALSE)</f>
        <v>Proton symporter</v>
      </c>
      <c r="AH86" s="3" t="str">
        <f>VLOOKUP($E86,'Product Naming'!$A$1:$Q$58,17,FALSE)</f>
        <v>hept_c</v>
      </c>
      <c r="AI86" s="1">
        <f>VLOOKUP($E86,'Product Parameters'!$A$2:$D$59,2,FALSE)</f>
        <v>1</v>
      </c>
      <c r="AJ86" s="1">
        <f>VLOOKUP($E86,'Product Parameters'!$A$2:$D$59,3,FALSE)</f>
        <v>0</v>
      </c>
      <c r="AK86" s="1">
        <f>VLOOKUP($E86,'Product Parameters'!$A$2:$D$59,4,FALSE)</f>
        <v>0.12</v>
      </c>
      <c r="AL86" s="1">
        <f>VLOOKUP($E86,'Product Parameters'!$A$2:$E$59,5,FALSE)</f>
        <v>36</v>
      </c>
      <c r="AM86" s="1">
        <f>VLOOKUP($E86,'Product Parameters'!$A$2:$F$59,6,FALSE)</f>
        <v>7</v>
      </c>
      <c r="AN86" s="1">
        <f>VLOOKUP($C86,'Substrate Heating'!$A$2:$C$33,3,FALSE)</f>
        <v>247.59097</v>
      </c>
      <c r="AO86" s="1">
        <f>VLOOKUP($C86,'Substrate Heating'!$A$2:$B$33,2,FALSE)</f>
        <v>5.5</v>
      </c>
      <c r="AP86" s="1">
        <f>VLOOKUP($C86,'Substrate Heating'!$A$2:$M$33,13,FALSE)</f>
        <v>1</v>
      </c>
      <c r="AQ86" s="1">
        <f>VLOOKUP($C86,'Substrate Heating'!$A$2:$M$33,8,FALSE)</f>
        <v>1</v>
      </c>
      <c r="AR86" s="1">
        <f t="shared" si="1"/>
        <v>0.1692857142857139</v>
      </c>
    </row>
    <row r="87" spans="1:44" x14ac:dyDescent="0.2">
      <c r="A87" s="17" t="s">
        <v>323</v>
      </c>
      <c r="B87" s="18" t="s">
        <v>324</v>
      </c>
      <c r="C87" t="s">
        <v>333</v>
      </c>
      <c r="D87" s="19" t="s">
        <v>326</v>
      </c>
      <c r="E87" t="s">
        <v>108</v>
      </c>
      <c r="F87" t="s">
        <v>109</v>
      </c>
      <c r="G87">
        <v>-10</v>
      </c>
      <c r="H87">
        <v>0</v>
      </c>
      <c r="I87">
        <v>0</v>
      </c>
      <c r="J87">
        <v>0.45</v>
      </c>
      <c r="K87">
        <v>-10</v>
      </c>
      <c r="L87">
        <v>0</v>
      </c>
      <c r="M87">
        <v>0</v>
      </c>
      <c r="N87">
        <v>5.3042654028436003</v>
      </c>
      <c r="O87">
        <v>0.202843601895735</v>
      </c>
      <c r="P87"/>
      <c r="Q87">
        <v>2.0284360189574E-2</v>
      </c>
      <c r="R87">
        <v>5.2946615106191003E-2</v>
      </c>
      <c r="S87" s="1" t="str">
        <f>VLOOKUP($E87,'Product Naming'!$A$1:$P$58,2,FALSE)</f>
        <v>4-Hydroxystyrene</v>
      </c>
      <c r="T87" s="1" t="str">
        <f>VLOOKUP($E87,'Product Naming'!$A$1:$P$58,3,FALSE)</f>
        <v>4-Hydroxystyrene</v>
      </c>
      <c r="U87" s="1" t="str">
        <f>VLOOKUP($E87,'Product Naming'!$A$1:$P$58,4,FALSE)</f>
        <v>E</v>
      </c>
      <c r="V87" s="1" t="str">
        <f>VLOOKUP($E87,'Product Naming'!$A$1:$P$58,5,FALSE)</f>
        <v>C8H8O</v>
      </c>
      <c r="W87" s="1">
        <f>VLOOKUP($E87,'Product Naming'!$A$1:$P$58,6,FALSE)</f>
        <v>8</v>
      </c>
      <c r="X87" s="1">
        <f>VLOOKUP($E87,'Product Naming'!$A$1:$P$58,7,FALSE)</f>
        <v>8</v>
      </c>
      <c r="Y87" s="1">
        <f>VLOOKUP($E87,'Product Naming'!$A$1:$P$58,8,FALSE)</f>
        <v>1</v>
      </c>
      <c r="Z87" s="1">
        <f>VLOOKUP($E87,'Product Naming'!$A$1:$P$58,9,FALSE)</f>
        <v>0</v>
      </c>
      <c r="AA87" s="1">
        <f>VLOOKUP($E87,'Product Naming'!$A$1:$P$58,10,FALSE)</f>
        <v>0</v>
      </c>
      <c r="AB87" s="29">
        <f>VLOOKUP($E87,'Product Naming'!$A$1:$P$58,11,FALSE)</f>
        <v>4.75</v>
      </c>
      <c r="AC87" s="3">
        <f>VLOOKUP($E87,'Product Naming'!$A$1:$P$58,12,FALSE)</f>
        <v>120.14731999999999</v>
      </c>
      <c r="AD87" s="1">
        <f>VLOOKUP($E87,'Product Naming'!$A$1:$P$58,13,FALSE)</f>
        <v>229</v>
      </c>
      <c r="AE87" s="1" t="str">
        <f>VLOOKUP($E87,'Product Naming'!$A$1:$P$58,14,FALSE)</f>
        <v>Aromatic + Alcohol</v>
      </c>
      <c r="AF87" s="1" t="str">
        <f>VLOOKUP($E87,'Product Naming'!$A$1:$P$58,15,FALSE)</f>
        <v>E4P + L-glutamate</v>
      </c>
      <c r="AG87" s="30" t="str">
        <f>VLOOKUP($E87,'Product Naming'!$A$1:$P$58,16,FALSE)</f>
        <v>Proton symporter</v>
      </c>
      <c r="AH87" s="3" t="str">
        <f>VLOOKUP($E87,'Product Naming'!$A$1:$Q$58,17,FALSE)</f>
        <v>4hxst_c</v>
      </c>
      <c r="AI87" s="1">
        <f>VLOOKUP($E87,'Product Parameters'!$A$2:$D$59,2,FALSE)</f>
        <v>1</v>
      </c>
      <c r="AJ87" s="1">
        <f>VLOOKUP($E87,'Product Parameters'!$A$2:$D$59,3,FALSE)</f>
        <v>0</v>
      </c>
      <c r="AK87" s="1">
        <f>VLOOKUP($E87,'Product Parameters'!$A$2:$D$59,4,FALSE)</f>
        <v>0.12</v>
      </c>
      <c r="AL87" s="1">
        <f>VLOOKUP($E87,'Product Parameters'!$A$2:$E$59,5,FALSE)</f>
        <v>40.65</v>
      </c>
      <c r="AM87" s="1">
        <f>VLOOKUP($E87,'Product Parameters'!$A$2:$F$59,6,FALSE)</f>
        <v>8</v>
      </c>
      <c r="AN87" s="1">
        <f>VLOOKUP($C87,'Substrate Heating'!$A$2:$C$33,3,FALSE)</f>
        <v>247.59097</v>
      </c>
      <c r="AO87" s="1">
        <f>VLOOKUP($C87,'Substrate Heating'!$A$2:$B$33,2,FALSE)</f>
        <v>5.5</v>
      </c>
      <c r="AP87" s="1">
        <f>VLOOKUP($C87,'Substrate Heating'!$A$2:$M$33,13,FALSE)</f>
        <v>1</v>
      </c>
      <c r="AQ87" s="1">
        <f>VLOOKUP($C87,'Substrate Heating'!$A$2:$M$33,8,FALSE)</f>
        <v>1</v>
      </c>
      <c r="AR87" s="1">
        <f t="shared" si="1"/>
        <v>0.162274881516592</v>
      </c>
    </row>
    <row r="88" spans="1:44" x14ac:dyDescent="0.2">
      <c r="A88" s="17" t="s">
        <v>231</v>
      </c>
      <c r="B88" s="9" t="s">
        <v>35</v>
      </c>
      <c r="C88" t="s">
        <v>337</v>
      </c>
      <c r="D88" s="23" t="s">
        <v>338</v>
      </c>
      <c r="E88" t="s">
        <v>279</v>
      </c>
      <c r="F88" t="s">
        <v>280</v>
      </c>
      <c r="G88">
        <v>-10</v>
      </c>
      <c r="H88">
        <v>-20</v>
      </c>
      <c r="I88" s="1" t="s">
        <v>40</v>
      </c>
      <c r="J88">
        <v>3.15</v>
      </c>
      <c r="K88">
        <v>-10</v>
      </c>
      <c r="L88">
        <v>-2.33493975903616</v>
      </c>
      <c r="M88" s="1" t="s">
        <v>40</v>
      </c>
      <c r="N88">
        <v>8.2867469879517905</v>
      </c>
      <c r="O88">
        <v>0.190361445783129</v>
      </c>
      <c r="P88"/>
      <c r="Q88">
        <v>1.9036144578313E-2</v>
      </c>
      <c r="R88">
        <v>5.30407510431729E-2</v>
      </c>
      <c r="S88" s="1" t="str">
        <f>VLOOKUP($E88,'Product Naming'!$A$1:$P$58,2,FALSE)</f>
        <v>Nonane</v>
      </c>
      <c r="T88" s="1" t="str">
        <f>VLOOKUP($E88,'Product Naming'!$A$1:$P$58,3,FALSE)</f>
        <v>Nonane</v>
      </c>
      <c r="U88" s="1" t="str">
        <f>VLOOKUP($E88,'Product Naming'!$A$1:$P$58,4,FALSE)</f>
        <v>E</v>
      </c>
      <c r="V88" s="1" t="str">
        <f>VLOOKUP($E88,'Product Naming'!$A$1:$P$58,5,FALSE)</f>
        <v>C9H20</v>
      </c>
      <c r="W88" s="1">
        <f>VLOOKUP($E88,'Product Naming'!$A$1:$P$58,6,FALSE)</f>
        <v>9</v>
      </c>
      <c r="X88" s="1">
        <f>VLOOKUP($E88,'Product Naming'!$A$1:$P$58,7,FALSE)</f>
        <v>20</v>
      </c>
      <c r="Y88" s="1">
        <f>VLOOKUP($E88,'Product Naming'!$A$1:$P$58,8,FALSE)</f>
        <v>0</v>
      </c>
      <c r="Z88" s="1">
        <f>VLOOKUP($E88,'Product Naming'!$A$1:$P$58,9,FALSE)</f>
        <v>0</v>
      </c>
      <c r="AA88" s="1">
        <f>VLOOKUP($E88,'Product Naming'!$A$1:$P$58,10,FALSE)</f>
        <v>0</v>
      </c>
      <c r="AB88" s="29">
        <f>VLOOKUP($E88,'Product Naming'!$A$1:$P$58,11,FALSE)</f>
        <v>6.2222222222222223</v>
      </c>
      <c r="AC88" s="3">
        <f>VLOOKUP($E88,'Product Naming'!$A$1:$P$58,12,FALSE)</f>
        <v>128.25309999999999</v>
      </c>
      <c r="AD88" s="1">
        <f>VLOOKUP($E88,'Product Naming'!$A$1:$P$58,13,FALSE)</f>
        <v>151</v>
      </c>
      <c r="AE88" s="1" t="str">
        <f>VLOOKUP($E88,'Product Naming'!$A$1:$P$58,14,FALSE)</f>
        <v>Hydrocarbon (alkane)</v>
      </c>
      <c r="AF88" s="1" t="str">
        <f>VLOOKUP($E88,'Product Naming'!$A$1:$P$58,15,FALSE)</f>
        <v>Acetyl-CoA</v>
      </c>
      <c r="AG88" s="30" t="str">
        <f>VLOOKUP($E88,'Product Naming'!$A$1:$P$58,16,FALSE)</f>
        <v>Proton symporter</v>
      </c>
      <c r="AH88" s="3" t="str">
        <f>VLOOKUP($E88,'Product Naming'!$A$1:$Q$58,17,FALSE)</f>
        <v>nonan_c</v>
      </c>
      <c r="AI88" s="1">
        <f>VLOOKUP($E88,'Product Parameters'!$A$2:$D$59,2,FALSE)</f>
        <v>1</v>
      </c>
      <c r="AJ88" s="1">
        <f>VLOOKUP($E88,'Product Parameters'!$A$2:$D$59,3,FALSE)</f>
        <v>0</v>
      </c>
      <c r="AK88" s="1">
        <f>VLOOKUP($E88,'Product Parameters'!$A$2:$D$59,4,FALSE)</f>
        <v>0.12</v>
      </c>
      <c r="AL88" s="1">
        <f>VLOOKUP($E88,'Product Parameters'!$A$2:$E$59,5,FALSE)</f>
        <v>46.5</v>
      </c>
      <c r="AM88" s="1">
        <f>VLOOKUP($E88,'Product Parameters'!$A$2:$F$59,6,FALSE)</f>
        <v>9</v>
      </c>
      <c r="AN88" s="1">
        <f>VLOOKUP($C88,'Substrate Heating'!$A$2:$C$33,3,FALSE)</f>
        <v>247.59097</v>
      </c>
      <c r="AO88" s="1">
        <f>VLOOKUP($C88,'Substrate Heating'!$A$2:$B$33,2,FALSE)</f>
        <v>5.5</v>
      </c>
      <c r="AP88" s="1">
        <f>VLOOKUP($C88,'Substrate Heating'!$A$2:$M$33,13,FALSE)</f>
        <v>1</v>
      </c>
      <c r="AQ88" s="1">
        <f>VLOOKUP($C88,'Substrate Heating'!$A$2:$M$33,8,FALSE)</f>
        <v>1</v>
      </c>
      <c r="AR88" s="1">
        <f t="shared" si="1"/>
        <v>0.17132530120481698</v>
      </c>
    </row>
    <row r="89" spans="1:44" x14ac:dyDescent="0.2">
      <c r="A89" s="8" t="s">
        <v>34</v>
      </c>
      <c r="B89" s="9" t="s">
        <v>35</v>
      </c>
      <c r="C89" s="1" t="s">
        <v>339</v>
      </c>
      <c r="D89" s="23" t="s">
        <v>338</v>
      </c>
      <c r="E89" s="1" t="s">
        <v>164</v>
      </c>
      <c r="F89" s="1" t="s">
        <v>165</v>
      </c>
      <c r="G89" s="1">
        <v>-10</v>
      </c>
      <c r="H89" s="1">
        <v>-20</v>
      </c>
      <c r="I89" s="1" t="s">
        <v>40</v>
      </c>
      <c r="J89" s="1">
        <v>3.15</v>
      </c>
      <c r="K89" s="1">
        <v>-10</v>
      </c>
      <c r="L89" s="1">
        <v>-3.0111888111888101</v>
      </c>
      <c r="M89" s="1" t="s">
        <v>40</v>
      </c>
      <c r="N89" s="1">
        <v>8.6741258741258793</v>
      </c>
      <c r="O89" s="1">
        <v>0.331468531468531</v>
      </c>
      <c r="Q89" s="1">
        <v>3.3146853146853103E-2</v>
      </c>
      <c r="R89" s="1">
        <v>5.3375466756508498E-2</v>
      </c>
      <c r="S89" s="1" t="str">
        <f>VLOOKUP($E89,'Product Naming'!$A$1:$P$58,2,FALSE)</f>
        <v>Butanol-PW1</v>
      </c>
      <c r="T89" s="1" t="str">
        <f>VLOOKUP($E89,'Product Naming'!$A$1:$P$58,3,FALSE)</f>
        <v>Butanol (PW1)</v>
      </c>
      <c r="U89" s="1" t="str">
        <f>VLOOKUP($E89,'Product Naming'!$A$1:$P$58,4,FALSE)</f>
        <v>E</v>
      </c>
      <c r="V89" s="1" t="str">
        <f>VLOOKUP($E89,'Product Naming'!$A$1:$P$58,5,FALSE)</f>
        <v>C4H10O</v>
      </c>
      <c r="W89" s="1">
        <f>VLOOKUP($E89,'Product Naming'!$A$1:$P$58,6,FALSE)</f>
        <v>4</v>
      </c>
      <c r="X89" s="1">
        <f>VLOOKUP($E89,'Product Naming'!$A$1:$P$58,7,FALSE)</f>
        <v>10</v>
      </c>
      <c r="Y89" s="1">
        <f>VLOOKUP($E89,'Product Naming'!$A$1:$P$58,8,FALSE)</f>
        <v>1</v>
      </c>
      <c r="Z89" s="1">
        <f>VLOOKUP($E89,'Product Naming'!$A$1:$P$58,9,FALSE)</f>
        <v>0</v>
      </c>
      <c r="AA89" s="1">
        <f>VLOOKUP($E89,'Product Naming'!$A$1:$P$58,10,FALSE)</f>
        <v>0</v>
      </c>
      <c r="AB89" s="29">
        <f>VLOOKUP($E89,'Product Naming'!$A$1:$P$58,11,FALSE)</f>
        <v>6</v>
      </c>
      <c r="AC89" s="3">
        <f>VLOOKUP($E89,'Product Naming'!$A$1:$P$58,12,FALSE)</f>
        <v>74.120199999999997</v>
      </c>
      <c r="AD89" s="1">
        <f>VLOOKUP($E89,'Product Naming'!$A$1:$P$58,13,FALSE)</f>
        <v>117.7</v>
      </c>
      <c r="AE89" s="1" t="str">
        <f>VLOOKUP($E89,'Product Naming'!$A$1:$P$58,14,FALSE)</f>
        <v>Alcohol</v>
      </c>
      <c r="AF89" s="1" t="str">
        <f>VLOOKUP($E89,'Product Naming'!$A$1:$P$58,15,FALSE)</f>
        <v>Acetyl-CoA</v>
      </c>
      <c r="AG89" s="30" t="str">
        <f>VLOOKUP($E89,'Product Naming'!$A$1:$P$58,16,FALSE)</f>
        <v>Proton symporter</v>
      </c>
      <c r="AH89" s="3" t="str">
        <f>VLOOKUP($E89,'Product Naming'!$A$1:$Q$58,17,FALSE)</f>
        <v>btoh_c</v>
      </c>
      <c r="AI89" s="1">
        <f>VLOOKUP($E89,'Product Parameters'!$A$2:$D$59,2,FALSE)</f>
        <v>1</v>
      </c>
      <c r="AJ89" s="1">
        <f>VLOOKUP($E89,'Product Parameters'!$A$2:$D$59,3,FALSE)</f>
        <v>0</v>
      </c>
      <c r="AK89" s="1">
        <f>VLOOKUP($E89,'Product Parameters'!$A$2:$D$59,4,FALSE)</f>
        <v>0.12</v>
      </c>
      <c r="AL89" s="1">
        <f>VLOOKUP($E89,'Product Parameters'!$A$2:$E$59,5,FALSE)</f>
        <v>52</v>
      </c>
      <c r="AM89" s="1">
        <f>VLOOKUP($E89,'Product Parameters'!$A$2:$F$59,6,FALSE)</f>
        <v>4</v>
      </c>
      <c r="AN89" s="1">
        <f>VLOOKUP($C89,'Substrate Heating'!$A$2:$C$33,3,FALSE)</f>
        <v>247.59097</v>
      </c>
      <c r="AO89" s="1">
        <f>VLOOKUP($C89,'Substrate Heating'!$A$2:$B$33,2,FALSE)</f>
        <v>5.5</v>
      </c>
      <c r="AP89" s="1">
        <f>VLOOKUP($C89,'Substrate Heating'!$A$2:$M$33,13,FALSE)</f>
        <v>1</v>
      </c>
      <c r="AQ89" s="1">
        <f>VLOOKUP($C89,'Substrate Heating'!$A$2:$M$33,8,FALSE)</f>
        <v>1</v>
      </c>
      <c r="AR89" s="1">
        <f t="shared" si="1"/>
        <v>0.13258741258741241</v>
      </c>
    </row>
    <row r="90" spans="1:44" x14ac:dyDescent="0.2">
      <c r="A90" s="8" t="s">
        <v>34</v>
      </c>
      <c r="B90" s="9" t="s">
        <v>35</v>
      </c>
      <c r="C90" s="1" t="s">
        <v>337</v>
      </c>
      <c r="D90" s="23" t="s">
        <v>338</v>
      </c>
      <c r="E90" s="1" t="s">
        <v>247</v>
      </c>
      <c r="F90" s="1" t="s">
        <v>248</v>
      </c>
      <c r="G90" s="1">
        <v>-10</v>
      </c>
      <c r="H90" s="1">
        <v>-20</v>
      </c>
      <c r="I90" s="1" t="s">
        <v>40</v>
      </c>
      <c r="J90" s="1">
        <v>3.15</v>
      </c>
      <c r="K90" s="1">
        <v>-10</v>
      </c>
      <c r="L90" s="1">
        <v>-2.4671755725190798</v>
      </c>
      <c r="M90" s="1" t="s">
        <v>40</v>
      </c>
      <c r="N90" s="1">
        <v>8.1908396946564892</v>
      </c>
      <c r="O90" s="1">
        <v>0.36183206106870303</v>
      </c>
      <c r="Q90" s="1">
        <v>3.61832061068703E-2</v>
      </c>
      <c r="R90" s="1">
        <v>5.35451802205738E-2</v>
      </c>
      <c r="S90" s="1" t="str">
        <f>VLOOKUP($E90,'Product Naming'!$A$1:$P$58,2,FALSE)</f>
        <v>Isoprene</v>
      </c>
      <c r="T90" s="1" t="str">
        <f>VLOOKUP($E90,'Product Naming'!$A$1:$P$58,3,FALSE)</f>
        <v>Isoprene</v>
      </c>
      <c r="U90" s="1" t="str">
        <f>VLOOKUP($E90,'Product Naming'!$A$1:$P$58,4,FALSE)</f>
        <v>E</v>
      </c>
      <c r="V90" s="1" t="str">
        <f>VLOOKUP($E90,'Product Naming'!$A$1:$P$58,5,FALSE)</f>
        <v>C5H8</v>
      </c>
      <c r="W90" s="1">
        <f>VLOOKUP($E90,'Product Naming'!$A$1:$P$58,6,FALSE)</f>
        <v>5</v>
      </c>
      <c r="X90" s="1">
        <f>VLOOKUP($E90,'Product Naming'!$A$1:$P$58,7,FALSE)</f>
        <v>8</v>
      </c>
      <c r="Y90" s="1">
        <f>VLOOKUP($E90,'Product Naming'!$A$1:$P$58,8,FALSE)</f>
        <v>0</v>
      </c>
      <c r="Z90" s="1">
        <f>VLOOKUP($E90,'Product Naming'!$A$1:$P$58,9,FALSE)</f>
        <v>0</v>
      </c>
      <c r="AA90" s="1">
        <f>VLOOKUP($E90,'Product Naming'!$A$1:$P$58,10,FALSE)</f>
        <v>0</v>
      </c>
      <c r="AB90" s="29">
        <f>VLOOKUP($E90,'Product Naming'!$A$1:$P$58,11,FALSE)</f>
        <v>5.6</v>
      </c>
      <c r="AC90" s="3">
        <f>VLOOKUP($E90,'Product Naming'!$A$1:$P$58,12,FALSE)</f>
        <v>68.116219999999998</v>
      </c>
      <c r="AD90" s="1">
        <f>VLOOKUP($E90,'Product Naming'!$A$1:$P$58,13,FALSE)</f>
        <v>34.07</v>
      </c>
      <c r="AE90" s="1" t="str">
        <f>VLOOKUP($E90,'Product Naming'!$A$1:$P$58,14,FALSE)</f>
        <v>Hydrocarbon</v>
      </c>
      <c r="AF90" s="1" t="str">
        <f>VLOOKUP($E90,'Product Naming'!$A$1:$P$58,15,FALSE)</f>
        <v>Acetyl-CoA</v>
      </c>
      <c r="AG90" s="30" t="str">
        <f>VLOOKUP($E90,'Product Naming'!$A$1:$P$58,16,FALSE)</f>
        <v>Diffusion</v>
      </c>
      <c r="AH90" s="3" t="str">
        <f>VLOOKUP($E90,'Product Naming'!$A$1:$Q$58,17,FALSE)</f>
        <v>iprene_c</v>
      </c>
      <c r="AI90" s="1">
        <f>VLOOKUP($E90,'Product Parameters'!$A$2:$D$59,2,FALSE)</f>
        <v>0</v>
      </c>
      <c r="AJ90" s="1">
        <f>VLOOKUP($E90,'Product Parameters'!$A$2:$D$59,3,FALSE)</f>
        <v>1</v>
      </c>
      <c r="AK90" s="1">
        <f>VLOOKUP($E90,'Product Parameters'!$A$2:$D$59,4,FALSE)</f>
        <v>0.12</v>
      </c>
      <c r="AL90" s="1">
        <f>VLOOKUP($E90,'Product Parameters'!$A$2:$E$59,5,FALSE)</f>
        <v>26.4</v>
      </c>
      <c r="AM90" s="1">
        <f>VLOOKUP($E90,'Product Parameters'!$A$2:$F$59,6,FALSE)</f>
        <v>5</v>
      </c>
      <c r="AN90" s="1">
        <f>VLOOKUP($C90,'Substrate Heating'!$A$2:$C$33,3,FALSE)</f>
        <v>247.59097</v>
      </c>
      <c r="AO90" s="1">
        <f>VLOOKUP($C90,'Substrate Heating'!$A$2:$B$33,2,FALSE)</f>
        <v>5.5</v>
      </c>
      <c r="AP90" s="1">
        <f>VLOOKUP($C90,'Substrate Heating'!$A$2:$M$33,13,FALSE)</f>
        <v>1</v>
      </c>
      <c r="AQ90" s="1">
        <f>VLOOKUP($C90,'Substrate Heating'!$A$2:$M$33,8,FALSE)</f>
        <v>1</v>
      </c>
      <c r="AR90" s="1">
        <f t="shared" si="1"/>
        <v>0.18091603053435151</v>
      </c>
    </row>
    <row r="91" spans="1:44" x14ac:dyDescent="0.2">
      <c r="A91" s="8" t="s">
        <v>34</v>
      </c>
      <c r="B91" s="9" t="s">
        <v>35</v>
      </c>
      <c r="C91" s="1" t="s">
        <v>337</v>
      </c>
      <c r="D91" s="23" t="s">
        <v>338</v>
      </c>
      <c r="E91" s="1" t="s">
        <v>204</v>
      </c>
      <c r="F91" s="1" t="s">
        <v>205</v>
      </c>
      <c r="G91" s="1">
        <v>-10</v>
      </c>
      <c r="H91" s="1">
        <v>-20</v>
      </c>
      <c r="I91" s="1" t="s">
        <v>40</v>
      </c>
      <c r="J91" s="1">
        <v>3.15</v>
      </c>
      <c r="K91" s="1">
        <v>-10</v>
      </c>
      <c r="L91" s="1">
        <v>-2.4607142857142801</v>
      </c>
      <c r="M91" s="1" t="s">
        <v>40</v>
      </c>
      <c r="N91" s="1">
        <v>8.1862244897959204</v>
      </c>
      <c r="O91" s="1">
        <v>0.120918367346939</v>
      </c>
      <c r="Q91" s="1">
        <v>1.2091836734693899E-2</v>
      </c>
      <c r="R91" s="1">
        <v>5.3681775068075102E-2</v>
      </c>
      <c r="S91" s="1" t="str">
        <f>VLOOKUP($E91,'Product Naming'!$A$1:$P$58,2,FALSE)</f>
        <v>Farnesene</v>
      </c>
      <c r="T91" s="1" t="str">
        <f>VLOOKUP($E91,'Product Naming'!$A$1:$P$58,3,FALSE)</f>
        <v>Farnesene</v>
      </c>
      <c r="U91" s="1" t="str">
        <f>VLOOKUP($E91,'Product Naming'!$A$1:$P$58,4,FALSE)</f>
        <v>A</v>
      </c>
      <c r="V91" s="1" t="str">
        <f>VLOOKUP($E91,'Product Naming'!$A$1:$P$58,5,FALSE)</f>
        <v>C15H24</v>
      </c>
      <c r="W91" s="1">
        <f>VLOOKUP($E91,'Product Naming'!$A$1:$P$58,6,FALSE)</f>
        <v>15</v>
      </c>
      <c r="X91" s="1">
        <f>VLOOKUP($E91,'Product Naming'!$A$1:$P$58,7,FALSE)</f>
        <v>24</v>
      </c>
      <c r="Y91" s="1">
        <f>VLOOKUP($E91,'Product Naming'!$A$1:$P$58,8,FALSE)</f>
        <v>0</v>
      </c>
      <c r="Z91" s="1">
        <f>VLOOKUP($E91,'Product Naming'!$A$1:$P$58,9,FALSE)</f>
        <v>0</v>
      </c>
      <c r="AA91" s="1">
        <f>VLOOKUP($E91,'Product Naming'!$A$1:$P$58,10,FALSE)</f>
        <v>0</v>
      </c>
      <c r="AB91" s="29">
        <f>VLOOKUP($E91,'Product Naming'!$A$1:$P$58,11,FALSE)</f>
        <v>5.6</v>
      </c>
      <c r="AC91" s="3">
        <f>VLOOKUP($E91,'Product Naming'!$A$1:$P$58,12,FALSE)</f>
        <v>204.34866000000002</v>
      </c>
      <c r="AD91" s="1" t="str">
        <f>VLOOKUP($E91,'Product Naming'!$A$1:$P$58,13,FALSE)</f>
        <v>260 (A)/272 (B)</v>
      </c>
      <c r="AE91" s="1" t="str">
        <f>VLOOKUP($E91,'Product Naming'!$A$1:$P$58,14,FALSE)</f>
        <v>Hydrocarbon</v>
      </c>
      <c r="AF91" s="1" t="str">
        <f>VLOOKUP($E91,'Product Naming'!$A$1:$P$58,15,FALSE)</f>
        <v>Acetyl-CoA</v>
      </c>
      <c r="AG91" s="30" t="str">
        <f>VLOOKUP($E91,'Product Naming'!$A$1:$P$58,16,FALSE)</f>
        <v>Proton symporter</v>
      </c>
      <c r="AH91" s="3" t="str">
        <f>VLOOKUP($E91,'Product Naming'!$A$1:$Q$58,17,FALSE)</f>
        <v>frene_c</v>
      </c>
      <c r="AI91" s="1">
        <f>VLOOKUP($E91,'Product Parameters'!$A$2:$D$59,2,FALSE)</f>
        <v>1</v>
      </c>
      <c r="AJ91" s="1">
        <f>VLOOKUP($E91,'Product Parameters'!$A$2:$D$59,3,FALSE)</f>
        <v>0</v>
      </c>
      <c r="AK91" s="1">
        <f>VLOOKUP($E91,'Product Parameters'!$A$2:$D$59,4,FALSE)</f>
        <v>0.12</v>
      </c>
      <c r="AL91" s="1">
        <f>VLOOKUP($E91,'Product Parameters'!$A$2:$E$59,5,FALSE)</f>
        <v>0</v>
      </c>
      <c r="AM91" s="1">
        <f>VLOOKUP($E91,'Product Parameters'!$A$2:$F$59,6,FALSE)</f>
        <v>15</v>
      </c>
      <c r="AN91" s="1">
        <f>VLOOKUP($C91,'Substrate Heating'!$A$2:$C$33,3,FALSE)</f>
        <v>247.59097</v>
      </c>
      <c r="AO91" s="1">
        <f>VLOOKUP($C91,'Substrate Heating'!$A$2:$B$33,2,FALSE)</f>
        <v>5.5</v>
      </c>
      <c r="AP91" s="1">
        <f>VLOOKUP($C91,'Substrate Heating'!$A$2:$M$33,13,FALSE)</f>
        <v>1</v>
      </c>
      <c r="AQ91" s="1">
        <f>VLOOKUP($C91,'Substrate Heating'!$A$2:$M$33,8,FALSE)</f>
        <v>1</v>
      </c>
      <c r="AR91" s="1">
        <f t="shared" si="1"/>
        <v>0.18137755102040848</v>
      </c>
    </row>
    <row r="92" spans="1:44" x14ac:dyDescent="0.2">
      <c r="A92" s="17" t="s">
        <v>185</v>
      </c>
      <c r="B92" s="9" t="s">
        <v>35</v>
      </c>
      <c r="C92" t="s">
        <v>337</v>
      </c>
      <c r="D92" s="23" t="s">
        <v>338</v>
      </c>
      <c r="E92" t="s">
        <v>259</v>
      </c>
      <c r="F92" t="s">
        <v>260</v>
      </c>
      <c r="G92">
        <v>-10</v>
      </c>
      <c r="H92">
        <v>-20</v>
      </c>
      <c r="I92" s="1" t="s">
        <v>40</v>
      </c>
      <c r="J92">
        <v>3.15</v>
      </c>
      <c r="K92">
        <v>-10</v>
      </c>
      <c r="L92">
        <v>-2.4574712643678098</v>
      </c>
      <c r="M92" s="1" t="s">
        <v>40</v>
      </c>
      <c r="N92">
        <v>8.1839080459770095</v>
      </c>
      <c r="O92">
        <v>0.181609195402298</v>
      </c>
      <c r="P92"/>
      <c r="Q92">
        <v>1.8160919540229799E-2</v>
      </c>
      <c r="R92">
        <v>5.3750334167778697E-2</v>
      </c>
      <c r="S92" s="1" t="str">
        <f>VLOOKUP($E92,'Product Naming'!$A$1:$P$58,2,FALSE)</f>
        <v>Limonene</v>
      </c>
      <c r="T92" s="1" t="str">
        <f>VLOOKUP($E92,'Product Naming'!$A$1:$P$58,3,FALSE)</f>
        <v>Limonene</v>
      </c>
      <c r="U92" s="1" t="str">
        <f>VLOOKUP($E92,'Product Naming'!$A$1:$P$58,4,FALSE)</f>
        <v>E</v>
      </c>
      <c r="V92" s="1" t="str">
        <f>VLOOKUP($E92,'Product Naming'!$A$1:$P$58,5,FALSE)</f>
        <v>C10H16</v>
      </c>
      <c r="W92" s="1">
        <f>VLOOKUP($E92,'Product Naming'!$A$1:$P$58,6,FALSE)</f>
        <v>10</v>
      </c>
      <c r="X92" s="1">
        <f>VLOOKUP($E92,'Product Naming'!$A$1:$P$58,7,FALSE)</f>
        <v>16</v>
      </c>
      <c r="Y92" s="1">
        <f>VLOOKUP($E92,'Product Naming'!$A$1:$P$58,8,FALSE)</f>
        <v>0</v>
      </c>
      <c r="Z92" s="1">
        <f>VLOOKUP($E92,'Product Naming'!$A$1:$P$58,9,FALSE)</f>
        <v>0</v>
      </c>
      <c r="AA92" s="1">
        <f>VLOOKUP($E92,'Product Naming'!$A$1:$P$58,10,FALSE)</f>
        <v>0</v>
      </c>
      <c r="AB92" s="29">
        <f>VLOOKUP($E92,'Product Naming'!$A$1:$P$58,11,FALSE)</f>
        <v>5.6</v>
      </c>
      <c r="AC92" s="3">
        <f>VLOOKUP($E92,'Product Naming'!$A$1:$P$58,12,FALSE)</f>
        <v>136.23244</v>
      </c>
      <c r="AD92" s="1">
        <f>VLOOKUP($E92,'Product Naming'!$A$1:$P$58,13,FALSE)</f>
        <v>176</v>
      </c>
      <c r="AE92" s="1" t="str">
        <f>VLOOKUP($E92,'Product Naming'!$A$1:$P$58,14,FALSE)</f>
        <v>Isoprenoid; Aromatic (Cycloalkane)</v>
      </c>
      <c r="AF92" s="1" t="str">
        <f>VLOOKUP($E92,'Product Naming'!$A$1:$P$58,15,FALSE)</f>
        <v>Acetyl-CoA</v>
      </c>
      <c r="AG92" s="30" t="str">
        <f>VLOOKUP($E92,'Product Naming'!$A$1:$P$58,16,FALSE)</f>
        <v>Proton symporter</v>
      </c>
      <c r="AH92" s="3" t="str">
        <f>VLOOKUP($E92,'Product Naming'!$A$1:$Q$58,17,FALSE)</f>
        <v>limnen_c</v>
      </c>
      <c r="AI92" s="1">
        <f>VLOOKUP($E92,'Product Parameters'!$A$2:$D$59,2,FALSE)</f>
        <v>1</v>
      </c>
      <c r="AJ92" s="1">
        <f>VLOOKUP($E92,'Product Parameters'!$A$2:$D$59,3,FALSE)</f>
        <v>0</v>
      </c>
      <c r="AK92" s="1">
        <f>VLOOKUP($E92,'Product Parameters'!$A$2:$D$59,4,FALSE)</f>
        <v>0.12</v>
      </c>
      <c r="AL92" s="1">
        <f>VLOOKUP($E92,'Product Parameters'!$A$2:$E$59,5,FALSE)</f>
        <v>49.5</v>
      </c>
      <c r="AM92" s="1">
        <f>VLOOKUP($E92,'Product Parameters'!$A$2:$F$59,6,FALSE)</f>
        <v>10</v>
      </c>
      <c r="AN92" s="1">
        <f>VLOOKUP($C92,'Substrate Heating'!$A$2:$C$33,3,FALSE)</f>
        <v>247.59097</v>
      </c>
      <c r="AO92" s="1">
        <f>VLOOKUP($C92,'Substrate Heating'!$A$2:$B$33,2,FALSE)</f>
        <v>5.5</v>
      </c>
      <c r="AP92" s="1">
        <f>VLOOKUP($C92,'Substrate Heating'!$A$2:$M$33,13,FALSE)</f>
        <v>1</v>
      </c>
      <c r="AQ92" s="1">
        <f>VLOOKUP($C92,'Substrate Heating'!$A$2:$M$33,8,FALSE)</f>
        <v>1</v>
      </c>
      <c r="AR92" s="1">
        <f t="shared" si="1"/>
        <v>0.181609195402298</v>
      </c>
    </row>
    <row r="93" spans="1:44" x14ac:dyDescent="0.2">
      <c r="A93" s="8" t="s">
        <v>34</v>
      </c>
      <c r="B93" s="9" t="s">
        <v>35</v>
      </c>
      <c r="C93" s="1" t="s">
        <v>340</v>
      </c>
      <c r="D93" s="23" t="s">
        <v>338</v>
      </c>
      <c r="E93" s="1" t="s">
        <v>254</v>
      </c>
      <c r="F93" s="1" t="s">
        <v>255</v>
      </c>
      <c r="G93" s="1">
        <v>-10</v>
      </c>
      <c r="H93" s="1">
        <v>-20</v>
      </c>
      <c r="I93" s="1" t="s">
        <v>40</v>
      </c>
      <c r="J93" s="1">
        <v>3.15</v>
      </c>
      <c r="K93" s="1">
        <v>-10</v>
      </c>
      <c r="L93" s="1">
        <v>-4.1293877551020399</v>
      </c>
      <c r="M93" s="1" t="s">
        <v>40</v>
      </c>
      <c r="N93" s="1">
        <v>9.0326530612244902</v>
      </c>
      <c r="O93" s="1">
        <v>0.193469387755102</v>
      </c>
      <c r="Q93" s="1">
        <v>1.9346938775510199E-2</v>
      </c>
      <c r="R93" s="1">
        <v>5.3834327405293397E-2</v>
      </c>
      <c r="S93" s="1" t="str">
        <f>VLOOKUP($E93,'Product Naming'!$A$1:$P$58,2,FALSE)</f>
        <v>Itaconate</v>
      </c>
      <c r="T93" s="1" t="str">
        <f>VLOOKUP($E93,'Product Naming'!$A$1:$P$58,3,FALSE)</f>
        <v>Itaconate</v>
      </c>
      <c r="U93" s="1" t="str">
        <f>VLOOKUP($E93,'Product Naming'!$A$1:$P$58,4,FALSE)</f>
        <v>E</v>
      </c>
      <c r="V93" s="1" t="str">
        <f>VLOOKUP($E93,'Product Naming'!$A$1:$P$58,5,FALSE)</f>
        <v>C5H4O4</v>
      </c>
      <c r="W93" s="1">
        <f>VLOOKUP($E93,'Product Naming'!$A$1:$P$58,6,FALSE)</f>
        <v>5</v>
      </c>
      <c r="X93" s="1">
        <f>VLOOKUP($E93,'Product Naming'!$A$1:$P$58,7,FALSE)</f>
        <v>4</v>
      </c>
      <c r="Y93" s="1">
        <f>VLOOKUP($E93,'Product Naming'!$A$1:$P$58,8,FALSE)</f>
        <v>4</v>
      </c>
      <c r="Z93" s="1">
        <f>VLOOKUP($E93,'Product Naming'!$A$1:$P$58,9,FALSE)</f>
        <v>0</v>
      </c>
      <c r="AA93" s="1">
        <f>VLOOKUP($E93,'Product Naming'!$A$1:$P$58,10,FALSE)</f>
        <v>-2</v>
      </c>
      <c r="AB93" s="29">
        <f>VLOOKUP($E93,'Product Naming'!$A$1:$P$58,11,FALSE)</f>
        <v>3.2</v>
      </c>
      <c r="AC93" s="3">
        <f>VLOOKUP($E93,'Product Naming'!$A$1:$P$58,12,FALSE)</f>
        <v>128.08086</v>
      </c>
      <c r="AD93" s="1">
        <f>VLOOKUP($E93,'Product Naming'!$A$1:$P$58,13,FALSE)</f>
        <v>381</v>
      </c>
      <c r="AE93" s="1" t="str">
        <f>VLOOKUP($E93,'Product Naming'!$A$1:$P$58,14,FALSE)</f>
        <v>Dicarboxylate</v>
      </c>
      <c r="AF93" s="1" t="str">
        <f>VLOOKUP($E93,'Product Naming'!$A$1:$P$58,15,FALSE)</f>
        <v>Acetyl-CoA + Oxaloacetate</v>
      </c>
      <c r="AG93" s="30" t="str">
        <f>VLOOKUP($E93,'Product Naming'!$A$1:$P$58,16,FALSE)</f>
        <v>Proton symporter</v>
      </c>
      <c r="AH93" s="3" t="str">
        <f>VLOOKUP($E93,'Product Naming'!$A$1:$Q$58,17,FALSE)</f>
        <v>itacon_c</v>
      </c>
      <c r="AI93" s="1">
        <f>VLOOKUP($E93,'Product Parameters'!$A$2:$D$59,2,FALSE)</f>
        <v>1</v>
      </c>
      <c r="AJ93" s="1">
        <f>VLOOKUP($E93,'Product Parameters'!$A$2:$D$59,3,FALSE)</f>
        <v>0</v>
      </c>
      <c r="AK93" s="1">
        <f>VLOOKUP($E93,'Product Parameters'!$A$2:$D$59,4,FALSE)</f>
        <v>0.12</v>
      </c>
      <c r="AL93" s="1">
        <f>VLOOKUP($E93,'Product Parameters'!$A$2:$E$59,5,FALSE)</f>
        <v>40.65</v>
      </c>
      <c r="AM93" s="1">
        <f>VLOOKUP($E93,'Product Parameters'!$A$2:$F$59,6,FALSE)</f>
        <v>5</v>
      </c>
      <c r="AN93" s="1">
        <f>VLOOKUP($C93,'Substrate Heating'!$A$2:$C$33,3,FALSE)</f>
        <v>247.59097</v>
      </c>
      <c r="AO93" s="1">
        <f>VLOOKUP($C93,'Substrate Heating'!$A$2:$B$33,2,FALSE)</f>
        <v>5.5</v>
      </c>
      <c r="AP93" s="1">
        <f>VLOOKUP($C93,'Substrate Heating'!$A$2:$M$33,13,FALSE)</f>
        <v>1</v>
      </c>
      <c r="AQ93" s="1">
        <f>VLOOKUP($C93,'Substrate Heating'!$A$2:$M$33,8,FALSE)</f>
        <v>1</v>
      </c>
      <c r="AR93" s="1">
        <f t="shared" si="1"/>
        <v>9.6734693877550987E-2</v>
      </c>
    </row>
    <row r="94" spans="1:44" x14ac:dyDescent="0.2">
      <c r="A94" s="8" t="s">
        <v>34</v>
      </c>
      <c r="B94" s="9" t="s">
        <v>35</v>
      </c>
      <c r="C94" s="1" t="s">
        <v>337</v>
      </c>
      <c r="D94" s="23" t="s">
        <v>338</v>
      </c>
      <c r="E94" s="1" t="s">
        <v>313</v>
      </c>
      <c r="F94" s="1" t="s">
        <v>314</v>
      </c>
      <c r="G94" s="1">
        <v>-10</v>
      </c>
      <c r="H94" s="1">
        <v>-20</v>
      </c>
      <c r="I94" s="1" t="s">
        <v>40</v>
      </c>
      <c r="J94" s="1">
        <v>3.15</v>
      </c>
      <c r="K94" s="1">
        <v>-10</v>
      </c>
      <c r="L94" s="1">
        <v>-2.59390862944162</v>
      </c>
      <c r="M94" s="1" t="s">
        <v>40</v>
      </c>
      <c r="N94" s="1">
        <v>8.07512690355329</v>
      </c>
      <c r="O94" s="1">
        <v>0.240609137055837</v>
      </c>
      <c r="Q94" s="1">
        <v>2.4060913705583699E-2</v>
      </c>
      <c r="R94" s="1">
        <v>5.44411365751932E-2</v>
      </c>
      <c r="S94" s="1" t="str">
        <f>VLOOKUP($E94,'Product Naming'!$A$1:$P$58,2,FALSE)</f>
        <v>Styrene</v>
      </c>
      <c r="T94" s="1" t="str">
        <f>VLOOKUP($E94,'Product Naming'!$A$1:$P$58,3,FALSE)</f>
        <v>Styrene</v>
      </c>
      <c r="U94" s="1" t="str">
        <f>VLOOKUP($E94,'Product Naming'!$A$1:$P$58,4,FALSE)</f>
        <v>E-S</v>
      </c>
      <c r="V94" s="1" t="str">
        <f>VLOOKUP($E94,'Product Naming'!$A$1:$P$58,5,FALSE)</f>
        <v>C8H8</v>
      </c>
      <c r="W94" s="1">
        <f>VLOOKUP($E94,'Product Naming'!$A$1:$P$58,6,FALSE)</f>
        <v>8</v>
      </c>
      <c r="X94" s="1">
        <f>VLOOKUP($E94,'Product Naming'!$A$1:$P$58,7,FALSE)</f>
        <v>8</v>
      </c>
      <c r="Y94" s="1">
        <f>VLOOKUP($E94,'Product Naming'!$A$1:$P$58,8,FALSE)</f>
        <v>0</v>
      </c>
      <c r="Z94" s="1">
        <f>VLOOKUP($E94,'Product Naming'!$A$1:$P$58,9,FALSE)</f>
        <v>0</v>
      </c>
      <c r="AA94" s="1">
        <f>VLOOKUP($E94,'Product Naming'!$A$1:$P$58,10,FALSE)</f>
        <v>0</v>
      </c>
      <c r="AB94" s="29">
        <f>VLOOKUP($E94,'Product Naming'!$A$1:$P$58,11,FALSE)</f>
        <v>5</v>
      </c>
      <c r="AC94" s="3">
        <f>VLOOKUP($E94,'Product Naming'!$A$1:$P$58,12,FALSE)</f>
        <v>104.14832</v>
      </c>
      <c r="AD94" s="1">
        <f>VLOOKUP($E94,'Product Naming'!$A$1:$P$58,13,FALSE)</f>
        <v>145</v>
      </c>
      <c r="AE94" s="1" t="str">
        <f>VLOOKUP($E94,'Product Naming'!$A$1:$P$58,14,FALSE)</f>
        <v>Cycloalkane</v>
      </c>
      <c r="AF94" s="1" t="str">
        <f>VLOOKUP($E94,'Product Naming'!$A$1:$P$58,15,FALSE)</f>
        <v>E4P</v>
      </c>
      <c r="AG94" s="30" t="str">
        <f>VLOOKUP($E94,'Product Naming'!$A$1:$P$58,16,FALSE)</f>
        <v>Proton symporter</v>
      </c>
      <c r="AH94" s="3" t="str">
        <f>VLOOKUP($E94,'Product Naming'!$A$1:$Q$58,17,FALSE)</f>
        <v>styr_c</v>
      </c>
      <c r="AI94" s="1">
        <f>VLOOKUP($E94,'Product Parameters'!$A$2:$D$59,2,FALSE)</f>
        <v>1</v>
      </c>
      <c r="AJ94" s="1">
        <f>VLOOKUP($E94,'Product Parameters'!$A$2:$D$59,3,FALSE)</f>
        <v>0</v>
      </c>
      <c r="AK94" s="1">
        <f>VLOOKUP($E94,'Product Parameters'!$A$2:$D$59,4,FALSE)</f>
        <v>0.12</v>
      </c>
      <c r="AL94" s="1">
        <f>VLOOKUP($E94,'Product Parameters'!$A$2:$E$59,5,FALSE)</f>
        <v>43.9</v>
      </c>
      <c r="AM94" s="1">
        <f>VLOOKUP($E94,'Product Parameters'!$A$2:$F$59,6,FALSE)</f>
        <v>8</v>
      </c>
      <c r="AN94" s="1">
        <f>VLOOKUP($C94,'Substrate Heating'!$A$2:$C$33,3,FALSE)</f>
        <v>247.59097</v>
      </c>
      <c r="AO94" s="1">
        <f>VLOOKUP($C94,'Substrate Heating'!$A$2:$B$33,2,FALSE)</f>
        <v>5.5</v>
      </c>
      <c r="AP94" s="1">
        <f>VLOOKUP($C94,'Substrate Heating'!$A$2:$M$33,13,FALSE)</f>
        <v>1</v>
      </c>
      <c r="AQ94" s="1">
        <f>VLOOKUP($C94,'Substrate Heating'!$A$2:$M$33,8,FALSE)</f>
        <v>1</v>
      </c>
      <c r="AR94" s="1">
        <f t="shared" si="1"/>
        <v>0.19248730964466959</v>
      </c>
    </row>
    <row r="95" spans="1:44" x14ac:dyDescent="0.2">
      <c r="A95" s="8" t="s">
        <v>34</v>
      </c>
      <c r="B95" s="9" t="s">
        <v>35</v>
      </c>
      <c r="C95" s="1" t="s">
        <v>340</v>
      </c>
      <c r="D95" s="23" t="s">
        <v>338</v>
      </c>
      <c r="E95" s="1" t="s">
        <v>97</v>
      </c>
      <c r="F95" s="1" t="s">
        <v>98</v>
      </c>
      <c r="G95" s="1">
        <v>-10</v>
      </c>
      <c r="H95" s="1">
        <v>-20</v>
      </c>
      <c r="I95" s="1" t="s">
        <v>40</v>
      </c>
      <c r="J95" s="1">
        <v>3.15</v>
      </c>
      <c r="K95" s="1">
        <v>-10</v>
      </c>
      <c r="L95" s="1">
        <v>-4.30903790087463</v>
      </c>
      <c r="M95" s="1" t="s">
        <v>40</v>
      </c>
      <c r="N95" s="1">
        <v>9.0326530612244902</v>
      </c>
      <c r="O95" s="1">
        <v>0.13819241982507299</v>
      </c>
      <c r="Q95" s="1">
        <v>1.3819241982507301E-2</v>
      </c>
      <c r="R95" s="1">
        <v>5.4666364085353802E-2</v>
      </c>
      <c r="S95" s="1" t="str">
        <f>VLOOKUP($E95,'Product Naming'!$A$1:$P$58,2,FALSE)</f>
        <v>2-Pyrone-4-6-Dicarboxylate</v>
      </c>
      <c r="T95" s="1" t="str">
        <f>VLOOKUP($E95,'Product Naming'!$A$1:$P$58,3,FALSE)</f>
        <v>2-Pyrone 4,6-dicarboxylate</v>
      </c>
      <c r="U95" s="1" t="str">
        <f>VLOOKUP($E95,'Product Naming'!$A$1:$P$58,4,FALSE)</f>
        <v>A</v>
      </c>
      <c r="V95" s="1" t="str">
        <f>VLOOKUP($E95,'Product Naming'!$A$1:$P$58,5,FALSE)</f>
        <v>C7H2O6</v>
      </c>
      <c r="W95" s="1">
        <f>VLOOKUP($E95,'Product Naming'!$A$1:$P$58,6,FALSE)</f>
        <v>7</v>
      </c>
      <c r="X95" s="1">
        <f>VLOOKUP($E95,'Product Naming'!$A$1:$P$58,7,FALSE)</f>
        <v>2</v>
      </c>
      <c r="Y95" s="1">
        <f>VLOOKUP($E95,'Product Naming'!$A$1:$P$58,8,FALSE)</f>
        <v>6</v>
      </c>
      <c r="Z95" s="1">
        <f>VLOOKUP($E95,'Product Naming'!$A$1:$P$58,9,FALSE)</f>
        <v>0</v>
      </c>
      <c r="AA95" s="1">
        <f>VLOOKUP($E95,'Product Naming'!$A$1:$P$58,10,FALSE)</f>
        <v>-2</v>
      </c>
      <c r="AB95" s="29">
        <f>VLOOKUP($E95,'Product Naming'!$A$1:$P$58,11,FALSE)</f>
        <v>2.5714285714285716</v>
      </c>
      <c r="AC95" s="3">
        <f>VLOOKUP($E95,'Product Naming'!$A$1:$P$58,12,FALSE)</f>
        <v>182.08458000000002</v>
      </c>
      <c r="AD95" s="1">
        <f>VLOOKUP($E95,'Product Naming'!$A$1:$P$58,13,FALSE)</f>
        <v>355.5</v>
      </c>
      <c r="AE95" s="1" t="str">
        <f>VLOOKUP($E95,'Product Naming'!$A$1:$P$58,14,FALSE)</f>
        <v>Dicarboxylate</v>
      </c>
      <c r="AF95" s="1" t="str">
        <f>VLOOKUP($E95,'Product Naming'!$A$1:$P$58,15,FALSE)</f>
        <v>Glyceraldehyde 3-P</v>
      </c>
      <c r="AG95" s="30" t="str">
        <f>VLOOKUP($E95,'Product Naming'!$A$1:$P$58,16,FALSE)</f>
        <v>Proton symporter</v>
      </c>
      <c r="AH95" s="3" t="str">
        <f>VLOOKUP($E95,'Product Naming'!$A$1:$Q$58,17,FALSE)</f>
        <v>2p46dc_c</v>
      </c>
      <c r="AI95" s="1">
        <f>VLOOKUP($E95,'Product Parameters'!$A$2:$D$59,2,FALSE)</f>
        <v>1</v>
      </c>
      <c r="AJ95" s="1">
        <f>VLOOKUP($E95,'Product Parameters'!$A$2:$D$59,3,FALSE)</f>
        <v>0</v>
      </c>
      <c r="AK95" s="1">
        <f>VLOOKUP($E95,'Product Parameters'!$A$2:$D$59,4,FALSE)</f>
        <v>0.12</v>
      </c>
      <c r="AL95" s="1">
        <f>VLOOKUP($E95,'Product Parameters'!$A$2:$E$59,5,FALSE)</f>
        <v>0</v>
      </c>
      <c r="AM95" s="1">
        <f>VLOOKUP($E95,'Product Parameters'!$A$2:$F$59,6,FALSE)</f>
        <v>7</v>
      </c>
      <c r="AN95" s="1">
        <f>VLOOKUP($C95,'Substrate Heating'!$A$2:$C$33,3,FALSE)</f>
        <v>247.59097</v>
      </c>
      <c r="AO95" s="1">
        <f>VLOOKUP($C95,'Substrate Heating'!$A$2:$B$33,2,FALSE)</f>
        <v>5.5</v>
      </c>
      <c r="AP95" s="1">
        <f>VLOOKUP($C95,'Substrate Heating'!$A$2:$M$33,13,FALSE)</f>
        <v>1</v>
      </c>
      <c r="AQ95" s="1">
        <f>VLOOKUP($C95,'Substrate Heating'!$A$2:$M$33,8,FALSE)</f>
        <v>1</v>
      </c>
      <c r="AR95" s="1">
        <f t="shared" si="1"/>
        <v>9.6734693877551098E-2</v>
      </c>
    </row>
    <row r="96" spans="1:44" x14ac:dyDescent="0.2">
      <c r="A96" s="8" t="s">
        <v>34</v>
      </c>
      <c r="B96" s="9" t="s">
        <v>35</v>
      </c>
      <c r="C96" s="1" t="s">
        <v>339</v>
      </c>
      <c r="D96" s="23" t="s">
        <v>338</v>
      </c>
      <c r="E96" s="1" t="s">
        <v>136</v>
      </c>
      <c r="F96" s="1" t="s">
        <v>137</v>
      </c>
      <c r="G96" s="1">
        <v>-10</v>
      </c>
      <c r="H96" s="1">
        <v>-20</v>
      </c>
      <c r="I96" s="1" t="s">
        <v>40</v>
      </c>
      <c r="J96" s="1">
        <v>3.15</v>
      </c>
      <c r="K96" s="1">
        <v>-10</v>
      </c>
      <c r="L96" s="1">
        <v>-3.4129464285714302</v>
      </c>
      <c r="M96" s="1" t="s">
        <v>40</v>
      </c>
      <c r="N96" s="1">
        <v>8.5187500000000007</v>
      </c>
      <c r="O96" s="1">
        <v>0.21160714285714299</v>
      </c>
      <c r="Q96" s="1">
        <v>2.11607142857143E-2</v>
      </c>
      <c r="R96" s="1">
        <v>5.5677619285044E-2</v>
      </c>
      <c r="S96" s="1" t="str">
        <f>VLOOKUP($E96,'Product Naming'!$A$1:$P$58,2,FALSE)</f>
        <v>Benzoate-PW1</v>
      </c>
      <c r="T96" s="1" t="str">
        <f>VLOOKUP($E96,'Product Naming'!$A$1:$P$58,3,FALSE)</f>
        <v>Benzoate (PW1)</v>
      </c>
      <c r="U96" s="1" t="str">
        <f>VLOOKUP($E96,'Product Naming'!$A$1:$P$58,4,FALSE)</f>
        <v>A</v>
      </c>
      <c r="V96" s="1" t="str">
        <f>VLOOKUP($E96,'Product Naming'!$A$1:$P$58,5,FALSE)</f>
        <v>C7H5O2</v>
      </c>
      <c r="W96" s="1">
        <f>VLOOKUP($E96,'Product Naming'!$A$1:$P$58,6,FALSE)</f>
        <v>7</v>
      </c>
      <c r="X96" s="1">
        <f>VLOOKUP($E96,'Product Naming'!$A$1:$P$58,7,FALSE)</f>
        <v>5</v>
      </c>
      <c r="Y96" s="1">
        <f>VLOOKUP($E96,'Product Naming'!$A$1:$P$58,8,FALSE)</f>
        <v>2</v>
      </c>
      <c r="Z96" s="1">
        <f>VLOOKUP($E96,'Product Naming'!$A$1:$P$58,9,FALSE)</f>
        <v>0</v>
      </c>
      <c r="AA96" s="1">
        <f>VLOOKUP($E96,'Product Naming'!$A$1:$P$58,10,FALSE)</f>
        <v>-1</v>
      </c>
      <c r="AB96" s="29">
        <f>VLOOKUP($E96,'Product Naming'!$A$1:$P$58,11,FALSE)</f>
        <v>4.1428571428571432</v>
      </c>
      <c r="AC96" s="3">
        <f>VLOOKUP($E96,'Product Naming'!$A$1:$P$58,12,FALSE)</f>
        <v>121.1121</v>
      </c>
      <c r="AD96" s="1">
        <f>VLOOKUP($E96,'Product Naming'!$A$1:$P$58,13,FALSE)</f>
        <v>249.2</v>
      </c>
      <c r="AE96" s="1" t="str">
        <f>VLOOKUP($E96,'Product Naming'!$A$1:$P$58,14,FALSE)</f>
        <v>Aromatic + Carboxylate</v>
      </c>
      <c r="AF96" s="1" t="str">
        <f>VLOOKUP($E96,'Product Naming'!$A$1:$P$58,15,FALSE)</f>
        <v>E4P + aKG</v>
      </c>
      <c r="AG96" s="30" t="str">
        <f>VLOOKUP($E96,'Product Naming'!$A$1:$P$58,16,FALSE)</f>
        <v>Proton symporter</v>
      </c>
      <c r="AH96" s="3" t="str">
        <f>VLOOKUP($E96,'Product Naming'!$A$1:$Q$58,17,FALSE)</f>
        <v>bz_c</v>
      </c>
      <c r="AI96" s="1">
        <f>VLOOKUP($E96,'Product Parameters'!$A$2:$D$59,2,FALSE)</f>
        <v>1</v>
      </c>
      <c r="AJ96" s="1">
        <f>VLOOKUP($E96,'Product Parameters'!$A$2:$D$59,3,FALSE)</f>
        <v>0</v>
      </c>
      <c r="AK96" s="1">
        <f>VLOOKUP($E96,'Product Parameters'!$A$2:$D$59,4,FALSE)</f>
        <v>0.12</v>
      </c>
      <c r="AL96" s="1">
        <f>VLOOKUP($E96,'Product Parameters'!$A$2:$E$59,5,FALSE)</f>
        <v>40.65</v>
      </c>
      <c r="AM96" s="1">
        <f>VLOOKUP($E96,'Product Parameters'!$A$2:$F$59,6,FALSE)</f>
        <v>7</v>
      </c>
      <c r="AN96" s="1">
        <f>VLOOKUP($C96,'Substrate Heating'!$A$2:$C$33,3,FALSE)</f>
        <v>247.59097</v>
      </c>
      <c r="AO96" s="1">
        <f>VLOOKUP($C96,'Substrate Heating'!$A$2:$B$33,2,FALSE)</f>
        <v>5.5</v>
      </c>
      <c r="AP96" s="1">
        <f>VLOOKUP($C96,'Substrate Heating'!$A$2:$M$33,13,FALSE)</f>
        <v>1</v>
      </c>
      <c r="AQ96" s="1">
        <f>VLOOKUP($C96,'Substrate Heating'!$A$2:$M$33,8,FALSE)</f>
        <v>1</v>
      </c>
      <c r="AR96" s="1">
        <f t="shared" si="1"/>
        <v>0.14812500000000009</v>
      </c>
    </row>
    <row r="97" spans="1:44" x14ac:dyDescent="0.2">
      <c r="A97" s="8" t="s">
        <v>34</v>
      </c>
      <c r="B97" s="9" t="s">
        <v>35</v>
      </c>
      <c r="C97" s="1" t="s">
        <v>339</v>
      </c>
      <c r="D97" s="23" t="s">
        <v>338</v>
      </c>
      <c r="E97" s="1" t="s">
        <v>143</v>
      </c>
      <c r="F97" s="1" t="s">
        <v>137</v>
      </c>
      <c r="G97" s="1">
        <v>-10</v>
      </c>
      <c r="H97" s="1">
        <v>-20</v>
      </c>
      <c r="I97" s="1" t="s">
        <v>40</v>
      </c>
      <c r="J97" s="1">
        <v>3.15</v>
      </c>
      <c r="K97" s="1">
        <v>-10</v>
      </c>
      <c r="L97" s="1">
        <v>-3.4129464285714302</v>
      </c>
      <c r="M97" s="1" t="s">
        <v>40</v>
      </c>
      <c r="N97" s="1">
        <v>8.5187500000000007</v>
      </c>
      <c r="O97" s="1">
        <v>0.21160714285714399</v>
      </c>
      <c r="Q97" s="1">
        <v>2.1160714285714501E-2</v>
      </c>
      <c r="R97" s="1">
        <v>5.5677619285044298E-2</v>
      </c>
      <c r="S97" s="1" t="str">
        <f>VLOOKUP($E97,'Product Naming'!$A$1:$P$58,2,FALSE)</f>
        <v>Benzoate-PW2</v>
      </c>
      <c r="T97" s="1" t="str">
        <f>VLOOKUP($E97,'Product Naming'!$A$1:$P$58,3,FALSE)</f>
        <v>Benzoate (PW2)</v>
      </c>
      <c r="U97" s="1" t="str">
        <f>VLOOKUP($E97,'Product Naming'!$A$1:$P$58,4,FALSE)</f>
        <v>A</v>
      </c>
      <c r="V97" s="1" t="str">
        <f>VLOOKUP($E97,'Product Naming'!$A$1:$P$58,5,FALSE)</f>
        <v>C7H5O2</v>
      </c>
      <c r="W97" s="1">
        <f>VLOOKUP($E97,'Product Naming'!$A$1:$P$58,6,FALSE)</f>
        <v>7</v>
      </c>
      <c r="X97" s="1">
        <f>VLOOKUP($E97,'Product Naming'!$A$1:$P$58,7,FALSE)</f>
        <v>5</v>
      </c>
      <c r="Y97" s="1">
        <f>VLOOKUP($E97,'Product Naming'!$A$1:$P$58,8,FALSE)</f>
        <v>2</v>
      </c>
      <c r="Z97" s="1">
        <f>VLOOKUP($E97,'Product Naming'!$A$1:$P$58,9,FALSE)</f>
        <v>0</v>
      </c>
      <c r="AA97" s="1">
        <f>VLOOKUP($E97,'Product Naming'!$A$1:$P$58,10,FALSE)</f>
        <v>-1</v>
      </c>
      <c r="AB97" s="29">
        <f>VLOOKUP($E97,'Product Naming'!$A$1:$P$58,11,FALSE)</f>
        <v>4.1428571428571432</v>
      </c>
      <c r="AC97" s="3">
        <f>VLOOKUP($E97,'Product Naming'!$A$1:$P$58,12,FALSE)</f>
        <v>121.1121</v>
      </c>
      <c r="AD97" s="1">
        <f>VLOOKUP($E97,'Product Naming'!$A$1:$P$58,13,FALSE)</f>
        <v>249.2</v>
      </c>
      <c r="AE97" s="1" t="str">
        <f>VLOOKUP($E97,'Product Naming'!$A$1:$P$58,14,FALSE)</f>
        <v>Aromatic + Carboxylate</v>
      </c>
      <c r="AF97" s="1" t="str">
        <f>VLOOKUP($E97,'Product Naming'!$A$1:$P$58,15,FALSE)</f>
        <v>E4P + aKG</v>
      </c>
      <c r="AG97" s="30" t="str">
        <f>VLOOKUP($E97,'Product Naming'!$A$1:$P$58,16,FALSE)</f>
        <v>Proton symporter</v>
      </c>
      <c r="AH97" s="3" t="str">
        <f>VLOOKUP($E97,'Product Naming'!$A$1:$Q$58,17,FALSE)</f>
        <v>bz_c</v>
      </c>
      <c r="AI97" s="1">
        <f>VLOOKUP($E97,'Product Parameters'!$A$2:$D$59,2,FALSE)</f>
        <v>1</v>
      </c>
      <c r="AJ97" s="1">
        <f>VLOOKUP($E97,'Product Parameters'!$A$2:$D$59,3,FALSE)</f>
        <v>0</v>
      </c>
      <c r="AK97" s="1">
        <f>VLOOKUP($E97,'Product Parameters'!$A$2:$D$59,4,FALSE)</f>
        <v>0.12</v>
      </c>
      <c r="AL97" s="1">
        <f>VLOOKUP($E97,'Product Parameters'!$A$2:$E$59,5,FALSE)</f>
        <v>40.65</v>
      </c>
      <c r="AM97" s="1">
        <f>VLOOKUP($E97,'Product Parameters'!$A$2:$F$59,6,FALSE)</f>
        <v>7</v>
      </c>
      <c r="AN97" s="1">
        <f>VLOOKUP($C97,'Substrate Heating'!$A$2:$C$33,3,FALSE)</f>
        <v>247.59097</v>
      </c>
      <c r="AO97" s="1">
        <f>VLOOKUP($C97,'Substrate Heating'!$A$2:$B$33,2,FALSE)</f>
        <v>5.5</v>
      </c>
      <c r="AP97" s="1">
        <f>VLOOKUP($C97,'Substrate Heating'!$A$2:$M$33,13,FALSE)</f>
        <v>1</v>
      </c>
      <c r="AQ97" s="1">
        <f>VLOOKUP($C97,'Substrate Heating'!$A$2:$M$33,8,FALSE)</f>
        <v>1</v>
      </c>
      <c r="AR97" s="1">
        <f t="shared" si="1"/>
        <v>0.14812500000000151</v>
      </c>
    </row>
    <row r="98" spans="1:44" x14ac:dyDescent="0.2">
      <c r="A98" s="8" t="s">
        <v>809</v>
      </c>
      <c r="B98" s="18" t="s">
        <v>324</v>
      </c>
      <c r="C98" t="s">
        <v>808</v>
      </c>
      <c r="D98" s="19" t="s">
        <v>326</v>
      </c>
      <c r="E98" t="s">
        <v>297</v>
      </c>
      <c r="F98" t="s">
        <v>298</v>
      </c>
      <c r="G98">
        <v>-10</v>
      </c>
      <c r="H98">
        <v>0</v>
      </c>
      <c r="I98">
        <v>-20</v>
      </c>
      <c r="J98">
        <v>0.45</v>
      </c>
      <c r="K98">
        <v>-9.7221052631578893</v>
      </c>
      <c r="L98">
        <v>0</v>
      </c>
      <c r="M98">
        <v>-20</v>
      </c>
      <c r="N98">
        <v>-9.7221052631578893</v>
      </c>
      <c r="O98">
        <v>0.27789473684210803</v>
      </c>
      <c r="P98"/>
      <c r="Q98">
        <v>2.85838025119102E-2</v>
      </c>
      <c r="R98">
        <v>5.5859263570001802E-2</v>
      </c>
      <c r="S98" s="1" t="str">
        <f>VLOOKUP($E98,'Product Naming'!$A$1:$P$58,2,FALSE)</f>
        <v>Phenol</v>
      </c>
      <c r="T98" s="1" t="str">
        <f>VLOOKUP($E98,'Product Naming'!$A$1:$P$58,3,FALSE)</f>
        <v>Phenol</v>
      </c>
      <c r="U98" s="1" t="str">
        <f>VLOOKUP($E98,'Product Naming'!$A$1:$P$58,4,FALSE)</f>
        <v>E-S</v>
      </c>
      <c r="V98" s="1" t="str">
        <f>VLOOKUP($E98,'Product Naming'!$A$1:$P$58,5,FALSE)</f>
        <v>C6H6O</v>
      </c>
      <c r="W98" s="1">
        <f>VLOOKUP($E98,'Product Naming'!$A$1:$P$58,6,FALSE)</f>
        <v>6</v>
      </c>
      <c r="X98" s="1">
        <f>VLOOKUP($E98,'Product Naming'!$A$1:$P$58,7,FALSE)</f>
        <v>6</v>
      </c>
      <c r="Y98" s="1">
        <f>VLOOKUP($E98,'Product Naming'!$A$1:$P$58,8,FALSE)</f>
        <v>1</v>
      </c>
      <c r="Z98" s="1">
        <f>VLOOKUP($E98,'Product Naming'!$A$1:$P$58,9,FALSE)</f>
        <v>0</v>
      </c>
      <c r="AA98" s="1">
        <f>VLOOKUP($E98,'Product Naming'!$A$1:$P$58,10,FALSE)</f>
        <v>0</v>
      </c>
      <c r="AB98" s="29">
        <f>VLOOKUP($E98,'Product Naming'!$A$1:$P$58,11,FALSE)</f>
        <v>4.666666666666667</v>
      </c>
      <c r="AC98" s="3">
        <f>VLOOKUP($E98,'Product Naming'!$A$1:$P$58,12,FALSE)</f>
        <v>94.11023999999999</v>
      </c>
      <c r="AD98" s="1">
        <f>VLOOKUP($E98,'Product Naming'!$A$1:$P$58,13,FALSE)</f>
        <v>181.7</v>
      </c>
      <c r="AE98" s="1" t="str">
        <f>VLOOKUP($E98,'Product Naming'!$A$1:$P$58,14,FALSE)</f>
        <v>Aromatic + Alcohol</v>
      </c>
      <c r="AF98" s="1" t="str">
        <f>VLOOKUP($E98,'Product Naming'!$A$1:$P$58,15,FALSE)</f>
        <v>E4P + L-glutamate</v>
      </c>
      <c r="AG98" s="30" t="str">
        <f>VLOOKUP($E98,'Product Naming'!$A$1:$P$58,16,FALSE)</f>
        <v>Proton symporter</v>
      </c>
      <c r="AH98" s="3" t="str">
        <f>VLOOKUP($E98,'Product Naming'!$A$1:$Q$58,17,FALSE)</f>
        <v>phenol_c</v>
      </c>
      <c r="AI98" s="1">
        <f>VLOOKUP($E98,'Product Parameters'!$A$2:$D$59,2,FALSE)</f>
        <v>1</v>
      </c>
      <c r="AJ98" s="1">
        <f>VLOOKUP($E98,'Product Parameters'!$A$2:$D$59,3,FALSE)</f>
        <v>0</v>
      </c>
      <c r="AK98" s="1">
        <f>VLOOKUP($E98,'Product Parameters'!$A$2:$D$59,4,FALSE)</f>
        <v>0.12</v>
      </c>
      <c r="AL98" s="1">
        <f>VLOOKUP($E98,'Product Parameters'!$A$2:$E$59,5,FALSE)</f>
        <v>58.8</v>
      </c>
      <c r="AM98" s="1">
        <f>VLOOKUP($E98,'Product Parameters'!$A$2:$F$59,6,FALSE)</f>
        <v>6</v>
      </c>
      <c r="AN98" s="1">
        <f>VLOOKUP($C98,'Substrate Heating'!$A$2:$C$33,3,FALSE)</f>
        <v>120.9</v>
      </c>
      <c r="AO98" s="1">
        <f>VLOOKUP($C98,'Substrate Heating'!$A$2:$B$33,2,FALSE)</f>
        <v>5.2537372583834907</v>
      </c>
      <c r="AP98" s="1">
        <f>VLOOKUP($C98,'Substrate Heating'!$A$2:$M$33,13,FALSE)</f>
        <v>0</v>
      </c>
      <c r="AQ98" s="1">
        <f>VLOOKUP($C98,'Substrate Heating'!$A$2:$M$33,8,FALSE)</f>
        <v>0.33333333333333331</v>
      </c>
      <c r="AR98" s="1">
        <f t="shared" si="1"/>
        <v>0.51450844521438366</v>
      </c>
    </row>
    <row r="99" spans="1:44" x14ac:dyDescent="0.2">
      <c r="A99" s="8" t="s">
        <v>809</v>
      </c>
      <c r="B99" s="18" t="s">
        <v>324</v>
      </c>
      <c r="C99" t="s">
        <v>808</v>
      </c>
      <c r="D99" s="19" t="s">
        <v>326</v>
      </c>
      <c r="E99" t="s">
        <v>313</v>
      </c>
      <c r="F99" t="s">
        <v>314</v>
      </c>
      <c r="G99">
        <v>-10</v>
      </c>
      <c r="H99">
        <v>0</v>
      </c>
      <c r="I99">
        <v>-20</v>
      </c>
      <c r="J99">
        <v>0.45</v>
      </c>
      <c r="K99">
        <v>-9.4923076923076906</v>
      </c>
      <c r="L99">
        <v>0</v>
      </c>
      <c r="M99">
        <v>-20</v>
      </c>
      <c r="N99">
        <v>-9.4923076923076906</v>
      </c>
      <c r="O99">
        <v>0.253846153846154</v>
      </c>
      <c r="P99"/>
      <c r="Q99">
        <v>2.6742301458671E-2</v>
      </c>
      <c r="R99">
        <v>5.7714492407549001E-2</v>
      </c>
      <c r="S99" s="1" t="str">
        <f>VLOOKUP($E99,'Product Naming'!$A$1:$P$58,2,FALSE)</f>
        <v>Styrene</v>
      </c>
      <c r="T99" s="1" t="str">
        <f>VLOOKUP($E99,'Product Naming'!$A$1:$P$58,3,FALSE)</f>
        <v>Styrene</v>
      </c>
      <c r="U99" s="1" t="str">
        <f>VLOOKUP($E99,'Product Naming'!$A$1:$P$58,4,FALSE)</f>
        <v>E-S</v>
      </c>
      <c r="V99" s="1" t="str">
        <f>VLOOKUP($E99,'Product Naming'!$A$1:$P$58,5,FALSE)</f>
        <v>C8H8</v>
      </c>
      <c r="W99" s="1">
        <f>VLOOKUP($E99,'Product Naming'!$A$1:$P$58,6,FALSE)</f>
        <v>8</v>
      </c>
      <c r="X99" s="1">
        <f>VLOOKUP($E99,'Product Naming'!$A$1:$P$58,7,FALSE)</f>
        <v>8</v>
      </c>
      <c r="Y99" s="1">
        <f>VLOOKUP($E99,'Product Naming'!$A$1:$P$58,8,FALSE)</f>
        <v>0</v>
      </c>
      <c r="Z99" s="1">
        <f>VLOOKUP($E99,'Product Naming'!$A$1:$P$58,9,FALSE)</f>
        <v>0</v>
      </c>
      <c r="AA99" s="1">
        <f>VLOOKUP($E99,'Product Naming'!$A$1:$P$58,10,FALSE)</f>
        <v>0</v>
      </c>
      <c r="AB99" s="29">
        <f>VLOOKUP($E99,'Product Naming'!$A$1:$P$58,11,FALSE)</f>
        <v>5</v>
      </c>
      <c r="AC99" s="3">
        <f>VLOOKUP($E99,'Product Naming'!$A$1:$P$58,12,FALSE)</f>
        <v>104.14832</v>
      </c>
      <c r="AD99" s="1">
        <f>VLOOKUP($E99,'Product Naming'!$A$1:$P$58,13,FALSE)</f>
        <v>145</v>
      </c>
      <c r="AE99" s="1" t="str">
        <f>VLOOKUP($E99,'Product Naming'!$A$1:$P$58,14,FALSE)</f>
        <v>Cycloalkane</v>
      </c>
      <c r="AF99" s="1" t="str">
        <f>VLOOKUP($E99,'Product Naming'!$A$1:$P$58,15,FALSE)</f>
        <v>E4P</v>
      </c>
      <c r="AG99" s="30" t="str">
        <f>VLOOKUP($E99,'Product Naming'!$A$1:$P$58,16,FALSE)</f>
        <v>Proton symporter</v>
      </c>
      <c r="AH99" s="3" t="str">
        <f>VLOOKUP($E99,'Product Naming'!$A$1:$Q$58,17,FALSE)</f>
        <v>styr_c</v>
      </c>
      <c r="AI99" s="1">
        <f>VLOOKUP($E99,'Product Parameters'!$A$2:$D$59,2,FALSE)</f>
        <v>1</v>
      </c>
      <c r="AJ99" s="1">
        <f>VLOOKUP($E99,'Product Parameters'!$A$2:$D$59,3,FALSE)</f>
        <v>0</v>
      </c>
      <c r="AK99" s="1">
        <f>VLOOKUP($E99,'Product Parameters'!$A$2:$D$59,4,FALSE)</f>
        <v>0.12</v>
      </c>
      <c r="AL99" s="1">
        <f>VLOOKUP($E99,'Product Parameters'!$A$2:$E$59,5,FALSE)</f>
        <v>43.9</v>
      </c>
      <c r="AM99" s="1">
        <f>VLOOKUP($E99,'Product Parameters'!$A$2:$F$59,6,FALSE)</f>
        <v>8</v>
      </c>
      <c r="AN99" s="1">
        <f>VLOOKUP($C99,'Substrate Heating'!$A$2:$C$33,3,FALSE)</f>
        <v>120.9</v>
      </c>
      <c r="AO99" s="1">
        <f>VLOOKUP($C99,'Substrate Heating'!$A$2:$B$33,2,FALSE)</f>
        <v>5.2537372583834907</v>
      </c>
      <c r="AP99" s="1">
        <f>VLOOKUP($C99,'Substrate Heating'!$A$2:$M$33,13,FALSE)</f>
        <v>0</v>
      </c>
      <c r="AQ99" s="1">
        <f>VLOOKUP($C99,'Substrate Heating'!$A$2:$M$33,8,FALSE)</f>
        <v>0.33333333333333331</v>
      </c>
      <c r="AR99" s="1">
        <f t="shared" si="1"/>
        <v>0.641815235008104</v>
      </c>
    </row>
    <row r="100" spans="1:44" x14ac:dyDescent="0.2">
      <c r="A100" s="8" t="s">
        <v>34</v>
      </c>
      <c r="B100" s="9" t="s">
        <v>35</v>
      </c>
      <c r="C100" s="1" t="s">
        <v>339</v>
      </c>
      <c r="D100" s="23" t="s">
        <v>338</v>
      </c>
      <c r="E100" s="1" t="s">
        <v>72</v>
      </c>
      <c r="F100" s="1" t="s">
        <v>73</v>
      </c>
      <c r="G100" s="1">
        <v>-10</v>
      </c>
      <c r="H100" s="1">
        <v>-20</v>
      </c>
      <c r="I100" s="1" t="s">
        <v>40</v>
      </c>
      <c r="J100" s="1">
        <v>3.15</v>
      </c>
      <c r="K100" s="1">
        <v>-10</v>
      </c>
      <c r="L100" s="1">
        <v>-3.0065420560747702</v>
      </c>
      <c r="M100" s="1" t="s">
        <v>40</v>
      </c>
      <c r="N100" s="1">
        <v>8.6710280373831807</v>
      </c>
      <c r="O100" s="1">
        <v>0.44299065420560801</v>
      </c>
      <c r="Q100" s="1">
        <v>4.42990654205608E-2</v>
      </c>
      <c r="R100" s="1">
        <v>5.7834525252259503E-2</v>
      </c>
      <c r="S100" s="1" t="str">
        <f>VLOOKUP($E100,'Product Naming'!$A$1:$P$58,2,FALSE)</f>
        <v>1-propanol-PW1</v>
      </c>
      <c r="T100" s="1" t="str">
        <f>VLOOKUP($E100,'Product Naming'!$A$1:$P$58,3,FALSE)</f>
        <v>1-Propanol (PW1)</v>
      </c>
      <c r="U100" s="1" t="str">
        <f>VLOOKUP($E100,'Product Naming'!$A$1:$P$58,4,FALSE)</f>
        <v>E-S</v>
      </c>
      <c r="V100" s="1" t="str">
        <f>VLOOKUP($E100,'Product Naming'!$A$1:$P$58,5,FALSE)</f>
        <v>C3H8O</v>
      </c>
      <c r="W100" s="1">
        <f>VLOOKUP($E100,'Product Naming'!$A$1:$P$58,6,FALSE)</f>
        <v>3</v>
      </c>
      <c r="X100" s="1">
        <f>VLOOKUP($E100,'Product Naming'!$A$1:$P$58,7,FALSE)</f>
        <v>8</v>
      </c>
      <c r="Y100" s="1">
        <f>VLOOKUP($E100,'Product Naming'!$A$1:$P$58,8,FALSE)</f>
        <v>1</v>
      </c>
      <c r="Z100" s="1">
        <f>VLOOKUP($E100,'Product Naming'!$A$1:$P$58,9,FALSE)</f>
        <v>0</v>
      </c>
      <c r="AA100" s="1">
        <f>VLOOKUP($E100,'Product Naming'!$A$1:$P$58,10,FALSE)</f>
        <v>0</v>
      </c>
      <c r="AB100" s="29">
        <f>VLOOKUP($E100,'Product Naming'!$A$1:$P$58,11,FALSE)</f>
        <v>6</v>
      </c>
      <c r="AC100" s="3">
        <f>VLOOKUP($E100,'Product Naming'!$A$1:$P$58,12,FALSE)</f>
        <v>60.093820000000001</v>
      </c>
      <c r="AD100" s="1">
        <f>VLOOKUP($E100,'Product Naming'!$A$1:$P$58,13,FALSE)</f>
        <v>97</v>
      </c>
      <c r="AE100" s="1" t="str">
        <f>VLOOKUP($E100,'Product Naming'!$A$1:$P$58,14,FALSE)</f>
        <v>Alcohol</v>
      </c>
      <c r="AF100" s="1" t="str">
        <f>VLOOKUP($E100,'Product Naming'!$A$1:$P$58,15,FALSE)</f>
        <v>Glyceraldehyde 3-P (--&gt;DHAP)</v>
      </c>
      <c r="AG100" s="30" t="str">
        <f>VLOOKUP($E100,'Product Naming'!$A$1:$P$58,16,FALSE)</f>
        <v>Proton symporter</v>
      </c>
      <c r="AH100" s="3" t="str">
        <f>VLOOKUP($E100,'Product Naming'!$A$1:$Q$58,17,FALSE)</f>
        <v>ppoh_c</v>
      </c>
      <c r="AI100" s="1">
        <f>VLOOKUP($E100,'Product Parameters'!$A$2:$D$59,2,FALSE)</f>
        <v>1</v>
      </c>
      <c r="AJ100" s="1">
        <f>VLOOKUP($E100,'Product Parameters'!$A$2:$D$59,3,FALSE)</f>
        <v>0</v>
      </c>
      <c r="AK100" s="1">
        <f>VLOOKUP($E100,'Product Parameters'!$A$2:$D$59,4,FALSE)</f>
        <v>0.12</v>
      </c>
      <c r="AL100" s="1">
        <f>VLOOKUP($E100,'Product Parameters'!$A$2:$E$59,5,FALSE)</f>
        <v>47</v>
      </c>
      <c r="AM100" s="1">
        <f>VLOOKUP($E100,'Product Parameters'!$A$2:$F$59,6,FALSE)</f>
        <v>3</v>
      </c>
      <c r="AN100" s="1">
        <f>VLOOKUP($C100,'Substrate Heating'!$A$2:$C$33,3,FALSE)</f>
        <v>247.59097</v>
      </c>
      <c r="AO100" s="1">
        <f>VLOOKUP($C100,'Substrate Heating'!$A$2:$B$33,2,FALSE)</f>
        <v>5.5</v>
      </c>
      <c r="AP100" s="1">
        <f>VLOOKUP($C100,'Substrate Heating'!$A$2:$M$33,13,FALSE)</f>
        <v>1</v>
      </c>
      <c r="AQ100" s="1">
        <f>VLOOKUP($C100,'Substrate Heating'!$A$2:$M$33,8,FALSE)</f>
        <v>1</v>
      </c>
      <c r="AR100" s="1">
        <f t="shared" si="1"/>
        <v>0.13289719626168239</v>
      </c>
    </row>
    <row r="101" spans="1:44" x14ac:dyDescent="0.2">
      <c r="A101" s="8" t="s">
        <v>809</v>
      </c>
      <c r="B101" s="18" t="s">
        <v>324</v>
      </c>
      <c r="C101" t="s">
        <v>808</v>
      </c>
      <c r="D101" s="19" t="s">
        <v>326</v>
      </c>
      <c r="E101" t="s">
        <v>143</v>
      </c>
      <c r="F101" t="s">
        <v>137</v>
      </c>
      <c r="G101">
        <v>-10</v>
      </c>
      <c r="H101">
        <v>0</v>
      </c>
      <c r="I101">
        <v>-20</v>
      </c>
      <c r="J101">
        <v>0.45</v>
      </c>
      <c r="K101">
        <v>-9.8857142857142897</v>
      </c>
      <c r="L101">
        <v>0</v>
      </c>
      <c r="M101">
        <v>-20</v>
      </c>
      <c r="N101">
        <v>-9.8857142857142897</v>
      </c>
      <c r="O101">
        <v>0.22857142857142801</v>
      </c>
      <c r="P101"/>
      <c r="Q101">
        <v>2.3121387283236899E-2</v>
      </c>
      <c r="R101">
        <v>5.8231660482274301E-2</v>
      </c>
      <c r="S101" s="1" t="str">
        <f>VLOOKUP($E101,'Product Naming'!$A$1:$P$58,2,FALSE)</f>
        <v>Benzoate-PW2</v>
      </c>
      <c r="T101" s="1" t="str">
        <f>VLOOKUP($E101,'Product Naming'!$A$1:$P$58,3,FALSE)</f>
        <v>Benzoate (PW2)</v>
      </c>
      <c r="U101" s="1" t="str">
        <f>VLOOKUP($E101,'Product Naming'!$A$1:$P$58,4,FALSE)</f>
        <v>A</v>
      </c>
      <c r="V101" s="1" t="str">
        <f>VLOOKUP($E101,'Product Naming'!$A$1:$P$58,5,FALSE)</f>
        <v>C7H5O2</v>
      </c>
      <c r="W101" s="1">
        <f>VLOOKUP($E101,'Product Naming'!$A$1:$P$58,6,FALSE)</f>
        <v>7</v>
      </c>
      <c r="X101" s="1">
        <f>VLOOKUP($E101,'Product Naming'!$A$1:$P$58,7,FALSE)</f>
        <v>5</v>
      </c>
      <c r="Y101" s="1">
        <f>VLOOKUP($E101,'Product Naming'!$A$1:$P$58,8,FALSE)</f>
        <v>2</v>
      </c>
      <c r="Z101" s="1">
        <f>VLOOKUP($E101,'Product Naming'!$A$1:$P$58,9,FALSE)</f>
        <v>0</v>
      </c>
      <c r="AA101" s="1">
        <f>VLOOKUP($E101,'Product Naming'!$A$1:$P$58,10,FALSE)</f>
        <v>-1</v>
      </c>
      <c r="AB101" s="29">
        <f>VLOOKUP($E101,'Product Naming'!$A$1:$P$58,11,FALSE)</f>
        <v>4.1428571428571432</v>
      </c>
      <c r="AC101" s="3">
        <f>VLOOKUP($E101,'Product Naming'!$A$1:$P$58,12,FALSE)</f>
        <v>121.1121</v>
      </c>
      <c r="AD101" s="1">
        <f>VLOOKUP($E101,'Product Naming'!$A$1:$P$58,13,FALSE)</f>
        <v>249.2</v>
      </c>
      <c r="AE101" s="1" t="str">
        <f>VLOOKUP($E101,'Product Naming'!$A$1:$P$58,14,FALSE)</f>
        <v>Aromatic + Carboxylate</v>
      </c>
      <c r="AF101" s="1" t="str">
        <f>VLOOKUP($E101,'Product Naming'!$A$1:$P$58,15,FALSE)</f>
        <v>E4P + aKG</v>
      </c>
      <c r="AG101" s="30" t="str">
        <f>VLOOKUP($E101,'Product Naming'!$A$1:$P$58,16,FALSE)</f>
        <v>Proton symporter</v>
      </c>
      <c r="AH101" s="3" t="str">
        <f>VLOOKUP($E101,'Product Naming'!$A$1:$Q$58,17,FALSE)</f>
        <v>bz_c</v>
      </c>
      <c r="AI101" s="1">
        <f>VLOOKUP($E101,'Product Parameters'!$A$2:$D$59,2,FALSE)</f>
        <v>1</v>
      </c>
      <c r="AJ101" s="1">
        <f>VLOOKUP($E101,'Product Parameters'!$A$2:$D$59,3,FALSE)</f>
        <v>0</v>
      </c>
      <c r="AK101" s="1">
        <f>VLOOKUP($E101,'Product Parameters'!$A$2:$D$59,4,FALSE)</f>
        <v>0.12</v>
      </c>
      <c r="AL101" s="1">
        <f>VLOOKUP($E101,'Product Parameters'!$A$2:$E$59,5,FALSE)</f>
        <v>40.65</v>
      </c>
      <c r="AM101" s="1">
        <f>VLOOKUP($E101,'Product Parameters'!$A$2:$F$59,6,FALSE)</f>
        <v>7</v>
      </c>
      <c r="AN101" s="1">
        <f>VLOOKUP($C101,'Substrate Heating'!$A$2:$C$33,3,FALSE)</f>
        <v>120.9</v>
      </c>
      <c r="AO101" s="1">
        <f>VLOOKUP($C101,'Substrate Heating'!$A$2:$B$33,2,FALSE)</f>
        <v>5.2537372583834907</v>
      </c>
      <c r="AP101" s="1">
        <f>VLOOKUP($C101,'Substrate Heating'!$A$2:$M$33,13,FALSE)</f>
        <v>0</v>
      </c>
      <c r="AQ101" s="1">
        <f>VLOOKUP($C101,'Substrate Heating'!$A$2:$M$33,8,FALSE)</f>
        <v>0.33333333333333331</v>
      </c>
      <c r="AR101" s="1">
        <f t="shared" si="1"/>
        <v>0.48554913294797492</v>
      </c>
    </row>
    <row r="102" spans="1:44" x14ac:dyDescent="0.2">
      <c r="A102" s="8" t="s">
        <v>34</v>
      </c>
      <c r="B102" s="9" t="s">
        <v>35</v>
      </c>
      <c r="C102" s="1" t="s">
        <v>339</v>
      </c>
      <c r="D102" s="23" t="s">
        <v>338</v>
      </c>
      <c r="E102" s="1" t="s">
        <v>251</v>
      </c>
      <c r="F102" s="1" t="s">
        <v>252</v>
      </c>
      <c r="G102" s="1">
        <v>-10</v>
      </c>
      <c r="H102" s="1">
        <v>-20</v>
      </c>
      <c r="I102" s="1" t="s">
        <v>40</v>
      </c>
      <c r="J102" s="1">
        <v>3.15</v>
      </c>
      <c r="K102" s="1">
        <v>-10</v>
      </c>
      <c r="L102" s="1">
        <v>-2.9685714285714302</v>
      </c>
      <c r="M102" s="1" t="s">
        <v>40</v>
      </c>
      <c r="N102" s="1">
        <v>8.6457142857142806</v>
      </c>
      <c r="O102" s="1">
        <v>0.45142857142857101</v>
      </c>
      <c r="Q102" s="1">
        <v>4.5142857142857103E-2</v>
      </c>
      <c r="R102" s="1">
        <v>5.8936135257064398E-2</v>
      </c>
      <c r="S102" s="1" t="str">
        <f>VLOOKUP($E102,'Product Naming'!$A$1:$P$58,2,FALSE)</f>
        <v>Isopropanol</v>
      </c>
      <c r="T102" s="1" t="str">
        <f>VLOOKUP($E102,'Product Naming'!$A$1:$P$58,3,FALSE)</f>
        <v>Isopropanol</v>
      </c>
      <c r="U102" s="1" t="str">
        <f>VLOOKUP($E102,'Product Naming'!$A$1:$P$58,4,FALSE)</f>
        <v>A</v>
      </c>
      <c r="V102" s="1" t="str">
        <f>VLOOKUP($E102,'Product Naming'!$A$1:$P$58,5,FALSE)</f>
        <v>C3H8O</v>
      </c>
      <c r="W102" s="1">
        <f>VLOOKUP($E102,'Product Naming'!$A$1:$P$58,6,FALSE)</f>
        <v>3</v>
      </c>
      <c r="X102" s="1">
        <f>VLOOKUP($E102,'Product Naming'!$A$1:$P$58,7,FALSE)</f>
        <v>8</v>
      </c>
      <c r="Y102" s="1">
        <f>VLOOKUP($E102,'Product Naming'!$A$1:$P$58,8,FALSE)</f>
        <v>1</v>
      </c>
      <c r="Z102" s="1">
        <f>VLOOKUP($E102,'Product Naming'!$A$1:$P$58,9,FALSE)</f>
        <v>0</v>
      </c>
      <c r="AA102" s="1">
        <f>VLOOKUP($E102,'Product Naming'!$A$1:$P$58,10,FALSE)</f>
        <v>0</v>
      </c>
      <c r="AB102" s="29">
        <f>VLOOKUP($E102,'Product Naming'!$A$1:$P$58,11,FALSE)</f>
        <v>6</v>
      </c>
      <c r="AC102" s="3">
        <f>VLOOKUP($E102,'Product Naming'!$A$1:$P$58,12,FALSE)</f>
        <v>60.093820000000001</v>
      </c>
      <c r="AD102" s="1">
        <f>VLOOKUP($E102,'Product Naming'!$A$1:$P$58,13,FALSE)</f>
        <v>82.5</v>
      </c>
      <c r="AE102" s="1" t="str">
        <f>VLOOKUP($E102,'Product Naming'!$A$1:$P$58,14,FALSE)</f>
        <v>Alcohol</v>
      </c>
      <c r="AF102" s="1" t="str">
        <f>VLOOKUP($E102,'Product Naming'!$A$1:$P$58,15,FALSE)</f>
        <v>Acetyl-CoA</v>
      </c>
      <c r="AG102" s="30" t="str">
        <f>VLOOKUP($E102,'Product Naming'!$A$1:$P$58,16,FALSE)</f>
        <v>Proton symporter</v>
      </c>
      <c r="AH102" s="3" t="str">
        <f>VLOOKUP($E102,'Product Naming'!$A$1:$Q$58,17,FALSE)</f>
        <v>2ppoh_c</v>
      </c>
      <c r="AI102" s="1">
        <f>VLOOKUP($E102,'Product Parameters'!$A$2:$D$59,2,FALSE)</f>
        <v>1</v>
      </c>
      <c r="AJ102" s="1">
        <f>VLOOKUP($E102,'Product Parameters'!$A$2:$D$59,3,FALSE)</f>
        <v>0</v>
      </c>
      <c r="AK102" s="1">
        <f>VLOOKUP($E102,'Product Parameters'!$A$2:$D$59,4,FALSE)</f>
        <v>0.12</v>
      </c>
      <c r="AL102" s="1">
        <f>VLOOKUP($E102,'Product Parameters'!$A$2:$E$59,5,FALSE)</f>
        <v>45</v>
      </c>
      <c r="AM102" s="1">
        <f>VLOOKUP($E102,'Product Parameters'!$A$2:$F$59,6,FALSE)</f>
        <v>3</v>
      </c>
      <c r="AN102" s="1">
        <f>VLOOKUP($C102,'Substrate Heating'!$A$2:$C$33,3,FALSE)</f>
        <v>247.59097</v>
      </c>
      <c r="AO102" s="1">
        <f>VLOOKUP($C102,'Substrate Heating'!$A$2:$B$33,2,FALSE)</f>
        <v>5.5</v>
      </c>
      <c r="AP102" s="1">
        <f>VLOOKUP($C102,'Substrate Heating'!$A$2:$M$33,13,FALSE)</f>
        <v>1</v>
      </c>
      <c r="AQ102" s="1">
        <f>VLOOKUP($C102,'Substrate Heating'!$A$2:$M$33,8,FALSE)</f>
        <v>1</v>
      </c>
      <c r="AR102" s="1">
        <f t="shared" si="1"/>
        <v>0.13542857142857131</v>
      </c>
    </row>
    <row r="103" spans="1:44" x14ac:dyDescent="0.2">
      <c r="A103" s="8" t="s">
        <v>34</v>
      </c>
      <c r="B103" s="9" t="s">
        <v>35</v>
      </c>
      <c r="C103" s="1" t="s">
        <v>337</v>
      </c>
      <c r="D103" s="23" t="s">
        <v>338</v>
      </c>
      <c r="E103" s="1" t="s">
        <v>145</v>
      </c>
      <c r="F103" s="1" t="s">
        <v>146</v>
      </c>
      <c r="G103" s="1">
        <v>-10</v>
      </c>
      <c r="H103" s="1">
        <v>-20</v>
      </c>
      <c r="I103" s="1" t="s">
        <v>40</v>
      </c>
      <c r="J103" s="1">
        <v>3.15</v>
      </c>
      <c r="K103" s="1">
        <v>-10</v>
      </c>
      <c r="L103" s="1">
        <v>-2.8569148936170201</v>
      </c>
      <c r="M103" s="1" t="s">
        <v>40</v>
      </c>
      <c r="N103" s="1">
        <v>8.2351063829787208</v>
      </c>
      <c r="O103" s="1">
        <v>0.25212765957446698</v>
      </c>
      <c r="Q103" s="1">
        <v>2.52127659574467E-2</v>
      </c>
      <c r="R103" s="1">
        <v>5.9231957077388299E-2</v>
      </c>
      <c r="S103" s="1" t="str">
        <f>VLOOKUP($E103,'Product Naming'!$A$1:$P$58,2,FALSE)</f>
        <v>Benzyl alcohol</v>
      </c>
      <c r="T103" s="1" t="str">
        <f>VLOOKUP($E103,'Product Naming'!$A$1:$P$58,3,FALSE)</f>
        <v>Benzyl alcohol</v>
      </c>
      <c r="U103" s="1" t="str">
        <f>VLOOKUP($E103,'Product Naming'!$A$1:$P$58,4,FALSE)</f>
        <v>E</v>
      </c>
      <c r="V103" s="1" t="str">
        <f>VLOOKUP($E103,'Product Naming'!$A$1:$P$58,5,FALSE)</f>
        <v>C7H8O</v>
      </c>
      <c r="W103" s="1">
        <f>VLOOKUP($E103,'Product Naming'!$A$1:$P$58,6,FALSE)</f>
        <v>7</v>
      </c>
      <c r="X103" s="1">
        <f>VLOOKUP($E103,'Product Naming'!$A$1:$P$58,7,FALSE)</f>
        <v>8</v>
      </c>
      <c r="Y103" s="1">
        <f>VLOOKUP($E103,'Product Naming'!$A$1:$P$58,8,FALSE)</f>
        <v>1</v>
      </c>
      <c r="Z103" s="1">
        <f>VLOOKUP($E103,'Product Naming'!$A$1:$P$58,9,FALSE)</f>
        <v>0</v>
      </c>
      <c r="AA103" s="1">
        <f>VLOOKUP($E103,'Product Naming'!$A$1:$P$58,10,FALSE)</f>
        <v>0</v>
      </c>
      <c r="AB103" s="29">
        <f>VLOOKUP($E103,'Product Naming'!$A$1:$P$58,11,FALSE)</f>
        <v>4.8571428571428568</v>
      </c>
      <c r="AC103" s="3">
        <f>VLOOKUP($E103,'Product Naming'!$A$1:$P$58,12,FALSE)</f>
        <v>108.13661999999999</v>
      </c>
      <c r="AD103" s="1">
        <f>VLOOKUP($E103,'Product Naming'!$A$1:$P$58,13,FALSE)</f>
        <v>205</v>
      </c>
      <c r="AE103" s="1" t="str">
        <f>VLOOKUP($E103,'Product Naming'!$A$1:$P$58,14,FALSE)</f>
        <v>Aromatic + Alcohol</v>
      </c>
      <c r="AF103" s="1" t="str">
        <f>VLOOKUP($E103,'Product Naming'!$A$1:$P$58,15,FALSE)</f>
        <v>E4P</v>
      </c>
      <c r="AG103" s="30" t="str">
        <f>VLOOKUP($E103,'Product Naming'!$A$1:$P$58,16,FALSE)</f>
        <v>Proton symporter</v>
      </c>
      <c r="AH103" s="3" t="str">
        <f>VLOOKUP($E103,'Product Naming'!$A$1:$Q$58,17,FALSE)</f>
        <v>bzalc_c</v>
      </c>
      <c r="AI103" s="1">
        <f>VLOOKUP($E103,'Product Parameters'!$A$2:$D$59,2,FALSE)</f>
        <v>1</v>
      </c>
      <c r="AJ103" s="1">
        <f>VLOOKUP($E103,'Product Parameters'!$A$2:$D$59,3,FALSE)</f>
        <v>0</v>
      </c>
      <c r="AK103" s="1">
        <f>VLOOKUP($E103,'Product Parameters'!$A$2:$D$59,4,FALSE)</f>
        <v>0.12</v>
      </c>
      <c r="AL103" s="1">
        <f>VLOOKUP($E103,'Product Parameters'!$A$2:$E$59,5,FALSE)</f>
        <v>63</v>
      </c>
      <c r="AM103" s="1">
        <f>VLOOKUP($E103,'Product Parameters'!$A$2:$F$59,6,FALSE)</f>
        <v>7</v>
      </c>
      <c r="AN103" s="1">
        <f>VLOOKUP($C103,'Substrate Heating'!$A$2:$C$33,3,FALSE)</f>
        <v>247.59097</v>
      </c>
      <c r="AO103" s="1">
        <f>VLOOKUP($C103,'Substrate Heating'!$A$2:$B$33,2,FALSE)</f>
        <v>5.5</v>
      </c>
      <c r="AP103" s="1">
        <f>VLOOKUP($C103,'Substrate Heating'!$A$2:$M$33,13,FALSE)</f>
        <v>1</v>
      </c>
      <c r="AQ103" s="1">
        <f>VLOOKUP($C103,'Substrate Heating'!$A$2:$M$33,8,FALSE)</f>
        <v>1</v>
      </c>
      <c r="AR103" s="1">
        <f t="shared" si="1"/>
        <v>0.1764893617021269</v>
      </c>
    </row>
    <row r="104" spans="1:44" x14ac:dyDescent="0.2">
      <c r="A104" s="17" t="s">
        <v>323</v>
      </c>
      <c r="B104" s="18" t="s">
        <v>324</v>
      </c>
      <c r="C104" t="s">
        <v>334</v>
      </c>
      <c r="D104" s="19" t="s">
        <v>326</v>
      </c>
      <c r="E104" t="s">
        <v>297</v>
      </c>
      <c r="F104" t="s">
        <v>298</v>
      </c>
      <c r="G104">
        <v>-10</v>
      </c>
      <c r="H104">
        <v>0</v>
      </c>
      <c r="I104">
        <v>-5</v>
      </c>
      <c r="J104">
        <v>0.45</v>
      </c>
      <c r="K104">
        <v>-10</v>
      </c>
      <c r="L104">
        <v>0</v>
      </c>
      <c r="M104">
        <v>-5</v>
      </c>
      <c r="N104">
        <v>2.8042105263157899</v>
      </c>
      <c r="O104">
        <v>0.30421052631578999</v>
      </c>
      <c r="P104"/>
      <c r="Q104">
        <v>3.0421052631579001E-2</v>
      </c>
      <c r="R104">
        <v>6.0862179189672697E-2</v>
      </c>
      <c r="S104" s="1" t="str">
        <f>VLOOKUP($E104,'Product Naming'!$A$1:$P$58,2,FALSE)</f>
        <v>Phenol</v>
      </c>
      <c r="T104" s="1" t="str">
        <f>VLOOKUP($E104,'Product Naming'!$A$1:$P$58,3,FALSE)</f>
        <v>Phenol</v>
      </c>
      <c r="U104" s="1" t="str">
        <f>VLOOKUP($E104,'Product Naming'!$A$1:$P$58,4,FALSE)</f>
        <v>E-S</v>
      </c>
      <c r="V104" s="1" t="str">
        <f>VLOOKUP($E104,'Product Naming'!$A$1:$P$58,5,FALSE)</f>
        <v>C6H6O</v>
      </c>
      <c r="W104" s="1">
        <f>VLOOKUP($E104,'Product Naming'!$A$1:$P$58,6,FALSE)</f>
        <v>6</v>
      </c>
      <c r="X104" s="1">
        <f>VLOOKUP($E104,'Product Naming'!$A$1:$P$58,7,FALSE)</f>
        <v>6</v>
      </c>
      <c r="Y104" s="1">
        <f>VLOOKUP($E104,'Product Naming'!$A$1:$P$58,8,FALSE)</f>
        <v>1</v>
      </c>
      <c r="Z104" s="1">
        <f>VLOOKUP($E104,'Product Naming'!$A$1:$P$58,9,FALSE)</f>
        <v>0</v>
      </c>
      <c r="AA104" s="1">
        <f>VLOOKUP($E104,'Product Naming'!$A$1:$P$58,10,FALSE)</f>
        <v>0</v>
      </c>
      <c r="AB104" s="29">
        <f>VLOOKUP($E104,'Product Naming'!$A$1:$P$58,11,FALSE)</f>
        <v>4.666666666666667</v>
      </c>
      <c r="AC104" s="3">
        <f>VLOOKUP($E104,'Product Naming'!$A$1:$P$58,12,FALSE)</f>
        <v>94.11023999999999</v>
      </c>
      <c r="AD104" s="1">
        <f>VLOOKUP($E104,'Product Naming'!$A$1:$P$58,13,FALSE)</f>
        <v>181.7</v>
      </c>
      <c r="AE104" s="1" t="str">
        <f>VLOOKUP($E104,'Product Naming'!$A$1:$P$58,14,FALSE)</f>
        <v>Aromatic + Alcohol</v>
      </c>
      <c r="AF104" s="1" t="str">
        <f>VLOOKUP($E104,'Product Naming'!$A$1:$P$58,15,FALSE)</f>
        <v>E4P + L-glutamate</v>
      </c>
      <c r="AG104" s="30" t="str">
        <f>VLOOKUP($E104,'Product Naming'!$A$1:$P$58,16,FALSE)</f>
        <v>Proton symporter</v>
      </c>
      <c r="AH104" s="3" t="str">
        <f>VLOOKUP($E104,'Product Naming'!$A$1:$Q$58,17,FALSE)</f>
        <v>phenol_c</v>
      </c>
      <c r="AI104" s="1">
        <f>VLOOKUP($E104,'Product Parameters'!$A$2:$D$59,2,FALSE)</f>
        <v>1</v>
      </c>
      <c r="AJ104" s="1">
        <f>VLOOKUP($E104,'Product Parameters'!$A$2:$D$59,3,FALSE)</f>
        <v>0</v>
      </c>
      <c r="AK104" s="1">
        <f>VLOOKUP($E104,'Product Parameters'!$A$2:$D$59,4,FALSE)</f>
        <v>0.12</v>
      </c>
      <c r="AL104" s="1">
        <f>VLOOKUP($E104,'Product Parameters'!$A$2:$E$59,5,FALSE)</f>
        <v>58.8</v>
      </c>
      <c r="AM104" s="1">
        <f>VLOOKUP($E104,'Product Parameters'!$A$2:$F$59,6,FALSE)</f>
        <v>6</v>
      </c>
      <c r="AN104" s="1">
        <f>VLOOKUP($C104,'Substrate Heating'!$A$2:$C$33,3,FALSE)</f>
        <v>249.93333333333334</v>
      </c>
      <c r="AO104" s="1">
        <f>VLOOKUP($C104,'Substrate Heating'!$A$2:$B$33,2,FALSE)</f>
        <v>8.1456827881222953</v>
      </c>
      <c r="AP104" s="1">
        <f>VLOOKUP($C104,'Substrate Heating'!$A$2:$M$33,13,FALSE)</f>
        <v>0.66666666666666663</v>
      </c>
      <c r="AQ104" s="1">
        <f>VLOOKUP($C104,'Substrate Heating'!$A$2:$M$33,8,FALSE)</f>
        <v>0.66666666666666663</v>
      </c>
      <c r="AR104" s="1">
        <f t="shared" si="1"/>
        <v>0.27378947368421103</v>
      </c>
    </row>
    <row r="105" spans="1:44" x14ac:dyDescent="0.2">
      <c r="A105" s="8" t="s">
        <v>34</v>
      </c>
      <c r="B105" s="9" t="s">
        <v>35</v>
      </c>
      <c r="C105" s="1" t="s">
        <v>339</v>
      </c>
      <c r="D105" s="23" t="s">
        <v>338</v>
      </c>
      <c r="E105" s="1" t="s">
        <v>240</v>
      </c>
      <c r="F105" s="1" t="s">
        <v>241</v>
      </c>
      <c r="G105" s="1">
        <v>-10</v>
      </c>
      <c r="H105" s="1">
        <v>-20</v>
      </c>
      <c r="I105" s="1" t="s">
        <v>40</v>
      </c>
      <c r="J105" s="1">
        <v>3.15</v>
      </c>
      <c r="K105" s="1">
        <v>-10</v>
      </c>
      <c r="L105" s="1">
        <v>-3.0386206896551702</v>
      </c>
      <c r="M105" s="1" t="s">
        <v>40</v>
      </c>
      <c r="N105" s="1">
        <v>8.6924137931034497</v>
      </c>
      <c r="O105" s="1">
        <v>0.32689655172413701</v>
      </c>
      <c r="Q105" s="1">
        <v>3.2689655172413699E-2</v>
      </c>
      <c r="R105" s="1">
        <v>6.1169104678069103E-2</v>
      </c>
      <c r="S105" s="1" t="str">
        <f>VLOOKUP($E105,'Product Naming'!$A$1:$P$58,2,FALSE)</f>
        <v>Isobutanol</v>
      </c>
      <c r="T105" s="1" t="str">
        <f>VLOOKUP($E105,'Product Naming'!$A$1:$P$58,3,FALSE)</f>
        <v>Isobutanol</v>
      </c>
      <c r="U105" s="1" t="str">
        <f>VLOOKUP($E105,'Product Naming'!$A$1:$P$58,4,FALSE)</f>
        <v>E</v>
      </c>
      <c r="V105" s="1" t="str">
        <f>VLOOKUP($E105,'Product Naming'!$A$1:$P$58,5,FALSE)</f>
        <v>C5H10O</v>
      </c>
      <c r="W105" s="1">
        <f>VLOOKUP($E105,'Product Naming'!$A$1:$P$58,6,FALSE)</f>
        <v>5</v>
      </c>
      <c r="X105" s="1">
        <f>VLOOKUP($E105,'Product Naming'!$A$1:$P$58,7,FALSE)</f>
        <v>10</v>
      </c>
      <c r="Y105" s="1">
        <f>VLOOKUP($E105,'Product Naming'!$A$1:$P$58,8,FALSE)</f>
        <v>1</v>
      </c>
      <c r="Z105" s="1">
        <f>VLOOKUP($E105,'Product Naming'!$A$1:$P$58,9,FALSE)</f>
        <v>0</v>
      </c>
      <c r="AA105" s="1">
        <f>VLOOKUP($E105,'Product Naming'!$A$1:$P$58,10,FALSE)</f>
        <v>0</v>
      </c>
      <c r="AB105" s="29">
        <f>VLOOKUP($E105,'Product Naming'!$A$1:$P$58,11,FALSE)</f>
        <v>5.6</v>
      </c>
      <c r="AC105" s="3">
        <f>VLOOKUP($E105,'Product Naming'!$A$1:$P$58,12,FALSE)</f>
        <v>86.130899999999997</v>
      </c>
      <c r="AD105" s="1">
        <f>VLOOKUP($E105,'Product Naming'!$A$1:$P$58,13,FALSE)</f>
        <v>108</v>
      </c>
      <c r="AE105" s="1" t="str">
        <f>VLOOKUP($E105,'Product Naming'!$A$1:$P$58,14,FALSE)</f>
        <v>Alcohol</v>
      </c>
      <c r="AF105" s="1" t="str">
        <f>VLOOKUP($E105,'Product Naming'!$A$1:$P$58,15,FALSE)</f>
        <v>Pyruvate</v>
      </c>
      <c r="AG105" s="30" t="str">
        <f>VLOOKUP($E105,'Product Naming'!$A$1:$P$58,16,FALSE)</f>
        <v>Proton symporter</v>
      </c>
      <c r="AH105" s="3" t="str">
        <f>VLOOKUP($E105,'Product Naming'!$A$1:$Q$58,17,FALSE)</f>
        <v>ibutoh_c</v>
      </c>
      <c r="AI105" s="1">
        <f>VLOOKUP($E105,'Product Parameters'!$A$2:$D$59,2,FALSE)</f>
        <v>1</v>
      </c>
      <c r="AJ105" s="1">
        <f>VLOOKUP($E105,'Product Parameters'!$A$2:$D$59,3,FALSE)</f>
        <v>0</v>
      </c>
      <c r="AK105" s="1">
        <f>VLOOKUP($E105,'Product Parameters'!$A$2:$D$59,4,FALSE)</f>
        <v>0.12</v>
      </c>
      <c r="AL105" s="1">
        <f>VLOOKUP($E105,'Product Parameters'!$A$2:$E$59,5,FALSE)</f>
        <v>51</v>
      </c>
      <c r="AM105" s="1">
        <f>VLOOKUP($E105,'Product Parameters'!$A$2:$F$59,6,FALSE)</f>
        <v>5</v>
      </c>
      <c r="AN105" s="1">
        <f>VLOOKUP($C105,'Substrate Heating'!$A$2:$C$33,3,FALSE)</f>
        <v>247.59097</v>
      </c>
      <c r="AO105" s="1">
        <f>VLOOKUP($C105,'Substrate Heating'!$A$2:$B$33,2,FALSE)</f>
        <v>5.5</v>
      </c>
      <c r="AP105" s="1">
        <f>VLOOKUP($C105,'Substrate Heating'!$A$2:$M$33,13,FALSE)</f>
        <v>1</v>
      </c>
      <c r="AQ105" s="1">
        <f>VLOOKUP($C105,'Substrate Heating'!$A$2:$M$33,8,FALSE)</f>
        <v>1</v>
      </c>
      <c r="AR105" s="1">
        <f t="shared" si="1"/>
        <v>0.1634482758620685</v>
      </c>
    </row>
    <row r="106" spans="1:44" x14ac:dyDescent="0.2">
      <c r="A106" s="17" t="s">
        <v>185</v>
      </c>
      <c r="B106" s="9" t="s">
        <v>35</v>
      </c>
      <c r="C106" t="s">
        <v>340</v>
      </c>
      <c r="D106" s="23" t="s">
        <v>338</v>
      </c>
      <c r="E106" t="s">
        <v>215</v>
      </c>
      <c r="F106" t="s">
        <v>216</v>
      </c>
      <c r="G106">
        <v>-10</v>
      </c>
      <c r="H106">
        <v>-20</v>
      </c>
      <c r="I106" s="1" t="s">
        <v>40</v>
      </c>
      <c r="J106">
        <v>3.15</v>
      </c>
      <c r="K106">
        <v>-10</v>
      </c>
      <c r="L106">
        <v>-4.1293877551020399</v>
      </c>
      <c r="M106" s="1" t="s">
        <v>40</v>
      </c>
      <c r="N106">
        <v>9.0326530612244902</v>
      </c>
      <c r="O106">
        <v>0.193469387755102</v>
      </c>
      <c r="P106"/>
      <c r="Q106">
        <v>1.9346938775510199E-2</v>
      </c>
      <c r="R106">
        <v>6.1415997514287897E-2</v>
      </c>
      <c r="S106" s="1" t="str">
        <f>VLOOKUP($E106,'Product Naming'!$A$1:$P$58,2,FALSE)</f>
        <v>Glutamate_L</v>
      </c>
      <c r="T106" s="1" t="str">
        <f>VLOOKUP($E106,'Product Naming'!$A$1:$P$58,3,FALSE)</f>
        <v>L-Glutamate</v>
      </c>
      <c r="U106" s="1" t="str">
        <f>VLOOKUP($E106,'Product Naming'!$A$1:$P$58,4,FALSE)</f>
        <v>iJO1366</v>
      </c>
      <c r="V106" s="1" t="str">
        <f>VLOOKUP($E106,'Product Naming'!$A$1:$P$58,5,FALSE)</f>
        <v>C5H8NO4</v>
      </c>
      <c r="W106" s="1">
        <f>VLOOKUP($E106,'Product Naming'!$A$1:$P$58,6,FALSE)</f>
        <v>5</v>
      </c>
      <c r="X106" s="1">
        <f>VLOOKUP($E106,'Product Naming'!$A$1:$P$58,7,FALSE)</f>
        <v>8</v>
      </c>
      <c r="Y106" s="1">
        <f>VLOOKUP($E106,'Product Naming'!$A$1:$P$58,8,FALSE)</f>
        <v>4</v>
      </c>
      <c r="Z106" s="1">
        <f>VLOOKUP($E106,'Product Naming'!$A$1:$P$58,9,FALSE)</f>
        <v>1</v>
      </c>
      <c r="AA106" s="1">
        <f>VLOOKUP($E106,'Product Naming'!$A$1:$P$58,10,FALSE)</f>
        <v>-1</v>
      </c>
      <c r="AB106" s="29">
        <f>VLOOKUP($E106,'Product Naming'!$A$1:$P$58,11,FALSE)</f>
        <v>3.4</v>
      </c>
      <c r="AC106" s="3">
        <f>VLOOKUP($E106,'Product Naming'!$A$1:$P$58,12,FALSE)</f>
        <v>146.11892</v>
      </c>
      <c r="AD106" s="1">
        <f>VLOOKUP($E106,'Product Naming'!$A$1:$P$58,13,FALSE)</f>
        <v>333.8</v>
      </c>
      <c r="AE106" s="1" t="str">
        <f>VLOOKUP($E106,'Product Naming'!$A$1:$P$58,14,FALSE)</f>
        <v>Amino acid</v>
      </c>
      <c r="AF106" s="1" t="str">
        <f>VLOOKUP($E106,'Product Naming'!$A$1:$P$58,15,FALSE)</f>
        <v>aKG</v>
      </c>
      <c r="AG106" s="30" t="str">
        <f>VLOOKUP($E106,'Product Naming'!$A$1:$P$58,16,FALSE)</f>
        <v>Proton symporter</v>
      </c>
      <c r="AH106" s="3" t="str">
        <f>VLOOKUP($E106,'Product Naming'!$A$1:$Q$58,17,FALSE)</f>
        <v>glu__L_c</v>
      </c>
      <c r="AI106" s="1">
        <f>VLOOKUP($E106,'Product Parameters'!$A$2:$D$59,2,FALSE)</f>
        <v>1</v>
      </c>
      <c r="AJ106" s="1">
        <f>VLOOKUP($E106,'Product Parameters'!$A$2:$D$59,3,FALSE)</f>
        <v>0</v>
      </c>
      <c r="AK106" s="1">
        <f>VLOOKUP($E106,'Product Parameters'!$A$2:$D$59,4,FALSE)</f>
        <v>0.12</v>
      </c>
      <c r="AL106" s="1">
        <f>VLOOKUP($E106,'Product Parameters'!$A$2:$E$59,5,FALSE)</f>
        <v>40.65</v>
      </c>
      <c r="AM106" s="1">
        <f>VLOOKUP($E106,'Product Parameters'!$A$2:$F$59,6,FALSE)</f>
        <v>5</v>
      </c>
      <c r="AN106" s="1">
        <f>VLOOKUP($C106,'Substrate Heating'!$A$2:$C$33,3,FALSE)</f>
        <v>247.59097</v>
      </c>
      <c r="AO106" s="1">
        <f>VLOOKUP($C106,'Substrate Heating'!$A$2:$B$33,2,FALSE)</f>
        <v>5.5</v>
      </c>
      <c r="AP106" s="1">
        <f>VLOOKUP($C106,'Substrate Heating'!$A$2:$M$33,13,FALSE)</f>
        <v>1</v>
      </c>
      <c r="AQ106" s="1">
        <f>VLOOKUP($C106,'Substrate Heating'!$A$2:$M$33,8,FALSE)</f>
        <v>1</v>
      </c>
      <c r="AR106" s="1">
        <f t="shared" si="1"/>
        <v>9.6734693877550987E-2</v>
      </c>
    </row>
    <row r="107" spans="1:44" x14ac:dyDescent="0.2">
      <c r="A107" s="17" t="s">
        <v>323</v>
      </c>
      <c r="B107" s="18" t="s">
        <v>324</v>
      </c>
      <c r="C107" t="s">
        <v>334</v>
      </c>
      <c r="D107" s="19" t="s">
        <v>326</v>
      </c>
      <c r="E107" t="s">
        <v>313</v>
      </c>
      <c r="F107" t="s">
        <v>314</v>
      </c>
      <c r="G107">
        <v>-10</v>
      </c>
      <c r="H107">
        <v>0</v>
      </c>
      <c r="I107">
        <v>-5</v>
      </c>
      <c r="J107">
        <v>0.45</v>
      </c>
      <c r="K107">
        <v>-10</v>
      </c>
      <c r="L107">
        <v>0</v>
      </c>
      <c r="M107">
        <v>-5</v>
      </c>
      <c r="N107">
        <v>3.0557692307692301</v>
      </c>
      <c r="O107">
        <v>0.27788461538461501</v>
      </c>
      <c r="P107"/>
      <c r="Q107">
        <v>2.7788461538461501E-2</v>
      </c>
      <c r="R107">
        <v>6.1525216724108697E-2</v>
      </c>
      <c r="S107" s="1" t="str">
        <f>VLOOKUP($E107,'Product Naming'!$A$1:$P$58,2,FALSE)</f>
        <v>Styrene</v>
      </c>
      <c r="T107" s="1" t="str">
        <f>VLOOKUP($E107,'Product Naming'!$A$1:$P$58,3,FALSE)</f>
        <v>Styrene</v>
      </c>
      <c r="U107" s="1" t="str">
        <f>VLOOKUP($E107,'Product Naming'!$A$1:$P$58,4,FALSE)</f>
        <v>E-S</v>
      </c>
      <c r="V107" s="1" t="str">
        <f>VLOOKUP($E107,'Product Naming'!$A$1:$P$58,5,FALSE)</f>
        <v>C8H8</v>
      </c>
      <c r="W107" s="1">
        <f>VLOOKUP($E107,'Product Naming'!$A$1:$P$58,6,FALSE)</f>
        <v>8</v>
      </c>
      <c r="X107" s="1">
        <f>VLOOKUP($E107,'Product Naming'!$A$1:$P$58,7,FALSE)</f>
        <v>8</v>
      </c>
      <c r="Y107" s="1">
        <f>VLOOKUP($E107,'Product Naming'!$A$1:$P$58,8,FALSE)</f>
        <v>0</v>
      </c>
      <c r="Z107" s="1">
        <f>VLOOKUP($E107,'Product Naming'!$A$1:$P$58,9,FALSE)</f>
        <v>0</v>
      </c>
      <c r="AA107" s="1">
        <f>VLOOKUP($E107,'Product Naming'!$A$1:$P$58,10,FALSE)</f>
        <v>0</v>
      </c>
      <c r="AB107" s="29">
        <f>VLOOKUP($E107,'Product Naming'!$A$1:$P$58,11,FALSE)</f>
        <v>5</v>
      </c>
      <c r="AC107" s="3">
        <f>VLOOKUP($E107,'Product Naming'!$A$1:$P$58,12,FALSE)</f>
        <v>104.14832</v>
      </c>
      <c r="AD107" s="1">
        <f>VLOOKUP($E107,'Product Naming'!$A$1:$P$58,13,FALSE)</f>
        <v>145</v>
      </c>
      <c r="AE107" s="1" t="str">
        <f>VLOOKUP($E107,'Product Naming'!$A$1:$P$58,14,FALSE)</f>
        <v>Cycloalkane</v>
      </c>
      <c r="AF107" s="1" t="str">
        <f>VLOOKUP($E107,'Product Naming'!$A$1:$P$58,15,FALSE)</f>
        <v>E4P</v>
      </c>
      <c r="AG107" s="30" t="str">
        <f>VLOOKUP($E107,'Product Naming'!$A$1:$P$58,16,FALSE)</f>
        <v>Proton symporter</v>
      </c>
      <c r="AH107" s="3" t="str">
        <f>VLOOKUP($E107,'Product Naming'!$A$1:$Q$58,17,FALSE)</f>
        <v>styr_c</v>
      </c>
      <c r="AI107" s="1">
        <f>VLOOKUP($E107,'Product Parameters'!$A$2:$D$59,2,FALSE)</f>
        <v>1</v>
      </c>
      <c r="AJ107" s="1">
        <f>VLOOKUP($E107,'Product Parameters'!$A$2:$D$59,3,FALSE)</f>
        <v>0</v>
      </c>
      <c r="AK107" s="1">
        <f>VLOOKUP($E107,'Product Parameters'!$A$2:$D$59,4,FALSE)</f>
        <v>0.12</v>
      </c>
      <c r="AL107" s="1">
        <f>VLOOKUP($E107,'Product Parameters'!$A$2:$E$59,5,FALSE)</f>
        <v>43.9</v>
      </c>
      <c r="AM107" s="1">
        <f>VLOOKUP($E107,'Product Parameters'!$A$2:$F$59,6,FALSE)</f>
        <v>8</v>
      </c>
      <c r="AN107" s="1">
        <f>VLOOKUP($C107,'Substrate Heating'!$A$2:$C$33,3,FALSE)</f>
        <v>249.93333333333334</v>
      </c>
      <c r="AO107" s="1">
        <f>VLOOKUP($C107,'Substrate Heating'!$A$2:$B$33,2,FALSE)</f>
        <v>8.1456827881222953</v>
      </c>
      <c r="AP107" s="1">
        <f>VLOOKUP($C107,'Substrate Heating'!$A$2:$M$33,13,FALSE)</f>
        <v>0.66666666666666663</v>
      </c>
      <c r="AQ107" s="1">
        <f>VLOOKUP($C107,'Substrate Heating'!$A$2:$M$33,8,FALSE)</f>
        <v>0.66666666666666663</v>
      </c>
      <c r="AR107" s="1">
        <f t="shared" si="1"/>
        <v>0.33346153846153803</v>
      </c>
    </row>
    <row r="108" spans="1:44" x14ac:dyDescent="0.2">
      <c r="A108" s="8" t="s">
        <v>34</v>
      </c>
      <c r="B108" s="9" t="s">
        <v>35</v>
      </c>
      <c r="C108" s="1" t="s">
        <v>337</v>
      </c>
      <c r="D108" s="23" t="s">
        <v>338</v>
      </c>
      <c r="E108" s="1" t="s">
        <v>103</v>
      </c>
      <c r="F108" s="1" t="s">
        <v>104</v>
      </c>
      <c r="G108" s="1">
        <v>-10</v>
      </c>
      <c r="H108" s="1">
        <v>-20</v>
      </c>
      <c r="I108" s="1" t="s">
        <v>40</v>
      </c>
      <c r="J108" s="1">
        <v>3.15</v>
      </c>
      <c r="K108" s="1">
        <v>-10</v>
      </c>
      <c r="L108" s="1">
        <v>-2.4954990215264199</v>
      </c>
      <c r="M108" s="1" t="s">
        <v>40</v>
      </c>
      <c r="N108" s="1">
        <v>8.3303326810176106</v>
      </c>
      <c r="O108" s="1">
        <v>0.27827788649706398</v>
      </c>
      <c r="Q108" s="1">
        <v>2.7827788649706399E-2</v>
      </c>
      <c r="R108" s="1">
        <v>6.1769981416195503E-2</v>
      </c>
      <c r="S108" s="1" t="str">
        <f>VLOOKUP($E108,'Product Naming'!$A$1:$P$58,2,FALSE)</f>
        <v>3-Methyl-1-Pentanol</v>
      </c>
      <c r="T108" s="1" t="str">
        <f>VLOOKUP($E108,'Product Naming'!$A$1:$P$58,3,FALSE)</f>
        <v>3-Methyl-1-pentanol</v>
      </c>
      <c r="U108" s="1" t="str">
        <f>VLOOKUP($E108,'Product Naming'!$A$1:$P$58,4,FALSE)</f>
        <v>A</v>
      </c>
      <c r="V108" s="1" t="str">
        <f>VLOOKUP($E108,'Product Naming'!$A$1:$P$58,5,FALSE)</f>
        <v>C6H14O</v>
      </c>
      <c r="W108" s="1">
        <f>VLOOKUP($E108,'Product Naming'!$A$1:$P$58,6,FALSE)</f>
        <v>6</v>
      </c>
      <c r="X108" s="1">
        <f>VLOOKUP($E108,'Product Naming'!$A$1:$P$58,7,FALSE)</f>
        <v>14</v>
      </c>
      <c r="Y108" s="1">
        <f>VLOOKUP($E108,'Product Naming'!$A$1:$P$58,8,FALSE)</f>
        <v>1</v>
      </c>
      <c r="Z108" s="1">
        <f>VLOOKUP($E108,'Product Naming'!$A$1:$P$58,9,FALSE)</f>
        <v>0</v>
      </c>
      <c r="AA108" s="1">
        <f>VLOOKUP($E108,'Product Naming'!$A$1:$P$58,10,FALSE)</f>
        <v>0</v>
      </c>
      <c r="AB108" s="29">
        <f>VLOOKUP($E108,'Product Naming'!$A$1:$P$58,11,FALSE)</f>
        <v>6</v>
      </c>
      <c r="AC108" s="3">
        <f>VLOOKUP($E108,'Product Naming'!$A$1:$P$58,12,FALSE)</f>
        <v>102.17295999999999</v>
      </c>
      <c r="AD108" s="1">
        <f>VLOOKUP($E108,'Product Naming'!$A$1:$P$58,13,FALSE)</f>
        <v>153</v>
      </c>
      <c r="AE108" s="1" t="str">
        <f>VLOOKUP($E108,'Product Naming'!$A$1:$P$58,14,FALSE)</f>
        <v>Alcohol</v>
      </c>
      <c r="AF108" s="1" t="str">
        <f>VLOOKUP($E108,'Product Naming'!$A$1:$P$58,15,FALSE)</f>
        <v>Oxaloacetate</v>
      </c>
      <c r="AG108" s="30" t="str">
        <f>VLOOKUP($E108,'Product Naming'!$A$1:$P$58,16,FALSE)</f>
        <v>Proton symporter</v>
      </c>
      <c r="AH108" s="3" t="str">
        <f>VLOOKUP($E108,'Product Naming'!$A$1:$Q$58,17,FALSE)</f>
        <v>3mptoh_c</v>
      </c>
      <c r="AI108" s="1">
        <f>VLOOKUP($E108,'Product Parameters'!$A$2:$D$59,2,FALSE)</f>
        <v>1</v>
      </c>
      <c r="AJ108" s="1">
        <f>VLOOKUP($E108,'Product Parameters'!$A$2:$D$59,3,FALSE)</f>
        <v>0</v>
      </c>
      <c r="AK108" s="1">
        <f>VLOOKUP($E108,'Product Parameters'!$A$2:$D$59,4,FALSE)</f>
        <v>0.12</v>
      </c>
      <c r="AL108" s="1">
        <f>VLOOKUP($E108,'Product Parameters'!$A$2:$E$59,5,FALSE)</f>
        <v>61.7</v>
      </c>
      <c r="AM108" s="1">
        <f>VLOOKUP($E108,'Product Parameters'!$A$2:$F$59,6,FALSE)</f>
        <v>6</v>
      </c>
      <c r="AN108" s="1">
        <f>VLOOKUP($C108,'Substrate Heating'!$A$2:$C$33,3,FALSE)</f>
        <v>247.59097</v>
      </c>
      <c r="AO108" s="1">
        <f>VLOOKUP($C108,'Substrate Heating'!$A$2:$B$33,2,FALSE)</f>
        <v>5.5</v>
      </c>
      <c r="AP108" s="1">
        <f>VLOOKUP($C108,'Substrate Heating'!$A$2:$M$33,13,FALSE)</f>
        <v>1</v>
      </c>
      <c r="AQ108" s="1">
        <f>VLOOKUP($C108,'Substrate Heating'!$A$2:$M$33,8,FALSE)</f>
        <v>1</v>
      </c>
      <c r="AR108" s="1">
        <f t="shared" si="1"/>
        <v>0.16696673189823841</v>
      </c>
    </row>
    <row r="109" spans="1:44" x14ac:dyDescent="0.2">
      <c r="A109" s="8" t="s">
        <v>809</v>
      </c>
      <c r="B109" s="18" t="s">
        <v>324</v>
      </c>
      <c r="C109" t="s">
        <v>808</v>
      </c>
      <c r="D109" s="19" t="s">
        <v>326</v>
      </c>
      <c r="E109" t="s">
        <v>136</v>
      </c>
      <c r="F109" t="s">
        <v>137</v>
      </c>
      <c r="G109">
        <v>-10</v>
      </c>
      <c r="H109">
        <v>0</v>
      </c>
      <c r="I109">
        <v>-20</v>
      </c>
      <c r="J109">
        <v>0.45</v>
      </c>
      <c r="K109">
        <v>-9.8772093023255803</v>
      </c>
      <c r="L109">
        <v>0</v>
      </c>
      <c r="M109">
        <v>-20</v>
      </c>
      <c r="N109">
        <v>-9.8772093023255803</v>
      </c>
      <c r="O109">
        <v>0.24558139534883699</v>
      </c>
      <c r="P109"/>
      <c r="Q109">
        <v>2.4863439442456101E-2</v>
      </c>
      <c r="R109">
        <v>6.2614479673418197E-2</v>
      </c>
      <c r="S109" s="1" t="str">
        <f>VLOOKUP($E109,'Product Naming'!$A$1:$P$58,2,FALSE)</f>
        <v>Benzoate-PW1</v>
      </c>
      <c r="T109" s="1" t="str">
        <f>VLOOKUP($E109,'Product Naming'!$A$1:$P$58,3,FALSE)</f>
        <v>Benzoate (PW1)</v>
      </c>
      <c r="U109" s="1" t="str">
        <f>VLOOKUP($E109,'Product Naming'!$A$1:$P$58,4,FALSE)</f>
        <v>A</v>
      </c>
      <c r="V109" s="1" t="str">
        <f>VLOOKUP($E109,'Product Naming'!$A$1:$P$58,5,FALSE)</f>
        <v>C7H5O2</v>
      </c>
      <c r="W109" s="1">
        <f>VLOOKUP($E109,'Product Naming'!$A$1:$P$58,6,FALSE)</f>
        <v>7</v>
      </c>
      <c r="X109" s="1">
        <f>VLOOKUP($E109,'Product Naming'!$A$1:$P$58,7,FALSE)</f>
        <v>5</v>
      </c>
      <c r="Y109" s="1">
        <f>VLOOKUP($E109,'Product Naming'!$A$1:$P$58,8,FALSE)</f>
        <v>2</v>
      </c>
      <c r="Z109" s="1">
        <f>VLOOKUP($E109,'Product Naming'!$A$1:$P$58,9,FALSE)</f>
        <v>0</v>
      </c>
      <c r="AA109" s="1">
        <f>VLOOKUP($E109,'Product Naming'!$A$1:$P$58,10,FALSE)</f>
        <v>-1</v>
      </c>
      <c r="AB109" s="29">
        <f>VLOOKUP($E109,'Product Naming'!$A$1:$P$58,11,FALSE)</f>
        <v>4.1428571428571432</v>
      </c>
      <c r="AC109" s="3">
        <f>VLOOKUP($E109,'Product Naming'!$A$1:$P$58,12,FALSE)</f>
        <v>121.1121</v>
      </c>
      <c r="AD109" s="1">
        <f>VLOOKUP($E109,'Product Naming'!$A$1:$P$58,13,FALSE)</f>
        <v>249.2</v>
      </c>
      <c r="AE109" s="1" t="str">
        <f>VLOOKUP($E109,'Product Naming'!$A$1:$P$58,14,FALSE)</f>
        <v>Aromatic + Carboxylate</v>
      </c>
      <c r="AF109" s="1" t="str">
        <f>VLOOKUP($E109,'Product Naming'!$A$1:$P$58,15,FALSE)</f>
        <v>E4P + aKG</v>
      </c>
      <c r="AG109" s="30" t="str">
        <f>VLOOKUP($E109,'Product Naming'!$A$1:$P$58,16,FALSE)</f>
        <v>Proton symporter</v>
      </c>
      <c r="AH109" s="3" t="str">
        <f>VLOOKUP($E109,'Product Naming'!$A$1:$Q$58,17,FALSE)</f>
        <v>bz_c</v>
      </c>
      <c r="AI109" s="1">
        <f>VLOOKUP($E109,'Product Parameters'!$A$2:$D$59,2,FALSE)</f>
        <v>1</v>
      </c>
      <c r="AJ109" s="1">
        <f>VLOOKUP($E109,'Product Parameters'!$A$2:$D$59,3,FALSE)</f>
        <v>0</v>
      </c>
      <c r="AK109" s="1">
        <f>VLOOKUP($E109,'Product Parameters'!$A$2:$D$59,4,FALSE)</f>
        <v>0.12</v>
      </c>
      <c r="AL109" s="1">
        <f>VLOOKUP($E109,'Product Parameters'!$A$2:$E$59,5,FALSE)</f>
        <v>40.65</v>
      </c>
      <c r="AM109" s="1">
        <f>VLOOKUP($E109,'Product Parameters'!$A$2:$F$59,6,FALSE)</f>
        <v>7</v>
      </c>
      <c r="AN109" s="1">
        <f>VLOOKUP($C109,'Substrate Heating'!$A$2:$C$33,3,FALSE)</f>
        <v>120.9</v>
      </c>
      <c r="AO109" s="1">
        <f>VLOOKUP($C109,'Substrate Heating'!$A$2:$B$33,2,FALSE)</f>
        <v>5.2537372583834907</v>
      </c>
      <c r="AP109" s="1">
        <f>VLOOKUP($C109,'Substrate Heating'!$A$2:$M$33,13,FALSE)</f>
        <v>0</v>
      </c>
      <c r="AQ109" s="1">
        <f>VLOOKUP($C109,'Substrate Heating'!$A$2:$M$33,8,FALSE)</f>
        <v>0.33333333333333331</v>
      </c>
      <c r="AR109" s="1">
        <f t="shared" si="1"/>
        <v>0.52213222829157813</v>
      </c>
    </row>
    <row r="110" spans="1:44" x14ac:dyDescent="0.2">
      <c r="A110" s="8" t="s">
        <v>34</v>
      </c>
      <c r="B110" s="9" t="s">
        <v>35</v>
      </c>
      <c r="C110" s="1" t="s">
        <v>339</v>
      </c>
      <c r="D110" s="23" t="s">
        <v>338</v>
      </c>
      <c r="E110" s="1" t="s">
        <v>192</v>
      </c>
      <c r="F110" s="1" t="s">
        <v>193</v>
      </c>
      <c r="G110" s="1">
        <v>-10</v>
      </c>
      <c r="H110" s="1">
        <v>-20</v>
      </c>
      <c r="I110" s="1" t="s">
        <v>40</v>
      </c>
      <c r="J110" s="1">
        <v>3.15</v>
      </c>
      <c r="K110" s="1">
        <v>-10</v>
      </c>
      <c r="L110" s="1">
        <v>-3.3197761194029898</v>
      </c>
      <c r="M110" s="1" t="s">
        <v>40</v>
      </c>
      <c r="N110" s="1">
        <v>8.4082089552238806</v>
      </c>
      <c r="O110" s="1">
        <v>0.17686567164179201</v>
      </c>
      <c r="Q110" s="1">
        <v>1.7686567164179198E-2</v>
      </c>
      <c r="R110" s="1">
        <v>6.2688601319229306E-2</v>
      </c>
      <c r="S110" s="1" t="str">
        <f>VLOOKUP($E110,'Product Naming'!$A$1:$P$58,2,FALSE)</f>
        <v>Coumaric acid</v>
      </c>
      <c r="T110" s="1" t="str">
        <f>VLOOKUP($E110,'Product Naming'!$A$1:$P$58,3,FALSE)</f>
        <v>Coumaric acid</v>
      </c>
      <c r="U110" s="1" t="str">
        <f>VLOOKUP($E110,'Product Naming'!$A$1:$P$58,4,FALSE)</f>
        <v>E</v>
      </c>
      <c r="V110" s="1" t="str">
        <f>VLOOKUP($E110,'Product Naming'!$A$1:$P$58,5,FALSE)</f>
        <v>C9H7O3</v>
      </c>
      <c r="W110" s="1">
        <f>VLOOKUP($E110,'Product Naming'!$A$1:$P$58,6,FALSE)</f>
        <v>9</v>
      </c>
      <c r="X110" s="1">
        <f>VLOOKUP($E110,'Product Naming'!$A$1:$P$58,7,FALSE)</f>
        <v>7</v>
      </c>
      <c r="Y110" s="1">
        <f>VLOOKUP($E110,'Product Naming'!$A$1:$P$58,8,FALSE)</f>
        <v>3</v>
      </c>
      <c r="Z110" s="1">
        <f>VLOOKUP($E110,'Product Naming'!$A$1:$P$58,9,FALSE)</f>
        <v>0</v>
      </c>
      <c r="AA110" s="1">
        <f>VLOOKUP($E110,'Product Naming'!$A$1:$P$58,10,FALSE)</f>
        <v>-1</v>
      </c>
      <c r="AB110" s="29">
        <f>VLOOKUP($E110,'Product Naming'!$A$1:$P$58,11,FALSE)</f>
        <v>4.1111111111111107</v>
      </c>
      <c r="AC110" s="3">
        <f>VLOOKUP($E110,'Product Naming'!$A$1:$P$58,12,FALSE)</f>
        <v>163.14818</v>
      </c>
      <c r="AD110" s="1">
        <f>VLOOKUP($E110,'Product Naming'!$A$1:$P$58,13,FALSE)</f>
        <v>346</v>
      </c>
      <c r="AE110" s="1" t="str">
        <f>VLOOKUP($E110,'Product Naming'!$A$1:$P$58,14,FALSE)</f>
        <v>Aromatic + Alcohol + Carboxylate</v>
      </c>
      <c r="AF110" s="1" t="str">
        <f>VLOOKUP($E110,'Product Naming'!$A$1:$P$58,15,FALSE)</f>
        <v>E4P + L-glutamate</v>
      </c>
      <c r="AG110" s="30" t="str">
        <f>VLOOKUP($E110,'Product Naming'!$A$1:$P$58,16,FALSE)</f>
        <v>Proton symporter</v>
      </c>
      <c r="AH110" s="3" t="str">
        <f>VLOOKUP($E110,'Product Naming'!$A$1:$Q$58,17,FALSE)</f>
        <v>T4hcinnm_c</v>
      </c>
      <c r="AI110" s="1">
        <f>VLOOKUP($E110,'Product Parameters'!$A$2:$D$59,2,FALSE)</f>
        <v>1</v>
      </c>
      <c r="AJ110" s="1">
        <f>VLOOKUP($E110,'Product Parameters'!$A$2:$D$59,3,FALSE)</f>
        <v>0</v>
      </c>
      <c r="AK110" s="1">
        <f>VLOOKUP($E110,'Product Parameters'!$A$2:$D$59,4,FALSE)</f>
        <v>0.12</v>
      </c>
      <c r="AL110" s="1">
        <f>VLOOKUP($E110,'Product Parameters'!$A$2:$E$59,5,FALSE)</f>
        <v>40.65</v>
      </c>
      <c r="AM110" s="1">
        <f>VLOOKUP($E110,'Product Parameters'!$A$2:$F$59,6,FALSE)</f>
        <v>9</v>
      </c>
      <c r="AN110" s="1">
        <f>VLOOKUP($C110,'Substrate Heating'!$A$2:$C$33,3,FALSE)</f>
        <v>247.59097</v>
      </c>
      <c r="AO110" s="1">
        <f>VLOOKUP($C110,'Substrate Heating'!$A$2:$B$33,2,FALSE)</f>
        <v>5.5</v>
      </c>
      <c r="AP110" s="1">
        <f>VLOOKUP($C110,'Substrate Heating'!$A$2:$M$33,13,FALSE)</f>
        <v>1</v>
      </c>
      <c r="AQ110" s="1">
        <f>VLOOKUP($C110,'Substrate Heating'!$A$2:$M$33,8,FALSE)</f>
        <v>1</v>
      </c>
      <c r="AR110" s="1">
        <f t="shared" si="1"/>
        <v>0.1591791044776128</v>
      </c>
    </row>
    <row r="111" spans="1:44" x14ac:dyDescent="0.2">
      <c r="A111" s="8" t="s">
        <v>34</v>
      </c>
      <c r="B111" s="9" t="s">
        <v>35</v>
      </c>
      <c r="C111" s="1" t="s">
        <v>339</v>
      </c>
      <c r="D111" s="23" t="s">
        <v>338</v>
      </c>
      <c r="E111" s="1" t="s">
        <v>114</v>
      </c>
      <c r="F111" s="1" t="s">
        <v>115</v>
      </c>
      <c r="G111" s="1">
        <v>-10</v>
      </c>
      <c r="H111" s="1">
        <v>-20</v>
      </c>
      <c r="I111" s="1" t="s">
        <v>40</v>
      </c>
      <c r="J111" s="1">
        <v>3.15</v>
      </c>
      <c r="K111" s="1">
        <v>-10</v>
      </c>
      <c r="L111" s="1">
        <v>-3.5187499999999998</v>
      </c>
      <c r="M111" s="1" t="s">
        <v>40</v>
      </c>
      <c r="N111" s="1">
        <v>8.765625</v>
      </c>
      <c r="O111" s="1">
        <v>0.24687500000000001</v>
      </c>
      <c r="Q111" s="1">
        <v>2.4687500000000001E-2</v>
      </c>
      <c r="R111" s="1">
        <v>6.2829209085023596E-2</v>
      </c>
      <c r="S111" s="1" t="str">
        <f>VLOOKUP($E111,'Product Naming'!$A$1:$P$58,2,FALSE)</f>
        <v>5-Aminopentanoate</v>
      </c>
      <c r="T111" s="1" t="str">
        <f>VLOOKUP($E111,'Product Naming'!$A$1:$P$58,3,FALSE)</f>
        <v>5-Aminopentanoate</v>
      </c>
      <c r="U111" s="1" t="str">
        <f>VLOOKUP($E111,'Product Naming'!$A$1:$P$58,4,FALSE)</f>
        <v>A</v>
      </c>
      <c r="V111" s="1" t="str">
        <f>VLOOKUP($E111,'Product Naming'!$A$1:$P$58,5,FALSE)</f>
        <v>C5H11NO2</v>
      </c>
      <c r="W111" s="1">
        <f>VLOOKUP($E111,'Product Naming'!$A$1:$P$58,6,FALSE)</f>
        <v>5</v>
      </c>
      <c r="X111" s="1">
        <f>VLOOKUP($E111,'Product Naming'!$A$1:$P$58,7,FALSE)</f>
        <v>11</v>
      </c>
      <c r="Y111" s="1">
        <f>VLOOKUP($E111,'Product Naming'!$A$1:$P$58,8,FALSE)</f>
        <v>2</v>
      </c>
      <c r="Z111" s="1">
        <f>VLOOKUP($E111,'Product Naming'!$A$1:$P$58,9,FALSE)</f>
        <v>1</v>
      </c>
      <c r="AA111" s="1">
        <f>VLOOKUP($E111,'Product Naming'!$A$1:$P$58,10,FALSE)</f>
        <v>0</v>
      </c>
      <c r="AB111" s="29">
        <f>VLOOKUP($E111,'Product Naming'!$A$1:$P$58,11,FALSE)</f>
        <v>4.8</v>
      </c>
      <c r="AC111" s="3">
        <f>VLOOKUP($E111,'Product Naming'!$A$1:$P$58,12,FALSE)</f>
        <v>117.14444</v>
      </c>
      <c r="AD111" s="1">
        <f>VLOOKUP($E111,'Product Naming'!$A$1:$P$58,13,FALSE)</f>
        <v>247.5</v>
      </c>
      <c r="AE111" s="1" t="str">
        <f>VLOOKUP($E111,'Product Naming'!$A$1:$P$58,14,FALSE)</f>
        <v>D-Amino Acid</v>
      </c>
      <c r="AF111" s="1" t="str">
        <f>VLOOKUP($E111,'Product Naming'!$A$1:$P$58,15,FALSE)</f>
        <v>Oxaloacetate</v>
      </c>
      <c r="AG111" s="30" t="str">
        <f>VLOOKUP($E111,'Product Naming'!$A$1:$P$58,16,FALSE)</f>
        <v>Proton symporter</v>
      </c>
      <c r="AH111" s="3" t="str">
        <f>VLOOKUP($E111,'Product Naming'!$A$1:$Q$58,17,FALSE)</f>
        <v>5aptn_c</v>
      </c>
      <c r="AI111" s="1">
        <f>VLOOKUP($E111,'Product Parameters'!$A$2:$D$59,2,FALSE)</f>
        <v>1</v>
      </c>
      <c r="AJ111" s="1">
        <f>VLOOKUP($E111,'Product Parameters'!$A$2:$D$59,3,FALSE)</f>
        <v>0</v>
      </c>
      <c r="AK111" s="1">
        <f>VLOOKUP($E111,'Product Parameters'!$A$2:$D$59,4,FALSE)</f>
        <v>0.12</v>
      </c>
      <c r="AL111" s="1">
        <f>VLOOKUP($E111,'Product Parameters'!$A$2:$E$59,5,FALSE)</f>
        <v>40.65</v>
      </c>
      <c r="AM111" s="1">
        <f>VLOOKUP($E111,'Product Parameters'!$A$2:$F$59,6,FALSE)</f>
        <v>5</v>
      </c>
      <c r="AN111" s="1">
        <f>VLOOKUP($C111,'Substrate Heating'!$A$2:$C$33,3,FALSE)</f>
        <v>247.59097</v>
      </c>
      <c r="AO111" s="1">
        <f>VLOOKUP($C111,'Substrate Heating'!$A$2:$B$33,2,FALSE)</f>
        <v>5.5</v>
      </c>
      <c r="AP111" s="1">
        <f>VLOOKUP($C111,'Substrate Heating'!$A$2:$M$33,13,FALSE)</f>
        <v>1</v>
      </c>
      <c r="AQ111" s="1">
        <f>VLOOKUP($C111,'Substrate Heating'!$A$2:$M$33,8,FALSE)</f>
        <v>1</v>
      </c>
      <c r="AR111" s="1">
        <f t="shared" si="1"/>
        <v>0.12343750000000001</v>
      </c>
    </row>
    <row r="112" spans="1:44" x14ac:dyDescent="0.2">
      <c r="A112" s="8" t="s">
        <v>34</v>
      </c>
      <c r="B112" s="9" t="s">
        <v>35</v>
      </c>
      <c r="C112" s="1" t="s">
        <v>337</v>
      </c>
      <c r="D112" s="23" t="s">
        <v>338</v>
      </c>
      <c r="E112" s="1" t="s">
        <v>91</v>
      </c>
      <c r="F112" s="1" t="s">
        <v>92</v>
      </c>
      <c r="G112" s="1">
        <v>-10</v>
      </c>
      <c r="H112" s="1">
        <v>-20</v>
      </c>
      <c r="I112" s="1" t="s">
        <v>40</v>
      </c>
      <c r="J112" s="1">
        <v>3.15</v>
      </c>
      <c r="K112" s="1">
        <v>-10</v>
      </c>
      <c r="L112" s="1">
        <v>-2.53125</v>
      </c>
      <c r="M112" s="1" t="s">
        <v>40</v>
      </c>
      <c r="N112" s="1">
        <v>8.3541666666666696</v>
      </c>
      <c r="O112" s="1">
        <v>0.329166666666668</v>
      </c>
      <c r="Q112" s="1">
        <v>3.2916666666666802E-2</v>
      </c>
      <c r="R112" s="1">
        <v>6.3035342294234104E-2</v>
      </c>
      <c r="S112" s="1" t="str">
        <f>VLOOKUP($E112,'Product Naming'!$A$1:$P$58,2,FALSE)</f>
        <v>2-Methyl-1-Butanol</v>
      </c>
      <c r="T112" s="1" t="str">
        <f>VLOOKUP($E112,'Product Naming'!$A$1:$P$58,3,FALSE)</f>
        <v>2-Methyl-1-butanol</v>
      </c>
      <c r="U112" s="1" t="str">
        <f>VLOOKUP($E112,'Product Naming'!$A$1:$P$58,4,FALSE)</f>
        <v>A</v>
      </c>
      <c r="V112" s="1" t="str">
        <f>VLOOKUP($E112,'Product Naming'!$A$1:$P$58,5,FALSE)</f>
        <v>C5H12O</v>
      </c>
      <c r="W112" s="1">
        <f>VLOOKUP($E112,'Product Naming'!$A$1:$P$58,6,FALSE)</f>
        <v>5</v>
      </c>
      <c r="X112" s="1">
        <f>VLOOKUP($E112,'Product Naming'!$A$1:$P$58,7,FALSE)</f>
        <v>12</v>
      </c>
      <c r="Y112" s="1">
        <f>VLOOKUP($E112,'Product Naming'!$A$1:$P$58,8,FALSE)</f>
        <v>1</v>
      </c>
      <c r="Z112" s="1">
        <f>VLOOKUP($E112,'Product Naming'!$A$1:$P$58,9,FALSE)</f>
        <v>0</v>
      </c>
      <c r="AA112" s="1">
        <f>VLOOKUP($E112,'Product Naming'!$A$1:$P$58,10,FALSE)</f>
        <v>0</v>
      </c>
      <c r="AB112" s="29">
        <f>VLOOKUP($E112,'Product Naming'!$A$1:$P$58,11,FALSE)</f>
        <v>6</v>
      </c>
      <c r="AC112" s="3">
        <f>VLOOKUP($E112,'Product Naming'!$A$1:$P$58,12,FALSE)</f>
        <v>88.14658</v>
      </c>
      <c r="AD112" s="1">
        <f>VLOOKUP($E112,'Product Naming'!$A$1:$P$58,13,FALSE)</f>
        <v>129</v>
      </c>
      <c r="AE112" s="1" t="str">
        <f>VLOOKUP($E112,'Product Naming'!$A$1:$P$58,14,FALSE)</f>
        <v>Alcohol</v>
      </c>
      <c r="AF112" s="1" t="str">
        <f>VLOOKUP($E112,'Product Naming'!$A$1:$P$58,15,FALSE)</f>
        <v>PEP</v>
      </c>
      <c r="AG112" s="30" t="str">
        <f>VLOOKUP($E112,'Product Naming'!$A$1:$P$58,16,FALSE)</f>
        <v>Proton symporter</v>
      </c>
      <c r="AH112" s="3" t="str">
        <f>VLOOKUP($E112,'Product Naming'!$A$1:$Q$58,17,FALSE)</f>
        <v>2mbtoh_c</v>
      </c>
      <c r="AI112" s="1">
        <f>VLOOKUP($E112,'Product Parameters'!$A$2:$D$59,2,FALSE)</f>
        <v>1</v>
      </c>
      <c r="AJ112" s="1">
        <f>VLOOKUP($E112,'Product Parameters'!$A$2:$D$59,3,FALSE)</f>
        <v>0</v>
      </c>
      <c r="AK112" s="1">
        <f>VLOOKUP($E112,'Product Parameters'!$A$2:$D$59,4,FALSE)</f>
        <v>0.12</v>
      </c>
      <c r="AL112" s="1">
        <f>VLOOKUP($E112,'Product Parameters'!$A$2:$E$59,5,FALSE)</f>
        <v>54.6</v>
      </c>
      <c r="AM112" s="1">
        <f>VLOOKUP($E112,'Product Parameters'!$A$2:$F$59,6,FALSE)</f>
        <v>5</v>
      </c>
      <c r="AN112" s="1">
        <f>VLOOKUP($C112,'Substrate Heating'!$A$2:$C$33,3,FALSE)</f>
        <v>247.59097</v>
      </c>
      <c r="AO112" s="1">
        <f>VLOOKUP($C112,'Substrate Heating'!$A$2:$B$33,2,FALSE)</f>
        <v>5.5</v>
      </c>
      <c r="AP112" s="1">
        <f>VLOOKUP($C112,'Substrate Heating'!$A$2:$M$33,13,FALSE)</f>
        <v>1</v>
      </c>
      <c r="AQ112" s="1">
        <f>VLOOKUP($C112,'Substrate Heating'!$A$2:$M$33,8,FALSE)</f>
        <v>1</v>
      </c>
      <c r="AR112" s="1">
        <f t="shared" si="1"/>
        <v>0.16458333333333403</v>
      </c>
    </row>
    <row r="113" spans="1:44" x14ac:dyDescent="0.2">
      <c r="A113" s="8" t="s">
        <v>34</v>
      </c>
      <c r="B113" s="9" t="s">
        <v>35</v>
      </c>
      <c r="C113" s="1" t="s">
        <v>339</v>
      </c>
      <c r="D113" s="23" t="s">
        <v>338</v>
      </c>
      <c r="E113" s="1" t="s">
        <v>175</v>
      </c>
      <c r="F113" s="1" t="s">
        <v>176</v>
      </c>
      <c r="G113" s="1">
        <v>-10</v>
      </c>
      <c r="H113" s="1">
        <v>-20</v>
      </c>
      <c r="I113" s="1" t="s">
        <v>40</v>
      </c>
      <c r="J113" s="1">
        <v>3.15</v>
      </c>
      <c r="K113" s="1">
        <v>-10</v>
      </c>
      <c r="L113" s="1">
        <v>-3.2787709497206698</v>
      </c>
      <c r="M113" s="1" t="s">
        <v>40</v>
      </c>
      <c r="N113" s="1">
        <v>8.4111731843575406</v>
      </c>
      <c r="O113" s="1">
        <v>0.26480446927374401</v>
      </c>
      <c r="Q113" s="1">
        <v>2.6480446927374401E-2</v>
      </c>
      <c r="R113" s="1">
        <v>6.3344932087907202E-2</v>
      </c>
      <c r="S113" s="1" t="str">
        <f>VLOOKUP($E113,'Product Naming'!$A$1:$P$58,2,FALSE)</f>
        <v>Catechol</v>
      </c>
      <c r="T113" s="1" t="str">
        <f>VLOOKUP($E113,'Product Naming'!$A$1:$P$58,3,FALSE)</f>
        <v>Catechol</v>
      </c>
      <c r="U113" s="1" t="str">
        <f>VLOOKUP($E113,'Product Naming'!$A$1:$P$58,4,FALSE)</f>
        <v>E</v>
      </c>
      <c r="V113" s="1" t="str">
        <f>VLOOKUP($E113,'Product Naming'!$A$1:$P$58,5,FALSE)</f>
        <v>C6H6O2</v>
      </c>
      <c r="W113" s="1">
        <f>VLOOKUP($E113,'Product Naming'!$A$1:$P$58,6,FALSE)</f>
        <v>6</v>
      </c>
      <c r="X113" s="1">
        <f>VLOOKUP($E113,'Product Naming'!$A$1:$P$58,7,FALSE)</f>
        <v>6</v>
      </c>
      <c r="Y113" s="1">
        <f>VLOOKUP($E113,'Product Naming'!$A$1:$P$58,8,FALSE)</f>
        <v>2</v>
      </c>
      <c r="Z113" s="1">
        <f>VLOOKUP($E113,'Product Naming'!$A$1:$P$58,9,FALSE)</f>
        <v>0</v>
      </c>
      <c r="AA113" s="1">
        <f>VLOOKUP($E113,'Product Naming'!$A$1:$P$58,10,FALSE)</f>
        <v>0</v>
      </c>
      <c r="AB113" s="29">
        <f>VLOOKUP($E113,'Product Naming'!$A$1:$P$58,11,FALSE)</f>
        <v>4.333333333333333</v>
      </c>
      <c r="AC113" s="3">
        <f>VLOOKUP($E113,'Product Naming'!$A$1:$P$58,12,FALSE)</f>
        <v>110.10924</v>
      </c>
      <c r="AD113" s="1">
        <f>VLOOKUP($E113,'Product Naming'!$A$1:$P$58,13,FALSE)</f>
        <v>245</v>
      </c>
      <c r="AE113" s="1" t="str">
        <f>VLOOKUP($E113,'Product Naming'!$A$1:$P$58,14,FALSE)</f>
        <v>Aromatic + Diol</v>
      </c>
      <c r="AF113" s="1" t="str">
        <f>VLOOKUP($E113,'Product Naming'!$A$1:$P$58,15,FALSE)</f>
        <v>Glyceraldehyde 3-P</v>
      </c>
      <c r="AG113" s="30" t="str">
        <f>VLOOKUP($E113,'Product Naming'!$A$1:$P$58,16,FALSE)</f>
        <v>Proton symporter</v>
      </c>
      <c r="AH113" s="3" t="str">
        <f>VLOOKUP($E113,'Product Naming'!$A$1:$Q$58,17,FALSE)</f>
        <v>catechol_c</v>
      </c>
      <c r="AI113" s="1">
        <f>VLOOKUP($E113,'Product Parameters'!$A$2:$D$59,2,FALSE)</f>
        <v>1</v>
      </c>
      <c r="AJ113" s="1">
        <f>VLOOKUP($E113,'Product Parameters'!$A$2:$D$59,3,FALSE)</f>
        <v>0</v>
      </c>
      <c r="AK113" s="1">
        <f>VLOOKUP($E113,'Product Parameters'!$A$2:$D$59,4,FALSE)</f>
        <v>0.12</v>
      </c>
      <c r="AL113" s="1">
        <f>VLOOKUP($E113,'Product Parameters'!$A$2:$E$59,5,FALSE)</f>
        <v>40.65</v>
      </c>
      <c r="AM113" s="1">
        <f>VLOOKUP($E113,'Product Parameters'!$A$2:$F$59,6,FALSE)</f>
        <v>6</v>
      </c>
      <c r="AN113" s="1">
        <f>VLOOKUP($C113,'Substrate Heating'!$A$2:$C$33,3,FALSE)</f>
        <v>247.59097</v>
      </c>
      <c r="AO113" s="1">
        <f>VLOOKUP($C113,'Substrate Heating'!$A$2:$B$33,2,FALSE)</f>
        <v>5.5</v>
      </c>
      <c r="AP113" s="1">
        <f>VLOOKUP($C113,'Substrate Heating'!$A$2:$M$33,13,FALSE)</f>
        <v>1</v>
      </c>
      <c r="AQ113" s="1">
        <f>VLOOKUP($C113,'Substrate Heating'!$A$2:$M$33,8,FALSE)</f>
        <v>1</v>
      </c>
      <c r="AR113" s="1">
        <f t="shared" si="1"/>
        <v>0.1588826815642464</v>
      </c>
    </row>
    <row r="114" spans="1:44" x14ac:dyDescent="0.2">
      <c r="A114" s="8" t="s">
        <v>34</v>
      </c>
      <c r="B114" s="9" t="s">
        <v>35</v>
      </c>
      <c r="C114" s="1" t="s">
        <v>337</v>
      </c>
      <c r="D114" s="23" t="s">
        <v>338</v>
      </c>
      <c r="E114" s="1" t="s">
        <v>295</v>
      </c>
      <c r="F114" s="1" t="s">
        <v>292</v>
      </c>
      <c r="G114" s="1">
        <v>-10</v>
      </c>
      <c r="H114" s="1">
        <v>-20</v>
      </c>
      <c r="I114" s="1" t="s">
        <v>40</v>
      </c>
      <c r="J114" s="1">
        <v>3.15</v>
      </c>
      <c r="K114" s="1">
        <v>-10</v>
      </c>
      <c r="L114" s="1">
        <v>-2.5139860139860102</v>
      </c>
      <c r="M114" s="1" t="s">
        <v>40</v>
      </c>
      <c r="N114" s="1">
        <v>8.34265734265737</v>
      </c>
      <c r="O114" s="1">
        <v>0.331468531468536</v>
      </c>
      <c r="Q114" s="1">
        <v>3.3146853146853603E-2</v>
      </c>
      <c r="R114" s="1">
        <v>6.3476148883704897E-2</v>
      </c>
      <c r="S114" s="1" t="str">
        <f>VLOOKUP($E114,'Product Naming'!$A$1:$P$58,2,FALSE)</f>
        <v>Pentanol-PW2</v>
      </c>
      <c r="T114" s="1" t="str">
        <f>VLOOKUP($E114,'Product Naming'!$A$1:$P$58,3,FALSE)</f>
        <v>Pentanol (PW2)</v>
      </c>
      <c r="U114" s="1" t="str">
        <f>VLOOKUP($E114,'Product Naming'!$A$1:$P$58,4,FALSE)</f>
        <v>E</v>
      </c>
      <c r="V114" s="1" t="str">
        <f>VLOOKUP($E114,'Product Naming'!$A$1:$P$58,5,FALSE)</f>
        <v>C5H12O</v>
      </c>
      <c r="W114" s="1">
        <f>VLOOKUP($E114,'Product Naming'!$A$1:$P$58,6,FALSE)</f>
        <v>5</v>
      </c>
      <c r="X114" s="1">
        <f>VLOOKUP($E114,'Product Naming'!$A$1:$P$58,7,FALSE)</f>
        <v>12</v>
      </c>
      <c r="Y114" s="1">
        <f>VLOOKUP($E114,'Product Naming'!$A$1:$P$58,8,FALSE)</f>
        <v>1</v>
      </c>
      <c r="Z114" s="1">
        <f>VLOOKUP($E114,'Product Naming'!$A$1:$P$58,9,FALSE)</f>
        <v>0</v>
      </c>
      <c r="AA114" s="1">
        <f>VLOOKUP($E114,'Product Naming'!$A$1:$P$58,10,FALSE)</f>
        <v>0</v>
      </c>
      <c r="AB114" s="29">
        <f>VLOOKUP($E114,'Product Naming'!$A$1:$P$58,11,FALSE)</f>
        <v>6</v>
      </c>
      <c r="AC114" s="3">
        <f>VLOOKUP($E114,'Product Naming'!$A$1:$P$58,12,FALSE)</f>
        <v>88.14658</v>
      </c>
      <c r="AD114" s="1">
        <f>VLOOKUP($E114,'Product Naming'!$A$1:$P$58,13,FALSE)</f>
        <v>138</v>
      </c>
      <c r="AE114" s="1" t="str">
        <f>VLOOKUP($E114,'Product Naming'!$A$1:$P$58,14,FALSE)</f>
        <v>Alcohol</v>
      </c>
      <c r="AF114" s="1" t="str">
        <f>VLOOKUP($E114,'Product Naming'!$A$1:$P$58,15,FALSE)</f>
        <v>Oxaloacetate</v>
      </c>
      <c r="AG114" s="30" t="str">
        <f>VLOOKUP($E114,'Product Naming'!$A$1:$P$58,16,FALSE)</f>
        <v>Proton symporter</v>
      </c>
      <c r="AH114" s="3" t="str">
        <f>VLOOKUP($E114,'Product Naming'!$A$1:$Q$58,17,FALSE)</f>
        <v>pentoh_c</v>
      </c>
      <c r="AI114" s="1">
        <f>VLOOKUP($E114,'Product Parameters'!$A$2:$D$59,2,FALSE)</f>
        <v>1</v>
      </c>
      <c r="AJ114" s="1">
        <f>VLOOKUP($E114,'Product Parameters'!$A$2:$D$59,3,FALSE)</f>
        <v>0</v>
      </c>
      <c r="AK114" s="1">
        <f>VLOOKUP($E114,'Product Parameters'!$A$2:$D$59,4,FALSE)</f>
        <v>0.12</v>
      </c>
      <c r="AL114" s="1">
        <f>VLOOKUP($E114,'Product Parameters'!$A$2:$E$59,5,FALSE)</f>
        <v>57</v>
      </c>
      <c r="AM114" s="1">
        <f>VLOOKUP($E114,'Product Parameters'!$A$2:$F$59,6,FALSE)</f>
        <v>5</v>
      </c>
      <c r="AN114" s="1">
        <f>VLOOKUP($C114,'Substrate Heating'!$A$2:$C$33,3,FALSE)</f>
        <v>247.59097</v>
      </c>
      <c r="AO114" s="1">
        <f>VLOOKUP($C114,'Substrate Heating'!$A$2:$B$33,2,FALSE)</f>
        <v>5.5</v>
      </c>
      <c r="AP114" s="1">
        <f>VLOOKUP($C114,'Substrate Heating'!$A$2:$M$33,13,FALSE)</f>
        <v>1</v>
      </c>
      <c r="AQ114" s="1">
        <f>VLOOKUP($C114,'Substrate Heating'!$A$2:$M$33,8,FALSE)</f>
        <v>1</v>
      </c>
      <c r="AR114" s="1">
        <f t="shared" si="1"/>
        <v>0.16573426573426803</v>
      </c>
    </row>
    <row r="115" spans="1:44" x14ac:dyDescent="0.2">
      <c r="A115" s="17" t="s">
        <v>323</v>
      </c>
      <c r="B115" s="18" t="s">
        <v>324</v>
      </c>
      <c r="C115" t="s">
        <v>334</v>
      </c>
      <c r="D115" s="19" t="s">
        <v>326</v>
      </c>
      <c r="E115" t="s">
        <v>143</v>
      </c>
      <c r="F115" t="s">
        <v>137</v>
      </c>
      <c r="G115">
        <v>-10</v>
      </c>
      <c r="H115">
        <v>0</v>
      </c>
      <c r="I115">
        <v>-5</v>
      </c>
      <c r="J115">
        <v>0.45</v>
      </c>
      <c r="K115">
        <v>-10</v>
      </c>
      <c r="L115">
        <v>0</v>
      </c>
      <c r="M115">
        <v>-5</v>
      </c>
      <c r="N115">
        <v>2.6251082251082201</v>
      </c>
      <c r="O115">
        <v>0.25021645021645</v>
      </c>
      <c r="P115"/>
      <c r="Q115">
        <v>2.5021645021645E-2</v>
      </c>
      <c r="R115">
        <v>6.4422826172542996E-2</v>
      </c>
      <c r="S115" s="1" t="str">
        <f>VLOOKUP($E115,'Product Naming'!$A$1:$P$58,2,FALSE)</f>
        <v>Benzoate-PW2</v>
      </c>
      <c r="T115" s="1" t="str">
        <f>VLOOKUP($E115,'Product Naming'!$A$1:$P$58,3,FALSE)</f>
        <v>Benzoate (PW2)</v>
      </c>
      <c r="U115" s="1" t="str">
        <f>VLOOKUP($E115,'Product Naming'!$A$1:$P$58,4,FALSE)</f>
        <v>A</v>
      </c>
      <c r="V115" s="1" t="str">
        <f>VLOOKUP($E115,'Product Naming'!$A$1:$P$58,5,FALSE)</f>
        <v>C7H5O2</v>
      </c>
      <c r="W115" s="1">
        <f>VLOOKUP($E115,'Product Naming'!$A$1:$P$58,6,FALSE)</f>
        <v>7</v>
      </c>
      <c r="X115" s="1">
        <f>VLOOKUP($E115,'Product Naming'!$A$1:$P$58,7,FALSE)</f>
        <v>5</v>
      </c>
      <c r="Y115" s="1">
        <f>VLOOKUP($E115,'Product Naming'!$A$1:$P$58,8,FALSE)</f>
        <v>2</v>
      </c>
      <c r="Z115" s="1">
        <f>VLOOKUP($E115,'Product Naming'!$A$1:$P$58,9,FALSE)</f>
        <v>0</v>
      </c>
      <c r="AA115" s="1">
        <f>VLOOKUP($E115,'Product Naming'!$A$1:$P$58,10,FALSE)</f>
        <v>-1</v>
      </c>
      <c r="AB115" s="29">
        <f>VLOOKUP($E115,'Product Naming'!$A$1:$P$58,11,FALSE)</f>
        <v>4.1428571428571432</v>
      </c>
      <c r="AC115" s="3">
        <f>VLOOKUP($E115,'Product Naming'!$A$1:$P$58,12,FALSE)</f>
        <v>121.1121</v>
      </c>
      <c r="AD115" s="1">
        <f>VLOOKUP($E115,'Product Naming'!$A$1:$P$58,13,FALSE)</f>
        <v>249.2</v>
      </c>
      <c r="AE115" s="1" t="str">
        <f>VLOOKUP($E115,'Product Naming'!$A$1:$P$58,14,FALSE)</f>
        <v>Aromatic + Carboxylate</v>
      </c>
      <c r="AF115" s="1" t="str">
        <f>VLOOKUP($E115,'Product Naming'!$A$1:$P$58,15,FALSE)</f>
        <v>E4P + aKG</v>
      </c>
      <c r="AG115" s="30" t="str">
        <f>VLOOKUP($E115,'Product Naming'!$A$1:$P$58,16,FALSE)</f>
        <v>Proton symporter</v>
      </c>
      <c r="AH115" s="3" t="str">
        <f>VLOOKUP($E115,'Product Naming'!$A$1:$Q$58,17,FALSE)</f>
        <v>bz_c</v>
      </c>
      <c r="AI115" s="1">
        <f>VLOOKUP($E115,'Product Parameters'!$A$2:$D$59,2,FALSE)</f>
        <v>1</v>
      </c>
      <c r="AJ115" s="1">
        <f>VLOOKUP($E115,'Product Parameters'!$A$2:$D$59,3,FALSE)</f>
        <v>0</v>
      </c>
      <c r="AK115" s="1">
        <f>VLOOKUP($E115,'Product Parameters'!$A$2:$D$59,4,FALSE)</f>
        <v>0.12</v>
      </c>
      <c r="AL115" s="1">
        <f>VLOOKUP($E115,'Product Parameters'!$A$2:$E$59,5,FALSE)</f>
        <v>40.65</v>
      </c>
      <c r="AM115" s="1">
        <f>VLOOKUP($E115,'Product Parameters'!$A$2:$F$59,6,FALSE)</f>
        <v>7</v>
      </c>
      <c r="AN115" s="1">
        <f>VLOOKUP($C115,'Substrate Heating'!$A$2:$C$33,3,FALSE)</f>
        <v>249.93333333333334</v>
      </c>
      <c r="AO115" s="1">
        <f>VLOOKUP($C115,'Substrate Heating'!$A$2:$B$33,2,FALSE)</f>
        <v>8.1456827881222953</v>
      </c>
      <c r="AP115" s="1">
        <f>VLOOKUP($C115,'Substrate Heating'!$A$2:$M$33,13,FALSE)</f>
        <v>0.66666666666666663</v>
      </c>
      <c r="AQ115" s="1">
        <f>VLOOKUP($C115,'Substrate Heating'!$A$2:$M$33,8,FALSE)</f>
        <v>0.66666666666666663</v>
      </c>
      <c r="AR115" s="1">
        <f t="shared" si="1"/>
        <v>0.26272727272727253</v>
      </c>
    </row>
    <row r="116" spans="1:44" x14ac:dyDescent="0.2">
      <c r="A116" s="17" t="s">
        <v>323</v>
      </c>
      <c r="B116" s="18" t="s">
        <v>324</v>
      </c>
      <c r="C116" t="s">
        <v>333</v>
      </c>
      <c r="D116" s="19" t="s">
        <v>326</v>
      </c>
      <c r="E116" t="s">
        <v>247</v>
      </c>
      <c r="F116" t="s">
        <v>248</v>
      </c>
      <c r="G116">
        <v>-10</v>
      </c>
      <c r="H116">
        <v>0</v>
      </c>
      <c r="I116">
        <v>0</v>
      </c>
      <c r="J116">
        <v>0.45</v>
      </c>
      <c r="K116">
        <v>-10</v>
      </c>
      <c r="L116">
        <v>0</v>
      </c>
      <c r="M116">
        <v>0</v>
      </c>
      <c r="N116">
        <v>5.8734693877551098</v>
      </c>
      <c r="O116">
        <v>0.43673469387755198</v>
      </c>
      <c r="P116"/>
      <c r="Q116">
        <v>4.3673469387755202E-2</v>
      </c>
      <c r="R116">
        <v>6.4629535103055302E-2</v>
      </c>
      <c r="S116" s="1" t="str">
        <f>VLOOKUP($E116,'Product Naming'!$A$1:$P$58,2,FALSE)</f>
        <v>Isoprene</v>
      </c>
      <c r="T116" s="1" t="str">
        <f>VLOOKUP($E116,'Product Naming'!$A$1:$P$58,3,FALSE)</f>
        <v>Isoprene</v>
      </c>
      <c r="U116" s="1" t="str">
        <f>VLOOKUP($E116,'Product Naming'!$A$1:$P$58,4,FALSE)</f>
        <v>E</v>
      </c>
      <c r="V116" s="1" t="str">
        <f>VLOOKUP($E116,'Product Naming'!$A$1:$P$58,5,FALSE)</f>
        <v>C5H8</v>
      </c>
      <c r="W116" s="1">
        <f>VLOOKUP($E116,'Product Naming'!$A$1:$P$58,6,FALSE)</f>
        <v>5</v>
      </c>
      <c r="X116" s="1">
        <f>VLOOKUP($E116,'Product Naming'!$A$1:$P$58,7,FALSE)</f>
        <v>8</v>
      </c>
      <c r="Y116" s="1">
        <f>VLOOKUP($E116,'Product Naming'!$A$1:$P$58,8,FALSE)</f>
        <v>0</v>
      </c>
      <c r="Z116" s="1">
        <f>VLOOKUP($E116,'Product Naming'!$A$1:$P$58,9,FALSE)</f>
        <v>0</v>
      </c>
      <c r="AA116" s="1">
        <f>VLOOKUP($E116,'Product Naming'!$A$1:$P$58,10,FALSE)</f>
        <v>0</v>
      </c>
      <c r="AB116" s="29">
        <f>VLOOKUP($E116,'Product Naming'!$A$1:$P$58,11,FALSE)</f>
        <v>5.6</v>
      </c>
      <c r="AC116" s="3">
        <f>VLOOKUP($E116,'Product Naming'!$A$1:$P$58,12,FALSE)</f>
        <v>68.116219999999998</v>
      </c>
      <c r="AD116" s="1">
        <f>VLOOKUP($E116,'Product Naming'!$A$1:$P$58,13,FALSE)</f>
        <v>34.07</v>
      </c>
      <c r="AE116" s="1" t="str">
        <f>VLOOKUP($E116,'Product Naming'!$A$1:$P$58,14,FALSE)</f>
        <v>Hydrocarbon</v>
      </c>
      <c r="AF116" s="1" t="str">
        <f>VLOOKUP($E116,'Product Naming'!$A$1:$P$58,15,FALSE)</f>
        <v>Acetyl-CoA</v>
      </c>
      <c r="AG116" s="30" t="str">
        <f>VLOOKUP($E116,'Product Naming'!$A$1:$P$58,16,FALSE)</f>
        <v>Diffusion</v>
      </c>
      <c r="AH116" s="3" t="str">
        <f>VLOOKUP($E116,'Product Naming'!$A$1:$Q$58,17,FALSE)</f>
        <v>iprene_c</v>
      </c>
      <c r="AI116" s="1">
        <f>VLOOKUP($E116,'Product Parameters'!$A$2:$D$59,2,FALSE)</f>
        <v>0</v>
      </c>
      <c r="AJ116" s="1">
        <f>VLOOKUP($E116,'Product Parameters'!$A$2:$D$59,3,FALSE)</f>
        <v>1</v>
      </c>
      <c r="AK116" s="1">
        <f>VLOOKUP($E116,'Product Parameters'!$A$2:$D$59,4,FALSE)</f>
        <v>0.12</v>
      </c>
      <c r="AL116" s="1">
        <f>VLOOKUP($E116,'Product Parameters'!$A$2:$E$59,5,FALSE)</f>
        <v>26.4</v>
      </c>
      <c r="AM116" s="1">
        <f>VLOOKUP($E116,'Product Parameters'!$A$2:$F$59,6,FALSE)</f>
        <v>5</v>
      </c>
      <c r="AN116" s="1">
        <f>VLOOKUP($C116,'Substrate Heating'!$A$2:$C$33,3,FALSE)</f>
        <v>247.59097</v>
      </c>
      <c r="AO116" s="1">
        <f>VLOOKUP($C116,'Substrate Heating'!$A$2:$B$33,2,FALSE)</f>
        <v>5.5</v>
      </c>
      <c r="AP116" s="1">
        <f>VLOOKUP($C116,'Substrate Heating'!$A$2:$M$33,13,FALSE)</f>
        <v>1</v>
      </c>
      <c r="AQ116" s="1">
        <f>VLOOKUP($C116,'Substrate Heating'!$A$2:$M$33,8,FALSE)</f>
        <v>1</v>
      </c>
      <c r="AR116" s="1">
        <f t="shared" si="1"/>
        <v>0.21836734693877602</v>
      </c>
    </row>
    <row r="117" spans="1:44" x14ac:dyDescent="0.2">
      <c r="A117" s="8" t="s">
        <v>809</v>
      </c>
      <c r="B117" s="18" t="s">
        <v>324</v>
      </c>
      <c r="C117" t="s">
        <v>808</v>
      </c>
      <c r="D117" s="19" t="s">
        <v>326</v>
      </c>
      <c r="E117" t="s">
        <v>108</v>
      </c>
      <c r="F117" t="s">
        <v>109</v>
      </c>
      <c r="G117">
        <v>-10</v>
      </c>
      <c r="H117">
        <v>0</v>
      </c>
      <c r="I117">
        <v>-20</v>
      </c>
      <c r="J117">
        <v>0.45</v>
      </c>
      <c r="K117">
        <v>-9.6246445497630297</v>
      </c>
      <c r="L117">
        <v>0</v>
      </c>
      <c r="M117">
        <v>-20</v>
      </c>
      <c r="N117">
        <v>-9.6246445497630297</v>
      </c>
      <c r="O117">
        <v>0.25023696682464402</v>
      </c>
      <c r="P117"/>
      <c r="Q117">
        <v>2.5999606066574699E-2</v>
      </c>
      <c r="R117">
        <v>6.4809790069019796E-2</v>
      </c>
      <c r="S117" s="1" t="str">
        <f>VLOOKUP($E117,'Product Naming'!$A$1:$P$58,2,FALSE)</f>
        <v>4-Hydroxystyrene</v>
      </c>
      <c r="T117" s="1" t="str">
        <f>VLOOKUP($E117,'Product Naming'!$A$1:$P$58,3,FALSE)</f>
        <v>4-Hydroxystyrene</v>
      </c>
      <c r="U117" s="1" t="str">
        <f>VLOOKUP($E117,'Product Naming'!$A$1:$P$58,4,FALSE)</f>
        <v>E</v>
      </c>
      <c r="V117" s="1" t="str">
        <f>VLOOKUP($E117,'Product Naming'!$A$1:$P$58,5,FALSE)</f>
        <v>C8H8O</v>
      </c>
      <c r="W117" s="1">
        <f>VLOOKUP($E117,'Product Naming'!$A$1:$P$58,6,FALSE)</f>
        <v>8</v>
      </c>
      <c r="X117" s="1">
        <f>VLOOKUP($E117,'Product Naming'!$A$1:$P$58,7,FALSE)</f>
        <v>8</v>
      </c>
      <c r="Y117" s="1">
        <f>VLOOKUP($E117,'Product Naming'!$A$1:$P$58,8,FALSE)</f>
        <v>1</v>
      </c>
      <c r="Z117" s="1">
        <f>VLOOKUP($E117,'Product Naming'!$A$1:$P$58,9,FALSE)</f>
        <v>0</v>
      </c>
      <c r="AA117" s="1">
        <f>VLOOKUP($E117,'Product Naming'!$A$1:$P$58,10,FALSE)</f>
        <v>0</v>
      </c>
      <c r="AB117" s="29">
        <f>VLOOKUP($E117,'Product Naming'!$A$1:$P$58,11,FALSE)</f>
        <v>4.75</v>
      </c>
      <c r="AC117" s="3">
        <f>VLOOKUP($E117,'Product Naming'!$A$1:$P$58,12,FALSE)</f>
        <v>120.14731999999999</v>
      </c>
      <c r="AD117" s="1">
        <f>VLOOKUP($E117,'Product Naming'!$A$1:$P$58,13,FALSE)</f>
        <v>229</v>
      </c>
      <c r="AE117" s="1" t="str">
        <f>VLOOKUP($E117,'Product Naming'!$A$1:$P$58,14,FALSE)</f>
        <v>Aromatic + Alcohol</v>
      </c>
      <c r="AF117" s="1" t="str">
        <f>VLOOKUP($E117,'Product Naming'!$A$1:$P$58,15,FALSE)</f>
        <v>E4P + L-glutamate</v>
      </c>
      <c r="AG117" s="30" t="str">
        <f>VLOOKUP($E117,'Product Naming'!$A$1:$P$58,16,FALSE)</f>
        <v>Proton symporter</v>
      </c>
      <c r="AH117" s="3" t="str">
        <f>VLOOKUP($E117,'Product Naming'!$A$1:$Q$58,17,FALSE)</f>
        <v>4hxst_c</v>
      </c>
      <c r="AI117" s="1">
        <f>VLOOKUP($E117,'Product Parameters'!$A$2:$D$59,2,FALSE)</f>
        <v>1</v>
      </c>
      <c r="AJ117" s="1">
        <f>VLOOKUP($E117,'Product Parameters'!$A$2:$D$59,3,FALSE)</f>
        <v>0</v>
      </c>
      <c r="AK117" s="1">
        <f>VLOOKUP($E117,'Product Parameters'!$A$2:$D$59,4,FALSE)</f>
        <v>0.12</v>
      </c>
      <c r="AL117" s="1">
        <f>VLOOKUP($E117,'Product Parameters'!$A$2:$E$59,5,FALSE)</f>
        <v>40.65</v>
      </c>
      <c r="AM117" s="1">
        <f>VLOOKUP($E117,'Product Parameters'!$A$2:$F$59,6,FALSE)</f>
        <v>8</v>
      </c>
      <c r="AN117" s="1">
        <f>VLOOKUP($C117,'Substrate Heating'!$A$2:$C$33,3,FALSE)</f>
        <v>120.9</v>
      </c>
      <c r="AO117" s="1">
        <f>VLOOKUP($C117,'Substrate Heating'!$A$2:$B$33,2,FALSE)</f>
        <v>5.2537372583834907</v>
      </c>
      <c r="AP117" s="1">
        <f>VLOOKUP($C117,'Substrate Heating'!$A$2:$M$33,13,FALSE)</f>
        <v>0</v>
      </c>
      <c r="AQ117" s="1">
        <f>VLOOKUP($C117,'Substrate Heating'!$A$2:$M$33,8,FALSE)</f>
        <v>0.33333333333333331</v>
      </c>
      <c r="AR117" s="1">
        <f t="shared" si="1"/>
        <v>0.62399054559779277</v>
      </c>
    </row>
    <row r="118" spans="1:44" x14ac:dyDescent="0.2">
      <c r="A118" s="8" t="s">
        <v>34</v>
      </c>
      <c r="B118" s="9" t="s">
        <v>35</v>
      </c>
      <c r="C118" s="1" t="s">
        <v>337</v>
      </c>
      <c r="D118" s="23" t="s">
        <v>338</v>
      </c>
      <c r="E118" s="1" t="s">
        <v>169</v>
      </c>
      <c r="F118" s="1" t="s">
        <v>165</v>
      </c>
      <c r="G118" s="1">
        <v>-10</v>
      </c>
      <c r="H118" s="1">
        <v>-20</v>
      </c>
      <c r="I118" s="1" t="s">
        <v>40</v>
      </c>
      <c r="J118" s="1">
        <v>3.15</v>
      </c>
      <c r="K118" s="1">
        <v>-10</v>
      </c>
      <c r="L118" s="1">
        <v>-2.5692307692307699</v>
      </c>
      <c r="M118" s="1" t="s">
        <v>40</v>
      </c>
      <c r="N118" s="1">
        <v>8.3794871794871799</v>
      </c>
      <c r="O118" s="1">
        <v>0.40512820512820602</v>
      </c>
      <c r="Q118" s="1">
        <v>4.0512820512820603E-2</v>
      </c>
      <c r="R118" s="1">
        <v>6.5236681591288301E-2</v>
      </c>
      <c r="S118" s="1" t="str">
        <f>VLOOKUP($E118,'Product Naming'!$A$1:$P$58,2,FALSE)</f>
        <v>Butanol-PW2</v>
      </c>
      <c r="T118" s="1" t="str">
        <f>VLOOKUP($E118,'Product Naming'!$A$1:$P$58,3,FALSE)</f>
        <v>Butanol (PW2)</v>
      </c>
      <c r="U118" s="1" t="str">
        <f>VLOOKUP($E118,'Product Naming'!$A$1:$P$58,4,FALSE)</f>
        <v>E</v>
      </c>
      <c r="V118" s="1" t="str">
        <f>VLOOKUP($E118,'Product Naming'!$A$1:$P$58,5,FALSE)</f>
        <v>C4H10O</v>
      </c>
      <c r="W118" s="1">
        <f>VLOOKUP($E118,'Product Naming'!$A$1:$P$58,6,FALSE)</f>
        <v>4</v>
      </c>
      <c r="X118" s="1">
        <f>VLOOKUP($E118,'Product Naming'!$A$1:$P$58,7,FALSE)</f>
        <v>10</v>
      </c>
      <c r="Y118" s="1">
        <f>VLOOKUP($E118,'Product Naming'!$A$1:$P$58,8,FALSE)</f>
        <v>1</v>
      </c>
      <c r="Z118" s="1">
        <f>VLOOKUP($E118,'Product Naming'!$A$1:$P$58,9,FALSE)</f>
        <v>0</v>
      </c>
      <c r="AA118" s="1">
        <f>VLOOKUP($E118,'Product Naming'!$A$1:$P$58,10,FALSE)</f>
        <v>0</v>
      </c>
      <c r="AB118" s="29">
        <f>VLOOKUP($E118,'Product Naming'!$A$1:$P$58,11,FALSE)</f>
        <v>6</v>
      </c>
      <c r="AC118" s="3">
        <f>VLOOKUP($E118,'Product Naming'!$A$1:$P$58,12,FALSE)</f>
        <v>74.120199999999997</v>
      </c>
      <c r="AD118" s="1">
        <f>VLOOKUP($E118,'Product Naming'!$A$1:$P$58,13,FALSE)</f>
        <v>117.7</v>
      </c>
      <c r="AE118" s="1" t="str">
        <f>VLOOKUP($E118,'Product Naming'!$A$1:$P$58,14,FALSE)</f>
        <v>Alcohol</v>
      </c>
      <c r="AF118" s="1" t="str">
        <f>VLOOKUP($E118,'Product Naming'!$A$1:$P$58,15,FALSE)</f>
        <v>Oxaloacetate</v>
      </c>
      <c r="AG118" s="30" t="str">
        <f>VLOOKUP($E118,'Product Naming'!$A$1:$P$58,16,FALSE)</f>
        <v>Proton symporter</v>
      </c>
      <c r="AH118" s="3" t="str">
        <f>VLOOKUP($E118,'Product Naming'!$A$1:$Q$58,17,FALSE)</f>
        <v>btoh_c</v>
      </c>
      <c r="AI118" s="1">
        <f>VLOOKUP($E118,'Product Parameters'!$A$2:$D$59,2,FALSE)</f>
        <v>1</v>
      </c>
      <c r="AJ118" s="1">
        <f>VLOOKUP($E118,'Product Parameters'!$A$2:$D$59,3,FALSE)</f>
        <v>0</v>
      </c>
      <c r="AK118" s="1">
        <f>VLOOKUP($E118,'Product Parameters'!$A$2:$D$59,4,FALSE)</f>
        <v>0.12</v>
      </c>
      <c r="AL118" s="1">
        <f>VLOOKUP($E118,'Product Parameters'!$A$2:$E$59,5,FALSE)</f>
        <v>52</v>
      </c>
      <c r="AM118" s="1">
        <f>VLOOKUP($E118,'Product Parameters'!$A$2:$F$59,6,FALSE)</f>
        <v>4</v>
      </c>
      <c r="AN118" s="1">
        <f>VLOOKUP($C118,'Substrate Heating'!$A$2:$C$33,3,FALSE)</f>
        <v>247.59097</v>
      </c>
      <c r="AO118" s="1">
        <f>VLOOKUP($C118,'Substrate Heating'!$A$2:$B$33,2,FALSE)</f>
        <v>5.5</v>
      </c>
      <c r="AP118" s="1">
        <f>VLOOKUP($C118,'Substrate Heating'!$A$2:$M$33,13,FALSE)</f>
        <v>1</v>
      </c>
      <c r="AQ118" s="1">
        <f>VLOOKUP($C118,'Substrate Heating'!$A$2:$M$33,8,FALSE)</f>
        <v>1</v>
      </c>
      <c r="AR118" s="1">
        <f t="shared" si="1"/>
        <v>0.16205128205128241</v>
      </c>
    </row>
    <row r="119" spans="1:44" x14ac:dyDescent="0.2">
      <c r="A119" s="8" t="s">
        <v>34</v>
      </c>
      <c r="B119" s="9" t="s">
        <v>35</v>
      </c>
      <c r="C119" s="1" t="s">
        <v>337</v>
      </c>
      <c r="D119" s="23" t="s">
        <v>338</v>
      </c>
      <c r="E119" s="1" t="s">
        <v>291</v>
      </c>
      <c r="F119" s="1" t="s">
        <v>292</v>
      </c>
      <c r="G119" s="1">
        <v>-10</v>
      </c>
      <c r="H119" s="1">
        <v>-20</v>
      </c>
      <c r="I119" s="1" t="s">
        <v>40</v>
      </c>
      <c r="J119" s="1">
        <v>3.15</v>
      </c>
      <c r="K119" s="1">
        <v>-10</v>
      </c>
      <c r="L119" s="1">
        <v>-2.44244604316546</v>
      </c>
      <c r="M119" s="1" t="s">
        <v>40</v>
      </c>
      <c r="N119" s="1">
        <v>8.2949640287769792</v>
      </c>
      <c r="O119" s="1">
        <v>0.34100719424460502</v>
      </c>
      <c r="Q119" s="1">
        <v>3.4100719424460503E-2</v>
      </c>
      <c r="R119" s="1">
        <v>6.5302800650141601E-2</v>
      </c>
      <c r="S119" s="1" t="str">
        <f>VLOOKUP($E119,'Product Naming'!$A$1:$P$58,2,FALSE)</f>
        <v>Pentanol-PW1</v>
      </c>
      <c r="T119" s="1" t="str">
        <f>VLOOKUP($E119,'Product Naming'!$A$1:$P$58,3,FALSE)</f>
        <v>Pentanol (PW1)</v>
      </c>
      <c r="U119" s="1" t="str">
        <f>VLOOKUP($E119,'Product Naming'!$A$1:$P$58,4,FALSE)</f>
        <v>E</v>
      </c>
      <c r="V119" s="1" t="str">
        <f>VLOOKUP($E119,'Product Naming'!$A$1:$P$58,5,FALSE)</f>
        <v>C5H12O</v>
      </c>
      <c r="W119" s="1">
        <f>VLOOKUP($E119,'Product Naming'!$A$1:$P$58,6,FALSE)</f>
        <v>5</v>
      </c>
      <c r="X119" s="1">
        <f>VLOOKUP($E119,'Product Naming'!$A$1:$P$58,7,FALSE)</f>
        <v>12</v>
      </c>
      <c r="Y119" s="1">
        <f>VLOOKUP($E119,'Product Naming'!$A$1:$P$58,8,FALSE)</f>
        <v>1</v>
      </c>
      <c r="Z119" s="1">
        <f>VLOOKUP($E119,'Product Naming'!$A$1:$P$58,9,FALSE)</f>
        <v>0</v>
      </c>
      <c r="AA119" s="1">
        <f>VLOOKUP($E119,'Product Naming'!$A$1:$P$58,10,FALSE)</f>
        <v>0</v>
      </c>
      <c r="AB119" s="29">
        <f>VLOOKUP($E119,'Product Naming'!$A$1:$P$58,11,FALSE)</f>
        <v>6</v>
      </c>
      <c r="AC119" s="3">
        <f>VLOOKUP($E119,'Product Naming'!$A$1:$P$58,12,FALSE)</f>
        <v>88.14658</v>
      </c>
      <c r="AD119" s="1">
        <f>VLOOKUP($E119,'Product Naming'!$A$1:$P$58,13,FALSE)</f>
        <v>138</v>
      </c>
      <c r="AE119" s="1" t="str">
        <f>VLOOKUP($E119,'Product Naming'!$A$1:$P$58,14,FALSE)</f>
        <v>Alcohol</v>
      </c>
      <c r="AF119" s="1" t="str">
        <f>VLOOKUP($E119,'Product Naming'!$A$1:$P$58,15,FALSE)</f>
        <v>Acetyl-CoA + Succinyl-CoA</v>
      </c>
      <c r="AG119" s="30" t="str">
        <f>VLOOKUP($E119,'Product Naming'!$A$1:$P$58,16,FALSE)</f>
        <v>Proton symporter</v>
      </c>
      <c r="AH119" s="3" t="str">
        <f>VLOOKUP($E119,'Product Naming'!$A$1:$Q$58,17,FALSE)</f>
        <v>pentoh_c</v>
      </c>
      <c r="AI119" s="1">
        <f>VLOOKUP($E119,'Product Parameters'!$A$2:$D$59,2,FALSE)</f>
        <v>1</v>
      </c>
      <c r="AJ119" s="1">
        <f>VLOOKUP($E119,'Product Parameters'!$A$2:$D$59,3,FALSE)</f>
        <v>0</v>
      </c>
      <c r="AK119" s="1">
        <f>VLOOKUP($E119,'Product Parameters'!$A$2:$D$59,4,FALSE)</f>
        <v>0.12</v>
      </c>
      <c r="AL119" s="1">
        <f>VLOOKUP($E119,'Product Parameters'!$A$2:$E$59,5,FALSE)</f>
        <v>57</v>
      </c>
      <c r="AM119" s="1">
        <f>VLOOKUP($E119,'Product Parameters'!$A$2:$F$59,6,FALSE)</f>
        <v>5</v>
      </c>
      <c r="AN119" s="1">
        <f>VLOOKUP($C119,'Substrate Heating'!$A$2:$C$33,3,FALSE)</f>
        <v>247.59097</v>
      </c>
      <c r="AO119" s="1">
        <f>VLOOKUP($C119,'Substrate Heating'!$A$2:$B$33,2,FALSE)</f>
        <v>5.5</v>
      </c>
      <c r="AP119" s="1">
        <f>VLOOKUP($C119,'Substrate Heating'!$A$2:$M$33,13,FALSE)</f>
        <v>1</v>
      </c>
      <c r="AQ119" s="1">
        <f>VLOOKUP($C119,'Substrate Heating'!$A$2:$M$33,8,FALSE)</f>
        <v>1</v>
      </c>
      <c r="AR119" s="1">
        <f t="shared" si="1"/>
        <v>0.17050359712230251</v>
      </c>
    </row>
    <row r="120" spans="1:44" x14ac:dyDescent="0.2">
      <c r="A120" s="17" t="s">
        <v>323</v>
      </c>
      <c r="B120" s="18" t="s">
        <v>324</v>
      </c>
      <c r="C120" t="s">
        <v>333</v>
      </c>
      <c r="D120" s="19" t="s">
        <v>326</v>
      </c>
      <c r="E120" t="s">
        <v>204</v>
      </c>
      <c r="F120" t="s">
        <v>205</v>
      </c>
      <c r="G120">
        <v>-10</v>
      </c>
      <c r="H120">
        <v>0</v>
      </c>
      <c r="I120">
        <v>0</v>
      </c>
      <c r="J120">
        <v>0.45</v>
      </c>
      <c r="K120">
        <v>-10</v>
      </c>
      <c r="L120">
        <v>0</v>
      </c>
      <c r="M120">
        <v>0</v>
      </c>
      <c r="N120">
        <v>5.8855172413793104</v>
      </c>
      <c r="O120">
        <v>0.147586206896552</v>
      </c>
      <c r="P120"/>
      <c r="Q120">
        <v>1.4758620689655199E-2</v>
      </c>
      <c r="R120">
        <v>6.5520976966545699E-2</v>
      </c>
      <c r="S120" s="1" t="str">
        <f>VLOOKUP($E120,'Product Naming'!$A$1:$P$58,2,FALSE)</f>
        <v>Farnesene</v>
      </c>
      <c r="T120" s="1" t="str">
        <f>VLOOKUP($E120,'Product Naming'!$A$1:$P$58,3,FALSE)</f>
        <v>Farnesene</v>
      </c>
      <c r="U120" s="1" t="str">
        <f>VLOOKUP($E120,'Product Naming'!$A$1:$P$58,4,FALSE)</f>
        <v>A</v>
      </c>
      <c r="V120" s="1" t="str">
        <f>VLOOKUP($E120,'Product Naming'!$A$1:$P$58,5,FALSE)</f>
        <v>C15H24</v>
      </c>
      <c r="W120" s="1">
        <f>VLOOKUP($E120,'Product Naming'!$A$1:$P$58,6,FALSE)</f>
        <v>15</v>
      </c>
      <c r="X120" s="1">
        <f>VLOOKUP($E120,'Product Naming'!$A$1:$P$58,7,FALSE)</f>
        <v>24</v>
      </c>
      <c r="Y120" s="1">
        <f>VLOOKUP($E120,'Product Naming'!$A$1:$P$58,8,FALSE)</f>
        <v>0</v>
      </c>
      <c r="Z120" s="1">
        <f>VLOOKUP($E120,'Product Naming'!$A$1:$P$58,9,FALSE)</f>
        <v>0</v>
      </c>
      <c r="AA120" s="1">
        <f>VLOOKUP($E120,'Product Naming'!$A$1:$P$58,10,FALSE)</f>
        <v>0</v>
      </c>
      <c r="AB120" s="29">
        <f>VLOOKUP($E120,'Product Naming'!$A$1:$P$58,11,FALSE)</f>
        <v>5.6</v>
      </c>
      <c r="AC120" s="3">
        <f>VLOOKUP($E120,'Product Naming'!$A$1:$P$58,12,FALSE)</f>
        <v>204.34866000000002</v>
      </c>
      <c r="AD120" s="1" t="str">
        <f>VLOOKUP($E120,'Product Naming'!$A$1:$P$58,13,FALSE)</f>
        <v>260 (A)/272 (B)</v>
      </c>
      <c r="AE120" s="1" t="str">
        <f>VLOOKUP($E120,'Product Naming'!$A$1:$P$58,14,FALSE)</f>
        <v>Hydrocarbon</v>
      </c>
      <c r="AF120" s="1" t="str">
        <f>VLOOKUP($E120,'Product Naming'!$A$1:$P$58,15,FALSE)</f>
        <v>Acetyl-CoA</v>
      </c>
      <c r="AG120" s="30" t="str">
        <f>VLOOKUP($E120,'Product Naming'!$A$1:$P$58,16,FALSE)</f>
        <v>Proton symporter</v>
      </c>
      <c r="AH120" s="3" t="str">
        <f>VLOOKUP($E120,'Product Naming'!$A$1:$Q$58,17,FALSE)</f>
        <v>frene_c</v>
      </c>
      <c r="AI120" s="1">
        <f>VLOOKUP($E120,'Product Parameters'!$A$2:$D$59,2,FALSE)</f>
        <v>1</v>
      </c>
      <c r="AJ120" s="1">
        <f>VLOOKUP($E120,'Product Parameters'!$A$2:$D$59,3,FALSE)</f>
        <v>0</v>
      </c>
      <c r="AK120" s="1">
        <f>VLOOKUP($E120,'Product Parameters'!$A$2:$D$59,4,FALSE)</f>
        <v>0.12</v>
      </c>
      <c r="AL120" s="1">
        <f>VLOOKUP($E120,'Product Parameters'!$A$2:$E$59,5,FALSE)</f>
        <v>0</v>
      </c>
      <c r="AM120" s="1">
        <f>VLOOKUP($E120,'Product Parameters'!$A$2:$F$59,6,FALSE)</f>
        <v>15</v>
      </c>
      <c r="AN120" s="1">
        <f>VLOOKUP($C120,'Substrate Heating'!$A$2:$C$33,3,FALSE)</f>
        <v>247.59097</v>
      </c>
      <c r="AO120" s="1">
        <f>VLOOKUP($C120,'Substrate Heating'!$A$2:$B$33,2,FALSE)</f>
        <v>5.5</v>
      </c>
      <c r="AP120" s="1">
        <f>VLOOKUP($C120,'Substrate Heating'!$A$2:$M$33,13,FALSE)</f>
        <v>1</v>
      </c>
      <c r="AQ120" s="1">
        <f>VLOOKUP($C120,'Substrate Heating'!$A$2:$M$33,8,FALSE)</f>
        <v>1</v>
      </c>
      <c r="AR120" s="1">
        <f t="shared" si="1"/>
        <v>0.221379310344828</v>
      </c>
    </row>
    <row r="121" spans="1:44" x14ac:dyDescent="0.2">
      <c r="A121" s="8" t="s">
        <v>34</v>
      </c>
      <c r="B121" s="9" t="s">
        <v>35</v>
      </c>
      <c r="C121" s="1" t="s">
        <v>339</v>
      </c>
      <c r="D121" s="23" t="s">
        <v>338</v>
      </c>
      <c r="E121" s="1" t="s">
        <v>119</v>
      </c>
      <c r="F121" s="1" t="s">
        <v>120</v>
      </c>
      <c r="G121" s="1">
        <v>-10</v>
      </c>
      <c r="H121" s="1">
        <v>-20</v>
      </c>
      <c r="I121" s="1" t="s">
        <v>40</v>
      </c>
      <c r="J121" s="1">
        <v>3.15</v>
      </c>
      <c r="K121" s="1">
        <v>-10</v>
      </c>
      <c r="L121" s="1">
        <v>-2.9164835164835199</v>
      </c>
      <c r="M121" s="1" t="s">
        <v>40</v>
      </c>
      <c r="N121" s="1">
        <v>8.4373626373626305</v>
      </c>
      <c r="O121" s="1">
        <v>0.52087912087912003</v>
      </c>
      <c r="Q121" s="1">
        <v>5.2087912087911997E-2</v>
      </c>
      <c r="R121" s="1">
        <v>6.5722253735627595E-2</v>
      </c>
      <c r="S121" s="1" t="str">
        <f>VLOOKUP($E121,'Product Naming'!$A$1:$P$58,2,FALSE)</f>
        <v>Acetone</v>
      </c>
      <c r="T121" s="1" t="str">
        <f>VLOOKUP($E121,'Product Naming'!$A$1:$P$58,3,FALSE)</f>
        <v>Acetone</v>
      </c>
      <c r="U121" s="1" t="str">
        <f>VLOOKUP($E121,'Product Naming'!$A$1:$P$58,4,FALSE)</f>
        <v>A</v>
      </c>
      <c r="V121" s="1" t="str">
        <f>VLOOKUP($E121,'Product Naming'!$A$1:$P$58,5,FALSE)</f>
        <v>C3H6O</v>
      </c>
      <c r="W121" s="1">
        <f>VLOOKUP($E121,'Product Naming'!$A$1:$P$58,6,FALSE)</f>
        <v>3</v>
      </c>
      <c r="X121" s="1">
        <f>VLOOKUP($E121,'Product Naming'!$A$1:$P$58,7,FALSE)</f>
        <v>6</v>
      </c>
      <c r="Y121" s="1">
        <f>VLOOKUP($E121,'Product Naming'!$A$1:$P$58,8,FALSE)</f>
        <v>1</v>
      </c>
      <c r="Z121" s="1">
        <f>VLOOKUP($E121,'Product Naming'!$A$1:$P$58,9,FALSE)</f>
        <v>0</v>
      </c>
      <c r="AA121" s="1">
        <f>VLOOKUP($E121,'Product Naming'!$A$1:$P$58,10,FALSE)</f>
        <v>0</v>
      </c>
      <c r="AB121" s="29">
        <f>VLOOKUP($E121,'Product Naming'!$A$1:$P$58,11,FALSE)</f>
        <v>5.333333333333333</v>
      </c>
      <c r="AC121" s="3">
        <f>VLOOKUP($E121,'Product Naming'!$A$1:$P$58,12,FALSE)</f>
        <v>58.078140000000005</v>
      </c>
      <c r="AD121" s="1">
        <f>VLOOKUP($E121,'Product Naming'!$A$1:$P$58,13,FALSE)</f>
        <v>56</v>
      </c>
      <c r="AE121" s="1" t="str">
        <f>VLOOKUP($E121,'Product Naming'!$A$1:$P$58,14,FALSE)</f>
        <v>Ketone</v>
      </c>
      <c r="AF121" s="1" t="str">
        <f>VLOOKUP($E121,'Product Naming'!$A$1:$P$58,15,FALSE)</f>
        <v>Acetyl-CoA</v>
      </c>
      <c r="AG121" s="30" t="str">
        <f>VLOOKUP($E121,'Product Naming'!$A$1:$P$58,16,FALSE)</f>
        <v>Proton symporter</v>
      </c>
      <c r="AH121" s="3" t="str">
        <f>VLOOKUP($E121,'Product Naming'!$A$1:$Q$58,17,FALSE)</f>
        <v>acetone_c</v>
      </c>
      <c r="AI121" s="1">
        <f>VLOOKUP($E121,'Product Parameters'!$A$2:$D$59,2,FALSE)</f>
        <v>1</v>
      </c>
      <c r="AJ121" s="1">
        <f>VLOOKUP($E121,'Product Parameters'!$A$2:$D$59,3,FALSE)</f>
        <v>0</v>
      </c>
      <c r="AK121" s="1">
        <f>VLOOKUP($E121,'Product Parameters'!$A$2:$D$59,4,FALSE)</f>
        <v>0.12</v>
      </c>
      <c r="AL121" s="1">
        <f>VLOOKUP($E121,'Product Parameters'!$A$2:$E$59,5,FALSE)</f>
        <v>31.3</v>
      </c>
      <c r="AM121" s="1">
        <f>VLOOKUP($E121,'Product Parameters'!$A$2:$F$59,6,FALSE)</f>
        <v>3</v>
      </c>
      <c r="AN121" s="1">
        <f>VLOOKUP($C121,'Substrate Heating'!$A$2:$C$33,3,FALSE)</f>
        <v>247.59097</v>
      </c>
      <c r="AO121" s="1">
        <f>VLOOKUP($C121,'Substrate Heating'!$A$2:$B$33,2,FALSE)</f>
        <v>5.5</v>
      </c>
      <c r="AP121" s="1">
        <f>VLOOKUP($C121,'Substrate Heating'!$A$2:$M$33,13,FALSE)</f>
        <v>1</v>
      </c>
      <c r="AQ121" s="1">
        <f>VLOOKUP($C121,'Substrate Heating'!$A$2:$M$33,8,FALSE)</f>
        <v>1</v>
      </c>
      <c r="AR121" s="1">
        <f t="shared" si="1"/>
        <v>0.15626373626373599</v>
      </c>
    </row>
    <row r="122" spans="1:44" x14ac:dyDescent="0.2">
      <c r="A122" s="8" t="s">
        <v>34</v>
      </c>
      <c r="B122" s="9" t="s">
        <v>35</v>
      </c>
      <c r="C122" s="1" t="s">
        <v>337</v>
      </c>
      <c r="D122" s="23" t="s">
        <v>338</v>
      </c>
      <c r="E122" s="1" t="s">
        <v>108</v>
      </c>
      <c r="F122" s="1" t="s">
        <v>109</v>
      </c>
      <c r="G122" s="1">
        <v>-10</v>
      </c>
      <c r="H122" s="1">
        <v>-20</v>
      </c>
      <c r="I122" s="1" t="s">
        <v>40</v>
      </c>
      <c r="J122" s="1">
        <v>3.15</v>
      </c>
      <c r="K122" s="1">
        <v>-10</v>
      </c>
      <c r="L122" s="1">
        <v>-2.6047872340425502</v>
      </c>
      <c r="M122" s="1" t="s">
        <v>40</v>
      </c>
      <c r="N122" s="1">
        <v>7.9829787234042504</v>
      </c>
      <c r="O122" s="1">
        <v>0.25212765957446798</v>
      </c>
      <c r="Q122" s="1">
        <v>2.52127659574468E-2</v>
      </c>
      <c r="R122" s="1">
        <v>6.5810831716427404E-2</v>
      </c>
      <c r="S122" s="1" t="str">
        <f>VLOOKUP($E122,'Product Naming'!$A$1:$P$58,2,FALSE)</f>
        <v>4-Hydroxystyrene</v>
      </c>
      <c r="T122" s="1" t="str">
        <f>VLOOKUP($E122,'Product Naming'!$A$1:$P$58,3,FALSE)</f>
        <v>4-Hydroxystyrene</v>
      </c>
      <c r="U122" s="1" t="str">
        <f>VLOOKUP($E122,'Product Naming'!$A$1:$P$58,4,FALSE)</f>
        <v>E</v>
      </c>
      <c r="V122" s="1" t="str">
        <f>VLOOKUP($E122,'Product Naming'!$A$1:$P$58,5,FALSE)</f>
        <v>C8H8O</v>
      </c>
      <c r="W122" s="1">
        <f>VLOOKUP($E122,'Product Naming'!$A$1:$P$58,6,FALSE)</f>
        <v>8</v>
      </c>
      <c r="X122" s="1">
        <f>VLOOKUP($E122,'Product Naming'!$A$1:$P$58,7,FALSE)</f>
        <v>8</v>
      </c>
      <c r="Y122" s="1">
        <f>VLOOKUP($E122,'Product Naming'!$A$1:$P$58,8,FALSE)</f>
        <v>1</v>
      </c>
      <c r="Z122" s="1">
        <f>VLOOKUP($E122,'Product Naming'!$A$1:$P$58,9,FALSE)</f>
        <v>0</v>
      </c>
      <c r="AA122" s="1">
        <f>VLOOKUP($E122,'Product Naming'!$A$1:$P$58,10,FALSE)</f>
        <v>0</v>
      </c>
      <c r="AB122" s="29">
        <f>VLOOKUP($E122,'Product Naming'!$A$1:$P$58,11,FALSE)</f>
        <v>4.75</v>
      </c>
      <c r="AC122" s="3">
        <f>VLOOKUP($E122,'Product Naming'!$A$1:$P$58,12,FALSE)</f>
        <v>120.14731999999999</v>
      </c>
      <c r="AD122" s="1">
        <f>VLOOKUP($E122,'Product Naming'!$A$1:$P$58,13,FALSE)</f>
        <v>229</v>
      </c>
      <c r="AE122" s="1" t="str">
        <f>VLOOKUP($E122,'Product Naming'!$A$1:$P$58,14,FALSE)</f>
        <v>Aromatic + Alcohol</v>
      </c>
      <c r="AF122" s="1" t="str">
        <f>VLOOKUP($E122,'Product Naming'!$A$1:$P$58,15,FALSE)</f>
        <v>E4P + L-glutamate</v>
      </c>
      <c r="AG122" s="30" t="str">
        <f>VLOOKUP($E122,'Product Naming'!$A$1:$P$58,16,FALSE)</f>
        <v>Proton symporter</v>
      </c>
      <c r="AH122" s="3" t="str">
        <f>VLOOKUP($E122,'Product Naming'!$A$1:$Q$58,17,FALSE)</f>
        <v>4hxst_c</v>
      </c>
      <c r="AI122" s="1">
        <f>VLOOKUP($E122,'Product Parameters'!$A$2:$D$59,2,FALSE)</f>
        <v>1</v>
      </c>
      <c r="AJ122" s="1">
        <f>VLOOKUP($E122,'Product Parameters'!$A$2:$D$59,3,FALSE)</f>
        <v>0</v>
      </c>
      <c r="AK122" s="1">
        <f>VLOOKUP($E122,'Product Parameters'!$A$2:$D$59,4,FALSE)</f>
        <v>0.12</v>
      </c>
      <c r="AL122" s="1">
        <f>VLOOKUP($E122,'Product Parameters'!$A$2:$E$59,5,FALSE)</f>
        <v>40.65</v>
      </c>
      <c r="AM122" s="1">
        <f>VLOOKUP($E122,'Product Parameters'!$A$2:$F$59,6,FALSE)</f>
        <v>8</v>
      </c>
      <c r="AN122" s="1">
        <f>VLOOKUP($C122,'Substrate Heating'!$A$2:$C$33,3,FALSE)</f>
        <v>247.59097</v>
      </c>
      <c r="AO122" s="1">
        <f>VLOOKUP($C122,'Substrate Heating'!$A$2:$B$33,2,FALSE)</f>
        <v>5.5</v>
      </c>
      <c r="AP122" s="1">
        <f>VLOOKUP($C122,'Substrate Heating'!$A$2:$M$33,13,FALSE)</f>
        <v>1</v>
      </c>
      <c r="AQ122" s="1">
        <f>VLOOKUP($C122,'Substrate Heating'!$A$2:$M$33,8,FALSE)</f>
        <v>1</v>
      </c>
      <c r="AR122" s="1">
        <f t="shared" si="1"/>
        <v>0.2017021276595744</v>
      </c>
    </row>
    <row r="123" spans="1:44" x14ac:dyDescent="0.2">
      <c r="A123" s="17" t="s">
        <v>323</v>
      </c>
      <c r="B123" s="18" t="s">
        <v>324</v>
      </c>
      <c r="C123" t="s">
        <v>333</v>
      </c>
      <c r="D123" s="19" t="s">
        <v>326</v>
      </c>
      <c r="E123" t="s">
        <v>259</v>
      </c>
      <c r="F123" t="s">
        <v>260</v>
      </c>
      <c r="G123">
        <v>-10</v>
      </c>
      <c r="H123">
        <v>0</v>
      </c>
      <c r="I123">
        <v>0</v>
      </c>
      <c r="J123">
        <v>0.45</v>
      </c>
      <c r="K123">
        <v>-10</v>
      </c>
      <c r="L123">
        <v>0</v>
      </c>
      <c r="M123">
        <v>0</v>
      </c>
      <c r="N123">
        <v>5.8916666666666702</v>
      </c>
      <c r="O123">
        <v>0.22291666666666701</v>
      </c>
      <c r="P123"/>
      <c r="Q123">
        <v>2.2291666666666699E-2</v>
      </c>
      <c r="R123">
        <v>6.5975983751035597E-2</v>
      </c>
      <c r="S123" s="1" t="str">
        <f>VLOOKUP($E123,'Product Naming'!$A$1:$P$58,2,FALSE)</f>
        <v>Limonene</v>
      </c>
      <c r="T123" s="1" t="str">
        <f>VLOOKUP($E123,'Product Naming'!$A$1:$P$58,3,FALSE)</f>
        <v>Limonene</v>
      </c>
      <c r="U123" s="1" t="str">
        <f>VLOOKUP($E123,'Product Naming'!$A$1:$P$58,4,FALSE)</f>
        <v>E</v>
      </c>
      <c r="V123" s="1" t="str">
        <f>VLOOKUP($E123,'Product Naming'!$A$1:$P$58,5,FALSE)</f>
        <v>C10H16</v>
      </c>
      <c r="W123" s="1">
        <f>VLOOKUP($E123,'Product Naming'!$A$1:$P$58,6,FALSE)</f>
        <v>10</v>
      </c>
      <c r="X123" s="1">
        <f>VLOOKUP($E123,'Product Naming'!$A$1:$P$58,7,FALSE)</f>
        <v>16</v>
      </c>
      <c r="Y123" s="1">
        <f>VLOOKUP($E123,'Product Naming'!$A$1:$P$58,8,FALSE)</f>
        <v>0</v>
      </c>
      <c r="Z123" s="1">
        <f>VLOOKUP($E123,'Product Naming'!$A$1:$P$58,9,FALSE)</f>
        <v>0</v>
      </c>
      <c r="AA123" s="1">
        <f>VLOOKUP($E123,'Product Naming'!$A$1:$P$58,10,FALSE)</f>
        <v>0</v>
      </c>
      <c r="AB123" s="29">
        <f>VLOOKUP($E123,'Product Naming'!$A$1:$P$58,11,FALSE)</f>
        <v>5.6</v>
      </c>
      <c r="AC123" s="3">
        <f>VLOOKUP($E123,'Product Naming'!$A$1:$P$58,12,FALSE)</f>
        <v>136.23244</v>
      </c>
      <c r="AD123" s="1">
        <f>VLOOKUP($E123,'Product Naming'!$A$1:$P$58,13,FALSE)</f>
        <v>176</v>
      </c>
      <c r="AE123" s="1" t="str">
        <f>VLOOKUP($E123,'Product Naming'!$A$1:$P$58,14,FALSE)</f>
        <v>Isoprenoid; Aromatic (Cycloalkane)</v>
      </c>
      <c r="AF123" s="1" t="str">
        <f>VLOOKUP($E123,'Product Naming'!$A$1:$P$58,15,FALSE)</f>
        <v>Acetyl-CoA</v>
      </c>
      <c r="AG123" s="30" t="str">
        <f>VLOOKUP($E123,'Product Naming'!$A$1:$P$58,16,FALSE)</f>
        <v>Proton symporter</v>
      </c>
      <c r="AH123" s="3" t="str">
        <f>VLOOKUP($E123,'Product Naming'!$A$1:$Q$58,17,FALSE)</f>
        <v>limnen_c</v>
      </c>
      <c r="AI123" s="1">
        <f>VLOOKUP($E123,'Product Parameters'!$A$2:$D$59,2,FALSE)</f>
        <v>1</v>
      </c>
      <c r="AJ123" s="1">
        <f>VLOOKUP($E123,'Product Parameters'!$A$2:$D$59,3,FALSE)</f>
        <v>0</v>
      </c>
      <c r="AK123" s="1">
        <f>VLOOKUP($E123,'Product Parameters'!$A$2:$D$59,4,FALSE)</f>
        <v>0.12</v>
      </c>
      <c r="AL123" s="1">
        <f>VLOOKUP($E123,'Product Parameters'!$A$2:$E$59,5,FALSE)</f>
        <v>49.5</v>
      </c>
      <c r="AM123" s="1">
        <f>VLOOKUP($E123,'Product Parameters'!$A$2:$F$59,6,FALSE)</f>
        <v>10</v>
      </c>
      <c r="AN123" s="1">
        <f>VLOOKUP($C123,'Substrate Heating'!$A$2:$C$33,3,FALSE)</f>
        <v>247.59097</v>
      </c>
      <c r="AO123" s="1">
        <f>VLOOKUP($C123,'Substrate Heating'!$A$2:$B$33,2,FALSE)</f>
        <v>5.5</v>
      </c>
      <c r="AP123" s="1">
        <f>VLOOKUP($C123,'Substrate Heating'!$A$2:$M$33,13,FALSE)</f>
        <v>1</v>
      </c>
      <c r="AQ123" s="1">
        <f>VLOOKUP($C123,'Substrate Heating'!$A$2:$M$33,8,FALSE)</f>
        <v>1</v>
      </c>
      <c r="AR123" s="1">
        <f t="shared" si="1"/>
        <v>0.22291666666666698</v>
      </c>
    </row>
    <row r="124" spans="1:44" x14ac:dyDescent="0.2">
      <c r="A124" s="8" t="s">
        <v>34</v>
      </c>
      <c r="B124" s="9" t="s">
        <v>35</v>
      </c>
      <c r="C124" s="1" t="s">
        <v>339</v>
      </c>
      <c r="D124" s="23" t="s">
        <v>338</v>
      </c>
      <c r="E124" s="1" t="s">
        <v>66</v>
      </c>
      <c r="F124" s="1" t="s">
        <v>67</v>
      </c>
      <c r="G124" s="1">
        <v>-10</v>
      </c>
      <c r="H124" s="1">
        <v>-20</v>
      </c>
      <c r="I124" s="1" t="s">
        <v>40</v>
      </c>
      <c r="J124" s="1">
        <v>3.15</v>
      </c>
      <c r="K124" s="1">
        <v>-10</v>
      </c>
      <c r="L124" s="1">
        <v>-3.12446043165468</v>
      </c>
      <c r="M124" s="1" t="s">
        <v>40</v>
      </c>
      <c r="N124" s="1">
        <v>8.6359712230215795</v>
      </c>
      <c r="O124" s="1">
        <v>0.34100719424460502</v>
      </c>
      <c r="Q124" s="1">
        <v>3.4100719424460503E-2</v>
      </c>
      <c r="R124" s="1">
        <v>6.6764202903280404E-2</v>
      </c>
      <c r="S124" s="1" t="str">
        <f>VLOOKUP($E124,'Product Naming'!$A$1:$P$58,2,FALSE)</f>
        <v>1-4-butanediol</v>
      </c>
      <c r="T124" s="1" t="str">
        <f>VLOOKUP($E124,'Product Naming'!$A$1:$P$58,3,FALSE)</f>
        <v>1,4-Butanediol</v>
      </c>
      <c r="U124" s="1" t="str">
        <f>VLOOKUP($E124,'Product Naming'!$A$1:$P$58,4,FALSE)</f>
        <v>E</v>
      </c>
      <c r="V124" s="1" t="str">
        <f>VLOOKUP($E124,'Product Naming'!$A$1:$P$58,5,FALSE)</f>
        <v>C4H10O2</v>
      </c>
      <c r="W124" s="1">
        <f>VLOOKUP($E124,'Product Naming'!$A$1:$P$58,6,FALSE)</f>
        <v>4</v>
      </c>
      <c r="X124" s="1">
        <f>VLOOKUP($E124,'Product Naming'!$A$1:$P$58,7,FALSE)</f>
        <v>10</v>
      </c>
      <c r="Y124" s="1">
        <f>VLOOKUP($E124,'Product Naming'!$A$1:$P$58,8,FALSE)</f>
        <v>2</v>
      </c>
      <c r="Z124" s="1">
        <f>VLOOKUP($E124,'Product Naming'!$A$1:$P$58,9,FALSE)</f>
        <v>0</v>
      </c>
      <c r="AA124" s="1">
        <f>VLOOKUP($E124,'Product Naming'!$A$1:$P$58,10,FALSE)</f>
        <v>0</v>
      </c>
      <c r="AB124" s="29">
        <f>VLOOKUP($E124,'Product Naming'!$A$1:$P$58,11,FALSE)</f>
        <v>5.5</v>
      </c>
      <c r="AC124" s="3">
        <f>VLOOKUP($E124,'Product Naming'!$A$1:$P$58,12,FALSE)</f>
        <v>90.119200000000006</v>
      </c>
      <c r="AD124" s="1">
        <f>VLOOKUP($E124,'Product Naming'!$A$1:$P$58,13,FALSE)</f>
        <v>230</v>
      </c>
      <c r="AE124" s="1" t="str">
        <f>VLOOKUP($E124,'Product Naming'!$A$1:$P$58,14,FALSE)</f>
        <v>Diol</v>
      </c>
      <c r="AF124" s="1" t="str">
        <f>VLOOKUP($E124,'Product Naming'!$A$1:$P$58,15,FALSE)</f>
        <v>aKG</v>
      </c>
      <c r="AG124" s="30" t="str">
        <f>VLOOKUP($E124,'Product Naming'!$A$1:$P$58,16,FALSE)</f>
        <v>Proton symporter</v>
      </c>
      <c r="AH124" s="3" t="str">
        <f>VLOOKUP($E124,'Product Naming'!$A$1:$Q$58,17,FALSE)</f>
        <v>14bdo_c</v>
      </c>
      <c r="AI124" s="1">
        <f>VLOOKUP($E124,'Product Parameters'!$A$2:$D$59,2,FALSE)</f>
        <v>1</v>
      </c>
      <c r="AJ124" s="1">
        <f>VLOOKUP($E124,'Product Parameters'!$A$2:$D$59,3,FALSE)</f>
        <v>0</v>
      </c>
      <c r="AK124" s="1">
        <f>VLOOKUP($E124,'Product Parameters'!$A$2:$D$59,4,FALSE)</f>
        <v>0.12</v>
      </c>
      <c r="AL124" s="1">
        <f>VLOOKUP($E124,'Product Parameters'!$A$2:$E$59,5,FALSE)</f>
        <v>78</v>
      </c>
      <c r="AM124" s="1">
        <f>VLOOKUP($E124,'Product Parameters'!$A$2:$F$59,6,FALSE)</f>
        <v>4</v>
      </c>
      <c r="AN124" s="1">
        <f>VLOOKUP($C124,'Substrate Heating'!$A$2:$C$33,3,FALSE)</f>
        <v>247.59097</v>
      </c>
      <c r="AO124" s="1">
        <f>VLOOKUP($C124,'Substrate Heating'!$A$2:$B$33,2,FALSE)</f>
        <v>5.5</v>
      </c>
      <c r="AP124" s="1">
        <f>VLOOKUP($C124,'Substrate Heating'!$A$2:$M$33,13,FALSE)</f>
        <v>1</v>
      </c>
      <c r="AQ124" s="1">
        <f>VLOOKUP($C124,'Substrate Heating'!$A$2:$M$33,8,FALSE)</f>
        <v>1</v>
      </c>
      <c r="AR124" s="1">
        <f t="shared" si="1"/>
        <v>0.13640287769784201</v>
      </c>
    </row>
    <row r="125" spans="1:44" x14ac:dyDescent="0.2">
      <c r="A125" s="8" t="s">
        <v>34</v>
      </c>
      <c r="B125" s="9" t="s">
        <v>35</v>
      </c>
      <c r="C125" s="1" t="s">
        <v>337</v>
      </c>
      <c r="D125" s="23" t="s">
        <v>338</v>
      </c>
      <c r="E125" s="1" t="s">
        <v>297</v>
      </c>
      <c r="F125" s="1" t="s">
        <v>298</v>
      </c>
      <c r="G125" s="1">
        <v>-10</v>
      </c>
      <c r="H125" s="1">
        <v>-20</v>
      </c>
      <c r="I125" s="1" t="s">
        <v>40</v>
      </c>
      <c r="J125" s="1">
        <v>3.15</v>
      </c>
      <c r="K125" s="1">
        <v>-10</v>
      </c>
      <c r="L125" s="1">
        <v>-2.6958333333333302</v>
      </c>
      <c r="M125" s="1" t="s">
        <v>40</v>
      </c>
      <c r="N125" s="1">
        <v>8.0250000000000004</v>
      </c>
      <c r="O125" s="1">
        <v>0.329166666666667</v>
      </c>
      <c r="Q125" s="1">
        <v>3.2916666666666698E-2</v>
      </c>
      <c r="R125" s="1">
        <v>6.7300072127500596E-2</v>
      </c>
      <c r="S125" s="1" t="str">
        <f>VLOOKUP($E125,'Product Naming'!$A$1:$P$58,2,FALSE)</f>
        <v>Phenol</v>
      </c>
      <c r="T125" s="1" t="str">
        <f>VLOOKUP($E125,'Product Naming'!$A$1:$P$58,3,FALSE)</f>
        <v>Phenol</v>
      </c>
      <c r="U125" s="1" t="str">
        <f>VLOOKUP($E125,'Product Naming'!$A$1:$P$58,4,FALSE)</f>
        <v>E-S</v>
      </c>
      <c r="V125" s="1" t="str">
        <f>VLOOKUP($E125,'Product Naming'!$A$1:$P$58,5,FALSE)</f>
        <v>C6H6O</v>
      </c>
      <c r="W125" s="1">
        <f>VLOOKUP($E125,'Product Naming'!$A$1:$P$58,6,FALSE)</f>
        <v>6</v>
      </c>
      <c r="X125" s="1">
        <f>VLOOKUP($E125,'Product Naming'!$A$1:$P$58,7,FALSE)</f>
        <v>6</v>
      </c>
      <c r="Y125" s="1">
        <f>VLOOKUP($E125,'Product Naming'!$A$1:$P$58,8,FALSE)</f>
        <v>1</v>
      </c>
      <c r="Z125" s="1">
        <f>VLOOKUP($E125,'Product Naming'!$A$1:$P$58,9,FALSE)</f>
        <v>0</v>
      </c>
      <c r="AA125" s="1">
        <f>VLOOKUP($E125,'Product Naming'!$A$1:$P$58,10,FALSE)</f>
        <v>0</v>
      </c>
      <c r="AB125" s="29">
        <f>VLOOKUP($E125,'Product Naming'!$A$1:$P$58,11,FALSE)</f>
        <v>4.666666666666667</v>
      </c>
      <c r="AC125" s="3">
        <f>VLOOKUP($E125,'Product Naming'!$A$1:$P$58,12,FALSE)</f>
        <v>94.11023999999999</v>
      </c>
      <c r="AD125" s="1">
        <f>VLOOKUP($E125,'Product Naming'!$A$1:$P$58,13,FALSE)</f>
        <v>181.7</v>
      </c>
      <c r="AE125" s="1" t="str">
        <f>VLOOKUP($E125,'Product Naming'!$A$1:$P$58,14,FALSE)</f>
        <v>Aromatic + Alcohol</v>
      </c>
      <c r="AF125" s="1" t="str">
        <f>VLOOKUP($E125,'Product Naming'!$A$1:$P$58,15,FALSE)</f>
        <v>E4P + L-glutamate</v>
      </c>
      <c r="AG125" s="30" t="str">
        <f>VLOOKUP($E125,'Product Naming'!$A$1:$P$58,16,FALSE)</f>
        <v>Proton symporter</v>
      </c>
      <c r="AH125" s="3" t="str">
        <f>VLOOKUP($E125,'Product Naming'!$A$1:$Q$58,17,FALSE)</f>
        <v>phenol_c</v>
      </c>
      <c r="AI125" s="1">
        <f>VLOOKUP($E125,'Product Parameters'!$A$2:$D$59,2,FALSE)</f>
        <v>1</v>
      </c>
      <c r="AJ125" s="1">
        <f>VLOOKUP($E125,'Product Parameters'!$A$2:$D$59,3,FALSE)</f>
        <v>0</v>
      </c>
      <c r="AK125" s="1">
        <f>VLOOKUP($E125,'Product Parameters'!$A$2:$D$59,4,FALSE)</f>
        <v>0.12</v>
      </c>
      <c r="AL125" s="1">
        <f>VLOOKUP($E125,'Product Parameters'!$A$2:$E$59,5,FALSE)</f>
        <v>58.8</v>
      </c>
      <c r="AM125" s="1">
        <f>VLOOKUP($E125,'Product Parameters'!$A$2:$F$59,6,FALSE)</f>
        <v>6</v>
      </c>
      <c r="AN125" s="1">
        <f>VLOOKUP($C125,'Substrate Heating'!$A$2:$C$33,3,FALSE)</f>
        <v>247.59097</v>
      </c>
      <c r="AO125" s="1">
        <f>VLOOKUP($C125,'Substrate Heating'!$A$2:$B$33,2,FALSE)</f>
        <v>5.5</v>
      </c>
      <c r="AP125" s="1">
        <f>VLOOKUP($C125,'Substrate Heating'!$A$2:$M$33,13,FALSE)</f>
        <v>1</v>
      </c>
      <c r="AQ125" s="1">
        <f>VLOOKUP($C125,'Substrate Heating'!$A$2:$M$33,8,FALSE)</f>
        <v>1</v>
      </c>
      <c r="AR125" s="1">
        <f t="shared" si="1"/>
        <v>0.19750000000000018</v>
      </c>
    </row>
    <row r="126" spans="1:44" x14ac:dyDescent="0.2">
      <c r="A126" s="17" t="s">
        <v>185</v>
      </c>
      <c r="B126" s="9" t="s">
        <v>35</v>
      </c>
      <c r="C126" t="s">
        <v>340</v>
      </c>
      <c r="D126" s="23" t="s">
        <v>338</v>
      </c>
      <c r="E126" t="s">
        <v>318</v>
      </c>
      <c r="F126" t="s">
        <v>319</v>
      </c>
      <c r="G126">
        <v>-10</v>
      </c>
      <c r="H126">
        <v>-20</v>
      </c>
      <c r="I126" s="1" t="s">
        <v>40</v>
      </c>
      <c r="J126">
        <v>3.15</v>
      </c>
      <c r="K126">
        <v>-10</v>
      </c>
      <c r="L126">
        <v>-4.0563139931740597</v>
      </c>
      <c r="M126" s="1" t="s">
        <v>40</v>
      </c>
      <c r="N126">
        <v>8.92150170648463</v>
      </c>
      <c r="O126">
        <v>0.26962457337884099</v>
      </c>
      <c r="P126"/>
      <c r="Q126">
        <v>2.6962457337884101E-2</v>
      </c>
      <c r="R126">
        <v>6.7989657463922798E-2</v>
      </c>
      <c r="S126" s="1" t="str">
        <f>VLOOKUP($E126,'Product Naming'!$A$1:$P$58,2,FALSE)</f>
        <v>Succinate</v>
      </c>
      <c r="T126" s="1" t="str">
        <f>VLOOKUP($E126,'Product Naming'!$A$1:$P$58,3,FALSE)</f>
        <v>Succinate</v>
      </c>
      <c r="U126" s="1" t="str">
        <f>VLOOKUP($E126,'Product Naming'!$A$1:$P$58,4,FALSE)</f>
        <v>iJO1366</v>
      </c>
      <c r="V126" s="1" t="str">
        <f>VLOOKUP($E126,'Product Naming'!$A$1:$P$58,5,FALSE)</f>
        <v>C4H4O4</v>
      </c>
      <c r="W126" s="1">
        <f>VLOOKUP($E126,'Product Naming'!$A$1:$P$58,6,FALSE)</f>
        <v>4</v>
      </c>
      <c r="X126" s="1">
        <f>VLOOKUP($E126,'Product Naming'!$A$1:$P$58,7,FALSE)</f>
        <v>4</v>
      </c>
      <c r="Y126" s="1">
        <f>VLOOKUP($E126,'Product Naming'!$A$1:$P$58,8,FALSE)</f>
        <v>4</v>
      </c>
      <c r="Z126" s="1">
        <f>VLOOKUP($E126,'Product Naming'!$A$1:$P$58,9,FALSE)</f>
        <v>0</v>
      </c>
      <c r="AA126" s="1">
        <f>VLOOKUP($E126,'Product Naming'!$A$1:$P$58,10,FALSE)</f>
        <v>-2</v>
      </c>
      <c r="AB126" s="29">
        <f>VLOOKUP($E126,'Product Naming'!$A$1:$P$58,11,FALSE)</f>
        <v>3</v>
      </c>
      <c r="AC126" s="3">
        <f>VLOOKUP($E126,'Product Naming'!$A$1:$P$58,12,FALSE)</f>
        <v>116.07016</v>
      </c>
      <c r="AD126" s="1">
        <f>VLOOKUP($E126,'Product Naming'!$A$1:$P$58,13,FALSE)</f>
        <v>235</v>
      </c>
      <c r="AE126" s="1" t="str">
        <f>VLOOKUP($E126,'Product Naming'!$A$1:$P$58,14,FALSE)</f>
        <v>Dicarboxylate</v>
      </c>
      <c r="AF126" s="1" t="str">
        <f>VLOOKUP($E126,'Product Naming'!$A$1:$P$58,15,FALSE)</f>
        <v>Oxaloacetate</v>
      </c>
      <c r="AG126" s="30" t="str">
        <f>VLOOKUP($E126,'Product Naming'!$A$1:$P$58,16,FALSE)</f>
        <v>Proton symporter</v>
      </c>
      <c r="AH126" s="3" t="str">
        <f>VLOOKUP($E126,'Product Naming'!$A$1:$Q$58,17,FALSE)</f>
        <v>succ_c</v>
      </c>
      <c r="AI126" s="1">
        <f>VLOOKUP($E126,'Product Parameters'!$A$2:$D$59,2,FALSE)</f>
        <v>1</v>
      </c>
      <c r="AJ126" s="1">
        <f>VLOOKUP($E126,'Product Parameters'!$A$2:$D$59,3,FALSE)</f>
        <v>0</v>
      </c>
      <c r="AK126" s="1">
        <f>VLOOKUP($E126,'Product Parameters'!$A$2:$D$59,4,FALSE)</f>
        <v>0.12</v>
      </c>
      <c r="AL126" s="1">
        <f>VLOOKUP($E126,'Product Parameters'!$A$2:$E$59,5,FALSE)</f>
        <v>40.65</v>
      </c>
      <c r="AM126" s="1">
        <f>VLOOKUP($E126,'Product Parameters'!$A$2:$F$59,6,FALSE)</f>
        <v>4</v>
      </c>
      <c r="AN126" s="1">
        <f>VLOOKUP($C126,'Substrate Heating'!$A$2:$C$33,3,FALSE)</f>
        <v>247.59097</v>
      </c>
      <c r="AO126" s="1">
        <f>VLOOKUP($C126,'Substrate Heating'!$A$2:$B$33,2,FALSE)</f>
        <v>5.5</v>
      </c>
      <c r="AP126" s="1">
        <f>VLOOKUP($C126,'Substrate Heating'!$A$2:$M$33,13,FALSE)</f>
        <v>1</v>
      </c>
      <c r="AQ126" s="1">
        <f>VLOOKUP($C126,'Substrate Heating'!$A$2:$M$33,8,FALSE)</f>
        <v>1</v>
      </c>
      <c r="AR126" s="1">
        <f t="shared" si="1"/>
        <v>0.10784982935153641</v>
      </c>
    </row>
    <row r="127" spans="1:44" x14ac:dyDescent="0.2">
      <c r="A127" s="8" t="s">
        <v>34</v>
      </c>
      <c r="B127" s="9" t="s">
        <v>35</v>
      </c>
      <c r="C127" s="1" t="s">
        <v>337</v>
      </c>
      <c r="D127" s="23" t="s">
        <v>338</v>
      </c>
      <c r="E127" s="1" t="s">
        <v>81</v>
      </c>
      <c r="F127" s="1" t="s">
        <v>73</v>
      </c>
      <c r="G127" s="1">
        <v>-10</v>
      </c>
      <c r="H127" s="1">
        <v>-20</v>
      </c>
      <c r="I127" s="1" t="s">
        <v>40</v>
      </c>
      <c r="J127" s="1">
        <v>3.15</v>
      </c>
      <c r="K127" s="1">
        <v>-10</v>
      </c>
      <c r="L127" s="1">
        <v>-2.6560439560439502</v>
      </c>
      <c r="M127" s="1" t="s">
        <v>40</v>
      </c>
      <c r="N127" s="1">
        <v>8.4373626373626305</v>
      </c>
      <c r="O127" s="1">
        <v>0.52087912087911903</v>
      </c>
      <c r="Q127" s="1">
        <v>5.20879120879119E-2</v>
      </c>
      <c r="R127" s="1">
        <v>6.8003232988920206E-2</v>
      </c>
      <c r="S127" s="1" t="str">
        <f>VLOOKUP($E127,'Product Naming'!$A$1:$P$58,2,FALSE)</f>
        <v>1-propanol-PW2</v>
      </c>
      <c r="T127" s="1" t="str">
        <f>VLOOKUP($E127,'Product Naming'!$A$1:$P$58,3,FALSE)</f>
        <v>1-Propanol (PW2)</v>
      </c>
      <c r="U127" s="1" t="str">
        <f>VLOOKUP($E127,'Product Naming'!$A$1:$P$58,4,FALSE)</f>
        <v>E-S</v>
      </c>
      <c r="V127" s="1" t="str">
        <f>VLOOKUP($E127,'Product Naming'!$A$1:$P$58,5,FALSE)</f>
        <v>C3H8O</v>
      </c>
      <c r="W127" s="1">
        <f>VLOOKUP($E127,'Product Naming'!$A$1:$P$58,6,FALSE)</f>
        <v>3</v>
      </c>
      <c r="X127" s="1">
        <f>VLOOKUP($E127,'Product Naming'!$A$1:$P$58,7,FALSE)</f>
        <v>8</v>
      </c>
      <c r="Y127" s="1">
        <f>VLOOKUP($E127,'Product Naming'!$A$1:$P$58,8,FALSE)</f>
        <v>1</v>
      </c>
      <c r="Z127" s="1">
        <f>VLOOKUP($E127,'Product Naming'!$A$1:$P$58,9,FALSE)</f>
        <v>0</v>
      </c>
      <c r="AA127" s="1">
        <f>VLOOKUP($E127,'Product Naming'!$A$1:$P$58,10,FALSE)</f>
        <v>0</v>
      </c>
      <c r="AB127" s="29">
        <f>VLOOKUP($E127,'Product Naming'!$A$1:$P$58,11,FALSE)</f>
        <v>6</v>
      </c>
      <c r="AC127" s="3">
        <f>VLOOKUP($E127,'Product Naming'!$A$1:$P$58,12,FALSE)</f>
        <v>60.093820000000001</v>
      </c>
      <c r="AD127" s="1">
        <f>VLOOKUP($E127,'Product Naming'!$A$1:$P$58,13,FALSE)</f>
        <v>97</v>
      </c>
      <c r="AE127" s="1" t="str">
        <f>VLOOKUP($E127,'Product Naming'!$A$1:$P$58,14,FALSE)</f>
        <v>Alcohol</v>
      </c>
      <c r="AF127" s="1" t="str">
        <f>VLOOKUP($E127,'Product Naming'!$A$1:$P$58,15,FALSE)</f>
        <v>Oxaloacetate</v>
      </c>
      <c r="AG127" s="30" t="str">
        <f>VLOOKUP($E127,'Product Naming'!$A$1:$P$58,16,FALSE)</f>
        <v>Proton symporter</v>
      </c>
      <c r="AH127" s="3" t="str">
        <f>VLOOKUP($E127,'Product Naming'!$A$1:$Q$58,17,FALSE)</f>
        <v>ppoh_c</v>
      </c>
      <c r="AI127" s="1">
        <f>VLOOKUP($E127,'Product Parameters'!$A$2:$D$59,2,FALSE)</f>
        <v>1</v>
      </c>
      <c r="AJ127" s="1">
        <f>VLOOKUP($E127,'Product Parameters'!$A$2:$D$59,3,FALSE)</f>
        <v>0</v>
      </c>
      <c r="AK127" s="1">
        <f>VLOOKUP($E127,'Product Parameters'!$A$2:$D$59,4,FALSE)</f>
        <v>0.12</v>
      </c>
      <c r="AL127" s="1">
        <f>VLOOKUP($E127,'Product Parameters'!$A$2:$E$59,5,FALSE)</f>
        <v>47</v>
      </c>
      <c r="AM127" s="1">
        <f>VLOOKUP($E127,'Product Parameters'!$A$2:$F$59,6,FALSE)</f>
        <v>3</v>
      </c>
      <c r="AN127" s="1">
        <f>VLOOKUP($C127,'Substrate Heating'!$A$2:$C$33,3,FALSE)</f>
        <v>247.59097</v>
      </c>
      <c r="AO127" s="1">
        <f>VLOOKUP($C127,'Substrate Heating'!$A$2:$B$33,2,FALSE)</f>
        <v>5.5</v>
      </c>
      <c r="AP127" s="1">
        <f>VLOOKUP($C127,'Substrate Heating'!$A$2:$M$33,13,FALSE)</f>
        <v>1</v>
      </c>
      <c r="AQ127" s="1">
        <f>VLOOKUP($C127,'Substrate Heating'!$A$2:$M$33,8,FALSE)</f>
        <v>1</v>
      </c>
      <c r="AR127" s="1">
        <f t="shared" si="1"/>
        <v>0.15626373626373569</v>
      </c>
    </row>
    <row r="128" spans="1:44" x14ac:dyDescent="0.2">
      <c r="A128" s="8" t="s">
        <v>792</v>
      </c>
      <c r="B128" s="18" t="s">
        <v>324</v>
      </c>
      <c r="C128" t="s">
        <v>365</v>
      </c>
      <c r="D128" s="23" t="s">
        <v>338</v>
      </c>
      <c r="E128" t="s">
        <v>192</v>
      </c>
      <c r="F128" t="s">
        <v>193</v>
      </c>
      <c r="G128">
        <v>-10</v>
      </c>
      <c r="H128">
        <v>0</v>
      </c>
      <c r="I128">
        <v>0</v>
      </c>
      <c r="J128">
        <v>0.45</v>
      </c>
      <c r="K128">
        <v>-10</v>
      </c>
      <c r="L128">
        <v>0</v>
      </c>
      <c r="M128" s="28" t="s">
        <v>533</v>
      </c>
      <c r="N128">
        <v>0</v>
      </c>
      <c r="O128" s="28" t="s">
        <v>534</v>
      </c>
      <c r="P128"/>
      <c r="Q128" s="28" t="s">
        <v>535</v>
      </c>
      <c r="R128">
        <v>6.8914081572067895E-2</v>
      </c>
      <c r="S128" s="1" t="str">
        <f>VLOOKUP($E128,'Product Naming'!$A$1:$P$58,2,FALSE)</f>
        <v>Coumaric acid</v>
      </c>
      <c r="T128" s="1" t="str">
        <f>VLOOKUP($E128,'Product Naming'!$A$1:$P$58,3,FALSE)</f>
        <v>Coumaric acid</v>
      </c>
      <c r="U128" s="1" t="str">
        <f>VLOOKUP($E128,'Product Naming'!$A$1:$P$58,4,FALSE)</f>
        <v>E</v>
      </c>
      <c r="V128" s="1" t="str">
        <f>VLOOKUP($E128,'Product Naming'!$A$1:$P$58,5,FALSE)</f>
        <v>C9H7O3</v>
      </c>
      <c r="W128" s="1">
        <f>VLOOKUP($E128,'Product Naming'!$A$1:$P$58,6,FALSE)</f>
        <v>9</v>
      </c>
      <c r="X128" s="1">
        <f>VLOOKUP($E128,'Product Naming'!$A$1:$P$58,7,FALSE)</f>
        <v>7</v>
      </c>
      <c r="Y128" s="1">
        <f>VLOOKUP($E128,'Product Naming'!$A$1:$P$58,8,FALSE)</f>
        <v>3</v>
      </c>
      <c r="Z128" s="1">
        <f>VLOOKUP($E128,'Product Naming'!$A$1:$P$58,9,FALSE)</f>
        <v>0</v>
      </c>
      <c r="AA128" s="1">
        <f>VLOOKUP($E128,'Product Naming'!$A$1:$P$58,10,FALSE)</f>
        <v>-1</v>
      </c>
      <c r="AB128" s="29">
        <f>VLOOKUP($E128,'Product Naming'!$A$1:$P$58,11,FALSE)</f>
        <v>4.1111111111111107</v>
      </c>
      <c r="AC128" s="3">
        <f>VLOOKUP($E128,'Product Naming'!$A$1:$P$58,12,FALSE)</f>
        <v>163.14818</v>
      </c>
      <c r="AD128" s="1">
        <f>VLOOKUP($E128,'Product Naming'!$A$1:$P$58,13,FALSE)</f>
        <v>346</v>
      </c>
      <c r="AE128" s="1" t="str">
        <f>VLOOKUP($E128,'Product Naming'!$A$1:$P$58,14,FALSE)</f>
        <v>Aromatic + Alcohol + Carboxylate</v>
      </c>
      <c r="AF128" s="1" t="str">
        <f>VLOOKUP($E128,'Product Naming'!$A$1:$P$58,15,FALSE)</f>
        <v>E4P + L-glutamate</v>
      </c>
      <c r="AG128" s="30" t="str">
        <f>VLOOKUP($E128,'Product Naming'!$A$1:$P$58,16,FALSE)</f>
        <v>Proton symporter</v>
      </c>
      <c r="AH128" s="3" t="str">
        <f>VLOOKUP($E128,'Product Naming'!$A$1:$Q$58,17,FALSE)</f>
        <v>T4hcinnm_c</v>
      </c>
      <c r="AI128" s="1">
        <f>VLOOKUP($E128,'Product Parameters'!$A$2:$D$59,2,FALSE)</f>
        <v>1</v>
      </c>
      <c r="AJ128" s="1">
        <f>VLOOKUP($E128,'Product Parameters'!$A$2:$D$59,3,FALSE)</f>
        <v>0</v>
      </c>
      <c r="AK128" s="1">
        <f>VLOOKUP($E128,'Product Parameters'!$A$2:$D$59,4,FALSE)</f>
        <v>0.12</v>
      </c>
      <c r="AL128" s="1">
        <f>VLOOKUP($E128,'Product Parameters'!$A$2:$E$59,5,FALSE)</f>
        <v>40.65</v>
      </c>
      <c r="AM128" s="1">
        <f>VLOOKUP($E128,'Product Parameters'!$A$2:$F$59,6,FALSE)</f>
        <v>9</v>
      </c>
      <c r="AN128" s="1">
        <f>VLOOKUP($C128,'Substrate Heating'!$A$2:$C$33,3,FALSE)</f>
        <v>638.57832580000002</v>
      </c>
      <c r="AO128" s="1">
        <f>VLOOKUP($C128,'Substrate Heating'!$A$2:$B$33,2,FALSE)</f>
        <v>19.93</v>
      </c>
      <c r="AP128" s="1">
        <f>VLOOKUP($C128,'Substrate Heating'!$A$2:$M$33,13,FALSE)</f>
        <v>6</v>
      </c>
      <c r="AQ128" s="1">
        <f>VLOOKUP($C128,'Substrate Heating'!$A$2:$M$33,8,FALSE)</f>
        <v>1</v>
      </c>
      <c r="AR128" s="1">
        <f t="shared" si="1"/>
        <v>0.1209836065573764</v>
      </c>
    </row>
    <row r="129" spans="1:44" x14ac:dyDescent="0.2">
      <c r="A129" s="17" t="s">
        <v>323</v>
      </c>
      <c r="B129" s="18" t="s">
        <v>324</v>
      </c>
      <c r="C129" t="s">
        <v>334</v>
      </c>
      <c r="D129" s="19" t="s">
        <v>326</v>
      </c>
      <c r="E129" t="s">
        <v>136</v>
      </c>
      <c r="F129" t="s">
        <v>137</v>
      </c>
      <c r="G129">
        <v>-10</v>
      </c>
      <c r="H129">
        <v>0</v>
      </c>
      <c r="I129">
        <v>-5</v>
      </c>
      <c r="J129">
        <v>0.45</v>
      </c>
      <c r="K129">
        <v>-10</v>
      </c>
      <c r="L129">
        <v>0</v>
      </c>
      <c r="M129">
        <v>-5</v>
      </c>
      <c r="N129">
        <v>2.63441860465116</v>
      </c>
      <c r="O129">
        <v>0.26883720930232502</v>
      </c>
      <c r="P129"/>
      <c r="Q129">
        <v>2.6883720930233002E-2</v>
      </c>
      <c r="R129">
        <v>6.9217083003989002E-2</v>
      </c>
      <c r="S129" s="1" t="str">
        <f>VLOOKUP($E129,'Product Naming'!$A$1:$P$58,2,FALSE)</f>
        <v>Benzoate-PW1</v>
      </c>
      <c r="T129" s="1" t="str">
        <f>VLOOKUP($E129,'Product Naming'!$A$1:$P$58,3,FALSE)</f>
        <v>Benzoate (PW1)</v>
      </c>
      <c r="U129" s="1" t="str">
        <f>VLOOKUP($E129,'Product Naming'!$A$1:$P$58,4,FALSE)</f>
        <v>A</v>
      </c>
      <c r="V129" s="1" t="str">
        <f>VLOOKUP($E129,'Product Naming'!$A$1:$P$58,5,FALSE)</f>
        <v>C7H5O2</v>
      </c>
      <c r="W129" s="1">
        <f>VLOOKUP($E129,'Product Naming'!$A$1:$P$58,6,FALSE)</f>
        <v>7</v>
      </c>
      <c r="X129" s="1">
        <f>VLOOKUP($E129,'Product Naming'!$A$1:$P$58,7,FALSE)</f>
        <v>5</v>
      </c>
      <c r="Y129" s="1">
        <f>VLOOKUP($E129,'Product Naming'!$A$1:$P$58,8,FALSE)</f>
        <v>2</v>
      </c>
      <c r="Z129" s="1">
        <f>VLOOKUP($E129,'Product Naming'!$A$1:$P$58,9,FALSE)</f>
        <v>0</v>
      </c>
      <c r="AA129" s="1">
        <f>VLOOKUP($E129,'Product Naming'!$A$1:$P$58,10,FALSE)</f>
        <v>-1</v>
      </c>
      <c r="AB129" s="29">
        <f>VLOOKUP($E129,'Product Naming'!$A$1:$P$58,11,FALSE)</f>
        <v>4.1428571428571432</v>
      </c>
      <c r="AC129" s="3">
        <f>VLOOKUP($E129,'Product Naming'!$A$1:$P$58,12,FALSE)</f>
        <v>121.1121</v>
      </c>
      <c r="AD129" s="1">
        <f>VLOOKUP($E129,'Product Naming'!$A$1:$P$58,13,FALSE)</f>
        <v>249.2</v>
      </c>
      <c r="AE129" s="1" t="str">
        <f>VLOOKUP($E129,'Product Naming'!$A$1:$P$58,14,FALSE)</f>
        <v>Aromatic + Carboxylate</v>
      </c>
      <c r="AF129" s="1" t="str">
        <f>VLOOKUP($E129,'Product Naming'!$A$1:$P$58,15,FALSE)</f>
        <v>E4P + aKG</v>
      </c>
      <c r="AG129" s="30" t="str">
        <f>VLOOKUP($E129,'Product Naming'!$A$1:$P$58,16,FALSE)</f>
        <v>Proton symporter</v>
      </c>
      <c r="AH129" s="3" t="str">
        <f>VLOOKUP($E129,'Product Naming'!$A$1:$Q$58,17,FALSE)</f>
        <v>bz_c</v>
      </c>
      <c r="AI129" s="1">
        <f>VLOOKUP($E129,'Product Parameters'!$A$2:$D$59,2,FALSE)</f>
        <v>1</v>
      </c>
      <c r="AJ129" s="1">
        <f>VLOOKUP($E129,'Product Parameters'!$A$2:$D$59,3,FALSE)</f>
        <v>0</v>
      </c>
      <c r="AK129" s="1">
        <f>VLOOKUP($E129,'Product Parameters'!$A$2:$D$59,4,FALSE)</f>
        <v>0.12</v>
      </c>
      <c r="AL129" s="1">
        <f>VLOOKUP($E129,'Product Parameters'!$A$2:$E$59,5,FALSE)</f>
        <v>40.65</v>
      </c>
      <c r="AM129" s="1">
        <f>VLOOKUP($E129,'Product Parameters'!$A$2:$F$59,6,FALSE)</f>
        <v>7</v>
      </c>
      <c r="AN129" s="1">
        <f>VLOOKUP($C129,'Substrate Heating'!$A$2:$C$33,3,FALSE)</f>
        <v>249.93333333333334</v>
      </c>
      <c r="AO129" s="1">
        <f>VLOOKUP($C129,'Substrate Heating'!$A$2:$B$33,2,FALSE)</f>
        <v>8.1456827881222953</v>
      </c>
      <c r="AP129" s="1">
        <f>VLOOKUP($C129,'Substrate Heating'!$A$2:$M$33,13,FALSE)</f>
        <v>0.66666666666666663</v>
      </c>
      <c r="AQ129" s="1">
        <f>VLOOKUP($C129,'Substrate Heating'!$A$2:$M$33,8,FALSE)</f>
        <v>0.66666666666666663</v>
      </c>
      <c r="AR129" s="1">
        <f t="shared" si="1"/>
        <v>0.28227906976744654</v>
      </c>
    </row>
    <row r="130" spans="1:44" x14ac:dyDescent="0.2">
      <c r="A130" s="8" t="s">
        <v>34</v>
      </c>
      <c r="B130" s="9" t="s">
        <v>35</v>
      </c>
      <c r="C130" s="1" t="s">
        <v>339</v>
      </c>
      <c r="D130" s="23" t="s">
        <v>338</v>
      </c>
      <c r="E130" s="1" t="s">
        <v>52</v>
      </c>
      <c r="F130" s="1" t="s">
        <v>53</v>
      </c>
      <c r="G130" s="1">
        <v>-10</v>
      </c>
      <c r="H130" s="1">
        <v>-20</v>
      </c>
      <c r="I130" s="1" t="s">
        <v>40</v>
      </c>
      <c r="J130" s="1">
        <v>3.15</v>
      </c>
      <c r="K130" s="1">
        <v>-10</v>
      </c>
      <c r="L130" s="1">
        <v>-3.3221238938053101</v>
      </c>
      <c r="M130" s="1" t="s">
        <v>40</v>
      </c>
      <c r="N130" s="1">
        <v>8.7415929203539804</v>
      </c>
      <c r="O130" s="1">
        <v>0.41946902654867202</v>
      </c>
      <c r="Q130" s="1">
        <v>4.19469026548673E-2</v>
      </c>
      <c r="R130" s="1">
        <v>6.9386211273669104E-2</v>
      </c>
      <c r="S130" s="1" t="str">
        <f>VLOOKUP($E130,'Product Naming'!$A$1:$P$58,2,FALSE)</f>
        <v>1-3-Diaminopropane</v>
      </c>
      <c r="T130" s="1" t="str">
        <f>VLOOKUP($E130,'Product Naming'!$A$1:$P$58,3,FALSE)</f>
        <v>1,3-Diaminopropane</v>
      </c>
      <c r="U130" s="1" t="str">
        <f>VLOOKUP($E130,'Product Naming'!$A$1:$P$58,4,FALSE)</f>
        <v>A</v>
      </c>
      <c r="V130" s="1" t="str">
        <f>VLOOKUP($E130,'Product Naming'!$A$1:$P$58,5,FALSE)</f>
        <v>C3H12N2</v>
      </c>
      <c r="W130" s="1">
        <f>VLOOKUP($E130,'Product Naming'!$A$1:$P$58,6,FALSE)</f>
        <v>3</v>
      </c>
      <c r="X130" s="1">
        <f>VLOOKUP($E130,'Product Naming'!$A$1:$P$58,7,FALSE)</f>
        <v>12</v>
      </c>
      <c r="Y130" s="1">
        <f>VLOOKUP($E130,'Product Naming'!$A$1:$P$58,8,FALSE)</f>
        <v>0</v>
      </c>
      <c r="Z130" s="1">
        <f>VLOOKUP($E130,'Product Naming'!$A$1:$P$58,9,FALSE)</f>
        <v>2</v>
      </c>
      <c r="AA130" s="1">
        <f>VLOOKUP($E130,'Product Naming'!$A$1:$P$58,10,FALSE)</f>
        <v>2</v>
      </c>
      <c r="AB130" s="29">
        <f>VLOOKUP($E130,'Product Naming'!$A$1:$P$58,11,FALSE)</f>
        <v>6</v>
      </c>
      <c r="AC130" s="3">
        <f>VLOOKUP($E130,'Product Naming'!$A$1:$P$58,12,FALSE)</f>
        <v>76.139580000000009</v>
      </c>
      <c r="AD130" s="1">
        <f>VLOOKUP($E130,'Product Naming'!$A$1:$P$58,13,FALSE)</f>
        <v>139.30000000000001</v>
      </c>
      <c r="AE130" s="1" t="str">
        <f>VLOOKUP($E130,'Product Naming'!$A$1:$P$58,14,FALSE)</f>
        <v>Diamine</v>
      </c>
      <c r="AF130" s="1" t="str">
        <f>VLOOKUP($E130,'Product Naming'!$A$1:$P$58,15,FALSE)</f>
        <v>Oxaloacetate + aKG</v>
      </c>
      <c r="AG130" s="30" t="str">
        <f>VLOOKUP($E130,'Product Naming'!$A$1:$P$58,16,FALSE)</f>
        <v>Proton symporter</v>
      </c>
      <c r="AH130" s="3" t="str">
        <f>VLOOKUP($E130,'Product Naming'!$A$1:$Q$58,17,FALSE)</f>
        <v>13dampp_c</v>
      </c>
      <c r="AI130" s="1">
        <f>VLOOKUP($E130,'Product Parameters'!$A$2:$D$59,2,FALSE)</f>
        <v>1</v>
      </c>
      <c r="AJ130" s="1">
        <f>VLOOKUP($E130,'Product Parameters'!$A$2:$D$59,3,FALSE)</f>
        <v>0</v>
      </c>
      <c r="AK130" s="1">
        <f>VLOOKUP($E130,'Product Parameters'!$A$2:$D$59,4,FALSE)</f>
        <v>0.12</v>
      </c>
      <c r="AL130" s="1">
        <f>VLOOKUP($E130,'Product Parameters'!$A$2:$E$59,5,FALSE)</f>
        <v>50.18</v>
      </c>
      <c r="AM130" s="1">
        <f>VLOOKUP($E130,'Product Parameters'!$A$2:$F$59,6,FALSE)</f>
        <v>3</v>
      </c>
      <c r="AN130" s="1">
        <f>VLOOKUP($C130,'Substrate Heating'!$A$2:$C$33,3,FALSE)</f>
        <v>247.59097</v>
      </c>
      <c r="AO130" s="1">
        <f>VLOOKUP($C130,'Substrate Heating'!$A$2:$B$33,2,FALSE)</f>
        <v>5.5</v>
      </c>
      <c r="AP130" s="1">
        <f>VLOOKUP($C130,'Substrate Heating'!$A$2:$M$33,13,FALSE)</f>
        <v>1</v>
      </c>
      <c r="AQ130" s="1">
        <f>VLOOKUP($C130,'Substrate Heating'!$A$2:$M$33,8,FALSE)</f>
        <v>1</v>
      </c>
      <c r="AR130" s="1">
        <f t="shared" si="1"/>
        <v>0.12584070796460189</v>
      </c>
    </row>
    <row r="131" spans="1:44" x14ac:dyDescent="0.2">
      <c r="A131" s="8" t="s">
        <v>34</v>
      </c>
      <c r="B131" s="9" t="s">
        <v>35</v>
      </c>
      <c r="C131" s="1" t="s">
        <v>339</v>
      </c>
      <c r="D131" s="23" t="s">
        <v>338</v>
      </c>
      <c r="E131" s="1" t="s">
        <v>38</v>
      </c>
      <c r="F131" s="1" t="s">
        <v>39</v>
      </c>
      <c r="G131" s="1">
        <v>-10</v>
      </c>
      <c r="H131" s="1">
        <v>-20</v>
      </c>
      <c r="I131" s="1" t="s">
        <v>40</v>
      </c>
      <c r="J131" s="1">
        <v>3.15</v>
      </c>
      <c r="K131" s="1">
        <v>-10</v>
      </c>
      <c r="L131" s="1">
        <v>-3.03984962406015</v>
      </c>
      <c r="M131" s="1" t="s">
        <v>40</v>
      </c>
      <c r="N131" s="1">
        <v>8.5744360902255607</v>
      </c>
      <c r="O131" s="1">
        <v>0.35639097744360898</v>
      </c>
      <c r="Q131" s="1">
        <v>3.5639097744360901E-2</v>
      </c>
      <c r="R131" s="1">
        <v>6.97761218312479E-2</v>
      </c>
      <c r="S131" s="1" t="str">
        <f>VLOOKUP($E131,'Product Naming'!$A$1:$P$58,2,FALSE)</f>
        <v>1-3-butanediol-PW1</v>
      </c>
      <c r="T131" s="1" t="str">
        <f>VLOOKUP($E131,'Product Naming'!$A$1:$P$58,3,FALSE)</f>
        <v>1,3-Butanediol (PW1)</v>
      </c>
      <c r="U131" s="1" t="str">
        <f>VLOOKUP($E131,'Product Naming'!$A$1:$P$58,4,FALSE)</f>
        <v>E</v>
      </c>
      <c r="V131" s="1" t="str">
        <f>VLOOKUP($E131,'Product Naming'!$A$1:$P$58,5,FALSE)</f>
        <v>C4H10O2</v>
      </c>
      <c r="W131" s="1">
        <f>VLOOKUP($E131,'Product Naming'!$A$1:$P$58,6,FALSE)</f>
        <v>4</v>
      </c>
      <c r="X131" s="1">
        <f>VLOOKUP($E131,'Product Naming'!$A$1:$P$58,7,FALSE)</f>
        <v>10</v>
      </c>
      <c r="Y131" s="1">
        <f>VLOOKUP($E131,'Product Naming'!$A$1:$P$58,8,FALSE)</f>
        <v>2</v>
      </c>
      <c r="Z131" s="1">
        <f>VLOOKUP($E131,'Product Naming'!$A$1:$P$58,9,FALSE)</f>
        <v>0</v>
      </c>
      <c r="AA131" s="1">
        <f>VLOOKUP($E131,'Product Naming'!$A$1:$P$58,10,FALSE)</f>
        <v>0</v>
      </c>
      <c r="AB131" s="29">
        <f>VLOOKUP($E131,'Product Naming'!$A$1:$P$58,11,FALSE)</f>
        <v>5.5</v>
      </c>
      <c r="AC131" s="3">
        <f>VLOOKUP($E131,'Product Naming'!$A$1:$P$58,12,FALSE)</f>
        <v>90.119200000000006</v>
      </c>
      <c r="AD131" s="1">
        <f>VLOOKUP($E131,'Product Naming'!$A$1:$P$58,13,FALSE)</f>
        <v>207</v>
      </c>
      <c r="AE131" s="1" t="str">
        <f>VLOOKUP($E131,'Product Naming'!$A$1:$P$58,14,FALSE)</f>
        <v>Diol</v>
      </c>
      <c r="AF131" s="1" t="str">
        <f>VLOOKUP($E131,'Product Naming'!$A$1:$P$58,15,FALSE)</f>
        <v>Acetyl-CoA</v>
      </c>
      <c r="AG131" s="30" t="str">
        <f>VLOOKUP($E131,'Product Naming'!$A$1:$P$58,16,FALSE)</f>
        <v>Proton symporter</v>
      </c>
      <c r="AH131" s="3" t="str">
        <f>VLOOKUP($E131,'Product Naming'!$A$1:$Q$58,17,FALSE)</f>
        <v>13bdo__R_c</v>
      </c>
      <c r="AI131" s="1">
        <f>VLOOKUP($E131,'Product Parameters'!$A$2:$D$59,2,FALSE)</f>
        <v>1</v>
      </c>
      <c r="AJ131" s="1">
        <f>VLOOKUP($E131,'Product Parameters'!$A$2:$D$59,3,FALSE)</f>
        <v>0</v>
      </c>
      <c r="AK131" s="1">
        <f>VLOOKUP($E131,'Product Parameters'!$A$2:$D$59,4,FALSE)</f>
        <v>0.12</v>
      </c>
      <c r="AL131" s="1">
        <f>VLOOKUP($E131,'Product Parameters'!$A$2:$E$59,5,FALSE)</f>
        <v>72.599999999999994</v>
      </c>
      <c r="AM131" s="1">
        <f>VLOOKUP($E131,'Product Parameters'!$A$2:$F$59,6,FALSE)</f>
        <v>4</v>
      </c>
      <c r="AN131" s="1">
        <f>VLOOKUP($C131,'Substrate Heating'!$A$2:$C$33,3,FALSE)</f>
        <v>247.59097</v>
      </c>
      <c r="AO131" s="1">
        <f>VLOOKUP($C131,'Substrate Heating'!$A$2:$B$33,2,FALSE)</f>
        <v>5.5</v>
      </c>
      <c r="AP131" s="1">
        <f>VLOOKUP($C131,'Substrate Heating'!$A$2:$M$33,13,FALSE)</f>
        <v>1</v>
      </c>
      <c r="AQ131" s="1">
        <f>VLOOKUP($C131,'Substrate Heating'!$A$2:$M$33,8,FALSE)</f>
        <v>1</v>
      </c>
      <c r="AR131" s="1">
        <f t="shared" ref="AR131:AR194" si="2">Q131*W131/AQ131</f>
        <v>0.1425563909774436</v>
      </c>
    </row>
    <row r="132" spans="1:44" x14ac:dyDescent="0.2">
      <c r="A132" s="17" t="s">
        <v>323</v>
      </c>
      <c r="B132" s="18" t="s">
        <v>324</v>
      </c>
      <c r="C132" t="s">
        <v>334</v>
      </c>
      <c r="D132" s="19" t="s">
        <v>326</v>
      </c>
      <c r="E132" t="s">
        <v>108</v>
      </c>
      <c r="F132" t="s">
        <v>109</v>
      </c>
      <c r="G132">
        <v>-10</v>
      </c>
      <c r="H132">
        <v>0</v>
      </c>
      <c r="I132">
        <v>-5</v>
      </c>
      <c r="J132">
        <v>0.45</v>
      </c>
      <c r="K132">
        <v>-10</v>
      </c>
      <c r="L132">
        <v>0</v>
      </c>
      <c r="M132">
        <v>-5</v>
      </c>
      <c r="N132">
        <v>2.9109004739336499</v>
      </c>
      <c r="O132">
        <v>0.27393364928909902</v>
      </c>
      <c r="P132"/>
      <c r="Q132">
        <v>2.7393364928910001E-2</v>
      </c>
      <c r="R132">
        <v>6.9967418557778993E-2</v>
      </c>
      <c r="S132" s="1" t="str">
        <f>VLOOKUP($E132,'Product Naming'!$A$1:$P$58,2,FALSE)</f>
        <v>4-Hydroxystyrene</v>
      </c>
      <c r="T132" s="1" t="str">
        <f>VLOOKUP($E132,'Product Naming'!$A$1:$P$58,3,FALSE)</f>
        <v>4-Hydroxystyrene</v>
      </c>
      <c r="U132" s="1" t="str">
        <f>VLOOKUP($E132,'Product Naming'!$A$1:$P$58,4,FALSE)</f>
        <v>E</v>
      </c>
      <c r="V132" s="1" t="str">
        <f>VLOOKUP($E132,'Product Naming'!$A$1:$P$58,5,FALSE)</f>
        <v>C8H8O</v>
      </c>
      <c r="W132" s="1">
        <f>VLOOKUP($E132,'Product Naming'!$A$1:$P$58,6,FALSE)</f>
        <v>8</v>
      </c>
      <c r="X132" s="1">
        <f>VLOOKUP($E132,'Product Naming'!$A$1:$P$58,7,FALSE)</f>
        <v>8</v>
      </c>
      <c r="Y132" s="1">
        <f>VLOOKUP($E132,'Product Naming'!$A$1:$P$58,8,FALSE)</f>
        <v>1</v>
      </c>
      <c r="Z132" s="1">
        <f>VLOOKUP($E132,'Product Naming'!$A$1:$P$58,9,FALSE)</f>
        <v>0</v>
      </c>
      <c r="AA132" s="1">
        <f>VLOOKUP($E132,'Product Naming'!$A$1:$P$58,10,FALSE)</f>
        <v>0</v>
      </c>
      <c r="AB132" s="29">
        <f>VLOOKUP($E132,'Product Naming'!$A$1:$P$58,11,FALSE)</f>
        <v>4.75</v>
      </c>
      <c r="AC132" s="3">
        <f>VLOOKUP($E132,'Product Naming'!$A$1:$P$58,12,FALSE)</f>
        <v>120.14731999999999</v>
      </c>
      <c r="AD132" s="1">
        <f>VLOOKUP($E132,'Product Naming'!$A$1:$P$58,13,FALSE)</f>
        <v>229</v>
      </c>
      <c r="AE132" s="1" t="str">
        <f>VLOOKUP($E132,'Product Naming'!$A$1:$P$58,14,FALSE)</f>
        <v>Aromatic + Alcohol</v>
      </c>
      <c r="AF132" s="1" t="str">
        <f>VLOOKUP($E132,'Product Naming'!$A$1:$P$58,15,FALSE)</f>
        <v>E4P + L-glutamate</v>
      </c>
      <c r="AG132" s="30" t="str">
        <f>VLOOKUP($E132,'Product Naming'!$A$1:$P$58,16,FALSE)</f>
        <v>Proton symporter</v>
      </c>
      <c r="AH132" s="3" t="str">
        <f>VLOOKUP($E132,'Product Naming'!$A$1:$Q$58,17,FALSE)</f>
        <v>4hxst_c</v>
      </c>
      <c r="AI132" s="1">
        <f>VLOOKUP($E132,'Product Parameters'!$A$2:$D$59,2,FALSE)</f>
        <v>1</v>
      </c>
      <c r="AJ132" s="1">
        <f>VLOOKUP($E132,'Product Parameters'!$A$2:$D$59,3,FALSE)</f>
        <v>0</v>
      </c>
      <c r="AK132" s="1">
        <f>VLOOKUP($E132,'Product Parameters'!$A$2:$D$59,4,FALSE)</f>
        <v>0.12</v>
      </c>
      <c r="AL132" s="1">
        <f>VLOOKUP($E132,'Product Parameters'!$A$2:$E$59,5,FALSE)</f>
        <v>40.65</v>
      </c>
      <c r="AM132" s="1">
        <f>VLOOKUP($E132,'Product Parameters'!$A$2:$F$59,6,FALSE)</f>
        <v>8</v>
      </c>
      <c r="AN132" s="1">
        <f>VLOOKUP($C132,'Substrate Heating'!$A$2:$C$33,3,FALSE)</f>
        <v>249.93333333333334</v>
      </c>
      <c r="AO132" s="1">
        <f>VLOOKUP($C132,'Substrate Heating'!$A$2:$B$33,2,FALSE)</f>
        <v>8.1456827881222953</v>
      </c>
      <c r="AP132" s="1">
        <f>VLOOKUP($C132,'Substrate Heating'!$A$2:$M$33,13,FALSE)</f>
        <v>0.66666666666666663</v>
      </c>
      <c r="AQ132" s="1">
        <f>VLOOKUP($C132,'Substrate Heating'!$A$2:$M$33,8,FALSE)</f>
        <v>0.66666666666666663</v>
      </c>
      <c r="AR132" s="1">
        <f t="shared" si="2"/>
        <v>0.32872037914692004</v>
      </c>
    </row>
    <row r="133" spans="1:44" x14ac:dyDescent="0.2">
      <c r="A133" s="17" t="s">
        <v>323</v>
      </c>
      <c r="B133" s="18" t="s">
        <v>324</v>
      </c>
      <c r="C133" t="s">
        <v>333</v>
      </c>
      <c r="D133" s="19" t="s">
        <v>326</v>
      </c>
      <c r="E133" t="s">
        <v>192</v>
      </c>
      <c r="F133" t="s">
        <v>193</v>
      </c>
      <c r="G133">
        <v>-10</v>
      </c>
      <c r="H133">
        <v>0</v>
      </c>
      <c r="I133">
        <v>0</v>
      </c>
      <c r="J133">
        <v>0.45</v>
      </c>
      <c r="K133">
        <v>-10</v>
      </c>
      <c r="L133">
        <v>0</v>
      </c>
      <c r="M133">
        <v>0</v>
      </c>
      <c r="N133">
        <v>5.0995348837209296</v>
      </c>
      <c r="O133">
        <v>0.19906976744186</v>
      </c>
      <c r="P133"/>
      <c r="Q133">
        <v>1.9906976744186001E-2</v>
      </c>
      <c r="R133">
        <v>7.0558662797770996E-2</v>
      </c>
      <c r="S133" s="1" t="str">
        <f>VLOOKUP($E133,'Product Naming'!$A$1:$P$58,2,FALSE)</f>
        <v>Coumaric acid</v>
      </c>
      <c r="T133" s="1" t="str">
        <f>VLOOKUP($E133,'Product Naming'!$A$1:$P$58,3,FALSE)</f>
        <v>Coumaric acid</v>
      </c>
      <c r="U133" s="1" t="str">
        <f>VLOOKUP($E133,'Product Naming'!$A$1:$P$58,4,FALSE)</f>
        <v>E</v>
      </c>
      <c r="V133" s="1" t="str">
        <f>VLOOKUP($E133,'Product Naming'!$A$1:$P$58,5,FALSE)</f>
        <v>C9H7O3</v>
      </c>
      <c r="W133" s="1">
        <f>VLOOKUP($E133,'Product Naming'!$A$1:$P$58,6,FALSE)</f>
        <v>9</v>
      </c>
      <c r="X133" s="1">
        <f>VLOOKUP($E133,'Product Naming'!$A$1:$P$58,7,FALSE)</f>
        <v>7</v>
      </c>
      <c r="Y133" s="1">
        <f>VLOOKUP($E133,'Product Naming'!$A$1:$P$58,8,FALSE)</f>
        <v>3</v>
      </c>
      <c r="Z133" s="1">
        <f>VLOOKUP($E133,'Product Naming'!$A$1:$P$58,9,FALSE)</f>
        <v>0</v>
      </c>
      <c r="AA133" s="1">
        <f>VLOOKUP($E133,'Product Naming'!$A$1:$P$58,10,FALSE)</f>
        <v>-1</v>
      </c>
      <c r="AB133" s="29">
        <f>VLOOKUP($E133,'Product Naming'!$A$1:$P$58,11,FALSE)</f>
        <v>4.1111111111111107</v>
      </c>
      <c r="AC133" s="3">
        <f>VLOOKUP($E133,'Product Naming'!$A$1:$P$58,12,FALSE)</f>
        <v>163.14818</v>
      </c>
      <c r="AD133" s="1">
        <f>VLOOKUP($E133,'Product Naming'!$A$1:$P$58,13,FALSE)</f>
        <v>346</v>
      </c>
      <c r="AE133" s="1" t="str">
        <f>VLOOKUP($E133,'Product Naming'!$A$1:$P$58,14,FALSE)</f>
        <v>Aromatic + Alcohol + Carboxylate</v>
      </c>
      <c r="AF133" s="1" t="str">
        <f>VLOOKUP($E133,'Product Naming'!$A$1:$P$58,15,FALSE)</f>
        <v>E4P + L-glutamate</v>
      </c>
      <c r="AG133" s="30" t="str">
        <f>VLOOKUP($E133,'Product Naming'!$A$1:$P$58,16,FALSE)</f>
        <v>Proton symporter</v>
      </c>
      <c r="AH133" s="3" t="str">
        <f>VLOOKUP($E133,'Product Naming'!$A$1:$Q$58,17,FALSE)</f>
        <v>T4hcinnm_c</v>
      </c>
      <c r="AI133" s="1">
        <f>VLOOKUP($E133,'Product Parameters'!$A$2:$D$59,2,FALSE)</f>
        <v>1</v>
      </c>
      <c r="AJ133" s="1">
        <f>VLOOKUP($E133,'Product Parameters'!$A$2:$D$59,3,FALSE)</f>
        <v>0</v>
      </c>
      <c r="AK133" s="1">
        <f>VLOOKUP($E133,'Product Parameters'!$A$2:$D$59,4,FALSE)</f>
        <v>0.12</v>
      </c>
      <c r="AL133" s="1">
        <f>VLOOKUP($E133,'Product Parameters'!$A$2:$E$59,5,FALSE)</f>
        <v>40.65</v>
      </c>
      <c r="AM133" s="1">
        <f>VLOOKUP($E133,'Product Parameters'!$A$2:$F$59,6,FALSE)</f>
        <v>9</v>
      </c>
      <c r="AN133" s="1">
        <f>VLOOKUP($C133,'Substrate Heating'!$A$2:$C$33,3,FALSE)</f>
        <v>247.59097</v>
      </c>
      <c r="AO133" s="1">
        <f>VLOOKUP($C133,'Substrate Heating'!$A$2:$B$33,2,FALSE)</f>
        <v>5.5</v>
      </c>
      <c r="AP133" s="1">
        <f>VLOOKUP($C133,'Substrate Heating'!$A$2:$M$33,13,FALSE)</f>
        <v>1</v>
      </c>
      <c r="AQ133" s="1">
        <f>VLOOKUP($C133,'Substrate Heating'!$A$2:$M$33,8,FALSE)</f>
        <v>1</v>
      </c>
      <c r="AR133" s="1">
        <f t="shared" si="2"/>
        <v>0.17916279069767402</v>
      </c>
    </row>
    <row r="134" spans="1:44" x14ac:dyDescent="0.2">
      <c r="A134" s="8" t="s">
        <v>34</v>
      </c>
      <c r="B134" s="9" t="s">
        <v>35</v>
      </c>
      <c r="C134" s="1" t="s">
        <v>339</v>
      </c>
      <c r="D134" s="23" t="s">
        <v>338</v>
      </c>
      <c r="E134" s="1" t="s">
        <v>85</v>
      </c>
      <c r="F134" s="1" t="s">
        <v>86</v>
      </c>
      <c r="G134" s="1">
        <v>-10</v>
      </c>
      <c r="H134" s="1">
        <v>-20</v>
      </c>
      <c r="I134" s="1" t="s">
        <v>40</v>
      </c>
      <c r="J134" s="1">
        <v>3.15</v>
      </c>
      <c r="K134" s="1">
        <v>-10</v>
      </c>
      <c r="L134" s="1">
        <v>-3.0099236641221401</v>
      </c>
      <c r="M134" s="1" t="s">
        <v>40</v>
      </c>
      <c r="N134" s="1">
        <v>8.5526717557251803</v>
      </c>
      <c r="O134" s="1">
        <v>0.36183206106869598</v>
      </c>
      <c r="Q134" s="1">
        <v>3.6183206106869599E-2</v>
      </c>
      <c r="R134" s="1">
        <v>7.0841406134013907E-2</v>
      </c>
      <c r="S134" s="1" t="str">
        <f>VLOOKUP($E134,'Product Naming'!$A$1:$P$58,2,FALSE)</f>
        <v>2-3-butanediol</v>
      </c>
      <c r="T134" s="1" t="str">
        <f>VLOOKUP($E134,'Product Naming'!$A$1:$P$58,3,FALSE)</f>
        <v>2,3-Butanediol</v>
      </c>
      <c r="U134" s="1" t="str">
        <f>VLOOKUP($E134,'Product Naming'!$A$1:$P$58,4,FALSE)</f>
        <v>E</v>
      </c>
      <c r="V134" s="1" t="str">
        <f>VLOOKUP($E134,'Product Naming'!$A$1:$P$58,5,FALSE)</f>
        <v>C4H10O2</v>
      </c>
      <c r="W134" s="1">
        <f>VLOOKUP($E134,'Product Naming'!$A$1:$P$58,6,FALSE)</f>
        <v>4</v>
      </c>
      <c r="X134" s="1">
        <f>VLOOKUP($E134,'Product Naming'!$A$1:$P$58,7,FALSE)</f>
        <v>10</v>
      </c>
      <c r="Y134" s="1">
        <f>VLOOKUP($E134,'Product Naming'!$A$1:$P$58,8,FALSE)</f>
        <v>2</v>
      </c>
      <c r="Z134" s="1">
        <f>VLOOKUP($E134,'Product Naming'!$A$1:$P$58,9,FALSE)</f>
        <v>0</v>
      </c>
      <c r="AA134" s="1">
        <f>VLOOKUP($E134,'Product Naming'!$A$1:$P$58,10,FALSE)</f>
        <v>0</v>
      </c>
      <c r="AB134" s="29">
        <f>VLOOKUP($E134,'Product Naming'!$A$1:$P$58,11,FALSE)</f>
        <v>5.5</v>
      </c>
      <c r="AC134" s="3">
        <f>VLOOKUP($E134,'Product Naming'!$A$1:$P$58,12,FALSE)</f>
        <v>90.119200000000006</v>
      </c>
      <c r="AD134" s="1">
        <f>VLOOKUP($E134,'Product Naming'!$A$1:$P$58,13,FALSE)</f>
        <v>177</v>
      </c>
      <c r="AE134" s="1" t="str">
        <f>VLOOKUP($E134,'Product Naming'!$A$1:$P$58,14,FALSE)</f>
        <v>Diol</v>
      </c>
      <c r="AF134" s="1" t="str">
        <f>VLOOKUP($E134,'Product Naming'!$A$1:$P$58,15,FALSE)</f>
        <v>Pyruvate</v>
      </c>
      <c r="AG134" s="30" t="str">
        <f>VLOOKUP($E134,'Product Naming'!$A$1:$P$58,16,FALSE)</f>
        <v>Proton symporter</v>
      </c>
      <c r="AH134" s="3" t="str">
        <f>VLOOKUP($E134,'Product Naming'!$A$1:$Q$58,17,FALSE)</f>
        <v>btd_RR_c</v>
      </c>
      <c r="AI134" s="1">
        <f>VLOOKUP($E134,'Product Parameters'!$A$2:$D$59,2,FALSE)</f>
        <v>1</v>
      </c>
      <c r="AJ134" s="1">
        <f>VLOOKUP($E134,'Product Parameters'!$A$2:$D$59,3,FALSE)</f>
        <v>0</v>
      </c>
      <c r="AK134" s="1">
        <f>VLOOKUP($E134,'Product Parameters'!$A$2:$D$59,4,FALSE)</f>
        <v>0.12</v>
      </c>
      <c r="AL134" s="1">
        <f>VLOOKUP($E134,'Product Parameters'!$A$2:$E$59,5,FALSE)</f>
        <v>63</v>
      </c>
      <c r="AM134" s="1">
        <f>VLOOKUP($E134,'Product Parameters'!$A$2:$F$59,6,FALSE)</f>
        <v>4</v>
      </c>
      <c r="AN134" s="1">
        <f>VLOOKUP($C134,'Substrate Heating'!$A$2:$C$33,3,FALSE)</f>
        <v>247.59097</v>
      </c>
      <c r="AO134" s="1">
        <f>VLOOKUP($C134,'Substrate Heating'!$A$2:$B$33,2,FALSE)</f>
        <v>5.5</v>
      </c>
      <c r="AP134" s="1">
        <f>VLOOKUP($C134,'Substrate Heating'!$A$2:$M$33,13,FALSE)</f>
        <v>1</v>
      </c>
      <c r="AQ134" s="1">
        <f>VLOOKUP($C134,'Substrate Heating'!$A$2:$M$33,8,FALSE)</f>
        <v>1</v>
      </c>
      <c r="AR134" s="1">
        <f t="shared" si="2"/>
        <v>0.1447328244274784</v>
      </c>
    </row>
    <row r="135" spans="1:44" x14ac:dyDescent="0.2">
      <c r="A135" s="8" t="s">
        <v>34</v>
      </c>
      <c r="B135" s="9" t="s">
        <v>35</v>
      </c>
      <c r="C135" s="1" t="s">
        <v>339</v>
      </c>
      <c r="D135" s="23" t="s">
        <v>338</v>
      </c>
      <c r="E135" s="1" t="s">
        <v>48</v>
      </c>
      <c r="F135" s="1" t="s">
        <v>39</v>
      </c>
      <c r="G135" s="1">
        <v>-10</v>
      </c>
      <c r="H135" s="1">
        <v>-20</v>
      </c>
      <c r="I135" s="1" t="s">
        <v>40</v>
      </c>
      <c r="J135" s="1">
        <v>3.15</v>
      </c>
      <c r="K135" s="1">
        <v>-10</v>
      </c>
      <c r="L135" s="1">
        <v>-3.0099236641221401</v>
      </c>
      <c r="M135" s="1" t="s">
        <v>40</v>
      </c>
      <c r="N135" s="1">
        <v>8.5526717557251892</v>
      </c>
      <c r="O135" s="1">
        <v>0.36183206106870303</v>
      </c>
      <c r="Q135" s="1">
        <v>3.6183206106870203E-2</v>
      </c>
      <c r="R135" s="1">
        <v>7.08414061340151E-2</v>
      </c>
      <c r="S135" s="1" t="str">
        <f>VLOOKUP($E135,'Product Naming'!$A$1:$P$58,2,FALSE)</f>
        <v>1-3-butanediol-PW2</v>
      </c>
      <c r="T135" s="1" t="str">
        <f>VLOOKUP($E135,'Product Naming'!$A$1:$P$58,3,FALSE)</f>
        <v>1,3-Butanediol (PW2)</v>
      </c>
      <c r="U135" s="1" t="str">
        <f>VLOOKUP($E135,'Product Naming'!$A$1:$P$58,4,FALSE)</f>
        <v>E</v>
      </c>
      <c r="V135" s="1" t="str">
        <f>VLOOKUP($E135,'Product Naming'!$A$1:$P$58,5,FALSE)</f>
        <v>C4H10O2</v>
      </c>
      <c r="W135" s="1">
        <f>VLOOKUP($E135,'Product Naming'!$A$1:$P$58,6,FALSE)</f>
        <v>4</v>
      </c>
      <c r="X135" s="1">
        <f>VLOOKUP($E135,'Product Naming'!$A$1:$P$58,7,FALSE)</f>
        <v>10</v>
      </c>
      <c r="Y135" s="1">
        <f>VLOOKUP($E135,'Product Naming'!$A$1:$P$58,8,FALSE)</f>
        <v>2</v>
      </c>
      <c r="Z135" s="1">
        <f>VLOOKUP($E135,'Product Naming'!$A$1:$P$58,9,FALSE)</f>
        <v>0</v>
      </c>
      <c r="AA135" s="1">
        <f>VLOOKUP($E135,'Product Naming'!$A$1:$P$58,10,FALSE)</f>
        <v>0</v>
      </c>
      <c r="AB135" s="29">
        <f>VLOOKUP($E135,'Product Naming'!$A$1:$P$58,11,FALSE)</f>
        <v>5.5</v>
      </c>
      <c r="AC135" s="3">
        <f>VLOOKUP($E135,'Product Naming'!$A$1:$P$58,12,FALSE)</f>
        <v>90.119200000000006</v>
      </c>
      <c r="AD135" s="1">
        <f>VLOOKUP($E135,'Product Naming'!$A$1:$P$58,13,FALSE)</f>
        <v>207</v>
      </c>
      <c r="AE135" s="1" t="str">
        <f>VLOOKUP($E135,'Product Naming'!$A$1:$P$58,14,FALSE)</f>
        <v>Diol</v>
      </c>
      <c r="AF135" s="1" t="str">
        <f>VLOOKUP($E135,'Product Naming'!$A$1:$P$58,15,FALSE)</f>
        <v>Pyruvate (acetalehyde)</v>
      </c>
      <c r="AG135" s="30" t="str">
        <f>VLOOKUP($E135,'Product Naming'!$A$1:$P$58,16,FALSE)</f>
        <v>Proton symporter</v>
      </c>
      <c r="AH135" s="3" t="str">
        <f>VLOOKUP($E135,'Product Naming'!$A$1:$Q$58,17,FALSE)</f>
        <v>13bdo__R_c</v>
      </c>
      <c r="AI135" s="1">
        <f>VLOOKUP($E135,'Product Parameters'!$A$2:$D$59,2,FALSE)</f>
        <v>1</v>
      </c>
      <c r="AJ135" s="1">
        <f>VLOOKUP($E135,'Product Parameters'!$A$2:$D$59,3,FALSE)</f>
        <v>0</v>
      </c>
      <c r="AK135" s="1">
        <f>VLOOKUP($E135,'Product Parameters'!$A$2:$D$59,4,FALSE)</f>
        <v>0.12</v>
      </c>
      <c r="AL135" s="1">
        <f>VLOOKUP($E135,'Product Parameters'!$A$2:$E$59,5,FALSE)</f>
        <v>72.599999999999994</v>
      </c>
      <c r="AM135" s="1">
        <f>VLOOKUP($E135,'Product Parameters'!$A$2:$F$59,6,FALSE)</f>
        <v>4</v>
      </c>
      <c r="AN135" s="1">
        <f>VLOOKUP($C135,'Substrate Heating'!$A$2:$C$33,3,FALSE)</f>
        <v>247.59097</v>
      </c>
      <c r="AO135" s="1">
        <f>VLOOKUP($C135,'Substrate Heating'!$A$2:$B$33,2,FALSE)</f>
        <v>5.5</v>
      </c>
      <c r="AP135" s="1">
        <f>VLOOKUP($C135,'Substrate Heating'!$A$2:$M$33,13,FALSE)</f>
        <v>1</v>
      </c>
      <c r="AQ135" s="1">
        <f>VLOOKUP($C135,'Substrate Heating'!$A$2:$M$33,8,FALSE)</f>
        <v>1</v>
      </c>
      <c r="AR135" s="1">
        <f t="shared" si="2"/>
        <v>0.14473282442748081</v>
      </c>
    </row>
    <row r="136" spans="1:44" x14ac:dyDescent="0.2">
      <c r="A136" s="8" t="s">
        <v>34</v>
      </c>
      <c r="B136" s="9" t="s">
        <v>35</v>
      </c>
      <c r="C136" s="1" t="s">
        <v>339</v>
      </c>
      <c r="D136" s="23" t="s">
        <v>338</v>
      </c>
      <c r="E136" s="1" t="s">
        <v>132</v>
      </c>
      <c r="F136" s="1" t="s">
        <v>133</v>
      </c>
      <c r="G136" s="1">
        <v>-10</v>
      </c>
      <c r="H136" s="1">
        <v>-20</v>
      </c>
      <c r="I136" s="1" t="s">
        <v>40</v>
      </c>
      <c r="J136" s="1">
        <v>3.15</v>
      </c>
      <c r="K136" s="1">
        <v>-10</v>
      </c>
      <c r="L136" s="1">
        <v>-3.49707317073171</v>
      </c>
      <c r="M136" s="1" t="s">
        <v>40</v>
      </c>
      <c r="N136" s="1">
        <v>8.6126829268292706</v>
      </c>
      <c r="O136" s="1">
        <v>0.23121951219512299</v>
      </c>
      <c r="Q136" s="1">
        <v>2.3121951219512299E-2</v>
      </c>
      <c r="R136" s="1">
        <v>7.2396960344075903E-2</v>
      </c>
      <c r="S136" s="1" t="str">
        <f>VLOOKUP($E136,'Product Naming'!$A$1:$P$58,2,FALSE)</f>
        <v>Adipate</v>
      </c>
      <c r="T136" s="1" t="str">
        <f>VLOOKUP($E136,'Product Naming'!$A$1:$P$58,3,FALSE)</f>
        <v>Adipate</v>
      </c>
      <c r="U136" s="1" t="str">
        <f>VLOOKUP($E136,'Product Naming'!$A$1:$P$58,4,FALSE)</f>
        <v>E</v>
      </c>
      <c r="V136" s="1" t="str">
        <f>VLOOKUP($E136,'Product Naming'!$A$1:$P$58,5,FALSE)</f>
        <v>C6H8O4</v>
      </c>
      <c r="W136" s="1">
        <f>VLOOKUP($E136,'Product Naming'!$A$1:$P$58,6,FALSE)</f>
        <v>6</v>
      </c>
      <c r="X136" s="1">
        <f>VLOOKUP($E136,'Product Naming'!$A$1:$P$58,7,FALSE)</f>
        <v>8</v>
      </c>
      <c r="Y136" s="1">
        <f>VLOOKUP($E136,'Product Naming'!$A$1:$P$58,8,FALSE)</f>
        <v>4</v>
      </c>
      <c r="Z136" s="1">
        <f>VLOOKUP($E136,'Product Naming'!$A$1:$P$58,9,FALSE)</f>
        <v>0</v>
      </c>
      <c r="AA136" s="1">
        <f>VLOOKUP($E136,'Product Naming'!$A$1:$P$58,10,FALSE)</f>
        <v>-2</v>
      </c>
      <c r="AB136" s="29">
        <f>VLOOKUP($E136,'Product Naming'!$A$1:$P$58,11,FALSE)</f>
        <v>4</v>
      </c>
      <c r="AC136" s="3">
        <f>VLOOKUP($E136,'Product Naming'!$A$1:$P$58,12,FALSE)</f>
        <v>144.12291999999999</v>
      </c>
      <c r="AD136" s="1">
        <f>VLOOKUP($E136,'Product Naming'!$A$1:$P$58,13,FALSE)</f>
        <v>337.5</v>
      </c>
      <c r="AE136" s="1" t="str">
        <f>VLOOKUP($E136,'Product Naming'!$A$1:$P$58,14,FALSE)</f>
        <v>Dicarboxylate</v>
      </c>
      <c r="AF136" s="1" t="str">
        <f>VLOOKUP($E136,'Product Naming'!$A$1:$P$58,15,FALSE)</f>
        <v>Glyceraldehyde 3-P</v>
      </c>
      <c r="AG136" s="30" t="str">
        <f>VLOOKUP($E136,'Product Naming'!$A$1:$P$58,16,FALSE)</f>
        <v>Proton symporter</v>
      </c>
      <c r="AH136" s="3" t="str">
        <f>VLOOKUP($E136,'Product Naming'!$A$1:$Q$58,17,FALSE)</f>
        <v>adpac_c</v>
      </c>
      <c r="AI136" s="1">
        <f>VLOOKUP($E136,'Product Parameters'!$A$2:$D$59,2,FALSE)</f>
        <v>1</v>
      </c>
      <c r="AJ136" s="1">
        <f>VLOOKUP($E136,'Product Parameters'!$A$2:$D$59,3,FALSE)</f>
        <v>0</v>
      </c>
      <c r="AK136" s="1">
        <f>VLOOKUP($E136,'Product Parameters'!$A$2:$D$59,4,FALSE)</f>
        <v>0.12</v>
      </c>
      <c r="AL136" s="1">
        <f>VLOOKUP($E136,'Product Parameters'!$A$2:$E$59,5,FALSE)</f>
        <v>40.65</v>
      </c>
      <c r="AM136" s="1">
        <f>VLOOKUP($E136,'Product Parameters'!$A$2:$F$59,6,FALSE)</f>
        <v>6</v>
      </c>
      <c r="AN136" s="1">
        <f>VLOOKUP($C136,'Substrate Heating'!$A$2:$C$33,3,FALSE)</f>
        <v>247.59097</v>
      </c>
      <c r="AO136" s="1">
        <f>VLOOKUP($C136,'Substrate Heating'!$A$2:$B$33,2,FALSE)</f>
        <v>5.5</v>
      </c>
      <c r="AP136" s="1">
        <f>VLOOKUP($C136,'Substrate Heating'!$A$2:$M$33,13,FALSE)</f>
        <v>1</v>
      </c>
      <c r="AQ136" s="1">
        <f>VLOOKUP($C136,'Substrate Heating'!$A$2:$M$33,8,FALSE)</f>
        <v>1</v>
      </c>
      <c r="AR136" s="1">
        <f t="shared" si="2"/>
        <v>0.13873170731707379</v>
      </c>
    </row>
    <row r="137" spans="1:44" x14ac:dyDescent="0.2">
      <c r="A137" s="8" t="s">
        <v>34</v>
      </c>
      <c r="B137" s="9" t="s">
        <v>35</v>
      </c>
      <c r="C137" s="1" t="s">
        <v>337</v>
      </c>
      <c r="D137" s="23" t="s">
        <v>338</v>
      </c>
      <c r="E137" s="1" t="s">
        <v>164</v>
      </c>
      <c r="F137" s="1" t="s">
        <v>165</v>
      </c>
      <c r="G137" s="1">
        <v>-10</v>
      </c>
      <c r="H137" s="1">
        <v>-20</v>
      </c>
      <c r="I137" s="1" t="s">
        <v>40</v>
      </c>
      <c r="J137" s="1">
        <v>3.15</v>
      </c>
      <c r="K137" s="1">
        <v>-10</v>
      </c>
      <c r="L137" s="1">
        <v>-2.2914285714285798</v>
      </c>
      <c r="M137" s="1" t="s">
        <v>40</v>
      </c>
      <c r="N137" s="1">
        <v>8.1942857142857299</v>
      </c>
      <c r="O137" s="1">
        <v>0.45142857142857201</v>
      </c>
      <c r="Q137" s="1">
        <v>4.51428571428572E-2</v>
      </c>
      <c r="R137" s="1">
        <v>7.2692302344578394E-2</v>
      </c>
      <c r="S137" s="1" t="str">
        <f>VLOOKUP($E137,'Product Naming'!$A$1:$P$58,2,FALSE)</f>
        <v>Butanol-PW1</v>
      </c>
      <c r="T137" s="1" t="str">
        <f>VLOOKUP($E137,'Product Naming'!$A$1:$P$58,3,FALSE)</f>
        <v>Butanol (PW1)</v>
      </c>
      <c r="U137" s="1" t="str">
        <f>VLOOKUP($E137,'Product Naming'!$A$1:$P$58,4,FALSE)</f>
        <v>E</v>
      </c>
      <c r="V137" s="1" t="str">
        <f>VLOOKUP($E137,'Product Naming'!$A$1:$P$58,5,FALSE)</f>
        <v>C4H10O</v>
      </c>
      <c r="W137" s="1">
        <f>VLOOKUP($E137,'Product Naming'!$A$1:$P$58,6,FALSE)</f>
        <v>4</v>
      </c>
      <c r="X137" s="1">
        <f>VLOOKUP($E137,'Product Naming'!$A$1:$P$58,7,FALSE)</f>
        <v>10</v>
      </c>
      <c r="Y137" s="1">
        <f>VLOOKUP($E137,'Product Naming'!$A$1:$P$58,8,FALSE)</f>
        <v>1</v>
      </c>
      <c r="Z137" s="1">
        <f>VLOOKUP($E137,'Product Naming'!$A$1:$P$58,9,FALSE)</f>
        <v>0</v>
      </c>
      <c r="AA137" s="1">
        <f>VLOOKUP($E137,'Product Naming'!$A$1:$P$58,10,FALSE)</f>
        <v>0</v>
      </c>
      <c r="AB137" s="29">
        <f>VLOOKUP($E137,'Product Naming'!$A$1:$P$58,11,FALSE)</f>
        <v>6</v>
      </c>
      <c r="AC137" s="3">
        <f>VLOOKUP($E137,'Product Naming'!$A$1:$P$58,12,FALSE)</f>
        <v>74.120199999999997</v>
      </c>
      <c r="AD137" s="1">
        <f>VLOOKUP($E137,'Product Naming'!$A$1:$P$58,13,FALSE)</f>
        <v>117.7</v>
      </c>
      <c r="AE137" s="1" t="str">
        <f>VLOOKUP($E137,'Product Naming'!$A$1:$P$58,14,FALSE)</f>
        <v>Alcohol</v>
      </c>
      <c r="AF137" s="1" t="str">
        <f>VLOOKUP($E137,'Product Naming'!$A$1:$P$58,15,FALSE)</f>
        <v>Acetyl-CoA</v>
      </c>
      <c r="AG137" s="30" t="str">
        <f>VLOOKUP($E137,'Product Naming'!$A$1:$P$58,16,FALSE)</f>
        <v>Proton symporter</v>
      </c>
      <c r="AH137" s="3" t="str">
        <f>VLOOKUP($E137,'Product Naming'!$A$1:$Q$58,17,FALSE)</f>
        <v>btoh_c</v>
      </c>
      <c r="AI137" s="1">
        <f>VLOOKUP($E137,'Product Parameters'!$A$2:$D$59,2,FALSE)</f>
        <v>1</v>
      </c>
      <c r="AJ137" s="1">
        <f>VLOOKUP($E137,'Product Parameters'!$A$2:$D$59,3,FALSE)</f>
        <v>0</v>
      </c>
      <c r="AK137" s="1">
        <f>VLOOKUP($E137,'Product Parameters'!$A$2:$D$59,4,FALSE)</f>
        <v>0.12</v>
      </c>
      <c r="AL137" s="1">
        <f>VLOOKUP($E137,'Product Parameters'!$A$2:$E$59,5,FALSE)</f>
        <v>52</v>
      </c>
      <c r="AM137" s="1">
        <f>VLOOKUP($E137,'Product Parameters'!$A$2:$F$59,6,FALSE)</f>
        <v>4</v>
      </c>
      <c r="AN137" s="1">
        <f>VLOOKUP($C137,'Substrate Heating'!$A$2:$C$33,3,FALSE)</f>
        <v>247.59097</v>
      </c>
      <c r="AO137" s="1">
        <f>VLOOKUP($C137,'Substrate Heating'!$A$2:$B$33,2,FALSE)</f>
        <v>5.5</v>
      </c>
      <c r="AP137" s="1">
        <f>VLOOKUP($C137,'Substrate Heating'!$A$2:$M$33,13,FALSE)</f>
        <v>1</v>
      </c>
      <c r="AQ137" s="1">
        <f>VLOOKUP($C137,'Substrate Heating'!$A$2:$M$33,8,FALSE)</f>
        <v>1</v>
      </c>
      <c r="AR137" s="1">
        <f t="shared" si="2"/>
        <v>0.1805714285714288</v>
      </c>
    </row>
    <row r="138" spans="1:44" x14ac:dyDescent="0.2">
      <c r="A138" s="8" t="s">
        <v>34</v>
      </c>
      <c r="B138" s="9" t="s">
        <v>35</v>
      </c>
      <c r="C138" s="1" t="s">
        <v>337</v>
      </c>
      <c r="D138" s="23" t="s">
        <v>338</v>
      </c>
      <c r="E138" s="1" t="s">
        <v>72</v>
      </c>
      <c r="F138" s="1" t="s">
        <v>73</v>
      </c>
      <c r="G138" s="1">
        <v>-10</v>
      </c>
      <c r="H138" s="1">
        <v>-20</v>
      </c>
      <c r="I138" s="1" t="s">
        <v>40</v>
      </c>
      <c r="J138" s="1">
        <v>3.15</v>
      </c>
      <c r="K138" s="1">
        <v>-10</v>
      </c>
      <c r="L138" s="1">
        <v>-2.4905882352941</v>
      </c>
      <c r="M138" s="1" t="s">
        <v>40</v>
      </c>
      <c r="N138" s="1">
        <v>8.3270588235293594</v>
      </c>
      <c r="O138" s="1">
        <v>0.55764705882352195</v>
      </c>
      <c r="Q138" s="1">
        <v>5.5764705882352203E-2</v>
      </c>
      <c r="R138" s="1">
        <v>7.2803461199902095E-2</v>
      </c>
      <c r="S138" s="1" t="str">
        <f>VLOOKUP($E138,'Product Naming'!$A$1:$P$58,2,FALSE)</f>
        <v>1-propanol-PW1</v>
      </c>
      <c r="T138" s="1" t="str">
        <f>VLOOKUP($E138,'Product Naming'!$A$1:$P$58,3,FALSE)</f>
        <v>1-Propanol (PW1)</v>
      </c>
      <c r="U138" s="1" t="str">
        <f>VLOOKUP($E138,'Product Naming'!$A$1:$P$58,4,FALSE)</f>
        <v>E-S</v>
      </c>
      <c r="V138" s="1" t="str">
        <f>VLOOKUP($E138,'Product Naming'!$A$1:$P$58,5,FALSE)</f>
        <v>C3H8O</v>
      </c>
      <c r="W138" s="1">
        <f>VLOOKUP($E138,'Product Naming'!$A$1:$P$58,6,FALSE)</f>
        <v>3</v>
      </c>
      <c r="X138" s="1">
        <f>VLOOKUP($E138,'Product Naming'!$A$1:$P$58,7,FALSE)</f>
        <v>8</v>
      </c>
      <c r="Y138" s="1">
        <f>VLOOKUP($E138,'Product Naming'!$A$1:$P$58,8,FALSE)</f>
        <v>1</v>
      </c>
      <c r="Z138" s="1">
        <f>VLOOKUP($E138,'Product Naming'!$A$1:$P$58,9,FALSE)</f>
        <v>0</v>
      </c>
      <c r="AA138" s="1">
        <f>VLOOKUP($E138,'Product Naming'!$A$1:$P$58,10,FALSE)</f>
        <v>0</v>
      </c>
      <c r="AB138" s="29">
        <f>VLOOKUP($E138,'Product Naming'!$A$1:$P$58,11,FALSE)</f>
        <v>6</v>
      </c>
      <c r="AC138" s="3">
        <f>VLOOKUP($E138,'Product Naming'!$A$1:$P$58,12,FALSE)</f>
        <v>60.093820000000001</v>
      </c>
      <c r="AD138" s="1">
        <f>VLOOKUP($E138,'Product Naming'!$A$1:$P$58,13,FALSE)</f>
        <v>97</v>
      </c>
      <c r="AE138" s="1" t="str">
        <f>VLOOKUP($E138,'Product Naming'!$A$1:$P$58,14,FALSE)</f>
        <v>Alcohol</v>
      </c>
      <c r="AF138" s="1" t="str">
        <f>VLOOKUP($E138,'Product Naming'!$A$1:$P$58,15,FALSE)</f>
        <v>Glyceraldehyde 3-P (--&gt;DHAP)</v>
      </c>
      <c r="AG138" s="30" t="str">
        <f>VLOOKUP($E138,'Product Naming'!$A$1:$P$58,16,FALSE)</f>
        <v>Proton symporter</v>
      </c>
      <c r="AH138" s="3" t="str">
        <f>VLOOKUP($E138,'Product Naming'!$A$1:$Q$58,17,FALSE)</f>
        <v>ppoh_c</v>
      </c>
      <c r="AI138" s="1">
        <f>VLOOKUP($E138,'Product Parameters'!$A$2:$D$59,2,FALSE)</f>
        <v>1</v>
      </c>
      <c r="AJ138" s="1">
        <f>VLOOKUP($E138,'Product Parameters'!$A$2:$D$59,3,FALSE)</f>
        <v>0</v>
      </c>
      <c r="AK138" s="1">
        <f>VLOOKUP($E138,'Product Parameters'!$A$2:$D$59,4,FALSE)</f>
        <v>0.12</v>
      </c>
      <c r="AL138" s="1">
        <f>VLOOKUP($E138,'Product Parameters'!$A$2:$E$59,5,FALSE)</f>
        <v>47</v>
      </c>
      <c r="AM138" s="1">
        <f>VLOOKUP($E138,'Product Parameters'!$A$2:$F$59,6,FALSE)</f>
        <v>3</v>
      </c>
      <c r="AN138" s="1">
        <f>VLOOKUP($C138,'Substrate Heating'!$A$2:$C$33,3,FALSE)</f>
        <v>247.59097</v>
      </c>
      <c r="AO138" s="1">
        <f>VLOOKUP($C138,'Substrate Heating'!$A$2:$B$33,2,FALSE)</f>
        <v>5.5</v>
      </c>
      <c r="AP138" s="1">
        <f>VLOOKUP($C138,'Substrate Heating'!$A$2:$M$33,13,FALSE)</f>
        <v>1</v>
      </c>
      <c r="AQ138" s="1">
        <f>VLOOKUP($C138,'Substrate Heating'!$A$2:$M$33,8,FALSE)</f>
        <v>1</v>
      </c>
      <c r="AR138" s="1">
        <f t="shared" si="2"/>
        <v>0.16729411764705659</v>
      </c>
    </row>
    <row r="139" spans="1:44" x14ac:dyDescent="0.2">
      <c r="A139" s="8" t="s">
        <v>792</v>
      </c>
      <c r="B139" s="18" t="s">
        <v>324</v>
      </c>
      <c r="C139" t="s">
        <v>365</v>
      </c>
      <c r="D139" s="23" t="s">
        <v>338</v>
      </c>
      <c r="E139" t="s">
        <v>175</v>
      </c>
      <c r="F139" t="s">
        <v>176</v>
      </c>
      <c r="G139">
        <v>-10</v>
      </c>
      <c r="H139">
        <v>0</v>
      </c>
      <c r="I139">
        <v>0</v>
      </c>
      <c r="J139">
        <v>0.45</v>
      </c>
      <c r="K139">
        <v>-10</v>
      </c>
      <c r="L139">
        <v>0</v>
      </c>
      <c r="M139" s="28" t="s">
        <v>521</v>
      </c>
      <c r="N139">
        <v>0</v>
      </c>
      <c r="O139" s="28" t="s">
        <v>522</v>
      </c>
      <c r="P139"/>
      <c r="Q139" s="28" t="s">
        <v>523</v>
      </c>
      <c r="R139">
        <v>7.3686816309087105E-2</v>
      </c>
      <c r="S139" s="1" t="str">
        <f>VLOOKUP($E139,'Product Naming'!$A$1:$P$58,2,FALSE)</f>
        <v>Catechol</v>
      </c>
      <c r="T139" s="1" t="str">
        <f>VLOOKUP($E139,'Product Naming'!$A$1:$P$58,3,FALSE)</f>
        <v>Catechol</v>
      </c>
      <c r="U139" s="1" t="str">
        <f>VLOOKUP($E139,'Product Naming'!$A$1:$P$58,4,FALSE)</f>
        <v>E</v>
      </c>
      <c r="V139" s="1" t="str">
        <f>VLOOKUP($E139,'Product Naming'!$A$1:$P$58,5,FALSE)</f>
        <v>C6H6O2</v>
      </c>
      <c r="W139" s="1">
        <f>VLOOKUP($E139,'Product Naming'!$A$1:$P$58,6,FALSE)</f>
        <v>6</v>
      </c>
      <c r="X139" s="1">
        <f>VLOOKUP($E139,'Product Naming'!$A$1:$P$58,7,FALSE)</f>
        <v>6</v>
      </c>
      <c r="Y139" s="1">
        <f>VLOOKUP($E139,'Product Naming'!$A$1:$P$58,8,FALSE)</f>
        <v>2</v>
      </c>
      <c r="Z139" s="1">
        <f>VLOOKUP($E139,'Product Naming'!$A$1:$P$58,9,FALSE)</f>
        <v>0</v>
      </c>
      <c r="AA139" s="1">
        <f>VLOOKUP($E139,'Product Naming'!$A$1:$P$58,10,FALSE)</f>
        <v>0</v>
      </c>
      <c r="AB139" s="29">
        <f>VLOOKUP($E139,'Product Naming'!$A$1:$P$58,11,FALSE)</f>
        <v>4.333333333333333</v>
      </c>
      <c r="AC139" s="3">
        <f>VLOOKUP($E139,'Product Naming'!$A$1:$P$58,12,FALSE)</f>
        <v>110.10924</v>
      </c>
      <c r="AD139" s="1">
        <f>VLOOKUP($E139,'Product Naming'!$A$1:$P$58,13,FALSE)</f>
        <v>245</v>
      </c>
      <c r="AE139" s="1" t="str">
        <f>VLOOKUP($E139,'Product Naming'!$A$1:$P$58,14,FALSE)</f>
        <v>Aromatic + Diol</v>
      </c>
      <c r="AF139" s="1" t="str">
        <f>VLOOKUP($E139,'Product Naming'!$A$1:$P$58,15,FALSE)</f>
        <v>Glyceraldehyde 3-P</v>
      </c>
      <c r="AG139" s="30" t="str">
        <f>VLOOKUP($E139,'Product Naming'!$A$1:$P$58,16,FALSE)</f>
        <v>Proton symporter</v>
      </c>
      <c r="AH139" s="3" t="str">
        <f>VLOOKUP($E139,'Product Naming'!$A$1:$Q$58,17,FALSE)</f>
        <v>catechol_c</v>
      </c>
      <c r="AI139" s="1">
        <f>VLOOKUP($E139,'Product Parameters'!$A$2:$D$59,2,FALSE)</f>
        <v>1</v>
      </c>
      <c r="AJ139" s="1">
        <f>VLOOKUP($E139,'Product Parameters'!$A$2:$D$59,3,FALSE)</f>
        <v>0</v>
      </c>
      <c r="AK139" s="1">
        <f>VLOOKUP($E139,'Product Parameters'!$A$2:$D$59,4,FALSE)</f>
        <v>0.12</v>
      </c>
      <c r="AL139" s="1">
        <f>VLOOKUP($E139,'Product Parameters'!$A$2:$E$59,5,FALSE)</f>
        <v>40.65</v>
      </c>
      <c r="AM139" s="1">
        <f>VLOOKUP($E139,'Product Parameters'!$A$2:$F$59,6,FALSE)</f>
        <v>6</v>
      </c>
      <c r="AN139" s="1">
        <f>VLOOKUP($C139,'Substrate Heating'!$A$2:$C$33,3,FALSE)</f>
        <v>638.57832580000002</v>
      </c>
      <c r="AO139" s="1">
        <f>VLOOKUP($C139,'Substrate Heating'!$A$2:$B$33,2,FALSE)</f>
        <v>19.93</v>
      </c>
      <c r="AP139" s="1">
        <f>VLOOKUP($C139,'Substrate Heating'!$A$2:$M$33,13,FALSE)</f>
        <v>6</v>
      </c>
      <c r="AQ139" s="1">
        <f>VLOOKUP($C139,'Substrate Heating'!$A$2:$M$33,8,FALSE)</f>
        <v>1</v>
      </c>
      <c r="AR139" s="1">
        <f t="shared" si="2"/>
        <v>0.1277922077922084</v>
      </c>
    </row>
    <row r="140" spans="1:44" x14ac:dyDescent="0.2">
      <c r="A140" s="17" t="s">
        <v>323</v>
      </c>
      <c r="B140" s="18" t="s">
        <v>324</v>
      </c>
      <c r="C140" t="s">
        <v>333</v>
      </c>
      <c r="D140" s="19" t="s">
        <v>326</v>
      </c>
      <c r="E140" t="s">
        <v>158</v>
      </c>
      <c r="F140" t="s">
        <v>159</v>
      </c>
      <c r="G140">
        <v>-10</v>
      </c>
      <c r="H140">
        <v>0</v>
      </c>
      <c r="I140">
        <v>0</v>
      </c>
      <c r="J140">
        <v>0.45</v>
      </c>
      <c r="K140">
        <v>-10</v>
      </c>
      <c r="L140">
        <v>0</v>
      </c>
      <c r="M140">
        <v>0</v>
      </c>
      <c r="N140">
        <v>6.4657534246575397</v>
      </c>
      <c r="O140">
        <v>0.58630136986301495</v>
      </c>
      <c r="P140"/>
      <c r="Q140">
        <v>5.8630136986301998E-2</v>
      </c>
      <c r="R140">
        <v>7.4031795145042004E-2</v>
      </c>
      <c r="S140" s="1" t="str">
        <f>VLOOKUP($E140,'Product Naming'!$A$1:$P$58,2,FALSE)</f>
        <v>Butane</v>
      </c>
      <c r="T140" s="1" t="str">
        <f>VLOOKUP($E140,'Product Naming'!$A$1:$P$58,3,FALSE)</f>
        <v>Butane</v>
      </c>
      <c r="U140" s="1" t="str">
        <f>VLOOKUP($E140,'Product Naming'!$A$1:$P$58,4,FALSE)</f>
        <v>E</v>
      </c>
      <c r="V140" s="1" t="str">
        <f>VLOOKUP($E140,'Product Naming'!$A$1:$P$58,5,FALSE)</f>
        <v>C4H10</v>
      </c>
      <c r="W140" s="1">
        <f>VLOOKUP($E140,'Product Naming'!$A$1:$P$58,6,FALSE)</f>
        <v>4</v>
      </c>
      <c r="X140" s="1">
        <f>VLOOKUP($E140,'Product Naming'!$A$1:$P$58,7,FALSE)</f>
        <v>10</v>
      </c>
      <c r="Y140" s="1">
        <f>VLOOKUP($E140,'Product Naming'!$A$1:$P$58,8,FALSE)</f>
        <v>0</v>
      </c>
      <c r="Z140" s="1">
        <f>VLOOKUP($E140,'Product Naming'!$A$1:$P$58,9,FALSE)</f>
        <v>0</v>
      </c>
      <c r="AA140" s="1">
        <f>VLOOKUP($E140,'Product Naming'!$A$1:$P$58,10,FALSE)</f>
        <v>0</v>
      </c>
      <c r="AB140" s="29">
        <f>VLOOKUP($E140,'Product Naming'!$A$1:$P$58,11,FALSE)</f>
        <v>6.5</v>
      </c>
      <c r="AC140" s="3">
        <f>VLOOKUP($E140,'Product Naming'!$A$1:$P$58,12,FALSE)</f>
        <v>58.121200000000002</v>
      </c>
      <c r="AD140" s="1">
        <f>VLOOKUP($E140,'Product Naming'!$A$1:$P$58,13,FALSE)</f>
        <v>-1</v>
      </c>
      <c r="AE140" s="1" t="str">
        <f>VLOOKUP($E140,'Product Naming'!$A$1:$P$58,14,FALSE)</f>
        <v>Hydrocarbon (alkane)</v>
      </c>
      <c r="AF140" s="1" t="str">
        <f>VLOOKUP($E140,'Product Naming'!$A$1:$P$58,15,FALSE)</f>
        <v>Acetyl-CoA + Succinyl-CoA</v>
      </c>
      <c r="AG140" s="30" t="str">
        <f>VLOOKUP($E140,'Product Naming'!$A$1:$P$58,16,FALSE)</f>
        <v>Diffusion</v>
      </c>
      <c r="AH140" s="3" t="str">
        <f>VLOOKUP($E140,'Product Naming'!$A$1:$Q$58,17,FALSE)</f>
        <v>butn_c</v>
      </c>
      <c r="AI140" s="1">
        <f>VLOOKUP($E140,'Product Parameters'!$A$2:$D$59,2,FALSE)</f>
        <v>0</v>
      </c>
      <c r="AJ140" s="1">
        <f>VLOOKUP($E140,'Product Parameters'!$A$2:$D$59,3,FALSE)</f>
        <v>1</v>
      </c>
      <c r="AK140" s="1">
        <f>VLOOKUP($E140,'Product Parameters'!$A$2:$D$59,4,FALSE)</f>
        <v>0.12</v>
      </c>
      <c r="AL140" s="1">
        <f>VLOOKUP($E140,'Product Parameters'!$A$2:$E$59,5,FALSE)</f>
        <v>0</v>
      </c>
      <c r="AM140" s="1">
        <f>VLOOKUP($E140,'Product Parameters'!$A$2:$F$59,6,FALSE)</f>
        <v>4</v>
      </c>
      <c r="AN140" s="1">
        <f>VLOOKUP($C140,'Substrate Heating'!$A$2:$C$33,3,FALSE)</f>
        <v>247.59097</v>
      </c>
      <c r="AO140" s="1">
        <f>VLOOKUP($C140,'Substrate Heating'!$A$2:$B$33,2,FALSE)</f>
        <v>5.5</v>
      </c>
      <c r="AP140" s="1">
        <f>VLOOKUP($C140,'Substrate Heating'!$A$2:$M$33,13,FALSE)</f>
        <v>1</v>
      </c>
      <c r="AQ140" s="1">
        <f>VLOOKUP($C140,'Substrate Heating'!$A$2:$M$33,8,FALSE)</f>
        <v>1</v>
      </c>
      <c r="AR140" s="1">
        <f t="shared" si="2"/>
        <v>0.23452054794520799</v>
      </c>
    </row>
    <row r="141" spans="1:44" x14ac:dyDescent="0.2">
      <c r="A141" s="8" t="s">
        <v>792</v>
      </c>
      <c r="B141" s="18" t="s">
        <v>324</v>
      </c>
      <c r="C141" t="s">
        <v>365</v>
      </c>
      <c r="D141" s="23" t="s">
        <v>338</v>
      </c>
      <c r="E141" t="s">
        <v>124</v>
      </c>
      <c r="F141" t="s">
        <v>125</v>
      </c>
      <c r="G141">
        <v>-10</v>
      </c>
      <c r="H141">
        <v>0</v>
      </c>
      <c r="I141">
        <v>0</v>
      </c>
      <c r="J141">
        <v>0.45</v>
      </c>
      <c r="K141">
        <v>-10</v>
      </c>
      <c r="L141">
        <v>0</v>
      </c>
      <c r="M141" s="28" t="s">
        <v>455</v>
      </c>
      <c r="N141">
        <v>0</v>
      </c>
      <c r="O141" s="28" t="s">
        <v>456</v>
      </c>
      <c r="P141"/>
      <c r="Q141">
        <v>3.3469387755101998E-2</v>
      </c>
      <c r="R141">
        <v>7.4692932003127294E-2</v>
      </c>
      <c r="S141" s="1" t="str">
        <f>VLOOKUP($E141,'Product Naming'!$A$1:$P$58,2,FALSE)</f>
        <v>Acrylate-PW1</v>
      </c>
      <c r="T141" s="1" t="str">
        <f>VLOOKUP($E141,'Product Naming'!$A$1:$P$58,3,FALSE)</f>
        <v>Acrylate (PW1)</v>
      </c>
      <c r="U141" s="1" t="str">
        <f>VLOOKUP($E141,'Product Naming'!$A$1:$P$58,4,FALSE)</f>
        <v>A</v>
      </c>
      <c r="V141" s="1" t="str">
        <f>VLOOKUP($E141,'Product Naming'!$A$1:$P$58,5,FALSE)</f>
        <v>C3H3O2</v>
      </c>
      <c r="W141" s="1">
        <f>VLOOKUP($E141,'Product Naming'!$A$1:$P$58,6,FALSE)</f>
        <v>3</v>
      </c>
      <c r="X141" s="1">
        <f>VLOOKUP($E141,'Product Naming'!$A$1:$P$58,7,FALSE)</f>
        <v>3</v>
      </c>
      <c r="Y141" s="1">
        <f>VLOOKUP($E141,'Product Naming'!$A$1:$P$58,8,FALSE)</f>
        <v>2</v>
      </c>
      <c r="Z141" s="1">
        <f>VLOOKUP($E141,'Product Naming'!$A$1:$P$58,9,FALSE)</f>
        <v>0</v>
      </c>
      <c r="AA141" s="1">
        <f>VLOOKUP($E141,'Product Naming'!$A$1:$P$58,10,FALSE)</f>
        <v>-1</v>
      </c>
      <c r="AB141" s="29">
        <f>VLOOKUP($E141,'Product Naming'!$A$1:$P$58,11,FALSE)</f>
        <v>3.6666666666666665</v>
      </c>
      <c r="AC141" s="3">
        <f>VLOOKUP($E141,'Product Naming'!$A$1:$P$58,12,FALSE)</f>
        <v>71.053619999999995</v>
      </c>
      <c r="AD141" s="1">
        <f>VLOOKUP($E141,'Product Naming'!$A$1:$P$58,13,FALSE)</f>
        <v>80</v>
      </c>
      <c r="AE141" s="1" t="str">
        <f>VLOOKUP($E141,'Product Naming'!$A$1:$P$58,14,FALSE)</f>
        <v>Carboxylate</v>
      </c>
      <c r="AF141" s="1" t="str">
        <f>VLOOKUP($E141,'Product Naming'!$A$1:$P$58,15,FALSE)</f>
        <v>Glyceraldehyde 3-P</v>
      </c>
      <c r="AG141" s="30" t="str">
        <f>VLOOKUP($E141,'Product Naming'!$A$1:$P$58,16,FALSE)</f>
        <v>Proton symporter</v>
      </c>
      <c r="AH141" s="3" t="str">
        <f>VLOOKUP($E141,'Product Naming'!$A$1:$Q$58,17,FALSE)</f>
        <v>acryl_c</v>
      </c>
      <c r="AI141" s="1">
        <f>VLOOKUP($E141,'Product Parameters'!$A$2:$D$59,2,FALSE)</f>
        <v>1</v>
      </c>
      <c r="AJ141" s="1">
        <f>VLOOKUP($E141,'Product Parameters'!$A$2:$D$59,3,FALSE)</f>
        <v>0</v>
      </c>
      <c r="AK141" s="1">
        <f>VLOOKUP($E141,'Product Parameters'!$A$2:$D$59,4,FALSE)</f>
        <v>0.12</v>
      </c>
      <c r="AL141" s="1">
        <f>VLOOKUP($E141,'Product Parameters'!$A$2:$E$59,5,FALSE)</f>
        <v>53.1</v>
      </c>
      <c r="AM141" s="1">
        <f>VLOOKUP($E141,'Product Parameters'!$A$2:$F$59,6,FALSE)</f>
        <v>3</v>
      </c>
      <c r="AN141" s="1">
        <f>VLOOKUP($C141,'Substrate Heating'!$A$2:$C$33,3,FALSE)</f>
        <v>638.57832580000002</v>
      </c>
      <c r="AO141" s="1">
        <f>VLOOKUP($C141,'Substrate Heating'!$A$2:$B$33,2,FALSE)</f>
        <v>19.93</v>
      </c>
      <c r="AP141" s="1">
        <f>VLOOKUP($C141,'Substrate Heating'!$A$2:$M$33,13,FALSE)</f>
        <v>6</v>
      </c>
      <c r="AQ141" s="1">
        <f>VLOOKUP($C141,'Substrate Heating'!$A$2:$M$33,8,FALSE)</f>
        <v>1</v>
      </c>
      <c r="AR141" s="1">
        <f t="shared" si="2"/>
        <v>0.10040816326530599</v>
      </c>
    </row>
    <row r="142" spans="1:44" x14ac:dyDescent="0.2">
      <c r="A142" s="17" t="s">
        <v>323</v>
      </c>
      <c r="B142" s="18" t="s">
        <v>324</v>
      </c>
      <c r="C142" t="s">
        <v>333</v>
      </c>
      <c r="D142" s="19" t="s">
        <v>326</v>
      </c>
      <c r="E142" t="s">
        <v>175</v>
      </c>
      <c r="F142" t="s">
        <v>176</v>
      </c>
      <c r="G142">
        <v>-10</v>
      </c>
      <c r="H142">
        <v>0</v>
      </c>
      <c r="I142">
        <v>0</v>
      </c>
      <c r="J142">
        <v>0.45</v>
      </c>
      <c r="K142">
        <v>-10</v>
      </c>
      <c r="L142">
        <v>0</v>
      </c>
      <c r="M142">
        <v>0</v>
      </c>
      <c r="N142">
        <v>5.1562043795620403</v>
      </c>
      <c r="O142">
        <v>0.312408759124088</v>
      </c>
      <c r="P142"/>
      <c r="Q142">
        <v>3.1240875912408799E-2</v>
      </c>
      <c r="R142">
        <v>7.4732543920643102E-2</v>
      </c>
      <c r="S142" s="1" t="str">
        <f>VLOOKUP($E142,'Product Naming'!$A$1:$P$58,2,FALSE)</f>
        <v>Catechol</v>
      </c>
      <c r="T142" s="1" t="str">
        <f>VLOOKUP($E142,'Product Naming'!$A$1:$P$58,3,FALSE)</f>
        <v>Catechol</v>
      </c>
      <c r="U142" s="1" t="str">
        <f>VLOOKUP($E142,'Product Naming'!$A$1:$P$58,4,FALSE)</f>
        <v>E</v>
      </c>
      <c r="V142" s="1" t="str">
        <f>VLOOKUP($E142,'Product Naming'!$A$1:$P$58,5,FALSE)</f>
        <v>C6H6O2</v>
      </c>
      <c r="W142" s="1">
        <f>VLOOKUP($E142,'Product Naming'!$A$1:$P$58,6,FALSE)</f>
        <v>6</v>
      </c>
      <c r="X142" s="1">
        <f>VLOOKUP($E142,'Product Naming'!$A$1:$P$58,7,FALSE)</f>
        <v>6</v>
      </c>
      <c r="Y142" s="1">
        <f>VLOOKUP($E142,'Product Naming'!$A$1:$P$58,8,FALSE)</f>
        <v>2</v>
      </c>
      <c r="Z142" s="1">
        <f>VLOOKUP($E142,'Product Naming'!$A$1:$P$58,9,FALSE)</f>
        <v>0</v>
      </c>
      <c r="AA142" s="1">
        <f>VLOOKUP($E142,'Product Naming'!$A$1:$P$58,10,FALSE)</f>
        <v>0</v>
      </c>
      <c r="AB142" s="29">
        <f>VLOOKUP($E142,'Product Naming'!$A$1:$P$58,11,FALSE)</f>
        <v>4.333333333333333</v>
      </c>
      <c r="AC142" s="3">
        <f>VLOOKUP($E142,'Product Naming'!$A$1:$P$58,12,FALSE)</f>
        <v>110.10924</v>
      </c>
      <c r="AD142" s="1">
        <f>VLOOKUP($E142,'Product Naming'!$A$1:$P$58,13,FALSE)</f>
        <v>245</v>
      </c>
      <c r="AE142" s="1" t="str">
        <f>VLOOKUP($E142,'Product Naming'!$A$1:$P$58,14,FALSE)</f>
        <v>Aromatic + Diol</v>
      </c>
      <c r="AF142" s="1" t="str">
        <f>VLOOKUP($E142,'Product Naming'!$A$1:$P$58,15,FALSE)</f>
        <v>Glyceraldehyde 3-P</v>
      </c>
      <c r="AG142" s="30" t="str">
        <f>VLOOKUP($E142,'Product Naming'!$A$1:$P$58,16,FALSE)</f>
        <v>Proton symporter</v>
      </c>
      <c r="AH142" s="3" t="str">
        <f>VLOOKUP($E142,'Product Naming'!$A$1:$Q$58,17,FALSE)</f>
        <v>catechol_c</v>
      </c>
      <c r="AI142" s="1">
        <f>VLOOKUP($E142,'Product Parameters'!$A$2:$D$59,2,FALSE)</f>
        <v>1</v>
      </c>
      <c r="AJ142" s="1">
        <f>VLOOKUP($E142,'Product Parameters'!$A$2:$D$59,3,FALSE)</f>
        <v>0</v>
      </c>
      <c r="AK142" s="1">
        <f>VLOOKUP($E142,'Product Parameters'!$A$2:$D$59,4,FALSE)</f>
        <v>0.12</v>
      </c>
      <c r="AL142" s="1">
        <f>VLOOKUP($E142,'Product Parameters'!$A$2:$E$59,5,FALSE)</f>
        <v>40.65</v>
      </c>
      <c r="AM142" s="1">
        <f>VLOOKUP($E142,'Product Parameters'!$A$2:$F$59,6,FALSE)</f>
        <v>6</v>
      </c>
      <c r="AN142" s="1">
        <f>VLOOKUP($C142,'Substrate Heating'!$A$2:$C$33,3,FALSE)</f>
        <v>247.59097</v>
      </c>
      <c r="AO142" s="1">
        <f>VLOOKUP($C142,'Substrate Heating'!$A$2:$B$33,2,FALSE)</f>
        <v>5.5</v>
      </c>
      <c r="AP142" s="1">
        <f>VLOOKUP($C142,'Substrate Heating'!$A$2:$M$33,13,FALSE)</f>
        <v>1</v>
      </c>
      <c r="AQ142" s="1">
        <f>VLOOKUP($C142,'Substrate Heating'!$A$2:$M$33,8,FALSE)</f>
        <v>1</v>
      </c>
      <c r="AR142" s="1">
        <f t="shared" si="2"/>
        <v>0.18744525547445279</v>
      </c>
    </row>
    <row r="143" spans="1:44" x14ac:dyDescent="0.2">
      <c r="A143" s="17" t="s">
        <v>323</v>
      </c>
      <c r="B143" s="18" t="s">
        <v>324</v>
      </c>
      <c r="C143" t="s">
        <v>335</v>
      </c>
      <c r="D143" s="19" t="s">
        <v>326</v>
      </c>
      <c r="E143" t="s">
        <v>297</v>
      </c>
      <c r="F143" t="s">
        <v>298</v>
      </c>
      <c r="G143">
        <v>-10</v>
      </c>
      <c r="H143">
        <v>0</v>
      </c>
      <c r="I143">
        <v>-10</v>
      </c>
      <c r="J143">
        <v>0.45</v>
      </c>
      <c r="K143">
        <v>-10</v>
      </c>
      <c r="L143">
        <v>0</v>
      </c>
      <c r="M143">
        <v>-10</v>
      </c>
      <c r="N143">
        <v>0.38315789473683998</v>
      </c>
      <c r="O143">
        <v>0.38315789473684198</v>
      </c>
      <c r="P143"/>
      <c r="Q143">
        <v>3.8315789473684199E-2</v>
      </c>
      <c r="R143">
        <v>7.5045539258555602E-2</v>
      </c>
      <c r="S143" s="1" t="str">
        <f>VLOOKUP($E143,'Product Naming'!$A$1:$P$58,2,FALSE)</f>
        <v>Phenol</v>
      </c>
      <c r="T143" s="1" t="str">
        <f>VLOOKUP($E143,'Product Naming'!$A$1:$P$58,3,FALSE)</f>
        <v>Phenol</v>
      </c>
      <c r="U143" s="1" t="str">
        <f>VLOOKUP($E143,'Product Naming'!$A$1:$P$58,4,FALSE)</f>
        <v>E-S</v>
      </c>
      <c r="V143" s="1" t="str">
        <f>VLOOKUP($E143,'Product Naming'!$A$1:$P$58,5,FALSE)</f>
        <v>C6H6O</v>
      </c>
      <c r="W143" s="1">
        <f>VLOOKUP($E143,'Product Naming'!$A$1:$P$58,6,FALSE)</f>
        <v>6</v>
      </c>
      <c r="X143" s="1">
        <f>VLOOKUP($E143,'Product Naming'!$A$1:$P$58,7,FALSE)</f>
        <v>6</v>
      </c>
      <c r="Y143" s="1">
        <f>VLOOKUP($E143,'Product Naming'!$A$1:$P$58,8,FALSE)</f>
        <v>1</v>
      </c>
      <c r="Z143" s="1">
        <f>VLOOKUP($E143,'Product Naming'!$A$1:$P$58,9,FALSE)</f>
        <v>0</v>
      </c>
      <c r="AA143" s="1">
        <f>VLOOKUP($E143,'Product Naming'!$A$1:$P$58,10,FALSE)</f>
        <v>0</v>
      </c>
      <c r="AB143" s="29">
        <f>VLOOKUP($E143,'Product Naming'!$A$1:$P$58,11,FALSE)</f>
        <v>4.666666666666667</v>
      </c>
      <c r="AC143" s="3">
        <f>VLOOKUP($E143,'Product Naming'!$A$1:$P$58,12,FALSE)</f>
        <v>94.11023999999999</v>
      </c>
      <c r="AD143" s="1">
        <f>VLOOKUP($E143,'Product Naming'!$A$1:$P$58,13,FALSE)</f>
        <v>181.7</v>
      </c>
      <c r="AE143" s="1" t="str">
        <f>VLOOKUP($E143,'Product Naming'!$A$1:$P$58,14,FALSE)</f>
        <v>Aromatic + Alcohol</v>
      </c>
      <c r="AF143" s="1" t="str">
        <f>VLOOKUP($E143,'Product Naming'!$A$1:$P$58,15,FALSE)</f>
        <v>E4P + L-glutamate</v>
      </c>
      <c r="AG143" s="30" t="str">
        <f>VLOOKUP($E143,'Product Naming'!$A$1:$P$58,16,FALSE)</f>
        <v>Proton symporter</v>
      </c>
      <c r="AH143" s="3" t="str">
        <f>VLOOKUP($E143,'Product Naming'!$A$1:$Q$58,17,FALSE)</f>
        <v>phenol_c</v>
      </c>
      <c r="AI143" s="1">
        <f>VLOOKUP($E143,'Product Parameters'!$A$2:$D$59,2,FALSE)</f>
        <v>1</v>
      </c>
      <c r="AJ143" s="1">
        <f>VLOOKUP($E143,'Product Parameters'!$A$2:$D$59,3,FALSE)</f>
        <v>0</v>
      </c>
      <c r="AK143" s="1">
        <f>VLOOKUP($E143,'Product Parameters'!$A$2:$D$59,4,FALSE)</f>
        <v>0.12</v>
      </c>
      <c r="AL143" s="1">
        <f>VLOOKUP($E143,'Product Parameters'!$A$2:$E$59,5,FALSE)</f>
        <v>58.8</v>
      </c>
      <c r="AM143" s="1">
        <f>VLOOKUP($E143,'Product Parameters'!$A$2:$F$59,6,FALSE)</f>
        <v>6</v>
      </c>
      <c r="AN143" s="1">
        <f>VLOOKUP($C143,'Substrate Heating'!$A$2:$C$33,3,FALSE)</f>
        <v>247.9</v>
      </c>
      <c r="AO143" s="1">
        <f>VLOOKUP($C143,'Substrate Heating'!$A$2:$B$33,2,FALSE)</f>
        <v>10.541709491918519</v>
      </c>
      <c r="AP143" s="1">
        <f>VLOOKUP($C143,'Substrate Heating'!$A$2:$M$33,13,FALSE)</f>
        <v>0.5</v>
      </c>
      <c r="AQ143" s="1">
        <f>VLOOKUP($C143,'Substrate Heating'!$A$2:$M$33,8,FALSE)</f>
        <v>0.5</v>
      </c>
      <c r="AR143" s="1">
        <f t="shared" si="2"/>
        <v>0.45978947368421041</v>
      </c>
    </row>
    <row r="144" spans="1:44" x14ac:dyDescent="0.2">
      <c r="A144" s="17" t="s">
        <v>323</v>
      </c>
      <c r="B144" s="18" t="s">
        <v>324</v>
      </c>
      <c r="C144" t="s">
        <v>325</v>
      </c>
      <c r="D144" s="19" t="s">
        <v>326</v>
      </c>
      <c r="E144" t="s">
        <v>297</v>
      </c>
      <c r="F144" t="s">
        <v>298</v>
      </c>
      <c r="G144">
        <v>-10</v>
      </c>
      <c r="H144">
        <v>0</v>
      </c>
      <c r="I144">
        <v>0</v>
      </c>
      <c r="J144">
        <v>0.45</v>
      </c>
      <c r="K144">
        <v>-10</v>
      </c>
      <c r="L144">
        <v>0</v>
      </c>
      <c r="M144">
        <v>0</v>
      </c>
      <c r="N144">
        <v>5.2252631578947399</v>
      </c>
      <c r="O144">
        <v>0.225263157894737</v>
      </c>
      <c r="P144"/>
      <c r="Q144">
        <v>2.25263157894737E-2</v>
      </c>
      <c r="R144">
        <v>7.5685718859805698E-2</v>
      </c>
      <c r="S144" s="1" t="str">
        <f>VLOOKUP($E144,'Product Naming'!$A$1:$P$58,2,FALSE)</f>
        <v>Phenol</v>
      </c>
      <c r="T144" s="1" t="str">
        <f>VLOOKUP($E144,'Product Naming'!$A$1:$P$58,3,FALSE)</f>
        <v>Phenol</v>
      </c>
      <c r="U144" s="1" t="str">
        <f>VLOOKUP($E144,'Product Naming'!$A$1:$P$58,4,FALSE)</f>
        <v>E-S</v>
      </c>
      <c r="V144" s="1" t="str">
        <f>VLOOKUP($E144,'Product Naming'!$A$1:$P$58,5,FALSE)</f>
        <v>C6H6O</v>
      </c>
      <c r="W144" s="1">
        <f>VLOOKUP($E144,'Product Naming'!$A$1:$P$58,6,FALSE)</f>
        <v>6</v>
      </c>
      <c r="X144" s="1">
        <f>VLOOKUP($E144,'Product Naming'!$A$1:$P$58,7,FALSE)</f>
        <v>6</v>
      </c>
      <c r="Y144" s="1">
        <f>VLOOKUP($E144,'Product Naming'!$A$1:$P$58,8,FALSE)</f>
        <v>1</v>
      </c>
      <c r="Z144" s="1">
        <f>VLOOKUP($E144,'Product Naming'!$A$1:$P$58,9,FALSE)</f>
        <v>0</v>
      </c>
      <c r="AA144" s="1">
        <f>VLOOKUP($E144,'Product Naming'!$A$1:$P$58,10,FALSE)</f>
        <v>0</v>
      </c>
      <c r="AB144" s="29">
        <f>VLOOKUP($E144,'Product Naming'!$A$1:$P$58,11,FALSE)</f>
        <v>4.666666666666667</v>
      </c>
      <c r="AC144" s="3">
        <f>VLOOKUP($E144,'Product Naming'!$A$1:$P$58,12,FALSE)</f>
        <v>94.11023999999999</v>
      </c>
      <c r="AD144" s="1">
        <f>VLOOKUP($E144,'Product Naming'!$A$1:$P$58,13,FALSE)</f>
        <v>181.7</v>
      </c>
      <c r="AE144" s="1" t="str">
        <f>VLOOKUP($E144,'Product Naming'!$A$1:$P$58,14,FALSE)</f>
        <v>Aromatic + Alcohol</v>
      </c>
      <c r="AF144" s="1" t="str">
        <f>VLOOKUP($E144,'Product Naming'!$A$1:$P$58,15,FALSE)</f>
        <v>E4P + L-glutamate</v>
      </c>
      <c r="AG144" s="30" t="str">
        <f>VLOOKUP($E144,'Product Naming'!$A$1:$P$58,16,FALSE)</f>
        <v>Proton symporter</v>
      </c>
      <c r="AH144" s="3" t="str">
        <f>VLOOKUP($E144,'Product Naming'!$A$1:$Q$58,17,FALSE)</f>
        <v>phenol_c</v>
      </c>
      <c r="AI144" s="1">
        <f>VLOOKUP($E144,'Product Parameters'!$A$2:$D$59,2,FALSE)</f>
        <v>1</v>
      </c>
      <c r="AJ144" s="1">
        <f>VLOOKUP($E144,'Product Parameters'!$A$2:$D$59,3,FALSE)</f>
        <v>0</v>
      </c>
      <c r="AK144" s="1">
        <f>VLOOKUP($E144,'Product Parameters'!$A$2:$D$59,4,FALSE)</f>
        <v>0.12</v>
      </c>
      <c r="AL144" s="1">
        <f>VLOOKUP($E144,'Product Parameters'!$A$2:$E$59,5,FALSE)</f>
        <v>58.8</v>
      </c>
      <c r="AM144" s="1">
        <f>VLOOKUP($E144,'Product Parameters'!$A$2:$F$59,6,FALSE)</f>
        <v>6</v>
      </c>
      <c r="AN144" s="1">
        <f>VLOOKUP($C144,'Substrate Heating'!$A$2:$C$33,3,FALSE)</f>
        <v>280.09700000000004</v>
      </c>
      <c r="AO144" s="1">
        <f>VLOOKUP($C144,'Substrate Heating'!$A$2:$B$33,2,FALSE)</f>
        <v>10</v>
      </c>
      <c r="AP144" s="1">
        <f>VLOOKUP($C144,'Substrate Heating'!$A$2:$M$33,13,FALSE)</f>
        <v>2</v>
      </c>
      <c r="AQ144" s="1">
        <f>VLOOKUP($C144,'Substrate Heating'!$A$2:$M$33,8,FALSE)</f>
        <v>1</v>
      </c>
      <c r="AR144" s="1">
        <f t="shared" si="2"/>
        <v>0.1351578947368422</v>
      </c>
    </row>
    <row r="145" spans="1:44" x14ac:dyDescent="0.2">
      <c r="A145" s="8" t="s">
        <v>34</v>
      </c>
      <c r="B145" s="9" t="s">
        <v>35</v>
      </c>
      <c r="C145" s="1" t="s">
        <v>339</v>
      </c>
      <c r="D145" s="23" t="s">
        <v>338</v>
      </c>
      <c r="E145" s="1" t="s">
        <v>209</v>
      </c>
      <c r="F145" s="1" t="s">
        <v>210</v>
      </c>
      <c r="G145" s="1">
        <v>-10</v>
      </c>
      <c r="H145" s="1">
        <v>-20</v>
      </c>
      <c r="I145" s="1" t="s">
        <v>40</v>
      </c>
      <c r="J145" s="1">
        <v>3.15</v>
      </c>
      <c r="K145" s="1">
        <v>-10</v>
      </c>
      <c r="L145" s="1">
        <v>-3.1769230769230798</v>
      </c>
      <c r="M145" s="1" t="s">
        <v>40</v>
      </c>
      <c r="N145" s="1">
        <v>8.3794871794871799</v>
      </c>
      <c r="O145" s="1">
        <v>0.40512820512820502</v>
      </c>
      <c r="Q145" s="1">
        <v>4.0512820512820499E-2</v>
      </c>
      <c r="R145" s="1">
        <v>7.5769965636381997E-2</v>
      </c>
      <c r="S145" s="1" t="str">
        <f>VLOOKUP($E145,'Product Naming'!$A$1:$P$58,2,FALSE)</f>
        <v>GammaButyrolactone</v>
      </c>
      <c r="T145" s="1" t="str">
        <f>VLOOKUP($E145,'Product Naming'!$A$1:$P$58,3,FALSE)</f>
        <v>Gamma butyrolactone</v>
      </c>
      <c r="U145" s="1" t="str">
        <f>VLOOKUP($E145,'Product Naming'!$A$1:$P$58,4,FALSE)</f>
        <v>A</v>
      </c>
      <c r="V145" s="1" t="str">
        <f>VLOOKUP($E145,'Product Naming'!$A$1:$P$58,5,FALSE)</f>
        <v>C4H6O2</v>
      </c>
      <c r="W145" s="1">
        <f>VLOOKUP($E145,'Product Naming'!$A$1:$P$58,6,FALSE)</f>
        <v>4</v>
      </c>
      <c r="X145" s="1">
        <f>VLOOKUP($E145,'Product Naming'!$A$1:$P$58,7,FALSE)</f>
        <v>6</v>
      </c>
      <c r="Y145" s="1">
        <f>VLOOKUP($E145,'Product Naming'!$A$1:$P$58,8,FALSE)</f>
        <v>2</v>
      </c>
      <c r="Z145" s="1">
        <f>VLOOKUP($E145,'Product Naming'!$A$1:$P$58,9,FALSE)</f>
        <v>0</v>
      </c>
      <c r="AA145" s="1">
        <f>VLOOKUP($E145,'Product Naming'!$A$1:$P$58,10,FALSE)</f>
        <v>0</v>
      </c>
      <c r="AB145" s="29">
        <f>VLOOKUP($E145,'Product Naming'!$A$1:$P$58,11,FALSE)</f>
        <v>4.5</v>
      </c>
      <c r="AC145" s="3">
        <f>VLOOKUP($E145,'Product Naming'!$A$1:$P$58,12,FALSE)</f>
        <v>86.08784</v>
      </c>
      <c r="AD145" s="1">
        <f>VLOOKUP($E145,'Product Naming'!$A$1:$P$58,13,FALSE)</f>
        <v>204</v>
      </c>
      <c r="AE145" s="1" t="str">
        <f>VLOOKUP($E145,'Product Naming'!$A$1:$P$58,14,FALSE)</f>
        <v>Lactone (cyclic ester)</v>
      </c>
      <c r="AF145" s="1" t="str">
        <f>VLOOKUP($E145,'Product Naming'!$A$1:$P$58,15,FALSE)</f>
        <v>aKG</v>
      </c>
      <c r="AG145" s="30" t="str">
        <f>VLOOKUP($E145,'Product Naming'!$A$1:$P$58,16,FALSE)</f>
        <v>Proton symporter</v>
      </c>
      <c r="AH145" s="3" t="str">
        <f>VLOOKUP($E145,'Product Naming'!$A$1:$Q$58,17,FALSE)</f>
        <v>gblt_c</v>
      </c>
      <c r="AI145" s="1">
        <f>VLOOKUP($E145,'Product Parameters'!$A$2:$D$59,2,FALSE)</f>
        <v>1</v>
      </c>
      <c r="AJ145" s="1">
        <f>VLOOKUP($E145,'Product Parameters'!$A$2:$D$59,3,FALSE)</f>
        <v>0</v>
      </c>
      <c r="AK145" s="1">
        <f>VLOOKUP($E145,'Product Parameters'!$A$2:$D$59,4,FALSE)</f>
        <v>0.12</v>
      </c>
      <c r="AL145" s="1">
        <f>VLOOKUP($E145,'Product Parameters'!$A$2:$E$59,5,FALSE)</f>
        <v>0</v>
      </c>
      <c r="AM145" s="1">
        <f>VLOOKUP($E145,'Product Parameters'!$A$2:$F$59,6,FALSE)</f>
        <v>4</v>
      </c>
      <c r="AN145" s="1">
        <f>VLOOKUP($C145,'Substrate Heating'!$A$2:$C$33,3,FALSE)</f>
        <v>247.59097</v>
      </c>
      <c r="AO145" s="1">
        <f>VLOOKUP($C145,'Substrate Heating'!$A$2:$B$33,2,FALSE)</f>
        <v>5.5</v>
      </c>
      <c r="AP145" s="1">
        <f>VLOOKUP($C145,'Substrate Heating'!$A$2:$M$33,13,FALSE)</f>
        <v>1</v>
      </c>
      <c r="AQ145" s="1">
        <f>VLOOKUP($C145,'Substrate Heating'!$A$2:$M$33,8,FALSE)</f>
        <v>1</v>
      </c>
      <c r="AR145" s="1">
        <f t="shared" si="2"/>
        <v>0.162051282051282</v>
      </c>
    </row>
    <row r="146" spans="1:44" x14ac:dyDescent="0.2">
      <c r="A146" s="17" t="s">
        <v>323</v>
      </c>
      <c r="B146" s="18" t="s">
        <v>324</v>
      </c>
      <c r="C146" t="s">
        <v>335</v>
      </c>
      <c r="D146" s="19" t="s">
        <v>326</v>
      </c>
      <c r="E146" t="s">
        <v>313</v>
      </c>
      <c r="F146" t="s">
        <v>314</v>
      </c>
      <c r="G146">
        <v>-10</v>
      </c>
      <c r="H146">
        <v>0</v>
      </c>
      <c r="I146">
        <v>-10</v>
      </c>
      <c r="J146">
        <v>0.45</v>
      </c>
      <c r="K146">
        <v>-10</v>
      </c>
      <c r="L146">
        <v>0</v>
      </c>
      <c r="M146">
        <v>-10</v>
      </c>
      <c r="N146">
        <v>0.7</v>
      </c>
      <c r="O146">
        <v>0.35</v>
      </c>
      <c r="P146"/>
      <c r="Q146">
        <v>3.5000000000000003E-2</v>
      </c>
      <c r="R146">
        <v>7.58630914721454E-2</v>
      </c>
      <c r="S146" s="1" t="str">
        <f>VLOOKUP($E146,'Product Naming'!$A$1:$P$58,2,FALSE)</f>
        <v>Styrene</v>
      </c>
      <c r="T146" s="1" t="str">
        <f>VLOOKUP($E146,'Product Naming'!$A$1:$P$58,3,FALSE)</f>
        <v>Styrene</v>
      </c>
      <c r="U146" s="1" t="str">
        <f>VLOOKUP($E146,'Product Naming'!$A$1:$P$58,4,FALSE)</f>
        <v>E-S</v>
      </c>
      <c r="V146" s="1" t="str">
        <f>VLOOKUP($E146,'Product Naming'!$A$1:$P$58,5,FALSE)</f>
        <v>C8H8</v>
      </c>
      <c r="W146" s="1">
        <f>VLOOKUP($E146,'Product Naming'!$A$1:$P$58,6,FALSE)</f>
        <v>8</v>
      </c>
      <c r="X146" s="1">
        <f>VLOOKUP($E146,'Product Naming'!$A$1:$P$58,7,FALSE)</f>
        <v>8</v>
      </c>
      <c r="Y146" s="1">
        <f>VLOOKUP($E146,'Product Naming'!$A$1:$P$58,8,FALSE)</f>
        <v>0</v>
      </c>
      <c r="Z146" s="1">
        <f>VLOOKUP($E146,'Product Naming'!$A$1:$P$58,9,FALSE)</f>
        <v>0</v>
      </c>
      <c r="AA146" s="1">
        <f>VLOOKUP($E146,'Product Naming'!$A$1:$P$58,10,FALSE)</f>
        <v>0</v>
      </c>
      <c r="AB146" s="29">
        <f>VLOOKUP($E146,'Product Naming'!$A$1:$P$58,11,FALSE)</f>
        <v>5</v>
      </c>
      <c r="AC146" s="3">
        <f>VLOOKUP($E146,'Product Naming'!$A$1:$P$58,12,FALSE)</f>
        <v>104.14832</v>
      </c>
      <c r="AD146" s="1">
        <f>VLOOKUP($E146,'Product Naming'!$A$1:$P$58,13,FALSE)</f>
        <v>145</v>
      </c>
      <c r="AE146" s="1" t="str">
        <f>VLOOKUP($E146,'Product Naming'!$A$1:$P$58,14,FALSE)</f>
        <v>Cycloalkane</v>
      </c>
      <c r="AF146" s="1" t="str">
        <f>VLOOKUP($E146,'Product Naming'!$A$1:$P$58,15,FALSE)</f>
        <v>E4P</v>
      </c>
      <c r="AG146" s="30" t="str">
        <f>VLOOKUP($E146,'Product Naming'!$A$1:$P$58,16,FALSE)</f>
        <v>Proton symporter</v>
      </c>
      <c r="AH146" s="3" t="str">
        <f>VLOOKUP($E146,'Product Naming'!$A$1:$Q$58,17,FALSE)</f>
        <v>styr_c</v>
      </c>
      <c r="AI146" s="1">
        <f>VLOOKUP($E146,'Product Parameters'!$A$2:$D$59,2,FALSE)</f>
        <v>1</v>
      </c>
      <c r="AJ146" s="1">
        <f>VLOOKUP($E146,'Product Parameters'!$A$2:$D$59,3,FALSE)</f>
        <v>0</v>
      </c>
      <c r="AK146" s="1">
        <f>VLOOKUP($E146,'Product Parameters'!$A$2:$D$59,4,FALSE)</f>
        <v>0.12</v>
      </c>
      <c r="AL146" s="1">
        <f>VLOOKUP($E146,'Product Parameters'!$A$2:$E$59,5,FALSE)</f>
        <v>43.9</v>
      </c>
      <c r="AM146" s="1">
        <f>VLOOKUP($E146,'Product Parameters'!$A$2:$F$59,6,FALSE)</f>
        <v>8</v>
      </c>
      <c r="AN146" s="1">
        <f>VLOOKUP($C146,'Substrate Heating'!$A$2:$C$33,3,FALSE)</f>
        <v>247.9</v>
      </c>
      <c r="AO146" s="1">
        <f>VLOOKUP($C146,'Substrate Heating'!$A$2:$B$33,2,FALSE)</f>
        <v>10.541709491918519</v>
      </c>
      <c r="AP146" s="1">
        <f>VLOOKUP($C146,'Substrate Heating'!$A$2:$M$33,13,FALSE)</f>
        <v>0.5</v>
      </c>
      <c r="AQ146" s="1">
        <f>VLOOKUP($C146,'Substrate Heating'!$A$2:$M$33,8,FALSE)</f>
        <v>0.5</v>
      </c>
      <c r="AR146" s="1">
        <f t="shared" si="2"/>
        <v>0.56000000000000005</v>
      </c>
    </row>
    <row r="147" spans="1:44" x14ac:dyDescent="0.2">
      <c r="A147" s="8" t="s">
        <v>34</v>
      </c>
      <c r="B147" s="9" t="s">
        <v>35</v>
      </c>
      <c r="C147" s="1" t="s">
        <v>339</v>
      </c>
      <c r="D147" s="23" t="s">
        <v>338</v>
      </c>
      <c r="E147" s="1" t="s">
        <v>198</v>
      </c>
      <c r="F147" s="1" t="s">
        <v>199</v>
      </c>
      <c r="G147" s="1">
        <v>-10</v>
      </c>
      <c r="H147" s="1">
        <v>-20</v>
      </c>
      <c r="I147" s="1" t="s">
        <v>40</v>
      </c>
      <c r="J147" s="1">
        <v>3.15</v>
      </c>
      <c r="K147" s="1">
        <v>-10</v>
      </c>
      <c r="L147" s="1">
        <v>-3.00840336134454</v>
      </c>
      <c r="M147" s="1" t="s">
        <v>40</v>
      </c>
      <c r="N147" s="1">
        <v>8.4067226890756306</v>
      </c>
      <c r="O147" s="1">
        <v>0.39831932773109102</v>
      </c>
      <c r="Q147" s="1">
        <v>3.9831932773109098E-2</v>
      </c>
      <c r="R147" s="1">
        <v>7.6240799088288194E-2</v>
      </c>
      <c r="S147" s="1" t="str">
        <f>VLOOKUP($E147,'Product Naming'!$A$1:$P$58,2,FALSE)</f>
        <v>EthylAcetate</v>
      </c>
      <c r="T147" s="1" t="str">
        <f>VLOOKUP($E147,'Product Naming'!$A$1:$P$58,3,FALSE)</f>
        <v>Ethyl acetate</v>
      </c>
      <c r="U147" s="1" t="str">
        <f>VLOOKUP($E147,'Product Naming'!$A$1:$P$58,4,FALSE)</f>
        <v>E</v>
      </c>
      <c r="V147" s="1" t="str">
        <f>VLOOKUP($E147,'Product Naming'!$A$1:$P$58,5,FALSE)</f>
        <v>C4H8O2</v>
      </c>
      <c r="W147" s="1">
        <f>VLOOKUP($E147,'Product Naming'!$A$1:$P$58,6,FALSE)</f>
        <v>4</v>
      </c>
      <c r="X147" s="1">
        <f>VLOOKUP($E147,'Product Naming'!$A$1:$P$58,7,FALSE)</f>
        <v>8</v>
      </c>
      <c r="Y147" s="1">
        <f>VLOOKUP($E147,'Product Naming'!$A$1:$P$58,8,FALSE)</f>
        <v>2</v>
      </c>
      <c r="Z147" s="1">
        <f>VLOOKUP($E147,'Product Naming'!$A$1:$P$58,9,FALSE)</f>
        <v>0</v>
      </c>
      <c r="AA147" s="1">
        <f>VLOOKUP($E147,'Product Naming'!$A$1:$P$58,10,FALSE)</f>
        <v>0</v>
      </c>
      <c r="AB147" s="29">
        <f>VLOOKUP($E147,'Product Naming'!$A$1:$P$58,11,FALSE)</f>
        <v>5</v>
      </c>
      <c r="AC147" s="3">
        <f>VLOOKUP($E147,'Product Naming'!$A$1:$P$58,12,FALSE)</f>
        <v>88.103520000000003</v>
      </c>
      <c r="AD147" s="1">
        <f>VLOOKUP($E147,'Product Naming'!$A$1:$P$58,13,FALSE)</f>
        <v>77.099999999999994</v>
      </c>
      <c r="AE147" s="1" t="str">
        <f>VLOOKUP($E147,'Product Naming'!$A$1:$P$58,14,FALSE)</f>
        <v>Carboxylate Ester</v>
      </c>
      <c r="AF147" s="1" t="str">
        <f>VLOOKUP($E147,'Product Naming'!$A$1:$P$58,15,FALSE)</f>
        <v>Acetyl-CoA</v>
      </c>
      <c r="AG147" s="30" t="str">
        <f>VLOOKUP($E147,'Product Naming'!$A$1:$P$58,16,FALSE)</f>
        <v>Proton symporter</v>
      </c>
      <c r="AH147" s="3" t="str">
        <f>VLOOKUP($E147,'Product Naming'!$A$1:$Q$58,17,FALSE)</f>
        <v>aces_c</v>
      </c>
      <c r="AI147" s="1">
        <f>VLOOKUP($E147,'Product Parameters'!$A$2:$D$59,2,FALSE)</f>
        <v>1</v>
      </c>
      <c r="AJ147" s="1">
        <f>VLOOKUP($E147,'Product Parameters'!$A$2:$D$59,3,FALSE)</f>
        <v>0</v>
      </c>
      <c r="AK147" s="1">
        <f>VLOOKUP($E147,'Product Parameters'!$A$2:$D$59,4,FALSE)</f>
        <v>0.12</v>
      </c>
      <c r="AL147" s="1">
        <f>VLOOKUP($E147,'Product Parameters'!$A$2:$E$59,5,FALSE)</f>
        <v>35</v>
      </c>
      <c r="AM147" s="1">
        <f>VLOOKUP($E147,'Product Parameters'!$A$2:$F$59,6,FALSE)</f>
        <v>4</v>
      </c>
      <c r="AN147" s="1">
        <f>VLOOKUP($C147,'Substrate Heating'!$A$2:$C$33,3,FALSE)</f>
        <v>247.59097</v>
      </c>
      <c r="AO147" s="1">
        <f>VLOOKUP($C147,'Substrate Heating'!$A$2:$B$33,2,FALSE)</f>
        <v>5.5</v>
      </c>
      <c r="AP147" s="1">
        <f>VLOOKUP($C147,'Substrate Heating'!$A$2:$M$33,13,FALSE)</f>
        <v>1</v>
      </c>
      <c r="AQ147" s="1">
        <f>VLOOKUP($C147,'Substrate Heating'!$A$2:$M$33,8,FALSE)</f>
        <v>1</v>
      </c>
      <c r="AR147" s="1">
        <f t="shared" si="2"/>
        <v>0.15932773109243639</v>
      </c>
    </row>
    <row r="148" spans="1:44" x14ac:dyDescent="0.2">
      <c r="A148" s="17" t="s">
        <v>323</v>
      </c>
      <c r="B148" s="18" t="s">
        <v>324</v>
      </c>
      <c r="C148" t="s">
        <v>325</v>
      </c>
      <c r="D148" s="19" t="s">
        <v>326</v>
      </c>
      <c r="E148" t="s">
        <v>313</v>
      </c>
      <c r="F148" t="s">
        <v>314</v>
      </c>
      <c r="G148">
        <v>-10</v>
      </c>
      <c r="H148">
        <v>0</v>
      </c>
      <c r="I148">
        <v>0</v>
      </c>
      <c r="J148">
        <v>0.45</v>
      </c>
      <c r="K148">
        <v>-10</v>
      </c>
      <c r="L148">
        <v>0</v>
      </c>
      <c r="M148">
        <v>0</v>
      </c>
      <c r="N148">
        <v>5.4115384615384601</v>
      </c>
      <c r="O148">
        <v>0.20576923076923101</v>
      </c>
      <c r="P148"/>
      <c r="Q148">
        <v>2.05769230769231E-2</v>
      </c>
      <c r="R148">
        <v>7.6510245242083899E-2</v>
      </c>
      <c r="S148" s="1" t="str">
        <f>VLOOKUP($E148,'Product Naming'!$A$1:$P$58,2,FALSE)</f>
        <v>Styrene</v>
      </c>
      <c r="T148" s="1" t="str">
        <f>VLOOKUP($E148,'Product Naming'!$A$1:$P$58,3,FALSE)</f>
        <v>Styrene</v>
      </c>
      <c r="U148" s="1" t="str">
        <f>VLOOKUP($E148,'Product Naming'!$A$1:$P$58,4,FALSE)</f>
        <v>E-S</v>
      </c>
      <c r="V148" s="1" t="str">
        <f>VLOOKUP($E148,'Product Naming'!$A$1:$P$58,5,FALSE)</f>
        <v>C8H8</v>
      </c>
      <c r="W148" s="1">
        <f>VLOOKUP($E148,'Product Naming'!$A$1:$P$58,6,FALSE)</f>
        <v>8</v>
      </c>
      <c r="X148" s="1">
        <f>VLOOKUP($E148,'Product Naming'!$A$1:$P$58,7,FALSE)</f>
        <v>8</v>
      </c>
      <c r="Y148" s="1">
        <f>VLOOKUP($E148,'Product Naming'!$A$1:$P$58,8,FALSE)</f>
        <v>0</v>
      </c>
      <c r="Z148" s="1">
        <f>VLOOKUP($E148,'Product Naming'!$A$1:$P$58,9,FALSE)</f>
        <v>0</v>
      </c>
      <c r="AA148" s="1">
        <f>VLOOKUP($E148,'Product Naming'!$A$1:$P$58,10,FALSE)</f>
        <v>0</v>
      </c>
      <c r="AB148" s="29">
        <f>VLOOKUP($E148,'Product Naming'!$A$1:$P$58,11,FALSE)</f>
        <v>5</v>
      </c>
      <c r="AC148" s="3">
        <f>VLOOKUP($E148,'Product Naming'!$A$1:$P$58,12,FALSE)</f>
        <v>104.14832</v>
      </c>
      <c r="AD148" s="1">
        <f>VLOOKUP($E148,'Product Naming'!$A$1:$P$58,13,FALSE)</f>
        <v>145</v>
      </c>
      <c r="AE148" s="1" t="str">
        <f>VLOOKUP($E148,'Product Naming'!$A$1:$P$58,14,FALSE)</f>
        <v>Cycloalkane</v>
      </c>
      <c r="AF148" s="1" t="str">
        <f>VLOOKUP($E148,'Product Naming'!$A$1:$P$58,15,FALSE)</f>
        <v>E4P</v>
      </c>
      <c r="AG148" s="30" t="str">
        <f>VLOOKUP($E148,'Product Naming'!$A$1:$P$58,16,FALSE)</f>
        <v>Proton symporter</v>
      </c>
      <c r="AH148" s="3" t="str">
        <f>VLOOKUP($E148,'Product Naming'!$A$1:$Q$58,17,FALSE)</f>
        <v>styr_c</v>
      </c>
      <c r="AI148" s="1">
        <f>VLOOKUP($E148,'Product Parameters'!$A$2:$D$59,2,FALSE)</f>
        <v>1</v>
      </c>
      <c r="AJ148" s="1">
        <f>VLOOKUP($E148,'Product Parameters'!$A$2:$D$59,3,FALSE)</f>
        <v>0</v>
      </c>
      <c r="AK148" s="1">
        <f>VLOOKUP($E148,'Product Parameters'!$A$2:$D$59,4,FALSE)</f>
        <v>0.12</v>
      </c>
      <c r="AL148" s="1">
        <f>VLOOKUP($E148,'Product Parameters'!$A$2:$E$59,5,FALSE)</f>
        <v>43.9</v>
      </c>
      <c r="AM148" s="1">
        <f>VLOOKUP($E148,'Product Parameters'!$A$2:$F$59,6,FALSE)</f>
        <v>8</v>
      </c>
      <c r="AN148" s="1">
        <f>VLOOKUP($C148,'Substrate Heating'!$A$2:$C$33,3,FALSE)</f>
        <v>280.09700000000004</v>
      </c>
      <c r="AO148" s="1">
        <f>VLOOKUP($C148,'Substrate Heating'!$A$2:$B$33,2,FALSE)</f>
        <v>10</v>
      </c>
      <c r="AP148" s="1">
        <f>VLOOKUP($C148,'Substrate Heating'!$A$2:$M$33,13,FALSE)</f>
        <v>2</v>
      </c>
      <c r="AQ148" s="1">
        <f>VLOOKUP($C148,'Substrate Heating'!$A$2:$M$33,8,FALSE)</f>
        <v>1</v>
      </c>
      <c r="AR148" s="1">
        <f t="shared" si="2"/>
        <v>0.1646153846153848</v>
      </c>
    </row>
    <row r="149" spans="1:44" x14ac:dyDescent="0.2">
      <c r="A149" s="17" t="s">
        <v>323</v>
      </c>
      <c r="B149" s="18" t="s">
        <v>324</v>
      </c>
      <c r="C149" t="s">
        <v>333</v>
      </c>
      <c r="D149" s="19" t="s">
        <v>326</v>
      </c>
      <c r="E149" t="s">
        <v>124</v>
      </c>
      <c r="F149" t="s">
        <v>125</v>
      </c>
      <c r="G149">
        <v>-10</v>
      </c>
      <c r="H149">
        <v>0</v>
      </c>
      <c r="I149">
        <v>0</v>
      </c>
      <c r="J149">
        <v>0.45</v>
      </c>
      <c r="K149">
        <v>-10</v>
      </c>
      <c r="L149">
        <v>0</v>
      </c>
      <c r="M149">
        <v>0</v>
      </c>
      <c r="N149">
        <v>5</v>
      </c>
      <c r="O149">
        <v>0.497674418604652</v>
      </c>
      <c r="P149"/>
      <c r="Q149">
        <v>4.9767441860465202E-2</v>
      </c>
      <c r="R149">
        <v>7.6823541858403802E-2</v>
      </c>
      <c r="S149" s="1" t="str">
        <f>VLOOKUP($E149,'Product Naming'!$A$1:$P$58,2,FALSE)</f>
        <v>Acrylate-PW1</v>
      </c>
      <c r="T149" s="1" t="str">
        <f>VLOOKUP($E149,'Product Naming'!$A$1:$P$58,3,FALSE)</f>
        <v>Acrylate (PW1)</v>
      </c>
      <c r="U149" s="1" t="str">
        <f>VLOOKUP($E149,'Product Naming'!$A$1:$P$58,4,FALSE)</f>
        <v>A</v>
      </c>
      <c r="V149" s="1" t="str">
        <f>VLOOKUP($E149,'Product Naming'!$A$1:$P$58,5,FALSE)</f>
        <v>C3H3O2</v>
      </c>
      <c r="W149" s="1">
        <f>VLOOKUP($E149,'Product Naming'!$A$1:$P$58,6,FALSE)</f>
        <v>3</v>
      </c>
      <c r="X149" s="1">
        <f>VLOOKUP($E149,'Product Naming'!$A$1:$P$58,7,FALSE)</f>
        <v>3</v>
      </c>
      <c r="Y149" s="1">
        <f>VLOOKUP($E149,'Product Naming'!$A$1:$P$58,8,FALSE)</f>
        <v>2</v>
      </c>
      <c r="Z149" s="1">
        <f>VLOOKUP($E149,'Product Naming'!$A$1:$P$58,9,FALSE)</f>
        <v>0</v>
      </c>
      <c r="AA149" s="1">
        <f>VLOOKUP($E149,'Product Naming'!$A$1:$P$58,10,FALSE)</f>
        <v>-1</v>
      </c>
      <c r="AB149" s="29">
        <f>VLOOKUP($E149,'Product Naming'!$A$1:$P$58,11,FALSE)</f>
        <v>3.6666666666666665</v>
      </c>
      <c r="AC149" s="3">
        <f>VLOOKUP($E149,'Product Naming'!$A$1:$P$58,12,FALSE)</f>
        <v>71.053619999999995</v>
      </c>
      <c r="AD149" s="1">
        <f>VLOOKUP($E149,'Product Naming'!$A$1:$P$58,13,FALSE)</f>
        <v>80</v>
      </c>
      <c r="AE149" s="1" t="str">
        <f>VLOOKUP($E149,'Product Naming'!$A$1:$P$58,14,FALSE)</f>
        <v>Carboxylate</v>
      </c>
      <c r="AF149" s="1" t="str">
        <f>VLOOKUP($E149,'Product Naming'!$A$1:$P$58,15,FALSE)</f>
        <v>Glyceraldehyde 3-P</v>
      </c>
      <c r="AG149" s="30" t="str">
        <f>VLOOKUP($E149,'Product Naming'!$A$1:$P$58,16,FALSE)</f>
        <v>Proton symporter</v>
      </c>
      <c r="AH149" s="3" t="str">
        <f>VLOOKUP($E149,'Product Naming'!$A$1:$Q$58,17,FALSE)</f>
        <v>acryl_c</v>
      </c>
      <c r="AI149" s="1">
        <f>VLOOKUP($E149,'Product Parameters'!$A$2:$D$59,2,FALSE)</f>
        <v>1</v>
      </c>
      <c r="AJ149" s="1">
        <f>VLOOKUP($E149,'Product Parameters'!$A$2:$D$59,3,FALSE)</f>
        <v>0</v>
      </c>
      <c r="AK149" s="1">
        <f>VLOOKUP($E149,'Product Parameters'!$A$2:$D$59,4,FALSE)</f>
        <v>0.12</v>
      </c>
      <c r="AL149" s="1">
        <f>VLOOKUP($E149,'Product Parameters'!$A$2:$E$59,5,FALSE)</f>
        <v>53.1</v>
      </c>
      <c r="AM149" s="1">
        <f>VLOOKUP($E149,'Product Parameters'!$A$2:$F$59,6,FALSE)</f>
        <v>3</v>
      </c>
      <c r="AN149" s="1">
        <f>VLOOKUP($C149,'Substrate Heating'!$A$2:$C$33,3,FALSE)</f>
        <v>247.59097</v>
      </c>
      <c r="AO149" s="1">
        <f>VLOOKUP($C149,'Substrate Heating'!$A$2:$B$33,2,FALSE)</f>
        <v>5.5</v>
      </c>
      <c r="AP149" s="1">
        <f>VLOOKUP($C149,'Substrate Heating'!$A$2:$M$33,13,FALSE)</f>
        <v>1</v>
      </c>
      <c r="AQ149" s="1">
        <f>VLOOKUP($C149,'Substrate Heating'!$A$2:$M$33,8,FALSE)</f>
        <v>1</v>
      </c>
      <c r="AR149" s="1">
        <f t="shared" si="2"/>
        <v>0.14930232558139561</v>
      </c>
    </row>
    <row r="150" spans="1:44" x14ac:dyDescent="0.2">
      <c r="A150" s="8" t="s">
        <v>34</v>
      </c>
      <c r="B150" s="9" t="s">
        <v>35</v>
      </c>
      <c r="C150" s="1" t="s">
        <v>339</v>
      </c>
      <c r="D150" s="23" t="s">
        <v>338</v>
      </c>
      <c r="E150" s="1" t="s">
        <v>171</v>
      </c>
      <c r="F150" s="1" t="s">
        <v>172</v>
      </c>
      <c r="G150" s="1">
        <v>-10</v>
      </c>
      <c r="H150" s="1">
        <v>-20</v>
      </c>
      <c r="I150" s="1" t="s">
        <v>40</v>
      </c>
      <c r="J150" s="1">
        <v>3.15</v>
      </c>
      <c r="K150" s="1">
        <v>-10</v>
      </c>
      <c r="L150" s="1">
        <v>-2.9568965517241401</v>
      </c>
      <c r="M150" s="1" t="s">
        <v>40</v>
      </c>
      <c r="N150" s="1">
        <v>8.36551724137931</v>
      </c>
      <c r="O150" s="1">
        <v>0.40862068965517301</v>
      </c>
      <c r="Q150" s="1">
        <v>4.0862068965517299E-2</v>
      </c>
      <c r="R150" s="1">
        <v>7.7317849443806194E-2</v>
      </c>
      <c r="S150" s="1" t="str">
        <f>VLOOKUP($E150,'Product Naming'!$A$1:$P$58,2,FALSE)</f>
        <v>Butyrate</v>
      </c>
      <c r="T150" s="1" t="str">
        <f>VLOOKUP($E150,'Product Naming'!$A$1:$P$58,3,FALSE)</f>
        <v>Butyrate</v>
      </c>
      <c r="U150" s="1" t="str">
        <f>VLOOKUP($E150,'Product Naming'!$A$1:$P$58,4,FALSE)</f>
        <v>A</v>
      </c>
      <c r="V150" s="1" t="str">
        <f>VLOOKUP($E150,'Product Naming'!$A$1:$P$58,5,FALSE)</f>
        <v>C4H7O2</v>
      </c>
      <c r="W150" s="1">
        <f>VLOOKUP($E150,'Product Naming'!$A$1:$P$58,6,FALSE)</f>
        <v>4</v>
      </c>
      <c r="X150" s="1">
        <f>VLOOKUP($E150,'Product Naming'!$A$1:$P$58,7,FALSE)</f>
        <v>7</v>
      </c>
      <c r="Y150" s="1">
        <f>VLOOKUP($E150,'Product Naming'!$A$1:$P$58,8,FALSE)</f>
        <v>2</v>
      </c>
      <c r="Z150" s="1">
        <f>VLOOKUP($E150,'Product Naming'!$A$1:$P$58,9,FALSE)</f>
        <v>0</v>
      </c>
      <c r="AA150" s="1">
        <f>VLOOKUP($E150,'Product Naming'!$A$1:$P$58,10,FALSE)</f>
        <v>-1</v>
      </c>
      <c r="AB150" s="29">
        <f>VLOOKUP($E150,'Product Naming'!$A$1:$P$58,11,FALSE)</f>
        <v>4.75</v>
      </c>
      <c r="AC150" s="3">
        <f>VLOOKUP($E150,'Product Naming'!$A$1:$P$58,12,FALSE)</f>
        <v>87.095680000000002</v>
      </c>
      <c r="AD150" s="1">
        <f>VLOOKUP($E150,'Product Naming'!$A$1:$P$58,13,FALSE)</f>
        <v>163.5</v>
      </c>
      <c r="AE150" s="1" t="str">
        <f>VLOOKUP($E150,'Product Naming'!$A$1:$P$58,14,FALSE)</f>
        <v>Carboxylate</v>
      </c>
      <c r="AF150" s="1" t="str">
        <f>VLOOKUP($E150,'Product Naming'!$A$1:$P$58,15,FALSE)</f>
        <v>Acetyl-CoA</v>
      </c>
      <c r="AG150" s="30" t="str">
        <f>VLOOKUP($E150,'Product Naming'!$A$1:$P$58,16,FALSE)</f>
        <v>Proton symporter</v>
      </c>
      <c r="AH150" s="3" t="str">
        <f>VLOOKUP($E150,'Product Naming'!$A$1:$Q$58,17,FALSE)</f>
        <v>but_c</v>
      </c>
      <c r="AI150" s="1">
        <f>VLOOKUP($E150,'Product Parameters'!$A$2:$D$59,2,FALSE)</f>
        <v>1</v>
      </c>
      <c r="AJ150" s="1">
        <f>VLOOKUP($E150,'Product Parameters'!$A$2:$D$59,3,FALSE)</f>
        <v>0</v>
      </c>
      <c r="AK150" s="1">
        <f>VLOOKUP($E150,'Product Parameters'!$A$2:$D$59,4,FALSE)</f>
        <v>0.12</v>
      </c>
      <c r="AL150" s="1">
        <f>VLOOKUP($E150,'Product Parameters'!$A$2:$E$59,5,FALSE)</f>
        <v>42</v>
      </c>
      <c r="AM150" s="1">
        <f>VLOOKUP($E150,'Product Parameters'!$A$2:$F$59,6,FALSE)</f>
        <v>4</v>
      </c>
      <c r="AN150" s="1">
        <f>VLOOKUP($C150,'Substrate Heating'!$A$2:$C$33,3,FALSE)</f>
        <v>247.59097</v>
      </c>
      <c r="AO150" s="1">
        <f>VLOOKUP($C150,'Substrate Heating'!$A$2:$B$33,2,FALSE)</f>
        <v>5.5</v>
      </c>
      <c r="AP150" s="1">
        <f>VLOOKUP($C150,'Substrate Heating'!$A$2:$M$33,13,FALSE)</f>
        <v>1</v>
      </c>
      <c r="AQ150" s="1">
        <f>VLOOKUP($C150,'Substrate Heating'!$A$2:$M$33,8,FALSE)</f>
        <v>1</v>
      </c>
      <c r="AR150" s="1">
        <f t="shared" si="2"/>
        <v>0.1634482758620692</v>
      </c>
    </row>
    <row r="151" spans="1:44" x14ac:dyDescent="0.2">
      <c r="A151" s="8" t="s">
        <v>792</v>
      </c>
      <c r="B151" s="18" t="s">
        <v>324</v>
      </c>
      <c r="C151" t="s">
        <v>365</v>
      </c>
      <c r="D151" s="23" t="s">
        <v>338</v>
      </c>
      <c r="E151" t="s">
        <v>247</v>
      </c>
      <c r="F151" t="s">
        <v>248</v>
      </c>
      <c r="G151">
        <v>-10</v>
      </c>
      <c r="H151">
        <v>0</v>
      </c>
      <c r="I151">
        <v>0</v>
      </c>
      <c r="J151">
        <v>0.45</v>
      </c>
      <c r="K151">
        <v>-10</v>
      </c>
      <c r="L151">
        <v>0</v>
      </c>
      <c r="M151" s="28" t="s">
        <v>604</v>
      </c>
      <c r="N151">
        <v>0</v>
      </c>
      <c r="O151" s="28" t="s">
        <v>605</v>
      </c>
      <c r="P151"/>
      <c r="Q151">
        <v>3.6444444444444203E-2</v>
      </c>
      <c r="R151">
        <v>7.7655461386562596E-2</v>
      </c>
      <c r="S151" s="1" t="str">
        <f>VLOOKUP($E151,'Product Naming'!$A$1:$P$58,2,FALSE)</f>
        <v>Isoprene</v>
      </c>
      <c r="T151" s="1" t="str">
        <f>VLOOKUP($E151,'Product Naming'!$A$1:$P$58,3,FALSE)</f>
        <v>Isoprene</v>
      </c>
      <c r="U151" s="1" t="str">
        <f>VLOOKUP($E151,'Product Naming'!$A$1:$P$58,4,FALSE)</f>
        <v>E</v>
      </c>
      <c r="V151" s="1" t="str">
        <f>VLOOKUP($E151,'Product Naming'!$A$1:$P$58,5,FALSE)</f>
        <v>C5H8</v>
      </c>
      <c r="W151" s="1">
        <f>VLOOKUP($E151,'Product Naming'!$A$1:$P$58,6,FALSE)</f>
        <v>5</v>
      </c>
      <c r="X151" s="1">
        <f>VLOOKUP($E151,'Product Naming'!$A$1:$P$58,7,FALSE)</f>
        <v>8</v>
      </c>
      <c r="Y151" s="1">
        <f>VLOOKUP($E151,'Product Naming'!$A$1:$P$58,8,FALSE)</f>
        <v>0</v>
      </c>
      <c r="Z151" s="1">
        <f>VLOOKUP($E151,'Product Naming'!$A$1:$P$58,9,FALSE)</f>
        <v>0</v>
      </c>
      <c r="AA151" s="1">
        <f>VLOOKUP($E151,'Product Naming'!$A$1:$P$58,10,FALSE)</f>
        <v>0</v>
      </c>
      <c r="AB151" s="29">
        <f>VLOOKUP($E151,'Product Naming'!$A$1:$P$58,11,FALSE)</f>
        <v>5.6</v>
      </c>
      <c r="AC151" s="3">
        <f>VLOOKUP($E151,'Product Naming'!$A$1:$P$58,12,FALSE)</f>
        <v>68.116219999999998</v>
      </c>
      <c r="AD151" s="1">
        <f>VLOOKUP($E151,'Product Naming'!$A$1:$P$58,13,FALSE)</f>
        <v>34.07</v>
      </c>
      <c r="AE151" s="1" t="str">
        <f>VLOOKUP($E151,'Product Naming'!$A$1:$P$58,14,FALSE)</f>
        <v>Hydrocarbon</v>
      </c>
      <c r="AF151" s="1" t="str">
        <f>VLOOKUP($E151,'Product Naming'!$A$1:$P$58,15,FALSE)</f>
        <v>Acetyl-CoA</v>
      </c>
      <c r="AG151" s="30" t="str">
        <f>VLOOKUP($E151,'Product Naming'!$A$1:$P$58,16,FALSE)</f>
        <v>Diffusion</v>
      </c>
      <c r="AH151" s="3" t="str">
        <f>VLOOKUP($E151,'Product Naming'!$A$1:$Q$58,17,FALSE)</f>
        <v>iprene_c</v>
      </c>
      <c r="AI151" s="1">
        <f>VLOOKUP($E151,'Product Parameters'!$A$2:$D$59,2,FALSE)</f>
        <v>0</v>
      </c>
      <c r="AJ151" s="1">
        <f>VLOOKUP($E151,'Product Parameters'!$A$2:$D$59,3,FALSE)</f>
        <v>1</v>
      </c>
      <c r="AK151" s="1">
        <f>VLOOKUP($E151,'Product Parameters'!$A$2:$D$59,4,FALSE)</f>
        <v>0.12</v>
      </c>
      <c r="AL151" s="1">
        <f>VLOOKUP($E151,'Product Parameters'!$A$2:$E$59,5,FALSE)</f>
        <v>26.4</v>
      </c>
      <c r="AM151" s="1">
        <f>VLOOKUP($E151,'Product Parameters'!$A$2:$F$59,6,FALSE)</f>
        <v>5</v>
      </c>
      <c r="AN151" s="1">
        <f>VLOOKUP($C151,'Substrate Heating'!$A$2:$C$33,3,FALSE)</f>
        <v>638.57832580000002</v>
      </c>
      <c r="AO151" s="1">
        <f>VLOOKUP($C151,'Substrate Heating'!$A$2:$B$33,2,FALSE)</f>
        <v>19.93</v>
      </c>
      <c r="AP151" s="1">
        <f>VLOOKUP($C151,'Substrate Heating'!$A$2:$M$33,13,FALSE)</f>
        <v>6</v>
      </c>
      <c r="AQ151" s="1">
        <f>VLOOKUP($C151,'Substrate Heating'!$A$2:$M$33,8,FALSE)</f>
        <v>1</v>
      </c>
      <c r="AR151" s="1">
        <f t="shared" si="2"/>
        <v>0.18222222222222101</v>
      </c>
    </row>
    <row r="152" spans="1:44" x14ac:dyDescent="0.2">
      <c r="A152" s="17" t="s">
        <v>185</v>
      </c>
      <c r="B152" s="9" t="s">
        <v>35</v>
      </c>
      <c r="C152" t="s">
        <v>339</v>
      </c>
      <c r="D152" s="23" t="s">
        <v>338</v>
      </c>
      <c r="E152" t="s">
        <v>264</v>
      </c>
      <c r="F152" t="s">
        <v>265</v>
      </c>
      <c r="G152">
        <v>-10</v>
      </c>
      <c r="H152">
        <v>-20</v>
      </c>
      <c r="I152" s="1" t="s">
        <v>40</v>
      </c>
      <c r="J152">
        <v>3.15</v>
      </c>
      <c r="K152">
        <v>-10</v>
      </c>
      <c r="L152">
        <v>-3.2896907216494902</v>
      </c>
      <c r="M152" s="1" t="s">
        <v>40</v>
      </c>
      <c r="N152">
        <v>8.5340206185566991</v>
      </c>
      <c r="O152">
        <v>0.24432989690721699</v>
      </c>
      <c r="P152"/>
      <c r="Q152">
        <v>2.4432989690721701E-2</v>
      </c>
      <c r="R152">
        <v>7.8131679140038907E-2</v>
      </c>
      <c r="S152" s="1" t="str">
        <f>VLOOKUP($E152,'Product Naming'!$A$1:$P$58,2,FALSE)</f>
        <v>Lysine_L</v>
      </c>
      <c r="T152" s="1" t="str">
        <f>VLOOKUP($E152,'Product Naming'!$A$1:$P$58,3,FALSE)</f>
        <v>L-Lysine</v>
      </c>
      <c r="U152" s="1" t="str">
        <f>VLOOKUP($E152,'Product Naming'!$A$1:$P$58,4,FALSE)</f>
        <v>iJO1366</v>
      </c>
      <c r="V152" s="1" t="str">
        <f>VLOOKUP($E152,'Product Naming'!$A$1:$P$58,5,FALSE)</f>
        <v>C6H15N2O2</v>
      </c>
      <c r="W152" s="1">
        <f>VLOOKUP($E152,'Product Naming'!$A$1:$P$58,6,FALSE)</f>
        <v>6</v>
      </c>
      <c r="X152" s="1">
        <f>VLOOKUP($E152,'Product Naming'!$A$1:$P$58,7,FALSE)</f>
        <v>15</v>
      </c>
      <c r="Y152" s="1">
        <f>VLOOKUP($E152,'Product Naming'!$A$1:$P$58,8,FALSE)</f>
        <v>2</v>
      </c>
      <c r="Z152" s="1">
        <f>VLOOKUP($E152,'Product Naming'!$A$1:$P$58,9,FALSE)</f>
        <v>2</v>
      </c>
      <c r="AA152" s="1">
        <f>VLOOKUP($E152,'Product Naming'!$A$1:$P$58,10,FALSE)</f>
        <v>1</v>
      </c>
      <c r="AB152" s="29">
        <f>VLOOKUP($E152,'Product Naming'!$A$1:$P$58,11,FALSE)</f>
        <v>4.833333333333333</v>
      </c>
      <c r="AC152" s="3">
        <f>VLOOKUP($E152,'Product Naming'!$A$1:$P$58,12,FALSE)</f>
        <v>147.19319999999999</v>
      </c>
      <c r="AD152" s="1" t="str">
        <f>VLOOKUP($E152,'Product Naming'!$A$1:$P$58,13,FALSE)</f>
        <v>NA</v>
      </c>
      <c r="AE152" s="1" t="str">
        <f>VLOOKUP($E152,'Product Naming'!$A$1:$P$58,14,FALSE)</f>
        <v>Amino acid</v>
      </c>
      <c r="AF152" s="1" t="str">
        <f>VLOOKUP($E152,'Product Naming'!$A$1:$P$58,15,FALSE)</f>
        <v>Oxaloacetate</v>
      </c>
      <c r="AG152" s="30" t="str">
        <f>VLOOKUP($E152,'Product Naming'!$A$1:$P$58,16,FALSE)</f>
        <v>Proton antiport</v>
      </c>
      <c r="AH152" s="3" t="str">
        <f>VLOOKUP($E152,'Product Naming'!$A$1:$Q$58,17,FALSE)</f>
        <v>lys__L_</v>
      </c>
      <c r="AI152" s="1">
        <f>VLOOKUP($E152,'Product Parameters'!$A$2:$D$59,2,FALSE)</f>
        <v>1</v>
      </c>
      <c r="AJ152" s="1">
        <f>VLOOKUP($E152,'Product Parameters'!$A$2:$D$59,3,FALSE)</f>
        <v>0</v>
      </c>
      <c r="AK152" s="1">
        <f>VLOOKUP($E152,'Product Parameters'!$A$2:$D$59,4,FALSE)</f>
        <v>0.12</v>
      </c>
      <c r="AL152" s="1">
        <f>VLOOKUP($E152,'Product Parameters'!$A$2:$E$59,5,FALSE)</f>
        <v>40.65</v>
      </c>
      <c r="AM152" s="1">
        <f>VLOOKUP($E152,'Product Parameters'!$A$2:$F$59,6,FALSE)</f>
        <v>6</v>
      </c>
      <c r="AN152" s="1">
        <f>VLOOKUP($C152,'Substrate Heating'!$A$2:$C$33,3,FALSE)</f>
        <v>247.59097</v>
      </c>
      <c r="AO152" s="1">
        <f>VLOOKUP($C152,'Substrate Heating'!$A$2:$B$33,2,FALSE)</f>
        <v>5.5</v>
      </c>
      <c r="AP152" s="1">
        <f>VLOOKUP($C152,'Substrate Heating'!$A$2:$M$33,13,FALSE)</f>
        <v>1</v>
      </c>
      <c r="AQ152" s="1">
        <f>VLOOKUP($C152,'Substrate Heating'!$A$2:$M$33,8,FALSE)</f>
        <v>1</v>
      </c>
      <c r="AR152" s="1">
        <f t="shared" si="2"/>
        <v>0.1465979381443302</v>
      </c>
    </row>
    <row r="153" spans="1:44" x14ac:dyDescent="0.2">
      <c r="A153" s="17" t="s">
        <v>185</v>
      </c>
      <c r="B153" s="9" t="s">
        <v>35</v>
      </c>
      <c r="C153" t="s">
        <v>340</v>
      </c>
      <c r="D153" s="23" t="s">
        <v>338</v>
      </c>
      <c r="E153" t="s">
        <v>186</v>
      </c>
      <c r="F153" t="s">
        <v>187</v>
      </c>
      <c r="G153">
        <v>-10</v>
      </c>
      <c r="H153">
        <v>-20</v>
      </c>
      <c r="I153" s="1" t="s">
        <v>40</v>
      </c>
      <c r="J153">
        <v>3.15</v>
      </c>
      <c r="K153">
        <v>-10</v>
      </c>
      <c r="L153">
        <v>-4.1399193548387103</v>
      </c>
      <c r="M153" s="1" t="s">
        <v>40</v>
      </c>
      <c r="N153">
        <v>8.8532258064516096</v>
      </c>
      <c r="O153">
        <v>0.19112903225806399</v>
      </c>
      <c r="P153"/>
      <c r="Q153">
        <v>1.9112903225806398E-2</v>
      </c>
      <c r="R153">
        <v>7.8518631349140097E-2</v>
      </c>
      <c r="S153" s="1" t="str">
        <f>VLOOKUP($E153,'Product Naming'!$A$1:$P$58,2,FALSE)</f>
        <v>Citrate</v>
      </c>
      <c r="T153" s="1" t="str">
        <f>VLOOKUP($E153,'Product Naming'!$A$1:$P$58,3,FALSE)</f>
        <v>Citrate</v>
      </c>
      <c r="U153" s="1" t="str">
        <f>VLOOKUP($E153,'Product Naming'!$A$1:$P$58,4,FALSE)</f>
        <v>iJO1366</v>
      </c>
      <c r="V153" s="1" t="str">
        <f>VLOOKUP($E153,'Product Naming'!$A$1:$P$58,5,FALSE)</f>
        <v>C6H5O7</v>
      </c>
      <c r="W153" s="1">
        <f>VLOOKUP($E153,'Product Naming'!$A$1:$P$58,6,FALSE)</f>
        <v>6</v>
      </c>
      <c r="X153" s="1">
        <f>VLOOKUP($E153,'Product Naming'!$A$1:$P$58,7,FALSE)</f>
        <v>5</v>
      </c>
      <c r="Y153" s="1">
        <f>VLOOKUP($E153,'Product Naming'!$A$1:$P$58,8,FALSE)</f>
        <v>7</v>
      </c>
      <c r="Z153" s="1">
        <f>VLOOKUP($E153,'Product Naming'!$A$1:$P$58,9,FALSE)</f>
        <v>0</v>
      </c>
      <c r="AA153" s="1">
        <f>VLOOKUP($E153,'Product Naming'!$A$1:$P$58,10,FALSE)</f>
        <v>-3</v>
      </c>
      <c r="AB153" s="29">
        <f>VLOOKUP($E153,'Product Naming'!$A$1:$P$58,11,FALSE)</f>
        <v>2.5</v>
      </c>
      <c r="AC153" s="3">
        <f>VLOOKUP($E153,'Product Naming'!$A$1:$P$58,12,FALSE)</f>
        <v>189.09640000000002</v>
      </c>
      <c r="AD153" s="1" t="str">
        <f>VLOOKUP($E153,'Product Naming'!$A$1:$P$58,13,FALSE)</f>
        <v>NA</v>
      </c>
      <c r="AE153" s="1" t="str">
        <f>VLOOKUP($E153,'Product Naming'!$A$1:$P$58,14,FALSE)</f>
        <v>Tricarboxylate + Alcohol</v>
      </c>
      <c r="AF153" s="1" t="str">
        <f>VLOOKUP($E153,'Product Naming'!$A$1:$P$58,15,FALSE)</f>
        <v>Acetyl-CoA</v>
      </c>
      <c r="AG153" s="30" t="str">
        <f>VLOOKUP($E153,'Product Naming'!$A$1:$P$58,16,FALSE)</f>
        <v>Proton antiport</v>
      </c>
      <c r="AH153" s="3" t="str">
        <f>VLOOKUP($E153,'Product Naming'!$A$1:$Q$58,17,FALSE)</f>
        <v>cit_c</v>
      </c>
      <c r="AI153" s="1">
        <f>VLOOKUP($E153,'Product Parameters'!$A$2:$D$59,2,FALSE)</f>
        <v>1</v>
      </c>
      <c r="AJ153" s="1">
        <f>VLOOKUP($E153,'Product Parameters'!$A$2:$D$59,3,FALSE)</f>
        <v>0</v>
      </c>
      <c r="AK153" s="1">
        <f>VLOOKUP($E153,'Product Parameters'!$A$2:$D$59,4,FALSE)</f>
        <v>0.12</v>
      </c>
      <c r="AL153" s="1">
        <f>VLOOKUP($E153,'Product Parameters'!$A$2:$E$59,5,FALSE)</f>
        <v>40.65</v>
      </c>
      <c r="AM153" s="1">
        <f>VLOOKUP($E153,'Product Parameters'!$A$2:$F$59,6,FALSE)</f>
        <v>6</v>
      </c>
      <c r="AN153" s="1">
        <f>VLOOKUP($C153,'Substrate Heating'!$A$2:$C$33,3,FALSE)</f>
        <v>247.59097</v>
      </c>
      <c r="AO153" s="1">
        <f>VLOOKUP($C153,'Substrate Heating'!$A$2:$B$33,2,FALSE)</f>
        <v>5.5</v>
      </c>
      <c r="AP153" s="1">
        <f>VLOOKUP($C153,'Substrate Heating'!$A$2:$M$33,13,FALSE)</f>
        <v>1</v>
      </c>
      <c r="AQ153" s="1">
        <f>VLOOKUP($C153,'Substrate Heating'!$A$2:$M$33,8,FALSE)</f>
        <v>1</v>
      </c>
      <c r="AR153" s="1">
        <f t="shared" si="2"/>
        <v>0.11467741935483838</v>
      </c>
    </row>
    <row r="154" spans="1:44" x14ac:dyDescent="0.2">
      <c r="A154" s="8" t="s">
        <v>792</v>
      </c>
      <c r="B154" s="18" t="s">
        <v>324</v>
      </c>
      <c r="C154" t="s">
        <v>365</v>
      </c>
      <c r="D154" s="23" t="s">
        <v>338</v>
      </c>
      <c r="E154" t="s">
        <v>204</v>
      </c>
      <c r="F154" t="s">
        <v>205</v>
      </c>
      <c r="G154">
        <v>-10</v>
      </c>
      <c r="H154">
        <v>0</v>
      </c>
      <c r="I154">
        <v>0</v>
      </c>
      <c r="J154">
        <v>0.45</v>
      </c>
      <c r="K154">
        <v>-10</v>
      </c>
      <c r="L154">
        <v>0</v>
      </c>
      <c r="M154" s="28" t="s">
        <v>544</v>
      </c>
      <c r="N154">
        <v>0</v>
      </c>
      <c r="O154" s="28" t="s">
        <v>545</v>
      </c>
      <c r="P154"/>
      <c r="Q154" s="28" t="s">
        <v>546</v>
      </c>
      <c r="R154">
        <v>7.8825937014207204E-2</v>
      </c>
      <c r="S154" s="1" t="str">
        <f>VLOOKUP($E154,'Product Naming'!$A$1:$P$58,2,FALSE)</f>
        <v>Farnesene</v>
      </c>
      <c r="T154" s="1" t="str">
        <f>VLOOKUP($E154,'Product Naming'!$A$1:$P$58,3,FALSE)</f>
        <v>Farnesene</v>
      </c>
      <c r="U154" s="1" t="str">
        <f>VLOOKUP($E154,'Product Naming'!$A$1:$P$58,4,FALSE)</f>
        <v>A</v>
      </c>
      <c r="V154" s="1" t="str">
        <f>VLOOKUP($E154,'Product Naming'!$A$1:$P$58,5,FALSE)</f>
        <v>C15H24</v>
      </c>
      <c r="W154" s="1">
        <f>VLOOKUP($E154,'Product Naming'!$A$1:$P$58,6,FALSE)</f>
        <v>15</v>
      </c>
      <c r="X154" s="1">
        <f>VLOOKUP($E154,'Product Naming'!$A$1:$P$58,7,FALSE)</f>
        <v>24</v>
      </c>
      <c r="Y154" s="1">
        <f>VLOOKUP($E154,'Product Naming'!$A$1:$P$58,8,FALSE)</f>
        <v>0</v>
      </c>
      <c r="Z154" s="1">
        <f>VLOOKUP($E154,'Product Naming'!$A$1:$P$58,9,FALSE)</f>
        <v>0</v>
      </c>
      <c r="AA154" s="1">
        <f>VLOOKUP($E154,'Product Naming'!$A$1:$P$58,10,FALSE)</f>
        <v>0</v>
      </c>
      <c r="AB154" s="29">
        <f>VLOOKUP($E154,'Product Naming'!$A$1:$P$58,11,FALSE)</f>
        <v>5.6</v>
      </c>
      <c r="AC154" s="3">
        <f>VLOOKUP($E154,'Product Naming'!$A$1:$P$58,12,FALSE)</f>
        <v>204.34866000000002</v>
      </c>
      <c r="AD154" s="1" t="str">
        <f>VLOOKUP($E154,'Product Naming'!$A$1:$P$58,13,FALSE)</f>
        <v>260 (A)/272 (B)</v>
      </c>
      <c r="AE154" s="1" t="str">
        <f>VLOOKUP($E154,'Product Naming'!$A$1:$P$58,14,FALSE)</f>
        <v>Hydrocarbon</v>
      </c>
      <c r="AF154" s="1" t="str">
        <f>VLOOKUP($E154,'Product Naming'!$A$1:$P$58,15,FALSE)</f>
        <v>Acetyl-CoA</v>
      </c>
      <c r="AG154" s="30" t="str">
        <f>VLOOKUP($E154,'Product Naming'!$A$1:$P$58,16,FALSE)</f>
        <v>Proton symporter</v>
      </c>
      <c r="AH154" s="3" t="str">
        <f>VLOOKUP($E154,'Product Naming'!$A$1:$Q$58,17,FALSE)</f>
        <v>frene_c</v>
      </c>
      <c r="AI154" s="1">
        <f>VLOOKUP($E154,'Product Parameters'!$A$2:$D$59,2,FALSE)</f>
        <v>1</v>
      </c>
      <c r="AJ154" s="1">
        <f>VLOOKUP($E154,'Product Parameters'!$A$2:$D$59,3,FALSE)</f>
        <v>0</v>
      </c>
      <c r="AK154" s="1">
        <f>VLOOKUP($E154,'Product Parameters'!$A$2:$D$59,4,FALSE)</f>
        <v>0.12</v>
      </c>
      <c r="AL154" s="1">
        <f>VLOOKUP($E154,'Product Parameters'!$A$2:$E$59,5,FALSE)</f>
        <v>0</v>
      </c>
      <c r="AM154" s="1">
        <f>VLOOKUP($E154,'Product Parameters'!$A$2:$F$59,6,FALSE)</f>
        <v>15</v>
      </c>
      <c r="AN154" s="1">
        <f>VLOOKUP($C154,'Substrate Heating'!$A$2:$C$33,3,FALSE)</f>
        <v>638.57832580000002</v>
      </c>
      <c r="AO154" s="1">
        <f>VLOOKUP($C154,'Substrate Heating'!$A$2:$B$33,2,FALSE)</f>
        <v>19.93</v>
      </c>
      <c r="AP154" s="1">
        <f>VLOOKUP($C154,'Substrate Heating'!$A$2:$M$33,13,FALSE)</f>
        <v>6</v>
      </c>
      <c r="AQ154" s="1">
        <f>VLOOKUP($C154,'Substrate Heating'!$A$2:$M$33,8,FALSE)</f>
        <v>1</v>
      </c>
      <c r="AR154" s="1">
        <f t="shared" si="2"/>
        <v>0.1849624060150365</v>
      </c>
    </row>
    <row r="155" spans="1:44" x14ac:dyDescent="0.2">
      <c r="A155" s="8" t="s">
        <v>34</v>
      </c>
      <c r="B155" s="9" t="s">
        <v>35</v>
      </c>
      <c r="C155" s="1" t="s">
        <v>337</v>
      </c>
      <c r="D155" s="23" t="s">
        <v>338</v>
      </c>
      <c r="E155" s="1" t="s">
        <v>136</v>
      </c>
      <c r="F155" s="1" t="s">
        <v>137</v>
      </c>
      <c r="G155" s="1">
        <v>-10</v>
      </c>
      <c r="H155" s="1">
        <v>-20</v>
      </c>
      <c r="I155" s="1" t="s">
        <v>40</v>
      </c>
      <c r="J155" s="1">
        <v>3.15</v>
      </c>
      <c r="K155" s="1">
        <v>-10</v>
      </c>
      <c r="L155" s="1">
        <v>-2.75</v>
      </c>
      <c r="M155" s="1" t="s">
        <v>40</v>
      </c>
      <c r="N155" s="1">
        <v>7.9</v>
      </c>
      <c r="O155" s="1">
        <v>0.3</v>
      </c>
      <c r="Q155" s="1">
        <v>0.03</v>
      </c>
      <c r="R155" s="1">
        <v>7.8935358986391493E-2</v>
      </c>
      <c r="S155" s="1" t="str">
        <f>VLOOKUP($E155,'Product Naming'!$A$1:$P$58,2,FALSE)</f>
        <v>Benzoate-PW1</v>
      </c>
      <c r="T155" s="1" t="str">
        <f>VLOOKUP($E155,'Product Naming'!$A$1:$P$58,3,FALSE)</f>
        <v>Benzoate (PW1)</v>
      </c>
      <c r="U155" s="1" t="str">
        <f>VLOOKUP($E155,'Product Naming'!$A$1:$P$58,4,FALSE)</f>
        <v>A</v>
      </c>
      <c r="V155" s="1" t="str">
        <f>VLOOKUP($E155,'Product Naming'!$A$1:$P$58,5,FALSE)</f>
        <v>C7H5O2</v>
      </c>
      <c r="W155" s="1">
        <f>VLOOKUP($E155,'Product Naming'!$A$1:$P$58,6,FALSE)</f>
        <v>7</v>
      </c>
      <c r="X155" s="1">
        <f>VLOOKUP($E155,'Product Naming'!$A$1:$P$58,7,FALSE)</f>
        <v>5</v>
      </c>
      <c r="Y155" s="1">
        <f>VLOOKUP($E155,'Product Naming'!$A$1:$P$58,8,FALSE)</f>
        <v>2</v>
      </c>
      <c r="Z155" s="1">
        <f>VLOOKUP($E155,'Product Naming'!$A$1:$P$58,9,FALSE)</f>
        <v>0</v>
      </c>
      <c r="AA155" s="1">
        <f>VLOOKUP($E155,'Product Naming'!$A$1:$P$58,10,FALSE)</f>
        <v>-1</v>
      </c>
      <c r="AB155" s="29">
        <f>VLOOKUP($E155,'Product Naming'!$A$1:$P$58,11,FALSE)</f>
        <v>4.1428571428571432</v>
      </c>
      <c r="AC155" s="3">
        <f>VLOOKUP($E155,'Product Naming'!$A$1:$P$58,12,FALSE)</f>
        <v>121.1121</v>
      </c>
      <c r="AD155" s="1">
        <f>VLOOKUP($E155,'Product Naming'!$A$1:$P$58,13,FALSE)</f>
        <v>249.2</v>
      </c>
      <c r="AE155" s="1" t="str">
        <f>VLOOKUP($E155,'Product Naming'!$A$1:$P$58,14,FALSE)</f>
        <v>Aromatic + Carboxylate</v>
      </c>
      <c r="AF155" s="1" t="str">
        <f>VLOOKUP($E155,'Product Naming'!$A$1:$P$58,15,FALSE)</f>
        <v>E4P + aKG</v>
      </c>
      <c r="AG155" s="30" t="str">
        <f>VLOOKUP($E155,'Product Naming'!$A$1:$P$58,16,FALSE)</f>
        <v>Proton symporter</v>
      </c>
      <c r="AH155" s="3" t="str">
        <f>VLOOKUP($E155,'Product Naming'!$A$1:$Q$58,17,FALSE)</f>
        <v>bz_c</v>
      </c>
      <c r="AI155" s="1">
        <f>VLOOKUP($E155,'Product Parameters'!$A$2:$D$59,2,FALSE)</f>
        <v>1</v>
      </c>
      <c r="AJ155" s="1">
        <f>VLOOKUP($E155,'Product Parameters'!$A$2:$D$59,3,FALSE)</f>
        <v>0</v>
      </c>
      <c r="AK155" s="1">
        <f>VLOOKUP($E155,'Product Parameters'!$A$2:$D$59,4,FALSE)</f>
        <v>0.12</v>
      </c>
      <c r="AL155" s="1">
        <f>VLOOKUP($E155,'Product Parameters'!$A$2:$E$59,5,FALSE)</f>
        <v>40.65</v>
      </c>
      <c r="AM155" s="1">
        <f>VLOOKUP($E155,'Product Parameters'!$A$2:$F$59,6,FALSE)</f>
        <v>7</v>
      </c>
      <c r="AN155" s="1">
        <f>VLOOKUP($C155,'Substrate Heating'!$A$2:$C$33,3,FALSE)</f>
        <v>247.59097</v>
      </c>
      <c r="AO155" s="1">
        <f>VLOOKUP($C155,'Substrate Heating'!$A$2:$B$33,2,FALSE)</f>
        <v>5.5</v>
      </c>
      <c r="AP155" s="1">
        <f>VLOOKUP($C155,'Substrate Heating'!$A$2:$M$33,13,FALSE)</f>
        <v>1</v>
      </c>
      <c r="AQ155" s="1">
        <f>VLOOKUP($C155,'Substrate Heating'!$A$2:$M$33,8,FALSE)</f>
        <v>1</v>
      </c>
      <c r="AR155" s="1">
        <f t="shared" si="2"/>
        <v>0.21</v>
      </c>
    </row>
    <row r="156" spans="1:44" x14ac:dyDescent="0.2">
      <c r="A156" s="8" t="s">
        <v>34</v>
      </c>
      <c r="B156" s="9" t="s">
        <v>35</v>
      </c>
      <c r="C156" s="1" t="s">
        <v>337</v>
      </c>
      <c r="D156" s="23" t="s">
        <v>338</v>
      </c>
      <c r="E156" s="1" t="s">
        <v>143</v>
      </c>
      <c r="F156" s="1" t="s">
        <v>137</v>
      </c>
      <c r="G156" s="1">
        <v>-10</v>
      </c>
      <c r="H156" s="1">
        <v>-20</v>
      </c>
      <c r="I156" s="1" t="s">
        <v>40</v>
      </c>
      <c r="J156" s="1">
        <v>3.15</v>
      </c>
      <c r="K156" s="1">
        <v>-10</v>
      </c>
      <c r="L156" s="1">
        <v>-2.75</v>
      </c>
      <c r="M156" s="1" t="s">
        <v>40</v>
      </c>
      <c r="N156" s="1">
        <v>7.9</v>
      </c>
      <c r="O156" s="1">
        <v>0.3</v>
      </c>
      <c r="Q156" s="1">
        <v>0.03</v>
      </c>
      <c r="R156" s="1">
        <v>7.8935358986391493E-2</v>
      </c>
      <c r="S156" s="1" t="str">
        <f>VLOOKUP($E156,'Product Naming'!$A$1:$P$58,2,FALSE)</f>
        <v>Benzoate-PW2</v>
      </c>
      <c r="T156" s="1" t="str">
        <f>VLOOKUP($E156,'Product Naming'!$A$1:$P$58,3,FALSE)</f>
        <v>Benzoate (PW2)</v>
      </c>
      <c r="U156" s="1" t="str">
        <f>VLOOKUP($E156,'Product Naming'!$A$1:$P$58,4,FALSE)</f>
        <v>A</v>
      </c>
      <c r="V156" s="1" t="str">
        <f>VLOOKUP($E156,'Product Naming'!$A$1:$P$58,5,FALSE)</f>
        <v>C7H5O2</v>
      </c>
      <c r="W156" s="1">
        <f>VLOOKUP($E156,'Product Naming'!$A$1:$P$58,6,FALSE)</f>
        <v>7</v>
      </c>
      <c r="X156" s="1">
        <f>VLOOKUP($E156,'Product Naming'!$A$1:$P$58,7,FALSE)</f>
        <v>5</v>
      </c>
      <c r="Y156" s="1">
        <f>VLOOKUP($E156,'Product Naming'!$A$1:$P$58,8,FALSE)</f>
        <v>2</v>
      </c>
      <c r="Z156" s="1">
        <f>VLOOKUP($E156,'Product Naming'!$A$1:$P$58,9,FALSE)</f>
        <v>0</v>
      </c>
      <c r="AA156" s="1">
        <f>VLOOKUP($E156,'Product Naming'!$A$1:$P$58,10,FALSE)</f>
        <v>-1</v>
      </c>
      <c r="AB156" s="29">
        <f>VLOOKUP($E156,'Product Naming'!$A$1:$P$58,11,FALSE)</f>
        <v>4.1428571428571432</v>
      </c>
      <c r="AC156" s="3">
        <f>VLOOKUP($E156,'Product Naming'!$A$1:$P$58,12,FALSE)</f>
        <v>121.1121</v>
      </c>
      <c r="AD156" s="1">
        <f>VLOOKUP($E156,'Product Naming'!$A$1:$P$58,13,FALSE)</f>
        <v>249.2</v>
      </c>
      <c r="AE156" s="1" t="str">
        <f>VLOOKUP($E156,'Product Naming'!$A$1:$P$58,14,FALSE)</f>
        <v>Aromatic + Carboxylate</v>
      </c>
      <c r="AF156" s="1" t="str">
        <f>VLOOKUP($E156,'Product Naming'!$A$1:$P$58,15,FALSE)</f>
        <v>E4P + aKG</v>
      </c>
      <c r="AG156" s="30" t="str">
        <f>VLOOKUP($E156,'Product Naming'!$A$1:$P$58,16,FALSE)</f>
        <v>Proton symporter</v>
      </c>
      <c r="AH156" s="3" t="str">
        <f>VLOOKUP($E156,'Product Naming'!$A$1:$Q$58,17,FALSE)</f>
        <v>bz_c</v>
      </c>
      <c r="AI156" s="1">
        <f>VLOOKUP($E156,'Product Parameters'!$A$2:$D$59,2,FALSE)</f>
        <v>1</v>
      </c>
      <c r="AJ156" s="1">
        <f>VLOOKUP($E156,'Product Parameters'!$A$2:$D$59,3,FALSE)</f>
        <v>0</v>
      </c>
      <c r="AK156" s="1">
        <f>VLOOKUP($E156,'Product Parameters'!$A$2:$D$59,4,FALSE)</f>
        <v>0.12</v>
      </c>
      <c r="AL156" s="1">
        <f>VLOOKUP($E156,'Product Parameters'!$A$2:$E$59,5,FALSE)</f>
        <v>40.65</v>
      </c>
      <c r="AM156" s="1">
        <f>VLOOKUP($E156,'Product Parameters'!$A$2:$F$59,6,FALSE)</f>
        <v>7</v>
      </c>
      <c r="AN156" s="1">
        <f>VLOOKUP($C156,'Substrate Heating'!$A$2:$C$33,3,FALSE)</f>
        <v>247.59097</v>
      </c>
      <c r="AO156" s="1">
        <f>VLOOKUP($C156,'Substrate Heating'!$A$2:$B$33,2,FALSE)</f>
        <v>5.5</v>
      </c>
      <c r="AP156" s="1">
        <f>VLOOKUP($C156,'Substrate Heating'!$A$2:$M$33,13,FALSE)</f>
        <v>1</v>
      </c>
      <c r="AQ156" s="1">
        <f>VLOOKUP($C156,'Substrate Heating'!$A$2:$M$33,8,FALSE)</f>
        <v>1</v>
      </c>
      <c r="AR156" s="1">
        <f t="shared" si="2"/>
        <v>0.21</v>
      </c>
    </row>
    <row r="157" spans="1:44" x14ac:dyDescent="0.2">
      <c r="A157" s="17" t="s">
        <v>185</v>
      </c>
      <c r="B157" s="9" t="s">
        <v>35</v>
      </c>
      <c r="C157" t="s">
        <v>340</v>
      </c>
      <c r="D157" s="23" t="s">
        <v>338</v>
      </c>
      <c r="E157" t="s">
        <v>269</v>
      </c>
      <c r="F157" t="s">
        <v>270</v>
      </c>
      <c r="G157">
        <v>-10</v>
      </c>
      <c r="H157">
        <v>-20</v>
      </c>
      <c r="I157" s="1" t="s">
        <v>40</v>
      </c>
      <c r="J157">
        <v>3.15</v>
      </c>
      <c r="K157">
        <v>-10</v>
      </c>
      <c r="L157">
        <v>-4.1722933643771798</v>
      </c>
      <c r="M157" s="1" t="s">
        <v>40</v>
      </c>
      <c r="N157">
        <v>8.8963911525029093</v>
      </c>
      <c r="O157">
        <v>0.27590221187427</v>
      </c>
      <c r="P157"/>
      <c r="Q157">
        <v>2.7590221187426999E-2</v>
      </c>
      <c r="R157">
        <v>7.9162481021727099E-2</v>
      </c>
      <c r="S157" s="1" t="str">
        <f>VLOOKUP($E157,'Product Naming'!$A$1:$P$58,2,FALSE)</f>
        <v>Malate_L</v>
      </c>
      <c r="T157" s="1" t="str">
        <f>VLOOKUP($E157,'Product Naming'!$A$1:$P$58,3,FALSE)</f>
        <v>L-Malate</v>
      </c>
      <c r="U157" s="1" t="str">
        <f>VLOOKUP($E157,'Product Naming'!$A$1:$P$58,4,FALSE)</f>
        <v>iJO1366</v>
      </c>
      <c r="V157" s="1" t="str">
        <f>VLOOKUP($E157,'Product Naming'!$A$1:$P$58,5,FALSE)</f>
        <v>C4H4O5</v>
      </c>
      <c r="W157" s="1">
        <f>VLOOKUP($E157,'Product Naming'!$A$1:$P$58,6,FALSE)</f>
        <v>4</v>
      </c>
      <c r="X157" s="1">
        <f>VLOOKUP($E157,'Product Naming'!$A$1:$P$58,7,FALSE)</f>
        <v>4</v>
      </c>
      <c r="Y157" s="1">
        <f>VLOOKUP($E157,'Product Naming'!$A$1:$P$58,8,FALSE)</f>
        <v>5</v>
      </c>
      <c r="Z157" s="1">
        <f>VLOOKUP($E157,'Product Naming'!$A$1:$P$58,9,FALSE)</f>
        <v>0</v>
      </c>
      <c r="AA157" s="1">
        <f>VLOOKUP($E157,'Product Naming'!$A$1:$P$58,10,FALSE)</f>
        <v>-2</v>
      </c>
      <c r="AB157" s="29">
        <f>VLOOKUP($E157,'Product Naming'!$A$1:$P$58,11,FALSE)</f>
        <v>2.5</v>
      </c>
      <c r="AC157" s="3">
        <f>VLOOKUP($E157,'Product Naming'!$A$1:$P$58,12,FALSE)</f>
        <v>132.06916000000001</v>
      </c>
      <c r="AD157" s="1" t="str">
        <f>VLOOKUP($E157,'Product Naming'!$A$1:$P$58,13,FALSE)</f>
        <v>NA</v>
      </c>
      <c r="AE157" s="1" t="str">
        <f>VLOOKUP($E157,'Product Naming'!$A$1:$P$58,14,FALSE)</f>
        <v>Dicarboxylate</v>
      </c>
      <c r="AF157" s="1" t="str">
        <f>VLOOKUP($E157,'Product Naming'!$A$1:$P$58,15,FALSE)</f>
        <v>Oxaloacetate</v>
      </c>
      <c r="AG157" s="30" t="str">
        <f>VLOOKUP($E157,'Product Naming'!$A$1:$P$58,16,FALSE)</f>
        <v>Proton symporter</v>
      </c>
      <c r="AH157" s="3" t="str">
        <f>VLOOKUP($E157,'Product Naming'!$A$1:$Q$58,17,FALSE)</f>
        <v>mal__L_e</v>
      </c>
      <c r="AI157" s="1">
        <f>VLOOKUP($E157,'Product Parameters'!$A$2:$D$59,2,FALSE)</f>
        <v>1</v>
      </c>
      <c r="AJ157" s="1">
        <f>VLOOKUP($E157,'Product Parameters'!$A$2:$D$59,3,FALSE)</f>
        <v>0</v>
      </c>
      <c r="AK157" s="1">
        <f>VLOOKUP($E157,'Product Parameters'!$A$2:$D$59,4,FALSE)</f>
        <v>0.12</v>
      </c>
      <c r="AL157" s="1">
        <f>VLOOKUP($E157,'Product Parameters'!$A$2:$E$59,5,FALSE)</f>
        <v>40.65</v>
      </c>
      <c r="AM157" s="1">
        <f>VLOOKUP($E157,'Product Parameters'!$A$2:$F$59,6,FALSE)</f>
        <v>4</v>
      </c>
      <c r="AN157" s="1">
        <f>VLOOKUP($C157,'Substrate Heating'!$A$2:$C$33,3,FALSE)</f>
        <v>247.59097</v>
      </c>
      <c r="AO157" s="1">
        <f>VLOOKUP($C157,'Substrate Heating'!$A$2:$B$33,2,FALSE)</f>
        <v>5.5</v>
      </c>
      <c r="AP157" s="1">
        <f>VLOOKUP($C157,'Substrate Heating'!$A$2:$M$33,13,FALSE)</f>
        <v>1</v>
      </c>
      <c r="AQ157" s="1">
        <f>VLOOKUP($C157,'Substrate Heating'!$A$2:$M$33,8,FALSE)</f>
        <v>1</v>
      </c>
      <c r="AR157" s="1">
        <f t="shared" si="2"/>
        <v>0.110360884749708</v>
      </c>
    </row>
    <row r="158" spans="1:44" x14ac:dyDescent="0.2">
      <c r="A158" s="17" t="s">
        <v>185</v>
      </c>
      <c r="B158" s="9" t="s">
        <v>35</v>
      </c>
      <c r="C158" t="s">
        <v>340</v>
      </c>
      <c r="D158" s="23" t="s">
        <v>338</v>
      </c>
      <c r="E158" t="s">
        <v>225</v>
      </c>
      <c r="F158" t="s">
        <v>226</v>
      </c>
      <c r="G158">
        <v>-10</v>
      </c>
      <c r="H158">
        <v>-20</v>
      </c>
      <c r="I158" s="1" t="s">
        <v>40</v>
      </c>
      <c r="J158">
        <v>3.15</v>
      </c>
      <c r="K158">
        <v>-10</v>
      </c>
      <c r="L158">
        <v>-4.2715163934426297</v>
      </c>
      <c r="M158" s="1" t="s">
        <v>40</v>
      </c>
      <c r="N158">
        <v>9.0286885245901694</v>
      </c>
      <c r="O158">
        <v>0.48565573770491899</v>
      </c>
      <c r="P158"/>
      <c r="Q158">
        <v>4.85655737704919E-2</v>
      </c>
      <c r="R158">
        <v>7.9176310496709701E-2</v>
      </c>
      <c r="S158" s="1" t="str">
        <f>VLOOKUP($E158,'Product Naming'!$A$1:$P$58,2,FALSE)</f>
        <v>Glycolate</v>
      </c>
      <c r="T158" s="1" t="str">
        <f>VLOOKUP($E158,'Product Naming'!$A$1:$P$58,3,FALSE)</f>
        <v>Glycolate</v>
      </c>
      <c r="U158" s="1" t="str">
        <f>VLOOKUP($E158,'Product Naming'!$A$1:$P$58,4,FALSE)</f>
        <v>iJO1366</v>
      </c>
      <c r="V158" s="1" t="str">
        <f>VLOOKUP($E158,'Product Naming'!$A$1:$P$58,5,FALSE)</f>
        <v>C2H3O3</v>
      </c>
      <c r="W158" s="1">
        <f>VLOOKUP($E158,'Product Naming'!$A$1:$P$58,6,FALSE)</f>
        <v>2</v>
      </c>
      <c r="X158" s="1">
        <f>VLOOKUP($E158,'Product Naming'!$A$1:$P$58,7,FALSE)</f>
        <v>3</v>
      </c>
      <c r="Y158" s="1">
        <f>VLOOKUP($E158,'Product Naming'!$A$1:$P$58,8,FALSE)</f>
        <v>3</v>
      </c>
      <c r="Z158" s="1">
        <f>VLOOKUP($E158,'Product Naming'!$A$1:$P$58,9,FALSE)</f>
        <v>0</v>
      </c>
      <c r="AA158" s="1">
        <f>VLOOKUP($E158,'Product Naming'!$A$1:$P$58,10,FALSE)</f>
        <v>-1</v>
      </c>
      <c r="AB158" s="29">
        <f>VLOOKUP($E158,'Product Naming'!$A$1:$P$58,11,FALSE)</f>
        <v>2.5</v>
      </c>
      <c r="AC158" s="3">
        <f>VLOOKUP($E158,'Product Naming'!$A$1:$P$58,12,FALSE)</f>
        <v>75.041920000000005</v>
      </c>
      <c r="AD158" s="1">
        <f>VLOOKUP($E158,'Product Naming'!$A$1:$P$58,13,FALSE)</f>
        <v>112</v>
      </c>
      <c r="AE158" s="1" t="str">
        <f>VLOOKUP($E158,'Product Naming'!$A$1:$P$58,14,FALSE)</f>
        <v>Carboxylate + Alcohol (hydroxy carboxylate)</v>
      </c>
      <c r="AF158" s="1" t="str">
        <f>VLOOKUP($E158,'Product Naming'!$A$1:$P$58,15,FALSE)</f>
        <v>Glyoxylate (*isocitrate)</v>
      </c>
      <c r="AG158" s="30" t="str">
        <f>VLOOKUP($E158,'Product Naming'!$A$1:$P$58,16,FALSE)</f>
        <v>Proton symporter</v>
      </c>
      <c r="AH158" s="3" t="str">
        <f>VLOOKUP($E158,'Product Naming'!$A$1:$Q$58,17,FALSE)</f>
        <v>glyclt_c</v>
      </c>
      <c r="AI158" s="1">
        <f>VLOOKUP($E158,'Product Parameters'!$A$2:$D$59,2,FALSE)</f>
        <v>1</v>
      </c>
      <c r="AJ158" s="1">
        <f>VLOOKUP($E158,'Product Parameters'!$A$2:$D$59,3,FALSE)</f>
        <v>0</v>
      </c>
      <c r="AK158" s="1">
        <f>VLOOKUP($E158,'Product Parameters'!$A$2:$D$59,4,FALSE)</f>
        <v>0.12</v>
      </c>
      <c r="AL158" s="1">
        <f>VLOOKUP($E158,'Product Parameters'!$A$2:$E$59,5,FALSE)</f>
        <v>40.65</v>
      </c>
      <c r="AM158" s="1">
        <f>VLOOKUP($E158,'Product Parameters'!$A$2:$F$59,6,FALSE)</f>
        <v>2</v>
      </c>
      <c r="AN158" s="1">
        <f>VLOOKUP($C158,'Substrate Heating'!$A$2:$C$33,3,FALSE)</f>
        <v>247.59097</v>
      </c>
      <c r="AO158" s="1">
        <f>VLOOKUP($C158,'Substrate Heating'!$A$2:$B$33,2,FALSE)</f>
        <v>5.5</v>
      </c>
      <c r="AP158" s="1">
        <f>VLOOKUP($C158,'Substrate Heating'!$A$2:$M$33,13,FALSE)</f>
        <v>1</v>
      </c>
      <c r="AQ158" s="1">
        <f>VLOOKUP($C158,'Substrate Heating'!$A$2:$M$33,8,FALSE)</f>
        <v>1</v>
      </c>
      <c r="AR158" s="1">
        <f t="shared" si="2"/>
        <v>9.71311475409838E-2</v>
      </c>
    </row>
    <row r="159" spans="1:44" x14ac:dyDescent="0.2">
      <c r="A159" s="8" t="s">
        <v>792</v>
      </c>
      <c r="B159" s="18" t="s">
        <v>324</v>
      </c>
      <c r="C159" t="s">
        <v>365</v>
      </c>
      <c r="D159" s="23" t="s">
        <v>338</v>
      </c>
      <c r="E159" t="s">
        <v>259</v>
      </c>
      <c r="F159" t="s">
        <v>260</v>
      </c>
      <c r="G159">
        <v>-10</v>
      </c>
      <c r="H159">
        <v>0</v>
      </c>
      <c r="I159">
        <v>0</v>
      </c>
      <c r="J159">
        <v>0.45</v>
      </c>
      <c r="K159">
        <v>-10</v>
      </c>
      <c r="L159">
        <v>0</v>
      </c>
      <c r="M159" s="28" t="s">
        <v>730</v>
      </c>
      <c r="N159">
        <v>0</v>
      </c>
      <c r="O159" s="28" t="s">
        <v>731</v>
      </c>
      <c r="P159"/>
      <c r="Q159" s="28" t="s">
        <v>732</v>
      </c>
      <c r="R159">
        <v>7.9424506953570798E-2</v>
      </c>
      <c r="S159" s="1" t="str">
        <f>VLOOKUP($E159,'Product Naming'!$A$1:$P$58,2,FALSE)</f>
        <v>Limonene</v>
      </c>
      <c r="T159" s="1" t="str">
        <f>VLOOKUP($E159,'Product Naming'!$A$1:$P$58,3,FALSE)</f>
        <v>Limonene</v>
      </c>
      <c r="U159" s="1" t="str">
        <f>VLOOKUP($E159,'Product Naming'!$A$1:$P$58,4,FALSE)</f>
        <v>E</v>
      </c>
      <c r="V159" s="1" t="str">
        <f>VLOOKUP($E159,'Product Naming'!$A$1:$P$58,5,FALSE)</f>
        <v>C10H16</v>
      </c>
      <c r="W159" s="1">
        <f>VLOOKUP($E159,'Product Naming'!$A$1:$P$58,6,FALSE)</f>
        <v>10</v>
      </c>
      <c r="X159" s="1">
        <f>VLOOKUP($E159,'Product Naming'!$A$1:$P$58,7,FALSE)</f>
        <v>16</v>
      </c>
      <c r="Y159" s="1">
        <f>VLOOKUP($E159,'Product Naming'!$A$1:$P$58,8,FALSE)</f>
        <v>0</v>
      </c>
      <c r="Z159" s="1">
        <f>VLOOKUP($E159,'Product Naming'!$A$1:$P$58,9,FALSE)</f>
        <v>0</v>
      </c>
      <c r="AA159" s="1">
        <f>VLOOKUP($E159,'Product Naming'!$A$1:$P$58,10,FALSE)</f>
        <v>0</v>
      </c>
      <c r="AB159" s="29">
        <f>VLOOKUP($E159,'Product Naming'!$A$1:$P$58,11,FALSE)</f>
        <v>5.6</v>
      </c>
      <c r="AC159" s="3">
        <f>VLOOKUP($E159,'Product Naming'!$A$1:$P$58,12,FALSE)</f>
        <v>136.23244</v>
      </c>
      <c r="AD159" s="1">
        <f>VLOOKUP($E159,'Product Naming'!$A$1:$P$58,13,FALSE)</f>
        <v>176</v>
      </c>
      <c r="AE159" s="1" t="str">
        <f>VLOOKUP($E159,'Product Naming'!$A$1:$P$58,14,FALSE)</f>
        <v>Isoprenoid; Aromatic (Cycloalkane)</v>
      </c>
      <c r="AF159" s="1" t="str">
        <f>VLOOKUP($E159,'Product Naming'!$A$1:$P$58,15,FALSE)</f>
        <v>Acetyl-CoA</v>
      </c>
      <c r="AG159" s="30" t="str">
        <f>VLOOKUP($E159,'Product Naming'!$A$1:$P$58,16,FALSE)</f>
        <v>Proton symporter</v>
      </c>
      <c r="AH159" s="3" t="str">
        <f>VLOOKUP($E159,'Product Naming'!$A$1:$Q$58,17,FALSE)</f>
        <v>limnen_c</v>
      </c>
      <c r="AI159" s="1">
        <f>VLOOKUP($E159,'Product Parameters'!$A$2:$D$59,2,FALSE)</f>
        <v>1</v>
      </c>
      <c r="AJ159" s="1">
        <f>VLOOKUP($E159,'Product Parameters'!$A$2:$D$59,3,FALSE)</f>
        <v>0</v>
      </c>
      <c r="AK159" s="1">
        <f>VLOOKUP($E159,'Product Parameters'!$A$2:$D$59,4,FALSE)</f>
        <v>0.12</v>
      </c>
      <c r="AL159" s="1">
        <f>VLOOKUP($E159,'Product Parameters'!$A$2:$E$59,5,FALSE)</f>
        <v>49.5</v>
      </c>
      <c r="AM159" s="1">
        <f>VLOOKUP($E159,'Product Parameters'!$A$2:$F$59,6,FALSE)</f>
        <v>10</v>
      </c>
      <c r="AN159" s="1">
        <f>VLOOKUP($C159,'Substrate Heating'!$A$2:$C$33,3,FALSE)</f>
        <v>638.57832580000002</v>
      </c>
      <c r="AO159" s="1">
        <f>VLOOKUP($C159,'Substrate Heating'!$A$2:$B$33,2,FALSE)</f>
        <v>19.93</v>
      </c>
      <c r="AP159" s="1">
        <f>VLOOKUP($C159,'Substrate Heating'!$A$2:$M$33,13,FALSE)</f>
        <v>6</v>
      </c>
      <c r="AQ159" s="1">
        <f>VLOOKUP($C159,'Substrate Heating'!$A$2:$M$33,8,FALSE)</f>
        <v>1</v>
      </c>
      <c r="AR159" s="1">
        <f t="shared" si="2"/>
        <v>0.18636363636363601</v>
      </c>
    </row>
    <row r="160" spans="1:44" x14ac:dyDescent="0.2">
      <c r="A160" s="17" t="s">
        <v>323</v>
      </c>
      <c r="B160" s="18" t="s">
        <v>324</v>
      </c>
      <c r="C160" t="s">
        <v>335</v>
      </c>
      <c r="D160" s="19" t="s">
        <v>326</v>
      </c>
      <c r="E160" t="s">
        <v>143</v>
      </c>
      <c r="F160" t="s">
        <v>137</v>
      </c>
      <c r="G160">
        <v>-10</v>
      </c>
      <c r="H160">
        <v>0</v>
      </c>
      <c r="I160">
        <v>-10</v>
      </c>
      <c r="J160">
        <v>0.45</v>
      </c>
      <c r="K160">
        <v>-10</v>
      </c>
      <c r="L160">
        <v>0</v>
      </c>
      <c r="M160">
        <v>-10</v>
      </c>
      <c r="N160">
        <v>0.15757575757576101</v>
      </c>
      <c r="O160">
        <v>0.31515151515151502</v>
      </c>
      <c r="P160"/>
      <c r="Q160">
        <v>3.1515151515152003E-2</v>
      </c>
      <c r="R160">
        <v>7.943596162753E-2</v>
      </c>
      <c r="S160" s="1" t="str">
        <f>VLOOKUP($E160,'Product Naming'!$A$1:$P$58,2,FALSE)</f>
        <v>Benzoate-PW2</v>
      </c>
      <c r="T160" s="1" t="str">
        <f>VLOOKUP($E160,'Product Naming'!$A$1:$P$58,3,FALSE)</f>
        <v>Benzoate (PW2)</v>
      </c>
      <c r="U160" s="1" t="str">
        <f>VLOOKUP($E160,'Product Naming'!$A$1:$P$58,4,FALSE)</f>
        <v>A</v>
      </c>
      <c r="V160" s="1" t="str">
        <f>VLOOKUP($E160,'Product Naming'!$A$1:$P$58,5,FALSE)</f>
        <v>C7H5O2</v>
      </c>
      <c r="W160" s="1">
        <f>VLOOKUP($E160,'Product Naming'!$A$1:$P$58,6,FALSE)</f>
        <v>7</v>
      </c>
      <c r="X160" s="1">
        <f>VLOOKUP($E160,'Product Naming'!$A$1:$P$58,7,FALSE)</f>
        <v>5</v>
      </c>
      <c r="Y160" s="1">
        <f>VLOOKUP($E160,'Product Naming'!$A$1:$P$58,8,FALSE)</f>
        <v>2</v>
      </c>
      <c r="Z160" s="1">
        <f>VLOOKUP($E160,'Product Naming'!$A$1:$P$58,9,FALSE)</f>
        <v>0</v>
      </c>
      <c r="AA160" s="1">
        <f>VLOOKUP($E160,'Product Naming'!$A$1:$P$58,10,FALSE)</f>
        <v>-1</v>
      </c>
      <c r="AB160" s="29">
        <f>VLOOKUP($E160,'Product Naming'!$A$1:$P$58,11,FALSE)</f>
        <v>4.1428571428571432</v>
      </c>
      <c r="AC160" s="3">
        <f>VLOOKUP($E160,'Product Naming'!$A$1:$P$58,12,FALSE)</f>
        <v>121.1121</v>
      </c>
      <c r="AD160" s="1">
        <f>VLOOKUP($E160,'Product Naming'!$A$1:$P$58,13,FALSE)</f>
        <v>249.2</v>
      </c>
      <c r="AE160" s="1" t="str">
        <f>VLOOKUP($E160,'Product Naming'!$A$1:$P$58,14,FALSE)</f>
        <v>Aromatic + Carboxylate</v>
      </c>
      <c r="AF160" s="1" t="str">
        <f>VLOOKUP($E160,'Product Naming'!$A$1:$P$58,15,FALSE)</f>
        <v>E4P + aKG</v>
      </c>
      <c r="AG160" s="30" t="str">
        <f>VLOOKUP($E160,'Product Naming'!$A$1:$P$58,16,FALSE)</f>
        <v>Proton symporter</v>
      </c>
      <c r="AH160" s="3" t="str">
        <f>VLOOKUP($E160,'Product Naming'!$A$1:$Q$58,17,FALSE)</f>
        <v>bz_c</v>
      </c>
      <c r="AI160" s="1">
        <f>VLOOKUP($E160,'Product Parameters'!$A$2:$D$59,2,FALSE)</f>
        <v>1</v>
      </c>
      <c r="AJ160" s="1">
        <f>VLOOKUP($E160,'Product Parameters'!$A$2:$D$59,3,FALSE)</f>
        <v>0</v>
      </c>
      <c r="AK160" s="1">
        <f>VLOOKUP($E160,'Product Parameters'!$A$2:$D$59,4,FALSE)</f>
        <v>0.12</v>
      </c>
      <c r="AL160" s="1">
        <f>VLOOKUP($E160,'Product Parameters'!$A$2:$E$59,5,FALSE)</f>
        <v>40.65</v>
      </c>
      <c r="AM160" s="1">
        <f>VLOOKUP($E160,'Product Parameters'!$A$2:$F$59,6,FALSE)</f>
        <v>7</v>
      </c>
      <c r="AN160" s="1">
        <f>VLOOKUP($C160,'Substrate Heating'!$A$2:$C$33,3,FALSE)</f>
        <v>247.9</v>
      </c>
      <c r="AO160" s="1">
        <f>VLOOKUP($C160,'Substrate Heating'!$A$2:$B$33,2,FALSE)</f>
        <v>10.541709491918519</v>
      </c>
      <c r="AP160" s="1">
        <f>VLOOKUP($C160,'Substrate Heating'!$A$2:$M$33,13,FALSE)</f>
        <v>0.5</v>
      </c>
      <c r="AQ160" s="1">
        <f>VLOOKUP($C160,'Substrate Heating'!$A$2:$M$33,8,FALSE)</f>
        <v>0.5</v>
      </c>
      <c r="AR160" s="1">
        <f t="shared" si="2"/>
        <v>0.44121212121212805</v>
      </c>
    </row>
    <row r="161" spans="1:44" x14ac:dyDescent="0.2">
      <c r="A161" s="8" t="s">
        <v>34</v>
      </c>
      <c r="B161" s="9" t="s">
        <v>35</v>
      </c>
      <c r="C161" s="1" t="s">
        <v>339</v>
      </c>
      <c r="D161" s="23" t="s">
        <v>338</v>
      </c>
      <c r="E161" s="1" t="s">
        <v>180</v>
      </c>
      <c r="F161" s="1" t="s">
        <v>181</v>
      </c>
      <c r="G161" s="1">
        <v>-10</v>
      </c>
      <c r="H161" s="1">
        <v>-20</v>
      </c>
      <c r="I161" s="1" t="s">
        <v>40</v>
      </c>
      <c r="J161" s="1">
        <v>3.15</v>
      </c>
      <c r="K161" s="1">
        <v>-10</v>
      </c>
      <c r="L161" s="1">
        <v>-3.5596685082872899</v>
      </c>
      <c r="M161" s="1" t="s">
        <v>40</v>
      </c>
      <c r="N161" s="1">
        <v>8.4287292817679607</v>
      </c>
      <c r="O161" s="1">
        <v>0.26187845303867402</v>
      </c>
      <c r="Q161" s="1">
        <v>2.6187845303867401E-2</v>
      </c>
      <c r="R161" s="1">
        <v>7.97029759471614E-2</v>
      </c>
      <c r="S161" s="1" t="str">
        <f>VLOOKUP($E161,'Product Naming'!$A$1:$P$58,2,FALSE)</f>
        <v>ciscisMuconate</v>
      </c>
      <c r="T161" s="1" t="str">
        <f>VLOOKUP($E161,'Product Naming'!$A$1:$P$58,3,FALSE)</f>
        <v>cis,cis-Muconate</v>
      </c>
      <c r="U161" s="1" t="str">
        <f>VLOOKUP($E161,'Product Naming'!$A$1:$P$58,4,FALSE)</f>
        <v>A</v>
      </c>
      <c r="V161" s="1" t="str">
        <f>VLOOKUP($E161,'Product Naming'!$A$1:$P$58,5,FALSE)</f>
        <v>C6H4O4</v>
      </c>
      <c r="W161" s="1">
        <f>VLOOKUP($E161,'Product Naming'!$A$1:$P$58,6,FALSE)</f>
        <v>6</v>
      </c>
      <c r="X161" s="1">
        <f>VLOOKUP($E161,'Product Naming'!$A$1:$P$58,7,FALSE)</f>
        <v>4</v>
      </c>
      <c r="Y161" s="1">
        <f>VLOOKUP($E161,'Product Naming'!$A$1:$P$58,8,FALSE)</f>
        <v>4</v>
      </c>
      <c r="Z161" s="1">
        <f>VLOOKUP($E161,'Product Naming'!$A$1:$P$58,9,FALSE)</f>
        <v>0</v>
      </c>
      <c r="AA161" s="1">
        <f>VLOOKUP($E161,'Product Naming'!$A$1:$P$58,10,FALSE)</f>
        <v>-2</v>
      </c>
      <c r="AB161" s="29">
        <f>VLOOKUP($E161,'Product Naming'!$A$1:$P$58,11,FALSE)</f>
        <v>3.3333333333333335</v>
      </c>
      <c r="AC161" s="3">
        <f>VLOOKUP($E161,'Product Naming'!$A$1:$P$58,12,FALSE)</f>
        <v>140.09156000000002</v>
      </c>
      <c r="AD161" s="1">
        <f>VLOOKUP($E161,'Product Naming'!$A$1:$P$58,13,FALSE)</f>
        <v>345.4</v>
      </c>
      <c r="AE161" s="1" t="str">
        <f>VLOOKUP($E161,'Product Naming'!$A$1:$P$58,14,FALSE)</f>
        <v>Dicarboxylate</v>
      </c>
      <c r="AF161" s="1" t="str">
        <f>VLOOKUP($E161,'Product Naming'!$A$1:$P$58,15,FALSE)</f>
        <v>Glyceraldehyde 3-P</v>
      </c>
      <c r="AG161" s="30" t="str">
        <f>VLOOKUP($E161,'Product Naming'!$A$1:$P$58,16,FALSE)</f>
        <v>Proton symporter</v>
      </c>
      <c r="AH161" s="3" t="str">
        <f>VLOOKUP($E161,'Product Naming'!$A$1:$Q$58,17,FALSE)</f>
        <v>ccmuac_c</v>
      </c>
      <c r="AI161" s="1">
        <f>VLOOKUP($E161,'Product Parameters'!$A$2:$D$59,2,FALSE)</f>
        <v>1</v>
      </c>
      <c r="AJ161" s="1">
        <f>VLOOKUP($E161,'Product Parameters'!$A$2:$D$59,3,FALSE)</f>
        <v>0</v>
      </c>
      <c r="AK161" s="1">
        <f>VLOOKUP($E161,'Product Parameters'!$A$2:$D$59,4,FALSE)</f>
        <v>0.12</v>
      </c>
      <c r="AL161" s="1">
        <f>VLOOKUP($E161,'Product Parameters'!$A$2:$E$59,5,FALSE)</f>
        <v>40.65</v>
      </c>
      <c r="AM161" s="1">
        <f>VLOOKUP($E161,'Product Parameters'!$A$2:$F$59,6,FALSE)</f>
        <v>6</v>
      </c>
      <c r="AN161" s="1">
        <f>VLOOKUP($C161,'Substrate Heating'!$A$2:$C$33,3,FALSE)</f>
        <v>247.59097</v>
      </c>
      <c r="AO161" s="1">
        <f>VLOOKUP($C161,'Substrate Heating'!$A$2:$B$33,2,FALSE)</f>
        <v>5.5</v>
      </c>
      <c r="AP161" s="1">
        <f>VLOOKUP($C161,'Substrate Heating'!$A$2:$M$33,13,FALSE)</f>
        <v>1</v>
      </c>
      <c r="AQ161" s="1">
        <f>VLOOKUP($C161,'Substrate Heating'!$A$2:$M$33,8,FALSE)</f>
        <v>1</v>
      </c>
      <c r="AR161" s="1">
        <f t="shared" si="2"/>
        <v>0.1571270718232044</v>
      </c>
    </row>
    <row r="162" spans="1:44" x14ac:dyDescent="0.2">
      <c r="A162" s="8" t="s">
        <v>34</v>
      </c>
      <c r="B162" s="9" t="s">
        <v>35</v>
      </c>
      <c r="C162" s="1" t="s">
        <v>339</v>
      </c>
      <c r="D162" s="23" t="s">
        <v>338</v>
      </c>
      <c r="E162" s="1" t="s">
        <v>221</v>
      </c>
      <c r="F162" s="1" t="s">
        <v>222</v>
      </c>
      <c r="G162" s="1">
        <v>-10</v>
      </c>
      <c r="H162" s="1">
        <v>-20</v>
      </c>
      <c r="I162" s="1" t="s">
        <v>40</v>
      </c>
      <c r="J162" s="1">
        <v>3.15</v>
      </c>
      <c r="K162" s="1">
        <v>-10</v>
      </c>
      <c r="L162" s="1">
        <v>-3.5892857142857202</v>
      </c>
      <c r="M162" s="1" t="s">
        <v>40</v>
      </c>
      <c r="N162" s="1">
        <v>8.5892857142857206</v>
      </c>
      <c r="O162" s="1">
        <v>0.28214285714285697</v>
      </c>
      <c r="Q162" s="1">
        <v>2.8214285714285699E-2</v>
      </c>
      <c r="R162" s="1">
        <v>7.9743924561586493E-2</v>
      </c>
      <c r="S162" s="1" t="str">
        <f>VLOOKUP($E162,'Product Naming'!$A$1:$P$58,2,FALSE)</f>
        <v>Glutarate</v>
      </c>
      <c r="T162" s="1" t="str">
        <f>VLOOKUP($E162,'Product Naming'!$A$1:$P$58,3,FALSE)</f>
        <v>Glutarate</v>
      </c>
      <c r="U162" s="1" t="str">
        <f>VLOOKUP($E162,'Product Naming'!$A$1:$P$58,4,FALSE)</f>
        <v>A</v>
      </c>
      <c r="V162" s="1" t="str">
        <f>VLOOKUP($E162,'Product Naming'!$A$1:$P$58,5,FALSE)</f>
        <v>C5H6O4</v>
      </c>
      <c r="W162" s="1">
        <f>VLOOKUP($E162,'Product Naming'!$A$1:$P$58,6,FALSE)</f>
        <v>5</v>
      </c>
      <c r="X162" s="1">
        <f>VLOOKUP($E162,'Product Naming'!$A$1:$P$58,7,FALSE)</f>
        <v>6</v>
      </c>
      <c r="Y162" s="1">
        <f>VLOOKUP($E162,'Product Naming'!$A$1:$P$58,8,FALSE)</f>
        <v>4</v>
      </c>
      <c r="Z162" s="1">
        <f>VLOOKUP($E162,'Product Naming'!$A$1:$P$58,9,FALSE)</f>
        <v>0</v>
      </c>
      <c r="AA162" s="1">
        <f>VLOOKUP($E162,'Product Naming'!$A$1:$P$58,10,FALSE)</f>
        <v>-2</v>
      </c>
      <c r="AB162" s="29">
        <f>VLOOKUP($E162,'Product Naming'!$A$1:$P$58,11,FALSE)</f>
        <v>3.6</v>
      </c>
      <c r="AC162" s="3">
        <f>VLOOKUP($E162,'Product Naming'!$A$1:$P$58,12,FALSE)</f>
        <v>130.09654</v>
      </c>
      <c r="AD162" s="1">
        <f>VLOOKUP($E162,'Product Naming'!$A$1:$P$58,13,FALSE)</f>
        <v>200</v>
      </c>
      <c r="AE162" s="1" t="str">
        <f>VLOOKUP($E162,'Product Naming'!$A$1:$P$58,14,FALSE)</f>
        <v>Dicarboxylate</v>
      </c>
      <c r="AF162" s="1" t="str">
        <f>VLOOKUP($E162,'Product Naming'!$A$1:$P$58,15,FALSE)</f>
        <v>Oxaloacetate + aKG</v>
      </c>
      <c r="AG162" s="30" t="str">
        <f>VLOOKUP($E162,'Product Naming'!$A$1:$P$58,16,FALSE)</f>
        <v>Proton symporter</v>
      </c>
      <c r="AH162" s="3" t="str">
        <f>VLOOKUP($E162,'Product Naming'!$A$1:$Q$58,17,FALSE)</f>
        <v>glutar_c</v>
      </c>
      <c r="AI162" s="1">
        <f>VLOOKUP($E162,'Product Parameters'!$A$2:$D$59,2,FALSE)</f>
        <v>1</v>
      </c>
      <c r="AJ162" s="1">
        <f>VLOOKUP($E162,'Product Parameters'!$A$2:$D$59,3,FALSE)</f>
        <v>0</v>
      </c>
      <c r="AK162" s="1">
        <f>VLOOKUP($E162,'Product Parameters'!$A$2:$D$59,4,FALSE)</f>
        <v>0.12</v>
      </c>
      <c r="AL162" s="1">
        <f>VLOOKUP($E162,'Product Parameters'!$A$2:$E$59,5,FALSE)</f>
        <v>40.65</v>
      </c>
      <c r="AM162" s="1">
        <f>VLOOKUP($E162,'Product Parameters'!$A$2:$F$59,6,FALSE)</f>
        <v>5</v>
      </c>
      <c r="AN162" s="1">
        <f>VLOOKUP($C162,'Substrate Heating'!$A$2:$C$33,3,FALSE)</f>
        <v>247.59097</v>
      </c>
      <c r="AO162" s="1">
        <f>VLOOKUP($C162,'Substrate Heating'!$A$2:$B$33,2,FALSE)</f>
        <v>5.5</v>
      </c>
      <c r="AP162" s="1">
        <f>VLOOKUP($C162,'Substrate Heating'!$A$2:$M$33,13,FALSE)</f>
        <v>1</v>
      </c>
      <c r="AQ162" s="1">
        <f>VLOOKUP($C162,'Substrate Heating'!$A$2:$M$33,8,FALSE)</f>
        <v>1</v>
      </c>
      <c r="AR162" s="1">
        <f t="shared" si="2"/>
        <v>0.14107142857142849</v>
      </c>
    </row>
    <row r="163" spans="1:44" x14ac:dyDescent="0.2">
      <c r="A163" s="17" t="s">
        <v>323</v>
      </c>
      <c r="B163" s="18" t="s">
        <v>324</v>
      </c>
      <c r="C163" t="s">
        <v>325</v>
      </c>
      <c r="D163" s="19" t="s">
        <v>326</v>
      </c>
      <c r="E163" t="s">
        <v>143</v>
      </c>
      <c r="F163" t="s">
        <v>137</v>
      </c>
      <c r="G163">
        <v>-10</v>
      </c>
      <c r="H163">
        <v>0</v>
      </c>
      <c r="I163">
        <v>0</v>
      </c>
      <c r="J163">
        <v>0.45</v>
      </c>
      <c r="K163">
        <v>-10</v>
      </c>
      <c r="L163">
        <v>0</v>
      </c>
      <c r="M163">
        <v>0</v>
      </c>
      <c r="N163">
        <v>5.09264069264069</v>
      </c>
      <c r="O163">
        <v>0.18528138528138499</v>
      </c>
      <c r="P163"/>
      <c r="Q163">
        <v>1.8528138528139001E-2</v>
      </c>
      <c r="R163">
        <v>8.0113593939085001E-2</v>
      </c>
      <c r="S163" s="1" t="str">
        <f>VLOOKUP($E163,'Product Naming'!$A$1:$P$58,2,FALSE)</f>
        <v>Benzoate-PW2</v>
      </c>
      <c r="T163" s="1" t="str">
        <f>VLOOKUP($E163,'Product Naming'!$A$1:$P$58,3,FALSE)</f>
        <v>Benzoate (PW2)</v>
      </c>
      <c r="U163" s="1" t="str">
        <f>VLOOKUP($E163,'Product Naming'!$A$1:$P$58,4,FALSE)</f>
        <v>A</v>
      </c>
      <c r="V163" s="1" t="str">
        <f>VLOOKUP($E163,'Product Naming'!$A$1:$P$58,5,FALSE)</f>
        <v>C7H5O2</v>
      </c>
      <c r="W163" s="1">
        <f>VLOOKUP($E163,'Product Naming'!$A$1:$P$58,6,FALSE)</f>
        <v>7</v>
      </c>
      <c r="X163" s="1">
        <f>VLOOKUP($E163,'Product Naming'!$A$1:$P$58,7,FALSE)</f>
        <v>5</v>
      </c>
      <c r="Y163" s="1">
        <f>VLOOKUP($E163,'Product Naming'!$A$1:$P$58,8,FALSE)</f>
        <v>2</v>
      </c>
      <c r="Z163" s="1">
        <f>VLOOKUP($E163,'Product Naming'!$A$1:$P$58,9,FALSE)</f>
        <v>0</v>
      </c>
      <c r="AA163" s="1">
        <f>VLOOKUP($E163,'Product Naming'!$A$1:$P$58,10,FALSE)</f>
        <v>-1</v>
      </c>
      <c r="AB163" s="29">
        <f>VLOOKUP($E163,'Product Naming'!$A$1:$P$58,11,FALSE)</f>
        <v>4.1428571428571432</v>
      </c>
      <c r="AC163" s="3">
        <f>VLOOKUP($E163,'Product Naming'!$A$1:$P$58,12,FALSE)</f>
        <v>121.1121</v>
      </c>
      <c r="AD163" s="1">
        <f>VLOOKUP($E163,'Product Naming'!$A$1:$P$58,13,FALSE)</f>
        <v>249.2</v>
      </c>
      <c r="AE163" s="1" t="str">
        <f>VLOOKUP($E163,'Product Naming'!$A$1:$P$58,14,FALSE)</f>
        <v>Aromatic + Carboxylate</v>
      </c>
      <c r="AF163" s="1" t="str">
        <f>VLOOKUP($E163,'Product Naming'!$A$1:$P$58,15,FALSE)</f>
        <v>E4P + aKG</v>
      </c>
      <c r="AG163" s="30" t="str">
        <f>VLOOKUP($E163,'Product Naming'!$A$1:$P$58,16,FALSE)</f>
        <v>Proton symporter</v>
      </c>
      <c r="AH163" s="3" t="str">
        <f>VLOOKUP($E163,'Product Naming'!$A$1:$Q$58,17,FALSE)</f>
        <v>bz_c</v>
      </c>
      <c r="AI163" s="1">
        <f>VLOOKUP($E163,'Product Parameters'!$A$2:$D$59,2,FALSE)</f>
        <v>1</v>
      </c>
      <c r="AJ163" s="1">
        <f>VLOOKUP($E163,'Product Parameters'!$A$2:$D$59,3,FALSE)</f>
        <v>0</v>
      </c>
      <c r="AK163" s="1">
        <f>VLOOKUP($E163,'Product Parameters'!$A$2:$D$59,4,FALSE)</f>
        <v>0.12</v>
      </c>
      <c r="AL163" s="1">
        <f>VLOOKUP($E163,'Product Parameters'!$A$2:$E$59,5,FALSE)</f>
        <v>40.65</v>
      </c>
      <c r="AM163" s="1">
        <f>VLOOKUP($E163,'Product Parameters'!$A$2:$F$59,6,FALSE)</f>
        <v>7</v>
      </c>
      <c r="AN163" s="1">
        <f>VLOOKUP($C163,'Substrate Heating'!$A$2:$C$33,3,FALSE)</f>
        <v>280.09700000000004</v>
      </c>
      <c r="AO163" s="1">
        <f>VLOOKUP($C163,'Substrate Heating'!$A$2:$B$33,2,FALSE)</f>
        <v>10</v>
      </c>
      <c r="AP163" s="1">
        <f>VLOOKUP($C163,'Substrate Heating'!$A$2:$M$33,13,FALSE)</f>
        <v>2</v>
      </c>
      <c r="AQ163" s="1">
        <f>VLOOKUP($C163,'Substrate Heating'!$A$2:$M$33,8,FALSE)</f>
        <v>1</v>
      </c>
      <c r="AR163" s="1">
        <f t="shared" si="2"/>
        <v>0.129696969696973</v>
      </c>
    </row>
    <row r="164" spans="1:44" x14ac:dyDescent="0.2">
      <c r="A164" s="8" t="s">
        <v>34</v>
      </c>
      <c r="B164" s="9" t="s">
        <v>35</v>
      </c>
      <c r="C164" s="1" t="s">
        <v>339</v>
      </c>
      <c r="D164" s="23" t="s">
        <v>338</v>
      </c>
      <c r="E164" s="1" t="s">
        <v>124</v>
      </c>
      <c r="F164" s="1" t="s">
        <v>125</v>
      </c>
      <c r="G164" s="1">
        <v>-10</v>
      </c>
      <c r="H164" s="1">
        <v>-20</v>
      </c>
      <c r="I164" s="1" t="s">
        <v>40</v>
      </c>
      <c r="J164" s="1">
        <v>3.15</v>
      </c>
      <c r="K164" s="1">
        <v>-10</v>
      </c>
      <c r="L164" s="1">
        <v>-3.42</v>
      </c>
      <c r="M164" s="1" t="s">
        <v>40</v>
      </c>
      <c r="N164" s="1">
        <v>8.42</v>
      </c>
      <c r="O164" s="1">
        <v>0.52666666666666895</v>
      </c>
      <c r="Q164" s="1">
        <v>5.2666666666666903E-2</v>
      </c>
      <c r="R164" s="1">
        <v>8.12989319915884E-2</v>
      </c>
      <c r="S164" s="1" t="str">
        <f>VLOOKUP($E164,'Product Naming'!$A$1:$P$58,2,FALSE)</f>
        <v>Acrylate-PW1</v>
      </c>
      <c r="T164" s="1" t="str">
        <f>VLOOKUP($E164,'Product Naming'!$A$1:$P$58,3,FALSE)</f>
        <v>Acrylate (PW1)</v>
      </c>
      <c r="U164" s="1" t="str">
        <f>VLOOKUP($E164,'Product Naming'!$A$1:$P$58,4,FALSE)</f>
        <v>A</v>
      </c>
      <c r="V164" s="1" t="str">
        <f>VLOOKUP($E164,'Product Naming'!$A$1:$P$58,5,FALSE)</f>
        <v>C3H3O2</v>
      </c>
      <c r="W164" s="1">
        <f>VLOOKUP($E164,'Product Naming'!$A$1:$P$58,6,FALSE)</f>
        <v>3</v>
      </c>
      <c r="X164" s="1">
        <f>VLOOKUP($E164,'Product Naming'!$A$1:$P$58,7,FALSE)</f>
        <v>3</v>
      </c>
      <c r="Y164" s="1">
        <f>VLOOKUP($E164,'Product Naming'!$A$1:$P$58,8,FALSE)</f>
        <v>2</v>
      </c>
      <c r="Z164" s="1">
        <f>VLOOKUP($E164,'Product Naming'!$A$1:$P$58,9,FALSE)</f>
        <v>0</v>
      </c>
      <c r="AA164" s="1">
        <f>VLOOKUP($E164,'Product Naming'!$A$1:$P$58,10,FALSE)</f>
        <v>-1</v>
      </c>
      <c r="AB164" s="29">
        <f>VLOOKUP($E164,'Product Naming'!$A$1:$P$58,11,FALSE)</f>
        <v>3.6666666666666665</v>
      </c>
      <c r="AC164" s="3">
        <f>VLOOKUP($E164,'Product Naming'!$A$1:$P$58,12,FALSE)</f>
        <v>71.053619999999995</v>
      </c>
      <c r="AD164" s="1">
        <f>VLOOKUP($E164,'Product Naming'!$A$1:$P$58,13,FALSE)</f>
        <v>80</v>
      </c>
      <c r="AE164" s="1" t="str">
        <f>VLOOKUP($E164,'Product Naming'!$A$1:$P$58,14,FALSE)</f>
        <v>Carboxylate</v>
      </c>
      <c r="AF164" s="1" t="str">
        <f>VLOOKUP($E164,'Product Naming'!$A$1:$P$58,15,FALSE)</f>
        <v>Glyceraldehyde 3-P</v>
      </c>
      <c r="AG164" s="30" t="str">
        <f>VLOOKUP($E164,'Product Naming'!$A$1:$P$58,16,FALSE)</f>
        <v>Proton symporter</v>
      </c>
      <c r="AH164" s="3" t="str">
        <f>VLOOKUP($E164,'Product Naming'!$A$1:$Q$58,17,FALSE)</f>
        <v>acryl_c</v>
      </c>
      <c r="AI164" s="1">
        <f>VLOOKUP($E164,'Product Parameters'!$A$2:$D$59,2,FALSE)</f>
        <v>1</v>
      </c>
      <c r="AJ164" s="1">
        <f>VLOOKUP($E164,'Product Parameters'!$A$2:$D$59,3,FALSE)</f>
        <v>0</v>
      </c>
      <c r="AK164" s="1">
        <f>VLOOKUP($E164,'Product Parameters'!$A$2:$D$59,4,FALSE)</f>
        <v>0.12</v>
      </c>
      <c r="AL164" s="1">
        <f>VLOOKUP($E164,'Product Parameters'!$A$2:$E$59,5,FALSE)</f>
        <v>53.1</v>
      </c>
      <c r="AM164" s="1">
        <f>VLOOKUP($E164,'Product Parameters'!$A$2:$F$59,6,FALSE)</f>
        <v>3</v>
      </c>
      <c r="AN164" s="1">
        <f>VLOOKUP($C164,'Substrate Heating'!$A$2:$C$33,3,FALSE)</f>
        <v>247.59097</v>
      </c>
      <c r="AO164" s="1">
        <f>VLOOKUP($C164,'Substrate Heating'!$A$2:$B$33,2,FALSE)</f>
        <v>5.5</v>
      </c>
      <c r="AP164" s="1">
        <f>VLOOKUP($C164,'Substrate Heating'!$A$2:$M$33,13,FALSE)</f>
        <v>1</v>
      </c>
      <c r="AQ164" s="1">
        <f>VLOOKUP($C164,'Substrate Heating'!$A$2:$M$33,8,FALSE)</f>
        <v>1</v>
      </c>
      <c r="AR164" s="1">
        <f t="shared" si="2"/>
        <v>0.1580000000000007</v>
      </c>
    </row>
    <row r="165" spans="1:44" x14ac:dyDescent="0.2">
      <c r="A165" s="8" t="s">
        <v>34</v>
      </c>
      <c r="B165" s="9" t="s">
        <v>35</v>
      </c>
      <c r="C165" s="1" t="s">
        <v>339</v>
      </c>
      <c r="D165" s="23" t="s">
        <v>338</v>
      </c>
      <c r="E165" s="1" t="s">
        <v>244</v>
      </c>
      <c r="F165" s="1" t="s">
        <v>245</v>
      </c>
      <c r="G165" s="1">
        <v>-10</v>
      </c>
      <c r="H165" s="1">
        <v>-20</v>
      </c>
      <c r="I165" s="1" t="s">
        <v>40</v>
      </c>
      <c r="J165" s="1">
        <v>3.15</v>
      </c>
      <c r="K165" s="1">
        <v>-10</v>
      </c>
      <c r="L165" s="1">
        <v>-2.80555555555555</v>
      </c>
      <c r="M165" s="1" t="s">
        <v>40</v>
      </c>
      <c r="N165" s="1">
        <v>8.24444444444444</v>
      </c>
      <c r="O165" s="1">
        <v>0.43888888888888999</v>
      </c>
      <c r="Q165" s="1">
        <v>4.3888888888888998E-2</v>
      </c>
      <c r="R165" s="1">
        <v>8.3045097550754995E-2</v>
      </c>
      <c r="S165" s="1" t="str">
        <f>VLOOKUP($E165,'Product Naming'!$A$1:$P$58,2,FALSE)</f>
        <v>Isobutyrate</v>
      </c>
      <c r="T165" s="1" t="str">
        <f>VLOOKUP($E165,'Product Naming'!$A$1:$P$58,3,FALSE)</f>
        <v>Isobutyrate</v>
      </c>
      <c r="U165" s="1" t="str">
        <f>VLOOKUP($E165,'Product Naming'!$A$1:$P$58,4,FALSE)</f>
        <v>A</v>
      </c>
      <c r="V165" s="1" t="str">
        <f>VLOOKUP($E165,'Product Naming'!$A$1:$P$58,5,FALSE)</f>
        <v>C4H7O2</v>
      </c>
      <c r="W165" s="1">
        <f>VLOOKUP($E165,'Product Naming'!$A$1:$P$58,6,FALSE)</f>
        <v>4</v>
      </c>
      <c r="X165" s="1">
        <f>VLOOKUP($E165,'Product Naming'!$A$1:$P$58,7,FALSE)</f>
        <v>7</v>
      </c>
      <c r="Y165" s="1">
        <f>VLOOKUP($E165,'Product Naming'!$A$1:$P$58,8,FALSE)</f>
        <v>2</v>
      </c>
      <c r="Z165" s="1">
        <f>VLOOKUP($E165,'Product Naming'!$A$1:$P$58,9,FALSE)</f>
        <v>0</v>
      </c>
      <c r="AA165" s="1">
        <f>VLOOKUP($E165,'Product Naming'!$A$1:$P$58,10,FALSE)</f>
        <v>-1</v>
      </c>
      <c r="AB165" s="29">
        <f>VLOOKUP($E165,'Product Naming'!$A$1:$P$58,11,FALSE)</f>
        <v>4.75</v>
      </c>
      <c r="AC165" s="3">
        <f>VLOOKUP($E165,'Product Naming'!$A$1:$P$58,12,FALSE)</f>
        <v>87.095680000000002</v>
      </c>
      <c r="AD165" s="1">
        <f>VLOOKUP($E165,'Product Naming'!$A$1:$P$58,13,FALSE)</f>
        <v>155</v>
      </c>
      <c r="AE165" s="1" t="str">
        <f>VLOOKUP($E165,'Product Naming'!$A$1:$P$58,14,FALSE)</f>
        <v>Carboxylate</v>
      </c>
      <c r="AF165" s="1" t="str">
        <f>VLOOKUP($E165,'Product Naming'!$A$1:$P$58,15,FALSE)</f>
        <v>Pyruvate</v>
      </c>
      <c r="AG165" s="30" t="str">
        <f>VLOOKUP($E165,'Product Naming'!$A$1:$P$58,16,FALSE)</f>
        <v>Proton symporter</v>
      </c>
      <c r="AH165" s="3" t="str">
        <f>VLOOKUP($E165,'Product Naming'!$A$1:$Q$58,17,FALSE)</f>
        <v>ibt_c</v>
      </c>
      <c r="AI165" s="1">
        <f>VLOOKUP($E165,'Product Parameters'!$A$2:$D$59,2,FALSE)</f>
        <v>1</v>
      </c>
      <c r="AJ165" s="1">
        <f>VLOOKUP($E165,'Product Parameters'!$A$2:$D$59,3,FALSE)</f>
        <v>0</v>
      </c>
      <c r="AK165" s="1">
        <f>VLOOKUP($E165,'Product Parameters'!$A$2:$D$59,4,FALSE)</f>
        <v>0.12</v>
      </c>
      <c r="AL165" s="1">
        <f>VLOOKUP($E165,'Product Parameters'!$A$2:$E$59,5,FALSE)</f>
        <v>44.5</v>
      </c>
      <c r="AM165" s="1">
        <f>VLOOKUP($E165,'Product Parameters'!$A$2:$F$59,6,FALSE)</f>
        <v>4</v>
      </c>
      <c r="AN165" s="1">
        <f>VLOOKUP($C165,'Substrate Heating'!$A$2:$C$33,3,FALSE)</f>
        <v>247.59097</v>
      </c>
      <c r="AO165" s="1">
        <f>VLOOKUP($C165,'Substrate Heating'!$A$2:$B$33,2,FALSE)</f>
        <v>5.5</v>
      </c>
      <c r="AP165" s="1">
        <f>VLOOKUP($C165,'Substrate Heating'!$A$2:$M$33,13,FALSE)</f>
        <v>1</v>
      </c>
      <c r="AQ165" s="1">
        <f>VLOOKUP($C165,'Substrate Heating'!$A$2:$M$33,8,FALSE)</f>
        <v>1</v>
      </c>
      <c r="AR165" s="1">
        <f t="shared" si="2"/>
        <v>0.17555555555555599</v>
      </c>
    </row>
    <row r="166" spans="1:44" x14ac:dyDescent="0.2">
      <c r="A166" s="8" t="s">
        <v>34</v>
      </c>
      <c r="B166" s="9" t="s">
        <v>35</v>
      </c>
      <c r="C166" s="1" t="s">
        <v>337</v>
      </c>
      <c r="D166" s="23" t="s">
        <v>338</v>
      </c>
      <c r="E166" s="1" t="s">
        <v>251</v>
      </c>
      <c r="F166" s="1" t="s">
        <v>252</v>
      </c>
      <c r="G166" s="1">
        <v>-10</v>
      </c>
      <c r="H166" s="1">
        <v>-20</v>
      </c>
      <c r="I166" s="1" t="s">
        <v>40</v>
      </c>
      <c r="J166" s="1">
        <v>3.15</v>
      </c>
      <c r="K166" s="1">
        <v>-10</v>
      </c>
      <c r="L166" s="1">
        <v>-2.1175675675675598</v>
      </c>
      <c r="M166" s="1" t="s">
        <v>40</v>
      </c>
      <c r="N166" s="1">
        <v>8.07837837837838</v>
      </c>
      <c r="O166" s="1">
        <v>0.64054054054054499</v>
      </c>
      <c r="Q166" s="1">
        <v>6.4054054054054496E-2</v>
      </c>
      <c r="R166" s="1">
        <v>8.3625597324213596E-2</v>
      </c>
      <c r="S166" s="1" t="str">
        <f>VLOOKUP($E166,'Product Naming'!$A$1:$P$58,2,FALSE)</f>
        <v>Isopropanol</v>
      </c>
      <c r="T166" s="1" t="str">
        <f>VLOOKUP($E166,'Product Naming'!$A$1:$P$58,3,FALSE)</f>
        <v>Isopropanol</v>
      </c>
      <c r="U166" s="1" t="str">
        <f>VLOOKUP($E166,'Product Naming'!$A$1:$P$58,4,FALSE)</f>
        <v>A</v>
      </c>
      <c r="V166" s="1" t="str">
        <f>VLOOKUP($E166,'Product Naming'!$A$1:$P$58,5,FALSE)</f>
        <v>C3H8O</v>
      </c>
      <c r="W166" s="1">
        <f>VLOOKUP($E166,'Product Naming'!$A$1:$P$58,6,FALSE)</f>
        <v>3</v>
      </c>
      <c r="X166" s="1">
        <f>VLOOKUP($E166,'Product Naming'!$A$1:$P$58,7,FALSE)</f>
        <v>8</v>
      </c>
      <c r="Y166" s="1">
        <f>VLOOKUP($E166,'Product Naming'!$A$1:$P$58,8,FALSE)</f>
        <v>1</v>
      </c>
      <c r="Z166" s="1">
        <f>VLOOKUP($E166,'Product Naming'!$A$1:$P$58,9,FALSE)</f>
        <v>0</v>
      </c>
      <c r="AA166" s="1">
        <f>VLOOKUP($E166,'Product Naming'!$A$1:$P$58,10,FALSE)</f>
        <v>0</v>
      </c>
      <c r="AB166" s="29">
        <f>VLOOKUP($E166,'Product Naming'!$A$1:$P$58,11,FALSE)</f>
        <v>6</v>
      </c>
      <c r="AC166" s="3">
        <f>VLOOKUP($E166,'Product Naming'!$A$1:$P$58,12,FALSE)</f>
        <v>60.093820000000001</v>
      </c>
      <c r="AD166" s="1">
        <f>VLOOKUP($E166,'Product Naming'!$A$1:$P$58,13,FALSE)</f>
        <v>82.5</v>
      </c>
      <c r="AE166" s="1" t="str">
        <f>VLOOKUP($E166,'Product Naming'!$A$1:$P$58,14,FALSE)</f>
        <v>Alcohol</v>
      </c>
      <c r="AF166" s="1" t="str">
        <f>VLOOKUP($E166,'Product Naming'!$A$1:$P$58,15,FALSE)</f>
        <v>Acetyl-CoA</v>
      </c>
      <c r="AG166" s="30" t="str">
        <f>VLOOKUP($E166,'Product Naming'!$A$1:$P$58,16,FALSE)</f>
        <v>Proton symporter</v>
      </c>
      <c r="AH166" s="3" t="str">
        <f>VLOOKUP($E166,'Product Naming'!$A$1:$Q$58,17,FALSE)</f>
        <v>2ppoh_c</v>
      </c>
      <c r="AI166" s="1">
        <f>VLOOKUP($E166,'Product Parameters'!$A$2:$D$59,2,FALSE)</f>
        <v>1</v>
      </c>
      <c r="AJ166" s="1">
        <f>VLOOKUP($E166,'Product Parameters'!$A$2:$D$59,3,FALSE)</f>
        <v>0</v>
      </c>
      <c r="AK166" s="1">
        <f>VLOOKUP($E166,'Product Parameters'!$A$2:$D$59,4,FALSE)</f>
        <v>0.12</v>
      </c>
      <c r="AL166" s="1">
        <f>VLOOKUP($E166,'Product Parameters'!$A$2:$E$59,5,FALSE)</f>
        <v>45</v>
      </c>
      <c r="AM166" s="1">
        <f>VLOOKUP($E166,'Product Parameters'!$A$2:$F$59,6,FALSE)</f>
        <v>3</v>
      </c>
      <c r="AN166" s="1">
        <f>VLOOKUP($C166,'Substrate Heating'!$A$2:$C$33,3,FALSE)</f>
        <v>247.59097</v>
      </c>
      <c r="AO166" s="1">
        <f>VLOOKUP($C166,'Substrate Heating'!$A$2:$B$33,2,FALSE)</f>
        <v>5.5</v>
      </c>
      <c r="AP166" s="1">
        <f>VLOOKUP($C166,'Substrate Heating'!$A$2:$M$33,13,FALSE)</f>
        <v>1</v>
      </c>
      <c r="AQ166" s="1">
        <f>VLOOKUP($C166,'Substrate Heating'!$A$2:$M$33,8,FALSE)</f>
        <v>1</v>
      </c>
      <c r="AR166" s="1">
        <f t="shared" si="2"/>
        <v>0.19216216216216347</v>
      </c>
    </row>
    <row r="167" spans="1:44" x14ac:dyDescent="0.2">
      <c r="A167" s="8" t="s">
        <v>809</v>
      </c>
      <c r="B167" s="18" t="s">
        <v>324</v>
      </c>
      <c r="C167" t="s">
        <v>808</v>
      </c>
      <c r="D167" s="19" t="s">
        <v>326</v>
      </c>
      <c r="E167" t="s">
        <v>192</v>
      </c>
      <c r="F167" t="s">
        <v>193</v>
      </c>
      <c r="G167">
        <v>-10</v>
      </c>
      <c r="H167">
        <v>0</v>
      </c>
      <c r="I167">
        <v>-20</v>
      </c>
      <c r="J167">
        <v>0.45</v>
      </c>
      <c r="K167">
        <v>-9.8772093023255803</v>
      </c>
      <c r="L167">
        <v>0</v>
      </c>
      <c r="M167">
        <v>-20</v>
      </c>
      <c r="N167">
        <v>-9.8772093023255803</v>
      </c>
      <c r="O167">
        <v>0.245581395348836</v>
      </c>
      <c r="P167"/>
      <c r="Q167">
        <v>2.4863439442456101E-2</v>
      </c>
      <c r="R167">
        <v>8.4346967812177098E-2</v>
      </c>
      <c r="S167" s="1" t="str">
        <f>VLOOKUP($E167,'Product Naming'!$A$1:$P$58,2,FALSE)</f>
        <v>Coumaric acid</v>
      </c>
      <c r="T167" s="1" t="str">
        <f>VLOOKUP($E167,'Product Naming'!$A$1:$P$58,3,FALSE)</f>
        <v>Coumaric acid</v>
      </c>
      <c r="U167" s="1" t="str">
        <f>VLOOKUP($E167,'Product Naming'!$A$1:$P$58,4,FALSE)</f>
        <v>E</v>
      </c>
      <c r="V167" s="1" t="str">
        <f>VLOOKUP($E167,'Product Naming'!$A$1:$P$58,5,FALSE)</f>
        <v>C9H7O3</v>
      </c>
      <c r="W167" s="1">
        <f>VLOOKUP($E167,'Product Naming'!$A$1:$P$58,6,FALSE)</f>
        <v>9</v>
      </c>
      <c r="X167" s="1">
        <f>VLOOKUP($E167,'Product Naming'!$A$1:$P$58,7,FALSE)</f>
        <v>7</v>
      </c>
      <c r="Y167" s="1">
        <f>VLOOKUP($E167,'Product Naming'!$A$1:$P$58,8,FALSE)</f>
        <v>3</v>
      </c>
      <c r="Z167" s="1">
        <f>VLOOKUP($E167,'Product Naming'!$A$1:$P$58,9,FALSE)</f>
        <v>0</v>
      </c>
      <c r="AA167" s="1">
        <f>VLOOKUP($E167,'Product Naming'!$A$1:$P$58,10,FALSE)</f>
        <v>-1</v>
      </c>
      <c r="AB167" s="29">
        <f>VLOOKUP($E167,'Product Naming'!$A$1:$P$58,11,FALSE)</f>
        <v>4.1111111111111107</v>
      </c>
      <c r="AC167" s="3">
        <f>VLOOKUP($E167,'Product Naming'!$A$1:$P$58,12,FALSE)</f>
        <v>163.14818</v>
      </c>
      <c r="AD167" s="1">
        <f>VLOOKUP($E167,'Product Naming'!$A$1:$P$58,13,FALSE)</f>
        <v>346</v>
      </c>
      <c r="AE167" s="1" t="str">
        <f>VLOOKUP($E167,'Product Naming'!$A$1:$P$58,14,FALSE)</f>
        <v>Aromatic + Alcohol + Carboxylate</v>
      </c>
      <c r="AF167" s="1" t="str">
        <f>VLOOKUP($E167,'Product Naming'!$A$1:$P$58,15,FALSE)</f>
        <v>E4P + L-glutamate</v>
      </c>
      <c r="AG167" s="30" t="str">
        <f>VLOOKUP($E167,'Product Naming'!$A$1:$P$58,16,FALSE)</f>
        <v>Proton symporter</v>
      </c>
      <c r="AH167" s="3" t="str">
        <f>VLOOKUP($E167,'Product Naming'!$A$1:$Q$58,17,FALSE)</f>
        <v>T4hcinnm_c</v>
      </c>
      <c r="AI167" s="1">
        <f>VLOOKUP($E167,'Product Parameters'!$A$2:$D$59,2,FALSE)</f>
        <v>1</v>
      </c>
      <c r="AJ167" s="1">
        <f>VLOOKUP($E167,'Product Parameters'!$A$2:$D$59,3,FALSE)</f>
        <v>0</v>
      </c>
      <c r="AK167" s="1">
        <f>VLOOKUP($E167,'Product Parameters'!$A$2:$D$59,4,FALSE)</f>
        <v>0.12</v>
      </c>
      <c r="AL167" s="1">
        <f>VLOOKUP($E167,'Product Parameters'!$A$2:$E$59,5,FALSE)</f>
        <v>40.65</v>
      </c>
      <c r="AM167" s="1">
        <f>VLOOKUP($E167,'Product Parameters'!$A$2:$F$59,6,FALSE)</f>
        <v>9</v>
      </c>
      <c r="AN167" s="1">
        <f>VLOOKUP($C167,'Substrate Heating'!$A$2:$C$33,3,FALSE)</f>
        <v>120.9</v>
      </c>
      <c r="AO167" s="1">
        <f>VLOOKUP($C167,'Substrate Heating'!$A$2:$B$33,2,FALSE)</f>
        <v>5.2537372583834907</v>
      </c>
      <c r="AP167" s="1">
        <f>VLOOKUP($C167,'Substrate Heating'!$A$2:$M$33,13,FALSE)</f>
        <v>0</v>
      </c>
      <c r="AQ167" s="1">
        <f>VLOOKUP($C167,'Substrate Heating'!$A$2:$M$33,8,FALSE)</f>
        <v>0.33333333333333331</v>
      </c>
      <c r="AR167" s="1">
        <f t="shared" si="2"/>
        <v>0.67131286494631481</v>
      </c>
    </row>
    <row r="168" spans="1:44" x14ac:dyDescent="0.2">
      <c r="A168" s="8" t="s">
        <v>34</v>
      </c>
      <c r="B168" s="9" t="s">
        <v>35</v>
      </c>
      <c r="C168" s="1" t="s">
        <v>337</v>
      </c>
      <c r="D168" s="23" t="s">
        <v>338</v>
      </c>
      <c r="E168" s="1" t="s">
        <v>240</v>
      </c>
      <c r="F168" s="1" t="s">
        <v>241</v>
      </c>
      <c r="G168" s="1">
        <v>-10</v>
      </c>
      <c r="H168" s="1">
        <v>-20</v>
      </c>
      <c r="I168" s="1" t="s">
        <v>40</v>
      </c>
      <c r="J168" s="1">
        <v>3.15</v>
      </c>
      <c r="K168" s="1">
        <v>-10</v>
      </c>
      <c r="L168" s="1">
        <v>-2.29142857142857</v>
      </c>
      <c r="M168" s="1" t="s">
        <v>40</v>
      </c>
      <c r="N168" s="1">
        <v>8.1942857142857193</v>
      </c>
      <c r="O168" s="1">
        <v>0.45142857142857101</v>
      </c>
      <c r="Q168" s="1">
        <v>4.5142857142857103E-2</v>
      </c>
      <c r="R168" s="1">
        <v>8.4471620745905099E-2</v>
      </c>
      <c r="S168" s="1" t="str">
        <f>VLOOKUP($E168,'Product Naming'!$A$1:$P$58,2,FALSE)</f>
        <v>Isobutanol</v>
      </c>
      <c r="T168" s="1" t="str">
        <f>VLOOKUP($E168,'Product Naming'!$A$1:$P$58,3,FALSE)</f>
        <v>Isobutanol</v>
      </c>
      <c r="U168" s="1" t="str">
        <f>VLOOKUP($E168,'Product Naming'!$A$1:$P$58,4,FALSE)</f>
        <v>E</v>
      </c>
      <c r="V168" s="1" t="str">
        <f>VLOOKUP($E168,'Product Naming'!$A$1:$P$58,5,FALSE)</f>
        <v>C5H10O</v>
      </c>
      <c r="W168" s="1">
        <f>VLOOKUP($E168,'Product Naming'!$A$1:$P$58,6,FALSE)</f>
        <v>5</v>
      </c>
      <c r="X168" s="1">
        <f>VLOOKUP($E168,'Product Naming'!$A$1:$P$58,7,FALSE)</f>
        <v>10</v>
      </c>
      <c r="Y168" s="1">
        <f>VLOOKUP($E168,'Product Naming'!$A$1:$P$58,8,FALSE)</f>
        <v>1</v>
      </c>
      <c r="Z168" s="1">
        <f>VLOOKUP($E168,'Product Naming'!$A$1:$P$58,9,FALSE)</f>
        <v>0</v>
      </c>
      <c r="AA168" s="1">
        <f>VLOOKUP($E168,'Product Naming'!$A$1:$P$58,10,FALSE)</f>
        <v>0</v>
      </c>
      <c r="AB168" s="29">
        <f>VLOOKUP($E168,'Product Naming'!$A$1:$P$58,11,FALSE)</f>
        <v>5.6</v>
      </c>
      <c r="AC168" s="3">
        <f>VLOOKUP($E168,'Product Naming'!$A$1:$P$58,12,FALSE)</f>
        <v>86.130899999999997</v>
      </c>
      <c r="AD168" s="1">
        <f>VLOOKUP($E168,'Product Naming'!$A$1:$P$58,13,FALSE)</f>
        <v>108</v>
      </c>
      <c r="AE168" s="1" t="str">
        <f>VLOOKUP($E168,'Product Naming'!$A$1:$P$58,14,FALSE)</f>
        <v>Alcohol</v>
      </c>
      <c r="AF168" s="1" t="str">
        <f>VLOOKUP($E168,'Product Naming'!$A$1:$P$58,15,FALSE)</f>
        <v>Pyruvate</v>
      </c>
      <c r="AG168" s="30" t="str">
        <f>VLOOKUP($E168,'Product Naming'!$A$1:$P$58,16,FALSE)</f>
        <v>Proton symporter</v>
      </c>
      <c r="AH168" s="3" t="str">
        <f>VLOOKUP($E168,'Product Naming'!$A$1:$Q$58,17,FALSE)</f>
        <v>ibutoh_c</v>
      </c>
      <c r="AI168" s="1">
        <f>VLOOKUP($E168,'Product Parameters'!$A$2:$D$59,2,FALSE)</f>
        <v>1</v>
      </c>
      <c r="AJ168" s="1">
        <f>VLOOKUP($E168,'Product Parameters'!$A$2:$D$59,3,FALSE)</f>
        <v>0</v>
      </c>
      <c r="AK168" s="1">
        <f>VLOOKUP($E168,'Product Parameters'!$A$2:$D$59,4,FALSE)</f>
        <v>0.12</v>
      </c>
      <c r="AL168" s="1">
        <f>VLOOKUP($E168,'Product Parameters'!$A$2:$E$59,5,FALSE)</f>
        <v>51</v>
      </c>
      <c r="AM168" s="1">
        <f>VLOOKUP($E168,'Product Parameters'!$A$2:$F$59,6,FALSE)</f>
        <v>5</v>
      </c>
      <c r="AN168" s="1">
        <f>VLOOKUP($C168,'Substrate Heating'!$A$2:$C$33,3,FALSE)</f>
        <v>247.59097</v>
      </c>
      <c r="AO168" s="1">
        <f>VLOOKUP($C168,'Substrate Heating'!$A$2:$B$33,2,FALSE)</f>
        <v>5.5</v>
      </c>
      <c r="AP168" s="1">
        <f>VLOOKUP($C168,'Substrate Heating'!$A$2:$M$33,13,FALSE)</f>
        <v>1</v>
      </c>
      <c r="AQ168" s="1">
        <f>VLOOKUP($C168,'Substrate Heating'!$A$2:$M$33,8,FALSE)</f>
        <v>1</v>
      </c>
      <c r="AR168" s="1">
        <f t="shared" si="2"/>
        <v>0.22571428571428551</v>
      </c>
    </row>
    <row r="169" spans="1:44" x14ac:dyDescent="0.2">
      <c r="A169" s="8" t="s">
        <v>809</v>
      </c>
      <c r="B169" s="18" t="s">
        <v>324</v>
      </c>
      <c r="C169" t="s">
        <v>808</v>
      </c>
      <c r="D169" s="19" t="s">
        <v>326</v>
      </c>
      <c r="E169" t="s">
        <v>247</v>
      </c>
      <c r="F169" t="s">
        <v>248</v>
      </c>
      <c r="G169">
        <v>-10</v>
      </c>
      <c r="H169">
        <v>0</v>
      </c>
      <c r="I169">
        <v>-20</v>
      </c>
      <c r="J169">
        <v>0.45</v>
      </c>
      <c r="K169">
        <v>-8.9224489795918291</v>
      </c>
      <c r="L169">
        <v>0</v>
      </c>
      <c r="M169">
        <v>-20</v>
      </c>
      <c r="N169">
        <v>-8.9224489795918291</v>
      </c>
      <c r="O169">
        <v>0.53877551020408199</v>
      </c>
      <c r="P169"/>
      <c r="Q169">
        <v>6.0384263494968102E-2</v>
      </c>
      <c r="R169">
        <v>8.4756598575509795E-2</v>
      </c>
      <c r="S169" s="1" t="str">
        <f>VLOOKUP($E169,'Product Naming'!$A$1:$P$58,2,FALSE)</f>
        <v>Isoprene</v>
      </c>
      <c r="T169" s="1" t="str">
        <f>VLOOKUP($E169,'Product Naming'!$A$1:$P$58,3,FALSE)</f>
        <v>Isoprene</v>
      </c>
      <c r="U169" s="1" t="str">
        <f>VLOOKUP($E169,'Product Naming'!$A$1:$P$58,4,FALSE)</f>
        <v>E</v>
      </c>
      <c r="V169" s="1" t="str">
        <f>VLOOKUP($E169,'Product Naming'!$A$1:$P$58,5,FALSE)</f>
        <v>C5H8</v>
      </c>
      <c r="W169" s="1">
        <f>VLOOKUP($E169,'Product Naming'!$A$1:$P$58,6,FALSE)</f>
        <v>5</v>
      </c>
      <c r="X169" s="1">
        <f>VLOOKUP($E169,'Product Naming'!$A$1:$P$58,7,FALSE)</f>
        <v>8</v>
      </c>
      <c r="Y169" s="1">
        <f>VLOOKUP($E169,'Product Naming'!$A$1:$P$58,8,FALSE)</f>
        <v>0</v>
      </c>
      <c r="Z169" s="1">
        <f>VLOOKUP($E169,'Product Naming'!$A$1:$P$58,9,FALSE)</f>
        <v>0</v>
      </c>
      <c r="AA169" s="1">
        <f>VLOOKUP($E169,'Product Naming'!$A$1:$P$58,10,FALSE)</f>
        <v>0</v>
      </c>
      <c r="AB169" s="29">
        <f>VLOOKUP($E169,'Product Naming'!$A$1:$P$58,11,FALSE)</f>
        <v>5.6</v>
      </c>
      <c r="AC169" s="3">
        <f>VLOOKUP($E169,'Product Naming'!$A$1:$P$58,12,FALSE)</f>
        <v>68.116219999999998</v>
      </c>
      <c r="AD169" s="1">
        <f>VLOOKUP($E169,'Product Naming'!$A$1:$P$58,13,FALSE)</f>
        <v>34.07</v>
      </c>
      <c r="AE169" s="1" t="str">
        <f>VLOOKUP($E169,'Product Naming'!$A$1:$P$58,14,FALSE)</f>
        <v>Hydrocarbon</v>
      </c>
      <c r="AF169" s="1" t="str">
        <f>VLOOKUP($E169,'Product Naming'!$A$1:$P$58,15,FALSE)</f>
        <v>Acetyl-CoA</v>
      </c>
      <c r="AG169" s="30" t="str">
        <f>VLOOKUP($E169,'Product Naming'!$A$1:$P$58,16,FALSE)</f>
        <v>Diffusion</v>
      </c>
      <c r="AH169" s="3" t="str">
        <f>VLOOKUP($E169,'Product Naming'!$A$1:$Q$58,17,FALSE)</f>
        <v>iprene_c</v>
      </c>
      <c r="AI169" s="1">
        <f>VLOOKUP($E169,'Product Parameters'!$A$2:$D$59,2,FALSE)</f>
        <v>0</v>
      </c>
      <c r="AJ169" s="1">
        <f>VLOOKUP($E169,'Product Parameters'!$A$2:$D$59,3,FALSE)</f>
        <v>1</v>
      </c>
      <c r="AK169" s="1">
        <f>VLOOKUP($E169,'Product Parameters'!$A$2:$D$59,4,FALSE)</f>
        <v>0.12</v>
      </c>
      <c r="AL169" s="1">
        <f>VLOOKUP($E169,'Product Parameters'!$A$2:$E$59,5,FALSE)</f>
        <v>26.4</v>
      </c>
      <c r="AM169" s="1">
        <f>VLOOKUP($E169,'Product Parameters'!$A$2:$F$59,6,FALSE)</f>
        <v>5</v>
      </c>
      <c r="AN169" s="1">
        <f>VLOOKUP($C169,'Substrate Heating'!$A$2:$C$33,3,FALSE)</f>
        <v>120.9</v>
      </c>
      <c r="AO169" s="1">
        <f>VLOOKUP($C169,'Substrate Heating'!$A$2:$B$33,2,FALSE)</f>
        <v>5.2537372583834907</v>
      </c>
      <c r="AP169" s="1">
        <f>VLOOKUP($C169,'Substrate Heating'!$A$2:$M$33,13,FALSE)</f>
        <v>0</v>
      </c>
      <c r="AQ169" s="1">
        <f>VLOOKUP($C169,'Substrate Heating'!$A$2:$M$33,8,FALSE)</f>
        <v>0.33333333333333331</v>
      </c>
      <c r="AR169" s="1">
        <f t="shared" si="2"/>
        <v>0.90576395242452157</v>
      </c>
    </row>
    <row r="170" spans="1:44" x14ac:dyDescent="0.2">
      <c r="A170" s="17" t="s">
        <v>323</v>
      </c>
      <c r="B170" s="18" t="s">
        <v>324</v>
      </c>
      <c r="C170" t="s">
        <v>335</v>
      </c>
      <c r="D170" s="19" t="s">
        <v>326</v>
      </c>
      <c r="E170" t="s">
        <v>136</v>
      </c>
      <c r="F170" t="s">
        <v>137</v>
      </c>
      <c r="G170">
        <v>-10</v>
      </c>
      <c r="H170">
        <v>0</v>
      </c>
      <c r="I170">
        <v>-10</v>
      </c>
      <c r="J170">
        <v>0.45</v>
      </c>
      <c r="K170">
        <v>-10</v>
      </c>
      <c r="L170">
        <v>0</v>
      </c>
      <c r="M170">
        <v>-10</v>
      </c>
      <c r="N170">
        <v>0.16930232558139499</v>
      </c>
      <c r="O170">
        <v>0.33860465116278998</v>
      </c>
      <c r="P170"/>
      <c r="Q170">
        <v>3.3860465116279E-2</v>
      </c>
      <c r="R170">
        <v>8.5347475050973995E-2</v>
      </c>
      <c r="S170" s="1" t="str">
        <f>VLOOKUP($E170,'Product Naming'!$A$1:$P$58,2,FALSE)</f>
        <v>Benzoate-PW1</v>
      </c>
      <c r="T170" s="1" t="str">
        <f>VLOOKUP($E170,'Product Naming'!$A$1:$P$58,3,FALSE)</f>
        <v>Benzoate (PW1)</v>
      </c>
      <c r="U170" s="1" t="str">
        <f>VLOOKUP($E170,'Product Naming'!$A$1:$P$58,4,FALSE)</f>
        <v>A</v>
      </c>
      <c r="V170" s="1" t="str">
        <f>VLOOKUP($E170,'Product Naming'!$A$1:$P$58,5,FALSE)</f>
        <v>C7H5O2</v>
      </c>
      <c r="W170" s="1">
        <f>VLOOKUP($E170,'Product Naming'!$A$1:$P$58,6,FALSE)</f>
        <v>7</v>
      </c>
      <c r="X170" s="1">
        <f>VLOOKUP($E170,'Product Naming'!$A$1:$P$58,7,FALSE)</f>
        <v>5</v>
      </c>
      <c r="Y170" s="1">
        <f>VLOOKUP($E170,'Product Naming'!$A$1:$P$58,8,FALSE)</f>
        <v>2</v>
      </c>
      <c r="Z170" s="1">
        <f>VLOOKUP($E170,'Product Naming'!$A$1:$P$58,9,FALSE)</f>
        <v>0</v>
      </c>
      <c r="AA170" s="1">
        <f>VLOOKUP($E170,'Product Naming'!$A$1:$P$58,10,FALSE)</f>
        <v>-1</v>
      </c>
      <c r="AB170" s="29">
        <f>VLOOKUP($E170,'Product Naming'!$A$1:$P$58,11,FALSE)</f>
        <v>4.1428571428571432</v>
      </c>
      <c r="AC170" s="3">
        <f>VLOOKUP($E170,'Product Naming'!$A$1:$P$58,12,FALSE)</f>
        <v>121.1121</v>
      </c>
      <c r="AD170" s="1">
        <f>VLOOKUP($E170,'Product Naming'!$A$1:$P$58,13,FALSE)</f>
        <v>249.2</v>
      </c>
      <c r="AE170" s="1" t="str">
        <f>VLOOKUP($E170,'Product Naming'!$A$1:$P$58,14,FALSE)</f>
        <v>Aromatic + Carboxylate</v>
      </c>
      <c r="AF170" s="1" t="str">
        <f>VLOOKUP($E170,'Product Naming'!$A$1:$P$58,15,FALSE)</f>
        <v>E4P + aKG</v>
      </c>
      <c r="AG170" s="30" t="str">
        <f>VLOOKUP($E170,'Product Naming'!$A$1:$P$58,16,FALSE)</f>
        <v>Proton symporter</v>
      </c>
      <c r="AH170" s="3" t="str">
        <f>VLOOKUP($E170,'Product Naming'!$A$1:$Q$58,17,FALSE)</f>
        <v>bz_c</v>
      </c>
      <c r="AI170" s="1">
        <f>VLOOKUP($E170,'Product Parameters'!$A$2:$D$59,2,FALSE)</f>
        <v>1</v>
      </c>
      <c r="AJ170" s="1">
        <f>VLOOKUP($E170,'Product Parameters'!$A$2:$D$59,3,FALSE)</f>
        <v>0</v>
      </c>
      <c r="AK170" s="1">
        <f>VLOOKUP($E170,'Product Parameters'!$A$2:$D$59,4,FALSE)</f>
        <v>0.12</v>
      </c>
      <c r="AL170" s="1">
        <f>VLOOKUP($E170,'Product Parameters'!$A$2:$E$59,5,FALSE)</f>
        <v>40.65</v>
      </c>
      <c r="AM170" s="1">
        <f>VLOOKUP($E170,'Product Parameters'!$A$2:$F$59,6,FALSE)</f>
        <v>7</v>
      </c>
      <c r="AN170" s="1">
        <f>VLOOKUP($C170,'Substrate Heating'!$A$2:$C$33,3,FALSE)</f>
        <v>247.9</v>
      </c>
      <c r="AO170" s="1">
        <f>VLOOKUP($C170,'Substrate Heating'!$A$2:$B$33,2,FALSE)</f>
        <v>10.541709491918519</v>
      </c>
      <c r="AP170" s="1">
        <f>VLOOKUP($C170,'Substrate Heating'!$A$2:$M$33,13,FALSE)</f>
        <v>0.5</v>
      </c>
      <c r="AQ170" s="1">
        <f>VLOOKUP($C170,'Substrate Heating'!$A$2:$M$33,8,FALSE)</f>
        <v>0.5</v>
      </c>
      <c r="AR170" s="1">
        <f t="shared" si="2"/>
        <v>0.47404651162790601</v>
      </c>
    </row>
    <row r="171" spans="1:44" x14ac:dyDescent="0.2">
      <c r="A171" s="17" t="s">
        <v>323</v>
      </c>
      <c r="B171" s="18" t="s">
        <v>324</v>
      </c>
      <c r="C171" t="s">
        <v>334</v>
      </c>
      <c r="D171" s="19" t="s">
        <v>326</v>
      </c>
      <c r="E171" t="s">
        <v>247</v>
      </c>
      <c r="F171" t="s">
        <v>248</v>
      </c>
      <c r="G171">
        <v>-10</v>
      </c>
      <c r="H171">
        <v>0</v>
      </c>
      <c r="I171">
        <v>-5</v>
      </c>
      <c r="J171">
        <v>0.45</v>
      </c>
      <c r="K171">
        <v>-10</v>
      </c>
      <c r="L171">
        <v>0</v>
      </c>
      <c r="M171">
        <v>-5</v>
      </c>
      <c r="N171">
        <v>3.6795918367347</v>
      </c>
      <c r="O171">
        <v>0.58979591836734702</v>
      </c>
      <c r="P171"/>
      <c r="Q171">
        <v>5.8979591836734797E-2</v>
      </c>
      <c r="R171">
        <v>8.5406059002653703E-2</v>
      </c>
      <c r="S171" s="1" t="str">
        <f>VLOOKUP($E171,'Product Naming'!$A$1:$P$58,2,FALSE)</f>
        <v>Isoprene</v>
      </c>
      <c r="T171" s="1" t="str">
        <f>VLOOKUP($E171,'Product Naming'!$A$1:$P$58,3,FALSE)</f>
        <v>Isoprene</v>
      </c>
      <c r="U171" s="1" t="str">
        <f>VLOOKUP($E171,'Product Naming'!$A$1:$P$58,4,FALSE)</f>
        <v>E</v>
      </c>
      <c r="V171" s="1" t="str">
        <f>VLOOKUP($E171,'Product Naming'!$A$1:$P$58,5,FALSE)</f>
        <v>C5H8</v>
      </c>
      <c r="W171" s="1">
        <f>VLOOKUP($E171,'Product Naming'!$A$1:$P$58,6,FALSE)</f>
        <v>5</v>
      </c>
      <c r="X171" s="1">
        <f>VLOOKUP($E171,'Product Naming'!$A$1:$P$58,7,FALSE)</f>
        <v>8</v>
      </c>
      <c r="Y171" s="1">
        <f>VLOOKUP($E171,'Product Naming'!$A$1:$P$58,8,FALSE)</f>
        <v>0</v>
      </c>
      <c r="Z171" s="1">
        <f>VLOOKUP($E171,'Product Naming'!$A$1:$P$58,9,FALSE)</f>
        <v>0</v>
      </c>
      <c r="AA171" s="1">
        <f>VLOOKUP($E171,'Product Naming'!$A$1:$P$58,10,FALSE)</f>
        <v>0</v>
      </c>
      <c r="AB171" s="29">
        <f>VLOOKUP($E171,'Product Naming'!$A$1:$P$58,11,FALSE)</f>
        <v>5.6</v>
      </c>
      <c r="AC171" s="3">
        <f>VLOOKUP($E171,'Product Naming'!$A$1:$P$58,12,FALSE)</f>
        <v>68.116219999999998</v>
      </c>
      <c r="AD171" s="1">
        <f>VLOOKUP($E171,'Product Naming'!$A$1:$P$58,13,FALSE)</f>
        <v>34.07</v>
      </c>
      <c r="AE171" s="1" t="str">
        <f>VLOOKUP($E171,'Product Naming'!$A$1:$P$58,14,FALSE)</f>
        <v>Hydrocarbon</v>
      </c>
      <c r="AF171" s="1" t="str">
        <f>VLOOKUP($E171,'Product Naming'!$A$1:$P$58,15,FALSE)</f>
        <v>Acetyl-CoA</v>
      </c>
      <c r="AG171" s="30" t="str">
        <f>VLOOKUP($E171,'Product Naming'!$A$1:$P$58,16,FALSE)</f>
        <v>Diffusion</v>
      </c>
      <c r="AH171" s="3" t="str">
        <f>VLOOKUP($E171,'Product Naming'!$A$1:$Q$58,17,FALSE)</f>
        <v>iprene_c</v>
      </c>
      <c r="AI171" s="1">
        <f>VLOOKUP($E171,'Product Parameters'!$A$2:$D$59,2,FALSE)</f>
        <v>0</v>
      </c>
      <c r="AJ171" s="1">
        <f>VLOOKUP($E171,'Product Parameters'!$A$2:$D$59,3,FALSE)</f>
        <v>1</v>
      </c>
      <c r="AK171" s="1">
        <f>VLOOKUP($E171,'Product Parameters'!$A$2:$D$59,4,FALSE)</f>
        <v>0.12</v>
      </c>
      <c r="AL171" s="1">
        <f>VLOOKUP($E171,'Product Parameters'!$A$2:$E$59,5,FALSE)</f>
        <v>26.4</v>
      </c>
      <c r="AM171" s="1">
        <f>VLOOKUP($E171,'Product Parameters'!$A$2:$F$59,6,FALSE)</f>
        <v>5</v>
      </c>
      <c r="AN171" s="1">
        <f>VLOOKUP($C171,'Substrate Heating'!$A$2:$C$33,3,FALSE)</f>
        <v>249.93333333333334</v>
      </c>
      <c r="AO171" s="1">
        <f>VLOOKUP($C171,'Substrate Heating'!$A$2:$B$33,2,FALSE)</f>
        <v>8.1456827881222953</v>
      </c>
      <c r="AP171" s="1">
        <f>VLOOKUP($C171,'Substrate Heating'!$A$2:$M$33,13,FALSE)</f>
        <v>0.66666666666666663</v>
      </c>
      <c r="AQ171" s="1">
        <f>VLOOKUP($C171,'Substrate Heating'!$A$2:$M$33,8,FALSE)</f>
        <v>0.66666666666666663</v>
      </c>
      <c r="AR171" s="1">
        <f t="shared" si="2"/>
        <v>0.44234693877551101</v>
      </c>
    </row>
    <row r="172" spans="1:44" x14ac:dyDescent="0.2">
      <c r="A172" s="8" t="s">
        <v>809</v>
      </c>
      <c r="B172" s="18" t="s">
        <v>324</v>
      </c>
      <c r="C172" t="s">
        <v>808</v>
      </c>
      <c r="D172" s="19" t="s">
        <v>326</v>
      </c>
      <c r="E172" t="s">
        <v>204</v>
      </c>
      <c r="F172" t="s">
        <v>205</v>
      </c>
      <c r="G172">
        <v>-10</v>
      </c>
      <c r="H172">
        <v>0</v>
      </c>
      <c r="I172">
        <v>-20</v>
      </c>
      <c r="J172">
        <v>0.45</v>
      </c>
      <c r="K172">
        <v>-8.9075862068965499</v>
      </c>
      <c r="L172">
        <v>0</v>
      </c>
      <c r="M172">
        <v>-20</v>
      </c>
      <c r="N172">
        <v>-8.9075862068965499</v>
      </c>
      <c r="O172">
        <v>0.182068965517239</v>
      </c>
      <c r="P172"/>
      <c r="Q172">
        <v>2.0439764633013099E-2</v>
      </c>
      <c r="R172">
        <v>8.6055655827184593E-2</v>
      </c>
      <c r="S172" s="1" t="str">
        <f>VLOOKUP($E172,'Product Naming'!$A$1:$P$58,2,FALSE)</f>
        <v>Farnesene</v>
      </c>
      <c r="T172" s="1" t="str">
        <f>VLOOKUP($E172,'Product Naming'!$A$1:$P$58,3,FALSE)</f>
        <v>Farnesene</v>
      </c>
      <c r="U172" s="1" t="str">
        <f>VLOOKUP($E172,'Product Naming'!$A$1:$P$58,4,FALSE)</f>
        <v>A</v>
      </c>
      <c r="V172" s="1" t="str">
        <f>VLOOKUP($E172,'Product Naming'!$A$1:$P$58,5,FALSE)</f>
        <v>C15H24</v>
      </c>
      <c r="W172" s="1">
        <f>VLOOKUP($E172,'Product Naming'!$A$1:$P$58,6,FALSE)</f>
        <v>15</v>
      </c>
      <c r="X172" s="1">
        <f>VLOOKUP($E172,'Product Naming'!$A$1:$P$58,7,FALSE)</f>
        <v>24</v>
      </c>
      <c r="Y172" s="1">
        <f>VLOOKUP($E172,'Product Naming'!$A$1:$P$58,8,FALSE)</f>
        <v>0</v>
      </c>
      <c r="Z172" s="1">
        <f>VLOOKUP($E172,'Product Naming'!$A$1:$P$58,9,FALSE)</f>
        <v>0</v>
      </c>
      <c r="AA172" s="1">
        <f>VLOOKUP($E172,'Product Naming'!$A$1:$P$58,10,FALSE)</f>
        <v>0</v>
      </c>
      <c r="AB172" s="29">
        <f>VLOOKUP($E172,'Product Naming'!$A$1:$P$58,11,FALSE)</f>
        <v>5.6</v>
      </c>
      <c r="AC172" s="3">
        <f>VLOOKUP($E172,'Product Naming'!$A$1:$P$58,12,FALSE)</f>
        <v>204.34866000000002</v>
      </c>
      <c r="AD172" s="1" t="str">
        <f>VLOOKUP($E172,'Product Naming'!$A$1:$P$58,13,FALSE)</f>
        <v>260 (A)/272 (B)</v>
      </c>
      <c r="AE172" s="1" t="str">
        <f>VLOOKUP($E172,'Product Naming'!$A$1:$P$58,14,FALSE)</f>
        <v>Hydrocarbon</v>
      </c>
      <c r="AF172" s="1" t="str">
        <f>VLOOKUP($E172,'Product Naming'!$A$1:$P$58,15,FALSE)</f>
        <v>Acetyl-CoA</v>
      </c>
      <c r="AG172" s="30" t="str">
        <f>VLOOKUP($E172,'Product Naming'!$A$1:$P$58,16,FALSE)</f>
        <v>Proton symporter</v>
      </c>
      <c r="AH172" s="3" t="str">
        <f>VLOOKUP($E172,'Product Naming'!$A$1:$Q$58,17,FALSE)</f>
        <v>frene_c</v>
      </c>
      <c r="AI172" s="1">
        <f>VLOOKUP($E172,'Product Parameters'!$A$2:$D$59,2,FALSE)</f>
        <v>1</v>
      </c>
      <c r="AJ172" s="1">
        <f>VLOOKUP($E172,'Product Parameters'!$A$2:$D$59,3,FALSE)</f>
        <v>0</v>
      </c>
      <c r="AK172" s="1">
        <f>VLOOKUP($E172,'Product Parameters'!$A$2:$D$59,4,FALSE)</f>
        <v>0.12</v>
      </c>
      <c r="AL172" s="1">
        <f>VLOOKUP($E172,'Product Parameters'!$A$2:$E$59,5,FALSE)</f>
        <v>0</v>
      </c>
      <c r="AM172" s="1">
        <f>VLOOKUP($E172,'Product Parameters'!$A$2:$F$59,6,FALSE)</f>
        <v>15</v>
      </c>
      <c r="AN172" s="1">
        <f>VLOOKUP($C172,'Substrate Heating'!$A$2:$C$33,3,FALSE)</f>
        <v>120.9</v>
      </c>
      <c r="AO172" s="1">
        <f>VLOOKUP($C172,'Substrate Heating'!$A$2:$B$33,2,FALSE)</f>
        <v>5.2537372583834907</v>
      </c>
      <c r="AP172" s="1">
        <f>VLOOKUP($C172,'Substrate Heating'!$A$2:$M$33,13,FALSE)</f>
        <v>0</v>
      </c>
      <c r="AQ172" s="1">
        <f>VLOOKUP($C172,'Substrate Heating'!$A$2:$M$33,8,FALSE)</f>
        <v>0.33333333333333331</v>
      </c>
      <c r="AR172" s="1">
        <f t="shared" si="2"/>
        <v>0.91978940848558943</v>
      </c>
    </row>
    <row r="173" spans="1:44" x14ac:dyDescent="0.2">
      <c r="A173" s="17" t="s">
        <v>323</v>
      </c>
      <c r="B173" s="18" t="s">
        <v>324</v>
      </c>
      <c r="C173" t="s">
        <v>325</v>
      </c>
      <c r="D173" s="19" t="s">
        <v>326</v>
      </c>
      <c r="E173" t="s">
        <v>136</v>
      </c>
      <c r="F173" t="s">
        <v>137</v>
      </c>
      <c r="G173">
        <v>-10</v>
      </c>
      <c r="H173">
        <v>0</v>
      </c>
      <c r="I173">
        <v>0</v>
      </c>
      <c r="J173">
        <v>0.45</v>
      </c>
      <c r="K173">
        <v>-10</v>
      </c>
      <c r="L173">
        <v>0</v>
      </c>
      <c r="M173">
        <v>0</v>
      </c>
      <c r="N173">
        <v>5.0995348837209296</v>
      </c>
      <c r="O173">
        <v>0.199069767441861</v>
      </c>
      <c r="P173"/>
      <c r="Q173">
        <v>1.9906976744186001E-2</v>
      </c>
      <c r="R173">
        <v>8.6075535813621998E-2</v>
      </c>
      <c r="S173" s="1" t="str">
        <f>VLOOKUP($E173,'Product Naming'!$A$1:$P$58,2,FALSE)</f>
        <v>Benzoate-PW1</v>
      </c>
      <c r="T173" s="1" t="str">
        <f>VLOOKUP($E173,'Product Naming'!$A$1:$P$58,3,FALSE)</f>
        <v>Benzoate (PW1)</v>
      </c>
      <c r="U173" s="1" t="str">
        <f>VLOOKUP($E173,'Product Naming'!$A$1:$P$58,4,FALSE)</f>
        <v>A</v>
      </c>
      <c r="V173" s="1" t="str">
        <f>VLOOKUP($E173,'Product Naming'!$A$1:$P$58,5,FALSE)</f>
        <v>C7H5O2</v>
      </c>
      <c r="W173" s="1">
        <f>VLOOKUP($E173,'Product Naming'!$A$1:$P$58,6,FALSE)</f>
        <v>7</v>
      </c>
      <c r="X173" s="1">
        <f>VLOOKUP($E173,'Product Naming'!$A$1:$P$58,7,FALSE)</f>
        <v>5</v>
      </c>
      <c r="Y173" s="1">
        <f>VLOOKUP($E173,'Product Naming'!$A$1:$P$58,8,FALSE)</f>
        <v>2</v>
      </c>
      <c r="Z173" s="1">
        <f>VLOOKUP($E173,'Product Naming'!$A$1:$P$58,9,FALSE)</f>
        <v>0</v>
      </c>
      <c r="AA173" s="1">
        <f>VLOOKUP($E173,'Product Naming'!$A$1:$P$58,10,FALSE)</f>
        <v>-1</v>
      </c>
      <c r="AB173" s="29">
        <f>VLOOKUP($E173,'Product Naming'!$A$1:$P$58,11,FALSE)</f>
        <v>4.1428571428571432</v>
      </c>
      <c r="AC173" s="3">
        <f>VLOOKUP($E173,'Product Naming'!$A$1:$P$58,12,FALSE)</f>
        <v>121.1121</v>
      </c>
      <c r="AD173" s="1">
        <f>VLOOKUP($E173,'Product Naming'!$A$1:$P$58,13,FALSE)</f>
        <v>249.2</v>
      </c>
      <c r="AE173" s="1" t="str">
        <f>VLOOKUP($E173,'Product Naming'!$A$1:$P$58,14,FALSE)</f>
        <v>Aromatic + Carboxylate</v>
      </c>
      <c r="AF173" s="1" t="str">
        <f>VLOOKUP($E173,'Product Naming'!$A$1:$P$58,15,FALSE)</f>
        <v>E4P + aKG</v>
      </c>
      <c r="AG173" s="30" t="str">
        <f>VLOOKUP($E173,'Product Naming'!$A$1:$P$58,16,FALSE)</f>
        <v>Proton symporter</v>
      </c>
      <c r="AH173" s="3" t="str">
        <f>VLOOKUP($E173,'Product Naming'!$A$1:$Q$58,17,FALSE)</f>
        <v>bz_c</v>
      </c>
      <c r="AI173" s="1">
        <f>VLOOKUP($E173,'Product Parameters'!$A$2:$D$59,2,FALSE)</f>
        <v>1</v>
      </c>
      <c r="AJ173" s="1">
        <f>VLOOKUP($E173,'Product Parameters'!$A$2:$D$59,3,FALSE)</f>
        <v>0</v>
      </c>
      <c r="AK173" s="1">
        <f>VLOOKUP($E173,'Product Parameters'!$A$2:$D$59,4,FALSE)</f>
        <v>0.12</v>
      </c>
      <c r="AL173" s="1">
        <f>VLOOKUP($E173,'Product Parameters'!$A$2:$E$59,5,FALSE)</f>
        <v>40.65</v>
      </c>
      <c r="AM173" s="1">
        <f>VLOOKUP($E173,'Product Parameters'!$A$2:$F$59,6,FALSE)</f>
        <v>7</v>
      </c>
      <c r="AN173" s="1">
        <f>VLOOKUP($C173,'Substrate Heating'!$A$2:$C$33,3,FALSE)</f>
        <v>280.09700000000004</v>
      </c>
      <c r="AO173" s="1">
        <f>VLOOKUP($C173,'Substrate Heating'!$A$2:$B$33,2,FALSE)</f>
        <v>10</v>
      </c>
      <c r="AP173" s="1">
        <f>VLOOKUP($C173,'Substrate Heating'!$A$2:$M$33,13,FALSE)</f>
        <v>2</v>
      </c>
      <c r="AQ173" s="1">
        <f>VLOOKUP($C173,'Substrate Heating'!$A$2:$M$33,8,FALSE)</f>
        <v>1</v>
      </c>
      <c r="AR173" s="1">
        <f t="shared" si="2"/>
        <v>0.139348837209302</v>
      </c>
    </row>
    <row r="174" spans="1:44" x14ac:dyDescent="0.2">
      <c r="A174" s="8" t="s">
        <v>34</v>
      </c>
      <c r="B174" s="9" t="s">
        <v>35</v>
      </c>
      <c r="C174" s="1" t="s">
        <v>339</v>
      </c>
      <c r="D174" s="23" t="s">
        <v>338</v>
      </c>
      <c r="E174" s="1" t="s">
        <v>60</v>
      </c>
      <c r="F174" s="1" t="s">
        <v>61</v>
      </c>
      <c r="G174" s="1">
        <v>-10</v>
      </c>
      <c r="H174" s="1">
        <v>-20</v>
      </c>
      <c r="I174" s="1" t="s">
        <v>40</v>
      </c>
      <c r="J174" s="1">
        <v>3.15</v>
      </c>
      <c r="K174" s="1">
        <v>-10</v>
      </c>
      <c r="L174" s="1">
        <v>-2.9164835164835101</v>
      </c>
      <c r="M174" s="1" t="s">
        <v>40</v>
      </c>
      <c r="N174" s="1">
        <v>8.4373626373626305</v>
      </c>
      <c r="O174" s="1">
        <v>0.52087912087912103</v>
      </c>
      <c r="Q174" s="1">
        <v>5.2087912087912101E-2</v>
      </c>
      <c r="R174" s="1">
        <v>8.6107985267769402E-2</v>
      </c>
      <c r="S174" s="1" t="str">
        <f>VLOOKUP($E174,'Product Naming'!$A$1:$P$58,2,FALSE)</f>
        <v>1-3-Propanediol</v>
      </c>
      <c r="T174" s="1" t="str">
        <f>VLOOKUP($E174,'Product Naming'!$A$1:$P$58,3,FALSE)</f>
        <v>1,3-Propanediol</v>
      </c>
      <c r="U174" s="1" t="str">
        <f>VLOOKUP($E174,'Product Naming'!$A$1:$P$58,4,FALSE)</f>
        <v>A</v>
      </c>
      <c r="V174" s="1" t="str">
        <f>VLOOKUP($E174,'Product Naming'!$A$1:$P$58,5,FALSE)</f>
        <v>C3H8O2</v>
      </c>
      <c r="W174" s="1">
        <f>VLOOKUP($E174,'Product Naming'!$A$1:$P$58,6,FALSE)</f>
        <v>3</v>
      </c>
      <c r="X174" s="1">
        <f>VLOOKUP($E174,'Product Naming'!$A$1:$P$58,7,FALSE)</f>
        <v>8</v>
      </c>
      <c r="Y174" s="1">
        <f>VLOOKUP($E174,'Product Naming'!$A$1:$P$58,8,FALSE)</f>
        <v>2</v>
      </c>
      <c r="Z174" s="1">
        <f>VLOOKUP($E174,'Product Naming'!$A$1:$P$58,9,FALSE)</f>
        <v>0</v>
      </c>
      <c r="AA174" s="1">
        <f>VLOOKUP($E174,'Product Naming'!$A$1:$P$58,10,FALSE)</f>
        <v>0</v>
      </c>
      <c r="AB174" s="29">
        <f>VLOOKUP($E174,'Product Naming'!$A$1:$P$58,11,FALSE)</f>
        <v>5.333333333333333</v>
      </c>
      <c r="AC174" s="3">
        <f>VLOOKUP($E174,'Product Naming'!$A$1:$P$58,12,FALSE)</f>
        <v>76.092820000000003</v>
      </c>
      <c r="AD174" s="1">
        <f>VLOOKUP($E174,'Product Naming'!$A$1:$P$58,13,FALSE)</f>
        <v>213</v>
      </c>
      <c r="AE174" s="1" t="str">
        <f>VLOOKUP($E174,'Product Naming'!$A$1:$P$58,14,FALSE)</f>
        <v>Diol</v>
      </c>
      <c r="AF174" s="1" t="str">
        <f>VLOOKUP($E174,'Product Naming'!$A$1:$P$58,15,FALSE)</f>
        <v>Glyceraldehyde 3-P</v>
      </c>
      <c r="AG174" s="30" t="str">
        <f>VLOOKUP($E174,'Product Naming'!$A$1:$P$58,16,FALSE)</f>
        <v>Proton symporter</v>
      </c>
      <c r="AH174" s="3" t="str">
        <f>VLOOKUP($E174,'Product Naming'!$A$1:$Q$58,17,FALSE)</f>
        <v>13ppd_c</v>
      </c>
      <c r="AI174" s="1">
        <f>VLOOKUP($E174,'Product Parameters'!$A$2:$D$59,2,FALSE)</f>
        <v>1</v>
      </c>
      <c r="AJ174" s="1">
        <f>VLOOKUP($E174,'Product Parameters'!$A$2:$D$59,3,FALSE)</f>
        <v>0</v>
      </c>
      <c r="AK174" s="1">
        <f>VLOOKUP($E174,'Product Parameters'!$A$2:$D$59,4,FALSE)</f>
        <v>0.12</v>
      </c>
      <c r="AL174" s="1">
        <f>VLOOKUP($E174,'Product Parameters'!$A$2:$E$59,5,FALSE)</f>
        <v>70</v>
      </c>
      <c r="AM174" s="1">
        <f>VLOOKUP($E174,'Product Parameters'!$A$2:$F$59,6,FALSE)</f>
        <v>3</v>
      </c>
      <c r="AN174" s="1">
        <f>VLOOKUP($C174,'Substrate Heating'!$A$2:$C$33,3,FALSE)</f>
        <v>247.59097</v>
      </c>
      <c r="AO174" s="1">
        <f>VLOOKUP($C174,'Substrate Heating'!$A$2:$B$33,2,FALSE)</f>
        <v>5.5</v>
      </c>
      <c r="AP174" s="1">
        <f>VLOOKUP($C174,'Substrate Heating'!$A$2:$M$33,13,FALSE)</f>
        <v>1</v>
      </c>
      <c r="AQ174" s="1">
        <f>VLOOKUP($C174,'Substrate Heating'!$A$2:$M$33,8,FALSE)</f>
        <v>1</v>
      </c>
      <c r="AR174" s="1">
        <f t="shared" si="2"/>
        <v>0.1562637362637363</v>
      </c>
    </row>
    <row r="175" spans="1:44" x14ac:dyDescent="0.2">
      <c r="A175" s="17" t="s">
        <v>323</v>
      </c>
      <c r="B175" s="18" t="s">
        <v>324</v>
      </c>
      <c r="C175" t="s">
        <v>335</v>
      </c>
      <c r="D175" s="19" t="s">
        <v>326</v>
      </c>
      <c r="E175" t="s">
        <v>108</v>
      </c>
      <c r="F175" t="s">
        <v>109</v>
      </c>
      <c r="G175">
        <v>-10</v>
      </c>
      <c r="H175">
        <v>0</v>
      </c>
      <c r="I175">
        <v>-10</v>
      </c>
      <c r="J175">
        <v>0.45</v>
      </c>
      <c r="K175">
        <v>-10</v>
      </c>
      <c r="L175">
        <v>0</v>
      </c>
      <c r="M175">
        <v>-10</v>
      </c>
      <c r="N175">
        <v>0.51753554502369803</v>
      </c>
      <c r="O175">
        <v>0.34502369668246402</v>
      </c>
      <c r="P175"/>
      <c r="Q175">
        <v>3.4502369668246997E-2</v>
      </c>
      <c r="R175">
        <v>8.6272669268612004E-2</v>
      </c>
      <c r="S175" s="1" t="str">
        <f>VLOOKUP($E175,'Product Naming'!$A$1:$P$58,2,FALSE)</f>
        <v>4-Hydroxystyrene</v>
      </c>
      <c r="T175" s="1" t="str">
        <f>VLOOKUP($E175,'Product Naming'!$A$1:$P$58,3,FALSE)</f>
        <v>4-Hydroxystyrene</v>
      </c>
      <c r="U175" s="1" t="str">
        <f>VLOOKUP($E175,'Product Naming'!$A$1:$P$58,4,FALSE)</f>
        <v>E</v>
      </c>
      <c r="V175" s="1" t="str">
        <f>VLOOKUP($E175,'Product Naming'!$A$1:$P$58,5,FALSE)</f>
        <v>C8H8O</v>
      </c>
      <c r="W175" s="1">
        <f>VLOOKUP($E175,'Product Naming'!$A$1:$P$58,6,FALSE)</f>
        <v>8</v>
      </c>
      <c r="X175" s="1">
        <f>VLOOKUP($E175,'Product Naming'!$A$1:$P$58,7,FALSE)</f>
        <v>8</v>
      </c>
      <c r="Y175" s="1">
        <f>VLOOKUP($E175,'Product Naming'!$A$1:$P$58,8,FALSE)</f>
        <v>1</v>
      </c>
      <c r="Z175" s="1">
        <f>VLOOKUP($E175,'Product Naming'!$A$1:$P$58,9,FALSE)</f>
        <v>0</v>
      </c>
      <c r="AA175" s="1">
        <f>VLOOKUP($E175,'Product Naming'!$A$1:$P$58,10,FALSE)</f>
        <v>0</v>
      </c>
      <c r="AB175" s="29">
        <f>VLOOKUP($E175,'Product Naming'!$A$1:$P$58,11,FALSE)</f>
        <v>4.75</v>
      </c>
      <c r="AC175" s="3">
        <f>VLOOKUP($E175,'Product Naming'!$A$1:$P$58,12,FALSE)</f>
        <v>120.14731999999999</v>
      </c>
      <c r="AD175" s="1">
        <f>VLOOKUP($E175,'Product Naming'!$A$1:$P$58,13,FALSE)</f>
        <v>229</v>
      </c>
      <c r="AE175" s="1" t="str">
        <f>VLOOKUP($E175,'Product Naming'!$A$1:$P$58,14,FALSE)</f>
        <v>Aromatic + Alcohol</v>
      </c>
      <c r="AF175" s="1" t="str">
        <f>VLOOKUP($E175,'Product Naming'!$A$1:$P$58,15,FALSE)</f>
        <v>E4P + L-glutamate</v>
      </c>
      <c r="AG175" s="30" t="str">
        <f>VLOOKUP($E175,'Product Naming'!$A$1:$P$58,16,FALSE)</f>
        <v>Proton symporter</v>
      </c>
      <c r="AH175" s="3" t="str">
        <f>VLOOKUP($E175,'Product Naming'!$A$1:$Q$58,17,FALSE)</f>
        <v>4hxst_c</v>
      </c>
      <c r="AI175" s="1">
        <f>VLOOKUP($E175,'Product Parameters'!$A$2:$D$59,2,FALSE)</f>
        <v>1</v>
      </c>
      <c r="AJ175" s="1">
        <f>VLOOKUP($E175,'Product Parameters'!$A$2:$D$59,3,FALSE)</f>
        <v>0</v>
      </c>
      <c r="AK175" s="1">
        <f>VLOOKUP($E175,'Product Parameters'!$A$2:$D$59,4,FALSE)</f>
        <v>0.12</v>
      </c>
      <c r="AL175" s="1">
        <f>VLOOKUP($E175,'Product Parameters'!$A$2:$E$59,5,FALSE)</f>
        <v>40.65</v>
      </c>
      <c r="AM175" s="1">
        <f>VLOOKUP($E175,'Product Parameters'!$A$2:$F$59,6,FALSE)</f>
        <v>8</v>
      </c>
      <c r="AN175" s="1">
        <f>VLOOKUP($C175,'Substrate Heating'!$A$2:$C$33,3,FALSE)</f>
        <v>247.9</v>
      </c>
      <c r="AO175" s="1">
        <f>VLOOKUP($C175,'Substrate Heating'!$A$2:$B$33,2,FALSE)</f>
        <v>10.541709491918519</v>
      </c>
      <c r="AP175" s="1">
        <f>VLOOKUP($C175,'Substrate Heating'!$A$2:$M$33,13,FALSE)</f>
        <v>0.5</v>
      </c>
      <c r="AQ175" s="1">
        <f>VLOOKUP($C175,'Substrate Heating'!$A$2:$M$33,8,FALSE)</f>
        <v>0.5</v>
      </c>
      <c r="AR175" s="1">
        <f t="shared" si="2"/>
        <v>0.55203791469195196</v>
      </c>
    </row>
    <row r="176" spans="1:44" x14ac:dyDescent="0.2">
      <c r="A176" s="17" t="s">
        <v>323</v>
      </c>
      <c r="B176" s="18" t="s">
        <v>324</v>
      </c>
      <c r="C176" t="s">
        <v>334</v>
      </c>
      <c r="D176" s="19" t="s">
        <v>326</v>
      </c>
      <c r="E176" t="s">
        <v>204</v>
      </c>
      <c r="F176" t="s">
        <v>205</v>
      </c>
      <c r="G176">
        <v>-10</v>
      </c>
      <c r="H176">
        <v>0</v>
      </c>
      <c r="I176">
        <v>-5</v>
      </c>
      <c r="J176">
        <v>0.45</v>
      </c>
      <c r="K176">
        <v>-10</v>
      </c>
      <c r="L176">
        <v>0</v>
      </c>
      <c r="M176">
        <v>-5</v>
      </c>
      <c r="N176">
        <v>3.6958620689655199</v>
      </c>
      <c r="O176">
        <v>0.199310344827588</v>
      </c>
      <c r="P176"/>
      <c r="Q176">
        <v>1.9931034482758798E-2</v>
      </c>
      <c r="R176">
        <v>8.6584073609587503E-2</v>
      </c>
      <c r="S176" s="1" t="str">
        <f>VLOOKUP($E176,'Product Naming'!$A$1:$P$58,2,FALSE)</f>
        <v>Farnesene</v>
      </c>
      <c r="T176" s="1" t="str">
        <f>VLOOKUP($E176,'Product Naming'!$A$1:$P$58,3,FALSE)</f>
        <v>Farnesene</v>
      </c>
      <c r="U176" s="1" t="str">
        <f>VLOOKUP($E176,'Product Naming'!$A$1:$P$58,4,FALSE)</f>
        <v>A</v>
      </c>
      <c r="V176" s="1" t="str">
        <f>VLOOKUP($E176,'Product Naming'!$A$1:$P$58,5,FALSE)</f>
        <v>C15H24</v>
      </c>
      <c r="W176" s="1">
        <f>VLOOKUP($E176,'Product Naming'!$A$1:$P$58,6,FALSE)</f>
        <v>15</v>
      </c>
      <c r="X176" s="1">
        <f>VLOOKUP($E176,'Product Naming'!$A$1:$P$58,7,FALSE)</f>
        <v>24</v>
      </c>
      <c r="Y176" s="1">
        <f>VLOOKUP($E176,'Product Naming'!$A$1:$P$58,8,FALSE)</f>
        <v>0</v>
      </c>
      <c r="Z176" s="1">
        <f>VLOOKUP($E176,'Product Naming'!$A$1:$P$58,9,FALSE)</f>
        <v>0</v>
      </c>
      <c r="AA176" s="1">
        <f>VLOOKUP($E176,'Product Naming'!$A$1:$P$58,10,FALSE)</f>
        <v>0</v>
      </c>
      <c r="AB176" s="29">
        <f>VLOOKUP($E176,'Product Naming'!$A$1:$P$58,11,FALSE)</f>
        <v>5.6</v>
      </c>
      <c r="AC176" s="3">
        <f>VLOOKUP($E176,'Product Naming'!$A$1:$P$58,12,FALSE)</f>
        <v>204.34866000000002</v>
      </c>
      <c r="AD176" s="1" t="str">
        <f>VLOOKUP($E176,'Product Naming'!$A$1:$P$58,13,FALSE)</f>
        <v>260 (A)/272 (B)</v>
      </c>
      <c r="AE176" s="1" t="str">
        <f>VLOOKUP($E176,'Product Naming'!$A$1:$P$58,14,FALSE)</f>
        <v>Hydrocarbon</v>
      </c>
      <c r="AF176" s="1" t="str">
        <f>VLOOKUP($E176,'Product Naming'!$A$1:$P$58,15,FALSE)</f>
        <v>Acetyl-CoA</v>
      </c>
      <c r="AG176" s="30" t="str">
        <f>VLOOKUP($E176,'Product Naming'!$A$1:$P$58,16,FALSE)</f>
        <v>Proton symporter</v>
      </c>
      <c r="AH176" s="3" t="str">
        <f>VLOOKUP($E176,'Product Naming'!$A$1:$Q$58,17,FALSE)</f>
        <v>frene_c</v>
      </c>
      <c r="AI176" s="1">
        <f>VLOOKUP($E176,'Product Parameters'!$A$2:$D$59,2,FALSE)</f>
        <v>1</v>
      </c>
      <c r="AJ176" s="1">
        <f>VLOOKUP($E176,'Product Parameters'!$A$2:$D$59,3,FALSE)</f>
        <v>0</v>
      </c>
      <c r="AK176" s="1">
        <f>VLOOKUP($E176,'Product Parameters'!$A$2:$D$59,4,FALSE)</f>
        <v>0.12</v>
      </c>
      <c r="AL176" s="1">
        <f>VLOOKUP($E176,'Product Parameters'!$A$2:$E$59,5,FALSE)</f>
        <v>0</v>
      </c>
      <c r="AM176" s="1">
        <f>VLOOKUP($E176,'Product Parameters'!$A$2:$F$59,6,FALSE)</f>
        <v>15</v>
      </c>
      <c r="AN176" s="1">
        <f>VLOOKUP($C176,'Substrate Heating'!$A$2:$C$33,3,FALSE)</f>
        <v>249.93333333333334</v>
      </c>
      <c r="AO176" s="1">
        <f>VLOOKUP($C176,'Substrate Heating'!$A$2:$B$33,2,FALSE)</f>
        <v>8.1456827881222953</v>
      </c>
      <c r="AP176" s="1">
        <f>VLOOKUP($C176,'Substrate Heating'!$A$2:$M$33,13,FALSE)</f>
        <v>0.66666666666666663</v>
      </c>
      <c r="AQ176" s="1">
        <f>VLOOKUP($C176,'Substrate Heating'!$A$2:$M$33,8,FALSE)</f>
        <v>0.66666666666666663</v>
      </c>
      <c r="AR176" s="1">
        <f t="shared" si="2"/>
        <v>0.44844827586207298</v>
      </c>
    </row>
    <row r="177" spans="1:44" x14ac:dyDescent="0.2">
      <c r="A177" s="8" t="s">
        <v>809</v>
      </c>
      <c r="B177" s="18" t="s">
        <v>324</v>
      </c>
      <c r="C177" t="s">
        <v>808</v>
      </c>
      <c r="D177" s="19" t="s">
        <v>326</v>
      </c>
      <c r="E177" t="s">
        <v>259</v>
      </c>
      <c r="F177" t="s">
        <v>260</v>
      </c>
      <c r="G177">
        <v>-10</v>
      </c>
      <c r="H177">
        <v>0</v>
      </c>
      <c r="I177">
        <v>-20</v>
      </c>
      <c r="J177">
        <v>0.45</v>
      </c>
      <c r="K177">
        <v>-8.8999999999999897</v>
      </c>
      <c r="L177">
        <v>0</v>
      </c>
      <c r="M177">
        <v>-20</v>
      </c>
      <c r="N177">
        <v>-8.8999999999999897</v>
      </c>
      <c r="O177">
        <v>0.27499999999999902</v>
      </c>
      <c r="P177"/>
      <c r="Q177">
        <v>3.0898876404494301E-2</v>
      </c>
      <c r="R177">
        <v>8.67202326803376E-2</v>
      </c>
      <c r="S177" s="1" t="str">
        <f>VLOOKUP($E177,'Product Naming'!$A$1:$P$58,2,FALSE)</f>
        <v>Limonene</v>
      </c>
      <c r="T177" s="1" t="str">
        <f>VLOOKUP($E177,'Product Naming'!$A$1:$P$58,3,FALSE)</f>
        <v>Limonene</v>
      </c>
      <c r="U177" s="1" t="str">
        <f>VLOOKUP($E177,'Product Naming'!$A$1:$P$58,4,FALSE)</f>
        <v>E</v>
      </c>
      <c r="V177" s="1" t="str">
        <f>VLOOKUP($E177,'Product Naming'!$A$1:$P$58,5,FALSE)</f>
        <v>C10H16</v>
      </c>
      <c r="W177" s="1">
        <f>VLOOKUP($E177,'Product Naming'!$A$1:$P$58,6,FALSE)</f>
        <v>10</v>
      </c>
      <c r="X177" s="1">
        <f>VLOOKUP($E177,'Product Naming'!$A$1:$P$58,7,FALSE)</f>
        <v>16</v>
      </c>
      <c r="Y177" s="1">
        <f>VLOOKUP($E177,'Product Naming'!$A$1:$P$58,8,FALSE)</f>
        <v>0</v>
      </c>
      <c r="Z177" s="1">
        <f>VLOOKUP($E177,'Product Naming'!$A$1:$P$58,9,FALSE)</f>
        <v>0</v>
      </c>
      <c r="AA177" s="1">
        <f>VLOOKUP($E177,'Product Naming'!$A$1:$P$58,10,FALSE)</f>
        <v>0</v>
      </c>
      <c r="AB177" s="29">
        <f>VLOOKUP($E177,'Product Naming'!$A$1:$P$58,11,FALSE)</f>
        <v>5.6</v>
      </c>
      <c r="AC177" s="3">
        <f>VLOOKUP($E177,'Product Naming'!$A$1:$P$58,12,FALSE)</f>
        <v>136.23244</v>
      </c>
      <c r="AD177" s="1">
        <f>VLOOKUP($E177,'Product Naming'!$A$1:$P$58,13,FALSE)</f>
        <v>176</v>
      </c>
      <c r="AE177" s="1" t="str">
        <f>VLOOKUP($E177,'Product Naming'!$A$1:$P$58,14,FALSE)</f>
        <v>Isoprenoid; Aromatic (Cycloalkane)</v>
      </c>
      <c r="AF177" s="1" t="str">
        <f>VLOOKUP($E177,'Product Naming'!$A$1:$P$58,15,FALSE)</f>
        <v>Acetyl-CoA</v>
      </c>
      <c r="AG177" s="30" t="str">
        <f>VLOOKUP($E177,'Product Naming'!$A$1:$P$58,16,FALSE)</f>
        <v>Proton symporter</v>
      </c>
      <c r="AH177" s="3" t="str">
        <f>VLOOKUP($E177,'Product Naming'!$A$1:$Q$58,17,FALSE)</f>
        <v>limnen_c</v>
      </c>
      <c r="AI177" s="1">
        <f>VLOOKUP($E177,'Product Parameters'!$A$2:$D$59,2,FALSE)</f>
        <v>1</v>
      </c>
      <c r="AJ177" s="1">
        <f>VLOOKUP($E177,'Product Parameters'!$A$2:$D$59,3,FALSE)</f>
        <v>0</v>
      </c>
      <c r="AK177" s="1">
        <f>VLOOKUP($E177,'Product Parameters'!$A$2:$D$59,4,FALSE)</f>
        <v>0.12</v>
      </c>
      <c r="AL177" s="1">
        <f>VLOOKUP($E177,'Product Parameters'!$A$2:$E$59,5,FALSE)</f>
        <v>49.5</v>
      </c>
      <c r="AM177" s="1">
        <f>VLOOKUP($E177,'Product Parameters'!$A$2:$F$59,6,FALSE)</f>
        <v>10</v>
      </c>
      <c r="AN177" s="1">
        <f>VLOOKUP($C177,'Substrate Heating'!$A$2:$C$33,3,FALSE)</f>
        <v>120.9</v>
      </c>
      <c r="AO177" s="1">
        <f>VLOOKUP($C177,'Substrate Heating'!$A$2:$B$33,2,FALSE)</f>
        <v>5.2537372583834907</v>
      </c>
      <c r="AP177" s="1">
        <f>VLOOKUP($C177,'Substrate Heating'!$A$2:$M$33,13,FALSE)</f>
        <v>0</v>
      </c>
      <c r="AQ177" s="1">
        <f>VLOOKUP($C177,'Substrate Heating'!$A$2:$M$33,8,FALSE)</f>
        <v>0.33333333333333331</v>
      </c>
      <c r="AR177" s="1">
        <f t="shared" si="2"/>
        <v>0.92696629213482906</v>
      </c>
    </row>
    <row r="178" spans="1:44" x14ac:dyDescent="0.2">
      <c r="A178" s="17" t="s">
        <v>323</v>
      </c>
      <c r="B178" s="18" t="s">
        <v>324</v>
      </c>
      <c r="C178" t="s">
        <v>325</v>
      </c>
      <c r="D178" s="19" t="s">
        <v>326</v>
      </c>
      <c r="E178" t="s">
        <v>108</v>
      </c>
      <c r="F178" t="s">
        <v>109</v>
      </c>
      <c r="G178">
        <v>-10</v>
      </c>
      <c r="H178">
        <v>0</v>
      </c>
      <c r="I178">
        <v>0</v>
      </c>
      <c r="J178">
        <v>0.45</v>
      </c>
      <c r="K178">
        <v>-10</v>
      </c>
      <c r="L178">
        <v>0</v>
      </c>
      <c r="M178">
        <v>0</v>
      </c>
      <c r="N178">
        <v>5.3042654028436003</v>
      </c>
      <c r="O178">
        <v>0.202843601895735</v>
      </c>
      <c r="P178"/>
      <c r="Q178">
        <v>2.0284360189574E-2</v>
      </c>
      <c r="R178">
        <v>8.7008622445267997E-2</v>
      </c>
      <c r="S178" s="1" t="str">
        <f>VLOOKUP($E178,'Product Naming'!$A$1:$P$58,2,FALSE)</f>
        <v>4-Hydroxystyrene</v>
      </c>
      <c r="T178" s="1" t="str">
        <f>VLOOKUP($E178,'Product Naming'!$A$1:$P$58,3,FALSE)</f>
        <v>4-Hydroxystyrene</v>
      </c>
      <c r="U178" s="1" t="str">
        <f>VLOOKUP($E178,'Product Naming'!$A$1:$P$58,4,FALSE)</f>
        <v>E</v>
      </c>
      <c r="V178" s="1" t="str">
        <f>VLOOKUP($E178,'Product Naming'!$A$1:$P$58,5,FALSE)</f>
        <v>C8H8O</v>
      </c>
      <c r="W178" s="1">
        <f>VLOOKUP($E178,'Product Naming'!$A$1:$P$58,6,FALSE)</f>
        <v>8</v>
      </c>
      <c r="X178" s="1">
        <f>VLOOKUP($E178,'Product Naming'!$A$1:$P$58,7,FALSE)</f>
        <v>8</v>
      </c>
      <c r="Y178" s="1">
        <f>VLOOKUP($E178,'Product Naming'!$A$1:$P$58,8,FALSE)</f>
        <v>1</v>
      </c>
      <c r="Z178" s="1">
        <f>VLOOKUP($E178,'Product Naming'!$A$1:$P$58,9,FALSE)</f>
        <v>0</v>
      </c>
      <c r="AA178" s="1">
        <f>VLOOKUP($E178,'Product Naming'!$A$1:$P$58,10,FALSE)</f>
        <v>0</v>
      </c>
      <c r="AB178" s="29">
        <f>VLOOKUP($E178,'Product Naming'!$A$1:$P$58,11,FALSE)</f>
        <v>4.75</v>
      </c>
      <c r="AC178" s="3">
        <f>VLOOKUP($E178,'Product Naming'!$A$1:$P$58,12,FALSE)</f>
        <v>120.14731999999999</v>
      </c>
      <c r="AD178" s="1">
        <f>VLOOKUP($E178,'Product Naming'!$A$1:$P$58,13,FALSE)</f>
        <v>229</v>
      </c>
      <c r="AE178" s="1" t="str">
        <f>VLOOKUP($E178,'Product Naming'!$A$1:$P$58,14,FALSE)</f>
        <v>Aromatic + Alcohol</v>
      </c>
      <c r="AF178" s="1" t="str">
        <f>VLOOKUP($E178,'Product Naming'!$A$1:$P$58,15,FALSE)</f>
        <v>E4P + L-glutamate</v>
      </c>
      <c r="AG178" s="30" t="str">
        <f>VLOOKUP($E178,'Product Naming'!$A$1:$P$58,16,FALSE)</f>
        <v>Proton symporter</v>
      </c>
      <c r="AH178" s="3" t="str">
        <f>VLOOKUP($E178,'Product Naming'!$A$1:$Q$58,17,FALSE)</f>
        <v>4hxst_c</v>
      </c>
      <c r="AI178" s="1">
        <f>VLOOKUP($E178,'Product Parameters'!$A$2:$D$59,2,FALSE)</f>
        <v>1</v>
      </c>
      <c r="AJ178" s="1">
        <f>VLOOKUP($E178,'Product Parameters'!$A$2:$D$59,3,FALSE)</f>
        <v>0</v>
      </c>
      <c r="AK178" s="1">
        <f>VLOOKUP($E178,'Product Parameters'!$A$2:$D$59,4,FALSE)</f>
        <v>0.12</v>
      </c>
      <c r="AL178" s="1">
        <f>VLOOKUP($E178,'Product Parameters'!$A$2:$E$59,5,FALSE)</f>
        <v>40.65</v>
      </c>
      <c r="AM178" s="1">
        <f>VLOOKUP($E178,'Product Parameters'!$A$2:$F$59,6,FALSE)</f>
        <v>8</v>
      </c>
      <c r="AN178" s="1">
        <f>VLOOKUP($C178,'Substrate Heating'!$A$2:$C$33,3,FALSE)</f>
        <v>280.09700000000004</v>
      </c>
      <c r="AO178" s="1">
        <f>VLOOKUP($C178,'Substrate Heating'!$A$2:$B$33,2,FALSE)</f>
        <v>10</v>
      </c>
      <c r="AP178" s="1">
        <f>VLOOKUP($C178,'Substrate Heating'!$A$2:$M$33,13,FALSE)</f>
        <v>2</v>
      </c>
      <c r="AQ178" s="1">
        <f>VLOOKUP($C178,'Substrate Heating'!$A$2:$M$33,8,FALSE)</f>
        <v>1</v>
      </c>
      <c r="AR178" s="1">
        <f t="shared" si="2"/>
        <v>0.162274881516592</v>
      </c>
    </row>
    <row r="179" spans="1:44" x14ac:dyDescent="0.2">
      <c r="A179" s="17" t="s">
        <v>323</v>
      </c>
      <c r="B179" s="18" t="s">
        <v>324</v>
      </c>
      <c r="C179" t="s">
        <v>334</v>
      </c>
      <c r="D179" s="19" t="s">
        <v>326</v>
      </c>
      <c r="E179" t="s">
        <v>259</v>
      </c>
      <c r="F179" t="s">
        <v>260</v>
      </c>
      <c r="G179">
        <v>-10</v>
      </c>
      <c r="H179">
        <v>0</v>
      </c>
      <c r="I179">
        <v>-5</v>
      </c>
      <c r="J179">
        <v>0.45</v>
      </c>
      <c r="K179">
        <v>-10</v>
      </c>
      <c r="L179">
        <v>0</v>
      </c>
      <c r="M179">
        <v>-5</v>
      </c>
      <c r="N179">
        <v>3.7041666666666702</v>
      </c>
      <c r="O179">
        <v>0.30104166666666698</v>
      </c>
      <c r="P179"/>
      <c r="Q179">
        <v>3.0104166666666699E-2</v>
      </c>
      <c r="R179">
        <v>8.7185351898542193E-2</v>
      </c>
      <c r="S179" s="1" t="str">
        <f>VLOOKUP($E179,'Product Naming'!$A$1:$P$58,2,FALSE)</f>
        <v>Limonene</v>
      </c>
      <c r="T179" s="1" t="str">
        <f>VLOOKUP($E179,'Product Naming'!$A$1:$P$58,3,FALSE)</f>
        <v>Limonene</v>
      </c>
      <c r="U179" s="1" t="str">
        <f>VLOOKUP($E179,'Product Naming'!$A$1:$P$58,4,FALSE)</f>
        <v>E</v>
      </c>
      <c r="V179" s="1" t="str">
        <f>VLOOKUP($E179,'Product Naming'!$A$1:$P$58,5,FALSE)</f>
        <v>C10H16</v>
      </c>
      <c r="W179" s="1">
        <f>VLOOKUP($E179,'Product Naming'!$A$1:$P$58,6,FALSE)</f>
        <v>10</v>
      </c>
      <c r="X179" s="1">
        <f>VLOOKUP($E179,'Product Naming'!$A$1:$P$58,7,FALSE)</f>
        <v>16</v>
      </c>
      <c r="Y179" s="1">
        <f>VLOOKUP($E179,'Product Naming'!$A$1:$P$58,8,FALSE)</f>
        <v>0</v>
      </c>
      <c r="Z179" s="1">
        <f>VLOOKUP($E179,'Product Naming'!$A$1:$P$58,9,FALSE)</f>
        <v>0</v>
      </c>
      <c r="AA179" s="1">
        <f>VLOOKUP($E179,'Product Naming'!$A$1:$P$58,10,FALSE)</f>
        <v>0</v>
      </c>
      <c r="AB179" s="29">
        <f>VLOOKUP($E179,'Product Naming'!$A$1:$P$58,11,FALSE)</f>
        <v>5.6</v>
      </c>
      <c r="AC179" s="3">
        <f>VLOOKUP($E179,'Product Naming'!$A$1:$P$58,12,FALSE)</f>
        <v>136.23244</v>
      </c>
      <c r="AD179" s="1">
        <f>VLOOKUP($E179,'Product Naming'!$A$1:$P$58,13,FALSE)</f>
        <v>176</v>
      </c>
      <c r="AE179" s="1" t="str">
        <f>VLOOKUP($E179,'Product Naming'!$A$1:$P$58,14,FALSE)</f>
        <v>Isoprenoid; Aromatic (Cycloalkane)</v>
      </c>
      <c r="AF179" s="1" t="str">
        <f>VLOOKUP($E179,'Product Naming'!$A$1:$P$58,15,FALSE)</f>
        <v>Acetyl-CoA</v>
      </c>
      <c r="AG179" s="30" t="str">
        <f>VLOOKUP($E179,'Product Naming'!$A$1:$P$58,16,FALSE)</f>
        <v>Proton symporter</v>
      </c>
      <c r="AH179" s="3" t="str">
        <f>VLOOKUP($E179,'Product Naming'!$A$1:$Q$58,17,FALSE)</f>
        <v>limnen_c</v>
      </c>
      <c r="AI179" s="1">
        <f>VLOOKUP($E179,'Product Parameters'!$A$2:$D$59,2,FALSE)</f>
        <v>1</v>
      </c>
      <c r="AJ179" s="1">
        <f>VLOOKUP($E179,'Product Parameters'!$A$2:$D$59,3,FALSE)</f>
        <v>0</v>
      </c>
      <c r="AK179" s="1">
        <f>VLOOKUP($E179,'Product Parameters'!$A$2:$D$59,4,FALSE)</f>
        <v>0.12</v>
      </c>
      <c r="AL179" s="1">
        <f>VLOOKUP($E179,'Product Parameters'!$A$2:$E$59,5,FALSE)</f>
        <v>49.5</v>
      </c>
      <c r="AM179" s="1">
        <f>VLOOKUP($E179,'Product Parameters'!$A$2:$F$59,6,FALSE)</f>
        <v>10</v>
      </c>
      <c r="AN179" s="1">
        <f>VLOOKUP($C179,'Substrate Heating'!$A$2:$C$33,3,FALSE)</f>
        <v>249.93333333333334</v>
      </c>
      <c r="AO179" s="1">
        <f>VLOOKUP($C179,'Substrate Heating'!$A$2:$B$33,2,FALSE)</f>
        <v>8.1456827881222953</v>
      </c>
      <c r="AP179" s="1">
        <f>VLOOKUP($C179,'Substrate Heating'!$A$2:$M$33,13,FALSE)</f>
        <v>0.66666666666666663</v>
      </c>
      <c r="AQ179" s="1">
        <f>VLOOKUP($C179,'Substrate Heating'!$A$2:$M$33,8,FALSE)</f>
        <v>0.66666666666666663</v>
      </c>
      <c r="AR179" s="1">
        <f t="shared" si="2"/>
        <v>0.45156250000000048</v>
      </c>
    </row>
    <row r="180" spans="1:44" x14ac:dyDescent="0.2">
      <c r="A180" s="8" t="s">
        <v>34</v>
      </c>
      <c r="B180" s="9" t="s">
        <v>35</v>
      </c>
      <c r="C180" s="1" t="s">
        <v>337</v>
      </c>
      <c r="D180" s="23" t="s">
        <v>338</v>
      </c>
      <c r="E180" s="1" t="s">
        <v>114</v>
      </c>
      <c r="F180" s="1" t="s">
        <v>115</v>
      </c>
      <c r="G180" s="1">
        <v>-10</v>
      </c>
      <c r="H180" s="1">
        <v>-20</v>
      </c>
      <c r="I180" s="1" t="s">
        <v>40</v>
      </c>
      <c r="J180" s="1">
        <v>3.15</v>
      </c>
      <c r="K180" s="1">
        <v>-10</v>
      </c>
      <c r="L180" s="1">
        <v>-2.9088235294117601</v>
      </c>
      <c r="M180" s="1" t="s">
        <v>40</v>
      </c>
      <c r="N180" s="1">
        <v>8.2573529411764692</v>
      </c>
      <c r="O180" s="1">
        <v>0.34852941176470498</v>
      </c>
      <c r="Q180" s="1">
        <v>3.4852941176470503E-2</v>
      </c>
      <c r="R180" s="1">
        <v>8.8700059884739002E-2</v>
      </c>
      <c r="S180" s="1" t="str">
        <f>VLOOKUP($E180,'Product Naming'!$A$1:$P$58,2,FALSE)</f>
        <v>5-Aminopentanoate</v>
      </c>
      <c r="T180" s="1" t="str">
        <f>VLOOKUP($E180,'Product Naming'!$A$1:$P$58,3,FALSE)</f>
        <v>5-Aminopentanoate</v>
      </c>
      <c r="U180" s="1" t="str">
        <f>VLOOKUP($E180,'Product Naming'!$A$1:$P$58,4,FALSE)</f>
        <v>A</v>
      </c>
      <c r="V180" s="1" t="str">
        <f>VLOOKUP($E180,'Product Naming'!$A$1:$P$58,5,FALSE)</f>
        <v>C5H11NO2</v>
      </c>
      <c r="W180" s="1">
        <f>VLOOKUP($E180,'Product Naming'!$A$1:$P$58,6,FALSE)</f>
        <v>5</v>
      </c>
      <c r="X180" s="1">
        <f>VLOOKUP($E180,'Product Naming'!$A$1:$P$58,7,FALSE)</f>
        <v>11</v>
      </c>
      <c r="Y180" s="1">
        <f>VLOOKUP($E180,'Product Naming'!$A$1:$P$58,8,FALSE)</f>
        <v>2</v>
      </c>
      <c r="Z180" s="1">
        <f>VLOOKUP($E180,'Product Naming'!$A$1:$P$58,9,FALSE)</f>
        <v>1</v>
      </c>
      <c r="AA180" s="1">
        <f>VLOOKUP($E180,'Product Naming'!$A$1:$P$58,10,FALSE)</f>
        <v>0</v>
      </c>
      <c r="AB180" s="29">
        <f>VLOOKUP($E180,'Product Naming'!$A$1:$P$58,11,FALSE)</f>
        <v>4.8</v>
      </c>
      <c r="AC180" s="3">
        <f>VLOOKUP($E180,'Product Naming'!$A$1:$P$58,12,FALSE)</f>
        <v>117.14444</v>
      </c>
      <c r="AD180" s="1">
        <f>VLOOKUP($E180,'Product Naming'!$A$1:$P$58,13,FALSE)</f>
        <v>247.5</v>
      </c>
      <c r="AE180" s="1" t="str">
        <f>VLOOKUP($E180,'Product Naming'!$A$1:$P$58,14,FALSE)</f>
        <v>D-Amino Acid</v>
      </c>
      <c r="AF180" s="1" t="str">
        <f>VLOOKUP($E180,'Product Naming'!$A$1:$P$58,15,FALSE)</f>
        <v>Oxaloacetate</v>
      </c>
      <c r="AG180" s="30" t="str">
        <f>VLOOKUP($E180,'Product Naming'!$A$1:$P$58,16,FALSE)</f>
        <v>Proton symporter</v>
      </c>
      <c r="AH180" s="3" t="str">
        <f>VLOOKUP($E180,'Product Naming'!$A$1:$Q$58,17,FALSE)</f>
        <v>5aptn_c</v>
      </c>
      <c r="AI180" s="1">
        <f>VLOOKUP($E180,'Product Parameters'!$A$2:$D$59,2,FALSE)</f>
        <v>1</v>
      </c>
      <c r="AJ180" s="1">
        <f>VLOOKUP($E180,'Product Parameters'!$A$2:$D$59,3,FALSE)</f>
        <v>0</v>
      </c>
      <c r="AK180" s="1">
        <f>VLOOKUP($E180,'Product Parameters'!$A$2:$D$59,4,FALSE)</f>
        <v>0.12</v>
      </c>
      <c r="AL180" s="1">
        <f>VLOOKUP($E180,'Product Parameters'!$A$2:$E$59,5,FALSE)</f>
        <v>40.65</v>
      </c>
      <c r="AM180" s="1">
        <f>VLOOKUP($E180,'Product Parameters'!$A$2:$F$59,6,FALSE)</f>
        <v>5</v>
      </c>
      <c r="AN180" s="1">
        <f>VLOOKUP($C180,'Substrate Heating'!$A$2:$C$33,3,FALSE)</f>
        <v>247.59097</v>
      </c>
      <c r="AO180" s="1">
        <f>VLOOKUP($C180,'Substrate Heating'!$A$2:$B$33,2,FALSE)</f>
        <v>5.5</v>
      </c>
      <c r="AP180" s="1">
        <f>VLOOKUP($C180,'Substrate Heating'!$A$2:$M$33,13,FALSE)</f>
        <v>1</v>
      </c>
      <c r="AQ180" s="1">
        <f>VLOOKUP($C180,'Substrate Heating'!$A$2:$M$33,8,FALSE)</f>
        <v>1</v>
      </c>
      <c r="AR180" s="1">
        <f t="shared" si="2"/>
        <v>0.17426470588235252</v>
      </c>
    </row>
    <row r="181" spans="1:44" x14ac:dyDescent="0.2">
      <c r="A181" s="8" t="s">
        <v>34</v>
      </c>
      <c r="B181" s="9" t="s">
        <v>35</v>
      </c>
      <c r="C181" s="1" t="s">
        <v>337</v>
      </c>
      <c r="D181" s="23" t="s">
        <v>338</v>
      </c>
      <c r="E181" s="1" t="s">
        <v>192</v>
      </c>
      <c r="F181" s="1" t="s">
        <v>193</v>
      </c>
      <c r="G181" s="1">
        <v>-10</v>
      </c>
      <c r="H181" s="1">
        <v>-20</v>
      </c>
      <c r="I181" s="1" t="s">
        <v>40</v>
      </c>
      <c r="J181" s="1">
        <v>3.15</v>
      </c>
      <c r="K181" s="1">
        <v>-10</v>
      </c>
      <c r="L181" s="1">
        <v>-2.6174603174603202</v>
      </c>
      <c r="M181" s="1" t="s">
        <v>40</v>
      </c>
      <c r="N181" s="1">
        <v>7.7428571428571402</v>
      </c>
      <c r="O181" s="1">
        <v>0.25079365079365001</v>
      </c>
      <c r="Q181" s="1">
        <v>2.5079365079365E-2</v>
      </c>
      <c r="R181" s="1">
        <v>8.8891773299224E-2</v>
      </c>
      <c r="S181" s="1" t="str">
        <f>VLOOKUP($E181,'Product Naming'!$A$1:$P$58,2,FALSE)</f>
        <v>Coumaric acid</v>
      </c>
      <c r="T181" s="1" t="str">
        <f>VLOOKUP($E181,'Product Naming'!$A$1:$P$58,3,FALSE)</f>
        <v>Coumaric acid</v>
      </c>
      <c r="U181" s="1" t="str">
        <f>VLOOKUP($E181,'Product Naming'!$A$1:$P$58,4,FALSE)</f>
        <v>E</v>
      </c>
      <c r="V181" s="1" t="str">
        <f>VLOOKUP($E181,'Product Naming'!$A$1:$P$58,5,FALSE)</f>
        <v>C9H7O3</v>
      </c>
      <c r="W181" s="1">
        <f>VLOOKUP($E181,'Product Naming'!$A$1:$P$58,6,FALSE)</f>
        <v>9</v>
      </c>
      <c r="X181" s="1">
        <f>VLOOKUP($E181,'Product Naming'!$A$1:$P$58,7,FALSE)</f>
        <v>7</v>
      </c>
      <c r="Y181" s="1">
        <f>VLOOKUP($E181,'Product Naming'!$A$1:$P$58,8,FALSE)</f>
        <v>3</v>
      </c>
      <c r="Z181" s="1">
        <f>VLOOKUP($E181,'Product Naming'!$A$1:$P$58,9,FALSE)</f>
        <v>0</v>
      </c>
      <c r="AA181" s="1">
        <f>VLOOKUP($E181,'Product Naming'!$A$1:$P$58,10,FALSE)</f>
        <v>-1</v>
      </c>
      <c r="AB181" s="29">
        <f>VLOOKUP($E181,'Product Naming'!$A$1:$P$58,11,FALSE)</f>
        <v>4.1111111111111107</v>
      </c>
      <c r="AC181" s="3">
        <f>VLOOKUP($E181,'Product Naming'!$A$1:$P$58,12,FALSE)</f>
        <v>163.14818</v>
      </c>
      <c r="AD181" s="1">
        <f>VLOOKUP($E181,'Product Naming'!$A$1:$P$58,13,FALSE)</f>
        <v>346</v>
      </c>
      <c r="AE181" s="1" t="str">
        <f>VLOOKUP($E181,'Product Naming'!$A$1:$P$58,14,FALSE)</f>
        <v>Aromatic + Alcohol + Carboxylate</v>
      </c>
      <c r="AF181" s="1" t="str">
        <f>VLOOKUP($E181,'Product Naming'!$A$1:$P$58,15,FALSE)</f>
        <v>E4P + L-glutamate</v>
      </c>
      <c r="AG181" s="30" t="str">
        <f>VLOOKUP($E181,'Product Naming'!$A$1:$P$58,16,FALSE)</f>
        <v>Proton symporter</v>
      </c>
      <c r="AH181" s="3" t="str">
        <f>VLOOKUP($E181,'Product Naming'!$A$1:$Q$58,17,FALSE)</f>
        <v>T4hcinnm_c</v>
      </c>
      <c r="AI181" s="1">
        <f>VLOOKUP($E181,'Product Parameters'!$A$2:$D$59,2,FALSE)</f>
        <v>1</v>
      </c>
      <c r="AJ181" s="1">
        <f>VLOOKUP($E181,'Product Parameters'!$A$2:$D$59,3,FALSE)</f>
        <v>0</v>
      </c>
      <c r="AK181" s="1">
        <f>VLOOKUP($E181,'Product Parameters'!$A$2:$D$59,4,FALSE)</f>
        <v>0.12</v>
      </c>
      <c r="AL181" s="1">
        <f>VLOOKUP($E181,'Product Parameters'!$A$2:$E$59,5,FALSE)</f>
        <v>40.65</v>
      </c>
      <c r="AM181" s="1">
        <f>VLOOKUP($E181,'Product Parameters'!$A$2:$F$59,6,FALSE)</f>
        <v>9</v>
      </c>
      <c r="AN181" s="1">
        <f>VLOOKUP($C181,'Substrate Heating'!$A$2:$C$33,3,FALSE)</f>
        <v>247.59097</v>
      </c>
      <c r="AO181" s="1">
        <f>VLOOKUP($C181,'Substrate Heating'!$A$2:$B$33,2,FALSE)</f>
        <v>5.5</v>
      </c>
      <c r="AP181" s="1">
        <f>VLOOKUP($C181,'Substrate Heating'!$A$2:$M$33,13,FALSE)</f>
        <v>1</v>
      </c>
      <c r="AQ181" s="1">
        <f>VLOOKUP($C181,'Substrate Heating'!$A$2:$M$33,8,FALSE)</f>
        <v>1</v>
      </c>
      <c r="AR181" s="1">
        <f t="shared" si="2"/>
        <v>0.22571428571428501</v>
      </c>
    </row>
    <row r="182" spans="1:44" x14ac:dyDescent="0.2">
      <c r="A182" s="8" t="s">
        <v>792</v>
      </c>
      <c r="B182" s="18" t="s">
        <v>324</v>
      </c>
      <c r="C182" t="s">
        <v>365</v>
      </c>
      <c r="D182" s="23" t="s">
        <v>338</v>
      </c>
      <c r="E182" t="s">
        <v>225</v>
      </c>
      <c r="F182" t="s">
        <v>226</v>
      </c>
      <c r="G182">
        <v>-10</v>
      </c>
      <c r="H182">
        <v>0</v>
      </c>
      <c r="I182">
        <v>0</v>
      </c>
      <c r="J182">
        <v>0.45</v>
      </c>
      <c r="K182">
        <v>-10</v>
      </c>
      <c r="L182">
        <v>0</v>
      </c>
      <c r="M182" s="28" t="s">
        <v>770</v>
      </c>
      <c r="N182">
        <v>0</v>
      </c>
      <c r="O182">
        <v>0.37272727272727302</v>
      </c>
      <c r="P182"/>
      <c r="Q182" s="28" t="s">
        <v>771</v>
      </c>
      <c r="R182">
        <v>8.8963856553210693E-2</v>
      </c>
      <c r="S182" s="1" t="str">
        <f>VLOOKUP($E182,'Product Naming'!$A$1:$P$58,2,FALSE)</f>
        <v>Glycolate</v>
      </c>
      <c r="T182" s="1" t="str">
        <f>VLOOKUP($E182,'Product Naming'!$A$1:$P$58,3,FALSE)</f>
        <v>Glycolate</v>
      </c>
      <c r="U182" s="1" t="str">
        <f>VLOOKUP($E182,'Product Naming'!$A$1:$P$58,4,FALSE)</f>
        <v>iJO1366</v>
      </c>
      <c r="V182" s="1" t="str">
        <f>VLOOKUP($E182,'Product Naming'!$A$1:$P$58,5,FALSE)</f>
        <v>C2H3O3</v>
      </c>
      <c r="W182" s="1">
        <f>VLOOKUP($E182,'Product Naming'!$A$1:$P$58,6,FALSE)</f>
        <v>2</v>
      </c>
      <c r="X182" s="1">
        <f>VLOOKUP($E182,'Product Naming'!$A$1:$P$58,7,FALSE)</f>
        <v>3</v>
      </c>
      <c r="Y182" s="1">
        <f>VLOOKUP($E182,'Product Naming'!$A$1:$P$58,8,FALSE)</f>
        <v>3</v>
      </c>
      <c r="Z182" s="1">
        <f>VLOOKUP($E182,'Product Naming'!$A$1:$P$58,9,FALSE)</f>
        <v>0</v>
      </c>
      <c r="AA182" s="1">
        <f>VLOOKUP($E182,'Product Naming'!$A$1:$P$58,10,FALSE)</f>
        <v>-1</v>
      </c>
      <c r="AB182" s="29">
        <f>VLOOKUP($E182,'Product Naming'!$A$1:$P$58,11,FALSE)</f>
        <v>2.5</v>
      </c>
      <c r="AC182" s="3">
        <f>VLOOKUP($E182,'Product Naming'!$A$1:$P$58,12,FALSE)</f>
        <v>75.041920000000005</v>
      </c>
      <c r="AD182" s="1">
        <f>VLOOKUP($E182,'Product Naming'!$A$1:$P$58,13,FALSE)</f>
        <v>112</v>
      </c>
      <c r="AE182" s="1" t="str">
        <f>VLOOKUP($E182,'Product Naming'!$A$1:$P$58,14,FALSE)</f>
        <v>Carboxylate + Alcohol (hydroxy carboxylate)</v>
      </c>
      <c r="AF182" s="1" t="str">
        <f>VLOOKUP($E182,'Product Naming'!$A$1:$P$58,15,FALSE)</f>
        <v>Glyoxylate (*isocitrate)</v>
      </c>
      <c r="AG182" s="30" t="str">
        <f>VLOOKUP($E182,'Product Naming'!$A$1:$P$58,16,FALSE)</f>
        <v>Proton symporter</v>
      </c>
      <c r="AH182" s="3" t="str">
        <f>VLOOKUP($E182,'Product Naming'!$A$1:$Q$58,17,FALSE)</f>
        <v>glyclt_c</v>
      </c>
      <c r="AI182" s="1">
        <f>VLOOKUP($E182,'Product Parameters'!$A$2:$D$59,2,FALSE)</f>
        <v>1</v>
      </c>
      <c r="AJ182" s="1">
        <f>VLOOKUP($E182,'Product Parameters'!$A$2:$D$59,3,FALSE)</f>
        <v>0</v>
      </c>
      <c r="AK182" s="1">
        <f>VLOOKUP($E182,'Product Parameters'!$A$2:$D$59,4,FALSE)</f>
        <v>0.12</v>
      </c>
      <c r="AL182" s="1">
        <f>VLOOKUP($E182,'Product Parameters'!$A$2:$E$59,5,FALSE)</f>
        <v>40.65</v>
      </c>
      <c r="AM182" s="1">
        <f>VLOOKUP($E182,'Product Parameters'!$A$2:$F$59,6,FALSE)</f>
        <v>2</v>
      </c>
      <c r="AN182" s="1">
        <f>VLOOKUP($C182,'Substrate Heating'!$A$2:$C$33,3,FALSE)</f>
        <v>638.57832580000002</v>
      </c>
      <c r="AO182" s="1">
        <f>VLOOKUP($C182,'Substrate Heating'!$A$2:$B$33,2,FALSE)</f>
        <v>19.93</v>
      </c>
      <c r="AP182" s="1">
        <f>VLOOKUP($C182,'Substrate Heating'!$A$2:$M$33,13,FALSE)</f>
        <v>6</v>
      </c>
      <c r="AQ182" s="1">
        <f>VLOOKUP($C182,'Substrate Heating'!$A$2:$M$33,8,FALSE)</f>
        <v>1</v>
      </c>
      <c r="AR182" s="1">
        <f t="shared" si="2"/>
        <v>7.4545454545454595E-2</v>
      </c>
    </row>
    <row r="183" spans="1:44" x14ac:dyDescent="0.2">
      <c r="A183" s="8" t="s">
        <v>34</v>
      </c>
      <c r="B183" s="9" t="s">
        <v>35</v>
      </c>
      <c r="C183" s="1" t="s">
        <v>337</v>
      </c>
      <c r="D183" s="23" t="s">
        <v>338</v>
      </c>
      <c r="E183" s="1" t="s">
        <v>66</v>
      </c>
      <c r="F183" s="1" t="s">
        <v>67</v>
      </c>
      <c r="G183" s="1">
        <v>-10</v>
      </c>
      <c r="H183" s="1">
        <v>-20</v>
      </c>
      <c r="I183" s="1" t="s">
        <v>40</v>
      </c>
      <c r="J183" s="1">
        <v>3.15</v>
      </c>
      <c r="K183" s="1">
        <v>-10</v>
      </c>
      <c r="L183" s="1">
        <v>-2.4932692307692199</v>
      </c>
      <c r="M183" s="1" t="s">
        <v>40</v>
      </c>
      <c r="N183" s="1">
        <v>8.1769230769230692</v>
      </c>
      <c r="O183" s="1">
        <v>0.45576923076922699</v>
      </c>
      <c r="Q183" s="1">
        <v>4.5576923076922703E-2</v>
      </c>
      <c r="R183" s="1">
        <v>8.9232925034191404E-2</v>
      </c>
      <c r="S183" s="1" t="str">
        <f>VLOOKUP($E183,'Product Naming'!$A$1:$P$58,2,FALSE)</f>
        <v>1-4-butanediol</v>
      </c>
      <c r="T183" s="1" t="str">
        <f>VLOOKUP($E183,'Product Naming'!$A$1:$P$58,3,FALSE)</f>
        <v>1,4-Butanediol</v>
      </c>
      <c r="U183" s="1" t="str">
        <f>VLOOKUP($E183,'Product Naming'!$A$1:$P$58,4,FALSE)</f>
        <v>E</v>
      </c>
      <c r="V183" s="1" t="str">
        <f>VLOOKUP($E183,'Product Naming'!$A$1:$P$58,5,FALSE)</f>
        <v>C4H10O2</v>
      </c>
      <c r="W183" s="1">
        <f>VLOOKUP($E183,'Product Naming'!$A$1:$P$58,6,FALSE)</f>
        <v>4</v>
      </c>
      <c r="X183" s="1">
        <f>VLOOKUP($E183,'Product Naming'!$A$1:$P$58,7,FALSE)</f>
        <v>10</v>
      </c>
      <c r="Y183" s="1">
        <f>VLOOKUP($E183,'Product Naming'!$A$1:$P$58,8,FALSE)</f>
        <v>2</v>
      </c>
      <c r="Z183" s="1">
        <f>VLOOKUP($E183,'Product Naming'!$A$1:$P$58,9,FALSE)</f>
        <v>0</v>
      </c>
      <c r="AA183" s="1">
        <f>VLOOKUP($E183,'Product Naming'!$A$1:$P$58,10,FALSE)</f>
        <v>0</v>
      </c>
      <c r="AB183" s="29">
        <f>VLOOKUP($E183,'Product Naming'!$A$1:$P$58,11,FALSE)</f>
        <v>5.5</v>
      </c>
      <c r="AC183" s="3">
        <f>VLOOKUP($E183,'Product Naming'!$A$1:$P$58,12,FALSE)</f>
        <v>90.119200000000006</v>
      </c>
      <c r="AD183" s="1">
        <f>VLOOKUP($E183,'Product Naming'!$A$1:$P$58,13,FALSE)</f>
        <v>230</v>
      </c>
      <c r="AE183" s="1" t="str">
        <f>VLOOKUP($E183,'Product Naming'!$A$1:$P$58,14,FALSE)</f>
        <v>Diol</v>
      </c>
      <c r="AF183" s="1" t="str">
        <f>VLOOKUP($E183,'Product Naming'!$A$1:$P$58,15,FALSE)</f>
        <v>aKG</v>
      </c>
      <c r="AG183" s="30" t="str">
        <f>VLOOKUP($E183,'Product Naming'!$A$1:$P$58,16,FALSE)</f>
        <v>Proton symporter</v>
      </c>
      <c r="AH183" s="3" t="str">
        <f>VLOOKUP($E183,'Product Naming'!$A$1:$Q$58,17,FALSE)</f>
        <v>14bdo_c</v>
      </c>
      <c r="AI183" s="1">
        <f>VLOOKUP($E183,'Product Parameters'!$A$2:$D$59,2,FALSE)</f>
        <v>1</v>
      </c>
      <c r="AJ183" s="1">
        <f>VLOOKUP($E183,'Product Parameters'!$A$2:$D$59,3,FALSE)</f>
        <v>0</v>
      </c>
      <c r="AK183" s="1">
        <f>VLOOKUP($E183,'Product Parameters'!$A$2:$D$59,4,FALSE)</f>
        <v>0.12</v>
      </c>
      <c r="AL183" s="1">
        <f>VLOOKUP($E183,'Product Parameters'!$A$2:$E$59,5,FALSE)</f>
        <v>78</v>
      </c>
      <c r="AM183" s="1">
        <f>VLOOKUP($E183,'Product Parameters'!$A$2:$F$59,6,FALSE)</f>
        <v>4</v>
      </c>
      <c r="AN183" s="1">
        <f>VLOOKUP($C183,'Substrate Heating'!$A$2:$C$33,3,FALSE)</f>
        <v>247.59097</v>
      </c>
      <c r="AO183" s="1">
        <f>VLOOKUP($C183,'Substrate Heating'!$A$2:$B$33,2,FALSE)</f>
        <v>5.5</v>
      </c>
      <c r="AP183" s="1">
        <f>VLOOKUP($C183,'Substrate Heating'!$A$2:$M$33,13,FALSE)</f>
        <v>1</v>
      </c>
      <c r="AQ183" s="1">
        <f>VLOOKUP($C183,'Substrate Heating'!$A$2:$M$33,8,FALSE)</f>
        <v>1</v>
      </c>
      <c r="AR183" s="1">
        <f t="shared" si="2"/>
        <v>0.18230769230769081</v>
      </c>
    </row>
    <row r="184" spans="1:44" x14ac:dyDescent="0.2">
      <c r="A184" s="8" t="s">
        <v>34</v>
      </c>
      <c r="B184" s="9" t="s">
        <v>35</v>
      </c>
      <c r="C184" s="1" t="s">
        <v>337</v>
      </c>
      <c r="D184" s="23" t="s">
        <v>338</v>
      </c>
      <c r="E184" s="1" t="s">
        <v>175</v>
      </c>
      <c r="F184" s="1" t="s">
        <v>176</v>
      </c>
      <c r="G184" s="1">
        <v>-10</v>
      </c>
      <c r="H184" s="1">
        <v>-20</v>
      </c>
      <c r="I184" s="1" t="s">
        <v>40</v>
      </c>
      <c r="J184" s="1">
        <v>3.15</v>
      </c>
      <c r="K184" s="1">
        <v>-10</v>
      </c>
      <c r="L184" s="1">
        <v>-2.5740157480314898</v>
      </c>
      <c r="M184" s="1" t="s">
        <v>40</v>
      </c>
      <c r="N184" s="1">
        <v>7.76062992125983</v>
      </c>
      <c r="O184" s="1">
        <v>0.373228346456695</v>
      </c>
      <c r="Q184" s="1">
        <v>3.7322834645669503E-2</v>
      </c>
      <c r="R184" s="1">
        <v>8.9281439714451905E-2</v>
      </c>
      <c r="S184" s="1" t="str">
        <f>VLOOKUP($E184,'Product Naming'!$A$1:$P$58,2,FALSE)</f>
        <v>Catechol</v>
      </c>
      <c r="T184" s="1" t="str">
        <f>VLOOKUP($E184,'Product Naming'!$A$1:$P$58,3,FALSE)</f>
        <v>Catechol</v>
      </c>
      <c r="U184" s="1" t="str">
        <f>VLOOKUP($E184,'Product Naming'!$A$1:$P$58,4,FALSE)</f>
        <v>E</v>
      </c>
      <c r="V184" s="1" t="str">
        <f>VLOOKUP($E184,'Product Naming'!$A$1:$P$58,5,FALSE)</f>
        <v>C6H6O2</v>
      </c>
      <c r="W184" s="1">
        <f>VLOOKUP($E184,'Product Naming'!$A$1:$P$58,6,FALSE)</f>
        <v>6</v>
      </c>
      <c r="X184" s="1">
        <f>VLOOKUP($E184,'Product Naming'!$A$1:$P$58,7,FALSE)</f>
        <v>6</v>
      </c>
      <c r="Y184" s="1">
        <f>VLOOKUP($E184,'Product Naming'!$A$1:$P$58,8,FALSE)</f>
        <v>2</v>
      </c>
      <c r="Z184" s="1">
        <f>VLOOKUP($E184,'Product Naming'!$A$1:$P$58,9,FALSE)</f>
        <v>0</v>
      </c>
      <c r="AA184" s="1">
        <f>VLOOKUP($E184,'Product Naming'!$A$1:$P$58,10,FALSE)</f>
        <v>0</v>
      </c>
      <c r="AB184" s="29">
        <f>VLOOKUP($E184,'Product Naming'!$A$1:$P$58,11,FALSE)</f>
        <v>4.333333333333333</v>
      </c>
      <c r="AC184" s="3">
        <f>VLOOKUP($E184,'Product Naming'!$A$1:$P$58,12,FALSE)</f>
        <v>110.10924</v>
      </c>
      <c r="AD184" s="1">
        <f>VLOOKUP($E184,'Product Naming'!$A$1:$P$58,13,FALSE)</f>
        <v>245</v>
      </c>
      <c r="AE184" s="1" t="str">
        <f>VLOOKUP($E184,'Product Naming'!$A$1:$P$58,14,FALSE)</f>
        <v>Aromatic + Diol</v>
      </c>
      <c r="AF184" s="1" t="str">
        <f>VLOOKUP($E184,'Product Naming'!$A$1:$P$58,15,FALSE)</f>
        <v>Glyceraldehyde 3-P</v>
      </c>
      <c r="AG184" s="30" t="str">
        <f>VLOOKUP($E184,'Product Naming'!$A$1:$P$58,16,FALSE)</f>
        <v>Proton symporter</v>
      </c>
      <c r="AH184" s="3" t="str">
        <f>VLOOKUP($E184,'Product Naming'!$A$1:$Q$58,17,FALSE)</f>
        <v>catechol_c</v>
      </c>
      <c r="AI184" s="1">
        <f>VLOOKUP($E184,'Product Parameters'!$A$2:$D$59,2,FALSE)</f>
        <v>1</v>
      </c>
      <c r="AJ184" s="1">
        <f>VLOOKUP($E184,'Product Parameters'!$A$2:$D$59,3,FALSE)</f>
        <v>0</v>
      </c>
      <c r="AK184" s="1">
        <f>VLOOKUP($E184,'Product Parameters'!$A$2:$D$59,4,FALSE)</f>
        <v>0.12</v>
      </c>
      <c r="AL184" s="1">
        <f>VLOOKUP($E184,'Product Parameters'!$A$2:$E$59,5,FALSE)</f>
        <v>40.65</v>
      </c>
      <c r="AM184" s="1">
        <f>VLOOKUP($E184,'Product Parameters'!$A$2:$F$59,6,FALSE)</f>
        <v>6</v>
      </c>
      <c r="AN184" s="1">
        <f>VLOOKUP($C184,'Substrate Heating'!$A$2:$C$33,3,FALSE)</f>
        <v>247.59097</v>
      </c>
      <c r="AO184" s="1">
        <f>VLOOKUP($C184,'Substrate Heating'!$A$2:$B$33,2,FALSE)</f>
        <v>5.5</v>
      </c>
      <c r="AP184" s="1">
        <f>VLOOKUP($C184,'Substrate Heating'!$A$2:$M$33,13,FALSE)</f>
        <v>1</v>
      </c>
      <c r="AQ184" s="1">
        <f>VLOOKUP($C184,'Substrate Heating'!$A$2:$M$33,8,FALSE)</f>
        <v>1</v>
      </c>
      <c r="AR184" s="1">
        <f t="shared" si="2"/>
        <v>0.22393700787401702</v>
      </c>
    </row>
    <row r="185" spans="1:44" x14ac:dyDescent="0.2">
      <c r="A185" s="17" t="s">
        <v>323</v>
      </c>
      <c r="B185" s="18" t="s">
        <v>324</v>
      </c>
      <c r="C185" t="s">
        <v>336</v>
      </c>
      <c r="D185" s="19" t="s">
        <v>326</v>
      </c>
      <c r="E185" t="s">
        <v>297</v>
      </c>
      <c r="F185" t="s">
        <v>298</v>
      </c>
      <c r="G185">
        <v>-10</v>
      </c>
      <c r="H185">
        <v>0</v>
      </c>
      <c r="I185">
        <v>-20</v>
      </c>
      <c r="J185">
        <v>0.45</v>
      </c>
      <c r="K185">
        <v>-10</v>
      </c>
      <c r="L185">
        <v>0</v>
      </c>
      <c r="M185">
        <v>-18.106122448979601</v>
      </c>
      <c r="N185">
        <v>0</v>
      </c>
      <c r="O185">
        <v>0.473469387755102</v>
      </c>
      <c r="P185"/>
      <c r="Q185">
        <v>4.7346938775510203E-2</v>
      </c>
      <c r="R185" s="20">
        <v>8.9677231595191503E-2</v>
      </c>
      <c r="S185" s="1" t="str">
        <f>VLOOKUP($E185,'Product Naming'!$A$1:$P$58,2,FALSE)</f>
        <v>Phenol</v>
      </c>
      <c r="T185" s="1" t="str">
        <f>VLOOKUP($E185,'Product Naming'!$A$1:$P$58,3,FALSE)</f>
        <v>Phenol</v>
      </c>
      <c r="U185" s="1" t="str">
        <f>VLOOKUP($E185,'Product Naming'!$A$1:$P$58,4,FALSE)</f>
        <v>E-S</v>
      </c>
      <c r="V185" s="1" t="str">
        <f>VLOOKUP($E185,'Product Naming'!$A$1:$P$58,5,FALSE)</f>
        <v>C6H6O</v>
      </c>
      <c r="W185" s="1">
        <f>VLOOKUP($E185,'Product Naming'!$A$1:$P$58,6,FALSE)</f>
        <v>6</v>
      </c>
      <c r="X185" s="1">
        <f>VLOOKUP($E185,'Product Naming'!$A$1:$P$58,7,FALSE)</f>
        <v>6</v>
      </c>
      <c r="Y185" s="1">
        <f>VLOOKUP($E185,'Product Naming'!$A$1:$P$58,8,FALSE)</f>
        <v>1</v>
      </c>
      <c r="Z185" s="1">
        <f>VLOOKUP($E185,'Product Naming'!$A$1:$P$58,9,FALSE)</f>
        <v>0</v>
      </c>
      <c r="AA185" s="1">
        <f>VLOOKUP($E185,'Product Naming'!$A$1:$P$58,10,FALSE)</f>
        <v>0</v>
      </c>
      <c r="AB185" s="29">
        <f>VLOOKUP($E185,'Product Naming'!$A$1:$P$58,11,FALSE)</f>
        <v>4.666666666666667</v>
      </c>
      <c r="AC185" s="3">
        <f>VLOOKUP($E185,'Product Naming'!$A$1:$P$58,12,FALSE)</f>
        <v>94.11023999999999</v>
      </c>
      <c r="AD185" s="1">
        <f>VLOOKUP($E185,'Product Naming'!$A$1:$P$58,13,FALSE)</f>
        <v>181.7</v>
      </c>
      <c r="AE185" s="1" t="str">
        <f>VLOOKUP($E185,'Product Naming'!$A$1:$P$58,14,FALSE)</f>
        <v>Aromatic + Alcohol</v>
      </c>
      <c r="AF185" s="1" t="str">
        <f>VLOOKUP($E185,'Product Naming'!$A$1:$P$58,15,FALSE)</f>
        <v>E4P + L-glutamate</v>
      </c>
      <c r="AG185" s="30" t="str">
        <f>VLOOKUP($E185,'Product Naming'!$A$1:$P$58,16,FALSE)</f>
        <v>Proton symporter</v>
      </c>
      <c r="AH185" s="3" t="str">
        <f>VLOOKUP($E185,'Product Naming'!$A$1:$Q$58,17,FALSE)</f>
        <v>phenol_c</v>
      </c>
      <c r="AI185" s="1">
        <f>VLOOKUP($E185,'Product Parameters'!$A$2:$D$59,2,FALSE)</f>
        <v>1</v>
      </c>
      <c r="AJ185" s="1">
        <f>VLOOKUP($E185,'Product Parameters'!$A$2:$D$59,3,FALSE)</f>
        <v>0</v>
      </c>
      <c r="AK185" s="1">
        <f>VLOOKUP($E185,'Product Parameters'!$A$2:$D$59,4,FALSE)</f>
        <v>0.12</v>
      </c>
      <c r="AL185" s="1">
        <f>VLOOKUP($E185,'Product Parameters'!$A$2:$E$59,5,FALSE)</f>
        <v>58.8</v>
      </c>
      <c r="AM185" s="1">
        <f>VLOOKUP($E185,'Product Parameters'!$A$2:$F$59,6,FALSE)</f>
        <v>6</v>
      </c>
      <c r="AN185" s="1">
        <f>VLOOKUP($C185,'Substrate Heating'!$A$2:$C$33,3,FALSE)</f>
        <v>245.86666666666667</v>
      </c>
      <c r="AO185" s="1">
        <f>VLOOKUP($C185,'Substrate Heating'!$A$2:$B$33,2,FALSE)</f>
        <v>15.038360459876978</v>
      </c>
      <c r="AP185" s="1">
        <f>VLOOKUP($C185,'Substrate Heating'!$A$2:$M$33,13,FALSE)</f>
        <v>0.33333333333333331</v>
      </c>
      <c r="AQ185" s="1">
        <f>VLOOKUP($C185,'Substrate Heating'!$A$2:$M$33,8,FALSE)</f>
        <v>0.33333333333333331</v>
      </c>
      <c r="AR185" s="1">
        <f t="shared" si="2"/>
        <v>0.85224489795918357</v>
      </c>
    </row>
    <row r="186" spans="1:44" x14ac:dyDescent="0.2">
      <c r="A186" s="8" t="s">
        <v>809</v>
      </c>
      <c r="B186" s="18" t="s">
        <v>324</v>
      </c>
      <c r="C186" t="s">
        <v>808</v>
      </c>
      <c r="D186" s="19" t="s">
        <v>326</v>
      </c>
      <c r="E186" t="s">
        <v>175</v>
      </c>
      <c r="F186" t="s">
        <v>176</v>
      </c>
      <c r="G186">
        <v>-10</v>
      </c>
      <c r="H186">
        <v>0</v>
      </c>
      <c r="I186">
        <v>-20</v>
      </c>
      <c r="J186">
        <v>0.45</v>
      </c>
      <c r="K186">
        <v>-9.8072992700729902</v>
      </c>
      <c r="L186">
        <v>0</v>
      </c>
      <c r="M186">
        <v>-20</v>
      </c>
      <c r="N186">
        <v>-9.8072992700729902</v>
      </c>
      <c r="O186">
        <v>0.38540145985401397</v>
      </c>
      <c r="P186"/>
      <c r="Q186">
        <v>3.9297409943435502E-2</v>
      </c>
      <c r="R186">
        <v>8.9918909393198507E-2</v>
      </c>
      <c r="S186" s="1" t="str">
        <f>VLOOKUP($E186,'Product Naming'!$A$1:$P$58,2,FALSE)</f>
        <v>Catechol</v>
      </c>
      <c r="T186" s="1" t="str">
        <f>VLOOKUP($E186,'Product Naming'!$A$1:$P$58,3,FALSE)</f>
        <v>Catechol</v>
      </c>
      <c r="U186" s="1" t="str">
        <f>VLOOKUP($E186,'Product Naming'!$A$1:$P$58,4,FALSE)</f>
        <v>E</v>
      </c>
      <c r="V186" s="1" t="str">
        <f>VLOOKUP($E186,'Product Naming'!$A$1:$P$58,5,FALSE)</f>
        <v>C6H6O2</v>
      </c>
      <c r="W186" s="1">
        <f>VLOOKUP($E186,'Product Naming'!$A$1:$P$58,6,FALSE)</f>
        <v>6</v>
      </c>
      <c r="X186" s="1">
        <f>VLOOKUP($E186,'Product Naming'!$A$1:$P$58,7,FALSE)</f>
        <v>6</v>
      </c>
      <c r="Y186" s="1">
        <f>VLOOKUP($E186,'Product Naming'!$A$1:$P$58,8,FALSE)</f>
        <v>2</v>
      </c>
      <c r="Z186" s="1">
        <f>VLOOKUP($E186,'Product Naming'!$A$1:$P$58,9,FALSE)</f>
        <v>0</v>
      </c>
      <c r="AA186" s="1">
        <f>VLOOKUP($E186,'Product Naming'!$A$1:$P$58,10,FALSE)</f>
        <v>0</v>
      </c>
      <c r="AB186" s="29">
        <f>VLOOKUP($E186,'Product Naming'!$A$1:$P$58,11,FALSE)</f>
        <v>4.333333333333333</v>
      </c>
      <c r="AC186" s="3">
        <f>VLOOKUP($E186,'Product Naming'!$A$1:$P$58,12,FALSE)</f>
        <v>110.10924</v>
      </c>
      <c r="AD186" s="1">
        <f>VLOOKUP($E186,'Product Naming'!$A$1:$P$58,13,FALSE)</f>
        <v>245</v>
      </c>
      <c r="AE186" s="1" t="str">
        <f>VLOOKUP($E186,'Product Naming'!$A$1:$P$58,14,FALSE)</f>
        <v>Aromatic + Diol</v>
      </c>
      <c r="AF186" s="1" t="str">
        <f>VLOOKUP($E186,'Product Naming'!$A$1:$P$58,15,FALSE)</f>
        <v>Glyceraldehyde 3-P</v>
      </c>
      <c r="AG186" s="30" t="str">
        <f>VLOOKUP($E186,'Product Naming'!$A$1:$P$58,16,FALSE)</f>
        <v>Proton symporter</v>
      </c>
      <c r="AH186" s="3" t="str">
        <f>VLOOKUP($E186,'Product Naming'!$A$1:$Q$58,17,FALSE)</f>
        <v>catechol_c</v>
      </c>
      <c r="AI186" s="1">
        <f>VLOOKUP($E186,'Product Parameters'!$A$2:$D$59,2,FALSE)</f>
        <v>1</v>
      </c>
      <c r="AJ186" s="1">
        <f>VLOOKUP($E186,'Product Parameters'!$A$2:$D$59,3,FALSE)</f>
        <v>0</v>
      </c>
      <c r="AK186" s="1">
        <f>VLOOKUP($E186,'Product Parameters'!$A$2:$D$59,4,FALSE)</f>
        <v>0.12</v>
      </c>
      <c r="AL186" s="1">
        <f>VLOOKUP($E186,'Product Parameters'!$A$2:$E$59,5,FALSE)</f>
        <v>40.65</v>
      </c>
      <c r="AM186" s="1">
        <f>VLOOKUP($E186,'Product Parameters'!$A$2:$F$59,6,FALSE)</f>
        <v>6</v>
      </c>
      <c r="AN186" s="1">
        <f>VLOOKUP($C186,'Substrate Heating'!$A$2:$C$33,3,FALSE)</f>
        <v>120.9</v>
      </c>
      <c r="AO186" s="1">
        <f>VLOOKUP($C186,'Substrate Heating'!$A$2:$B$33,2,FALSE)</f>
        <v>5.2537372583834907</v>
      </c>
      <c r="AP186" s="1">
        <f>VLOOKUP($C186,'Substrate Heating'!$A$2:$M$33,13,FALSE)</f>
        <v>0</v>
      </c>
      <c r="AQ186" s="1">
        <f>VLOOKUP($C186,'Substrate Heating'!$A$2:$M$33,8,FALSE)</f>
        <v>0.33333333333333331</v>
      </c>
      <c r="AR186" s="1">
        <f t="shared" si="2"/>
        <v>0.70735337898183903</v>
      </c>
    </row>
    <row r="187" spans="1:44" x14ac:dyDescent="0.2">
      <c r="A187" s="8" t="s">
        <v>809</v>
      </c>
      <c r="B187" s="18" t="s">
        <v>324</v>
      </c>
      <c r="C187" t="s">
        <v>808</v>
      </c>
      <c r="D187" s="19" t="s">
        <v>326</v>
      </c>
      <c r="E187" t="s">
        <v>124</v>
      </c>
      <c r="F187" t="s">
        <v>125</v>
      </c>
      <c r="G187">
        <v>-10</v>
      </c>
      <c r="H187">
        <v>0</v>
      </c>
      <c r="I187">
        <v>-20</v>
      </c>
      <c r="J187">
        <v>0.45</v>
      </c>
      <c r="K187">
        <v>-10</v>
      </c>
      <c r="L187">
        <v>0</v>
      </c>
      <c r="M187">
        <v>-20</v>
      </c>
      <c r="N187">
        <v>-10</v>
      </c>
      <c r="O187">
        <v>0.61395348837209696</v>
      </c>
      <c r="P187"/>
      <c r="Q187">
        <v>6.13953488372097E-2</v>
      </c>
      <c r="R187">
        <v>9.0803084510356402E-2</v>
      </c>
      <c r="S187" s="1" t="str">
        <f>VLOOKUP($E187,'Product Naming'!$A$1:$P$58,2,FALSE)</f>
        <v>Acrylate-PW1</v>
      </c>
      <c r="T187" s="1" t="str">
        <f>VLOOKUP($E187,'Product Naming'!$A$1:$P$58,3,FALSE)</f>
        <v>Acrylate (PW1)</v>
      </c>
      <c r="U187" s="1" t="str">
        <f>VLOOKUP($E187,'Product Naming'!$A$1:$P$58,4,FALSE)</f>
        <v>A</v>
      </c>
      <c r="V187" s="1" t="str">
        <f>VLOOKUP($E187,'Product Naming'!$A$1:$P$58,5,FALSE)</f>
        <v>C3H3O2</v>
      </c>
      <c r="W187" s="1">
        <f>VLOOKUP($E187,'Product Naming'!$A$1:$P$58,6,FALSE)</f>
        <v>3</v>
      </c>
      <c r="X187" s="1">
        <f>VLOOKUP($E187,'Product Naming'!$A$1:$P$58,7,FALSE)</f>
        <v>3</v>
      </c>
      <c r="Y187" s="1">
        <f>VLOOKUP($E187,'Product Naming'!$A$1:$P$58,8,FALSE)</f>
        <v>2</v>
      </c>
      <c r="Z187" s="1">
        <f>VLOOKUP($E187,'Product Naming'!$A$1:$P$58,9,FALSE)</f>
        <v>0</v>
      </c>
      <c r="AA187" s="1">
        <f>VLOOKUP($E187,'Product Naming'!$A$1:$P$58,10,FALSE)</f>
        <v>-1</v>
      </c>
      <c r="AB187" s="29">
        <f>VLOOKUP($E187,'Product Naming'!$A$1:$P$58,11,FALSE)</f>
        <v>3.6666666666666665</v>
      </c>
      <c r="AC187" s="3">
        <f>VLOOKUP($E187,'Product Naming'!$A$1:$P$58,12,FALSE)</f>
        <v>71.053619999999995</v>
      </c>
      <c r="AD187" s="1">
        <f>VLOOKUP($E187,'Product Naming'!$A$1:$P$58,13,FALSE)</f>
        <v>80</v>
      </c>
      <c r="AE187" s="1" t="str">
        <f>VLOOKUP($E187,'Product Naming'!$A$1:$P$58,14,FALSE)</f>
        <v>Carboxylate</v>
      </c>
      <c r="AF187" s="1" t="str">
        <f>VLOOKUP($E187,'Product Naming'!$A$1:$P$58,15,FALSE)</f>
        <v>Glyceraldehyde 3-P</v>
      </c>
      <c r="AG187" s="30" t="str">
        <f>VLOOKUP($E187,'Product Naming'!$A$1:$P$58,16,FALSE)</f>
        <v>Proton symporter</v>
      </c>
      <c r="AH187" s="3" t="str">
        <f>VLOOKUP($E187,'Product Naming'!$A$1:$Q$58,17,FALSE)</f>
        <v>acryl_c</v>
      </c>
      <c r="AI187" s="1">
        <f>VLOOKUP($E187,'Product Parameters'!$A$2:$D$59,2,FALSE)</f>
        <v>1</v>
      </c>
      <c r="AJ187" s="1">
        <f>VLOOKUP($E187,'Product Parameters'!$A$2:$D$59,3,FALSE)</f>
        <v>0</v>
      </c>
      <c r="AK187" s="1">
        <f>VLOOKUP($E187,'Product Parameters'!$A$2:$D$59,4,FALSE)</f>
        <v>0.12</v>
      </c>
      <c r="AL187" s="1">
        <f>VLOOKUP($E187,'Product Parameters'!$A$2:$E$59,5,FALSE)</f>
        <v>53.1</v>
      </c>
      <c r="AM187" s="1">
        <f>VLOOKUP($E187,'Product Parameters'!$A$2:$F$59,6,FALSE)</f>
        <v>3</v>
      </c>
      <c r="AN187" s="1">
        <f>VLOOKUP($C187,'Substrate Heating'!$A$2:$C$33,3,FALSE)</f>
        <v>120.9</v>
      </c>
      <c r="AO187" s="1">
        <f>VLOOKUP($C187,'Substrate Heating'!$A$2:$B$33,2,FALSE)</f>
        <v>5.2537372583834907</v>
      </c>
      <c r="AP187" s="1">
        <f>VLOOKUP($C187,'Substrate Heating'!$A$2:$M$33,13,FALSE)</f>
        <v>0</v>
      </c>
      <c r="AQ187" s="1">
        <f>VLOOKUP($C187,'Substrate Heating'!$A$2:$M$33,8,FALSE)</f>
        <v>0.33333333333333331</v>
      </c>
      <c r="AR187" s="1">
        <f t="shared" si="2"/>
        <v>0.5525581395348873</v>
      </c>
    </row>
    <row r="188" spans="1:44" x14ac:dyDescent="0.2">
      <c r="A188" s="17" t="s">
        <v>323</v>
      </c>
      <c r="B188" s="18" t="s">
        <v>324</v>
      </c>
      <c r="C188" t="s">
        <v>336</v>
      </c>
      <c r="D188" s="19" t="s">
        <v>326</v>
      </c>
      <c r="E188" t="s">
        <v>313</v>
      </c>
      <c r="F188" t="s">
        <v>314</v>
      </c>
      <c r="G188">
        <v>-10</v>
      </c>
      <c r="H188">
        <v>0</v>
      </c>
      <c r="I188">
        <v>-20</v>
      </c>
      <c r="J188">
        <v>0.45</v>
      </c>
      <c r="K188">
        <v>-10</v>
      </c>
      <c r="L188">
        <v>0</v>
      </c>
      <c r="M188">
        <v>-18.2490566037736</v>
      </c>
      <c r="N188">
        <v>0</v>
      </c>
      <c r="O188">
        <v>0.43773584905660401</v>
      </c>
      <c r="P188"/>
      <c r="Q188">
        <v>4.3773584905660398E-2</v>
      </c>
      <c r="R188" s="20">
        <v>9.1699190471036404E-2</v>
      </c>
      <c r="S188" s="1" t="str">
        <f>VLOOKUP($E188,'Product Naming'!$A$1:$P$58,2,FALSE)</f>
        <v>Styrene</v>
      </c>
      <c r="T188" s="1" t="str">
        <f>VLOOKUP($E188,'Product Naming'!$A$1:$P$58,3,FALSE)</f>
        <v>Styrene</v>
      </c>
      <c r="U188" s="1" t="str">
        <f>VLOOKUP($E188,'Product Naming'!$A$1:$P$58,4,FALSE)</f>
        <v>E-S</v>
      </c>
      <c r="V188" s="1" t="str">
        <f>VLOOKUP($E188,'Product Naming'!$A$1:$P$58,5,FALSE)</f>
        <v>C8H8</v>
      </c>
      <c r="W188" s="1">
        <f>VLOOKUP($E188,'Product Naming'!$A$1:$P$58,6,FALSE)</f>
        <v>8</v>
      </c>
      <c r="X188" s="1">
        <f>VLOOKUP($E188,'Product Naming'!$A$1:$P$58,7,FALSE)</f>
        <v>8</v>
      </c>
      <c r="Y188" s="1">
        <f>VLOOKUP($E188,'Product Naming'!$A$1:$P$58,8,FALSE)</f>
        <v>0</v>
      </c>
      <c r="Z188" s="1">
        <f>VLOOKUP($E188,'Product Naming'!$A$1:$P$58,9,FALSE)</f>
        <v>0</v>
      </c>
      <c r="AA188" s="1">
        <f>VLOOKUP($E188,'Product Naming'!$A$1:$P$58,10,FALSE)</f>
        <v>0</v>
      </c>
      <c r="AB188" s="29">
        <f>VLOOKUP($E188,'Product Naming'!$A$1:$P$58,11,FALSE)</f>
        <v>5</v>
      </c>
      <c r="AC188" s="3">
        <f>VLOOKUP($E188,'Product Naming'!$A$1:$P$58,12,FALSE)</f>
        <v>104.14832</v>
      </c>
      <c r="AD188" s="1">
        <f>VLOOKUP($E188,'Product Naming'!$A$1:$P$58,13,FALSE)</f>
        <v>145</v>
      </c>
      <c r="AE188" s="1" t="str">
        <f>VLOOKUP($E188,'Product Naming'!$A$1:$P$58,14,FALSE)</f>
        <v>Cycloalkane</v>
      </c>
      <c r="AF188" s="1" t="str">
        <f>VLOOKUP($E188,'Product Naming'!$A$1:$P$58,15,FALSE)</f>
        <v>E4P</v>
      </c>
      <c r="AG188" s="30" t="str">
        <f>VLOOKUP($E188,'Product Naming'!$A$1:$P$58,16,FALSE)</f>
        <v>Proton symporter</v>
      </c>
      <c r="AH188" s="3" t="str">
        <f>VLOOKUP($E188,'Product Naming'!$A$1:$Q$58,17,FALSE)</f>
        <v>styr_c</v>
      </c>
      <c r="AI188" s="1">
        <f>VLOOKUP($E188,'Product Parameters'!$A$2:$D$59,2,FALSE)</f>
        <v>1</v>
      </c>
      <c r="AJ188" s="1">
        <f>VLOOKUP($E188,'Product Parameters'!$A$2:$D$59,3,FALSE)</f>
        <v>0</v>
      </c>
      <c r="AK188" s="1">
        <f>VLOOKUP($E188,'Product Parameters'!$A$2:$D$59,4,FALSE)</f>
        <v>0.12</v>
      </c>
      <c r="AL188" s="1">
        <f>VLOOKUP($E188,'Product Parameters'!$A$2:$E$59,5,FALSE)</f>
        <v>43.9</v>
      </c>
      <c r="AM188" s="1">
        <f>VLOOKUP($E188,'Product Parameters'!$A$2:$F$59,6,FALSE)</f>
        <v>8</v>
      </c>
      <c r="AN188" s="1">
        <f>VLOOKUP($C188,'Substrate Heating'!$A$2:$C$33,3,FALSE)</f>
        <v>245.86666666666667</v>
      </c>
      <c r="AO188" s="1">
        <f>VLOOKUP($C188,'Substrate Heating'!$A$2:$B$33,2,FALSE)</f>
        <v>15.038360459876978</v>
      </c>
      <c r="AP188" s="1">
        <f>VLOOKUP($C188,'Substrate Heating'!$A$2:$M$33,13,FALSE)</f>
        <v>0.33333333333333331</v>
      </c>
      <c r="AQ188" s="1">
        <f>VLOOKUP($C188,'Substrate Heating'!$A$2:$M$33,8,FALSE)</f>
        <v>0.33333333333333331</v>
      </c>
      <c r="AR188" s="1">
        <f t="shared" si="2"/>
        <v>1.0505660377358497</v>
      </c>
    </row>
    <row r="189" spans="1:44" x14ac:dyDescent="0.2">
      <c r="A189" s="8" t="s">
        <v>34</v>
      </c>
      <c r="B189" s="9" t="s">
        <v>35</v>
      </c>
      <c r="C189" s="1" t="s">
        <v>339</v>
      </c>
      <c r="D189" s="23" t="s">
        <v>338</v>
      </c>
      <c r="E189" s="1" t="s">
        <v>308</v>
      </c>
      <c r="F189" s="1" t="s">
        <v>309</v>
      </c>
      <c r="G189" s="1">
        <v>-10</v>
      </c>
      <c r="H189" s="1">
        <v>-20</v>
      </c>
      <c r="I189" s="1" t="s">
        <v>40</v>
      </c>
      <c r="J189" s="1">
        <v>3.15</v>
      </c>
      <c r="K189" s="1">
        <v>-10</v>
      </c>
      <c r="L189" s="1">
        <v>-3.2896907216494902</v>
      </c>
      <c r="M189" s="1" t="s">
        <v>40</v>
      </c>
      <c r="N189" s="1">
        <v>8.2896907216494906</v>
      </c>
      <c r="O189" s="1">
        <v>0.24432989690721801</v>
      </c>
      <c r="Q189" s="1">
        <v>2.4432989690721801E-2</v>
      </c>
      <c r="R189" s="1">
        <v>9.1904754206572001E-2</v>
      </c>
      <c r="S189" s="1" t="str">
        <f>VLOOKUP($E189,'Product Naming'!$A$1:$P$58,2,FALSE)</f>
        <v>Shikimate</v>
      </c>
      <c r="T189" s="1" t="str">
        <f>VLOOKUP($E189,'Product Naming'!$A$1:$P$58,3,FALSE)</f>
        <v>Shikimate</v>
      </c>
      <c r="U189" s="1" t="str">
        <f>VLOOKUP($E189,'Product Naming'!$A$1:$P$58,4,FALSE)</f>
        <v>E</v>
      </c>
      <c r="V189" s="1" t="str">
        <f>VLOOKUP($E189,'Product Naming'!$A$1:$P$58,5,FALSE)</f>
        <v>C7H9O5</v>
      </c>
      <c r="W189" s="1">
        <f>VLOOKUP($E189,'Product Naming'!$A$1:$P$58,6,FALSE)</f>
        <v>7</v>
      </c>
      <c r="X189" s="1">
        <f>VLOOKUP($E189,'Product Naming'!$A$1:$P$58,7,FALSE)</f>
        <v>9</v>
      </c>
      <c r="Y189" s="1">
        <f>VLOOKUP($E189,'Product Naming'!$A$1:$P$58,8,FALSE)</f>
        <v>5</v>
      </c>
      <c r="Z189" s="1">
        <f>VLOOKUP($E189,'Product Naming'!$A$1:$P$58,9,FALSE)</f>
        <v>0</v>
      </c>
      <c r="AA189" s="1">
        <f>VLOOKUP($E189,'Product Naming'!$A$1:$P$58,10,FALSE)</f>
        <v>-1</v>
      </c>
      <c r="AB189" s="29">
        <f>VLOOKUP($E189,'Product Naming'!$A$1:$P$58,11,FALSE)</f>
        <v>3.8571428571428572</v>
      </c>
      <c r="AC189" s="3">
        <f>VLOOKUP($E189,'Product Naming'!$A$1:$P$58,12,FALSE)</f>
        <v>173.14046000000002</v>
      </c>
      <c r="AD189" s="1">
        <f>VLOOKUP($E189,'Product Naming'!$A$1:$P$58,13,FALSE)</f>
        <v>400.5</v>
      </c>
      <c r="AE189" s="1" t="str">
        <f>VLOOKUP($E189,'Product Naming'!$A$1:$P$58,14,FALSE)</f>
        <v>Aromatic + Alcohol + Carboxylate</v>
      </c>
      <c r="AF189" s="1" t="str">
        <f>VLOOKUP($E189,'Product Naming'!$A$1:$P$58,15,FALSE)</f>
        <v>PEP + E4P (Glyceraldehyde 3-P)</v>
      </c>
      <c r="AG189" s="30" t="str">
        <f>VLOOKUP($E189,'Product Naming'!$A$1:$P$58,16,FALSE)</f>
        <v>Proton symporter</v>
      </c>
      <c r="AH189" s="3" t="str">
        <f>VLOOKUP($E189,'Product Naming'!$A$1:$Q$58,17,FALSE)</f>
        <v>skm_c</v>
      </c>
      <c r="AI189" s="1">
        <f>VLOOKUP($E189,'Product Parameters'!$A$2:$D$59,2,FALSE)</f>
        <v>1</v>
      </c>
      <c r="AJ189" s="1">
        <f>VLOOKUP($E189,'Product Parameters'!$A$2:$D$59,3,FALSE)</f>
        <v>0</v>
      </c>
      <c r="AK189" s="1">
        <f>VLOOKUP($E189,'Product Parameters'!$A$2:$D$59,4,FALSE)</f>
        <v>0.12</v>
      </c>
      <c r="AL189" s="1">
        <f>VLOOKUP($E189,'Product Parameters'!$A$2:$E$59,5,FALSE)</f>
        <v>40.65</v>
      </c>
      <c r="AM189" s="1">
        <f>VLOOKUP($E189,'Product Parameters'!$A$2:$F$59,6,FALSE)</f>
        <v>7</v>
      </c>
      <c r="AN189" s="1">
        <f>VLOOKUP($C189,'Substrate Heating'!$A$2:$C$33,3,FALSE)</f>
        <v>247.59097</v>
      </c>
      <c r="AO189" s="1">
        <f>VLOOKUP($C189,'Substrate Heating'!$A$2:$B$33,2,FALSE)</f>
        <v>5.5</v>
      </c>
      <c r="AP189" s="1">
        <f>VLOOKUP($C189,'Substrate Heating'!$A$2:$M$33,13,FALSE)</f>
        <v>1</v>
      </c>
      <c r="AQ189" s="1">
        <f>VLOOKUP($C189,'Substrate Heating'!$A$2:$M$33,8,FALSE)</f>
        <v>1</v>
      </c>
      <c r="AR189" s="1">
        <f t="shared" si="2"/>
        <v>0.17103092783505261</v>
      </c>
    </row>
    <row r="190" spans="1:44" x14ac:dyDescent="0.2">
      <c r="A190" s="8" t="s">
        <v>34</v>
      </c>
      <c r="B190" s="9" t="s">
        <v>35</v>
      </c>
      <c r="C190" s="1" t="s">
        <v>337</v>
      </c>
      <c r="D190" s="23" t="s">
        <v>338</v>
      </c>
      <c r="E190" s="1" t="s">
        <v>119</v>
      </c>
      <c r="F190" s="1" t="s">
        <v>120</v>
      </c>
      <c r="G190" s="1">
        <v>-10</v>
      </c>
      <c r="H190" s="1">
        <v>-20</v>
      </c>
      <c r="I190" s="1" t="s">
        <v>40</v>
      </c>
      <c r="J190" s="1">
        <v>3.15</v>
      </c>
      <c r="K190" s="1">
        <v>-10</v>
      </c>
      <c r="L190" s="1">
        <v>-2.0830769230769302</v>
      </c>
      <c r="M190" s="1" t="s">
        <v>40</v>
      </c>
      <c r="N190" s="1">
        <v>7.81230769230769</v>
      </c>
      <c r="O190" s="1">
        <v>0.72923076923076602</v>
      </c>
      <c r="Q190" s="1">
        <v>7.2923076923076605E-2</v>
      </c>
      <c r="R190" s="1">
        <v>9.2011155229878502E-2</v>
      </c>
      <c r="S190" s="1" t="str">
        <f>VLOOKUP($E190,'Product Naming'!$A$1:$P$58,2,FALSE)</f>
        <v>Acetone</v>
      </c>
      <c r="T190" s="1" t="str">
        <f>VLOOKUP($E190,'Product Naming'!$A$1:$P$58,3,FALSE)</f>
        <v>Acetone</v>
      </c>
      <c r="U190" s="1" t="str">
        <f>VLOOKUP($E190,'Product Naming'!$A$1:$P$58,4,FALSE)</f>
        <v>A</v>
      </c>
      <c r="V190" s="1" t="str">
        <f>VLOOKUP($E190,'Product Naming'!$A$1:$P$58,5,FALSE)</f>
        <v>C3H6O</v>
      </c>
      <c r="W190" s="1">
        <f>VLOOKUP($E190,'Product Naming'!$A$1:$P$58,6,FALSE)</f>
        <v>3</v>
      </c>
      <c r="X190" s="1">
        <f>VLOOKUP($E190,'Product Naming'!$A$1:$P$58,7,FALSE)</f>
        <v>6</v>
      </c>
      <c r="Y190" s="1">
        <f>VLOOKUP($E190,'Product Naming'!$A$1:$P$58,8,FALSE)</f>
        <v>1</v>
      </c>
      <c r="Z190" s="1">
        <f>VLOOKUP($E190,'Product Naming'!$A$1:$P$58,9,FALSE)</f>
        <v>0</v>
      </c>
      <c r="AA190" s="1">
        <f>VLOOKUP($E190,'Product Naming'!$A$1:$P$58,10,FALSE)</f>
        <v>0</v>
      </c>
      <c r="AB190" s="29">
        <f>VLOOKUP($E190,'Product Naming'!$A$1:$P$58,11,FALSE)</f>
        <v>5.333333333333333</v>
      </c>
      <c r="AC190" s="3">
        <f>VLOOKUP($E190,'Product Naming'!$A$1:$P$58,12,FALSE)</f>
        <v>58.078140000000005</v>
      </c>
      <c r="AD190" s="1">
        <f>VLOOKUP($E190,'Product Naming'!$A$1:$P$58,13,FALSE)</f>
        <v>56</v>
      </c>
      <c r="AE190" s="1" t="str">
        <f>VLOOKUP($E190,'Product Naming'!$A$1:$P$58,14,FALSE)</f>
        <v>Ketone</v>
      </c>
      <c r="AF190" s="1" t="str">
        <f>VLOOKUP($E190,'Product Naming'!$A$1:$P$58,15,FALSE)</f>
        <v>Acetyl-CoA</v>
      </c>
      <c r="AG190" s="30" t="str">
        <f>VLOOKUP($E190,'Product Naming'!$A$1:$P$58,16,FALSE)</f>
        <v>Proton symporter</v>
      </c>
      <c r="AH190" s="3" t="str">
        <f>VLOOKUP($E190,'Product Naming'!$A$1:$Q$58,17,FALSE)</f>
        <v>acetone_c</v>
      </c>
      <c r="AI190" s="1">
        <f>VLOOKUP($E190,'Product Parameters'!$A$2:$D$59,2,FALSE)</f>
        <v>1</v>
      </c>
      <c r="AJ190" s="1">
        <f>VLOOKUP($E190,'Product Parameters'!$A$2:$D$59,3,FALSE)</f>
        <v>0</v>
      </c>
      <c r="AK190" s="1">
        <f>VLOOKUP($E190,'Product Parameters'!$A$2:$D$59,4,FALSE)</f>
        <v>0.12</v>
      </c>
      <c r="AL190" s="1">
        <f>VLOOKUP($E190,'Product Parameters'!$A$2:$E$59,5,FALSE)</f>
        <v>31.3</v>
      </c>
      <c r="AM190" s="1">
        <f>VLOOKUP($E190,'Product Parameters'!$A$2:$F$59,6,FALSE)</f>
        <v>3</v>
      </c>
      <c r="AN190" s="1">
        <f>VLOOKUP($C190,'Substrate Heating'!$A$2:$C$33,3,FALSE)</f>
        <v>247.59097</v>
      </c>
      <c r="AO190" s="1">
        <f>VLOOKUP($C190,'Substrate Heating'!$A$2:$B$33,2,FALSE)</f>
        <v>5.5</v>
      </c>
      <c r="AP190" s="1">
        <f>VLOOKUP($C190,'Substrate Heating'!$A$2:$M$33,13,FALSE)</f>
        <v>1</v>
      </c>
      <c r="AQ190" s="1">
        <f>VLOOKUP($C190,'Substrate Heating'!$A$2:$M$33,8,FALSE)</f>
        <v>1</v>
      </c>
      <c r="AR190" s="1">
        <f t="shared" si="2"/>
        <v>0.21876923076922983</v>
      </c>
    </row>
    <row r="191" spans="1:44" x14ac:dyDescent="0.2">
      <c r="A191" s="8" t="s">
        <v>792</v>
      </c>
      <c r="B191" s="18" t="s">
        <v>324</v>
      </c>
      <c r="C191" t="s">
        <v>369</v>
      </c>
      <c r="D191" s="23" t="s">
        <v>338</v>
      </c>
      <c r="E191" t="s">
        <v>297</v>
      </c>
      <c r="F191" t="s">
        <v>298</v>
      </c>
      <c r="G191">
        <v>-10</v>
      </c>
      <c r="H191">
        <v>0</v>
      </c>
      <c r="I191">
        <v>0</v>
      </c>
      <c r="J191">
        <v>0.45</v>
      </c>
      <c r="K191">
        <v>-10</v>
      </c>
      <c r="L191">
        <v>0</v>
      </c>
      <c r="M191" s="28" t="s">
        <v>695</v>
      </c>
      <c r="N191">
        <v>0</v>
      </c>
      <c r="O191" s="28" t="s">
        <v>696</v>
      </c>
      <c r="P191"/>
      <c r="Q191">
        <v>3.13999999999999E-2</v>
      </c>
      <c r="R191">
        <v>9.2961980719526605E-2</v>
      </c>
      <c r="S191" s="1" t="str">
        <f>VLOOKUP($E191,'Product Naming'!$A$1:$P$58,2,FALSE)</f>
        <v>Phenol</v>
      </c>
      <c r="T191" s="1" t="str">
        <f>VLOOKUP($E191,'Product Naming'!$A$1:$P$58,3,FALSE)</f>
        <v>Phenol</v>
      </c>
      <c r="U191" s="1" t="str">
        <f>VLOOKUP($E191,'Product Naming'!$A$1:$P$58,4,FALSE)</f>
        <v>E-S</v>
      </c>
      <c r="V191" s="1" t="str">
        <f>VLOOKUP($E191,'Product Naming'!$A$1:$P$58,5,FALSE)</f>
        <v>C6H6O</v>
      </c>
      <c r="W191" s="1">
        <f>VLOOKUP($E191,'Product Naming'!$A$1:$P$58,6,FALSE)</f>
        <v>6</v>
      </c>
      <c r="X191" s="1">
        <f>VLOOKUP($E191,'Product Naming'!$A$1:$P$58,7,FALSE)</f>
        <v>6</v>
      </c>
      <c r="Y191" s="1">
        <f>VLOOKUP($E191,'Product Naming'!$A$1:$P$58,8,FALSE)</f>
        <v>1</v>
      </c>
      <c r="Z191" s="1">
        <f>VLOOKUP($E191,'Product Naming'!$A$1:$P$58,9,FALSE)</f>
        <v>0</v>
      </c>
      <c r="AA191" s="1">
        <f>VLOOKUP($E191,'Product Naming'!$A$1:$P$58,10,FALSE)</f>
        <v>0</v>
      </c>
      <c r="AB191" s="29">
        <f>VLOOKUP($E191,'Product Naming'!$A$1:$P$58,11,FALSE)</f>
        <v>4.666666666666667</v>
      </c>
      <c r="AC191" s="3">
        <f>VLOOKUP($E191,'Product Naming'!$A$1:$P$58,12,FALSE)</f>
        <v>94.11023999999999</v>
      </c>
      <c r="AD191" s="1">
        <f>VLOOKUP($E191,'Product Naming'!$A$1:$P$58,13,FALSE)</f>
        <v>181.7</v>
      </c>
      <c r="AE191" s="1" t="str">
        <f>VLOOKUP($E191,'Product Naming'!$A$1:$P$58,14,FALSE)</f>
        <v>Aromatic + Alcohol</v>
      </c>
      <c r="AF191" s="1" t="str">
        <f>VLOOKUP($E191,'Product Naming'!$A$1:$P$58,15,FALSE)</f>
        <v>E4P + L-glutamate</v>
      </c>
      <c r="AG191" s="30" t="str">
        <f>VLOOKUP($E191,'Product Naming'!$A$1:$P$58,16,FALSE)</f>
        <v>Proton symporter</v>
      </c>
      <c r="AH191" s="3" t="str">
        <f>VLOOKUP($E191,'Product Naming'!$A$1:$Q$58,17,FALSE)</f>
        <v>phenol_c</v>
      </c>
      <c r="AI191" s="1">
        <f>VLOOKUP($E191,'Product Parameters'!$A$2:$D$59,2,FALSE)</f>
        <v>1</v>
      </c>
      <c r="AJ191" s="1">
        <f>VLOOKUP($E191,'Product Parameters'!$A$2:$D$59,3,FALSE)</f>
        <v>0</v>
      </c>
      <c r="AK191" s="1">
        <f>VLOOKUP($E191,'Product Parameters'!$A$2:$D$59,4,FALSE)</f>
        <v>0.12</v>
      </c>
      <c r="AL191" s="1">
        <f>VLOOKUP($E191,'Product Parameters'!$A$2:$E$59,5,FALSE)</f>
        <v>58.8</v>
      </c>
      <c r="AM191" s="1">
        <f>VLOOKUP($E191,'Product Parameters'!$A$2:$F$59,6,FALSE)</f>
        <v>6</v>
      </c>
      <c r="AN191" s="1">
        <f>VLOOKUP($C191,'Substrate Heating'!$A$2:$C$33,3,FALSE)</f>
        <v>638.57832580000002</v>
      </c>
      <c r="AO191" s="1">
        <f>VLOOKUP($C191,'Substrate Heating'!$A$2:$B$33,2,FALSE)</f>
        <v>19.93</v>
      </c>
      <c r="AP191" s="1">
        <f>VLOOKUP($C191,'Substrate Heating'!$A$2:$M$33,13,FALSE)</f>
        <v>6</v>
      </c>
      <c r="AQ191" s="1">
        <f>VLOOKUP($C191,'Substrate Heating'!$A$2:$M$33,8,FALSE)</f>
        <v>1</v>
      </c>
      <c r="AR191" s="1">
        <f t="shared" si="2"/>
        <v>0.1883999999999994</v>
      </c>
    </row>
    <row r="192" spans="1:44" x14ac:dyDescent="0.2">
      <c r="A192" s="17" t="s">
        <v>323</v>
      </c>
      <c r="B192" s="18" t="s">
        <v>324</v>
      </c>
      <c r="C192" t="s">
        <v>334</v>
      </c>
      <c r="D192" s="19" t="s">
        <v>326</v>
      </c>
      <c r="E192" t="s">
        <v>192</v>
      </c>
      <c r="F192" t="s">
        <v>193</v>
      </c>
      <c r="G192">
        <v>-10</v>
      </c>
      <c r="H192">
        <v>0</v>
      </c>
      <c r="I192">
        <v>-5</v>
      </c>
      <c r="J192">
        <v>0.45</v>
      </c>
      <c r="K192">
        <v>-10</v>
      </c>
      <c r="L192">
        <v>0</v>
      </c>
      <c r="M192">
        <v>-5</v>
      </c>
      <c r="N192">
        <v>2.63441860465116</v>
      </c>
      <c r="O192">
        <v>0.26883720930232502</v>
      </c>
      <c r="P192"/>
      <c r="Q192">
        <v>2.6883720930232499E-2</v>
      </c>
      <c r="R192">
        <v>9.3241229546921003E-2</v>
      </c>
      <c r="S192" s="1" t="str">
        <f>VLOOKUP($E192,'Product Naming'!$A$1:$P$58,2,FALSE)</f>
        <v>Coumaric acid</v>
      </c>
      <c r="T192" s="1" t="str">
        <f>VLOOKUP($E192,'Product Naming'!$A$1:$P$58,3,FALSE)</f>
        <v>Coumaric acid</v>
      </c>
      <c r="U192" s="1" t="str">
        <f>VLOOKUP($E192,'Product Naming'!$A$1:$P$58,4,FALSE)</f>
        <v>E</v>
      </c>
      <c r="V192" s="1" t="str">
        <f>VLOOKUP($E192,'Product Naming'!$A$1:$P$58,5,FALSE)</f>
        <v>C9H7O3</v>
      </c>
      <c r="W192" s="1">
        <f>VLOOKUP($E192,'Product Naming'!$A$1:$P$58,6,FALSE)</f>
        <v>9</v>
      </c>
      <c r="X192" s="1">
        <f>VLOOKUP($E192,'Product Naming'!$A$1:$P$58,7,FALSE)</f>
        <v>7</v>
      </c>
      <c r="Y192" s="1">
        <f>VLOOKUP($E192,'Product Naming'!$A$1:$P$58,8,FALSE)</f>
        <v>3</v>
      </c>
      <c r="Z192" s="1">
        <f>VLOOKUP($E192,'Product Naming'!$A$1:$P$58,9,FALSE)</f>
        <v>0</v>
      </c>
      <c r="AA192" s="1">
        <f>VLOOKUP($E192,'Product Naming'!$A$1:$P$58,10,FALSE)</f>
        <v>-1</v>
      </c>
      <c r="AB192" s="29">
        <f>VLOOKUP($E192,'Product Naming'!$A$1:$P$58,11,FALSE)</f>
        <v>4.1111111111111107</v>
      </c>
      <c r="AC192" s="3">
        <f>VLOOKUP($E192,'Product Naming'!$A$1:$P$58,12,FALSE)</f>
        <v>163.14818</v>
      </c>
      <c r="AD192" s="1">
        <f>VLOOKUP($E192,'Product Naming'!$A$1:$P$58,13,FALSE)</f>
        <v>346</v>
      </c>
      <c r="AE192" s="1" t="str">
        <f>VLOOKUP($E192,'Product Naming'!$A$1:$P$58,14,FALSE)</f>
        <v>Aromatic + Alcohol + Carboxylate</v>
      </c>
      <c r="AF192" s="1" t="str">
        <f>VLOOKUP($E192,'Product Naming'!$A$1:$P$58,15,FALSE)</f>
        <v>E4P + L-glutamate</v>
      </c>
      <c r="AG192" s="30" t="str">
        <f>VLOOKUP($E192,'Product Naming'!$A$1:$P$58,16,FALSE)</f>
        <v>Proton symporter</v>
      </c>
      <c r="AH192" s="3" t="str">
        <f>VLOOKUP($E192,'Product Naming'!$A$1:$Q$58,17,FALSE)</f>
        <v>T4hcinnm_c</v>
      </c>
      <c r="AI192" s="1">
        <f>VLOOKUP($E192,'Product Parameters'!$A$2:$D$59,2,FALSE)</f>
        <v>1</v>
      </c>
      <c r="AJ192" s="1">
        <f>VLOOKUP($E192,'Product Parameters'!$A$2:$D$59,3,FALSE)</f>
        <v>0</v>
      </c>
      <c r="AK192" s="1">
        <f>VLOOKUP($E192,'Product Parameters'!$A$2:$D$59,4,FALSE)</f>
        <v>0.12</v>
      </c>
      <c r="AL192" s="1">
        <f>VLOOKUP($E192,'Product Parameters'!$A$2:$E$59,5,FALSE)</f>
        <v>40.65</v>
      </c>
      <c r="AM192" s="1">
        <f>VLOOKUP($E192,'Product Parameters'!$A$2:$F$59,6,FALSE)</f>
        <v>9</v>
      </c>
      <c r="AN192" s="1">
        <f>VLOOKUP($C192,'Substrate Heating'!$A$2:$C$33,3,FALSE)</f>
        <v>249.93333333333334</v>
      </c>
      <c r="AO192" s="1">
        <f>VLOOKUP($C192,'Substrate Heating'!$A$2:$B$33,2,FALSE)</f>
        <v>8.1456827881222953</v>
      </c>
      <c r="AP192" s="1">
        <f>VLOOKUP($C192,'Substrate Heating'!$A$2:$M$33,13,FALSE)</f>
        <v>0.66666666666666663</v>
      </c>
      <c r="AQ192" s="1">
        <f>VLOOKUP($C192,'Substrate Heating'!$A$2:$M$33,8,FALSE)</f>
        <v>0.66666666666666663</v>
      </c>
      <c r="AR192" s="1">
        <f t="shared" si="2"/>
        <v>0.36293023255813878</v>
      </c>
    </row>
    <row r="193" spans="1:44" x14ac:dyDescent="0.2">
      <c r="A193" s="8" t="s">
        <v>34</v>
      </c>
      <c r="B193" s="9" t="s">
        <v>35</v>
      </c>
      <c r="C193" s="1" t="s">
        <v>340</v>
      </c>
      <c r="D193" s="23" t="s">
        <v>338</v>
      </c>
      <c r="E193" s="1" t="s">
        <v>275</v>
      </c>
      <c r="F193" s="1" t="s">
        <v>276</v>
      </c>
      <c r="G193" s="1">
        <v>-10</v>
      </c>
      <c r="H193" s="1">
        <v>-20</v>
      </c>
      <c r="I193" s="1" t="s">
        <v>40</v>
      </c>
      <c r="J193" s="1">
        <v>3.15</v>
      </c>
      <c r="K193" s="1">
        <v>-10</v>
      </c>
      <c r="L193" s="1">
        <v>-4.1580817051509804</v>
      </c>
      <c r="M193" s="1" t="s">
        <v>40</v>
      </c>
      <c r="N193" s="1">
        <v>8.7371225577264706</v>
      </c>
      <c r="O193" s="1">
        <v>0.42095914742451401</v>
      </c>
      <c r="Q193" s="1">
        <v>4.2095914742451397E-2</v>
      </c>
      <c r="R193" s="1">
        <v>9.3323128223522803E-2</v>
      </c>
      <c r="S193" s="1" t="str">
        <f>VLOOKUP($E193,'Product Naming'!$A$1:$P$58,2,FALSE)</f>
        <v>Malonate</v>
      </c>
      <c r="T193" s="1" t="str">
        <f>VLOOKUP($E193,'Product Naming'!$A$1:$P$58,3,FALSE)</f>
        <v>Malonate</v>
      </c>
      <c r="U193" s="1" t="str">
        <f>VLOOKUP($E193,'Product Naming'!$A$1:$P$58,4,FALSE)</f>
        <v>A</v>
      </c>
      <c r="V193" s="1" t="str">
        <f>VLOOKUP($E193,'Product Naming'!$A$1:$P$58,5,FALSE)</f>
        <v>C3H2O4</v>
      </c>
      <c r="W193" s="1">
        <f>VLOOKUP($E193,'Product Naming'!$A$1:$P$58,6,FALSE)</f>
        <v>3</v>
      </c>
      <c r="X193" s="1">
        <f>VLOOKUP($E193,'Product Naming'!$A$1:$P$58,7,FALSE)</f>
        <v>2</v>
      </c>
      <c r="Y193" s="1">
        <f>VLOOKUP($E193,'Product Naming'!$A$1:$P$58,8,FALSE)</f>
        <v>4</v>
      </c>
      <c r="Z193" s="1">
        <f>VLOOKUP($E193,'Product Naming'!$A$1:$P$58,9,FALSE)</f>
        <v>0</v>
      </c>
      <c r="AA193" s="1">
        <f>VLOOKUP($E193,'Product Naming'!$A$1:$P$58,10,FALSE)</f>
        <v>-2</v>
      </c>
      <c r="AB193" s="29">
        <f>VLOOKUP($E193,'Product Naming'!$A$1:$P$58,11,FALSE)</f>
        <v>2</v>
      </c>
      <c r="AC193" s="3">
        <f>VLOOKUP($E193,'Product Naming'!$A$1:$P$58,12,FALSE)</f>
        <v>102.04378</v>
      </c>
      <c r="AD193" s="1">
        <f>VLOOKUP($E193,'Product Naming'!$A$1:$P$58,13,FALSE)</f>
        <v>199</v>
      </c>
      <c r="AE193" s="1" t="str">
        <f>VLOOKUP($E193,'Product Naming'!$A$1:$P$58,14,FALSE)</f>
        <v>Dicarboxylate</v>
      </c>
      <c r="AF193" s="1" t="str">
        <f>VLOOKUP($E193,'Product Naming'!$A$1:$P$58,15,FALSE)</f>
        <v>Oxaloacetate</v>
      </c>
      <c r="AG193" s="30" t="str">
        <f>VLOOKUP($E193,'Product Naming'!$A$1:$P$58,16,FALSE)</f>
        <v>Proton symporter</v>
      </c>
      <c r="AH193" s="3" t="str">
        <f>VLOOKUP($E193,'Product Naming'!$A$1:$Q$58,17,FALSE)</f>
        <v>malon_c</v>
      </c>
      <c r="AI193" s="1">
        <f>VLOOKUP($E193,'Product Parameters'!$A$2:$D$59,2,FALSE)</f>
        <v>1</v>
      </c>
      <c r="AJ193" s="1">
        <f>VLOOKUP($E193,'Product Parameters'!$A$2:$D$59,3,FALSE)</f>
        <v>0</v>
      </c>
      <c r="AK193" s="1">
        <f>VLOOKUP($E193,'Product Parameters'!$A$2:$D$59,4,FALSE)</f>
        <v>0.12</v>
      </c>
      <c r="AL193" s="1">
        <f>VLOOKUP($E193,'Product Parameters'!$A$2:$E$59,5,FALSE)</f>
        <v>40.65</v>
      </c>
      <c r="AM193" s="1">
        <f>VLOOKUP($E193,'Product Parameters'!$A$2:$F$59,6,FALSE)</f>
        <v>3</v>
      </c>
      <c r="AN193" s="1">
        <f>VLOOKUP($C193,'Substrate Heating'!$A$2:$C$33,3,FALSE)</f>
        <v>247.59097</v>
      </c>
      <c r="AO193" s="1">
        <f>VLOOKUP($C193,'Substrate Heating'!$A$2:$B$33,2,FALSE)</f>
        <v>5.5</v>
      </c>
      <c r="AP193" s="1">
        <f>VLOOKUP($C193,'Substrate Heating'!$A$2:$M$33,13,FALSE)</f>
        <v>1</v>
      </c>
      <c r="AQ193" s="1">
        <f>VLOOKUP($C193,'Substrate Heating'!$A$2:$M$33,8,FALSE)</f>
        <v>1</v>
      </c>
      <c r="AR193" s="1">
        <f t="shared" si="2"/>
        <v>0.1262877442273542</v>
      </c>
    </row>
    <row r="194" spans="1:44" x14ac:dyDescent="0.2">
      <c r="A194" s="17" t="s">
        <v>323</v>
      </c>
      <c r="B194" s="18" t="s">
        <v>324</v>
      </c>
      <c r="C194" t="s">
        <v>336</v>
      </c>
      <c r="D194" s="19" t="s">
        <v>326</v>
      </c>
      <c r="E194" t="s">
        <v>143</v>
      </c>
      <c r="F194" t="s">
        <v>137</v>
      </c>
      <c r="G194">
        <v>-10</v>
      </c>
      <c r="H194">
        <v>0</v>
      </c>
      <c r="I194">
        <v>-20</v>
      </c>
      <c r="J194">
        <v>0.45</v>
      </c>
      <c r="K194">
        <v>-10</v>
      </c>
      <c r="L194">
        <v>0</v>
      </c>
      <c r="M194">
        <v>-17.699173553719</v>
      </c>
      <c r="N194">
        <v>0</v>
      </c>
      <c r="O194">
        <v>0.38347107438016498</v>
      </c>
      <c r="P194"/>
      <c r="Q194">
        <v>3.8347107438017003E-2</v>
      </c>
      <c r="R194" s="20">
        <v>9.3625176709229999E-2</v>
      </c>
      <c r="S194" s="1" t="str">
        <f>VLOOKUP($E194,'Product Naming'!$A$1:$P$58,2,FALSE)</f>
        <v>Benzoate-PW2</v>
      </c>
      <c r="T194" s="1" t="str">
        <f>VLOOKUP($E194,'Product Naming'!$A$1:$P$58,3,FALSE)</f>
        <v>Benzoate (PW2)</v>
      </c>
      <c r="U194" s="1" t="str">
        <f>VLOOKUP($E194,'Product Naming'!$A$1:$P$58,4,FALSE)</f>
        <v>A</v>
      </c>
      <c r="V194" s="1" t="str">
        <f>VLOOKUP($E194,'Product Naming'!$A$1:$P$58,5,FALSE)</f>
        <v>C7H5O2</v>
      </c>
      <c r="W194" s="1">
        <f>VLOOKUP($E194,'Product Naming'!$A$1:$P$58,6,FALSE)</f>
        <v>7</v>
      </c>
      <c r="X194" s="1">
        <f>VLOOKUP($E194,'Product Naming'!$A$1:$P$58,7,FALSE)</f>
        <v>5</v>
      </c>
      <c r="Y194" s="1">
        <f>VLOOKUP($E194,'Product Naming'!$A$1:$P$58,8,FALSE)</f>
        <v>2</v>
      </c>
      <c r="Z194" s="1">
        <f>VLOOKUP($E194,'Product Naming'!$A$1:$P$58,9,FALSE)</f>
        <v>0</v>
      </c>
      <c r="AA194" s="1">
        <f>VLOOKUP($E194,'Product Naming'!$A$1:$P$58,10,FALSE)</f>
        <v>-1</v>
      </c>
      <c r="AB194" s="29">
        <f>VLOOKUP($E194,'Product Naming'!$A$1:$P$58,11,FALSE)</f>
        <v>4.1428571428571432</v>
      </c>
      <c r="AC194" s="3">
        <f>VLOOKUP($E194,'Product Naming'!$A$1:$P$58,12,FALSE)</f>
        <v>121.1121</v>
      </c>
      <c r="AD194" s="1">
        <f>VLOOKUP($E194,'Product Naming'!$A$1:$P$58,13,FALSE)</f>
        <v>249.2</v>
      </c>
      <c r="AE194" s="1" t="str">
        <f>VLOOKUP($E194,'Product Naming'!$A$1:$P$58,14,FALSE)</f>
        <v>Aromatic + Carboxylate</v>
      </c>
      <c r="AF194" s="1" t="str">
        <f>VLOOKUP($E194,'Product Naming'!$A$1:$P$58,15,FALSE)</f>
        <v>E4P + aKG</v>
      </c>
      <c r="AG194" s="30" t="str">
        <f>VLOOKUP($E194,'Product Naming'!$A$1:$P$58,16,FALSE)</f>
        <v>Proton symporter</v>
      </c>
      <c r="AH194" s="3" t="str">
        <f>VLOOKUP($E194,'Product Naming'!$A$1:$Q$58,17,FALSE)</f>
        <v>bz_c</v>
      </c>
      <c r="AI194" s="1">
        <f>VLOOKUP($E194,'Product Parameters'!$A$2:$D$59,2,FALSE)</f>
        <v>1</v>
      </c>
      <c r="AJ194" s="1">
        <f>VLOOKUP($E194,'Product Parameters'!$A$2:$D$59,3,FALSE)</f>
        <v>0</v>
      </c>
      <c r="AK194" s="1">
        <f>VLOOKUP($E194,'Product Parameters'!$A$2:$D$59,4,FALSE)</f>
        <v>0.12</v>
      </c>
      <c r="AL194" s="1">
        <f>VLOOKUP($E194,'Product Parameters'!$A$2:$E$59,5,FALSE)</f>
        <v>40.65</v>
      </c>
      <c r="AM194" s="1">
        <f>VLOOKUP($E194,'Product Parameters'!$A$2:$F$59,6,FALSE)</f>
        <v>7</v>
      </c>
      <c r="AN194" s="1">
        <f>VLOOKUP($C194,'Substrate Heating'!$A$2:$C$33,3,FALSE)</f>
        <v>245.86666666666667</v>
      </c>
      <c r="AO194" s="1">
        <f>VLOOKUP($C194,'Substrate Heating'!$A$2:$B$33,2,FALSE)</f>
        <v>15.038360459876978</v>
      </c>
      <c r="AP194" s="1">
        <f>VLOOKUP($C194,'Substrate Heating'!$A$2:$M$33,13,FALSE)</f>
        <v>0.33333333333333331</v>
      </c>
      <c r="AQ194" s="1">
        <f>VLOOKUP($C194,'Substrate Heating'!$A$2:$M$33,8,FALSE)</f>
        <v>0.33333333333333331</v>
      </c>
      <c r="AR194" s="1">
        <f t="shared" si="2"/>
        <v>0.80528925619835712</v>
      </c>
    </row>
    <row r="195" spans="1:44" x14ac:dyDescent="0.2">
      <c r="A195" s="17" t="s">
        <v>323</v>
      </c>
      <c r="B195" s="18" t="s">
        <v>324</v>
      </c>
      <c r="C195" t="s">
        <v>333</v>
      </c>
      <c r="D195" s="19" t="s">
        <v>326</v>
      </c>
      <c r="E195" t="s">
        <v>209</v>
      </c>
      <c r="F195" t="s">
        <v>210</v>
      </c>
      <c r="G195">
        <v>-10</v>
      </c>
      <c r="H195">
        <v>0</v>
      </c>
      <c r="I195">
        <v>0</v>
      </c>
      <c r="J195">
        <v>0.45</v>
      </c>
      <c r="K195">
        <v>-10</v>
      </c>
      <c r="L195">
        <v>0</v>
      </c>
      <c r="M195">
        <v>0</v>
      </c>
      <c r="N195">
        <v>5.2517647058823496</v>
      </c>
      <c r="O195">
        <v>0.503529411764706</v>
      </c>
      <c r="P195"/>
      <c r="Q195">
        <v>5.03529411764706E-2</v>
      </c>
      <c r="R195">
        <v>9.4173660938383405E-2</v>
      </c>
      <c r="S195" s="1" t="str">
        <f>VLOOKUP($E195,'Product Naming'!$A$1:$P$58,2,FALSE)</f>
        <v>GammaButyrolactone</v>
      </c>
      <c r="T195" s="1" t="str">
        <f>VLOOKUP($E195,'Product Naming'!$A$1:$P$58,3,FALSE)</f>
        <v>Gamma butyrolactone</v>
      </c>
      <c r="U195" s="1" t="str">
        <f>VLOOKUP($E195,'Product Naming'!$A$1:$P$58,4,FALSE)</f>
        <v>A</v>
      </c>
      <c r="V195" s="1" t="str">
        <f>VLOOKUP($E195,'Product Naming'!$A$1:$P$58,5,FALSE)</f>
        <v>C4H6O2</v>
      </c>
      <c r="W195" s="1">
        <f>VLOOKUP($E195,'Product Naming'!$A$1:$P$58,6,FALSE)</f>
        <v>4</v>
      </c>
      <c r="X195" s="1">
        <f>VLOOKUP($E195,'Product Naming'!$A$1:$P$58,7,FALSE)</f>
        <v>6</v>
      </c>
      <c r="Y195" s="1">
        <f>VLOOKUP($E195,'Product Naming'!$A$1:$P$58,8,FALSE)</f>
        <v>2</v>
      </c>
      <c r="Z195" s="1">
        <f>VLOOKUP($E195,'Product Naming'!$A$1:$P$58,9,FALSE)</f>
        <v>0</v>
      </c>
      <c r="AA195" s="1">
        <f>VLOOKUP($E195,'Product Naming'!$A$1:$P$58,10,FALSE)</f>
        <v>0</v>
      </c>
      <c r="AB195" s="29">
        <f>VLOOKUP($E195,'Product Naming'!$A$1:$P$58,11,FALSE)</f>
        <v>4.5</v>
      </c>
      <c r="AC195" s="3">
        <f>VLOOKUP($E195,'Product Naming'!$A$1:$P$58,12,FALSE)</f>
        <v>86.08784</v>
      </c>
      <c r="AD195" s="1">
        <f>VLOOKUP($E195,'Product Naming'!$A$1:$P$58,13,FALSE)</f>
        <v>204</v>
      </c>
      <c r="AE195" s="1" t="str">
        <f>VLOOKUP($E195,'Product Naming'!$A$1:$P$58,14,FALSE)</f>
        <v>Lactone (cyclic ester)</v>
      </c>
      <c r="AF195" s="1" t="str">
        <f>VLOOKUP($E195,'Product Naming'!$A$1:$P$58,15,FALSE)</f>
        <v>aKG</v>
      </c>
      <c r="AG195" s="30" t="str">
        <f>VLOOKUP($E195,'Product Naming'!$A$1:$P$58,16,FALSE)</f>
        <v>Proton symporter</v>
      </c>
      <c r="AH195" s="3" t="str">
        <f>VLOOKUP($E195,'Product Naming'!$A$1:$Q$58,17,FALSE)</f>
        <v>gblt_c</v>
      </c>
      <c r="AI195" s="1">
        <f>VLOOKUP($E195,'Product Parameters'!$A$2:$D$59,2,FALSE)</f>
        <v>1</v>
      </c>
      <c r="AJ195" s="1">
        <f>VLOOKUP($E195,'Product Parameters'!$A$2:$D$59,3,FALSE)</f>
        <v>0</v>
      </c>
      <c r="AK195" s="1">
        <f>VLOOKUP($E195,'Product Parameters'!$A$2:$D$59,4,FALSE)</f>
        <v>0.12</v>
      </c>
      <c r="AL195" s="1">
        <f>VLOOKUP($E195,'Product Parameters'!$A$2:$E$59,5,FALSE)</f>
        <v>0</v>
      </c>
      <c r="AM195" s="1">
        <f>VLOOKUP($E195,'Product Parameters'!$A$2:$F$59,6,FALSE)</f>
        <v>4</v>
      </c>
      <c r="AN195" s="1">
        <f>VLOOKUP($C195,'Substrate Heating'!$A$2:$C$33,3,FALSE)</f>
        <v>247.59097</v>
      </c>
      <c r="AO195" s="1">
        <f>VLOOKUP($C195,'Substrate Heating'!$A$2:$B$33,2,FALSE)</f>
        <v>5.5</v>
      </c>
      <c r="AP195" s="1">
        <f>VLOOKUP($C195,'Substrate Heating'!$A$2:$M$33,13,FALSE)</f>
        <v>1</v>
      </c>
      <c r="AQ195" s="1">
        <f>VLOOKUP($C195,'Substrate Heating'!$A$2:$M$33,8,FALSE)</f>
        <v>1</v>
      </c>
      <c r="AR195" s="1">
        <f t="shared" ref="AR195:AR258" si="3">Q195*W195/AQ195</f>
        <v>0.2014117647058824</v>
      </c>
    </row>
    <row r="196" spans="1:44" x14ac:dyDescent="0.2">
      <c r="A196" s="8" t="s">
        <v>792</v>
      </c>
      <c r="B196" s="18" t="s">
        <v>324</v>
      </c>
      <c r="C196" t="s">
        <v>369</v>
      </c>
      <c r="D196" s="23" t="s">
        <v>338</v>
      </c>
      <c r="E196" t="s">
        <v>313</v>
      </c>
      <c r="F196" t="s">
        <v>314</v>
      </c>
      <c r="G196">
        <v>-10</v>
      </c>
      <c r="H196">
        <v>0</v>
      </c>
      <c r="I196">
        <v>0</v>
      </c>
      <c r="J196">
        <v>0.45</v>
      </c>
      <c r="K196">
        <v>-10</v>
      </c>
      <c r="L196">
        <v>0</v>
      </c>
      <c r="M196" s="28" t="s">
        <v>722</v>
      </c>
      <c r="N196">
        <v>0</v>
      </c>
      <c r="O196" s="28" t="s">
        <v>723</v>
      </c>
      <c r="P196"/>
      <c r="Q196" s="28" t="s">
        <v>724</v>
      </c>
      <c r="R196">
        <v>9.5200849373968693E-2</v>
      </c>
      <c r="S196" s="1" t="str">
        <f>VLOOKUP($E196,'Product Naming'!$A$1:$P$58,2,FALSE)</f>
        <v>Styrene</v>
      </c>
      <c r="T196" s="1" t="str">
        <f>VLOOKUP($E196,'Product Naming'!$A$1:$P$58,3,FALSE)</f>
        <v>Styrene</v>
      </c>
      <c r="U196" s="1" t="str">
        <f>VLOOKUP($E196,'Product Naming'!$A$1:$P$58,4,FALSE)</f>
        <v>E-S</v>
      </c>
      <c r="V196" s="1" t="str">
        <f>VLOOKUP($E196,'Product Naming'!$A$1:$P$58,5,FALSE)</f>
        <v>C8H8</v>
      </c>
      <c r="W196" s="1">
        <f>VLOOKUP($E196,'Product Naming'!$A$1:$P$58,6,FALSE)</f>
        <v>8</v>
      </c>
      <c r="X196" s="1">
        <f>VLOOKUP($E196,'Product Naming'!$A$1:$P$58,7,FALSE)</f>
        <v>8</v>
      </c>
      <c r="Y196" s="1">
        <f>VLOOKUP($E196,'Product Naming'!$A$1:$P$58,8,FALSE)</f>
        <v>0</v>
      </c>
      <c r="Z196" s="1">
        <f>VLOOKUP($E196,'Product Naming'!$A$1:$P$58,9,FALSE)</f>
        <v>0</v>
      </c>
      <c r="AA196" s="1">
        <f>VLOOKUP($E196,'Product Naming'!$A$1:$P$58,10,FALSE)</f>
        <v>0</v>
      </c>
      <c r="AB196" s="29">
        <f>VLOOKUP($E196,'Product Naming'!$A$1:$P$58,11,FALSE)</f>
        <v>5</v>
      </c>
      <c r="AC196" s="3">
        <f>VLOOKUP($E196,'Product Naming'!$A$1:$P$58,12,FALSE)</f>
        <v>104.14832</v>
      </c>
      <c r="AD196" s="1">
        <f>VLOOKUP($E196,'Product Naming'!$A$1:$P$58,13,FALSE)</f>
        <v>145</v>
      </c>
      <c r="AE196" s="1" t="str">
        <f>VLOOKUP($E196,'Product Naming'!$A$1:$P$58,14,FALSE)</f>
        <v>Cycloalkane</v>
      </c>
      <c r="AF196" s="1" t="str">
        <f>VLOOKUP($E196,'Product Naming'!$A$1:$P$58,15,FALSE)</f>
        <v>E4P</v>
      </c>
      <c r="AG196" s="30" t="str">
        <f>VLOOKUP($E196,'Product Naming'!$A$1:$P$58,16,FALSE)</f>
        <v>Proton symporter</v>
      </c>
      <c r="AH196" s="3" t="str">
        <f>VLOOKUP($E196,'Product Naming'!$A$1:$Q$58,17,FALSE)</f>
        <v>styr_c</v>
      </c>
      <c r="AI196" s="1">
        <f>VLOOKUP($E196,'Product Parameters'!$A$2:$D$59,2,FALSE)</f>
        <v>1</v>
      </c>
      <c r="AJ196" s="1">
        <f>VLOOKUP($E196,'Product Parameters'!$A$2:$D$59,3,FALSE)</f>
        <v>0</v>
      </c>
      <c r="AK196" s="1">
        <f>VLOOKUP($E196,'Product Parameters'!$A$2:$D$59,4,FALSE)</f>
        <v>0.12</v>
      </c>
      <c r="AL196" s="1">
        <f>VLOOKUP($E196,'Product Parameters'!$A$2:$E$59,5,FALSE)</f>
        <v>43.9</v>
      </c>
      <c r="AM196" s="1">
        <f>VLOOKUP($E196,'Product Parameters'!$A$2:$F$59,6,FALSE)</f>
        <v>8</v>
      </c>
      <c r="AN196" s="1">
        <f>VLOOKUP($C196,'Substrate Heating'!$A$2:$C$33,3,FALSE)</f>
        <v>638.57832580000002</v>
      </c>
      <c r="AO196" s="1">
        <f>VLOOKUP($C196,'Substrate Heating'!$A$2:$B$33,2,FALSE)</f>
        <v>19.93</v>
      </c>
      <c r="AP196" s="1">
        <f>VLOOKUP($C196,'Substrate Heating'!$A$2:$M$33,13,FALSE)</f>
        <v>6</v>
      </c>
      <c r="AQ196" s="1">
        <f>VLOOKUP($C196,'Substrate Heating'!$A$2:$M$33,8,FALSE)</f>
        <v>1</v>
      </c>
      <c r="AR196" s="1">
        <f t="shared" si="3"/>
        <v>0.2325925925925944</v>
      </c>
    </row>
    <row r="197" spans="1:44" x14ac:dyDescent="0.2">
      <c r="A197" s="17" t="s">
        <v>323</v>
      </c>
      <c r="B197" s="18" t="s">
        <v>324</v>
      </c>
      <c r="C197" t="s">
        <v>333</v>
      </c>
      <c r="D197" s="19" t="s">
        <v>326</v>
      </c>
      <c r="E197" t="s">
        <v>301</v>
      </c>
      <c r="F197" t="s">
        <v>302</v>
      </c>
      <c r="G197">
        <v>-10</v>
      </c>
      <c r="H197">
        <v>0</v>
      </c>
      <c r="I197">
        <v>0</v>
      </c>
      <c r="J197">
        <v>0.45</v>
      </c>
      <c r="K197">
        <v>-10</v>
      </c>
      <c r="L197">
        <v>0</v>
      </c>
      <c r="M197">
        <v>0</v>
      </c>
      <c r="N197">
        <v>7</v>
      </c>
      <c r="O197">
        <v>1</v>
      </c>
      <c r="P197"/>
      <c r="Q197">
        <v>0.1</v>
      </c>
      <c r="R197">
        <v>9.5796661278829298E-2</v>
      </c>
      <c r="S197" s="1" t="str">
        <f>VLOOKUP($E197,'Product Naming'!$A$1:$P$58,2,FALSE)</f>
        <v>Propane-PW1</v>
      </c>
      <c r="T197" s="1" t="str">
        <f>VLOOKUP($E197,'Product Naming'!$A$1:$P$58,3,FALSE)</f>
        <v>Propane (PW1)</v>
      </c>
      <c r="U197" s="1" t="str">
        <f>VLOOKUP($E197,'Product Naming'!$A$1:$P$58,4,FALSE)</f>
        <v>E</v>
      </c>
      <c r="V197" s="1" t="str">
        <f>VLOOKUP($E197,'Product Naming'!$A$1:$P$58,5,FALSE)</f>
        <v>C3H8</v>
      </c>
      <c r="W197" s="1">
        <f>VLOOKUP($E197,'Product Naming'!$A$1:$P$58,6,FALSE)</f>
        <v>3</v>
      </c>
      <c r="X197" s="1">
        <f>VLOOKUP($E197,'Product Naming'!$A$1:$P$58,7,FALSE)</f>
        <v>8</v>
      </c>
      <c r="Y197" s="1">
        <f>VLOOKUP($E197,'Product Naming'!$A$1:$P$58,8,FALSE)</f>
        <v>0</v>
      </c>
      <c r="Z197" s="1">
        <f>VLOOKUP($E197,'Product Naming'!$A$1:$P$58,9,FALSE)</f>
        <v>0</v>
      </c>
      <c r="AA197" s="1">
        <f>VLOOKUP($E197,'Product Naming'!$A$1:$P$58,10,FALSE)</f>
        <v>0</v>
      </c>
      <c r="AB197" s="29">
        <f>VLOOKUP($E197,'Product Naming'!$A$1:$P$58,11,FALSE)</f>
        <v>6.666666666666667</v>
      </c>
      <c r="AC197" s="3">
        <f>VLOOKUP($E197,'Product Naming'!$A$1:$P$58,12,FALSE)</f>
        <v>44.094819999999999</v>
      </c>
      <c r="AD197" s="1">
        <f>VLOOKUP($E197,'Product Naming'!$A$1:$P$58,13,FALSE)</f>
        <v>-42</v>
      </c>
      <c r="AE197" s="1" t="str">
        <f>VLOOKUP($E197,'Product Naming'!$A$1:$P$58,14,FALSE)</f>
        <v>Hydrocarbon</v>
      </c>
      <c r="AF197" s="1" t="str">
        <f>VLOOKUP($E197,'Product Naming'!$A$1:$P$58,15,FALSE)</f>
        <v>Acetyl-CoA</v>
      </c>
      <c r="AG197" s="30" t="str">
        <f>VLOOKUP($E197,'Product Naming'!$A$1:$P$58,16,FALSE)</f>
        <v>Diffusion</v>
      </c>
      <c r="AH197" s="3" t="str">
        <f>VLOOKUP($E197,'Product Naming'!$A$1:$Q$58,17,FALSE)</f>
        <v>prop_c</v>
      </c>
      <c r="AI197" s="1">
        <f>VLOOKUP($E197,'Product Parameters'!$A$2:$D$59,2,FALSE)</f>
        <v>0</v>
      </c>
      <c r="AJ197" s="1">
        <f>VLOOKUP($E197,'Product Parameters'!$A$2:$D$59,3,FALSE)</f>
        <v>1</v>
      </c>
      <c r="AK197" s="1">
        <f>VLOOKUP($E197,'Product Parameters'!$A$2:$D$59,4,FALSE)</f>
        <v>0.12</v>
      </c>
      <c r="AL197" s="1">
        <f>VLOOKUP($E197,'Product Parameters'!$A$2:$E$59,5,FALSE)</f>
        <v>0</v>
      </c>
      <c r="AM197" s="1">
        <f>VLOOKUP($E197,'Product Parameters'!$A$2:$F$59,6,FALSE)</f>
        <v>3</v>
      </c>
      <c r="AN197" s="1">
        <f>VLOOKUP($C197,'Substrate Heating'!$A$2:$C$33,3,FALSE)</f>
        <v>247.59097</v>
      </c>
      <c r="AO197" s="1">
        <f>VLOOKUP($C197,'Substrate Heating'!$A$2:$B$33,2,FALSE)</f>
        <v>5.5</v>
      </c>
      <c r="AP197" s="1">
        <f>VLOOKUP($C197,'Substrate Heating'!$A$2:$M$33,13,FALSE)</f>
        <v>1</v>
      </c>
      <c r="AQ197" s="1">
        <f>VLOOKUP($C197,'Substrate Heating'!$A$2:$M$33,8,FALSE)</f>
        <v>1</v>
      </c>
      <c r="AR197" s="1">
        <f t="shared" si="3"/>
        <v>0.30000000000000004</v>
      </c>
    </row>
    <row r="198" spans="1:44" x14ac:dyDescent="0.2">
      <c r="A198" s="17" t="s">
        <v>323</v>
      </c>
      <c r="B198" s="18" t="s">
        <v>324</v>
      </c>
      <c r="C198" t="s">
        <v>333</v>
      </c>
      <c r="D198" s="19" t="s">
        <v>326</v>
      </c>
      <c r="E198" t="s">
        <v>306</v>
      </c>
      <c r="F198" t="s">
        <v>302</v>
      </c>
      <c r="G198">
        <v>-10</v>
      </c>
      <c r="H198">
        <v>0</v>
      </c>
      <c r="I198">
        <v>0</v>
      </c>
      <c r="J198">
        <v>0.45</v>
      </c>
      <c r="K198">
        <v>-10</v>
      </c>
      <c r="L198">
        <v>0</v>
      </c>
      <c r="M198">
        <v>0</v>
      </c>
      <c r="N198">
        <v>7</v>
      </c>
      <c r="O198">
        <v>1</v>
      </c>
      <c r="P198"/>
      <c r="Q198">
        <v>0.1</v>
      </c>
      <c r="R198">
        <v>9.5796661278829298E-2</v>
      </c>
      <c r="S198" s="1" t="str">
        <f>VLOOKUP($E198,'Product Naming'!$A$1:$P$58,2,FALSE)</f>
        <v>Propane-PW2</v>
      </c>
      <c r="T198" s="1" t="str">
        <f>VLOOKUP($E198,'Product Naming'!$A$1:$P$58,3,FALSE)</f>
        <v>Propane (PW2)</v>
      </c>
      <c r="U198" s="1" t="str">
        <f>VLOOKUP($E198,'Product Naming'!$A$1:$P$58,4,FALSE)</f>
        <v>E</v>
      </c>
      <c r="V198" s="1" t="str">
        <f>VLOOKUP($E198,'Product Naming'!$A$1:$P$58,5,FALSE)</f>
        <v>C3H8</v>
      </c>
      <c r="W198" s="1">
        <f>VLOOKUP($E198,'Product Naming'!$A$1:$P$58,6,FALSE)</f>
        <v>3</v>
      </c>
      <c r="X198" s="1">
        <f>VLOOKUP($E198,'Product Naming'!$A$1:$P$58,7,FALSE)</f>
        <v>8</v>
      </c>
      <c r="Y198" s="1">
        <f>VLOOKUP($E198,'Product Naming'!$A$1:$P$58,8,FALSE)</f>
        <v>0</v>
      </c>
      <c r="Z198" s="1">
        <f>VLOOKUP($E198,'Product Naming'!$A$1:$P$58,9,FALSE)</f>
        <v>0</v>
      </c>
      <c r="AA198" s="1">
        <f>VLOOKUP($E198,'Product Naming'!$A$1:$P$58,10,FALSE)</f>
        <v>0</v>
      </c>
      <c r="AB198" s="29">
        <f>VLOOKUP($E198,'Product Naming'!$A$1:$P$58,11,FALSE)</f>
        <v>6.666666666666667</v>
      </c>
      <c r="AC198" s="3">
        <f>VLOOKUP($E198,'Product Naming'!$A$1:$P$58,12,FALSE)</f>
        <v>44.094819999999999</v>
      </c>
      <c r="AD198" s="1">
        <f>VLOOKUP($E198,'Product Naming'!$A$1:$P$58,13,FALSE)</f>
        <v>-42</v>
      </c>
      <c r="AE198" s="1" t="str">
        <f>VLOOKUP($E198,'Product Naming'!$A$1:$P$58,14,FALSE)</f>
        <v>Hydrocarbon</v>
      </c>
      <c r="AF198" s="1" t="str">
        <f>VLOOKUP($E198,'Product Naming'!$A$1:$P$58,15,FALSE)</f>
        <v>Oxaloacetate</v>
      </c>
      <c r="AG198" s="30" t="str">
        <f>VLOOKUP($E198,'Product Naming'!$A$1:$P$58,16,FALSE)</f>
        <v>Diffusion</v>
      </c>
      <c r="AH198" s="3" t="str">
        <f>VLOOKUP($E198,'Product Naming'!$A$1:$Q$58,17,FALSE)</f>
        <v>prop_c</v>
      </c>
      <c r="AI198" s="1">
        <f>VLOOKUP($E198,'Product Parameters'!$A$2:$D$59,2,FALSE)</f>
        <v>0</v>
      </c>
      <c r="AJ198" s="1">
        <f>VLOOKUP($E198,'Product Parameters'!$A$2:$D$59,3,FALSE)</f>
        <v>1</v>
      </c>
      <c r="AK198" s="1">
        <f>VLOOKUP($E198,'Product Parameters'!$A$2:$D$59,4,FALSE)</f>
        <v>0.12</v>
      </c>
      <c r="AL198" s="1">
        <f>VLOOKUP($E198,'Product Parameters'!$A$2:$E$59,5,FALSE)</f>
        <v>0</v>
      </c>
      <c r="AM198" s="1">
        <f>VLOOKUP($E198,'Product Parameters'!$A$2:$F$59,6,FALSE)</f>
        <v>3</v>
      </c>
      <c r="AN198" s="1">
        <f>VLOOKUP($C198,'Substrate Heating'!$A$2:$C$33,3,FALSE)</f>
        <v>247.59097</v>
      </c>
      <c r="AO198" s="1">
        <f>VLOOKUP($C198,'Substrate Heating'!$A$2:$B$33,2,FALSE)</f>
        <v>5.5</v>
      </c>
      <c r="AP198" s="1">
        <f>VLOOKUP($C198,'Substrate Heating'!$A$2:$M$33,13,FALSE)</f>
        <v>1</v>
      </c>
      <c r="AQ198" s="1">
        <f>VLOOKUP($C198,'Substrate Heating'!$A$2:$M$33,8,FALSE)</f>
        <v>1</v>
      </c>
      <c r="AR198" s="1">
        <f t="shared" si="3"/>
        <v>0.30000000000000004</v>
      </c>
    </row>
    <row r="199" spans="1:44" x14ac:dyDescent="0.2">
      <c r="A199" s="8" t="s">
        <v>792</v>
      </c>
      <c r="B199" s="18" t="s">
        <v>324</v>
      </c>
      <c r="C199" t="s">
        <v>369</v>
      </c>
      <c r="D199" s="23" t="s">
        <v>338</v>
      </c>
      <c r="E199" t="s">
        <v>143</v>
      </c>
      <c r="F199" t="s">
        <v>137</v>
      </c>
      <c r="G199">
        <v>-10</v>
      </c>
      <c r="H199">
        <v>0</v>
      </c>
      <c r="I199">
        <v>0</v>
      </c>
      <c r="J199">
        <v>0.45</v>
      </c>
      <c r="K199">
        <v>-10</v>
      </c>
      <c r="L199">
        <v>0</v>
      </c>
      <c r="M199" s="28" t="s">
        <v>496</v>
      </c>
      <c r="N199">
        <v>0</v>
      </c>
      <c r="O199" s="28" t="s">
        <v>497</v>
      </c>
      <c r="P199"/>
      <c r="Q199">
        <v>2.5220883534136901E-2</v>
      </c>
      <c r="R199">
        <v>9.62489067654278E-2</v>
      </c>
      <c r="S199" s="1" t="str">
        <f>VLOOKUP($E199,'Product Naming'!$A$1:$P$58,2,FALSE)</f>
        <v>Benzoate-PW2</v>
      </c>
      <c r="T199" s="1" t="str">
        <f>VLOOKUP($E199,'Product Naming'!$A$1:$P$58,3,FALSE)</f>
        <v>Benzoate (PW2)</v>
      </c>
      <c r="U199" s="1" t="str">
        <f>VLOOKUP($E199,'Product Naming'!$A$1:$P$58,4,FALSE)</f>
        <v>A</v>
      </c>
      <c r="V199" s="1" t="str">
        <f>VLOOKUP($E199,'Product Naming'!$A$1:$P$58,5,FALSE)</f>
        <v>C7H5O2</v>
      </c>
      <c r="W199" s="1">
        <f>VLOOKUP($E199,'Product Naming'!$A$1:$P$58,6,FALSE)</f>
        <v>7</v>
      </c>
      <c r="X199" s="1">
        <f>VLOOKUP($E199,'Product Naming'!$A$1:$P$58,7,FALSE)</f>
        <v>5</v>
      </c>
      <c r="Y199" s="1">
        <f>VLOOKUP($E199,'Product Naming'!$A$1:$P$58,8,FALSE)</f>
        <v>2</v>
      </c>
      <c r="Z199" s="1">
        <f>VLOOKUP($E199,'Product Naming'!$A$1:$P$58,9,FALSE)</f>
        <v>0</v>
      </c>
      <c r="AA199" s="1">
        <f>VLOOKUP($E199,'Product Naming'!$A$1:$P$58,10,FALSE)</f>
        <v>-1</v>
      </c>
      <c r="AB199" s="29">
        <f>VLOOKUP($E199,'Product Naming'!$A$1:$P$58,11,FALSE)</f>
        <v>4.1428571428571432</v>
      </c>
      <c r="AC199" s="3">
        <f>VLOOKUP($E199,'Product Naming'!$A$1:$P$58,12,FALSE)</f>
        <v>121.1121</v>
      </c>
      <c r="AD199" s="1">
        <f>VLOOKUP($E199,'Product Naming'!$A$1:$P$58,13,FALSE)</f>
        <v>249.2</v>
      </c>
      <c r="AE199" s="1" t="str">
        <f>VLOOKUP($E199,'Product Naming'!$A$1:$P$58,14,FALSE)</f>
        <v>Aromatic + Carboxylate</v>
      </c>
      <c r="AF199" s="1" t="str">
        <f>VLOOKUP($E199,'Product Naming'!$A$1:$P$58,15,FALSE)</f>
        <v>E4P + aKG</v>
      </c>
      <c r="AG199" s="30" t="str">
        <f>VLOOKUP($E199,'Product Naming'!$A$1:$P$58,16,FALSE)</f>
        <v>Proton symporter</v>
      </c>
      <c r="AH199" s="3" t="str">
        <f>VLOOKUP($E199,'Product Naming'!$A$1:$Q$58,17,FALSE)</f>
        <v>bz_c</v>
      </c>
      <c r="AI199" s="1">
        <f>VLOOKUP($E199,'Product Parameters'!$A$2:$D$59,2,FALSE)</f>
        <v>1</v>
      </c>
      <c r="AJ199" s="1">
        <f>VLOOKUP($E199,'Product Parameters'!$A$2:$D$59,3,FALSE)</f>
        <v>0</v>
      </c>
      <c r="AK199" s="1">
        <f>VLOOKUP($E199,'Product Parameters'!$A$2:$D$59,4,FALSE)</f>
        <v>0.12</v>
      </c>
      <c r="AL199" s="1">
        <f>VLOOKUP($E199,'Product Parameters'!$A$2:$E$59,5,FALSE)</f>
        <v>40.65</v>
      </c>
      <c r="AM199" s="1">
        <f>VLOOKUP($E199,'Product Parameters'!$A$2:$F$59,6,FALSE)</f>
        <v>7</v>
      </c>
      <c r="AN199" s="1">
        <f>VLOOKUP($C199,'Substrate Heating'!$A$2:$C$33,3,FALSE)</f>
        <v>638.57832580000002</v>
      </c>
      <c r="AO199" s="1">
        <f>VLOOKUP($C199,'Substrate Heating'!$A$2:$B$33,2,FALSE)</f>
        <v>19.93</v>
      </c>
      <c r="AP199" s="1">
        <f>VLOOKUP($C199,'Substrate Heating'!$A$2:$M$33,13,FALSE)</f>
        <v>6</v>
      </c>
      <c r="AQ199" s="1">
        <f>VLOOKUP($C199,'Substrate Heating'!$A$2:$M$33,8,FALSE)</f>
        <v>1</v>
      </c>
      <c r="AR199" s="1">
        <f t="shared" si="3"/>
        <v>0.17654618473895831</v>
      </c>
    </row>
    <row r="200" spans="1:44" x14ac:dyDescent="0.2">
      <c r="A200" s="8" t="s">
        <v>34</v>
      </c>
      <c r="B200" s="9" t="s">
        <v>35</v>
      </c>
      <c r="C200" s="1" t="s">
        <v>339</v>
      </c>
      <c r="D200" s="23" t="s">
        <v>338</v>
      </c>
      <c r="E200" s="1" t="s">
        <v>130</v>
      </c>
      <c r="F200" s="1" t="s">
        <v>125</v>
      </c>
      <c r="G200" s="1">
        <v>-10</v>
      </c>
      <c r="H200" s="1">
        <v>-20</v>
      </c>
      <c r="I200" s="1" t="s">
        <v>40</v>
      </c>
      <c r="J200" s="1">
        <v>3.15</v>
      </c>
      <c r="K200" s="1">
        <v>-10</v>
      </c>
      <c r="L200" s="1">
        <v>-3.1289473684210498</v>
      </c>
      <c r="M200" s="1" t="s">
        <v>40</v>
      </c>
      <c r="N200" s="1">
        <v>8.1289473684210591</v>
      </c>
      <c r="O200" s="1">
        <v>0.62368421052631895</v>
      </c>
      <c r="Q200" s="1">
        <v>6.2368421052631899E-2</v>
      </c>
      <c r="R200" s="1">
        <v>9.6275051042670506E-2</v>
      </c>
      <c r="S200" s="1" t="str">
        <f>VLOOKUP($E200,'Product Naming'!$A$1:$P$58,2,FALSE)</f>
        <v>Acrylate-PW2</v>
      </c>
      <c r="T200" s="1" t="str">
        <f>VLOOKUP($E200,'Product Naming'!$A$1:$P$58,3,FALSE)</f>
        <v>Acrylate (PW2)</v>
      </c>
      <c r="U200" s="1" t="str">
        <f>VLOOKUP($E200,'Product Naming'!$A$1:$P$58,4,FALSE)</f>
        <v>A</v>
      </c>
      <c r="V200" s="1" t="str">
        <f>VLOOKUP($E200,'Product Naming'!$A$1:$P$58,5,FALSE)</f>
        <v>C3H3O2</v>
      </c>
      <c r="W200" s="1">
        <f>VLOOKUP($E200,'Product Naming'!$A$1:$P$58,6,FALSE)</f>
        <v>3</v>
      </c>
      <c r="X200" s="1">
        <f>VLOOKUP($E200,'Product Naming'!$A$1:$P$58,7,FALSE)</f>
        <v>3</v>
      </c>
      <c r="Y200" s="1">
        <f>VLOOKUP($E200,'Product Naming'!$A$1:$P$58,8,FALSE)</f>
        <v>2</v>
      </c>
      <c r="Z200" s="1">
        <f>VLOOKUP($E200,'Product Naming'!$A$1:$P$58,9,FALSE)</f>
        <v>0</v>
      </c>
      <c r="AA200" s="1">
        <f>VLOOKUP($E200,'Product Naming'!$A$1:$P$58,10,FALSE)</f>
        <v>-1</v>
      </c>
      <c r="AB200" s="29">
        <f>VLOOKUP($E200,'Product Naming'!$A$1:$P$58,11,FALSE)</f>
        <v>3.6666666666666665</v>
      </c>
      <c r="AC200" s="3">
        <f>VLOOKUP($E200,'Product Naming'!$A$1:$P$58,12,FALSE)</f>
        <v>71.053619999999995</v>
      </c>
      <c r="AD200" s="1">
        <f>VLOOKUP($E200,'Product Naming'!$A$1:$P$58,13,FALSE)</f>
        <v>80</v>
      </c>
      <c r="AE200" s="1" t="str">
        <f>VLOOKUP($E200,'Product Naming'!$A$1:$P$58,14,FALSE)</f>
        <v>Carboxylate</v>
      </c>
      <c r="AF200" s="1" t="str">
        <f>VLOOKUP($E200,'Product Naming'!$A$1:$P$58,15,FALSE)</f>
        <v>Pyruvate</v>
      </c>
      <c r="AG200" s="30" t="str">
        <f>VLOOKUP($E200,'Product Naming'!$A$1:$P$58,16,FALSE)</f>
        <v>Proton symporter</v>
      </c>
      <c r="AH200" s="3" t="str">
        <f>VLOOKUP($E200,'Product Naming'!$A$1:$Q$58,17,FALSE)</f>
        <v>acryl_c</v>
      </c>
      <c r="AI200" s="1">
        <f>VLOOKUP($E200,'Product Parameters'!$A$2:$D$59,2,FALSE)</f>
        <v>1</v>
      </c>
      <c r="AJ200" s="1">
        <f>VLOOKUP($E200,'Product Parameters'!$A$2:$D$59,3,FALSE)</f>
        <v>0</v>
      </c>
      <c r="AK200" s="1">
        <f>VLOOKUP($E200,'Product Parameters'!$A$2:$D$59,4,FALSE)</f>
        <v>0.12</v>
      </c>
      <c r="AL200" s="1">
        <f>VLOOKUP($E200,'Product Parameters'!$A$2:$E$59,5,FALSE)</f>
        <v>53.1</v>
      </c>
      <c r="AM200" s="1">
        <f>VLOOKUP($E200,'Product Parameters'!$A$2:$F$59,6,FALSE)</f>
        <v>3</v>
      </c>
      <c r="AN200" s="1">
        <f>VLOOKUP($C200,'Substrate Heating'!$A$2:$C$33,3,FALSE)</f>
        <v>247.59097</v>
      </c>
      <c r="AO200" s="1">
        <f>VLOOKUP($C200,'Substrate Heating'!$A$2:$B$33,2,FALSE)</f>
        <v>5.5</v>
      </c>
      <c r="AP200" s="1">
        <f>VLOOKUP($C200,'Substrate Heating'!$A$2:$M$33,13,FALSE)</f>
        <v>1</v>
      </c>
      <c r="AQ200" s="1">
        <f>VLOOKUP($C200,'Substrate Heating'!$A$2:$M$33,8,FALSE)</f>
        <v>1</v>
      </c>
      <c r="AR200" s="1">
        <f t="shared" si="3"/>
        <v>0.18710526315789569</v>
      </c>
    </row>
    <row r="201" spans="1:44" x14ac:dyDescent="0.2">
      <c r="A201" s="8" t="s">
        <v>34</v>
      </c>
      <c r="B201" s="9" t="s">
        <v>35</v>
      </c>
      <c r="C201" s="1" t="s">
        <v>337</v>
      </c>
      <c r="D201" s="23" t="s">
        <v>338</v>
      </c>
      <c r="E201" s="1" t="s">
        <v>85</v>
      </c>
      <c r="F201" s="1" t="s">
        <v>86</v>
      </c>
      <c r="G201" s="1">
        <v>-10</v>
      </c>
      <c r="H201" s="1">
        <v>-20</v>
      </c>
      <c r="I201" s="1" t="s">
        <v>40</v>
      </c>
      <c r="J201" s="1">
        <v>3.15</v>
      </c>
      <c r="K201" s="1">
        <v>-10</v>
      </c>
      <c r="L201" s="1">
        <v>-2.2843749999999998</v>
      </c>
      <c r="M201" s="1" t="s">
        <v>40</v>
      </c>
      <c r="N201" s="1">
        <v>8.0250000000000004</v>
      </c>
      <c r="O201" s="1">
        <v>0.49375000000000002</v>
      </c>
      <c r="Q201" s="1">
        <v>4.9375000000000002E-2</v>
      </c>
      <c r="R201" s="1">
        <v>9.66690021203747E-2</v>
      </c>
      <c r="S201" s="1" t="str">
        <f>VLOOKUP($E201,'Product Naming'!$A$1:$P$58,2,FALSE)</f>
        <v>2-3-butanediol</v>
      </c>
      <c r="T201" s="1" t="str">
        <f>VLOOKUP($E201,'Product Naming'!$A$1:$P$58,3,FALSE)</f>
        <v>2,3-Butanediol</v>
      </c>
      <c r="U201" s="1" t="str">
        <f>VLOOKUP($E201,'Product Naming'!$A$1:$P$58,4,FALSE)</f>
        <v>E</v>
      </c>
      <c r="V201" s="1" t="str">
        <f>VLOOKUP($E201,'Product Naming'!$A$1:$P$58,5,FALSE)</f>
        <v>C4H10O2</v>
      </c>
      <c r="W201" s="1">
        <f>VLOOKUP($E201,'Product Naming'!$A$1:$P$58,6,FALSE)</f>
        <v>4</v>
      </c>
      <c r="X201" s="1">
        <f>VLOOKUP($E201,'Product Naming'!$A$1:$P$58,7,FALSE)</f>
        <v>10</v>
      </c>
      <c r="Y201" s="1">
        <f>VLOOKUP($E201,'Product Naming'!$A$1:$P$58,8,FALSE)</f>
        <v>2</v>
      </c>
      <c r="Z201" s="1">
        <f>VLOOKUP($E201,'Product Naming'!$A$1:$P$58,9,FALSE)</f>
        <v>0</v>
      </c>
      <c r="AA201" s="1">
        <f>VLOOKUP($E201,'Product Naming'!$A$1:$P$58,10,FALSE)</f>
        <v>0</v>
      </c>
      <c r="AB201" s="29">
        <f>VLOOKUP($E201,'Product Naming'!$A$1:$P$58,11,FALSE)</f>
        <v>5.5</v>
      </c>
      <c r="AC201" s="3">
        <f>VLOOKUP($E201,'Product Naming'!$A$1:$P$58,12,FALSE)</f>
        <v>90.119200000000006</v>
      </c>
      <c r="AD201" s="1">
        <f>VLOOKUP($E201,'Product Naming'!$A$1:$P$58,13,FALSE)</f>
        <v>177</v>
      </c>
      <c r="AE201" s="1" t="str">
        <f>VLOOKUP($E201,'Product Naming'!$A$1:$P$58,14,FALSE)</f>
        <v>Diol</v>
      </c>
      <c r="AF201" s="1" t="str">
        <f>VLOOKUP($E201,'Product Naming'!$A$1:$P$58,15,FALSE)</f>
        <v>Pyruvate</v>
      </c>
      <c r="AG201" s="30" t="str">
        <f>VLOOKUP($E201,'Product Naming'!$A$1:$P$58,16,FALSE)</f>
        <v>Proton symporter</v>
      </c>
      <c r="AH201" s="3" t="str">
        <f>VLOOKUP($E201,'Product Naming'!$A$1:$Q$58,17,FALSE)</f>
        <v>btd_RR_c</v>
      </c>
      <c r="AI201" s="1">
        <f>VLOOKUP($E201,'Product Parameters'!$A$2:$D$59,2,FALSE)</f>
        <v>1</v>
      </c>
      <c r="AJ201" s="1">
        <f>VLOOKUP($E201,'Product Parameters'!$A$2:$D$59,3,FALSE)</f>
        <v>0</v>
      </c>
      <c r="AK201" s="1">
        <f>VLOOKUP($E201,'Product Parameters'!$A$2:$D$59,4,FALSE)</f>
        <v>0.12</v>
      </c>
      <c r="AL201" s="1">
        <f>VLOOKUP($E201,'Product Parameters'!$A$2:$E$59,5,FALSE)</f>
        <v>63</v>
      </c>
      <c r="AM201" s="1">
        <f>VLOOKUP($E201,'Product Parameters'!$A$2:$F$59,6,FALSE)</f>
        <v>4</v>
      </c>
      <c r="AN201" s="1">
        <f>VLOOKUP($C201,'Substrate Heating'!$A$2:$C$33,3,FALSE)</f>
        <v>247.59097</v>
      </c>
      <c r="AO201" s="1">
        <f>VLOOKUP($C201,'Substrate Heating'!$A$2:$B$33,2,FALSE)</f>
        <v>5.5</v>
      </c>
      <c r="AP201" s="1">
        <f>VLOOKUP($C201,'Substrate Heating'!$A$2:$M$33,13,FALSE)</f>
        <v>1</v>
      </c>
      <c r="AQ201" s="1">
        <f>VLOOKUP($C201,'Substrate Heating'!$A$2:$M$33,8,FALSE)</f>
        <v>1</v>
      </c>
      <c r="AR201" s="1">
        <f t="shared" si="3"/>
        <v>0.19750000000000001</v>
      </c>
    </row>
    <row r="202" spans="1:44" x14ac:dyDescent="0.2">
      <c r="A202" s="8" t="s">
        <v>34</v>
      </c>
      <c r="B202" s="9" t="s">
        <v>35</v>
      </c>
      <c r="C202" s="1" t="s">
        <v>337</v>
      </c>
      <c r="D202" s="23" t="s">
        <v>338</v>
      </c>
      <c r="E202" s="1" t="s">
        <v>48</v>
      </c>
      <c r="F202" s="1" t="s">
        <v>39</v>
      </c>
      <c r="G202" s="1">
        <v>-10</v>
      </c>
      <c r="H202" s="1">
        <v>-20</v>
      </c>
      <c r="I202" s="1" t="s">
        <v>40</v>
      </c>
      <c r="J202" s="1">
        <v>3.15</v>
      </c>
      <c r="K202" s="1">
        <v>-10</v>
      </c>
      <c r="L202" s="1">
        <v>-2.2843749999999998</v>
      </c>
      <c r="M202" s="1" t="s">
        <v>40</v>
      </c>
      <c r="N202" s="1">
        <v>8.0250000000000004</v>
      </c>
      <c r="O202" s="1">
        <v>0.49375000000000002</v>
      </c>
      <c r="Q202" s="1">
        <v>4.9375000000000099E-2</v>
      </c>
      <c r="R202" s="1">
        <v>9.6669002120374797E-2</v>
      </c>
      <c r="S202" s="1" t="str">
        <f>VLOOKUP($E202,'Product Naming'!$A$1:$P$58,2,FALSE)</f>
        <v>1-3-butanediol-PW2</v>
      </c>
      <c r="T202" s="1" t="str">
        <f>VLOOKUP($E202,'Product Naming'!$A$1:$P$58,3,FALSE)</f>
        <v>1,3-Butanediol (PW2)</v>
      </c>
      <c r="U202" s="1" t="str">
        <f>VLOOKUP($E202,'Product Naming'!$A$1:$P$58,4,FALSE)</f>
        <v>E</v>
      </c>
      <c r="V202" s="1" t="str">
        <f>VLOOKUP($E202,'Product Naming'!$A$1:$P$58,5,FALSE)</f>
        <v>C4H10O2</v>
      </c>
      <c r="W202" s="1">
        <f>VLOOKUP($E202,'Product Naming'!$A$1:$P$58,6,FALSE)</f>
        <v>4</v>
      </c>
      <c r="X202" s="1">
        <f>VLOOKUP($E202,'Product Naming'!$A$1:$P$58,7,FALSE)</f>
        <v>10</v>
      </c>
      <c r="Y202" s="1">
        <f>VLOOKUP($E202,'Product Naming'!$A$1:$P$58,8,FALSE)</f>
        <v>2</v>
      </c>
      <c r="Z202" s="1">
        <f>VLOOKUP($E202,'Product Naming'!$A$1:$P$58,9,FALSE)</f>
        <v>0</v>
      </c>
      <c r="AA202" s="1">
        <f>VLOOKUP($E202,'Product Naming'!$A$1:$P$58,10,FALSE)</f>
        <v>0</v>
      </c>
      <c r="AB202" s="29">
        <f>VLOOKUP($E202,'Product Naming'!$A$1:$P$58,11,FALSE)</f>
        <v>5.5</v>
      </c>
      <c r="AC202" s="3">
        <f>VLOOKUP($E202,'Product Naming'!$A$1:$P$58,12,FALSE)</f>
        <v>90.119200000000006</v>
      </c>
      <c r="AD202" s="1">
        <f>VLOOKUP($E202,'Product Naming'!$A$1:$P$58,13,FALSE)</f>
        <v>207</v>
      </c>
      <c r="AE202" s="1" t="str">
        <f>VLOOKUP($E202,'Product Naming'!$A$1:$P$58,14,FALSE)</f>
        <v>Diol</v>
      </c>
      <c r="AF202" s="1" t="str">
        <f>VLOOKUP($E202,'Product Naming'!$A$1:$P$58,15,FALSE)</f>
        <v>Pyruvate (acetalehyde)</v>
      </c>
      <c r="AG202" s="30" t="str">
        <f>VLOOKUP($E202,'Product Naming'!$A$1:$P$58,16,FALSE)</f>
        <v>Proton symporter</v>
      </c>
      <c r="AH202" s="3" t="str">
        <f>VLOOKUP($E202,'Product Naming'!$A$1:$Q$58,17,FALSE)</f>
        <v>13bdo__R_c</v>
      </c>
      <c r="AI202" s="1">
        <f>VLOOKUP($E202,'Product Parameters'!$A$2:$D$59,2,FALSE)</f>
        <v>1</v>
      </c>
      <c r="AJ202" s="1">
        <f>VLOOKUP($E202,'Product Parameters'!$A$2:$D$59,3,FALSE)</f>
        <v>0</v>
      </c>
      <c r="AK202" s="1">
        <f>VLOOKUP($E202,'Product Parameters'!$A$2:$D$59,4,FALSE)</f>
        <v>0.12</v>
      </c>
      <c r="AL202" s="1">
        <f>VLOOKUP($E202,'Product Parameters'!$A$2:$E$59,5,FALSE)</f>
        <v>72.599999999999994</v>
      </c>
      <c r="AM202" s="1">
        <f>VLOOKUP($E202,'Product Parameters'!$A$2:$F$59,6,FALSE)</f>
        <v>4</v>
      </c>
      <c r="AN202" s="1">
        <f>VLOOKUP($C202,'Substrate Heating'!$A$2:$C$33,3,FALSE)</f>
        <v>247.59097</v>
      </c>
      <c r="AO202" s="1">
        <f>VLOOKUP($C202,'Substrate Heating'!$A$2:$B$33,2,FALSE)</f>
        <v>5.5</v>
      </c>
      <c r="AP202" s="1">
        <f>VLOOKUP($C202,'Substrate Heating'!$A$2:$M$33,13,FALSE)</f>
        <v>1</v>
      </c>
      <c r="AQ202" s="1">
        <f>VLOOKUP($C202,'Substrate Heating'!$A$2:$M$33,8,FALSE)</f>
        <v>1</v>
      </c>
      <c r="AR202" s="1">
        <f t="shared" si="3"/>
        <v>0.1975000000000004</v>
      </c>
    </row>
    <row r="203" spans="1:44" x14ac:dyDescent="0.2">
      <c r="A203" s="8" t="s">
        <v>34</v>
      </c>
      <c r="B203" s="9" t="s">
        <v>35</v>
      </c>
      <c r="C203" s="1" t="s">
        <v>337</v>
      </c>
      <c r="D203" s="23" t="s">
        <v>338</v>
      </c>
      <c r="E203" s="1" t="s">
        <v>38</v>
      </c>
      <c r="F203" s="1" t="s">
        <v>39</v>
      </c>
      <c r="G203" s="1">
        <v>-10</v>
      </c>
      <c r="H203" s="1">
        <v>-20</v>
      </c>
      <c r="I203" s="1" t="s">
        <v>40</v>
      </c>
      <c r="J203" s="1">
        <v>3.15</v>
      </c>
      <c r="K203" s="1">
        <v>-10</v>
      </c>
      <c r="L203" s="1">
        <v>-2.2843749999999901</v>
      </c>
      <c r="M203" s="1" t="s">
        <v>40</v>
      </c>
      <c r="N203" s="1">
        <v>8.0250000000000004</v>
      </c>
      <c r="O203" s="1">
        <v>0.49375000000000302</v>
      </c>
      <c r="Q203" s="1">
        <v>4.9375000000000301E-2</v>
      </c>
      <c r="R203" s="1">
        <v>9.6669002120375297E-2</v>
      </c>
      <c r="S203" s="1" t="str">
        <f>VLOOKUP($E203,'Product Naming'!$A$1:$P$58,2,FALSE)</f>
        <v>1-3-butanediol-PW1</v>
      </c>
      <c r="T203" s="1" t="str">
        <f>VLOOKUP($E203,'Product Naming'!$A$1:$P$58,3,FALSE)</f>
        <v>1,3-Butanediol (PW1)</v>
      </c>
      <c r="U203" s="1" t="str">
        <f>VLOOKUP($E203,'Product Naming'!$A$1:$P$58,4,FALSE)</f>
        <v>E</v>
      </c>
      <c r="V203" s="1" t="str">
        <f>VLOOKUP($E203,'Product Naming'!$A$1:$P$58,5,FALSE)</f>
        <v>C4H10O2</v>
      </c>
      <c r="W203" s="1">
        <f>VLOOKUP($E203,'Product Naming'!$A$1:$P$58,6,FALSE)</f>
        <v>4</v>
      </c>
      <c r="X203" s="1">
        <f>VLOOKUP($E203,'Product Naming'!$A$1:$P$58,7,FALSE)</f>
        <v>10</v>
      </c>
      <c r="Y203" s="1">
        <f>VLOOKUP($E203,'Product Naming'!$A$1:$P$58,8,FALSE)</f>
        <v>2</v>
      </c>
      <c r="Z203" s="1">
        <f>VLOOKUP($E203,'Product Naming'!$A$1:$P$58,9,FALSE)</f>
        <v>0</v>
      </c>
      <c r="AA203" s="1">
        <f>VLOOKUP($E203,'Product Naming'!$A$1:$P$58,10,FALSE)</f>
        <v>0</v>
      </c>
      <c r="AB203" s="29">
        <f>VLOOKUP($E203,'Product Naming'!$A$1:$P$58,11,FALSE)</f>
        <v>5.5</v>
      </c>
      <c r="AC203" s="3">
        <f>VLOOKUP($E203,'Product Naming'!$A$1:$P$58,12,FALSE)</f>
        <v>90.119200000000006</v>
      </c>
      <c r="AD203" s="1">
        <f>VLOOKUP($E203,'Product Naming'!$A$1:$P$58,13,FALSE)</f>
        <v>207</v>
      </c>
      <c r="AE203" s="1" t="str">
        <f>VLOOKUP($E203,'Product Naming'!$A$1:$P$58,14,FALSE)</f>
        <v>Diol</v>
      </c>
      <c r="AF203" s="1" t="str">
        <f>VLOOKUP($E203,'Product Naming'!$A$1:$P$58,15,FALSE)</f>
        <v>Acetyl-CoA</v>
      </c>
      <c r="AG203" s="30" t="str">
        <f>VLOOKUP($E203,'Product Naming'!$A$1:$P$58,16,FALSE)</f>
        <v>Proton symporter</v>
      </c>
      <c r="AH203" s="3" t="str">
        <f>VLOOKUP($E203,'Product Naming'!$A$1:$Q$58,17,FALSE)</f>
        <v>13bdo__R_c</v>
      </c>
      <c r="AI203" s="1">
        <f>VLOOKUP($E203,'Product Parameters'!$A$2:$D$59,2,FALSE)</f>
        <v>1</v>
      </c>
      <c r="AJ203" s="1">
        <f>VLOOKUP($E203,'Product Parameters'!$A$2:$D$59,3,FALSE)</f>
        <v>0</v>
      </c>
      <c r="AK203" s="1">
        <f>VLOOKUP($E203,'Product Parameters'!$A$2:$D$59,4,FALSE)</f>
        <v>0.12</v>
      </c>
      <c r="AL203" s="1">
        <f>VLOOKUP($E203,'Product Parameters'!$A$2:$E$59,5,FALSE)</f>
        <v>72.599999999999994</v>
      </c>
      <c r="AM203" s="1">
        <f>VLOOKUP($E203,'Product Parameters'!$A$2:$F$59,6,FALSE)</f>
        <v>4</v>
      </c>
      <c r="AN203" s="1">
        <f>VLOOKUP($C203,'Substrate Heating'!$A$2:$C$33,3,FALSE)</f>
        <v>247.59097</v>
      </c>
      <c r="AO203" s="1">
        <f>VLOOKUP($C203,'Substrate Heating'!$A$2:$B$33,2,FALSE)</f>
        <v>5.5</v>
      </c>
      <c r="AP203" s="1">
        <f>VLOOKUP($C203,'Substrate Heating'!$A$2:$M$33,13,FALSE)</f>
        <v>1</v>
      </c>
      <c r="AQ203" s="1">
        <f>VLOOKUP($C203,'Substrate Heating'!$A$2:$M$33,8,FALSE)</f>
        <v>1</v>
      </c>
      <c r="AR203" s="1">
        <f t="shared" si="3"/>
        <v>0.1975000000000012</v>
      </c>
    </row>
    <row r="204" spans="1:44" x14ac:dyDescent="0.2">
      <c r="A204" s="17" t="s">
        <v>323</v>
      </c>
      <c r="B204" s="18" t="s">
        <v>324</v>
      </c>
      <c r="C204" t="s">
        <v>334</v>
      </c>
      <c r="D204" s="19" t="s">
        <v>326</v>
      </c>
      <c r="E204" t="s">
        <v>158</v>
      </c>
      <c r="F204" t="s">
        <v>159</v>
      </c>
      <c r="G204">
        <v>-10</v>
      </c>
      <c r="H204">
        <v>0</v>
      </c>
      <c r="I204">
        <v>-5</v>
      </c>
      <c r="J204">
        <v>0.45</v>
      </c>
      <c r="K204">
        <v>-10</v>
      </c>
      <c r="L204">
        <v>0</v>
      </c>
      <c r="M204">
        <v>-5</v>
      </c>
      <c r="N204">
        <v>4.47945205479453</v>
      </c>
      <c r="O204">
        <v>0.79178082191780796</v>
      </c>
      <c r="P204"/>
      <c r="Q204">
        <v>7.9178082191781005E-2</v>
      </c>
      <c r="R204">
        <v>9.7830873363823997E-2</v>
      </c>
      <c r="S204" s="1" t="str">
        <f>VLOOKUP($E204,'Product Naming'!$A$1:$P$58,2,FALSE)</f>
        <v>Butane</v>
      </c>
      <c r="T204" s="1" t="str">
        <f>VLOOKUP($E204,'Product Naming'!$A$1:$P$58,3,FALSE)</f>
        <v>Butane</v>
      </c>
      <c r="U204" s="1" t="str">
        <f>VLOOKUP($E204,'Product Naming'!$A$1:$P$58,4,FALSE)</f>
        <v>E</v>
      </c>
      <c r="V204" s="1" t="str">
        <f>VLOOKUP($E204,'Product Naming'!$A$1:$P$58,5,FALSE)</f>
        <v>C4H10</v>
      </c>
      <c r="W204" s="1">
        <f>VLOOKUP($E204,'Product Naming'!$A$1:$P$58,6,FALSE)</f>
        <v>4</v>
      </c>
      <c r="X204" s="1">
        <f>VLOOKUP($E204,'Product Naming'!$A$1:$P$58,7,FALSE)</f>
        <v>10</v>
      </c>
      <c r="Y204" s="1">
        <f>VLOOKUP($E204,'Product Naming'!$A$1:$P$58,8,FALSE)</f>
        <v>0</v>
      </c>
      <c r="Z204" s="1">
        <f>VLOOKUP($E204,'Product Naming'!$A$1:$P$58,9,FALSE)</f>
        <v>0</v>
      </c>
      <c r="AA204" s="1">
        <f>VLOOKUP($E204,'Product Naming'!$A$1:$P$58,10,FALSE)</f>
        <v>0</v>
      </c>
      <c r="AB204" s="29">
        <f>VLOOKUP($E204,'Product Naming'!$A$1:$P$58,11,FALSE)</f>
        <v>6.5</v>
      </c>
      <c r="AC204" s="3">
        <f>VLOOKUP($E204,'Product Naming'!$A$1:$P$58,12,FALSE)</f>
        <v>58.121200000000002</v>
      </c>
      <c r="AD204" s="1">
        <f>VLOOKUP($E204,'Product Naming'!$A$1:$P$58,13,FALSE)</f>
        <v>-1</v>
      </c>
      <c r="AE204" s="1" t="str">
        <f>VLOOKUP($E204,'Product Naming'!$A$1:$P$58,14,FALSE)</f>
        <v>Hydrocarbon (alkane)</v>
      </c>
      <c r="AF204" s="1" t="str">
        <f>VLOOKUP($E204,'Product Naming'!$A$1:$P$58,15,FALSE)</f>
        <v>Acetyl-CoA + Succinyl-CoA</v>
      </c>
      <c r="AG204" s="30" t="str">
        <f>VLOOKUP($E204,'Product Naming'!$A$1:$P$58,16,FALSE)</f>
        <v>Diffusion</v>
      </c>
      <c r="AH204" s="3" t="str">
        <f>VLOOKUP($E204,'Product Naming'!$A$1:$Q$58,17,FALSE)</f>
        <v>butn_c</v>
      </c>
      <c r="AI204" s="1">
        <f>VLOOKUP($E204,'Product Parameters'!$A$2:$D$59,2,FALSE)</f>
        <v>0</v>
      </c>
      <c r="AJ204" s="1">
        <f>VLOOKUP($E204,'Product Parameters'!$A$2:$D$59,3,FALSE)</f>
        <v>1</v>
      </c>
      <c r="AK204" s="1">
        <f>VLOOKUP($E204,'Product Parameters'!$A$2:$D$59,4,FALSE)</f>
        <v>0.12</v>
      </c>
      <c r="AL204" s="1">
        <f>VLOOKUP($E204,'Product Parameters'!$A$2:$E$59,5,FALSE)</f>
        <v>0</v>
      </c>
      <c r="AM204" s="1">
        <f>VLOOKUP($E204,'Product Parameters'!$A$2:$F$59,6,FALSE)</f>
        <v>4</v>
      </c>
      <c r="AN204" s="1">
        <f>VLOOKUP($C204,'Substrate Heating'!$A$2:$C$33,3,FALSE)</f>
        <v>249.93333333333334</v>
      </c>
      <c r="AO204" s="1">
        <f>VLOOKUP($C204,'Substrate Heating'!$A$2:$B$33,2,FALSE)</f>
        <v>8.1456827881222953</v>
      </c>
      <c r="AP204" s="1">
        <f>VLOOKUP($C204,'Substrate Heating'!$A$2:$M$33,13,FALSE)</f>
        <v>0.66666666666666663</v>
      </c>
      <c r="AQ204" s="1">
        <f>VLOOKUP($C204,'Substrate Heating'!$A$2:$M$33,8,FALSE)</f>
        <v>0.66666666666666663</v>
      </c>
      <c r="AR204" s="1">
        <f t="shared" si="3"/>
        <v>0.47506849315068606</v>
      </c>
    </row>
    <row r="205" spans="1:44" x14ac:dyDescent="0.2">
      <c r="A205" s="17" t="s">
        <v>323</v>
      </c>
      <c r="B205" s="18" t="s">
        <v>324</v>
      </c>
      <c r="C205" t="s">
        <v>333</v>
      </c>
      <c r="D205" s="19" t="s">
        <v>326</v>
      </c>
      <c r="E205" t="s">
        <v>287</v>
      </c>
      <c r="F205" t="s">
        <v>288</v>
      </c>
      <c r="G205">
        <v>-10</v>
      </c>
      <c r="H205">
        <v>0</v>
      </c>
      <c r="I205">
        <v>0</v>
      </c>
      <c r="J205">
        <v>0.45</v>
      </c>
      <c r="K205">
        <v>-10</v>
      </c>
      <c r="L205">
        <v>0</v>
      </c>
      <c r="M205">
        <v>0</v>
      </c>
      <c r="N205">
        <v>6.875</v>
      </c>
      <c r="O205">
        <v>0.625</v>
      </c>
      <c r="P205"/>
      <c r="Q205">
        <v>6.25E-2</v>
      </c>
      <c r="R205">
        <v>9.7963565835896896E-2</v>
      </c>
      <c r="S205" s="1" t="str">
        <f>VLOOKUP($E205,'Product Naming'!$A$1:$P$58,2,FALSE)</f>
        <v>Pentane</v>
      </c>
      <c r="T205" s="1" t="str">
        <f>VLOOKUP($E205,'Product Naming'!$A$1:$P$58,3,FALSE)</f>
        <v>Pentane</v>
      </c>
      <c r="U205" s="1" t="str">
        <f>VLOOKUP($E205,'Product Naming'!$A$1:$P$58,4,FALSE)</f>
        <v>E</v>
      </c>
      <c r="V205" s="1" t="str">
        <f>VLOOKUP($E205,'Product Naming'!$A$1:$P$58,5,FALSE)</f>
        <v>C5H12</v>
      </c>
      <c r="W205" s="1">
        <f>VLOOKUP($E205,'Product Naming'!$A$1:$P$58,6,FALSE)</f>
        <v>5</v>
      </c>
      <c r="X205" s="1">
        <f>VLOOKUP($E205,'Product Naming'!$A$1:$P$58,7,FALSE)</f>
        <v>12</v>
      </c>
      <c r="Y205" s="1">
        <f>VLOOKUP($E205,'Product Naming'!$A$1:$P$58,8,FALSE)</f>
        <v>0</v>
      </c>
      <c r="Z205" s="1">
        <f>VLOOKUP($E205,'Product Naming'!$A$1:$P$58,9,FALSE)</f>
        <v>0</v>
      </c>
      <c r="AA205" s="1">
        <f>VLOOKUP($E205,'Product Naming'!$A$1:$P$58,10,FALSE)</f>
        <v>0</v>
      </c>
      <c r="AB205" s="29">
        <f>VLOOKUP($E205,'Product Naming'!$A$1:$P$58,11,FALSE)</f>
        <v>6.4</v>
      </c>
      <c r="AC205" s="3">
        <f>VLOOKUP($E205,'Product Naming'!$A$1:$P$58,12,FALSE)</f>
        <v>72.147580000000005</v>
      </c>
      <c r="AD205" s="1">
        <f>VLOOKUP($E205,'Product Naming'!$A$1:$P$58,13,FALSE)</f>
        <v>36.1</v>
      </c>
      <c r="AE205" s="1" t="str">
        <f>VLOOKUP($E205,'Product Naming'!$A$1:$P$58,14,FALSE)</f>
        <v>Hydrocarbon (alkane)</v>
      </c>
      <c r="AF205" s="1" t="str">
        <f>VLOOKUP($E205,'Product Naming'!$A$1:$P$58,15,FALSE)</f>
        <v>Acetyl-CoA</v>
      </c>
      <c r="AG205" s="30" t="str">
        <f>VLOOKUP($E205,'Product Naming'!$A$1:$P$58,16,FALSE)</f>
        <v>Diffusion</v>
      </c>
      <c r="AH205" s="3" t="str">
        <f>VLOOKUP($E205,'Product Naming'!$A$1:$Q$58,17,FALSE)</f>
        <v>pent_c</v>
      </c>
      <c r="AI205" s="1">
        <f>VLOOKUP($E205,'Product Parameters'!$A$2:$D$59,2,FALSE)</f>
        <v>0</v>
      </c>
      <c r="AJ205" s="1">
        <f>VLOOKUP($E205,'Product Parameters'!$A$2:$D$59,3,FALSE)</f>
        <v>1</v>
      </c>
      <c r="AK205" s="1">
        <f>VLOOKUP($E205,'Product Parameters'!$A$2:$D$59,4,FALSE)</f>
        <v>0.12</v>
      </c>
      <c r="AL205" s="1">
        <f>VLOOKUP($E205,'Product Parameters'!$A$2:$E$59,5,FALSE)</f>
        <v>26.5</v>
      </c>
      <c r="AM205" s="1">
        <f>VLOOKUP($E205,'Product Parameters'!$A$2:$F$59,6,FALSE)</f>
        <v>5</v>
      </c>
      <c r="AN205" s="1">
        <f>VLOOKUP($C205,'Substrate Heating'!$A$2:$C$33,3,FALSE)</f>
        <v>247.59097</v>
      </c>
      <c r="AO205" s="1">
        <f>VLOOKUP($C205,'Substrate Heating'!$A$2:$B$33,2,FALSE)</f>
        <v>5.5</v>
      </c>
      <c r="AP205" s="1">
        <f>VLOOKUP($C205,'Substrate Heating'!$A$2:$M$33,13,FALSE)</f>
        <v>1</v>
      </c>
      <c r="AQ205" s="1">
        <f>VLOOKUP($C205,'Substrate Heating'!$A$2:$M$33,8,FALSE)</f>
        <v>1</v>
      </c>
      <c r="AR205" s="1">
        <f t="shared" si="3"/>
        <v>0.3125</v>
      </c>
    </row>
    <row r="206" spans="1:44" x14ac:dyDescent="0.2">
      <c r="A206" s="17" t="s">
        <v>323</v>
      </c>
      <c r="B206" s="18" t="s">
        <v>324</v>
      </c>
      <c r="C206" t="s">
        <v>333</v>
      </c>
      <c r="D206" s="19" t="s">
        <v>326</v>
      </c>
      <c r="E206" t="s">
        <v>236</v>
      </c>
      <c r="F206" t="s">
        <v>237</v>
      </c>
      <c r="G206">
        <v>-10</v>
      </c>
      <c r="H206">
        <v>0</v>
      </c>
      <c r="I206">
        <v>0</v>
      </c>
      <c r="J206">
        <v>0.45</v>
      </c>
      <c r="K206">
        <v>-10</v>
      </c>
      <c r="L206">
        <v>0</v>
      </c>
      <c r="M206">
        <v>0</v>
      </c>
      <c r="N206">
        <v>6.8421052631579</v>
      </c>
      <c r="O206">
        <v>0.52631578947368396</v>
      </c>
      <c r="P206"/>
      <c r="Q206">
        <v>5.2631578947368397E-2</v>
      </c>
      <c r="R206">
        <v>9.85338038772305E-2</v>
      </c>
      <c r="S206" s="1" t="str">
        <f>VLOOKUP($E206,'Product Naming'!$A$1:$P$58,2,FALSE)</f>
        <v>Hexane</v>
      </c>
      <c r="T206" s="1" t="str">
        <f>VLOOKUP($E206,'Product Naming'!$A$1:$P$58,3,FALSE)</f>
        <v>Hexane</v>
      </c>
      <c r="U206" s="1" t="str">
        <f>VLOOKUP($E206,'Product Naming'!$A$1:$P$58,4,FALSE)</f>
        <v>E</v>
      </c>
      <c r="V206" s="1" t="str">
        <f>VLOOKUP($E206,'Product Naming'!$A$1:$P$58,5,FALSE)</f>
        <v>C6H14</v>
      </c>
      <c r="W206" s="1">
        <f>VLOOKUP($E206,'Product Naming'!$A$1:$P$58,6,FALSE)</f>
        <v>6</v>
      </c>
      <c r="X206" s="1">
        <f>VLOOKUP($E206,'Product Naming'!$A$1:$P$58,7,FALSE)</f>
        <v>14</v>
      </c>
      <c r="Y206" s="1">
        <f>VLOOKUP($E206,'Product Naming'!$A$1:$P$58,8,FALSE)</f>
        <v>0</v>
      </c>
      <c r="Z206" s="1">
        <f>VLOOKUP($E206,'Product Naming'!$A$1:$P$58,9,FALSE)</f>
        <v>0</v>
      </c>
      <c r="AA206" s="1">
        <f>VLOOKUP($E206,'Product Naming'!$A$1:$P$58,10,FALSE)</f>
        <v>0</v>
      </c>
      <c r="AB206" s="29">
        <f>VLOOKUP($E206,'Product Naming'!$A$1:$P$58,11,FALSE)</f>
        <v>6.333333333333333</v>
      </c>
      <c r="AC206" s="3">
        <f>VLOOKUP($E206,'Product Naming'!$A$1:$P$58,12,FALSE)</f>
        <v>86.173959999999994</v>
      </c>
      <c r="AD206" s="1">
        <f>VLOOKUP($E206,'Product Naming'!$A$1:$P$58,13,FALSE)</f>
        <v>69</v>
      </c>
      <c r="AE206" s="1" t="str">
        <f>VLOOKUP($E206,'Product Naming'!$A$1:$P$58,14,FALSE)</f>
        <v>Hydrocarbon (alkane)</v>
      </c>
      <c r="AF206" s="1" t="str">
        <f>VLOOKUP($E206,'Product Naming'!$A$1:$P$58,15,FALSE)</f>
        <v>Acetyl-CoA + Succinyl-CoA</v>
      </c>
      <c r="AG206" s="30" t="str">
        <f>VLOOKUP($E206,'Product Naming'!$A$1:$P$58,16,FALSE)</f>
        <v>Proton symporter</v>
      </c>
      <c r="AH206" s="3" t="str">
        <f>VLOOKUP($E206,'Product Naming'!$A$1:$Q$58,17,FALSE)</f>
        <v>hex_c</v>
      </c>
      <c r="AI206" s="1">
        <f>VLOOKUP($E206,'Product Parameters'!$A$2:$D$59,2,FALSE)</f>
        <v>1</v>
      </c>
      <c r="AJ206" s="1">
        <f>VLOOKUP($E206,'Product Parameters'!$A$2:$D$59,3,FALSE)</f>
        <v>0</v>
      </c>
      <c r="AK206" s="1">
        <f>VLOOKUP($E206,'Product Parameters'!$A$2:$D$59,4,FALSE)</f>
        <v>0.12</v>
      </c>
      <c r="AL206" s="1">
        <f>VLOOKUP($E206,'Product Parameters'!$A$2:$E$59,5,FALSE)</f>
        <v>31</v>
      </c>
      <c r="AM206" s="1">
        <f>VLOOKUP($E206,'Product Parameters'!$A$2:$F$59,6,FALSE)</f>
        <v>6</v>
      </c>
      <c r="AN206" s="1">
        <f>VLOOKUP($C206,'Substrate Heating'!$A$2:$C$33,3,FALSE)</f>
        <v>247.59097</v>
      </c>
      <c r="AO206" s="1">
        <f>VLOOKUP($C206,'Substrate Heating'!$A$2:$B$33,2,FALSE)</f>
        <v>5.5</v>
      </c>
      <c r="AP206" s="1">
        <f>VLOOKUP($C206,'Substrate Heating'!$A$2:$M$33,13,FALSE)</f>
        <v>1</v>
      </c>
      <c r="AQ206" s="1">
        <f>VLOOKUP($C206,'Substrate Heating'!$A$2:$M$33,8,FALSE)</f>
        <v>1</v>
      </c>
      <c r="AR206" s="1">
        <f t="shared" si="3"/>
        <v>0.3157894736842104</v>
      </c>
    </row>
    <row r="207" spans="1:44" x14ac:dyDescent="0.2">
      <c r="A207" s="8" t="s">
        <v>792</v>
      </c>
      <c r="B207" s="18" t="s">
        <v>324</v>
      </c>
      <c r="C207" t="s">
        <v>365</v>
      </c>
      <c r="D207" s="23" t="s">
        <v>338</v>
      </c>
      <c r="E207" t="s">
        <v>209</v>
      </c>
      <c r="F207" t="s">
        <v>210</v>
      </c>
      <c r="G207">
        <v>-10</v>
      </c>
      <c r="H207">
        <v>0</v>
      </c>
      <c r="I207">
        <v>0</v>
      </c>
      <c r="J207">
        <v>0.45</v>
      </c>
      <c r="K207">
        <v>-10</v>
      </c>
      <c r="L207">
        <v>0</v>
      </c>
      <c r="M207" s="28" t="s">
        <v>559</v>
      </c>
      <c r="N207">
        <v>0</v>
      </c>
      <c r="O207" s="28" t="s">
        <v>560</v>
      </c>
      <c r="P207"/>
      <c r="Q207">
        <v>3.6444444444444397E-2</v>
      </c>
      <c r="R207">
        <v>9.8597108915275802E-2</v>
      </c>
      <c r="S207" s="1" t="str">
        <f>VLOOKUP($E207,'Product Naming'!$A$1:$P$58,2,FALSE)</f>
        <v>GammaButyrolactone</v>
      </c>
      <c r="T207" s="1" t="str">
        <f>VLOOKUP($E207,'Product Naming'!$A$1:$P$58,3,FALSE)</f>
        <v>Gamma butyrolactone</v>
      </c>
      <c r="U207" s="1" t="str">
        <f>VLOOKUP($E207,'Product Naming'!$A$1:$P$58,4,FALSE)</f>
        <v>A</v>
      </c>
      <c r="V207" s="1" t="str">
        <f>VLOOKUP($E207,'Product Naming'!$A$1:$P$58,5,FALSE)</f>
        <v>C4H6O2</v>
      </c>
      <c r="W207" s="1">
        <f>VLOOKUP($E207,'Product Naming'!$A$1:$P$58,6,FALSE)</f>
        <v>4</v>
      </c>
      <c r="X207" s="1">
        <f>VLOOKUP($E207,'Product Naming'!$A$1:$P$58,7,FALSE)</f>
        <v>6</v>
      </c>
      <c r="Y207" s="1">
        <f>VLOOKUP($E207,'Product Naming'!$A$1:$P$58,8,FALSE)</f>
        <v>2</v>
      </c>
      <c r="Z207" s="1">
        <f>VLOOKUP($E207,'Product Naming'!$A$1:$P$58,9,FALSE)</f>
        <v>0</v>
      </c>
      <c r="AA207" s="1">
        <f>VLOOKUP($E207,'Product Naming'!$A$1:$P$58,10,FALSE)</f>
        <v>0</v>
      </c>
      <c r="AB207" s="29">
        <f>VLOOKUP($E207,'Product Naming'!$A$1:$P$58,11,FALSE)</f>
        <v>4.5</v>
      </c>
      <c r="AC207" s="3">
        <f>VLOOKUP($E207,'Product Naming'!$A$1:$P$58,12,FALSE)</f>
        <v>86.08784</v>
      </c>
      <c r="AD207" s="1">
        <f>VLOOKUP($E207,'Product Naming'!$A$1:$P$58,13,FALSE)</f>
        <v>204</v>
      </c>
      <c r="AE207" s="1" t="str">
        <f>VLOOKUP($E207,'Product Naming'!$A$1:$P$58,14,FALSE)</f>
        <v>Lactone (cyclic ester)</v>
      </c>
      <c r="AF207" s="1" t="str">
        <f>VLOOKUP($E207,'Product Naming'!$A$1:$P$58,15,FALSE)</f>
        <v>aKG</v>
      </c>
      <c r="AG207" s="30" t="str">
        <f>VLOOKUP($E207,'Product Naming'!$A$1:$P$58,16,FALSE)</f>
        <v>Proton symporter</v>
      </c>
      <c r="AH207" s="3" t="str">
        <f>VLOOKUP($E207,'Product Naming'!$A$1:$Q$58,17,FALSE)</f>
        <v>gblt_c</v>
      </c>
      <c r="AI207" s="1">
        <f>VLOOKUP($E207,'Product Parameters'!$A$2:$D$59,2,FALSE)</f>
        <v>1</v>
      </c>
      <c r="AJ207" s="1">
        <f>VLOOKUP($E207,'Product Parameters'!$A$2:$D$59,3,FALSE)</f>
        <v>0</v>
      </c>
      <c r="AK207" s="1">
        <f>VLOOKUP($E207,'Product Parameters'!$A$2:$D$59,4,FALSE)</f>
        <v>0.12</v>
      </c>
      <c r="AL207" s="1">
        <f>VLOOKUP($E207,'Product Parameters'!$A$2:$E$59,5,FALSE)</f>
        <v>0</v>
      </c>
      <c r="AM207" s="1">
        <f>VLOOKUP($E207,'Product Parameters'!$A$2:$F$59,6,FALSE)</f>
        <v>4</v>
      </c>
      <c r="AN207" s="1">
        <f>VLOOKUP($C207,'Substrate Heating'!$A$2:$C$33,3,FALSE)</f>
        <v>638.57832580000002</v>
      </c>
      <c r="AO207" s="1">
        <f>VLOOKUP($C207,'Substrate Heating'!$A$2:$B$33,2,FALSE)</f>
        <v>19.93</v>
      </c>
      <c r="AP207" s="1">
        <f>VLOOKUP($C207,'Substrate Heating'!$A$2:$M$33,13,FALSE)</f>
        <v>6</v>
      </c>
      <c r="AQ207" s="1">
        <f>VLOOKUP($C207,'Substrate Heating'!$A$2:$M$33,8,FALSE)</f>
        <v>1</v>
      </c>
      <c r="AR207" s="1">
        <f t="shared" si="3"/>
        <v>0.14577777777777759</v>
      </c>
    </row>
    <row r="208" spans="1:44" x14ac:dyDescent="0.2">
      <c r="A208" s="17" t="s">
        <v>323</v>
      </c>
      <c r="B208" s="18" t="s">
        <v>324</v>
      </c>
      <c r="C208" t="s">
        <v>327</v>
      </c>
      <c r="D208" s="19" t="s">
        <v>326</v>
      </c>
      <c r="E208" t="s">
        <v>297</v>
      </c>
      <c r="F208" t="s">
        <v>298</v>
      </c>
      <c r="G208">
        <v>-10</v>
      </c>
      <c r="H208">
        <v>0</v>
      </c>
      <c r="I208">
        <v>-5</v>
      </c>
      <c r="J208">
        <v>0.45</v>
      </c>
      <c r="K208">
        <v>-10</v>
      </c>
      <c r="L208">
        <v>0</v>
      </c>
      <c r="M208">
        <v>-5</v>
      </c>
      <c r="N208">
        <v>2.8042105263157899</v>
      </c>
      <c r="O208">
        <v>0.30421052631578899</v>
      </c>
      <c r="P208"/>
      <c r="Q208">
        <v>3.0421052631578901E-2</v>
      </c>
      <c r="R208">
        <v>9.8653775472450897E-2</v>
      </c>
      <c r="S208" s="1" t="str">
        <f>VLOOKUP($E208,'Product Naming'!$A$1:$P$58,2,FALSE)</f>
        <v>Phenol</v>
      </c>
      <c r="T208" s="1" t="str">
        <f>VLOOKUP($E208,'Product Naming'!$A$1:$P$58,3,FALSE)</f>
        <v>Phenol</v>
      </c>
      <c r="U208" s="1" t="str">
        <f>VLOOKUP($E208,'Product Naming'!$A$1:$P$58,4,FALSE)</f>
        <v>E-S</v>
      </c>
      <c r="V208" s="1" t="str">
        <f>VLOOKUP($E208,'Product Naming'!$A$1:$P$58,5,FALSE)</f>
        <v>C6H6O</v>
      </c>
      <c r="W208" s="1">
        <f>VLOOKUP($E208,'Product Naming'!$A$1:$P$58,6,FALSE)</f>
        <v>6</v>
      </c>
      <c r="X208" s="1">
        <f>VLOOKUP($E208,'Product Naming'!$A$1:$P$58,7,FALSE)</f>
        <v>6</v>
      </c>
      <c r="Y208" s="1">
        <f>VLOOKUP($E208,'Product Naming'!$A$1:$P$58,8,FALSE)</f>
        <v>1</v>
      </c>
      <c r="Z208" s="1">
        <f>VLOOKUP($E208,'Product Naming'!$A$1:$P$58,9,FALSE)</f>
        <v>0</v>
      </c>
      <c r="AA208" s="1">
        <f>VLOOKUP($E208,'Product Naming'!$A$1:$P$58,10,FALSE)</f>
        <v>0</v>
      </c>
      <c r="AB208" s="29">
        <f>VLOOKUP($E208,'Product Naming'!$A$1:$P$58,11,FALSE)</f>
        <v>4.666666666666667</v>
      </c>
      <c r="AC208" s="3">
        <f>VLOOKUP($E208,'Product Naming'!$A$1:$P$58,12,FALSE)</f>
        <v>94.11023999999999</v>
      </c>
      <c r="AD208" s="1">
        <f>VLOOKUP($E208,'Product Naming'!$A$1:$P$58,13,FALSE)</f>
        <v>181.7</v>
      </c>
      <c r="AE208" s="1" t="str">
        <f>VLOOKUP($E208,'Product Naming'!$A$1:$P$58,14,FALSE)</f>
        <v>Aromatic + Alcohol</v>
      </c>
      <c r="AF208" s="1" t="str">
        <f>VLOOKUP($E208,'Product Naming'!$A$1:$P$58,15,FALSE)</f>
        <v>E4P + L-glutamate</v>
      </c>
      <c r="AG208" s="30" t="str">
        <f>VLOOKUP($E208,'Product Naming'!$A$1:$P$58,16,FALSE)</f>
        <v>Proton symporter</v>
      </c>
      <c r="AH208" s="3" t="str">
        <f>VLOOKUP($E208,'Product Naming'!$A$1:$Q$58,17,FALSE)</f>
        <v>phenol_c</v>
      </c>
      <c r="AI208" s="1">
        <f>VLOOKUP($E208,'Product Parameters'!$A$2:$D$59,2,FALSE)</f>
        <v>1</v>
      </c>
      <c r="AJ208" s="1">
        <f>VLOOKUP($E208,'Product Parameters'!$A$2:$D$59,3,FALSE)</f>
        <v>0</v>
      </c>
      <c r="AK208" s="1">
        <f>VLOOKUP($E208,'Product Parameters'!$A$2:$D$59,4,FALSE)</f>
        <v>0.12</v>
      </c>
      <c r="AL208" s="1">
        <f>VLOOKUP($E208,'Product Parameters'!$A$2:$E$59,5,FALSE)</f>
        <v>58.8</v>
      </c>
      <c r="AM208" s="1">
        <f>VLOOKUP($E208,'Product Parameters'!$A$2:$F$59,6,FALSE)</f>
        <v>6</v>
      </c>
      <c r="AN208" s="1">
        <f>VLOOKUP($C208,'Substrate Heating'!$A$2:$C$33,3,FALSE)</f>
        <v>269.26666666666665</v>
      </c>
      <c r="AO208" s="1">
        <f>VLOOKUP($C208,'Substrate Heating'!$A$2:$B$33,2,FALSE)</f>
        <v>13.919167510409219</v>
      </c>
      <c r="AP208" s="1">
        <f>VLOOKUP($C208,'Substrate Heating'!$A$2:$M$33,13,FALSE)</f>
        <v>1.3333333333333333</v>
      </c>
      <c r="AQ208" s="1">
        <f>VLOOKUP($C208,'Substrate Heating'!$A$2:$M$33,8,FALSE)</f>
        <v>0.66666666666666663</v>
      </c>
      <c r="AR208" s="1">
        <f t="shared" si="3"/>
        <v>0.27378947368421014</v>
      </c>
    </row>
    <row r="209" spans="1:44" x14ac:dyDescent="0.2">
      <c r="A209" s="17" t="s">
        <v>323</v>
      </c>
      <c r="B209" s="18" t="s">
        <v>324</v>
      </c>
      <c r="C209" t="s">
        <v>334</v>
      </c>
      <c r="D209" s="19" t="s">
        <v>326</v>
      </c>
      <c r="E209" t="s">
        <v>175</v>
      </c>
      <c r="F209" t="s">
        <v>176</v>
      </c>
      <c r="G209">
        <v>-10</v>
      </c>
      <c r="H209">
        <v>0</v>
      </c>
      <c r="I209">
        <v>-5</v>
      </c>
      <c r="J209">
        <v>0.45</v>
      </c>
      <c r="K209">
        <v>-10</v>
      </c>
      <c r="L209">
        <v>0</v>
      </c>
      <c r="M209">
        <v>-5</v>
      </c>
      <c r="N209">
        <v>2.7109489051094902</v>
      </c>
      <c r="O209">
        <v>0.42189781021897799</v>
      </c>
      <c r="P209"/>
      <c r="Q209">
        <v>4.2189781021897799E-2</v>
      </c>
      <c r="R209">
        <v>9.8756892577479202E-2</v>
      </c>
      <c r="S209" s="1" t="str">
        <f>VLOOKUP($E209,'Product Naming'!$A$1:$P$58,2,FALSE)</f>
        <v>Catechol</v>
      </c>
      <c r="T209" s="1" t="str">
        <f>VLOOKUP($E209,'Product Naming'!$A$1:$P$58,3,FALSE)</f>
        <v>Catechol</v>
      </c>
      <c r="U209" s="1" t="str">
        <f>VLOOKUP($E209,'Product Naming'!$A$1:$P$58,4,FALSE)</f>
        <v>E</v>
      </c>
      <c r="V209" s="1" t="str">
        <f>VLOOKUP($E209,'Product Naming'!$A$1:$P$58,5,FALSE)</f>
        <v>C6H6O2</v>
      </c>
      <c r="W209" s="1">
        <f>VLOOKUP($E209,'Product Naming'!$A$1:$P$58,6,FALSE)</f>
        <v>6</v>
      </c>
      <c r="X209" s="1">
        <f>VLOOKUP($E209,'Product Naming'!$A$1:$P$58,7,FALSE)</f>
        <v>6</v>
      </c>
      <c r="Y209" s="1">
        <f>VLOOKUP($E209,'Product Naming'!$A$1:$P$58,8,FALSE)</f>
        <v>2</v>
      </c>
      <c r="Z209" s="1">
        <f>VLOOKUP($E209,'Product Naming'!$A$1:$P$58,9,FALSE)</f>
        <v>0</v>
      </c>
      <c r="AA209" s="1">
        <f>VLOOKUP($E209,'Product Naming'!$A$1:$P$58,10,FALSE)</f>
        <v>0</v>
      </c>
      <c r="AB209" s="29">
        <f>VLOOKUP($E209,'Product Naming'!$A$1:$P$58,11,FALSE)</f>
        <v>4.333333333333333</v>
      </c>
      <c r="AC209" s="3">
        <f>VLOOKUP($E209,'Product Naming'!$A$1:$P$58,12,FALSE)</f>
        <v>110.10924</v>
      </c>
      <c r="AD209" s="1">
        <f>VLOOKUP($E209,'Product Naming'!$A$1:$P$58,13,FALSE)</f>
        <v>245</v>
      </c>
      <c r="AE209" s="1" t="str">
        <f>VLOOKUP($E209,'Product Naming'!$A$1:$P$58,14,FALSE)</f>
        <v>Aromatic + Diol</v>
      </c>
      <c r="AF209" s="1" t="str">
        <f>VLOOKUP($E209,'Product Naming'!$A$1:$P$58,15,FALSE)</f>
        <v>Glyceraldehyde 3-P</v>
      </c>
      <c r="AG209" s="30" t="str">
        <f>VLOOKUP($E209,'Product Naming'!$A$1:$P$58,16,FALSE)</f>
        <v>Proton symporter</v>
      </c>
      <c r="AH209" s="3" t="str">
        <f>VLOOKUP($E209,'Product Naming'!$A$1:$Q$58,17,FALSE)</f>
        <v>catechol_c</v>
      </c>
      <c r="AI209" s="1">
        <f>VLOOKUP($E209,'Product Parameters'!$A$2:$D$59,2,FALSE)</f>
        <v>1</v>
      </c>
      <c r="AJ209" s="1">
        <f>VLOOKUP($E209,'Product Parameters'!$A$2:$D$59,3,FALSE)</f>
        <v>0</v>
      </c>
      <c r="AK209" s="1">
        <f>VLOOKUP($E209,'Product Parameters'!$A$2:$D$59,4,FALSE)</f>
        <v>0.12</v>
      </c>
      <c r="AL209" s="1">
        <f>VLOOKUP($E209,'Product Parameters'!$A$2:$E$59,5,FALSE)</f>
        <v>40.65</v>
      </c>
      <c r="AM209" s="1">
        <f>VLOOKUP($E209,'Product Parameters'!$A$2:$F$59,6,FALSE)</f>
        <v>6</v>
      </c>
      <c r="AN209" s="1">
        <f>VLOOKUP($C209,'Substrate Heating'!$A$2:$C$33,3,FALSE)</f>
        <v>249.93333333333334</v>
      </c>
      <c r="AO209" s="1">
        <f>VLOOKUP($C209,'Substrate Heating'!$A$2:$B$33,2,FALSE)</f>
        <v>8.1456827881222953</v>
      </c>
      <c r="AP209" s="1">
        <f>VLOOKUP($C209,'Substrate Heating'!$A$2:$M$33,13,FALSE)</f>
        <v>0.66666666666666663</v>
      </c>
      <c r="AQ209" s="1">
        <f>VLOOKUP($C209,'Substrate Heating'!$A$2:$M$33,8,FALSE)</f>
        <v>0.66666666666666663</v>
      </c>
      <c r="AR209" s="1">
        <f t="shared" si="3"/>
        <v>0.37970802919708019</v>
      </c>
    </row>
    <row r="210" spans="1:44" x14ac:dyDescent="0.2">
      <c r="A210" s="17" t="s">
        <v>323</v>
      </c>
      <c r="B210" s="18" t="s">
        <v>324</v>
      </c>
      <c r="C210" t="s">
        <v>333</v>
      </c>
      <c r="D210" s="19" t="s">
        <v>326</v>
      </c>
      <c r="E210" t="s">
        <v>232</v>
      </c>
      <c r="F210" t="s">
        <v>233</v>
      </c>
      <c r="G210">
        <v>-10</v>
      </c>
      <c r="H210">
        <v>0</v>
      </c>
      <c r="I210">
        <v>0</v>
      </c>
      <c r="J210">
        <v>0.45</v>
      </c>
      <c r="K210">
        <v>-10</v>
      </c>
      <c r="L210">
        <v>0</v>
      </c>
      <c r="M210">
        <v>0</v>
      </c>
      <c r="N210">
        <v>6.8181818181818201</v>
      </c>
      <c r="O210">
        <v>0.45454545454545398</v>
      </c>
      <c r="P210"/>
      <c r="Q210">
        <v>4.54545454545454E-2</v>
      </c>
      <c r="R210">
        <v>9.8948522452745796E-2</v>
      </c>
      <c r="S210" s="1" t="str">
        <f>VLOOKUP($E210,'Product Naming'!$A$1:$P$58,2,FALSE)</f>
        <v>Heptane</v>
      </c>
      <c r="T210" s="1" t="str">
        <f>VLOOKUP($E210,'Product Naming'!$A$1:$P$58,3,FALSE)</f>
        <v>Heptane</v>
      </c>
      <c r="U210" s="1" t="str">
        <f>VLOOKUP($E210,'Product Naming'!$A$1:$P$58,4,FALSE)</f>
        <v>E</v>
      </c>
      <c r="V210" s="1" t="str">
        <f>VLOOKUP($E210,'Product Naming'!$A$1:$P$58,5,FALSE)</f>
        <v>C7H16</v>
      </c>
      <c r="W210" s="1">
        <f>VLOOKUP($E210,'Product Naming'!$A$1:$P$58,6,FALSE)</f>
        <v>7</v>
      </c>
      <c r="X210" s="1">
        <f>VLOOKUP($E210,'Product Naming'!$A$1:$P$58,7,FALSE)</f>
        <v>16</v>
      </c>
      <c r="Y210" s="1">
        <f>VLOOKUP($E210,'Product Naming'!$A$1:$P$58,8,FALSE)</f>
        <v>0</v>
      </c>
      <c r="Z210" s="1">
        <f>VLOOKUP($E210,'Product Naming'!$A$1:$P$58,9,FALSE)</f>
        <v>0</v>
      </c>
      <c r="AA210" s="1">
        <f>VLOOKUP($E210,'Product Naming'!$A$1:$P$58,10,FALSE)</f>
        <v>0</v>
      </c>
      <c r="AB210" s="29">
        <f>VLOOKUP($E210,'Product Naming'!$A$1:$P$58,11,FALSE)</f>
        <v>6.2857142857142856</v>
      </c>
      <c r="AC210" s="3">
        <f>VLOOKUP($E210,'Product Naming'!$A$1:$P$58,12,FALSE)</f>
        <v>100.20034</v>
      </c>
      <c r="AD210" s="1">
        <f>VLOOKUP($E210,'Product Naming'!$A$1:$P$58,13,FALSE)</f>
        <v>98</v>
      </c>
      <c r="AE210" s="1" t="str">
        <f>VLOOKUP($E210,'Product Naming'!$A$1:$P$58,14,FALSE)</f>
        <v>Hydrocarbon (alkane)</v>
      </c>
      <c r="AF210" s="1" t="str">
        <f>VLOOKUP($E210,'Product Naming'!$A$1:$P$58,15,FALSE)</f>
        <v>Acetyl-CoA</v>
      </c>
      <c r="AG210" s="30" t="str">
        <f>VLOOKUP($E210,'Product Naming'!$A$1:$P$58,16,FALSE)</f>
        <v>Proton symporter</v>
      </c>
      <c r="AH210" s="3" t="str">
        <f>VLOOKUP($E210,'Product Naming'!$A$1:$Q$58,17,FALSE)</f>
        <v>hept_c</v>
      </c>
      <c r="AI210" s="1">
        <f>VLOOKUP($E210,'Product Parameters'!$A$2:$D$59,2,FALSE)</f>
        <v>1</v>
      </c>
      <c r="AJ210" s="1">
        <f>VLOOKUP($E210,'Product Parameters'!$A$2:$D$59,3,FALSE)</f>
        <v>0</v>
      </c>
      <c r="AK210" s="1">
        <f>VLOOKUP($E210,'Product Parameters'!$A$2:$D$59,4,FALSE)</f>
        <v>0.12</v>
      </c>
      <c r="AL210" s="1">
        <f>VLOOKUP($E210,'Product Parameters'!$A$2:$E$59,5,FALSE)</f>
        <v>36</v>
      </c>
      <c r="AM210" s="1">
        <f>VLOOKUP($E210,'Product Parameters'!$A$2:$F$59,6,FALSE)</f>
        <v>7</v>
      </c>
      <c r="AN210" s="1">
        <f>VLOOKUP($C210,'Substrate Heating'!$A$2:$C$33,3,FALSE)</f>
        <v>247.59097</v>
      </c>
      <c r="AO210" s="1">
        <f>VLOOKUP($C210,'Substrate Heating'!$A$2:$B$33,2,FALSE)</f>
        <v>5.5</v>
      </c>
      <c r="AP210" s="1">
        <f>VLOOKUP($C210,'Substrate Heating'!$A$2:$M$33,13,FALSE)</f>
        <v>1</v>
      </c>
      <c r="AQ210" s="1">
        <f>VLOOKUP($C210,'Substrate Heating'!$A$2:$M$33,8,FALSE)</f>
        <v>1</v>
      </c>
      <c r="AR210" s="1">
        <f t="shared" si="3"/>
        <v>0.31818181818181779</v>
      </c>
    </row>
    <row r="211" spans="1:44" x14ac:dyDescent="0.2">
      <c r="A211" s="17" t="s">
        <v>323</v>
      </c>
      <c r="B211" s="18" t="s">
        <v>324</v>
      </c>
      <c r="C211" t="s">
        <v>333</v>
      </c>
      <c r="D211" s="19" t="s">
        <v>326</v>
      </c>
      <c r="E211" t="s">
        <v>283</v>
      </c>
      <c r="F211" t="s">
        <v>284</v>
      </c>
      <c r="G211">
        <v>-10</v>
      </c>
      <c r="H211">
        <v>0</v>
      </c>
      <c r="I211">
        <v>0</v>
      </c>
      <c r="J211">
        <v>0.45</v>
      </c>
      <c r="K211">
        <v>-10</v>
      </c>
      <c r="L211">
        <v>0</v>
      </c>
      <c r="M211">
        <v>0</v>
      </c>
      <c r="N211">
        <v>6.8</v>
      </c>
      <c r="O211">
        <v>0.4</v>
      </c>
      <c r="P211"/>
      <c r="Q211">
        <v>0.04</v>
      </c>
      <c r="R211">
        <v>9.9263708570137499E-2</v>
      </c>
      <c r="S211" s="1" t="str">
        <f>VLOOKUP($E211,'Product Naming'!$A$1:$P$58,2,FALSE)</f>
        <v>Octane</v>
      </c>
      <c r="T211" s="1" t="str">
        <f>VLOOKUP($E211,'Product Naming'!$A$1:$P$58,3,FALSE)</f>
        <v>Octane</v>
      </c>
      <c r="U211" s="1" t="str">
        <f>VLOOKUP($E211,'Product Naming'!$A$1:$P$58,4,FALSE)</f>
        <v>E</v>
      </c>
      <c r="V211" s="1" t="str">
        <f>VLOOKUP($E211,'Product Naming'!$A$1:$P$58,5,FALSE)</f>
        <v>C8H18</v>
      </c>
      <c r="W211" s="1">
        <f>VLOOKUP($E211,'Product Naming'!$A$1:$P$58,6,FALSE)</f>
        <v>8</v>
      </c>
      <c r="X211" s="1">
        <f>VLOOKUP($E211,'Product Naming'!$A$1:$P$58,7,FALSE)</f>
        <v>18</v>
      </c>
      <c r="Y211" s="1">
        <f>VLOOKUP($E211,'Product Naming'!$A$1:$P$58,8,FALSE)</f>
        <v>0</v>
      </c>
      <c r="Z211" s="1">
        <f>VLOOKUP($E211,'Product Naming'!$A$1:$P$58,9,FALSE)</f>
        <v>0</v>
      </c>
      <c r="AA211" s="1">
        <f>VLOOKUP($E211,'Product Naming'!$A$1:$P$58,10,FALSE)</f>
        <v>0</v>
      </c>
      <c r="AB211" s="29">
        <f>VLOOKUP($E211,'Product Naming'!$A$1:$P$58,11,FALSE)</f>
        <v>6.25</v>
      </c>
      <c r="AC211" s="3">
        <f>VLOOKUP($E211,'Product Naming'!$A$1:$P$58,12,FALSE)</f>
        <v>114.22672</v>
      </c>
      <c r="AD211" s="1">
        <f>VLOOKUP($E211,'Product Naming'!$A$1:$P$58,13,FALSE)</f>
        <v>126</v>
      </c>
      <c r="AE211" s="1" t="str">
        <f>VLOOKUP($E211,'Product Naming'!$A$1:$P$58,14,FALSE)</f>
        <v>Hydrocarbon (alkane)</v>
      </c>
      <c r="AF211" s="1" t="str">
        <f>VLOOKUP($E211,'Product Naming'!$A$1:$P$58,15,FALSE)</f>
        <v>Acetyl-CoA + Succinyl-CoA</v>
      </c>
      <c r="AG211" s="30" t="str">
        <f>VLOOKUP($E211,'Product Naming'!$A$1:$P$58,16,FALSE)</f>
        <v>Proton symporter</v>
      </c>
      <c r="AH211" s="3" t="str">
        <f>VLOOKUP($E211,'Product Naming'!$A$1:$Q$58,17,FALSE)</f>
        <v>octn_c</v>
      </c>
      <c r="AI211" s="1">
        <f>VLOOKUP($E211,'Product Parameters'!$A$2:$D$59,2,FALSE)</f>
        <v>1</v>
      </c>
      <c r="AJ211" s="1">
        <f>VLOOKUP($E211,'Product Parameters'!$A$2:$D$59,3,FALSE)</f>
        <v>0</v>
      </c>
      <c r="AK211" s="1">
        <f>VLOOKUP($E211,'Product Parameters'!$A$2:$D$59,4,FALSE)</f>
        <v>0.12</v>
      </c>
      <c r="AL211" s="1">
        <f>VLOOKUP($E211,'Product Parameters'!$A$2:$E$59,5,FALSE)</f>
        <v>41</v>
      </c>
      <c r="AM211" s="1">
        <f>VLOOKUP($E211,'Product Parameters'!$A$2:$F$59,6,FALSE)</f>
        <v>8</v>
      </c>
      <c r="AN211" s="1">
        <f>VLOOKUP($C211,'Substrate Heating'!$A$2:$C$33,3,FALSE)</f>
        <v>247.59097</v>
      </c>
      <c r="AO211" s="1">
        <f>VLOOKUP($C211,'Substrate Heating'!$A$2:$B$33,2,FALSE)</f>
        <v>5.5</v>
      </c>
      <c r="AP211" s="1">
        <f>VLOOKUP($C211,'Substrate Heating'!$A$2:$M$33,13,FALSE)</f>
        <v>1</v>
      </c>
      <c r="AQ211" s="1">
        <f>VLOOKUP($C211,'Substrate Heating'!$A$2:$M$33,8,FALSE)</f>
        <v>1</v>
      </c>
      <c r="AR211" s="1">
        <f t="shared" si="3"/>
        <v>0.32</v>
      </c>
    </row>
    <row r="212" spans="1:44" x14ac:dyDescent="0.2">
      <c r="A212" s="17" t="s">
        <v>323</v>
      </c>
      <c r="B212" s="18" t="s">
        <v>324</v>
      </c>
      <c r="C212" t="s">
        <v>333</v>
      </c>
      <c r="D212" s="19" t="s">
        <v>326</v>
      </c>
      <c r="E212" t="s">
        <v>279</v>
      </c>
      <c r="F212" t="s">
        <v>280</v>
      </c>
      <c r="G212">
        <v>-10</v>
      </c>
      <c r="H212">
        <v>0</v>
      </c>
      <c r="I212">
        <v>0</v>
      </c>
      <c r="J212">
        <v>0.45</v>
      </c>
      <c r="K212">
        <v>-10</v>
      </c>
      <c r="L212">
        <v>0</v>
      </c>
      <c r="M212">
        <v>0</v>
      </c>
      <c r="N212">
        <v>6.78571428571429</v>
      </c>
      <c r="O212">
        <v>0.35714285714285698</v>
      </c>
      <c r="P212"/>
      <c r="Q212">
        <v>3.5714285714285698E-2</v>
      </c>
      <c r="R212">
        <v>9.9511354805230906E-2</v>
      </c>
      <c r="S212" s="1" t="str">
        <f>VLOOKUP($E212,'Product Naming'!$A$1:$P$58,2,FALSE)</f>
        <v>Nonane</v>
      </c>
      <c r="T212" s="1" t="str">
        <f>VLOOKUP($E212,'Product Naming'!$A$1:$P$58,3,FALSE)</f>
        <v>Nonane</v>
      </c>
      <c r="U212" s="1" t="str">
        <f>VLOOKUP($E212,'Product Naming'!$A$1:$P$58,4,FALSE)</f>
        <v>E</v>
      </c>
      <c r="V212" s="1" t="str">
        <f>VLOOKUP($E212,'Product Naming'!$A$1:$P$58,5,FALSE)</f>
        <v>C9H20</v>
      </c>
      <c r="W212" s="1">
        <f>VLOOKUP($E212,'Product Naming'!$A$1:$P$58,6,FALSE)</f>
        <v>9</v>
      </c>
      <c r="X212" s="1">
        <f>VLOOKUP($E212,'Product Naming'!$A$1:$P$58,7,FALSE)</f>
        <v>20</v>
      </c>
      <c r="Y212" s="1">
        <f>VLOOKUP($E212,'Product Naming'!$A$1:$P$58,8,FALSE)</f>
        <v>0</v>
      </c>
      <c r="Z212" s="1">
        <f>VLOOKUP($E212,'Product Naming'!$A$1:$P$58,9,FALSE)</f>
        <v>0</v>
      </c>
      <c r="AA212" s="1">
        <f>VLOOKUP($E212,'Product Naming'!$A$1:$P$58,10,FALSE)</f>
        <v>0</v>
      </c>
      <c r="AB212" s="29">
        <f>VLOOKUP($E212,'Product Naming'!$A$1:$P$58,11,FALSE)</f>
        <v>6.2222222222222223</v>
      </c>
      <c r="AC212" s="3">
        <f>VLOOKUP($E212,'Product Naming'!$A$1:$P$58,12,FALSE)</f>
        <v>128.25309999999999</v>
      </c>
      <c r="AD212" s="1">
        <f>VLOOKUP($E212,'Product Naming'!$A$1:$P$58,13,FALSE)</f>
        <v>151</v>
      </c>
      <c r="AE212" s="1" t="str">
        <f>VLOOKUP($E212,'Product Naming'!$A$1:$P$58,14,FALSE)</f>
        <v>Hydrocarbon (alkane)</v>
      </c>
      <c r="AF212" s="1" t="str">
        <f>VLOOKUP($E212,'Product Naming'!$A$1:$P$58,15,FALSE)</f>
        <v>Acetyl-CoA</v>
      </c>
      <c r="AG212" s="30" t="str">
        <f>VLOOKUP($E212,'Product Naming'!$A$1:$P$58,16,FALSE)</f>
        <v>Proton symporter</v>
      </c>
      <c r="AH212" s="3" t="str">
        <f>VLOOKUP($E212,'Product Naming'!$A$1:$Q$58,17,FALSE)</f>
        <v>nonan_c</v>
      </c>
      <c r="AI212" s="1">
        <f>VLOOKUP($E212,'Product Parameters'!$A$2:$D$59,2,FALSE)</f>
        <v>1</v>
      </c>
      <c r="AJ212" s="1">
        <f>VLOOKUP($E212,'Product Parameters'!$A$2:$D$59,3,FALSE)</f>
        <v>0</v>
      </c>
      <c r="AK212" s="1">
        <f>VLOOKUP($E212,'Product Parameters'!$A$2:$D$59,4,FALSE)</f>
        <v>0.12</v>
      </c>
      <c r="AL212" s="1">
        <f>VLOOKUP($E212,'Product Parameters'!$A$2:$E$59,5,FALSE)</f>
        <v>46.5</v>
      </c>
      <c r="AM212" s="1">
        <f>VLOOKUP($E212,'Product Parameters'!$A$2:$F$59,6,FALSE)</f>
        <v>9</v>
      </c>
      <c r="AN212" s="1">
        <f>VLOOKUP($C212,'Substrate Heating'!$A$2:$C$33,3,FALSE)</f>
        <v>247.59097</v>
      </c>
      <c r="AO212" s="1">
        <f>VLOOKUP($C212,'Substrate Heating'!$A$2:$B$33,2,FALSE)</f>
        <v>5.5</v>
      </c>
      <c r="AP212" s="1">
        <f>VLOOKUP($C212,'Substrate Heating'!$A$2:$M$33,13,FALSE)</f>
        <v>1</v>
      </c>
      <c r="AQ212" s="1">
        <f>VLOOKUP($C212,'Substrate Heating'!$A$2:$M$33,8,FALSE)</f>
        <v>1</v>
      </c>
      <c r="AR212" s="1">
        <f t="shared" si="3"/>
        <v>0.32142857142857129</v>
      </c>
    </row>
    <row r="213" spans="1:44" x14ac:dyDescent="0.2">
      <c r="A213" s="17" t="s">
        <v>323</v>
      </c>
      <c r="B213" s="18" t="s">
        <v>324</v>
      </c>
      <c r="C213" t="s">
        <v>327</v>
      </c>
      <c r="D213" s="19" t="s">
        <v>326</v>
      </c>
      <c r="E213" t="s">
        <v>313</v>
      </c>
      <c r="F213" t="s">
        <v>314</v>
      </c>
      <c r="G213">
        <v>-10</v>
      </c>
      <c r="H213">
        <v>0</v>
      </c>
      <c r="I213">
        <v>-5</v>
      </c>
      <c r="J213">
        <v>0.45</v>
      </c>
      <c r="K213">
        <v>-10</v>
      </c>
      <c r="L213">
        <v>0</v>
      </c>
      <c r="M213">
        <v>-5</v>
      </c>
      <c r="N213">
        <v>3.0557692307692301</v>
      </c>
      <c r="O213">
        <v>0.27788461538461601</v>
      </c>
      <c r="P213"/>
      <c r="Q213">
        <v>2.7788461538461599E-2</v>
      </c>
      <c r="R213">
        <v>9.9728517733128602E-2</v>
      </c>
      <c r="S213" s="1" t="str">
        <f>VLOOKUP($E213,'Product Naming'!$A$1:$P$58,2,FALSE)</f>
        <v>Styrene</v>
      </c>
      <c r="T213" s="1" t="str">
        <f>VLOOKUP($E213,'Product Naming'!$A$1:$P$58,3,FALSE)</f>
        <v>Styrene</v>
      </c>
      <c r="U213" s="1" t="str">
        <f>VLOOKUP($E213,'Product Naming'!$A$1:$P$58,4,FALSE)</f>
        <v>E-S</v>
      </c>
      <c r="V213" s="1" t="str">
        <f>VLOOKUP($E213,'Product Naming'!$A$1:$P$58,5,FALSE)</f>
        <v>C8H8</v>
      </c>
      <c r="W213" s="1">
        <f>VLOOKUP($E213,'Product Naming'!$A$1:$P$58,6,FALSE)</f>
        <v>8</v>
      </c>
      <c r="X213" s="1">
        <f>VLOOKUP($E213,'Product Naming'!$A$1:$P$58,7,FALSE)</f>
        <v>8</v>
      </c>
      <c r="Y213" s="1">
        <f>VLOOKUP($E213,'Product Naming'!$A$1:$P$58,8,FALSE)</f>
        <v>0</v>
      </c>
      <c r="Z213" s="1">
        <f>VLOOKUP($E213,'Product Naming'!$A$1:$P$58,9,FALSE)</f>
        <v>0</v>
      </c>
      <c r="AA213" s="1">
        <f>VLOOKUP($E213,'Product Naming'!$A$1:$P$58,10,FALSE)</f>
        <v>0</v>
      </c>
      <c r="AB213" s="29">
        <f>VLOOKUP($E213,'Product Naming'!$A$1:$P$58,11,FALSE)</f>
        <v>5</v>
      </c>
      <c r="AC213" s="3">
        <f>VLOOKUP($E213,'Product Naming'!$A$1:$P$58,12,FALSE)</f>
        <v>104.14832</v>
      </c>
      <c r="AD213" s="1">
        <f>VLOOKUP($E213,'Product Naming'!$A$1:$P$58,13,FALSE)</f>
        <v>145</v>
      </c>
      <c r="AE213" s="1" t="str">
        <f>VLOOKUP($E213,'Product Naming'!$A$1:$P$58,14,FALSE)</f>
        <v>Cycloalkane</v>
      </c>
      <c r="AF213" s="1" t="str">
        <f>VLOOKUP($E213,'Product Naming'!$A$1:$P$58,15,FALSE)</f>
        <v>E4P</v>
      </c>
      <c r="AG213" s="30" t="str">
        <f>VLOOKUP($E213,'Product Naming'!$A$1:$P$58,16,FALSE)</f>
        <v>Proton symporter</v>
      </c>
      <c r="AH213" s="3" t="str">
        <f>VLOOKUP($E213,'Product Naming'!$A$1:$Q$58,17,FALSE)</f>
        <v>styr_c</v>
      </c>
      <c r="AI213" s="1">
        <f>VLOOKUP($E213,'Product Parameters'!$A$2:$D$59,2,FALSE)</f>
        <v>1</v>
      </c>
      <c r="AJ213" s="1">
        <f>VLOOKUP($E213,'Product Parameters'!$A$2:$D$59,3,FALSE)</f>
        <v>0</v>
      </c>
      <c r="AK213" s="1">
        <f>VLOOKUP($E213,'Product Parameters'!$A$2:$D$59,4,FALSE)</f>
        <v>0.12</v>
      </c>
      <c r="AL213" s="1">
        <f>VLOOKUP($E213,'Product Parameters'!$A$2:$E$59,5,FALSE)</f>
        <v>43.9</v>
      </c>
      <c r="AM213" s="1">
        <f>VLOOKUP($E213,'Product Parameters'!$A$2:$F$59,6,FALSE)</f>
        <v>8</v>
      </c>
      <c r="AN213" s="1">
        <f>VLOOKUP($C213,'Substrate Heating'!$A$2:$C$33,3,FALSE)</f>
        <v>269.26666666666665</v>
      </c>
      <c r="AO213" s="1">
        <f>VLOOKUP($C213,'Substrate Heating'!$A$2:$B$33,2,FALSE)</f>
        <v>13.919167510409219</v>
      </c>
      <c r="AP213" s="1">
        <f>VLOOKUP($C213,'Substrate Heating'!$A$2:$M$33,13,FALSE)</f>
        <v>1.3333333333333333</v>
      </c>
      <c r="AQ213" s="1">
        <f>VLOOKUP($C213,'Substrate Heating'!$A$2:$M$33,8,FALSE)</f>
        <v>0.66666666666666663</v>
      </c>
      <c r="AR213" s="1">
        <f t="shared" si="3"/>
        <v>0.3334615384615392</v>
      </c>
    </row>
    <row r="214" spans="1:44" x14ac:dyDescent="0.2">
      <c r="A214" s="8" t="s">
        <v>34</v>
      </c>
      <c r="B214" s="9" t="s">
        <v>35</v>
      </c>
      <c r="C214" s="1" t="s">
        <v>337</v>
      </c>
      <c r="D214" s="23" t="s">
        <v>338</v>
      </c>
      <c r="E214" s="1" t="s">
        <v>52</v>
      </c>
      <c r="F214" s="1" t="s">
        <v>53</v>
      </c>
      <c r="G214" s="1">
        <v>-10</v>
      </c>
      <c r="H214" s="1">
        <v>-20</v>
      </c>
      <c r="I214" s="1" t="s">
        <v>40</v>
      </c>
      <c r="J214" s="1">
        <v>3.15</v>
      </c>
      <c r="K214" s="1">
        <v>-10</v>
      </c>
      <c r="L214" s="1">
        <v>-2.5795744680851</v>
      </c>
      <c r="M214" s="1" t="s">
        <v>40</v>
      </c>
      <c r="N214" s="1">
        <v>8.1846808510638205</v>
      </c>
      <c r="O214" s="1">
        <v>0.60510638297872199</v>
      </c>
      <c r="Q214" s="1">
        <v>6.0510638297872198E-2</v>
      </c>
      <c r="R214" s="1">
        <v>0.100093300518186</v>
      </c>
      <c r="S214" s="1" t="str">
        <f>VLOOKUP($E214,'Product Naming'!$A$1:$P$58,2,FALSE)</f>
        <v>1-3-Diaminopropane</v>
      </c>
      <c r="T214" s="1" t="str">
        <f>VLOOKUP($E214,'Product Naming'!$A$1:$P$58,3,FALSE)</f>
        <v>1,3-Diaminopropane</v>
      </c>
      <c r="U214" s="1" t="str">
        <f>VLOOKUP($E214,'Product Naming'!$A$1:$P$58,4,FALSE)</f>
        <v>A</v>
      </c>
      <c r="V214" s="1" t="str">
        <f>VLOOKUP($E214,'Product Naming'!$A$1:$P$58,5,FALSE)</f>
        <v>C3H12N2</v>
      </c>
      <c r="W214" s="1">
        <f>VLOOKUP($E214,'Product Naming'!$A$1:$P$58,6,FALSE)</f>
        <v>3</v>
      </c>
      <c r="X214" s="1">
        <f>VLOOKUP($E214,'Product Naming'!$A$1:$P$58,7,FALSE)</f>
        <v>12</v>
      </c>
      <c r="Y214" s="1">
        <f>VLOOKUP($E214,'Product Naming'!$A$1:$P$58,8,FALSE)</f>
        <v>0</v>
      </c>
      <c r="Z214" s="1">
        <f>VLOOKUP($E214,'Product Naming'!$A$1:$P$58,9,FALSE)</f>
        <v>2</v>
      </c>
      <c r="AA214" s="1">
        <f>VLOOKUP($E214,'Product Naming'!$A$1:$P$58,10,FALSE)</f>
        <v>2</v>
      </c>
      <c r="AB214" s="29">
        <f>VLOOKUP($E214,'Product Naming'!$A$1:$P$58,11,FALSE)</f>
        <v>6</v>
      </c>
      <c r="AC214" s="3">
        <f>VLOOKUP($E214,'Product Naming'!$A$1:$P$58,12,FALSE)</f>
        <v>76.139580000000009</v>
      </c>
      <c r="AD214" s="1">
        <f>VLOOKUP($E214,'Product Naming'!$A$1:$P$58,13,FALSE)</f>
        <v>139.30000000000001</v>
      </c>
      <c r="AE214" s="1" t="str">
        <f>VLOOKUP($E214,'Product Naming'!$A$1:$P$58,14,FALSE)</f>
        <v>Diamine</v>
      </c>
      <c r="AF214" s="1" t="str">
        <f>VLOOKUP($E214,'Product Naming'!$A$1:$P$58,15,FALSE)</f>
        <v>Oxaloacetate + aKG</v>
      </c>
      <c r="AG214" s="30" t="str">
        <f>VLOOKUP($E214,'Product Naming'!$A$1:$P$58,16,FALSE)</f>
        <v>Proton symporter</v>
      </c>
      <c r="AH214" s="3" t="str">
        <f>VLOOKUP($E214,'Product Naming'!$A$1:$Q$58,17,FALSE)</f>
        <v>13dampp_c</v>
      </c>
      <c r="AI214" s="1">
        <f>VLOOKUP($E214,'Product Parameters'!$A$2:$D$59,2,FALSE)</f>
        <v>1</v>
      </c>
      <c r="AJ214" s="1">
        <f>VLOOKUP($E214,'Product Parameters'!$A$2:$D$59,3,FALSE)</f>
        <v>0</v>
      </c>
      <c r="AK214" s="1">
        <f>VLOOKUP($E214,'Product Parameters'!$A$2:$D$59,4,FALSE)</f>
        <v>0.12</v>
      </c>
      <c r="AL214" s="1">
        <f>VLOOKUP($E214,'Product Parameters'!$A$2:$E$59,5,FALSE)</f>
        <v>50.18</v>
      </c>
      <c r="AM214" s="1">
        <f>VLOOKUP($E214,'Product Parameters'!$A$2:$F$59,6,FALSE)</f>
        <v>3</v>
      </c>
      <c r="AN214" s="1">
        <f>VLOOKUP($C214,'Substrate Heating'!$A$2:$C$33,3,FALSE)</f>
        <v>247.59097</v>
      </c>
      <c r="AO214" s="1">
        <f>VLOOKUP($C214,'Substrate Heating'!$A$2:$B$33,2,FALSE)</f>
        <v>5.5</v>
      </c>
      <c r="AP214" s="1">
        <f>VLOOKUP($C214,'Substrate Heating'!$A$2:$M$33,13,FALSE)</f>
        <v>1</v>
      </c>
      <c r="AQ214" s="1">
        <f>VLOOKUP($C214,'Substrate Heating'!$A$2:$M$33,8,FALSE)</f>
        <v>1</v>
      </c>
      <c r="AR214" s="1">
        <f t="shared" si="3"/>
        <v>0.18153191489361659</v>
      </c>
    </row>
    <row r="215" spans="1:44" x14ac:dyDescent="0.2">
      <c r="A215" s="17" t="s">
        <v>323</v>
      </c>
      <c r="B215" s="18" t="s">
        <v>324</v>
      </c>
      <c r="C215" t="s">
        <v>336</v>
      </c>
      <c r="D215" s="19" t="s">
        <v>326</v>
      </c>
      <c r="E215" t="s">
        <v>136</v>
      </c>
      <c r="F215" t="s">
        <v>137</v>
      </c>
      <c r="G215">
        <v>-10</v>
      </c>
      <c r="H215">
        <v>0</v>
      </c>
      <c r="I215">
        <v>-20</v>
      </c>
      <c r="J215">
        <v>0.45</v>
      </c>
      <c r="K215">
        <v>-10</v>
      </c>
      <c r="L215">
        <v>0</v>
      </c>
      <c r="M215">
        <v>-17.536283185840698</v>
      </c>
      <c r="N215">
        <v>0</v>
      </c>
      <c r="O215">
        <v>0.410619469026549</v>
      </c>
      <c r="P215"/>
      <c r="Q215">
        <v>4.1061946902655001E-2</v>
      </c>
      <c r="R215" s="20">
        <v>0.100320051516037</v>
      </c>
      <c r="S215" s="1" t="str">
        <f>VLOOKUP($E215,'Product Naming'!$A$1:$P$58,2,FALSE)</f>
        <v>Benzoate-PW1</v>
      </c>
      <c r="T215" s="1" t="str">
        <f>VLOOKUP($E215,'Product Naming'!$A$1:$P$58,3,FALSE)</f>
        <v>Benzoate (PW1)</v>
      </c>
      <c r="U215" s="1" t="str">
        <f>VLOOKUP($E215,'Product Naming'!$A$1:$P$58,4,FALSE)</f>
        <v>A</v>
      </c>
      <c r="V215" s="1" t="str">
        <f>VLOOKUP($E215,'Product Naming'!$A$1:$P$58,5,FALSE)</f>
        <v>C7H5O2</v>
      </c>
      <c r="W215" s="1">
        <f>VLOOKUP($E215,'Product Naming'!$A$1:$P$58,6,FALSE)</f>
        <v>7</v>
      </c>
      <c r="X215" s="1">
        <f>VLOOKUP($E215,'Product Naming'!$A$1:$P$58,7,FALSE)</f>
        <v>5</v>
      </c>
      <c r="Y215" s="1">
        <f>VLOOKUP($E215,'Product Naming'!$A$1:$P$58,8,FALSE)</f>
        <v>2</v>
      </c>
      <c r="Z215" s="1">
        <f>VLOOKUP($E215,'Product Naming'!$A$1:$P$58,9,FALSE)</f>
        <v>0</v>
      </c>
      <c r="AA215" s="1">
        <f>VLOOKUP($E215,'Product Naming'!$A$1:$P$58,10,FALSE)</f>
        <v>-1</v>
      </c>
      <c r="AB215" s="29">
        <f>VLOOKUP($E215,'Product Naming'!$A$1:$P$58,11,FALSE)</f>
        <v>4.1428571428571432</v>
      </c>
      <c r="AC215" s="3">
        <f>VLOOKUP($E215,'Product Naming'!$A$1:$P$58,12,FALSE)</f>
        <v>121.1121</v>
      </c>
      <c r="AD215" s="1">
        <f>VLOOKUP($E215,'Product Naming'!$A$1:$P$58,13,FALSE)</f>
        <v>249.2</v>
      </c>
      <c r="AE215" s="1" t="str">
        <f>VLOOKUP($E215,'Product Naming'!$A$1:$P$58,14,FALSE)</f>
        <v>Aromatic + Carboxylate</v>
      </c>
      <c r="AF215" s="1" t="str">
        <f>VLOOKUP($E215,'Product Naming'!$A$1:$P$58,15,FALSE)</f>
        <v>E4P + aKG</v>
      </c>
      <c r="AG215" s="30" t="str">
        <f>VLOOKUP($E215,'Product Naming'!$A$1:$P$58,16,FALSE)</f>
        <v>Proton symporter</v>
      </c>
      <c r="AH215" s="3" t="str">
        <f>VLOOKUP($E215,'Product Naming'!$A$1:$Q$58,17,FALSE)</f>
        <v>bz_c</v>
      </c>
      <c r="AI215" s="1">
        <f>VLOOKUP($E215,'Product Parameters'!$A$2:$D$59,2,FALSE)</f>
        <v>1</v>
      </c>
      <c r="AJ215" s="1">
        <f>VLOOKUP($E215,'Product Parameters'!$A$2:$D$59,3,FALSE)</f>
        <v>0</v>
      </c>
      <c r="AK215" s="1">
        <f>VLOOKUP($E215,'Product Parameters'!$A$2:$D$59,4,FALSE)</f>
        <v>0.12</v>
      </c>
      <c r="AL215" s="1">
        <f>VLOOKUP($E215,'Product Parameters'!$A$2:$E$59,5,FALSE)</f>
        <v>40.65</v>
      </c>
      <c r="AM215" s="1">
        <f>VLOOKUP($E215,'Product Parameters'!$A$2:$F$59,6,FALSE)</f>
        <v>7</v>
      </c>
      <c r="AN215" s="1">
        <f>VLOOKUP($C215,'Substrate Heating'!$A$2:$C$33,3,FALSE)</f>
        <v>245.86666666666667</v>
      </c>
      <c r="AO215" s="1">
        <f>VLOOKUP($C215,'Substrate Heating'!$A$2:$B$33,2,FALSE)</f>
        <v>15.038360459876978</v>
      </c>
      <c r="AP215" s="1">
        <f>VLOOKUP($C215,'Substrate Heating'!$A$2:$M$33,13,FALSE)</f>
        <v>0.33333333333333331</v>
      </c>
      <c r="AQ215" s="1">
        <f>VLOOKUP($C215,'Substrate Heating'!$A$2:$M$33,8,FALSE)</f>
        <v>0.33333333333333331</v>
      </c>
      <c r="AR215" s="1">
        <f t="shared" si="3"/>
        <v>0.86230088495575496</v>
      </c>
    </row>
    <row r="216" spans="1:44" x14ac:dyDescent="0.2">
      <c r="A216" s="8" t="s">
        <v>34</v>
      </c>
      <c r="B216" s="9" t="s">
        <v>35</v>
      </c>
      <c r="C216" s="1" t="s">
        <v>337</v>
      </c>
      <c r="D216" s="23" t="s">
        <v>338</v>
      </c>
      <c r="E216" s="1" t="s">
        <v>132</v>
      </c>
      <c r="F216" s="1" t="s">
        <v>133</v>
      </c>
      <c r="G216" s="1">
        <v>-10</v>
      </c>
      <c r="H216" s="1">
        <v>-20</v>
      </c>
      <c r="I216" s="1" t="s">
        <v>40</v>
      </c>
      <c r="J216" s="1">
        <v>3.15</v>
      </c>
      <c r="K216" s="1">
        <v>-10</v>
      </c>
      <c r="L216" s="1">
        <v>-2.9040816326530599</v>
      </c>
      <c r="M216" s="1" t="s">
        <v>40</v>
      </c>
      <c r="N216" s="1">
        <v>8.0653061224489804</v>
      </c>
      <c r="O216" s="1">
        <v>0.32244897959183699</v>
      </c>
      <c r="Q216" s="1">
        <v>3.2244897959183699E-2</v>
      </c>
      <c r="R216" s="1">
        <v>0.100961747418609</v>
      </c>
      <c r="S216" s="1" t="str">
        <f>VLOOKUP($E216,'Product Naming'!$A$1:$P$58,2,FALSE)</f>
        <v>Adipate</v>
      </c>
      <c r="T216" s="1" t="str">
        <f>VLOOKUP($E216,'Product Naming'!$A$1:$P$58,3,FALSE)</f>
        <v>Adipate</v>
      </c>
      <c r="U216" s="1" t="str">
        <f>VLOOKUP($E216,'Product Naming'!$A$1:$P$58,4,FALSE)</f>
        <v>E</v>
      </c>
      <c r="V216" s="1" t="str">
        <f>VLOOKUP($E216,'Product Naming'!$A$1:$P$58,5,FALSE)</f>
        <v>C6H8O4</v>
      </c>
      <c r="W216" s="1">
        <f>VLOOKUP($E216,'Product Naming'!$A$1:$P$58,6,FALSE)</f>
        <v>6</v>
      </c>
      <c r="X216" s="1">
        <f>VLOOKUP($E216,'Product Naming'!$A$1:$P$58,7,FALSE)</f>
        <v>8</v>
      </c>
      <c r="Y216" s="1">
        <f>VLOOKUP($E216,'Product Naming'!$A$1:$P$58,8,FALSE)</f>
        <v>4</v>
      </c>
      <c r="Z216" s="1">
        <f>VLOOKUP($E216,'Product Naming'!$A$1:$P$58,9,FALSE)</f>
        <v>0</v>
      </c>
      <c r="AA216" s="1">
        <f>VLOOKUP($E216,'Product Naming'!$A$1:$P$58,10,FALSE)</f>
        <v>-2</v>
      </c>
      <c r="AB216" s="29">
        <f>VLOOKUP($E216,'Product Naming'!$A$1:$P$58,11,FALSE)</f>
        <v>4</v>
      </c>
      <c r="AC216" s="3">
        <f>VLOOKUP($E216,'Product Naming'!$A$1:$P$58,12,FALSE)</f>
        <v>144.12291999999999</v>
      </c>
      <c r="AD216" s="1">
        <f>VLOOKUP($E216,'Product Naming'!$A$1:$P$58,13,FALSE)</f>
        <v>337.5</v>
      </c>
      <c r="AE216" s="1" t="str">
        <f>VLOOKUP($E216,'Product Naming'!$A$1:$P$58,14,FALSE)</f>
        <v>Dicarboxylate</v>
      </c>
      <c r="AF216" s="1" t="str">
        <f>VLOOKUP($E216,'Product Naming'!$A$1:$P$58,15,FALSE)</f>
        <v>Glyceraldehyde 3-P</v>
      </c>
      <c r="AG216" s="30" t="str">
        <f>VLOOKUP($E216,'Product Naming'!$A$1:$P$58,16,FALSE)</f>
        <v>Proton symporter</v>
      </c>
      <c r="AH216" s="3" t="str">
        <f>VLOOKUP($E216,'Product Naming'!$A$1:$Q$58,17,FALSE)</f>
        <v>adpac_c</v>
      </c>
      <c r="AI216" s="1">
        <f>VLOOKUP($E216,'Product Parameters'!$A$2:$D$59,2,FALSE)</f>
        <v>1</v>
      </c>
      <c r="AJ216" s="1">
        <f>VLOOKUP($E216,'Product Parameters'!$A$2:$D$59,3,FALSE)</f>
        <v>0</v>
      </c>
      <c r="AK216" s="1">
        <f>VLOOKUP($E216,'Product Parameters'!$A$2:$D$59,4,FALSE)</f>
        <v>0.12</v>
      </c>
      <c r="AL216" s="1">
        <f>VLOOKUP($E216,'Product Parameters'!$A$2:$E$59,5,FALSE)</f>
        <v>40.65</v>
      </c>
      <c r="AM216" s="1">
        <f>VLOOKUP($E216,'Product Parameters'!$A$2:$F$59,6,FALSE)</f>
        <v>6</v>
      </c>
      <c r="AN216" s="1">
        <f>VLOOKUP($C216,'Substrate Heating'!$A$2:$C$33,3,FALSE)</f>
        <v>247.59097</v>
      </c>
      <c r="AO216" s="1">
        <f>VLOOKUP($C216,'Substrate Heating'!$A$2:$B$33,2,FALSE)</f>
        <v>5.5</v>
      </c>
      <c r="AP216" s="1">
        <f>VLOOKUP($C216,'Substrate Heating'!$A$2:$M$33,13,FALSE)</f>
        <v>1</v>
      </c>
      <c r="AQ216" s="1">
        <f>VLOOKUP($C216,'Substrate Heating'!$A$2:$M$33,8,FALSE)</f>
        <v>1</v>
      </c>
      <c r="AR216" s="1">
        <f t="shared" si="3"/>
        <v>0.1934693877551022</v>
      </c>
    </row>
    <row r="217" spans="1:44" x14ac:dyDescent="0.2">
      <c r="A217" s="17" t="s">
        <v>323</v>
      </c>
      <c r="B217" s="18" t="s">
        <v>324</v>
      </c>
      <c r="C217" t="s">
        <v>334</v>
      </c>
      <c r="D217" s="19" t="s">
        <v>326</v>
      </c>
      <c r="E217" t="s">
        <v>124</v>
      </c>
      <c r="F217" t="s">
        <v>125</v>
      </c>
      <c r="G217">
        <v>-10</v>
      </c>
      <c r="H217">
        <v>0</v>
      </c>
      <c r="I217">
        <v>-5</v>
      </c>
      <c r="J217">
        <v>0.45</v>
      </c>
      <c r="K217">
        <v>-10</v>
      </c>
      <c r="L217">
        <v>0</v>
      </c>
      <c r="M217">
        <v>-5</v>
      </c>
      <c r="N217">
        <v>2.5</v>
      </c>
      <c r="O217">
        <v>0.67209302325581499</v>
      </c>
      <c r="P217"/>
      <c r="Q217">
        <v>6.7209302325581505E-2</v>
      </c>
      <c r="R217">
        <v>0.10152008579807199</v>
      </c>
      <c r="S217" s="1" t="str">
        <f>VLOOKUP($E217,'Product Naming'!$A$1:$P$58,2,FALSE)</f>
        <v>Acrylate-PW1</v>
      </c>
      <c r="T217" s="1" t="str">
        <f>VLOOKUP($E217,'Product Naming'!$A$1:$P$58,3,FALSE)</f>
        <v>Acrylate (PW1)</v>
      </c>
      <c r="U217" s="1" t="str">
        <f>VLOOKUP($E217,'Product Naming'!$A$1:$P$58,4,FALSE)</f>
        <v>A</v>
      </c>
      <c r="V217" s="1" t="str">
        <f>VLOOKUP($E217,'Product Naming'!$A$1:$P$58,5,FALSE)</f>
        <v>C3H3O2</v>
      </c>
      <c r="W217" s="1">
        <f>VLOOKUP($E217,'Product Naming'!$A$1:$P$58,6,FALSE)</f>
        <v>3</v>
      </c>
      <c r="X217" s="1">
        <f>VLOOKUP($E217,'Product Naming'!$A$1:$P$58,7,FALSE)</f>
        <v>3</v>
      </c>
      <c r="Y217" s="1">
        <f>VLOOKUP($E217,'Product Naming'!$A$1:$P$58,8,FALSE)</f>
        <v>2</v>
      </c>
      <c r="Z217" s="1">
        <f>VLOOKUP($E217,'Product Naming'!$A$1:$P$58,9,FALSE)</f>
        <v>0</v>
      </c>
      <c r="AA217" s="1">
        <f>VLOOKUP($E217,'Product Naming'!$A$1:$P$58,10,FALSE)</f>
        <v>-1</v>
      </c>
      <c r="AB217" s="29">
        <f>VLOOKUP($E217,'Product Naming'!$A$1:$P$58,11,FALSE)</f>
        <v>3.6666666666666665</v>
      </c>
      <c r="AC217" s="3">
        <f>VLOOKUP($E217,'Product Naming'!$A$1:$P$58,12,FALSE)</f>
        <v>71.053619999999995</v>
      </c>
      <c r="AD217" s="1">
        <f>VLOOKUP($E217,'Product Naming'!$A$1:$P$58,13,FALSE)</f>
        <v>80</v>
      </c>
      <c r="AE217" s="1" t="str">
        <f>VLOOKUP($E217,'Product Naming'!$A$1:$P$58,14,FALSE)</f>
        <v>Carboxylate</v>
      </c>
      <c r="AF217" s="1" t="str">
        <f>VLOOKUP($E217,'Product Naming'!$A$1:$P$58,15,FALSE)</f>
        <v>Glyceraldehyde 3-P</v>
      </c>
      <c r="AG217" s="30" t="str">
        <f>VLOOKUP($E217,'Product Naming'!$A$1:$P$58,16,FALSE)</f>
        <v>Proton symporter</v>
      </c>
      <c r="AH217" s="3" t="str">
        <f>VLOOKUP($E217,'Product Naming'!$A$1:$Q$58,17,FALSE)</f>
        <v>acryl_c</v>
      </c>
      <c r="AI217" s="1">
        <f>VLOOKUP($E217,'Product Parameters'!$A$2:$D$59,2,FALSE)</f>
        <v>1</v>
      </c>
      <c r="AJ217" s="1">
        <f>VLOOKUP($E217,'Product Parameters'!$A$2:$D$59,3,FALSE)</f>
        <v>0</v>
      </c>
      <c r="AK217" s="1">
        <f>VLOOKUP($E217,'Product Parameters'!$A$2:$D$59,4,FALSE)</f>
        <v>0.12</v>
      </c>
      <c r="AL217" s="1">
        <f>VLOOKUP($E217,'Product Parameters'!$A$2:$E$59,5,FALSE)</f>
        <v>53.1</v>
      </c>
      <c r="AM217" s="1">
        <f>VLOOKUP($E217,'Product Parameters'!$A$2:$F$59,6,FALSE)</f>
        <v>3</v>
      </c>
      <c r="AN217" s="1">
        <f>VLOOKUP($C217,'Substrate Heating'!$A$2:$C$33,3,FALSE)</f>
        <v>249.93333333333334</v>
      </c>
      <c r="AO217" s="1">
        <f>VLOOKUP($C217,'Substrate Heating'!$A$2:$B$33,2,FALSE)</f>
        <v>8.1456827881222953</v>
      </c>
      <c r="AP217" s="1">
        <f>VLOOKUP($C217,'Substrate Heating'!$A$2:$M$33,13,FALSE)</f>
        <v>0.66666666666666663</v>
      </c>
      <c r="AQ217" s="1">
        <f>VLOOKUP($C217,'Substrate Heating'!$A$2:$M$33,8,FALSE)</f>
        <v>0.66666666666666663</v>
      </c>
      <c r="AR217" s="1">
        <f t="shared" si="3"/>
        <v>0.30244186046511679</v>
      </c>
    </row>
    <row r="218" spans="1:44" x14ac:dyDescent="0.2">
      <c r="A218" s="8" t="s">
        <v>34</v>
      </c>
      <c r="B218" s="9" t="s">
        <v>35</v>
      </c>
      <c r="C218" s="1" t="s">
        <v>337</v>
      </c>
      <c r="D218" s="23" t="s">
        <v>338</v>
      </c>
      <c r="E218" s="1" t="s">
        <v>244</v>
      </c>
      <c r="F218" s="1" t="s">
        <v>245</v>
      </c>
      <c r="G218" s="1">
        <v>-10</v>
      </c>
      <c r="H218" s="1">
        <v>-20</v>
      </c>
      <c r="I218" s="1" t="s">
        <v>40</v>
      </c>
      <c r="J218" s="1">
        <v>3.15</v>
      </c>
      <c r="K218" s="1">
        <v>-10</v>
      </c>
      <c r="L218" s="1">
        <v>-2.3068181818181799</v>
      </c>
      <c r="M218" s="1" t="s">
        <v>40</v>
      </c>
      <c r="N218" s="1">
        <v>7.8454545454545599</v>
      </c>
      <c r="O218" s="1">
        <v>0.53863636363637002</v>
      </c>
      <c r="Q218" s="1">
        <v>5.3863636363637002E-2</v>
      </c>
      <c r="R218" s="1">
        <v>0.101918983357746</v>
      </c>
      <c r="S218" s="1" t="str">
        <f>VLOOKUP($E218,'Product Naming'!$A$1:$P$58,2,FALSE)</f>
        <v>Isobutyrate</v>
      </c>
      <c r="T218" s="1" t="str">
        <f>VLOOKUP($E218,'Product Naming'!$A$1:$P$58,3,FALSE)</f>
        <v>Isobutyrate</v>
      </c>
      <c r="U218" s="1" t="str">
        <f>VLOOKUP($E218,'Product Naming'!$A$1:$P$58,4,FALSE)</f>
        <v>A</v>
      </c>
      <c r="V218" s="1" t="str">
        <f>VLOOKUP($E218,'Product Naming'!$A$1:$P$58,5,FALSE)</f>
        <v>C4H7O2</v>
      </c>
      <c r="W218" s="1">
        <f>VLOOKUP($E218,'Product Naming'!$A$1:$P$58,6,FALSE)</f>
        <v>4</v>
      </c>
      <c r="X218" s="1">
        <f>VLOOKUP($E218,'Product Naming'!$A$1:$P$58,7,FALSE)</f>
        <v>7</v>
      </c>
      <c r="Y218" s="1">
        <f>VLOOKUP($E218,'Product Naming'!$A$1:$P$58,8,FALSE)</f>
        <v>2</v>
      </c>
      <c r="Z218" s="1">
        <f>VLOOKUP($E218,'Product Naming'!$A$1:$P$58,9,FALSE)</f>
        <v>0</v>
      </c>
      <c r="AA218" s="1">
        <f>VLOOKUP($E218,'Product Naming'!$A$1:$P$58,10,FALSE)</f>
        <v>-1</v>
      </c>
      <c r="AB218" s="29">
        <f>VLOOKUP($E218,'Product Naming'!$A$1:$P$58,11,FALSE)</f>
        <v>4.75</v>
      </c>
      <c r="AC218" s="3">
        <f>VLOOKUP($E218,'Product Naming'!$A$1:$P$58,12,FALSE)</f>
        <v>87.095680000000002</v>
      </c>
      <c r="AD218" s="1">
        <f>VLOOKUP($E218,'Product Naming'!$A$1:$P$58,13,FALSE)</f>
        <v>155</v>
      </c>
      <c r="AE218" s="1" t="str">
        <f>VLOOKUP($E218,'Product Naming'!$A$1:$P$58,14,FALSE)</f>
        <v>Carboxylate</v>
      </c>
      <c r="AF218" s="1" t="str">
        <f>VLOOKUP($E218,'Product Naming'!$A$1:$P$58,15,FALSE)</f>
        <v>Pyruvate</v>
      </c>
      <c r="AG218" s="30" t="str">
        <f>VLOOKUP($E218,'Product Naming'!$A$1:$P$58,16,FALSE)</f>
        <v>Proton symporter</v>
      </c>
      <c r="AH218" s="3" t="str">
        <f>VLOOKUP($E218,'Product Naming'!$A$1:$Q$58,17,FALSE)</f>
        <v>ibt_c</v>
      </c>
      <c r="AI218" s="1">
        <f>VLOOKUP($E218,'Product Parameters'!$A$2:$D$59,2,FALSE)</f>
        <v>1</v>
      </c>
      <c r="AJ218" s="1">
        <f>VLOOKUP($E218,'Product Parameters'!$A$2:$D$59,3,FALSE)</f>
        <v>0</v>
      </c>
      <c r="AK218" s="1">
        <f>VLOOKUP($E218,'Product Parameters'!$A$2:$D$59,4,FALSE)</f>
        <v>0.12</v>
      </c>
      <c r="AL218" s="1">
        <f>VLOOKUP($E218,'Product Parameters'!$A$2:$E$59,5,FALSE)</f>
        <v>44.5</v>
      </c>
      <c r="AM218" s="1">
        <f>VLOOKUP($E218,'Product Parameters'!$A$2:$F$59,6,FALSE)</f>
        <v>4</v>
      </c>
      <c r="AN218" s="1">
        <f>VLOOKUP($C218,'Substrate Heating'!$A$2:$C$33,3,FALSE)</f>
        <v>247.59097</v>
      </c>
      <c r="AO218" s="1">
        <f>VLOOKUP($C218,'Substrate Heating'!$A$2:$B$33,2,FALSE)</f>
        <v>5.5</v>
      </c>
      <c r="AP218" s="1">
        <f>VLOOKUP($C218,'Substrate Heating'!$A$2:$M$33,13,FALSE)</f>
        <v>1</v>
      </c>
      <c r="AQ218" s="1">
        <f>VLOOKUP($C218,'Substrate Heating'!$A$2:$M$33,8,FALSE)</f>
        <v>1</v>
      </c>
      <c r="AR218" s="1">
        <f t="shared" si="3"/>
        <v>0.21545454545454801</v>
      </c>
    </row>
    <row r="219" spans="1:44" x14ac:dyDescent="0.2">
      <c r="A219" s="17" t="s">
        <v>323</v>
      </c>
      <c r="B219" s="18" t="s">
        <v>324</v>
      </c>
      <c r="C219" t="s">
        <v>336</v>
      </c>
      <c r="D219" s="19" t="s">
        <v>326</v>
      </c>
      <c r="E219" t="s">
        <v>108</v>
      </c>
      <c r="F219" t="s">
        <v>109</v>
      </c>
      <c r="G219">
        <v>-10</v>
      </c>
      <c r="H219">
        <v>0</v>
      </c>
      <c r="I219">
        <v>-20</v>
      </c>
      <c r="J219">
        <v>0.45</v>
      </c>
      <c r="K219">
        <v>-10</v>
      </c>
      <c r="L219">
        <v>0</v>
      </c>
      <c r="M219">
        <v>-17.871559633027498</v>
      </c>
      <c r="N219">
        <v>0</v>
      </c>
      <c r="O219">
        <v>0.42568807339449499</v>
      </c>
      <c r="P219"/>
      <c r="Q219">
        <v>4.2568807339450003E-2</v>
      </c>
      <c r="R219" s="20">
        <v>0.10303228134426901</v>
      </c>
      <c r="S219" s="1" t="str">
        <f>VLOOKUP($E219,'Product Naming'!$A$1:$P$58,2,FALSE)</f>
        <v>4-Hydroxystyrene</v>
      </c>
      <c r="T219" s="1" t="str">
        <f>VLOOKUP($E219,'Product Naming'!$A$1:$P$58,3,FALSE)</f>
        <v>4-Hydroxystyrene</v>
      </c>
      <c r="U219" s="1" t="str">
        <f>VLOOKUP($E219,'Product Naming'!$A$1:$P$58,4,FALSE)</f>
        <v>E</v>
      </c>
      <c r="V219" s="1" t="str">
        <f>VLOOKUP($E219,'Product Naming'!$A$1:$P$58,5,FALSE)</f>
        <v>C8H8O</v>
      </c>
      <c r="W219" s="1">
        <f>VLOOKUP($E219,'Product Naming'!$A$1:$P$58,6,FALSE)</f>
        <v>8</v>
      </c>
      <c r="X219" s="1">
        <f>VLOOKUP($E219,'Product Naming'!$A$1:$P$58,7,FALSE)</f>
        <v>8</v>
      </c>
      <c r="Y219" s="1">
        <f>VLOOKUP($E219,'Product Naming'!$A$1:$P$58,8,FALSE)</f>
        <v>1</v>
      </c>
      <c r="Z219" s="1">
        <f>VLOOKUP($E219,'Product Naming'!$A$1:$P$58,9,FALSE)</f>
        <v>0</v>
      </c>
      <c r="AA219" s="1">
        <f>VLOOKUP($E219,'Product Naming'!$A$1:$P$58,10,FALSE)</f>
        <v>0</v>
      </c>
      <c r="AB219" s="29">
        <f>VLOOKUP($E219,'Product Naming'!$A$1:$P$58,11,FALSE)</f>
        <v>4.75</v>
      </c>
      <c r="AC219" s="3">
        <f>VLOOKUP($E219,'Product Naming'!$A$1:$P$58,12,FALSE)</f>
        <v>120.14731999999999</v>
      </c>
      <c r="AD219" s="1">
        <f>VLOOKUP($E219,'Product Naming'!$A$1:$P$58,13,FALSE)</f>
        <v>229</v>
      </c>
      <c r="AE219" s="1" t="str">
        <f>VLOOKUP($E219,'Product Naming'!$A$1:$P$58,14,FALSE)</f>
        <v>Aromatic + Alcohol</v>
      </c>
      <c r="AF219" s="1" t="str">
        <f>VLOOKUP($E219,'Product Naming'!$A$1:$P$58,15,FALSE)</f>
        <v>E4P + L-glutamate</v>
      </c>
      <c r="AG219" s="30" t="str">
        <f>VLOOKUP($E219,'Product Naming'!$A$1:$P$58,16,FALSE)</f>
        <v>Proton symporter</v>
      </c>
      <c r="AH219" s="3" t="str">
        <f>VLOOKUP($E219,'Product Naming'!$A$1:$Q$58,17,FALSE)</f>
        <v>4hxst_c</v>
      </c>
      <c r="AI219" s="1">
        <f>VLOOKUP($E219,'Product Parameters'!$A$2:$D$59,2,FALSE)</f>
        <v>1</v>
      </c>
      <c r="AJ219" s="1">
        <f>VLOOKUP($E219,'Product Parameters'!$A$2:$D$59,3,FALSE)</f>
        <v>0</v>
      </c>
      <c r="AK219" s="1">
        <f>VLOOKUP($E219,'Product Parameters'!$A$2:$D$59,4,FALSE)</f>
        <v>0.12</v>
      </c>
      <c r="AL219" s="1">
        <f>VLOOKUP($E219,'Product Parameters'!$A$2:$E$59,5,FALSE)</f>
        <v>40.65</v>
      </c>
      <c r="AM219" s="1">
        <f>VLOOKUP($E219,'Product Parameters'!$A$2:$F$59,6,FALSE)</f>
        <v>8</v>
      </c>
      <c r="AN219" s="1">
        <f>VLOOKUP($C219,'Substrate Heating'!$A$2:$C$33,3,FALSE)</f>
        <v>245.86666666666667</v>
      </c>
      <c r="AO219" s="1">
        <f>VLOOKUP($C219,'Substrate Heating'!$A$2:$B$33,2,FALSE)</f>
        <v>15.038360459876978</v>
      </c>
      <c r="AP219" s="1">
        <f>VLOOKUP($C219,'Substrate Heating'!$A$2:$M$33,13,FALSE)</f>
        <v>0.33333333333333331</v>
      </c>
      <c r="AQ219" s="1">
        <f>VLOOKUP($C219,'Substrate Heating'!$A$2:$M$33,8,FALSE)</f>
        <v>0.33333333333333331</v>
      </c>
      <c r="AR219" s="1">
        <f t="shared" si="3"/>
        <v>1.0216513761468002</v>
      </c>
    </row>
    <row r="220" spans="1:44" x14ac:dyDescent="0.2">
      <c r="A220" s="8" t="s">
        <v>34</v>
      </c>
      <c r="B220" s="9" t="s">
        <v>35</v>
      </c>
      <c r="C220" s="1" t="s">
        <v>337</v>
      </c>
      <c r="D220" s="23" t="s">
        <v>338</v>
      </c>
      <c r="E220" s="1" t="s">
        <v>209</v>
      </c>
      <c r="F220" s="1" t="s">
        <v>210</v>
      </c>
      <c r="G220" s="1">
        <v>-10</v>
      </c>
      <c r="H220" s="1">
        <v>-20</v>
      </c>
      <c r="I220" s="1" t="s">
        <v>40</v>
      </c>
      <c r="J220" s="1">
        <v>3.15</v>
      </c>
      <c r="K220" s="1">
        <v>-10</v>
      </c>
      <c r="L220" s="1">
        <v>-2.5197674418604699</v>
      </c>
      <c r="M220" s="1" t="s">
        <v>40</v>
      </c>
      <c r="N220" s="1">
        <v>7.7953488372092998</v>
      </c>
      <c r="O220" s="1">
        <v>0.55116279069767304</v>
      </c>
      <c r="Q220" s="1">
        <v>5.51162790697673E-2</v>
      </c>
      <c r="R220" s="1">
        <v>0.10308239510996101</v>
      </c>
      <c r="S220" s="1" t="str">
        <f>VLOOKUP($E220,'Product Naming'!$A$1:$P$58,2,FALSE)</f>
        <v>GammaButyrolactone</v>
      </c>
      <c r="T220" s="1" t="str">
        <f>VLOOKUP($E220,'Product Naming'!$A$1:$P$58,3,FALSE)</f>
        <v>Gamma butyrolactone</v>
      </c>
      <c r="U220" s="1" t="str">
        <f>VLOOKUP($E220,'Product Naming'!$A$1:$P$58,4,FALSE)</f>
        <v>A</v>
      </c>
      <c r="V220" s="1" t="str">
        <f>VLOOKUP($E220,'Product Naming'!$A$1:$P$58,5,FALSE)</f>
        <v>C4H6O2</v>
      </c>
      <c r="W220" s="1">
        <f>VLOOKUP($E220,'Product Naming'!$A$1:$P$58,6,FALSE)</f>
        <v>4</v>
      </c>
      <c r="X220" s="1">
        <f>VLOOKUP($E220,'Product Naming'!$A$1:$P$58,7,FALSE)</f>
        <v>6</v>
      </c>
      <c r="Y220" s="1">
        <f>VLOOKUP($E220,'Product Naming'!$A$1:$P$58,8,FALSE)</f>
        <v>2</v>
      </c>
      <c r="Z220" s="1">
        <f>VLOOKUP($E220,'Product Naming'!$A$1:$P$58,9,FALSE)</f>
        <v>0</v>
      </c>
      <c r="AA220" s="1">
        <f>VLOOKUP($E220,'Product Naming'!$A$1:$P$58,10,FALSE)</f>
        <v>0</v>
      </c>
      <c r="AB220" s="29">
        <f>VLOOKUP($E220,'Product Naming'!$A$1:$P$58,11,FALSE)</f>
        <v>4.5</v>
      </c>
      <c r="AC220" s="3">
        <f>VLOOKUP($E220,'Product Naming'!$A$1:$P$58,12,FALSE)</f>
        <v>86.08784</v>
      </c>
      <c r="AD220" s="1">
        <f>VLOOKUP($E220,'Product Naming'!$A$1:$P$58,13,FALSE)</f>
        <v>204</v>
      </c>
      <c r="AE220" s="1" t="str">
        <f>VLOOKUP($E220,'Product Naming'!$A$1:$P$58,14,FALSE)</f>
        <v>Lactone (cyclic ester)</v>
      </c>
      <c r="AF220" s="1" t="str">
        <f>VLOOKUP($E220,'Product Naming'!$A$1:$P$58,15,FALSE)</f>
        <v>aKG</v>
      </c>
      <c r="AG220" s="30" t="str">
        <f>VLOOKUP($E220,'Product Naming'!$A$1:$P$58,16,FALSE)</f>
        <v>Proton symporter</v>
      </c>
      <c r="AH220" s="3" t="str">
        <f>VLOOKUP($E220,'Product Naming'!$A$1:$Q$58,17,FALSE)</f>
        <v>gblt_c</v>
      </c>
      <c r="AI220" s="1">
        <f>VLOOKUP($E220,'Product Parameters'!$A$2:$D$59,2,FALSE)</f>
        <v>1</v>
      </c>
      <c r="AJ220" s="1">
        <f>VLOOKUP($E220,'Product Parameters'!$A$2:$D$59,3,FALSE)</f>
        <v>0</v>
      </c>
      <c r="AK220" s="1">
        <f>VLOOKUP($E220,'Product Parameters'!$A$2:$D$59,4,FALSE)</f>
        <v>0.12</v>
      </c>
      <c r="AL220" s="1">
        <f>VLOOKUP($E220,'Product Parameters'!$A$2:$E$59,5,FALSE)</f>
        <v>0</v>
      </c>
      <c r="AM220" s="1">
        <f>VLOOKUP($E220,'Product Parameters'!$A$2:$F$59,6,FALSE)</f>
        <v>4</v>
      </c>
      <c r="AN220" s="1">
        <f>VLOOKUP($C220,'Substrate Heating'!$A$2:$C$33,3,FALSE)</f>
        <v>247.59097</v>
      </c>
      <c r="AO220" s="1">
        <f>VLOOKUP($C220,'Substrate Heating'!$A$2:$B$33,2,FALSE)</f>
        <v>5.5</v>
      </c>
      <c r="AP220" s="1">
        <f>VLOOKUP($C220,'Substrate Heating'!$A$2:$M$33,13,FALSE)</f>
        <v>1</v>
      </c>
      <c r="AQ220" s="1">
        <f>VLOOKUP($C220,'Substrate Heating'!$A$2:$M$33,8,FALSE)</f>
        <v>1</v>
      </c>
      <c r="AR220" s="1">
        <f t="shared" si="3"/>
        <v>0.2204651162790692</v>
      </c>
    </row>
    <row r="221" spans="1:44" x14ac:dyDescent="0.2">
      <c r="A221" s="8" t="s">
        <v>34</v>
      </c>
      <c r="B221" s="9" t="s">
        <v>35</v>
      </c>
      <c r="C221" s="1" t="s">
        <v>337</v>
      </c>
      <c r="D221" s="23" t="s">
        <v>338</v>
      </c>
      <c r="E221" s="1" t="s">
        <v>198</v>
      </c>
      <c r="F221" s="1" t="s">
        <v>199</v>
      </c>
      <c r="G221" s="1">
        <v>-10</v>
      </c>
      <c r="H221" s="1">
        <v>-20</v>
      </c>
      <c r="I221" s="1" t="s">
        <v>40</v>
      </c>
      <c r="J221" s="1">
        <v>3.15</v>
      </c>
      <c r="K221" s="1">
        <v>-10</v>
      </c>
      <c r="L221" s="1">
        <v>-2.27586206896552</v>
      </c>
      <c r="M221" s="1" t="s">
        <v>40</v>
      </c>
      <c r="N221" s="1">
        <v>7.8206896551724201</v>
      </c>
      <c r="O221" s="1">
        <v>0.54482758620689897</v>
      </c>
      <c r="Q221" s="1">
        <v>5.4482758620689901E-2</v>
      </c>
      <c r="R221" s="1">
        <v>0.104283391856395</v>
      </c>
      <c r="S221" s="1" t="str">
        <f>VLOOKUP($E221,'Product Naming'!$A$1:$P$58,2,FALSE)</f>
        <v>EthylAcetate</v>
      </c>
      <c r="T221" s="1" t="str">
        <f>VLOOKUP($E221,'Product Naming'!$A$1:$P$58,3,FALSE)</f>
        <v>Ethyl acetate</v>
      </c>
      <c r="U221" s="1" t="str">
        <f>VLOOKUP($E221,'Product Naming'!$A$1:$P$58,4,FALSE)</f>
        <v>E</v>
      </c>
      <c r="V221" s="1" t="str">
        <f>VLOOKUP($E221,'Product Naming'!$A$1:$P$58,5,FALSE)</f>
        <v>C4H8O2</v>
      </c>
      <c r="W221" s="1">
        <f>VLOOKUP($E221,'Product Naming'!$A$1:$P$58,6,FALSE)</f>
        <v>4</v>
      </c>
      <c r="X221" s="1">
        <f>VLOOKUP($E221,'Product Naming'!$A$1:$P$58,7,FALSE)</f>
        <v>8</v>
      </c>
      <c r="Y221" s="1">
        <f>VLOOKUP($E221,'Product Naming'!$A$1:$P$58,8,FALSE)</f>
        <v>2</v>
      </c>
      <c r="Z221" s="1">
        <f>VLOOKUP($E221,'Product Naming'!$A$1:$P$58,9,FALSE)</f>
        <v>0</v>
      </c>
      <c r="AA221" s="1">
        <f>VLOOKUP($E221,'Product Naming'!$A$1:$P$58,10,FALSE)</f>
        <v>0</v>
      </c>
      <c r="AB221" s="29">
        <f>VLOOKUP($E221,'Product Naming'!$A$1:$P$58,11,FALSE)</f>
        <v>5</v>
      </c>
      <c r="AC221" s="3">
        <f>VLOOKUP($E221,'Product Naming'!$A$1:$P$58,12,FALSE)</f>
        <v>88.103520000000003</v>
      </c>
      <c r="AD221" s="1">
        <f>VLOOKUP($E221,'Product Naming'!$A$1:$P$58,13,FALSE)</f>
        <v>77.099999999999994</v>
      </c>
      <c r="AE221" s="1" t="str">
        <f>VLOOKUP($E221,'Product Naming'!$A$1:$P$58,14,FALSE)</f>
        <v>Carboxylate Ester</v>
      </c>
      <c r="AF221" s="1" t="str">
        <f>VLOOKUP($E221,'Product Naming'!$A$1:$P$58,15,FALSE)</f>
        <v>Acetyl-CoA</v>
      </c>
      <c r="AG221" s="30" t="str">
        <f>VLOOKUP($E221,'Product Naming'!$A$1:$P$58,16,FALSE)</f>
        <v>Proton symporter</v>
      </c>
      <c r="AH221" s="3" t="str">
        <f>VLOOKUP($E221,'Product Naming'!$A$1:$Q$58,17,FALSE)</f>
        <v>aces_c</v>
      </c>
      <c r="AI221" s="1">
        <f>VLOOKUP($E221,'Product Parameters'!$A$2:$D$59,2,FALSE)</f>
        <v>1</v>
      </c>
      <c r="AJ221" s="1">
        <f>VLOOKUP($E221,'Product Parameters'!$A$2:$D$59,3,FALSE)</f>
        <v>0</v>
      </c>
      <c r="AK221" s="1">
        <f>VLOOKUP($E221,'Product Parameters'!$A$2:$D$59,4,FALSE)</f>
        <v>0.12</v>
      </c>
      <c r="AL221" s="1">
        <f>VLOOKUP($E221,'Product Parameters'!$A$2:$E$59,5,FALSE)</f>
        <v>35</v>
      </c>
      <c r="AM221" s="1">
        <f>VLOOKUP($E221,'Product Parameters'!$A$2:$F$59,6,FALSE)</f>
        <v>4</v>
      </c>
      <c r="AN221" s="1">
        <f>VLOOKUP($C221,'Substrate Heating'!$A$2:$C$33,3,FALSE)</f>
        <v>247.59097</v>
      </c>
      <c r="AO221" s="1">
        <f>VLOOKUP($C221,'Substrate Heating'!$A$2:$B$33,2,FALSE)</f>
        <v>5.5</v>
      </c>
      <c r="AP221" s="1">
        <f>VLOOKUP($C221,'Substrate Heating'!$A$2:$M$33,13,FALSE)</f>
        <v>1</v>
      </c>
      <c r="AQ221" s="1">
        <f>VLOOKUP($C221,'Substrate Heating'!$A$2:$M$33,8,FALSE)</f>
        <v>1</v>
      </c>
      <c r="AR221" s="1">
        <f t="shared" si="3"/>
        <v>0.21793103448275961</v>
      </c>
    </row>
    <row r="222" spans="1:44" x14ac:dyDescent="0.2">
      <c r="A222" s="17" t="s">
        <v>323</v>
      </c>
      <c r="B222" s="18" t="s">
        <v>324</v>
      </c>
      <c r="C222" t="s">
        <v>327</v>
      </c>
      <c r="D222" s="19" t="s">
        <v>326</v>
      </c>
      <c r="E222" t="s">
        <v>143</v>
      </c>
      <c r="F222" t="s">
        <v>137</v>
      </c>
      <c r="G222">
        <v>-10</v>
      </c>
      <c r="H222">
        <v>0</v>
      </c>
      <c r="I222">
        <v>-5</v>
      </c>
      <c r="J222">
        <v>0.45</v>
      </c>
      <c r="K222">
        <v>-10</v>
      </c>
      <c r="L222">
        <v>0</v>
      </c>
      <c r="M222">
        <v>-5</v>
      </c>
      <c r="N222">
        <v>2.6251082251082201</v>
      </c>
      <c r="O222">
        <v>0.250216450216451</v>
      </c>
      <c r="P222"/>
      <c r="Q222">
        <v>2.5021645021645E-2</v>
      </c>
      <c r="R222">
        <v>0.104425360924396</v>
      </c>
      <c r="S222" s="1" t="str">
        <f>VLOOKUP($E222,'Product Naming'!$A$1:$P$58,2,FALSE)</f>
        <v>Benzoate-PW2</v>
      </c>
      <c r="T222" s="1" t="str">
        <f>VLOOKUP($E222,'Product Naming'!$A$1:$P$58,3,FALSE)</f>
        <v>Benzoate (PW2)</v>
      </c>
      <c r="U222" s="1" t="str">
        <f>VLOOKUP($E222,'Product Naming'!$A$1:$P$58,4,FALSE)</f>
        <v>A</v>
      </c>
      <c r="V222" s="1" t="str">
        <f>VLOOKUP($E222,'Product Naming'!$A$1:$P$58,5,FALSE)</f>
        <v>C7H5O2</v>
      </c>
      <c r="W222" s="1">
        <f>VLOOKUP($E222,'Product Naming'!$A$1:$P$58,6,FALSE)</f>
        <v>7</v>
      </c>
      <c r="X222" s="1">
        <f>VLOOKUP($E222,'Product Naming'!$A$1:$P$58,7,FALSE)</f>
        <v>5</v>
      </c>
      <c r="Y222" s="1">
        <f>VLOOKUP($E222,'Product Naming'!$A$1:$P$58,8,FALSE)</f>
        <v>2</v>
      </c>
      <c r="Z222" s="1">
        <f>VLOOKUP($E222,'Product Naming'!$A$1:$P$58,9,FALSE)</f>
        <v>0</v>
      </c>
      <c r="AA222" s="1">
        <f>VLOOKUP($E222,'Product Naming'!$A$1:$P$58,10,FALSE)</f>
        <v>-1</v>
      </c>
      <c r="AB222" s="29">
        <f>VLOOKUP($E222,'Product Naming'!$A$1:$P$58,11,FALSE)</f>
        <v>4.1428571428571432</v>
      </c>
      <c r="AC222" s="3">
        <f>VLOOKUP($E222,'Product Naming'!$A$1:$P$58,12,FALSE)</f>
        <v>121.1121</v>
      </c>
      <c r="AD222" s="1">
        <f>VLOOKUP($E222,'Product Naming'!$A$1:$P$58,13,FALSE)</f>
        <v>249.2</v>
      </c>
      <c r="AE222" s="1" t="str">
        <f>VLOOKUP($E222,'Product Naming'!$A$1:$P$58,14,FALSE)</f>
        <v>Aromatic + Carboxylate</v>
      </c>
      <c r="AF222" s="1" t="str">
        <f>VLOOKUP($E222,'Product Naming'!$A$1:$P$58,15,FALSE)</f>
        <v>E4P + aKG</v>
      </c>
      <c r="AG222" s="30" t="str">
        <f>VLOOKUP($E222,'Product Naming'!$A$1:$P$58,16,FALSE)</f>
        <v>Proton symporter</v>
      </c>
      <c r="AH222" s="3" t="str">
        <f>VLOOKUP($E222,'Product Naming'!$A$1:$Q$58,17,FALSE)</f>
        <v>bz_c</v>
      </c>
      <c r="AI222" s="1">
        <f>VLOOKUP($E222,'Product Parameters'!$A$2:$D$59,2,FALSE)</f>
        <v>1</v>
      </c>
      <c r="AJ222" s="1">
        <f>VLOOKUP($E222,'Product Parameters'!$A$2:$D$59,3,FALSE)</f>
        <v>0</v>
      </c>
      <c r="AK222" s="1">
        <f>VLOOKUP($E222,'Product Parameters'!$A$2:$D$59,4,FALSE)</f>
        <v>0.12</v>
      </c>
      <c r="AL222" s="1">
        <f>VLOOKUP($E222,'Product Parameters'!$A$2:$E$59,5,FALSE)</f>
        <v>40.65</v>
      </c>
      <c r="AM222" s="1">
        <f>VLOOKUP($E222,'Product Parameters'!$A$2:$F$59,6,FALSE)</f>
        <v>7</v>
      </c>
      <c r="AN222" s="1">
        <f>VLOOKUP($C222,'Substrate Heating'!$A$2:$C$33,3,FALSE)</f>
        <v>269.26666666666665</v>
      </c>
      <c r="AO222" s="1">
        <f>VLOOKUP($C222,'Substrate Heating'!$A$2:$B$33,2,FALSE)</f>
        <v>13.919167510409219</v>
      </c>
      <c r="AP222" s="1">
        <f>VLOOKUP($C222,'Substrate Heating'!$A$2:$M$33,13,FALSE)</f>
        <v>1.3333333333333333</v>
      </c>
      <c r="AQ222" s="1">
        <f>VLOOKUP($C222,'Substrate Heating'!$A$2:$M$33,8,FALSE)</f>
        <v>0.66666666666666663</v>
      </c>
      <c r="AR222" s="1">
        <f t="shared" si="3"/>
        <v>0.26272727272727253</v>
      </c>
    </row>
    <row r="223" spans="1:44" x14ac:dyDescent="0.2">
      <c r="A223" s="8" t="s">
        <v>809</v>
      </c>
      <c r="B223" s="18" t="s">
        <v>324</v>
      </c>
      <c r="C223" t="s">
        <v>808</v>
      </c>
      <c r="D223" s="19" t="s">
        <v>326</v>
      </c>
      <c r="E223" t="s">
        <v>158</v>
      </c>
      <c r="F223" t="s">
        <v>159</v>
      </c>
      <c r="G223">
        <v>-10</v>
      </c>
      <c r="H223">
        <v>0</v>
      </c>
      <c r="I223">
        <v>-20</v>
      </c>
      <c r="J223">
        <v>0.45</v>
      </c>
      <c r="K223">
        <v>-8.1917808219178507</v>
      </c>
      <c r="L223">
        <v>0</v>
      </c>
      <c r="M223">
        <v>-20</v>
      </c>
      <c r="N223">
        <v>-8.1917808219178507</v>
      </c>
      <c r="O223">
        <v>0.72328767123284499</v>
      </c>
      <c r="P223"/>
      <c r="Q223">
        <v>8.8294314381266503E-2</v>
      </c>
      <c r="R223">
        <v>0.104875557988795</v>
      </c>
      <c r="S223" s="1" t="str">
        <f>VLOOKUP($E223,'Product Naming'!$A$1:$P$58,2,FALSE)</f>
        <v>Butane</v>
      </c>
      <c r="T223" s="1" t="str">
        <f>VLOOKUP($E223,'Product Naming'!$A$1:$P$58,3,FALSE)</f>
        <v>Butane</v>
      </c>
      <c r="U223" s="1" t="str">
        <f>VLOOKUP($E223,'Product Naming'!$A$1:$P$58,4,FALSE)</f>
        <v>E</v>
      </c>
      <c r="V223" s="1" t="str">
        <f>VLOOKUP($E223,'Product Naming'!$A$1:$P$58,5,FALSE)</f>
        <v>C4H10</v>
      </c>
      <c r="W223" s="1">
        <f>VLOOKUP($E223,'Product Naming'!$A$1:$P$58,6,FALSE)</f>
        <v>4</v>
      </c>
      <c r="X223" s="1">
        <f>VLOOKUP($E223,'Product Naming'!$A$1:$P$58,7,FALSE)</f>
        <v>10</v>
      </c>
      <c r="Y223" s="1">
        <f>VLOOKUP($E223,'Product Naming'!$A$1:$P$58,8,FALSE)</f>
        <v>0</v>
      </c>
      <c r="Z223" s="1">
        <f>VLOOKUP($E223,'Product Naming'!$A$1:$P$58,9,FALSE)</f>
        <v>0</v>
      </c>
      <c r="AA223" s="1">
        <f>VLOOKUP($E223,'Product Naming'!$A$1:$P$58,10,FALSE)</f>
        <v>0</v>
      </c>
      <c r="AB223" s="29">
        <f>VLOOKUP($E223,'Product Naming'!$A$1:$P$58,11,FALSE)</f>
        <v>6.5</v>
      </c>
      <c r="AC223" s="3">
        <f>VLOOKUP($E223,'Product Naming'!$A$1:$P$58,12,FALSE)</f>
        <v>58.121200000000002</v>
      </c>
      <c r="AD223" s="1">
        <f>VLOOKUP($E223,'Product Naming'!$A$1:$P$58,13,FALSE)</f>
        <v>-1</v>
      </c>
      <c r="AE223" s="1" t="str">
        <f>VLOOKUP($E223,'Product Naming'!$A$1:$P$58,14,FALSE)</f>
        <v>Hydrocarbon (alkane)</v>
      </c>
      <c r="AF223" s="1" t="str">
        <f>VLOOKUP($E223,'Product Naming'!$A$1:$P$58,15,FALSE)</f>
        <v>Acetyl-CoA + Succinyl-CoA</v>
      </c>
      <c r="AG223" s="30" t="str">
        <f>VLOOKUP($E223,'Product Naming'!$A$1:$P$58,16,FALSE)</f>
        <v>Diffusion</v>
      </c>
      <c r="AH223" s="3" t="str">
        <f>VLOOKUP($E223,'Product Naming'!$A$1:$Q$58,17,FALSE)</f>
        <v>butn_c</v>
      </c>
      <c r="AI223" s="1">
        <f>VLOOKUP($E223,'Product Parameters'!$A$2:$D$59,2,FALSE)</f>
        <v>0</v>
      </c>
      <c r="AJ223" s="1">
        <f>VLOOKUP($E223,'Product Parameters'!$A$2:$D$59,3,FALSE)</f>
        <v>1</v>
      </c>
      <c r="AK223" s="1">
        <f>VLOOKUP($E223,'Product Parameters'!$A$2:$D$59,4,FALSE)</f>
        <v>0.12</v>
      </c>
      <c r="AL223" s="1">
        <f>VLOOKUP($E223,'Product Parameters'!$A$2:$E$59,5,FALSE)</f>
        <v>0</v>
      </c>
      <c r="AM223" s="1">
        <f>VLOOKUP($E223,'Product Parameters'!$A$2:$F$59,6,FALSE)</f>
        <v>4</v>
      </c>
      <c r="AN223" s="1">
        <f>VLOOKUP($C223,'Substrate Heating'!$A$2:$C$33,3,FALSE)</f>
        <v>120.9</v>
      </c>
      <c r="AO223" s="1">
        <f>VLOOKUP($C223,'Substrate Heating'!$A$2:$B$33,2,FALSE)</f>
        <v>5.2537372583834907</v>
      </c>
      <c r="AP223" s="1">
        <f>VLOOKUP($C223,'Substrate Heating'!$A$2:$M$33,13,FALSE)</f>
        <v>0</v>
      </c>
      <c r="AQ223" s="1">
        <f>VLOOKUP($C223,'Substrate Heating'!$A$2:$M$33,8,FALSE)</f>
        <v>0.33333333333333331</v>
      </c>
      <c r="AR223" s="1">
        <f t="shared" si="3"/>
        <v>1.059531772575198</v>
      </c>
    </row>
    <row r="224" spans="1:44" x14ac:dyDescent="0.2">
      <c r="A224" s="17" t="s">
        <v>323</v>
      </c>
      <c r="B224" s="18" t="s">
        <v>324</v>
      </c>
      <c r="C224" t="s">
        <v>335</v>
      </c>
      <c r="D224" s="19" t="s">
        <v>326</v>
      </c>
      <c r="E224" t="s">
        <v>247</v>
      </c>
      <c r="F224" t="s">
        <v>248</v>
      </c>
      <c r="G224">
        <v>-10</v>
      </c>
      <c r="H224">
        <v>0</v>
      </c>
      <c r="I224">
        <v>-10</v>
      </c>
      <c r="J224">
        <v>0.45</v>
      </c>
      <c r="K224">
        <v>-10</v>
      </c>
      <c r="L224">
        <v>0</v>
      </c>
      <c r="M224">
        <v>-10</v>
      </c>
      <c r="N224">
        <v>1.48571428571428</v>
      </c>
      <c r="O224">
        <v>0.74285714285714299</v>
      </c>
      <c r="P224"/>
      <c r="Q224">
        <v>7.4285714285714302E-2</v>
      </c>
      <c r="R224">
        <v>0.105309140079061</v>
      </c>
      <c r="S224" s="1" t="str">
        <f>VLOOKUP($E224,'Product Naming'!$A$1:$P$58,2,FALSE)</f>
        <v>Isoprene</v>
      </c>
      <c r="T224" s="1" t="str">
        <f>VLOOKUP($E224,'Product Naming'!$A$1:$P$58,3,FALSE)</f>
        <v>Isoprene</v>
      </c>
      <c r="U224" s="1" t="str">
        <f>VLOOKUP($E224,'Product Naming'!$A$1:$P$58,4,FALSE)</f>
        <v>E</v>
      </c>
      <c r="V224" s="1" t="str">
        <f>VLOOKUP($E224,'Product Naming'!$A$1:$P$58,5,FALSE)</f>
        <v>C5H8</v>
      </c>
      <c r="W224" s="1">
        <f>VLOOKUP($E224,'Product Naming'!$A$1:$P$58,6,FALSE)</f>
        <v>5</v>
      </c>
      <c r="X224" s="1">
        <f>VLOOKUP($E224,'Product Naming'!$A$1:$P$58,7,FALSE)</f>
        <v>8</v>
      </c>
      <c r="Y224" s="1">
        <f>VLOOKUP($E224,'Product Naming'!$A$1:$P$58,8,FALSE)</f>
        <v>0</v>
      </c>
      <c r="Z224" s="1">
        <f>VLOOKUP($E224,'Product Naming'!$A$1:$P$58,9,FALSE)</f>
        <v>0</v>
      </c>
      <c r="AA224" s="1">
        <f>VLOOKUP($E224,'Product Naming'!$A$1:$P$58,10,FALSE)</f>
        <v>0</v>
      </c>
      <c r="AB224" s="29">
        <f>VLOOKUP($E224,'Product Naming'!$A$1:$P$58,11,FALSE)</f>
        <v>5.6</v>
      </c>
      <c r="AC224" s="3">
        <f>VLOOKUP($E224,'Product Naming'!$A$1:$P$58,12,FALSE)</f>
        <v>68.116219999999998</v>
      </c>
      <c r="AD224" s="1">
        <f>VLOOKUP($E224,'Product Naming'!$A$1:$P$58,13,FALSE)</f>
        <v>34.07</v>
      </c>
      <c r="AE224" s="1" t="str">
        <f>VLOOKUP($E224,'Product Naming'!$A$1:$P$58,14,FALSE)</f>
        <v>Hydrocarbon</v>
      </c>
      <c r="AF224" s="1" t="str">
        <f>VLOOKUP($E224,'Product Naming'!$A$1:$P$58,15,FALSE)</f>
        <v>Acetyl-CoA</v>
      </c>
      <c r="AG224" s="30" t="str">
        <f>VLOOKUP($E224,'Product Naming'!$A$1:$P$58,16,FALSE)</f>
        <v>Diffusion</v>
      </c>
      <c r="AH224" s="3" t="str">
        <f>VLOOKUP($E224,'Product Naming'!$A$1:$Q$58,17,FALSE)</f>
        <v>iprene_c</v>
      </c>
      <c r="AI224" s="1">
        <f>VLOOKUP($E224,'Product Parameters'!$A$2:$D$59,2,FALSE)</f>
        <v>0</v>
      </c>
      <c r="AJ224" s="1">
        <f>VLOOKUP($E224,'Product Parameters'!$A$2:$D$59,3,FALSE)</f>
        <v>1</v>
      </c>
      <c r="AK224" s="1">
        <f>VLOOKUP($E224,'Product Parameters'!$A$2:$D$59,4,FALSE)</f>
        <v>0.12</v>
      </c>
      <c r="AL224" s="1">
        <f>VLOOKUP($E224,'Product Parameters'!$A$2:$E$59,5,FALSE)</f>
        <v>26.4</v>
      </c>
      <c r="AM224" s="1">
        <f>VLOOKUP($E224,'Product Parameters'!$A$2:$F$59,6,FALSE)</f>
        <v>5</v>
      </c>
      <c r="AN224" s="1">
        <f>VLOOKUP($C224,'Substrate Heating'!$A$2:$C$33,3,FALSE)</f>
        <v>247.9</v>
      </c>
      <c r="AO224" s="1">
        <f>VLOOKUP($C224,'Substrate Heating'!$A$2:$B$33,2,FALSE)</f>
        <v>10.541709491918519</v>
      </c>
      <c r="AP224" s="1">
        <f>VLOOKUP($C224,'Substrate Heating'!$A$2:$M$33,13,FALSE)</f>
        <v>0.5</v>
      </c>
      <c r="AQ224" s="1">
        <f>VLOOKUP($C224,'Substrate Heating'!$A$2:$M$33,8,FALSE)</f>
        <v>0.5</v>
      </c>
      <c r="AR224" s="1">
        <f t="shared" si="3"/>
        <v>0.74285714285714299</v>
      </c>
    </row>
    <row r="225" spans="1:44" x14ac:dyDescent="0.2">
      <c r="A225" s="17" t="s">
        <v>323</v>
      </c>
      <c r="B225" s="18" t="s">
        <v>324</v>
      </c>
      <c r="C225" t="s">
        <v>333</v>
      </c>
      <c r="D225" s="19" t="s">
        <v>326</v>
      </c>
      <c r="E225" t="s">
        <v>72</v>
      </c>
      <c r="F225" t="s">
        <v>73</v>
      </c>
      <c r="G225">
        <v>-10</v>
      </c>
      <c r="H225">
        <v>0</v>
      </c>
      <c r="I225">
        <v>0</v>
      </c>
      <c r="J225">
        <v>0.45</v>
      </c>
      <c r="K225">
        <v>-10</v>
      </c>
      <c r="L225">
        <v>0</v>
      </c>
      <c r="M225">
        <v>0</v>
      </c>
      <c r="N225">
        <v>6.2113207547169802</v>
      </c>
      <c r="O225">
        <v>0.80754716981132102</v>
      </c>
      <c r="P225"/>
      <c r="Q225">
        <v>8.0754716981131999E-2</v>
      </c>
      <c r="R225">
        <v>0.105429102716841</v>
      </c>
      <c r="S225" s="1" t="str">
        <f>VLOOKUP($E225,'Product Naming'!$A$1:$P$58,2,FALSE)</f>
        <v>1-propanol-PW1</v>
      </c>
      <c r="T225" s="1" t="str">
        <f>VLOOKUP($E225,'Product Naming'!$A$1:$P$58,3,FALSE)</f>
        <v>1-Propanol (PW1)</v>
      </c>
      <c r="U225" s="1" t="str">
        <f>VLOOKUP($E225,'Product Naming'!$A$1:$P$58,4,FALSE)</f>
        <v>E-S</v>
      </c>
      <c r="V225" s="1" t="str">
        <f>VLOOKUP($E225,'Product Naming'!$A$1:$P$58,5,FALSE)</f>
        <v>C3H8O</v>
      </c>
      <c r="W225" s="1">
        <f>VLOOKUP($E225,'Product Naming'!$A$1:$P$58,6,FALSE)</f>
        <v>3</v>
      </c>
      <c r="X225" s="1">
        <f>VLOOKUP($E225,'Product Naming'!$A$1:$P$58,7,FALSE)</f>
        <v>8</v>
      </c>
      <c r="Y225" s="1">
        <f>VLOOKUP($E225,'Product Naming'!$A$1:$P$58,8,FALSE)</f>
        <v>1</v>
      </c>
      <c r="Z225" s="1">
        <f>VLOOKUP($E225,'Product Naming'!$A$1:$P$58,9,FALSE)</f>
        <v>0</v>
      </c>
      <c r="AA225" s="1">
        <f>VLOOKUP($E225,'Product Naming'!$A$1:$P$58,10,FALSE)</f>
        <v>0</v>
      </c>
      <c r="AB225" s="29">
        <f>VLOOKUP($E225,'Product Naming'!$A$1:$P$58,11,FALSE)</f>
        <v>6</v>
      </c>
      <c r="AC225" s="3">
        <f>VLOOKUP($E225,'Product Naming'!$A$1:$P$58,12,FALSE)</f>
        <v>60.093820000000001</v>
      </c>
      <c r="AD225" s="1">
        <f>VLOOKUP($E225,'Product Naming'!$A$1:$P$58,13,FALSE)</f>
        <v>97</v>
      </c>
      <c r="AE225" s="1" t="str">
        <f>VLOOKUP($E225,'Product Naming'!$A$1:$P$58,14,FALSE)</f>
        <v>Alcohol</v>
      </c>
      <c r="AF225" s="1" t="str">
        <f>VLOOKUP($E225,'Product Naming'!$A$1:$P$58,15,FALSE)</f>
        <v>Glyceraldehyde 3-P (--&gt;DHAP)</v>
      </c>
      <c r="AG225" s="30" t="str">
        <f>VLOOKUP($E225,'Product Naming'!$A$1:$P$58,16,FALSE)</f>
        <v>Proton symporter</v>
      </c>
      <c r="AH225" s="3" t="str">
        <f>VLOOKUP($E225,'Product Naming'!$A$1:$Q$58,17,FALSE)</f>
        <v>ppoh_c</v>
      </c>
      <c r="AI225" s="1">
        <f>VLOOKUP($E225,'Product Parameters'!$A$2:$D$59,2,FALSE)</f>
        <v>1</v>
      </c>
      <c r="AJ225" s="1">
        <f>VLOOKUP($E225,'Product Parameters'!$A$2:$D$59,3,FALSE)</f>
        <v>0</v>
      </c>
      <c r="AK225" s="1">
        <f>VLOOKUP($E225,'Product Parameters'!$A$2:$D$59,4,FALSE)</f>
        <v>0.12</v>
      </c>
      <c r="AL225" s="1">
        <f>VLOOKUP($E225,'Product Parameters'!$A$2:$E$59,5,FALSE)</f>
        <v>47</v>
      </c>
      <c r="AM225" s="1">
        <f>VLOOKUP($E225,'Product Parameters'!$A$2:$F$59,6,FALSE)</f>
        <v>3</v>
      </c>
      <c r="AN225" s="1">
        <f>VLOOKUP($C225,'Substrate Heating'!$A$2:$C$33,3,FALSE)</f>
        <v>247.59097</v>
      </c>
      <c r="AO225" s="1">
        <f>VLOOKUP($C225,'Substrate Heating'!$A$2:$B$33,2,FALSE)</f>
        <v>5.5</v>
      </c>
      <c r="AP225" s="1">
        <f>VLOOKUP($C225,'Substrate Heating'!$A$2:$M$33,13,FALSE)</f>
        <v>1</v>
      </c>
      <c r="AQ225" s="1">
        <f>VLOOKUP($C225,'Substrate Heating'!$A$2:$M$33,8,FALSE)</f>
        <v>1</v>
      </c>
      <c r="AR225" s="1">
        <f t="shared" si="3"/>
        <v>0.24226415094339598</v>
      </c>
    </row>
    <row r="226" spans="1:44" x14ac:dyDescent="0.2">
      <c r="A226" s="8" t="s">
        <v>34</v>
      </c>
      <c r="B226" s="9" t="s">
        <v>35</v>
      </c>
      <c r="C226" s="1" t="s">
        <v>337</v>
      </c>
      <c r="D226" s="23" t="s">
        <v>338</v>
      </c>
      <c r="E226" s="1" t="s">
        <v>60</v>
      </c>
      <c r="F226" s="1" t="s">
        <v>61</v>
      </c>
      <c r="G226" s="1">
        <v>-10</v>
      </c>
      <c r="H226" s="1">
        <v>-20</v>
      </c>
      <c r="I226" s="1" t="s">
        <v>40</v>
      </c>
      <c r="J226" s="1">
        <v>3.15</v>
      </c>
      <c r="K226" s="1">
        <v>-10</v>
      </c>
      <c r="L226" s="1">
        <v>-2.43783783783784</v>
      </c>
      <c r="M226" s="1" t="s">
        <v>40</v>
      </c>
      <c r="N226" s="1">
        <v>8.07837837837838</v>
      </c>
      <c r="O226" s="1">
        <v>0.64054054054053999</v>
      </c>
      <c r="Q226" s="1">
        <v>6.4054054054053997E-2</v>
      </c>
      <c r="R226" s="1">
        <v>0.10588954945090601</v>
      </c>
      <c r="S226" s="1" t="str">
        <f>VLOOKUP($E226,'Product Naming'!$A$1:$P$58,2,FALSE)</f>
        <v>1-3-Propanediol</v>
      </c>
      <c r="T226" s="1" t="str">
        <f>VLOOKUP($E226,'Product Naming'!$A$1:$P$58,3,FALSE)</f>
        <v>1,3-Propanediol</v>
      </c>
      <c r="U226" s="1" t="str">
        <f>VLOOKUP($E226,'Product Naming'!$A$1:$P$58,4,FALSE)</f>
        <v>A</v>
      </c>
      <c r="V226" s="1" t="str">
        <f>VLOOKUP($E226,'Product Naming'!$A$1:$P$58,5,FALSE)</f>
        <v>C3H8O2</v>
      </c>
      <c r="W226" s="1">
        <f>VLOOKUP($E226,'Product Naming'!$A$1:$P$58,6,FALSE)</f>
        <v>3</v>
      </c>
      <c r="X226" s="1">
        <f>VLOOKUP($E226,'Product Naming'!$A$1:$P$58,7,FALSE)</f>
        <v>8</v>
      </c>
      <c r="Y226" s="1">
        <f>VLOOKUP($E226,'Product Naming'!$A$1:$P$58,8,FALSE)</f>
        <v>2</v>
      </c>
      <c r="Z226" s="1">
        <f>VLOOKUP($E226,'Product Naming'!$A$1:$P$58,9,FALSE)</f>
        <v>0</v>
      </c>
      <c r="AA226" s="1">
        <f>VLOOKUP($E226,'Product Naming'!$A$1:$P$58,10,FALSE)</f>
        <v>0</v>
      </c>
      <c r="AB226" s="29">
        <f>VLOOKUP($E226,'Product Naming'!$A$1:$P$58,11,FALSE)</f>
        <v>5.333333333333333</v>
      </c>
      <c r="AC226" s="3">
        <f>VLOOKUP($E226,'Product Naming'!$A$1:$P$58,12,FALSE)</f>
        <v>76.092820000000003</v>
      </c>
      <c r="AD226" s="1">
        <f>VLOOKUP($E226,'Product Naming'!$A$1:$P$58,13,FALSE)</f>
        <v>213</v>
      </c>
      <c r="AE226" s="1" t="str">
        <f>VLOOKUP($E226,'Product Naming'!$A$1:$P$58,14,FALSE)</f>
        <v>Diol</v>
      </c>
      <c r="AF226" s="1" t="str">
        <f>VLOOKUP($E226,'Product Naming'!$A$1:$P$58,15,FALSE)</f>
        <v>Glyceraldehyde 3-P</v>
      </c>
      <c r="AG226" s="30" t="str">
        <f>VLOOKUP($E226,'Product Naming'!$A$1:$P$58,16,FALSE)</f>
        <v>Proton symporter</v>
      </c>
      <c r="AH226" s="3" t="str">
        <f>VLOOKUP($E226,'Product Naming'!$A$1:$Q$58,17,FALSE)</f>
        <v>13ppd_c</v>
      </c>
      <c r="AI226" s="1">
        <f>VLOOKUP($E226,'Product Parameters'!$A$2:$D$59,2,FALSE)</f>
        <v>1</v>
      </c>
      <c r="AJ226" s="1">
        <f>VLOOKUP($E226,'Product Parameters'!$A$2:$D$59,3,FALSE)</f>
        <v>0</v>
      </c>
      <c r="AK226" s="1">
        <f>VLOOKUP($E226,'Product Parameters'!$A$2:$D$59,4,FALSE)</f>
        <v>0.12</v>
      </c>
      <c r="AL226" s="1">
        <f>VLOOKUP($E226,'Product Parameters'!$A$2:$E$59,5,FALSE)</f>
        <v>70</v>
      </c>
      <c r="AM226" s="1">
        <f>VLOOKUP($E226,'Product Parameters'!$A$2:$F$59,6,FALSE)</f>
        <v>3</v>
      </c>
      <c r="AN226" s="1">
        <f>VLOOKUP($C226,'Substrate Heating'!$A$2:$C$33,3,FALSE)</f>
        <v>247.59097</v>
      </c>
      <c r="AO226" s="1">
        <f>VLOOKUP($C226,'Substrate Heating'!$A$2:$B$33,2,FALSE)</f>
        <v>5.5</v>
      </c>
      <c r="AP226" s="1">
        <f>VLOOKUP($C226,'Substrate Heating'!$A$2:$M$33,13,FALSE)</f>
        <v>1</v>
      </c>
      <c r="AQ226" s="1">
        <f>VLOOKUP($C226,'Substrate Heating'!$A$2:$M$33,8,FALSE)</f>
        <v>1</v>
      </c>
      <c r="AR226" s="1">
        <f t="shared" si="3"/>
        <v>0.19216216216216198</v>
      </c>
    </row>
    <row r="227" spans="1:44" x14ac:dyDescent="0.2">
      <c r="A227" s="17" t="s">
        <v>323</v>
      </c>
      <c r="B227" s="18" t="s">
        <v>324</v>
      </c>
      <c r="C227" t="s">
        <v>333</v>
      </c>
      <c r="D227" s="19" t="s">
        <v>326</v>
      </c>
      <c r="E227" t="s">
        <v>66</v>
      </c>
      <c r="F227" t="s">
        <v>67</v>
      </c>
      <c r="G227">
        <v>-10</v>
      </c>
      <c r="H227">
        <v>0</v>
      </c>
      <c r="I227">
        <v>0</v>
      </c>
      <c r="J227">
        <v>0.45</v>
      </c>
      <c r="K227">
        <v>-10</v>
      </c>
      <c r="L227">
        <v>0</v>
      </c>
      <c r="M227">
        <v>0</v>
      </c>
      <c r="N227">
        <v>5.8126582278481003</v>
      </c>
      <c r="O227">
        <v>0.54177215189873396</v>
      </c>
      <c r="P227"/>
      <c r="Q227">
        <v>5.4177215189873E-2</v>
      </c>
      <c r="R227">
        <v>0.10607103453298</v>
      </c>
      <c r="S227" s="1" t="str">
        <f>VLOOKUP($E227,'Product Naming'!$A$1:$P$58,2,FALSE)</f>
        <v>1-4-butanediol</v>
      </c>
      <c r="T227" s="1" t="str">
        <f>VLOOKUP($E227,'Product Naming'!$A$1:$P$58,3,FALSE)</f>
        <v>1,4-Butanediol</v>
      </c>
      <c r="U227" s="1" t="str">
        <f>VLOOKUP($E227,'Product Naming'!$A$1:$P$58,4,FALSE)</f>
        <v>E</v>
      </c>
      <c r="V227" s="1" t="str">
        <f>VLOOKUP($E227,'Product Naming'!$A$1:$P$58,5,FALSE)</f>
        <v>C4H10O2</v>
      </c>
      <c r="W227" s="1">
        <f>VLOOKUP($E227,'Product Naming'!$A$1:$P$58,6,FALSE)</f>
        <v>4</v>
      </c>
      <c r="X227" s="1">
        <f>VLOOKUP($E227,'Product Naming'!$A$1:$P$58,7,FALSE)</f>
        <v>10</v>
      </c>
      <c r="Y227" s="1">
        <f>VLOOKUP($E227,'Product Naming'!$A$1:$P$58,8,FALSE)</f>
        <v>2</v>
      </c>
      <c r="Z227" s="1">
        <f>VLOOKUP($E227,'Product Naming'!$A$1:$P$58,9,FALSE)</f>
        <v>0</v>
      </c>
      <c r="AA227" s="1">
        <f>VLOOKUP($E227,'Product Naming'!$A$1:$P$58,10,FALSE)</f>
        <v>0</v>
      </c>
      <c r="AB227" s="29">
        <f>VLOOKUP($E227,'Product Naming'!$A$1:$P$58,11,FALSE)</f>
        <v>5.5</v>
      </c>
      <c r="AC227" s="3">
        <f>VLOOKUP($E227,'Product Naming'!$A$1:$P$58,12,FALSE)</f>
        <v>90.119200000000006</v>
      </c>
      <c r="AD227" s="1">
        <f>VLOOKUP($E227,'Product Naming'!$A$1:$P$58,13,FALSE)</f>
        <v>230</v>
      </c>
      <c r="AE227" s="1" t="str">
        <f>VLOOKUP($E227,'Product Naming'!$A$1:$P$58,14,FALSE)</f>
        <v>Diol</v>
      </c>
      <c r="AF227" s="1" t="str">
        <f>VLOOKUP($E227,'Product Naming'!$A$1:$P$58,15,FALSE)</f>
        <v>aKG</v>
      </c>
      <c r="AG227" s="30" t="str">
        <f>VLOOKUP($E227,'Product Naming'!$A$1:$P$58,16,FALSE)</f>
        <v>Proton symporter</v>
      </c>
      <c r="AH227" s="3" t="str">
        <f>VLOOKUP($E227,'Product Naming'!$A$1:$Q$58,17,FALSE)</f>
        <v>14bdo_c</v>
      </c>
      <c r="AI227" s="1">
        <f>VLOOKUP($E227,'Product Parameters'!$A$2:$D$59,2,FALSE)</f>
        <v>1</v>
      </c>
      <c r="AJ227" s="1">
        <f>VLOOKUP($E227,'Product Parameters'!$A$2:$D$59,3,FALSE)</f>
        <v>0</v>
      </c>
      <c r="AK227" s="1">
        <f>VLOOKUP($E227,'Product Parameters'!$A$2:$D$59,4,FALSE)</f>
        <v>0.12</v>
      </c>
      <c r="AL227" s="1">
        <f>VLOOKUP($E227,'Product Parameters'!$A$2:$E$59,5,FALSE)</f>
        <v>78</v>
      </c>
      <c r="AM227" s="1">
        <f>VLOOKUP($E227,'Product Parameters'!$A$2:$F$59,6,FALSE)</f>
        <v>4</v>
      </c>
      <c r="AN227" s="1">
        <f>VLOOKUP($C227,'Substrate Heating'!$A$2:$C$33,3,FALSE)</f>
        <v>247.59097</v>
      </c>
      <c r="AO227" s="1">
        <f>VLOOKUP($C227,'Substrate Heating'!$A$2:$B$33,2,FALSE)</f>
        <v>5.5</v>
      </c>
      <c r="AP227" s="1">
        <f>VLOOKUP($C227,'Substrate Heating'!$A$2:$M$33,13,FALSE)</f>
        <v>1</v>
      </c>
      <c r="AQ227" s="1">
        <f>VLOOKUP($C227,'Substrate Heating'!$A$2:$M$33,8,FALSE)</f>
        <v>1</v>
      </c>
      <c r="AR227" s="1">
        <f t="shared" si="3"/>
        <v>0.216708860759492</v>
      </c>
    </row>
    <row r="228" spans="1:44" x14ac:dyDescent="0.2">
      <c r="A228" s="17" t="s">
        <v>323</v>
      </c>
      <c r="B228" s="18" t="s">
        <v>324</v>
      </c>
      <c r="C228" t="s">
        <v>325</v>
      </c>
      <c r="D228" s="19" t="s">
        <v>326</v>
      </c>
      <c r="E228" t="s">
        <v>247</v>
      </c>
      <c r="F228" t="s">
        <v>248</v>
      </c>
      <c r="G228">
        <v>-10</v>
      </c>
      <c r="H228">
        <v>0</v>
      </c>
      <c r="I228">
        <v>0</v>
      </c>
      <c r="J228">
        <v>0.45</v>
      </c>
      <c r="K228">
        <v>-10</v>
      </c>
      <c r="L228">
        <v>0</v>
      </c>
      <c r="M228">
        <v>0</v>
      </c>
      <c r="N228">
        <v>5.8734693877551001</v>
      </c>
      <c r="O228">
        <v>0.43673469387755098</v>
      </c>
      <c r="P228"/>
      <c r="Q228">
        <v>4.3673469387755098E-2</v>
      </c>
      <c r="R228">
        <v>0.106207484790417</v>
      </c>
      <c r="S228" s="1" t="str">
        <f>VLOOKUP($E228,'Product Naming'!$A$1:$P$58,2,FALSE)</f>
        <v>Isoprene</v>
      </c>
      <c r="T228" s="1" t="str">
        <f>VLOOKUP($E228,'Product Naming'!$A$1:$P$58,3,FALSE)</f>
        <v>Isoprene</v>
      </c>
      <c r="U228" s="1" t="str">
        <f>VLOOKUP($E228,'Product Naming'!$A$1:$P$58,4,FALSE)</f>
        <v>E</v>
      </c>
      <c r="V228" s="1" t="str">
        <f>VLOOKUP($E228,'Product Naming'!$A$1:$P$58,5,FALSE)</f>
        <v>C5H8</v>
      </c>
      <c r="W228" s="1">
        <f>VLOOKUP($E228,'Product Naming'!$A$1:$P$58,6,FALSE)</f>
        <v>5</v>
      </c>
      <c r="X228" s="1">
        <f>VLOOKUP($E228,'Product Naming'!$A$1:$P$58,7,FALSE)</f>
        <v>8</v>
      </c>
      <c r="Y228" s="1">
        <f>VLOOKUP($E228,'Product Naming'!$A$1:$P$58,8,FALSE)</f>
        <v>0</v>
      </c>
      <c r="Z228" s="1">
        <f>VLOOKUP($E228,'Product Naming'!$A$1:$P$58,9,FALSE)</f>
        <v>0</v>
      </c>
      <c r="AA228" s="1">
        <f>VLOOKUP($E228,'Product Naming'!$A$1:$P$58,10,FALSE)</f>
        <v>0</v>
      </c>
      <c r="AB228" s="29">
        <f>VLOOKUP($E228,'Product Naming'!$A$1:$P$58,11,FALSE)</f>
        <v>5.6</v>
      </c>
      <c r="AC228" s="3">
        <f>VLOOKUP($E228,'Product Naming'!$A$1:$P$58,12,FALSE)</f>
        <v>68.116219999999998</v>
      </c>
      <c r="AD228" s="1">
        <f>VLOOKUP($E228,'Product Naming'!$A$1:$P$58,13,FALSE)</f>
        <v>34.07</v>
      </c>
      <c r="AE228" s="1" t="str">
        <f>VLOOKUP($E228,'Product Naming'!$A$1:$P$58,14,FALSE)</f>
        <v>Hydrocarbon</v>
      </c>
      <c r="AF228" s="1" t="str">
        <f>VLOOKUP($E228,'Product Naming'!$A$1:$P$58,15,FALSE)</f>
        <v>Acetyl-CoA</v>
      </c>
      <c r="AG228" s="30" t="str">
        <f>VLOOKUP($E228,'Product Naming'!$A$1:$P$58,16,FALSE)</f>
        <v>Diffusion</v>
      </c>
      <c r="AH228" s="3" t="str">
        <f>VLOOKUP($E228,'Product Naming'!$A$1:$Q$58,17,FALSE)</f>
        <v>iprene_c</v>
      </c>
      <c r="AI228" s="1">
        <f>VLOOKUP($E228,'Product Parameters'!$A$2:$D$59,2,FALSE)</f>
        <v>0</v>
      </c>
      <c r="AJ228" s="1">
        <f>VLOOKUP($E228,'Product Parameters'!$A$2:$D$59,3,FALSE)</f>
        <v>1</v>
      </c>
      <c r="AK228" s="1">
        <f>VLOOKUP($E228,'Product Parameters'!$A$2:$D$59,4,FALSE)</f>
        <v>0.12</v>
      </c>
      <c r="AL228" s="1">
        <f>VLOOKUP($E228,'Product Parameters'!$A$2:$E$59,5,FALSE)</f>
        <v>26.4</v>
      </c>
      <c r="AM228" s="1">
        <f>VLOOKUP($E228,'Product Parameters'!$A$2:$F$59,6,FALSE)</f>
        <v>5</v>
      </c>
      <c r="AN228" s="1">
        <f>VLOOKUP($C228,'Substrate Heating'!$A$2:$C$33,3,FALSE)</f>
        <v>280.09700000000004</v>
      </c>
      <c r="AO228" s="1">
        <f>VLOOKUP($C228,'Substrate Heating'!$A$2:$B$33,2,FALSE)</f>
        <v>10</v>
      </c>
      <c r="AP228" s="1">
        <f>VLOOKUP($C228,'Substrate Heating'!$A$2:$M$33,13,FALSE)</f>
        <v>2</v>
      </c>
      <c r="AQ228" s="1">
        <f>VLOOKUP($C228,'Substrate Heating'!$A$2:$M$33,8,FALSE)</f>
        <v>1</v>
      </c>
      <c r="AR228" s="1">
        <f t="shared" si="3"/>
        <v>0.21836734693877549</v>
      </c>
    </row>
    <row r="229" spans="1:44" x14ac:dyDescent="0.2">
      <c r="A229" s="17" t="s">
        <v>323</v>
      </c>
      <c r="B229" s="18" t="s">
        <v>324</v>
      </c>
      <c r="C229" t="s">
        <v>335</v>
      </c>
      <c r="D229" s="19" t="s">
        <v>326</v>
      </c>
      <c r="E229" t="s">
        <v>204</v>
      </c>
      <c r="F229" t="s">
        <v>205</v>
      </c>
      <c r="G229">
        <v>-10</v>
      </c>
      <c r="H229">
        <v>0</v>
      </c>
      <c r="I229">
        <v>-10</v>
      </c>
      <c r="J229">
        <v>0.45</v>
      </c>
      <c r="K229">
        <v>-10</v>
      </c>
      <c r="L229">
        <v>0</v>
      </c>
      <c r="M229">
        <v>-10</v>
      </c>
      <c r="N229">
        <v>1.5062068965517199</v>
      </c>
      <c r="O229">
        <v>0.251034482758623</v>
      </c>
      <c r="P229"/>
      <c r="Q229">
        <v>2.5103448275862299E-2</v>
      </c>
      <c r="R229">
        <v>0.10676167994222199</v>
      </c>
      <c r="S229" s="1" t="str">
        <f>VLOOKUP($E229,'Product Naming'!$A$1:$P$58,2,FALSE)</f>
        <v>Farnesene</v>
      </c>
      <c r="T229" s="1" t="str">
        <f>VLOOKUP($E229,'Product Naming'!$A$1:$P$58,3,FALSE)</f>
        <v>Farnesene</v>
      </c>
      <c r="U229" s="1" t="str">
        <f>VLOOKUP($E229,'Product Naming'!$A$1:$P$58,4,FALSE)</f>
        <v>A</v>
      </c>
      <c r="V229" s="1" t="str">
        <f>VLOOKUP($E229,'Product Naming'!$A$1:$P$58,5,FALSE)</f>
        <v>C15H24</v>
      </c>
      <c r="W229" s="1">
        <f>VLOOKUP($E229,'Product Naming'!$A$1:$P$58,6,FALSE)</f>
        <v>15</v>
      </c>
      <c r="X229" s="1">
        <f>VLOOKUP($E229,'Product Naming'!$A$1:$P$58,7,FALSE)</f>
        <v>24</v>
      </c>
      <c r="Y229" s="1">
        <f>VLOOKUP($E229,'Product Naming'!$A$1:$P$58,8,FALSE)</f>
        <v>0</v>
      </c>
      <c r="Z229" s="1">
        <f>VLOOKUP($E229,'Product Naming'!$A$1:$P$58,9,FALSE)</f>
        <v>0</v>
      </c>
      <c r="AA229" s="1">
        <f>VLOOKUP($E229,'Product Naming'!$A$1:$P$58,10,FALSE)</f>
        <v>0</v>
      </c>
      <c r="AB229" s="29">
        <f>VLOOKUP($E229,'Product Naming'!$A$1:$P$58,11,FALSE)</f>
        <v>5.6</v>
      </c>
      <c r="AC229" s="3">
        <f>VLOOKUP($E229,'Product Naming'!$A$1:$P$58,12,FALSE)</f>
        <v>204.34866000000002</v>
      </c>
      <c r="AD229" s="1" t="str">
        <f>VLOOKUP($E229,'Product Naming'!$A$1:$P$58,13,FALSE)</f>
        <v>260 (A)/272 (B)</v>
      </c>
      <c r="AE229" s="1" t="str">
        <f>VLOOKUP($E229,'Product Naming'!$A$1:$P$58,14,FALSE)</f>
        <v>Hydrocarbon</v>
      </c>
      <c r="AF229" s="1" t="str">
        <f>VLOOKUP($E229,'Product Naming'!$A$1:$P$58,15,FALSE)</f>
        <v>Acetyl-CoA</v>
      </c>
      <c r="AG229" s="30" t="str">
        <f>VLOOKUP($E229,'Product Naming'!$A$1:$P$58,16,FALSE)</f>
        <v>Proton symporter</v>
      </c>
      <c r="AH229" s="3" t="str">
        <f>VLOOKUP($E229,'Product Naming'!$A$1:$Q$58,17,FALSE)</f>
        <v>frene_c</v>
      </c>
      <c r="AI229" s="1">
        <f>VLOOKUP($E229,'Product Parameters'!$A$2:$D$59,2,FALSE)</f>
        <v>1</v>
      </c>
      <c r="AJ229" s="1">
        <f>VLOOKUP($E229,'Product Parameters'!$A$2:$D$59,3,FALSE)</f>
        <v>0</v>
      </c>
      <c r="AK229" s="1">
        <f>VLOOKUP($E229,'Product Parameters'!$A$2:$D$59,4,FALSE)</f>
        <v>0.12</v>
      </c>
      <c r="AL229" s="1">
        <f>VLOOKUP($E229,'Product Parameters'!$A$2:$E$59,5,FALSE)</f>
        <v>0</v>
      </c>
      <c r="AM229" s="1">
        <f>VLOOKUP($E229,'Product Parameters'!$A$2:$F$59,6,FALSE)</f>
        <v>15</v>
      </c>
      <c r="AN229" s="1">
        <f>VLOOKUP($C229,'Substrate Heating'!$A$2:$C$33,3,FALSE)</f>
        <v>247.9</v>
      </c>
      <c r="AO229" s="1">
        <f>VLOOKUP($C229,'Substrate Heating'!$A$2:$B$33,2,FALSE)</f>
        <v>10.541709491918519</v>
      </c>
      <c r="AP229" s="1">
        <f>VLOOKUP($C229,'Substrate Heating'!$A$2:$M$33,13,FALSE)</f>
        <v>0.5</v>
      </c>
      <c r="AQ229" s="1">
        <f>VLOOKUP($C229,'Substrate Heating'!$A$2:$M$33,8,FALSE)</f>
        <v>0.5</v>
      </c>
      <c r="AR229" s="1">
        <f t="shared" si="3"/>
        <v>0.75310344827586895</v>
      </c>
    </row>
    <row r="230" spans="1:44" x14ac:dyDescent="0.2">
      <c r="A230" s="8" t="s">
        <v>34</v>
      </c>
      <c r="B230" s="9" t="s">
        <v>35</v>
      </c>
      <c r="C230" s="1" t="s">
        <v>337</v>
      </c>
      <c r="D230" s="23" t="s">
        <v>338</v>
      </c>
      <c r="E230" s="1" t="s">
        <v>171</v>
      </c>
      <c r="F230" s="1" t="s">
        <v>172</v>
      </c>
      <c r="G230" s="1">
        <v>-10</v>
      </c>
      <c r="H230" s="1">
        <v>-20</v>
      </c>
      <c r="I230" s="1" t="s">
        <v>40</v>
      </c>
      <c r="J230" s="1">
        <v>3.15</v>
      </c>
      <c r="K230" s="1">
        <v>-10</v>
      </c>
      <c r="L230" s="1">
        <v>-2.1785714285714302</v>
      </c>
      <c r="M230" s="1" t="s">
        <v>40</v>
      </c>
      <c r="N230" s="1">
        <v>7.7428571428571402</v>
      </c>
      <c r="O230" s="1">
        <v>0.56428571428571395</v>
      </c>
      <c r="Q230" s="1">
        <v>5.6428571428571397E-2</v>
      </c>
      <c r="R230" s="1">
        <v>0.106772268279542</v>
      </c>
      <c r="S230" s="1" t="str">
        <f>VLOOKUP($E230,'Product Naming'!$A$1:$P$58,2,FALSE)</f>
        <v>Butyrate</v>
      </c>
      <c r="T230" s="1" t="str">
        <f>VLOOKUP($E230,'Product Naming'!$A$1:$P$58,3,FALSE)</f>
        <v>Butyrate</v>
      </c>
      <c r="U230" s="1" t="str">
        <f>VLOOKUP($E230,'Product Naming'!$A$1:$P$58,4,FALSE)</f>
        <v>A</v>
      </c>
      <c r="V230" s="1" t="str">
        <f>VLOOKUP($E230,'Product Naming'!$A$1:$P$58,5,FALSE)</f>
        <v>C4H7O2</v>
      </c>
      <c r="W230" s="1">
        <f>VLOOKUP($E230,'Product Naming'!$A$1:$P$58,6,FALSE)</f>
        <v>4</v>
      </c>
      <c r="X230" s="1">
        <f>VLOOKUP($E230,'Product Naming'!$A$1:$P$58,7,FALSE)</f>
        <v>7</v>
      </c>
      <c r="Y230" s="1">
        <f>VLOOKUP($E230,'Product Naming'!$A$1:$P$58,8,FALSE)</f>
        <v>2</v>
      </c>
      <c r="Z230" s="1">
        <f>VLOOKUP($E230,'Product Naming'!$A$1:$P$58,9,FALSE)</f>
        <v>0</v>
      </c>
      <c r="AA230" s="1">
        <f>VLOOKUP($E230,'Product Naming'!$A$1:$P$58,10,FALSE)</f>
        <v>-1</v>
      </c>
      <c r="AB230" s="29">
        <f>VLOOKUP($E230,'Product Naming'!$A$1:$P$58,11,FALSE)</f>
        <v>4.75</v>
      </c>
      <c r="AC230" s="3">
        <f>VLOOKUP($E230,'Product Naming'!$A$1:$P$58,12,FALSE)</f>
        <v>87.095680000000002</v>
      </c>
      <c r="AD230" s="1">
        <f>VLOOKUP($E230,'Product Naming'!$A$1:$P$58,13,FALSE)</f>
        <v>163.5</v>
      </c>
      <c r="AE230" s="1" t="str">
        <f>VLOOKUP($E230,'Product Naming'!$A$1:$P$58,14,FALSE)</f>
        <v>Carboxylate</v>
      </c>
      <c r="AF230" s="1" t="str">
        <f>VLOOKUP($E230,'Product Naming'!$A$1:$P$58,15,FALSE)</f>
        <v>Acetyl-CoA</v>
      </c>
      <c r="AG230" s="30" t="str">
        <f>VLOOKUP($E230,'Product Naming'!$A$1:$P$58,16,FALSE)</f>
        <v>Proton symporter</v>
      </c>
      <c r="AH230" s="3" t="str">
        <f>VLOOKUP($E230,'Product Naming'!$A$1:$Q$58,17,FALSE)</f>
        <v>but_c</v>
      </c>
      <c r="AI230" s="1">
        <f>VLOOKUP($E230,'Product Parameters'!$A$2:$D$59,2,FALSE)</f>
        <v>1</v>
      </c>
      <c r="AJ230" s="1">
        <f>VLOOKUP($E230,'Product Parameters'!$A$2:$D$59,3,FALSE)</f>
        <v>0</v>
      </c>
      <c r="AK230" s="1">
        <f>VLOOKUP($E230,'Product Parameters'!$A$2:$D$59,4,FALSE)</f>
        <v>0.12</v>
      </c>
      <c r="AL230" s="1">
        <f>VLOOKUP($E230,'Product Parameters'!$A$2:$E$59,5,FALSE)</f>
        <v>42</v>
      </c>
      <c r="AM230" s="1">
        <f>VLOOKUP($E230,'Product Parameters'!$A$2:$F$59,6,FALSE)</f>
        <v>4</v>
      </c>
      <c r="AN230" s="1">
        <f>VLOOKUP($C230,'Substrate Heating'!$A$2:$C$33,3,FALSE)</f>
        <v>247.59097</v>
      </c>
      <c r="AO230" s="1">
        <f>VLOOKUP($C230,'Substrate Heating'!$A$2:$B$33,2,FALSE)</f>
        <v>5.5</v>
      </c>
      <c r="AP230" s="1">
        <f>VLOOKUP($C230,'Substrate Heating'!$A$2:$M$33,13,FALSE)</f>
        <v>1</v>
      </c>
      <c r="AQ230" s="1">
        <f>VLOOKUP($C230,'Substrate Heating'!$A$2:$M$33,8,FALSE)</f>
        <v>1</v>
      </c>
      <c r="AR230" s="1">
        <f t="shared" si="3"/>
        <v>0.22571428571428559</v>
      </c>
    </row>
    <row r="231" spans="1:44" x14ac:dyDescent="0.2">
      <c r="A231" s="17" t="s">
        <v>323</v>
      </c>
      <c r="B231" s="18" t="s">
        <v>324</v>
      </c>
      <c r="C231" t="s">
        <v>335</v>
      </c>
      <c r="D231" s="19" t="s">
        <v>326</v>
      </c>
      <c r="E231" t="s">
        <v>259</v>
      </c>
      <c r="F231" t="s">
        <v>260</v>
      </c>
      <c r="G231">
        <v>-10</v>
      </c>
      <c r="H231">
        <v>0</v>
      </c>
      <c r="I231">
        <v>-10</v>
      </c>
      <c r="J231">
        <v>0.45</v>
      </c>
      <c r="K231">
        <v>-10</v>
      </c>
      <c r="L231">
        <v>0</v>
      </c>
      <c r="M231">
        <v>-10</v>
      </c>
      <c r="N231">
        <v>1.5166666666666699</v>
      </c>
      <c r="O231">
        <v>0.37916666666666698</v>
      </c>
      <c r="P231"/>
      <c r="Q231">
        <v>3.7916666666666703E-2</v>
      </c>
      <c r="R231">
        <v>0.107503080497375</v>
      </c>
      <c r="S231" s="1" t="str">
        <f>VLOOKUP($E231,'Product Naming'!$A$1:$P$58,2,FALSE)</f>
        <v>Limonene</v>
      </c>
      <c r="T231" s="1" t="str">
        <f>VLOOKUP($E231,'Product Naming'!$A$1:$P$58,3,FALSE)</f>
        <v>Limonene</v>
      </c>
      <c r="U231" s="1" t="str">
        <f>VLOOKUP($E231,'Product Naming'!$A$1:$P$58,4,FALSE)</f>
        <v>E</v>
      </c>
      <c r="V231" s="1" t="str">
        <f>VLOOKUP($E231,'Product Naming'!$A$1:$P$58,5,FALSE)</f>
        <v>C10H16</v>
      </c>
      <c r="W231" s="1">
        <f>VLOOKUP($E231,'Product Naming'!$A$1:$P$58,6,FALSE)</f>
        <v>10</v>
      </c>
      <c r="X231" s="1">
        <f>VLOOKUP($E231,'Product Naming'!$A$1:$P$58,7,FALSE)</f>
        <v>16</v>
      </c>
      <c r="Y231" s="1">
        <f>VLOOKUP($E231,'Product Naming'!$A$1:$P$58,8,FALSE)</f>
        <v>0</v>
      </c>
      <c r="Z231" s="1">
        <f>VLOOKUP($E231,'Product Naming'!$A$1:$P$58,9,FALSE)</f>
        <v>0</v>
      </c>
      <c r="AA231" s="1">
        <f>VLOOKUP($E231,'Product Naming'!$A$1:$P$58,10,FALSE)</f>
        <v>0</v>
      </c>
      <c r="AB231" s="29">
        <f>VLOOKUP($E231,'Product Naming'!$A$1:$P$58,11,FALSE)</f>
        <v>5.6</v>
      </c>
      <c r="AC231" s="3">
        <f>VLOOKUP($E231,'Product Naming'!$A$1:$P$58,12,FALSE)</f>
        <v>136.23244</v>
      </c>
      <c r="AD231" s="1">
        <f>VLOOKUP($E231,'Product Naming'!$A$1:$P$58,13,FALSE)</f>
        <v>176</v>
      </c>
      <c r="AE231" s="1" t="str">
        <f>VLOOKUP($E231,'Product Naming'!$A$1:$P$58,14,FALSE)</f>
        <v>Isoprenoid; Aromatic (Cycloalkane)</v>
      </c>
      <c r="AF231" s="1" t="str">
        <f>VLOOKUP($E231,'Product Naming'!$A$1:$P$58,15,FALSE)</f>
        <v>Acetyl-CoA</v>
      </c>
      <c r="AG231" s="30" t="str">
        <f>VLOOKUP($E231,'Product Naming'!$A$1:$P$58,16,FALSE)</f>
        <v>Proton symporter</v>
      </c>
      <c r="AH231" s="3" t="str">
        <f>VLOOKUP($E231,'Product Naming'!$A$1:$Q$58,17,FALSE)</f>
        <v>limnen_c</v>
      </c>
      <c r="AI231" s="1">
        <f>VLOOKUP($E231,'Product Parameters'!$A$2:$D$59,2,FALSE)</f>
        <v>1</v>
      </c>
      <c r="AJ231" s="1">
        <f>VLOOKUP($E231,'Product Parameters'!$A$2:$D$59,3,FALSE)</f>
        <v>0</v>
      </c>
      <c r="AK231" s="1">
        <f>VLOOKUP($E231,'Product Parameters'!$A$2:$D$59,4,FALSE)</f>
        <v>0.12</v>
      </c>
      <c r="AL231" s="1">
        <f>VLOOKUP($E231,'Product Parameters'!$A$2:$E$59,5,FALSE)</f>
        <v>49.5</v>
      </c>
      <c r="AM231" s="1">
        <f>VLOOKUP($E231,'Product Parameters'!$A$2:$F$59,6,FALSE)</f>
        <v>10</v>
      </c>
      <c r="AN231" s="1">
        <f>VLOOKUP($C231,'Substrate Heating'!$A$2:$C$33,3,FALSE)</f>
        <v>247.9</v>
      </c>
      <c r="AO231" s="1">
        <f>VLOOKUP($C231,'Substrate Heating'!$A$2:$B$33,2,FALSE)</f>
        <v>10.541709491918519</v>
      </c>
      <c r="AP231" s="1">
        <f>VLOOKUP($C231,'Substrate Heating'!$A$2:$M$33,13,FALSE)</f>
        <v>0.5</v>
      </c>
      <c r="AQ231" s="1">
        <f>VLOOKUP($C231,'Substrate Heating'!$A$2:$M$33,8,FALSE)</f>
        <v>0.5</v>
      </c>
      <c r="AR231" s="1">
        <f t="shared" si="3"/>
        <v>0.75833333333333408</v>
      </c>
    </row>
    <row r="232" spans="1:44" x14ac:dyDescent="0.2">
      <c r="A232" s="17" t="s">
        <v>323</v>
      </c>
      <c r="B232" s="18" t="s">
        <v>324</v>
      </c>
      <c r="C232" t="s">
        <v>325</v>
      </c>
      <c r="D232" s="19" t="s">
        <v>326</v>
      </c>
      <c r="E232" t="s">
        <v>204</v>
      </c>
      <c r="F232" t="s">
        <v>205</v>
      </c>
      <c r="G232">
        <v>-10</v>
      </c>
      <c r="H232">
        <v>0</v>
      </c>
      <c r="I232">
        <v>0</v>
      </c>
      <c r="J232">
        <v>0.45</v>
      </c>
      <c r="K232">
        <v>-10</v>
      </c>
      <c r="L232">
        <v>0</v>
      </c>
      <c r="M232">
        <v>0</v>
      </c>
      <c r="N232">
        <v>5.8855172413793104</v>
      </c>
      <c r="O232">
        <v>0.147586206896552</v>
      </c>
      <c r="P232"/>
      <c r="Q232">
        <v>1.4758620689655199E-2</v>
      </c>
      <c r="R232">
        <v>0.107672415615113</v>
      </c>
      <c r="S232" s="1" t="str">
        <f>VLOOKUP($E232,'Product Naming'!$A$1:$P$58,2,FALSE)</f>
        <v>Farnesene</v>
      </c>
      <c r="T232" s="1" t="str">
        <f>VLOOKUP($E232,'Product Naming'!$A$1:$P$58,3,FALSE)</f>
        <v>Farnesene</v>
      </c>
      <c r="U232" s="1" t="str">
        <f>VLOOKUP($E232,'Product Naming'!$A$1:$P$58,4,FALSE)</f>
        <v>A</v>
      </c>
      <c r="V232" s="1" t="str">
        <f>VLOOKUP($E232,'Product Naming'!$A$1:$P$58,5,FALSE)</f>
        <v>C15H24</v>
      </c>
      <c r="W232" s="1">
        <f>VLOOKUP($E232,'Product Naming'!$A$1:$P$58,6,FALSE)</f>
        <v>15</v>
      </c>
      <c r="X232" s="1">
        <f>VLOOKUP($E232,'Product Naming'!$A$1:$P$58,7,FALSE)</f>
        <v>24</v>
      </c>
      <c r="Y232" s="1">
        <f>VLOOKUP($E232,'Product Naming'!$A$1:$P$58,8,FALSE)</f>
        <v>0</v>
      </c>
      <c r="Z232" s="1">
        <f>VLOOKUP($E232,'Product Naming'!$A$1:$P$58,9,FALSE)</f>
        <v>0</v>
      </c>
      <c r="AA232" s="1">
        <f>VLOOKUP($E232,'Product Naming'!$A$1:$P$58,10,FALSE)</f>
        <v>0</v>
      </c>
      <c r="AB232" s="29">
        <f>VLOOKUP($E232,'Product Naming'!$A$1:$P$58,11,FALSE)</f>
        <v>5.6</v>
      </c>
      <c r="AC232" s="3">
        <f>VLOOKUP($E232,'Product Naming'!$A$1:$P$58,12,FALSE)</f>
        <v>204.34866000000002</v>
      </c>
      <c r="AD232" s="1" t="str">
        <f>VLOOKUP($E232,'Product Naming'!$A$1:$P$58,13,FALSE)</f>
        <v>260 (A)/272 (B)</v>
      </c>
      <c r="AE232" s="1" t="str">
        <f>VLOOKUP($E232,'Product Naming'!$A$1:$P$58,14,FALSE)</f>
        <v>Hydrocarbon</v>
      </c>
      <c r="AF232" s="1" t="str">
        <f>VLOOKUP($E232,'Product Naming'!$A$1:$P$58,15,FALSE)</f>
        <v>Acetyl-CoA</v>
      </c>
      <c r="AG232" s="30" t="str">
        <f>VLOOKUP($E232,'Product Naming'!$A$1:$P$58,16,FALSE)</f>
        <v>Proton symporter</v>
      </c>
      <c r="AH232" s="3" t="str">
        <f>VLOOKUP($E232,'Product Naming'!$A$1:$Q$58,17,FALSE)</f>
        <v>frene_c</v>
      </c>
      <c r="AI232" s="1">
        <f>VLOOKUP($E232,'Product Parameters'!$A$2:$D$59,2,FALSE)</f>
        <v>1</v>
      </c>
      <c r="AJ232" s="1">
        <f>VLOOKUP($E232,'Product Parameters'!$A$2:$D$59,3,FALSE)</f>
        <v>0</v>
      </c>
      <c r="AK232" s="1">
        <f>VLOOKUP($E232,'Product Parameters'!$A$2:$D$59,4,FALSE)</f>
        <v>0.12</v>
      </c>
      <c r="AL232" s="1">
        <f>VLOOKUP($E232,'Product Parameters'!$A$2:$E$59,5,FALSE)</f>
        <v>0</v>
      </c>
      <c r="AM232" s="1">
        <f>VLOOKUP($E232,'Product Parameters'!$A$2:$F$59,6,FALSE)</f>
        <v>15</v>
      </c>
      <c r="AN232" s="1">
        <f>VLOOKUP($C232,'Substrate Heating'!$A$2:$C$33,3,FALSE)</f>
        <v>280.09700000000004</v>
      </c>
      <c r="AO232" s="1">
        <f>VLOOKUP($C232,'Substrate Heating'!$A$2:$B$33,2,FALSE)</f>
        <v>10</v>
      </c>
      <c r="AP232" s="1">
        <f>VLOOKUP($C232,'Substrate Heating'!$A$2:$M$33,13,FALSE)</f>
        <v>2</v>
      </c>
      <c r="AQ232" s="1">
        <f>VLOOKUP($C232,'Substrate Heating'!$A$2:$M$33,8,FALSE)</f>
        <v>1</v>
      </c>
      <c r="AR232" s="1">
        <f t="shared" si="3"/>
        <v>0.221379310344828</v>
      </c>
    </row>
    <row r="233" spans="1:44" x14ac:dyDescent="0.2">
      <c r="A233" s="17" t="s">
        <v>323</v>
      </c>
      <c r="B233" s="18" t="s">
        <v>324</v>
      </c>
      <c r="C233" t="s">
        <v>325</v>
      </c>
      <c r="D233" s="19" t="s">
        <v>326</v>
      </c>
      <c r="E233" t="s">
        <v>259</v>
      </c>
      <c r="F233" t="s">
        <v>260</v>
      </c>
      <c r="G233">
        <v>-10</v>
      </c>
      <c r="H233">
        <v>0</v>
      </c>
      <c r="I233">
        <v>0</v>
      </c>
      <c r="J233">
        <v>0.45</v>
      </c>
      <c r="K233">
        <v>-10</v>
      </c>
      <c r="L233">
        <v>0</v>
      </c>
      <c r="M233">
        <v>0</v>
      </c>
      <c r="N233">
        <v>5.8916666666666702</v>
      </c>
      <c r="O233">
        <v>0.22291666666666701</v>
      </c>
      <c r="P233"/>
      <c r="Q233">
        <v>2.2291666666666699E-2</v>
      </c>
      <c r="R233">
        <v>0.108420140723551</v>
      </c>
      <c r="S233" s="1" t="str">
        <f>VLOOKUP($E233,'Product Naming'!$A$1:$P$58,2,FALSE)</f>
        <v>Limonene</v>
      </c>
      <c r="T233" s="1" t="str">
        <f>VLOOKUP($E233,'Product Naming'!$A$1:$P$58,3,FALSE)</f>
        <v>Limonene</v>
      </c>
      <c r="U233" s="1" t="str">
        <f>VLOOKUP($E233,'Product Naming'!$A$1:$P$58,4,FALSE)</f>
        <v>E</v>
      </c>
      <c r="V233" s="1" t="str">
        <f>VLOOKUP($E233,'Product Naming'!$A$1:$P$58,5,FALSE)</f>
        <v>C10H16</v>
      </c>
      <c r="W233" s="1">
        <f>VLOOKUP($E233,'Product Naming'!$A$1:$P$58,6,FALSE)</f>
        <v>10</v>
      </c>
      <c r="X233" s="1">
        <f>VLOOKUP($E233,'Product Naming'!$A$1:$P$58,7,FALSE)</f>
        <v>16</v>
      </c>
      <c r="Y233" s="1">
        <f>VLOOKUP($E233,'Product Naming'!$A$1:$P$58,8,FALSE)</f>
        <v>0</v>
      </c>
      <c r="Z233" s="1">
        <f>VLOOKUP($E233,'Product Naming'!$A$1:$P$58,9,FALSE)</f>
        <v>0</v>
      </c>
      <c r="AA233" s="1">
        <f>VLOOKUP($E233,'Product Naming'!$A$1:$P$58,10,FALSE)</f>
        <v>0</v>
      </c>
      <c r="AB233" s="29">
        <f>VLOOKUP($E233,'Product Naming'!$A$1:$P$58,11,FALSE)</f>
        <v>5.6</v>
      </c>
      <c r="AC233" s="3">
        <f>VLOOKUP($E233,'Product Naming'!$A$1:$P$58,12,FALSE)</f>
        <v>136.23244</v>
      </c>
      <c r="AD233" s="1">
        <f>VLOOKUP($E233,'Product Naming'!$A$1:$P$58,13,FALSE)</f>
        <v>176</v>
      </c>
      <c r="AE233" s="1" t="str">
        <f>VLOOKUP($E233,'Product Naming'!$A$1:$P$58,14,FALSE)</f>
        <v>Isoprenoid; Aromatic (Cycloalkane)</v>
      </c>
      <c r="AF233" s="1" t="str">
        <f>VLOOKUP($E233,'Product Naming'!$A$1:$P$58,15,FALSE)</f>
        <v>Acetyl-CoA</v>
      </c>
      <c r="AG233" s="30" t="str">
        <f>VLOOKUP($E233,'Product Naming'!$A$1:$P$58,16,FALSE)</f>
        <v>Proton symporter</v>
      </c>
      <c r="AH233" s="3" t="str">
        <f>VLOOKUP($E233,'Product Naming'!$A$1:$Q$58,17,FALSE)</f>
        <v>limnen_c</v>
      </c>
      <c r="AI233" s="1">
        <f>VLOOKUP($E233,'Product Parameters'!$A$2:$D$59,2,FALSE)</f>
        <v>1</v>
      </c>
      <c r="AJ233" s="1">
        <f>VLOOKUP($E233,'Product Parameters'!$A$2:$D$59,3,FALSE)</f>
        <v>0</v>
      </c>
      <c r="AK233" s="1">
        <f>VLOOKUP($E233,'Product Parameters'!$A$2:$D$59,4,FALSE)</f>
        <v>0.12</v>
      </c>
      <c r="AL233" s="1">
        <f>VLOOKUP($E233,'Product Parameters'!$A$2:$E$59,5,FALSE)</f>
        <v>49.5</v>
      </c>
      <c r="AM233" s="1">
        <f>VLOOKUP($E233,'Product Parameters'!$A$2:$F$59,6,FALSE)</f>
        <v>10</v>
      </c>
      <c r="AN233" s="1">
        <f>VLOOKUP($C233,'Substrate Heating'!$A$2:$C$33,3,FALSE)</f>
        <v>280.09700000000004</v>
      </c>
      <c r="AO233" s="1">
        <f>VLOOKUP($C233,'Substrate Heating'!$A$2:$B$33,2,FALSE)</f>
        <v>10</v>
      </c>
      <c r="AP233" s="1">
        <f>VLOOKUP($C233,'Substrate Heating'!$A$2:$M$33,13,FALSE)</f>
        <v>2</v>
      </c>
      <c r="AQ233" s="1">
        <f>VLOOKUP($C233,'Substrate Heating'!$A$2:$M$33,8,FALSE)</f>
        <v>1</v>
      </c>
      <c r="AR233" s="1">
        <f t="shared" si="3"/>
        <v>0.22291666666666698</v>
      </c>
    </row>
    <row r="234" spans="1:44" x14ac:dyDescent="0.2">
      <c r="A234" s="17" t="s">
        <v>185</v>
      </c>
      <c r="B234" s="9" t="s">
        <v>35</v>
      </c>
      <c r="C234" t="s">
        <v>337</v>
      </c>
      <c r="D234" s="23" t="s">
        <v>338</v>
      </c>
      <c r="E234" t="s">
        <v>264</v>
      </c>
      <c r="F234" t="s">
        <v>265</v>
      </c>
      <c r="G234">
        <v>-10</v>
      </c>
      <c r="H234">
        <v>-20</v>
      </c>
      <c r="I234" s="1" t="s">
        <v>40</v>
      </c>
      <c r="J234">
        <v>3.15</v>
      </c>
      <c r="K234">
        <v>-10</v>
      </c>
      <c r="L234">
        <v>-2.5956521739130398</v>
      </c>
      <c r="M234" s="1" t="s">
        <v>40</v>
      </c>
      <c r="N234">
        <v>7.9391304347825997</v>
      </c>
      <c r="O234">
        <v>0.34347826086956601</v>
      </c>
      <c r="P234"/>
      <c r="Q234">
        <v>3.43478260869566E-2</v>
      </c>
      <c r="R234">
        <v>0.109837288066432</v>
      </c>
      <c r="S234" s="1" t="str">
        <f>VLOOKUP($E234,'Product Naming'!$A$1:$P$58,2,FALSE)</f>
        <v>Lysine_L</v>
      </c>
      <c r="T234" s="1" t="str">
        <f>VLOOKUP($E234,'Product Naming'!$A$1:$P$58,3,FALSE)</f>
        <v>L-Lysine</v>
      </c>
      <c r="U234" s="1" t="str">
        <f>VLOOKUP($E234,'Product Naming'!$A$1:$P$58,4,FALSE)</f>
        <v>iJO1366</v>
      </c>
      <c r="V234" s="1" t="str">
        <f>VLOOKUP($E234,'Product Naming'!$A$1:$P$58,5,FALSE)</f>
        <v>C6H15N2O2</v>
      </c>
      <c r="W234" s="1">
        <f>VLOOKUP($E234,'Product Naming'!$A$1:$P$58,6,FALSE)</f>
        <v>6</v>
      </c>
      <c r="X234" s="1">
        <f>VLOOKUP($E234,'Product Naming'!$A$1:$P$58,7,FALSE)</f>
        <v>15</v>
      </c>
      <c r="Y234" s="1">
        <f>VLOOKUP($E234,'Product Naming'!$A$1:$P$58,8,FALSE)</f>
        <v>2</v>
      </c>
      <c r="Z234" s="1">
        <f>VLOOKUP($E234,'Product Naming'!$A$1:$P$58,9,FALSE)</f>
        <v>2</v>
      </c>
      <c r="AA234" s="1">
        <f>VLOOKUP($E234,'Product Naming'!$A$1:$P$58,10,FALSE)</f>
        <v>1</v>
      </c>
      <c r="AB234" s="29">
        <f>VLOOKUP($E234,'Product Naming'!$A$1:$P$58,11,FALSE)</f>
        <v>4.833333333333333</v>
      </c>
      <c r="AC234" s="3">
        <f>VLOOKUP($E234,'Product Naming'!$A$1:$P$58,12,FALSE)</f>
        <v>147.19319999999999</v>
      </c>
      <c r="AD234" s="1" t="str">
        <f>VLOOKUP($E234,'Product Naming'!$A$1:$P$58,13,FALSE)</f>
        <v>NA</v>
      </c>
      <c r="AE234" s="1" t="str">
        <f>VLOOKUP($E234,'Product Naming'!$A$1:$P$58,14,FALSE)</f>
        <v>Amino acid</v>
      </c>
      <c r="AF234" s="1" t="str">
        <f>VLOOKUP($E234,'Product Naming'!$A$1:$P$58,15,FALSE)</f>
        <v>Oxaloacetate</v>
      </c>
      <c r="AG234" s="30" t="str">
        <f>VLOOKUP($E234,'Product Naming'!$A$1:$P$58,16,FALSE)</f>
        <v>Proton antiport</v>
      </c>
      <c r="AH234" s="3" t="str">
        <f>VLOOKUP($E234,'Product Naming'!$A$1:$Q$58,17,FALSE)</f>
        <v>lys__L_</v>
      </c>
      <c r="AI234" s="1">
        <f>VLOOKUP($E234,'Product Parameters'!$A$2:$D$59,2,FALSE)</f>
        <v>1</v>
      </c>
      <c r="AJ234" s="1">
        <f>VLOOKUP($E234,'Product Parameters'!$A$2:$D$59,3,FALSE)</f>
        <v>0</v>
      </c>
      <c r="AK234" s="1">
        <f>VLOOKUP($E234,'Product Parameters'!$A$2:$D$59,4,FALSE)</f>
        <v>0.12</v>
      </c>
      <c r="AL234" s="1">
        <f>VLOOKUP($E234,'Product Parameters'!$A$2:$E$59,5,FALSE)</f>
        <v>40.65</v>
      </c>
      <c r="AM234" s="1">
        <f>VLOOKUP($E234,'Product Parameters'!$A$2:$F$59,6,FALSE)</f>
        <v>6</v>
      </c>
      <c r="AN234" s="1">
        <f>VLOOKUP($C234,'Substrate Heating'!$A$2:$C$33,3,FALSE)</f>
        <v>247.59097</v>
      </c>
      <c r="AO234" s="1">
        <f>VLOOKUP($C234,'Substrate Heating'!$A$2:$B$33,2,FALSE)</f>
        <v>5.5</v>
      </c>
      <c r="AP234" s="1">
        <f>VLOOKUP($C234,'Substrate Heating'!$A$2:$M$33,13,FALSE)</f>
        <v>1</v>
      </c>
      <c r="AQ234" s="1">
        <f>VLOOKUP($C234,'Substrate Heating'!$A$2:$M$33,8,FALSE)</f>
        <v>1</v>
      </c>
      <c r="AR234" s="1">
        <f t="shared" si="3"/>
        <v>0.20608695652173958</v>
      </c>
    </row>
    <row r="235" spans="1:44" x14ac:dyDescent="0.2">
      <c r="A235" s="8" t="s">
        <v>34</v>
      </c>
      <c r="B235" s="9" t="s">
        <v>35</v>
      </c>
      <c r="C235" s="1" t="s">
        <v>337</v>
      </c>
      <c r="D235" s="23" t="s">
        <v>338</v>
      </c>
      <c r="E235" s="1" t="s">
        <v>221</v>
      </c>
      <c r="F235" s="1" t="s">
        <v>222</v>
      </c>
      <c r="G235" s="1">
        <v>-10</v>
      </c>
      <c r="H235" s="1">
        <v>-20</v>
      </c>
      <c r="I235" s="1" t="s">
        <v>40</v>
      </c>
      <c r="J235" s="1">
        <v>3.15</v>
      </c>
      <c r="K235" s="1">
        <v>-10</v>
      </c>
      <c r="L235" s="1">
        <v>-3.0249999999999999</v>
      </c>
      <c r="M235" s="1" t="s">
        <v>40</v>
      </c>
      <c r="N235" s="1">
        <v>8.0250000000000004</v>
      </c>
      <c r="O235" s="1">
        <v>0.39500000000000002</v>
      </c>
      <c r="Q235" s="1">
        <v>3.95E-2</v>
      </c>
      <c r="R235" s="1">
        <v>0.11164149438622099</v>
      </c>
      <c r="S235" s="1" t="str">
        <f>VLOOKUP($E235,'Product Naming'!$A$1:$P$58,2,FALSE)</f>
        <v>Glutarate</v>
      </c>
      <c r="T235" s="1" t="str">
        <f>VLOOKUP($E235,'Product Naming'!$A$1:$P$58,3,FALSE)</f>
        <v>Glutarate</v>
      </c>
      <c r="U235" s="1" t="str">
        <f>VLOOKUP($E235,'Product Naming'!$A$1:$P$58,4,FALSE)</f>
        <v>A</v>
      </c>
      <c r="V235" s="1" t="str">
        <f>VLOOKUP($E235,'Product Naming'!$A$1:$P$58,5,FALSE)</f>
        <v>C5H6O4</v>
      </c>
      <c r="W235" s="1">
        <f>VLOOKUP($E235,'Product Naming'!$A$1:$P$58,6,FALSE)</f>
        <v>5</v>
      </c>
      <c r="X235" s="1">
        <f>VLOOKUP($E235,'Product Naming'!$A$1:$P$58,7,FALSE)</f>
        <v>6</v>
      </c>
      <c r="Y235" s="1">
        <f>VLOOKUP($E235,'Product Naming'!$A$1:$P$58,8,FALSE)</f>
        <v>4</v>
      </c>
      <c r="Z235" s="1">
        <f>VLOOKUP($E235,'Product Naming'!$A$1:$P$58,9,FALSE)</f>
        <v>0</v>
      </c>
      <c r="AA235" s="1">
        <f>VLOOKUP($E235,'Product Naming'!$A$1:$P$58,10,FALSE)</f>
        <v>-2</v>
      </c>
      <c r="AB235" s="29">
        <f>VLOOKUP($E235,'Product Naming'!$A$1:$P$58,11,FALSE)</f>
        <v>3.6</v>
      </c>
      <c r="AC235" s="3">
        <f>VLOOKUP($E235,'Product Naming'!$A$1:$P$58,12,FALSE)</f>
        <v>130.09654</v>
      </c>
      <c r="AD235" s="1">
        <f>VLOOKUP($E235,'Product Naming'!$A$1:$P$58,13,FALSE)</f>
        <v>200</v>
      </c>
      <c r="AE235" s="1" t="str">
        <f>VLOOKUP($E235,'Product Naming'!$A$1:$P$58,14,FALSE)</f>
        <v>Dicarboxylate</v>
      </c>
      <c r="AF235" s="1" t="str">
        <f>VLOOKUP($E235,'Product Naming'!$A$1:$P$58,15,FALSE)</f>
        <v>Oxaloacetate + aKG</v>
      </c>
      <c r="AG235" s="30" t="str">
        <f>VLOOKUP($E235,'Product Naming'!$A$1:$P$58,16,FALSE)</f>
        <v>Proton symporter</v>
      </c>
      <c r="AH235" s="3" t="str">
        <f>VLOOKUP($E235,'Product Naming'!$A$1:$Q$58,17,FALSE)</f>
        <v>glutar_c</v>
      </c>
      <c r="AI235" s="1">
        <f>VLOOKUP($E235,'Product Parameters'!$A$2:$D$59,2,FALSE)</f>
        <v>1</v>
      </c>
      <c r="AJ235" s="1">
        <f>VLOOKUP($E235,'Product Parameters'!$A$2:$D$59,3,FALSE)</f>
        <v>0</v>
      </c>
      <c r="AK235" s="1">
        <f>VLOOKUP($E235,'Product Parameters'!$A$2:$D$59,4,FALSE)</f>
        <v>0.12</v>
      </c>
      <c r="AL235" s="1">
        <f>VLOOKUP($E235,'Product Parameters'!$A$2:$E$59,5,FALSE)</f>
        <v>40.65</v>
      </c>
      <c r="AM235" s="1">
        <f>VLOOKUP($E235,'Product Parameters'!$A$2:$F$59,6,FALSE)</f>
        <v>5</v>
      </c>
      <c r="AN235" s="1">
        <f>VLOOKUP($C235,'Substrate Heating'!$A$2:$C$33,3,FALSE)</f>
        <v>247.59097</v>
      </c>
      <c r="AO235" s="1">
        <f>VLOOKUP($C235,'Substrate Heating'!$A$2:$B$33,2,FALSE)</f>
        <v>5.5</v>
      </c>
      <c r="AP235" s="1">
        <f>VLOOKUP($C235,'Substrate Heating'!$A$2:$M$33,13,FALSE)</f>
        <v>1</v>
      </c>
      <c r="AQ235" s="1">
        <f>VLOOKUP($C235,'Substrate Heating'!$A$2:$M$33,8,FALSE)</f>
        <v>1</v>
      </c>
      <c r="AR235" s="1">
        <f t="shared" si="3"/>
        <v>0.19750000000000001</v>
      </c>
    </row>
    <row r="236" spans="1:44" x14ac:dyDescent="0.2">
      <c r="A236" s="8" t="s">
        <v>34</v>
      </c>
      <c r="B236" s="9" t="s">
        <v>35</v>
      </c>
      <c r="C236" s="1" t="s">
        <v>337</v>
      </c>
      <c r="D236" s="23" t="s">
        <v>338</v>
      </c>
      <c r="E236" s="1" t="s">
        <v>180</v>
      </c>
      <c r="F236" s="1" t="s">
        <v>181</v>
      </c>
      <c r="G236" s="1">
        <v>-10</v>
      </c>
      <c r="H236" s="1">
        <v>-20</v>
      </c>
      <c r="I236" s="1" t="s">
        <v>40</v>
      </c>
      <c r="J236" s="1">
        <v>3.15</v>
      </c>
      <c r="K236" s="1">
        <v>-10</v>
      </c>
      <c r="L236" s="1">
        <v>-2.9790697674418598</v>
      </c>
      <c r="M236" s="1" t="s">
        <v>40</v>
      </c>
      <c r="N236" s="1">
        <v>7.7953488372092998</v>
      </c>
      <c r="O236" s="1">
        <v>0.36744186046511601</v>
      </c>
      <c r="Q236" s="1">
        <v>3.6744186046511598E-2</v>
      </c>
      <c r="R236" s="1">
        <v>0.11183130733671499</v>
      </c>
      <c r="S236" s="1" t="str">
        <f>VLOOKUP($E236,'Product Naming'!$A$1:$P$58,2,FALSE)</f>
        <v>ciscisMuconate</v>
      </c>
      <c r="T236" s="1" t="str">
        <f>VLOOKUP($E236,'Product Naming'!$A$1:$P$58,3,FALSE)</f>
        <v>cis,cis-Muconate</v>
      </c>
      <c r="U236" s="1" t="str">
        <f>VLOOKUP($E236,'Product Naming'!$A$1:$P$58,4,FALSE)</f>
        <v>A</v>
      </c>
      <c r="V236" s="1" t="str">
        <f>VLOOKUP($E236,'Product Naming'!$A$1:$P$58,5,FALSE)</f>
        <v>C6H4O4</v>
      </c>
      <c r="W236" s="1">
        <f>VLOOKUP($E236,'Product Naming'!$A$1:$P$58,6,FALSE)</f>
        <v>6</v>
      </c>
      <c r="X236" s="1">
        <f>VLOOKUP($E236,'Product Naming'!$A$1:$P$58,7,FALSE)</f>
        <v>4</v>
      </c>
      <c r="Y236" s="1">
        <f>VLOOKUP($E236,'Product Naming'!$A$1:$P$58,8,FALSE)</f>
        <v>4</v>
      </c>
      <c r="Z236" s="1">
        <f>VLOOKUP($E236,'Product Naming'!$A$1:$P$58,9,FALSE)</f>
        <v>0</v>
      </c>
      <c r="AA236" s="1">
        <f>VLOOKUP($E236,'Product Naming'!$A$1:$P$58,10,FALSE)</f>
        <v>-2</v>
      </c>
      <c r="AB236" s="29">
        <f>VLOOKUP($E236,'Product Naming'!$A$1:$P$58,11,FALSE)</f>
        <v>3.3333333333333335</v>
      </c>
      <c r="AC236" s="3">
        <f>VLOOKUP($E236,'Product Naming'!$A$1:$P$58,12,FALSE)</f>
        <v>140.09156000000002</v>
      </c>
      <c r="AD236" s="1">
        <f>VLOOKUP($E236,'Product Naming'!$A$1:$P$58,13,FALSE)</f>
        <v>345.4</v>
      </c>
      <c r="AE236" s="1" t="str">
        <f>VLOOKUP($E236,'Product Naming'!$A$1:$P$58,14,FALSE)</f>
        <v>Dicarboxylate</v>
      </c>
      <c r="AF236" s="1" t="str">
        <f>VLOOKUP($E236,'Product Naming'!$A$1:$P$58,15,FALSE)</f>
        <v>Glyceraldehyde 3-P</v>
      </c>
      <c r="AG236" s="30" t="str">
        <f>VLOOKUP($E236,'Product Naming'!$A$1:$P$58,16,FALSE)</f>
        <v>Proton symporter</v>
      </c>
      <c r="AH236" s="3" t="str">
        <f>VLOOKUP($E236,'Product Naming'!$A$1:$Q$58,17,FALSE)</f>
        <v>ccmuac_c</v>
      </c>
      <c r="AI236" s="1">
        <f>VLOOKUP($E236,'Product Parameters'!$A$2:$D$59,2,FALSE)</f>
        <v>1</v>
      </c>
      <c r="AJ236" s="1">
        <f>VLOOKUP($E236,'Product Parameters'!$A$2:$D$59,3,FALSE)</f>
        <v>0</v>
      </c>
      <c r="AK236" s="1">
        <f>VLOOKUP($E236,'Product Parameters'!$A$2:$D$59,4,FALSE)</f>
        <v>0.12</v>
      </c>
      <c r="AL236" s="1">
        <f>VLOOKUP($E236,'Product Parameters'!$A$2:$E$59,5,FALSE)</f>
        <v>40.65</v>
      </c>
      <c r="AM236" s="1">
        <f>VLOOKUP($E236,'Product Parameters'!$A$2:$F$59,6,FALSE)</f>
        <v>6</v>
      </c>
      <c r="AN236" s="1">
        <f>VLOOKUP($C236,'Substrate Heating'!$A$2:$C$33,3,FALSE)</f>
        <v>247.59097</v>
      </c>
      <c r="AO236" s="1">
        <f>VLOOKUP($C236,'Substrate Heating'!$A$2:$B$33,2,FALSE)</f>
        <v>5.5</v>
      </c>
      <c r="AP236" s="1">
        <f>VLOOKUP($C236,'Substrate Heating'!$A$2:$M$33,13,FALSE)</f>
        <v>1</v>
      </c>
      <c r="AQ236" s="1">
        <f>VLOOKUP($C236,'Substrate Heating'!$A$2:$M$33,8,FALSE)</f>
        <v>1</v>
      </c>
      <c r="AR236" s="1">
        <f t="shared" si="3"/>
        <v>0.22046511627906959</v>
      </c>
    </row>
    <row r="237" spans="1:44" x14ac:dyDescent="0.2">
      <c r="A237" s="17" t="s">
        <v>323</v>
      </c>
      <c r="B237" s="18" t="s">
        <v>324</v>
      </c>
      <c r="C237" t="s">
        <v>327</v>
      </c>
      <c r="D237" s="19" t="s">
        <v>326</v>
      </c>
      <c r="E237" t="s">
        <v>136</v>
      </c>
      <c r="F237" t="s">
        <v>137</v>
      </c>
      <c r="G237">
        <v>-10</v>
      </c>
      <c r="H237">
        <v>0</v>
      </c>
      <c r="I237">
        <v>-5</v>
      </c>
      <c r="J237">
        <v>0.45</v>
      </c>
      <c r="K237">
        <v>-10</v>
      </c>
      <c r="L237">
        <v>0</v>
      </c>
      <c r="M237">
        <v>-5</v>
      </c>
      <c r="N237">
        <v>2.63441860465116</v>
      </c>
      <c r="O237">
        <v>0.26883720930232502</v>
      </c>
      <c r="P237"/>
      <c r="Q237">
        <v>2.6883720930233002E-2</v>
      </c>
      <c r="R237">
        <v>0.112196550574584</v>
      </c>
      <c r="S237" s="1" t="str">
        <f>VLOOKUP($E237,'Product Naming'!$A$1:$P$58,2,FALSE)</f>
        <v>Benzoate-PW1</v>
      </c>
      <c r="T237" s="1" t="str">
        <f>VLOOKUP($E237,'Product Naming'!$A$1:$P$58,3,FALSE)</f>
        <v>Benzoate (PW1)</v>
      </c>
      <c r="U237" s="1" t="str">
        <f>VLOOKUP($E237,'Product Naming'!$A$1:$P$58,4,FALSE)</f>
        <v>A</v>
      </c>
      <c r="V237" s="1" t="str">
        <f>VLOOKUP($E237,'Product Naming'!$A$1:$P$58,5,FALSE)</f>
        <v>C7H5O2</v>
      </c>
      <c r="W237" s="1">
        <f>VLOOKUP($E237,'Product Naming'!$A$1:$P$58,6,FALSE)</f>
        <v>7</v>
      </c>
      <c r="X237" s="1">
        <f>VLOOKUP($E237,'Product Naming'!$A$1:$P$58,7,FALSE)</f>
        <v>5</v>
      </c>
      <c r="Y237" s="1">
        <f>VLOOKUP($E237,'Product Naming'!$A$1:$P$58,8,FALSE)</f>
        <v>2</v>
      </c>
      <c r="Z237" s="1">
        <f>VLOOKUP($E237,'Product Naming'!$A$1:$P$58,9,FALSE)</f>
        <v>0</v>
      </c>
      <c r="AA237" s="1">
        <f>VLOOKUP($E237,'Product Naming'!$A$1:$P$58,10,FALSE)</f>
        <v>-1</v>
      </c>
      <c r="AB237" s="29">
        <f>VLOOKUP($E237,'Product Naming'!$A$1:$P$58,11,FALSE)</f>
        <v>4.1428571428571432</v>
      </c>
      <c r="AC237" s="3">
        <f>VLOOKUP($E237,'Product Naming'!$A$1:$P$58,12,FALSE)</f>
        <v>121.1121</v>
      </c>
      <c r="AD237" s="1">
        <f>VLOOKUP($E237,'Product Naming'!$A$1:$P$58,13,FALSE)</f>
        <v>249.2</v>
      </c>
      <c r="AE237" s="1" t="str">
        <f>VLOOKUP($E237,'Product Naming'!$A$1:$P$58,14,FALSE)</f>
        <v>Aromatic + Carboxylate</v>
      </c>
      <c r="AF237" s="1" t="str">
        <f>VLOOKUP($E237,'Product Naming'!$A$1:$P$58,15,FALSE)</f>
        <v>E4P + aKG</v>
      </c>
      <c r="AG237" s="30" t="str">
        <f>VLOOKUP($E237,'Product Naming'!$A$1:$P$58,16,FALSE)</f>
        <v>Proton symporter</v>
      </c>
      <c r="AH237" s="3" t="str">
        <f>VLOOKUP($E237,'Product Naming'!$A$1:$Q$58,17,FALSE)</f>
        <v>bz_c</v>
      </c>
      <c r="AI237" s="1">
        <f>VLOOKUP($E237,'Product Parameters'!$A$2:$D$59,2,FALSE)</f>
        <v>1</v>
      </c>
      <c r="AJ237" s="1">
        <f>VLOOKUP($E237,'Product Parameters'!$A$2:$D$59,3,FALSE)</f>
        <v>0</v>
      </c>
      <c r="AK237" s="1">
        <f>VLOOKUP($E237,'Product Parameters'!$A$2:$D$59,4,FALSE)</f>
        <v>0.12</v>
      </c>
      <c r="AL237" s="1">
        <f>VLOOKUP($E237,'Product Parameters'!$A$2:$E$59,5,FALSE)</f>
        <v>40.65</v>
      </c>
      <c r="AM237" s="1">
        <f>VLOOKUP($E237,'Product Parameters'!$A$2:$F$59,6,FALSE)</f>
        <v>7</v>
      </c>
      <c r="AN237" s="1">
        <f>VLOOKUP($C237,'Substrate Heating'!$A$2:$C$33,3,FALSE)</f>
        <v>269.26666666666665</v>
      </c>
      <c r="AO237" s="1">
        <f>VLOOKUP($C237,'Substrate Heating'!$A$2:$B$33,2,FALSE)</f>
        <v>13.919167510409219</v>
      </c>
      <c r="AP237" s="1">
        <f>VLOOKUP($C237,'Substrate Heating'!$A$2:$M$33,13,FALSE)</f>
        <v>1.3333333333333333</v>
      </c>
      <c r="AQ237" s="1">
        <f>VLOOKUP($C237,'Substrate Heating'!$A$2:$M$33,8,FALSE)</f>
        <v>0.66666666666666663</v>
      </c>
      <c r="AR237" s="1">
        <f t="shared" si="3"/>
        <v>0.28227906976744654</v>
      </c>
    </row>
    <row r="238" spans="1:44" x14ac:dyDescent="0.2">
      <c r="A238" s="8" t="s">
        <v>34</v>
      </c>
      <c r="B238" s="9" t="s">
        <v>35</v>
      </c>
      <c r="C238" s="1" t="s">
        <v>339</v>
      </c>
      <c r="D238" s="23" t="s">
        <v>338</v>
      </c>
      <c r="E238" s="1" t="s">
        <v>97</v>
      </c>
      <c r="F238" s="1" t="s">
        <v>98</v>
      </c>
      <c r="G238" s="1">
        <v>-10</v>
      </c>
      <c r="H238" s="1">
        <v>-20</v>
      </c>
      <c r="I238" s="1" t="s">
        <v>40</v>
      </c>
      <c r="J238" s="1">
        <v>3.15</v>
      </c>
      <c r="K238" s="1">
        <v>-10</v>
      </c>
      <c r="L238" s="1">
        <v>-3.5808383233533001</v>
      </c>
      <c r="M238" s="1" t="s">
        <v>40</v>
      </c>
      <c r="N238" s="1">
        <v>8.0131736526946096</v>
      </c>
      <c r="O238" s="1">
        <v>0.28383233532934199</v>
      </c>
      <c r="Q238" s="1">
        <v>2.8383233532934201E-2</v>
      </c>
      <c r="R238" s="1">
        <v>0.112278819648362</v>
      </c>
      <c r="S238" s="1" t="str">
        <f>VLOOKUP($E238,'Product Naming'!$A$1:$P$58,2,FALSE)</f>
        <v>2-Pyrone-4-6-Dicarboxylate</v>
      </c>
      <c r="T238" s="1" t="str">
        <f>VLOOKUP($E238,'Product Naming'!$A$1:$P$58,3,FALSE)</f>
        <v>2-Pyrone 4,6-dicarboxylate</v>
      </c>
      <c r="U238" s="1" t="str">
        <f>VLOOKUP($E238,'Product Naming'!$A$1:$P$58,4,FALSE)</f>
        <v>A</v>
      </c>
      <c r="V238" s="1" t="str">
        <f>VLOOKUP($E238,'Product Naming'!$A$1:$P$58,5,FALSE)</f>
        <v>C7H2O6</v>
      </c>
      <c r="W238" s="1">
        <f>VLOOKUP($E238,'Product Naming'!$A$1:$P$58,6,FALSE)</f>
        <v>7</v>
      </c>
      <c r="X238" s="1">
        <f>VLOOKUP($E238,'Product Naming'!$A$1:$P$58,7,FALSE)</f>
        <v>2</v>
      </c>
      <c r="Y238" s="1">
        <f>VLOOKUP($E238,'Product Naming'!$A$1:$P$58,8,FALSE)</f>
        <v>6</v>
      </c>
      <c r="Z238" s="1">
        <f>VLOOKUP($E238,'Product Naming'!$A$1:$P$58,9,FALSE)</f>
        <v>0</v>
      </c>
      <c r="AA238" s="1">
        <f>VLOOKUP($E238,'Product Naming'!$A$1:$P$58,10,FALSE)</f>
        <v>-2</v>
      </c>
      <c r="AB238" s="29">
        <f>VLOOKUP($E238,'Product Naming'!$A$1:$P$58,11,FALSE)</f>
        <v>2.5714285714285716</v>
      </c>
      <c r="AC238" s="3">
        <f>VLOOKUP($E238,'Product Naming'!$A$1:$P$58,12,FALSE)</f>
        <v>182.08458000000002</v>
      </c>
      <c r="AD238" s="1">
        <f>VLOOKUP($E238,'Product Naming'!$A$1:$P$58,13,FALSE)</f>
        <v>355.5</v>
      </c>
      <c r="AE238" s="1" t="str">
        <f>VLOOKUP($E238,'Product Naming'!$A$1:$P$58,14,FALSE)</f>
        <v>Dicarboxylate</v>
      </c>
      <c r="AF238" s="1" t="str">
        <f>VLOOKUP($E238,'Product Naming'!$A$1:$P$58,15,FALSE)</f>
        <v>Glyceraldehyde 3-P</v>
      </c>
      <c r="AG238" s="30" t="str">
        <f>VLOOKUP($E238,'Product Naming'!$A$1:$P$58,16,FALSE)</f>
        <v>Proton symporter</v>
      </c>
      <c r="AH238" s="3" t="str">
        <f>VLOOKUP($E238,'Product Naming'!$A$1:$Q$58,17,FALSE)</f>
        <v>2p46dc_c</v>
      </c>
      <c r="AI238" s="1">
        <f>VLOOKUP($E238,'Product Parameters'!$A$2:$D$59,2,FALSE)</f>
        <v>1</v>
      </c>
      <c r="AJ238" s="1">
        <f>VLOOKUP($E238,'Product Parameters'!$A$2:$D$59,3,FALSE)</f>
        <v>0</v>
      </c>
      <c r="AK238" s="1">
        <f>VLOOKUP($E238,'Product Parameters'!$A$2:$D$59,4,FALSE)</f>
        <v>0.12</v>
      </c>
      <c r="AL238" s="1">
        <f>VLOOKUP($E238,'Product Parameters'!$A$2:$E$59,5,FALSE)</f>
        <v>0</v>
      </c>
      <c r="AM238" s="1">
        <f>VLOOKUP($E238,'Product Parameters'!$A$2:$F$59,6,FALSE)</f>
        <v>7</v>
      </c>
      <c r="AN238" s="1">
        <f>VLOOKUP($C238,'Substrate Heating'!$A$2:$C$33,3,FALSE)</f>
        <v>247.59097</v>
      </c>
      <c r="AO238" s="1">
        <f>VLOOKUP($C238,'Substrate Heating'!$A$2:$B$33,2,FALSE)</f>
        <v>5.5</v>
      </c>
      <c r="AP238" s="1">
        <f>VLOOKUP($C238,'Substrate Heating'!$A$2:$M$33,13,FALSE)</f>
        <v>1</v>
      </c>
      <c r="AQ238" s="1">
        <f>VLOOKUP($C238,'Substrate Heating'!$A$2:$M$33,8,FALSE)</f>
        <v>1</v>
      </c>
      <c r="AR238" s="1">
        <f t="shared" si="3"/>
        <v>0.1986826347305394</v>
      </c>
    </row>
    <row r="239" spans="1:44" x14ac:dyDescent="0.2">
      <c r="A239" s="8" t="s">
        <v>34</v>
      </c>
      <c r="B239" s="9" t="s">
        <v>35</v>
      </c>
      <c r="C239" s="1" t="s">
        <v>337</v>
      </c>
      <c r="D239" s="23" t="s">
        <v>338</v>
      </c>
      <c r="E239" s="1" t="s">
        <v>124</v>
      </c>
      <c r="F239" s="1" t="s">
        <v>125</v>
      </c>
      <c r="G239" s="1">
        <v>-10</v>
      </c>
      <c r="H239" s="1">
        <v>-20</v>
      </c>
      <c r="I239" s="1" t="s">
        <v>40</v>
      </c>
      <c r="J239" s="1">
        <v>3.15</v>
      </c>
      <c r="K239" s="1">
        <v>-10</v>
      </c>
      <c r="L239" s="1">
        <v>-2.81230769230769</v>
      </c>
      <c r="M239" s="1" t="s">
        <v>40</v>
      </c>
      <c r="N239" s="1">
        <v>7.81230769230769</v>
      </c>
      <c r="O239" s="1">
        <v>0.72923076923076902</v>
      </c>
      <c r="Q239" s="1">
        <v>7.2923076923076896E-2</v>
      </c>
      <c r="R239" s="1">
        <v>0.112567751988353</v>
      </c>
      <c r="S239" s="1" t="str">
        <f>VLOOKUP($E239,'Product Naming'!$A$1:$P$58,2,FALSE)</f>
        <v>Acrylate-PW1</v>
      </c>
      <c r="T239" s="1" t="str">
        <f>VLOOKUP($E239,'Product Naming'!$A$1:$P$58,3,FALSE)</f>
        <v>Acrylate (PW1)</v>
      </c>
      <c r="U239" s="1" t="str">
        <f>VLOOKUP($E239,'Product Naming'!$A$1:$P$58,4,FALSE)</f>
        <v>A</v>
      </c>
      <c r="V239" s="1" t="str">
        <f>VLOOKUP($E239,'Product Naming'!$A$1:$P$58,5,FALSE)</f>
        <v>C3H3O2</v>
      </c>
      <c r="W239" s="1">
        <f>VLOOKUP($E239,'Product Naming'!$A$1:$P$58,6,FALSE)</f>
        <v>3</v>
      </c>
      <c r="X239" s="1">
        <f>VLOOKUP($E239,'Product Naming'!$A$1:$P$58,7,FALSE)</f>
        <v>3</v>
      </c>
      <c r="Y239" s="1">
        <f>VLOOKUP($E239,'Product Naming'!$A$1:$P$58,8,FALSE)</f>
        <v>2</v>
      </c>
      <c r="Z239" s="1">
        <f>VLOOKUP($E239,'Product Naming'!$A$1:$P$58,9,FALSE)</f>
        <v>0</v>
      </c>
      <c r="AA239" s="1">
        <f>VLOOKUP($E239,'Product Naming'!$A$1:$P$58,10,FALSE)</f>
        <v>-1</v>
      </c>
      <c r="AB239" s="29">
        <f>VLOOKUP($E239,'Product Naming'!$A$1:$P$58,11,FALSE)</f>
        <v>3.6666666666666665</v>
      </c>
      <c r="AC239" s="3">
        <f>VLOOKUP($E239,'Product Naming'!$A$1:$P$58,12,FALSE)</f>
        <v>71.053619999999995</v>
      </c>
      <c r="AD239" s="1">
        <f>VLOOKUP($E239,'Product Naming'!$A$1:$P$58,13,FALSE)</f>
        <v>80</v>
      </c>
      <c r="AE239" s="1" t="str">
        <f>VLOOKUP($E239,'Product Naming'!$A$1:$P$58,14,FALSE)</f>
        <v>Carboxylate</v>
      </c>
      <c r="AF239" s="1" t="str">
        <f>VLOOKUP($E239,'Product Naming'!$A$1:$P$58,15,FALSE)</f>
        <v>Glyceraldehyde 3-P</v>
      </c>
      <c r="AG239" s="30" t="str">
        <f>VLOOKUP($E239,'Product Naming'!$A$1:$P$58,16,FALSE)</f>
        <v>Proton symporter</v>
      </c>
      <c r="AH239" s="3" t="str">
        <f>VLOOKUP($E239,'Product Naming'!$A$1:$Q$58,17,FALSE)</f>
        <v>acryl_c</v>
      </c>
      <c r="AI239" s="1">
        <f>VLOOKUP($E239,'Product Parameters'!$A$2:$D$59,2,FALSE)</f>
        <v>1</v>
      </c>
      <c r="AJ239" s="1">
        <f>VLOOKUP($E239,'Product Parameters'!$A$2:$D$59,3,FALSE)</f>
        <v>0</v>
      </c>
      <c r="AK239" s="1">
        <f>VLOOKUP($E239,'Product Parameters'!$A$2:$D$59,4,FALSE)</f>
        <v>0.12</v>
      </c>
      <c r="AL239" s="1">
        <f>VLOOKUP($E239,'Product Parameters'!$A$2:$E$59,5,FALSE)</f>
        <v>53.1</v>
      </c>
      <c r="AM239" s="1">
        <f>VLOOKUP($E239,'Product Parameters'!$A$2:$F$59,6,FALSE)</f>
        <v>3</v>
      </c>
      <c r="AN239" s="1">
        <f>VLOOKUP($C239,'Substrate Heating'!$A$2:$C$33,3,FALSE)</f>
        <v>247.59097</v>
      </c>
      <c r="AO239" s="1">
        <f>VLOOKUP($C239,'Substrate Heating'!$A$2:$B$33,2,FALSE)</f>
        <v>5.5</v>
      </c>
      <c r="AP239" s="1">
        <f>VLOOKUP($C239,'Substrate Heating'!$A$2:$M$33,13,FALSE)</f>
        <v>1</v>
      </c>
      <c r="AQ239" s="1">
        <f>VLOOKUP($C239,'Substrate Heating'!$A$2:$M$33,8,FALSE)</f>
        <v>1</v>
      </c>
      <c r="AR239" s="1">
        <f t="shared" si="3"/>
        <v>0.21876923076923069</v>
      </c>
    </row>
    <row r="240" spans="1:44" x14ac:dyDescent="0.2">
      <c r="A240" s="8" t="s">
        <v>34</v>
      </c>
      <c r="B240" s="9" t="s">
        <v>35</v>
      </c>
      <c r="C240" s="1" t="s">
        <v>339</v>
      </c>
      <c r="D240" s="23" t="s">
        <v>338</v>
      </c>
      <c r="E240" s="1" t="s">
        <v>254</v>
      </c>
      <c r="F240" s="1" t="s">
        <v>255</v>
      </c>
      <c r="G240" s="1">
        <v>-10</v>
      </c>
      <c r="H240" s="1">
        <v>-20</v>
      </c>
      <c r="I240" s="1" t="s">
        <v>40</v>
      </c>
      <c r="J240" s="1">
        <v>3.15</v>
      </c>
      <c r="K240" s="1">
        <v>-10</v>
      </c>
      <c r="L240" s="1">
        <v>-3.1769230769230798</v>
      </c>
      <c r="M240" s="1" t="s">
        <v>40</v>
      </c>
      <c r="N240" s="1">
        <v>7.97435897435897</v>
      </c>
      <c r="O240" s="1">
        <v>0.40512820512820502</v>
      </c>
      <c r="Q240" s="1">
        <v>4.0512820512820499E-2</v>
      </c>
      <c r="R240" s="1">
        <v>0.112730001831597</v>
      </c>
      <c r="S240" s="1" t="str">
        <f>VLOOKUP($E240,'Product Naming'!$A$1:$P$58,2,FALSE)</f>
        <v>Itaconate</v>
      </c>
      <c r="T240" s="1" t="str">
        <f>VLOOKUP($E240,'Product Naming'!$A$1:$P$58,3,FALSE)</f>
        <v>Itaconate</v>
      </c>
      <c r="U240" s="1" t="str">
        <f>VLOOKUP($E240,'Product Naming'!$A$1:$P$58,4,FALSE)</f>
        <v>E</v>
      </c>
      <c r="V240" s="1" t="str">
        <f>VLOOKUP($E240,'Product Naming'!$A$1:$P$58,5,FALSE)</f>
        <v>C5H4O4</v>
      </c>
      <c r="W240" s="1">
        <f>VLOOKUP($E240,'Product Naming'!$A$1:$P$58,6,FALSE)</f>
        <v>5</v>
      </c>
      <c r="X240" s="1">
        <f>VLOOKUP($E240,'Product Naming'!$A$1:$P$58,7,FALSE)</f>
        <v>4</v>
      </c>
      <c r="Y240" s="1">
        <f>VLOOKUP($E240,'Product Naming'!$A$1:$P$58,8,FALSE)</f>
        <v>4</v>
      </c>
      <c r="Z240" s="1">
        <f>VLOOKUP($E240,'Product Naming'!$A$1:$P$58,9,FALSE)</f>
        <v>0</v>
      </c>
      <c r="AA240" s="1">
        <f>VLOOKUP($E240,'Product Naming'!$A$1:$P$58,10,FALSE)</f>
        <v>-2</v>
      </c>
      <c r="AB240" s="29">
        <f>VLOOKUP($E240,'Product Naming'!$A$1:$P$58,11,FALSE)</f>
        <v>3.2</v>
      </c>
      <c r="AC240" s="3">
        <f>VLOOKUP($E240,'Product Naming'!$A$1:$P$58,12,FALSE)</f>
        <v>128.08086</v>
      </c>
      <c r="AD240" s="1">
        <f>VLOOKUP($E240,'Product Naming'!$A$1:$P$58,13,FALSE)</f>
        <v>381</v>
      </c>
      <c r="AE240" s="1" t="str">
        <f>VLOOKUP($E240,'Product Naming'!$A$1:$P$58,14,FALSE)</f>
        <v>Dicarboxylate</v>
      </c>
      <c r="AF240" s="1" t="str">
        <f>VLOOKUP($E240,'Product Naming'!$A$1:$P$58,15,FALSE)</f>
        <v>Acetyl-CoA + Oxaloacetate</v>
      </c>
      <c r="AG240" s="30" t="str">
        <f>VLOOKUP($E240,'Product Naming'!$A$1:$P$58,16,FALSE)</f>
        <v>Proton symporter</v>
      </c>
      <c r="AH240" s="3" t="str">
        <f>VLOOKUP($E240,'Product Naming'!$A$1:$Q$58,17,FALSE)</f>
        <v>itacon_c</v>
      </c>
      <c r="AI240" s="1">
        <f>VLOOKUP($E240,'Product Parameters'!$A$2:$D$59,2,FALSE)</f>
        <v>1</v>
      </c>
      <c r="AJ240" s="1">
        <f>VLOOKUP($E240,'Product Parameters'!$A$2:$D$59,3,FALSE)</f>
        <v>0</v>
      </c>
      <c r="AK240" s="1">
        <f>VLOOKUP($E240,'Product Parameters'!$A$2:$D$59,4,FALSE)</f>
        <v>0.12</v>
      </c>
      <c r="AL240" s="1">
        <f>VLOOKUP($E240,'Product Parameters'!$A$2:$E$59,5,FALSE)</f>
        <v>40.65</v>
      </c>
      <c r="AM240" s="1">
        <f>VLOOKUP($E240,'Product Parameters'!$A$2:$F$59,6,FALSE)</f>
        <v>5</v>
      </c>
      <c r="AN240" s="1">
        <f>VLOOKUP($C240,'Substrate Heating'!$A$2:$C$33,3,FALSE)</f>
        <v>247.59097</v>
      </c>
      <c r="AO240" s="1">
        <f>VLOOKUP($C240,'Substrate Heating'!$A$2:$B$33,2,FALSE)</f>
        <v>5.5</v>
      </c>
      <c r="AP240" s="1">
        <f>VLOOKUP($C240,'Substrate Heating'!$A$2:$M$33,13,FALSE)</f>
        <v>1</v>
      </c>
      <c r="AQ240" s="1">
        <f>VLOOKUP($C240,'Substrate Heating'!$A$2:$M$33,8,FALSE)</f>
        <v>1</v>
      </c>
      <c r="AR240" s="1">
        <f t="shared" si="3"/>
        <v>0.20256410256410251</v>
      </c>
    </row>
    <row r="241" spans="1:44" x14ac:dyDescent="0.2">
      <c r="A241" s="17" t="s">
        <v>323</v>
      </c>
      <c r="B241" s="18" t="s">
        <v>324</v>
      </c>
      <c r="C241" t="s">
        <v>333</v>
      </c>
      <c r="D241" s="19" t="s">
        <v>326</v>
      </c>
      <c r="E241" t="s">
        <v>308</v>
      </c>
      <c r="F241" t="s">
        <v>309</v>
      </c>
      <c r="G241">
        <v>-10</v>
      </c>
      <c r="H241">
        <v>0</v>
      </c>
      <c r="I241">
        <v>0</v>
      </c>
      <c r="J241">
        <v>0.45</v>
      </c>
      <c r="K241">
        <v>-10</v>
      </c>
      <c r="L241">
        <v>0</v>
      </c>
      <c r="M241">
        <v>0</v>
      </c>
      <c r="N241">
        <v>5</v>
      </c>
      <c r="O241">
        <v>0.30140845070422601</v>
      </c>
      <c r="P241"/>
      <c r="Q241">
        <v>3.0140845070422601E-2</v>
      </c>
      <c r="R241">
        <v>0.11337486704819701</v>
      </c>
      <c r="S241" s="1" t="str">
        <f>VLOOKUP($E241,'Product Naming'!$A$1:$P$58,2,FALSE)</f>
        <v>Shikimate</v>
      </c>
      <c r="T241" s="1" t="str">
        <f>VLOOKUP($E241,'Product Naming'!$A$1:$P$58,3,FALSE)</f>
        <v>Shikimate</v>
      </c>
      <c r="U241" s="1" t="str">
        <f>VLOOKUP($E241,'Product Naming'!$A$1:$P$58,4,FALSE)</f>
        <v>E</v>
      </c>
      <c r="V241" s="1" t="str">
        <f>VLOOKUP($E241,'Product Naming'!$A$1:$P$58,5,FALSE)</f>
        <v>C7H9O5</v>
      </c>
      <c r="W241" s="1">
        <f>VLOOKUP($E241,'Product Naming'!$A$1:$P$58,6,FALSE)</f>
        <v>7</v>
      </c>
      <c r="X241" s="1">
        <f>VLOOKUP($E241,'Product Naming'!$A$1:$P$58,7,FALSE)</f>
        <v>9</v>
      </c>
      <c r="Y241" s="1">
        <f>VLOOKUP($E241,'Product Naming'!$A$1:$P$58,8,FALSE)</f>
        <v>5</v>
      </c>
      <c r="Z241" s="1">
        <f>VLOOKUP($E241,'Product Naming'!$A$1:$P$58,9,FALSE)</f>
        <v>0</v>
      </c>
      <c r="AA241" s="1">
        <f>VLOOKUP($E241,'Product Naming'!$A$1:$P$58,10,FALSE)</f>
        <v>-1</v>
      </c>
      <c r="AB241" s="29">
        <f>VLOOKUP($E241,'Product Naming'!$A$1:$P$58,11,FALSE)</f>
        <v>3.8571428571428572</v>
      </c>
      <c r="AC241" s="3">
        <f>VLOOKUP($E241,'Product Naming'!$A$1:$P$58,12,FALSE)</f>
        <v>173.14046000000002</v>
      </c>
      <c r="AD241" s="1">
        <f>VLOOKUP($E241,'Product Naming'!$A$1:$P$58,13,FALSE)</f>
        <v>400.5</v>
      </c>
      <c r="AE241" s="1" t="str">
        <f>VLOOKUP($E241,'Product Naming'!$A$1:$P$58,14,FALSE)</f>
        <v>Aromatic + Alcohol + Carboxylate</v>
      </c>
      <c r="AF241" s="1" t="str">
        <f>VLOOKUP($E241,'Product Naming'!$A$1:$P$58,15,FALSE)</f>
        <v>PEP + E4P (Glyceraldehyde 3-P)</v>
      </c>
      <c r="AG241" s="30" t="str">
        <f>VLOOKUP($E241,'Product Naming'!$A$1:$P$58,16,FALSE)</f>
        <v>Proton symporter</v>
      </c>
      <c r="AH241" s="3" t="str">
        <f>VLOOKUP($E241,'Product Naming'!$A$1:$Q$58,17,FALSE)</f>
        <v>skm_c</v>
      </c>
      <c r="AI241" s="1">
        <f>VLOOKUP($E241,'Product Parameters'!$A$2:$D$59,2,FALSE)</f>
        <v>1</v>
      </c>
      <c r="AJ241" s="1">
        <f>VLOOKUP($E241,'Product Parameters'!$A$2:$D$59,3,FALSE)</f>
        <v>0</v>
      </c>
      <c r="AK241" s="1">
        <f>VLOOKUP($E241,'Product Parameters'!$A$2:$D$59,4,FALSE)</f>
        <v>0.12</v>
      </c>
      <c r="AL241" s="1">
        <f>VLOOKUP($E241,'Product Parameters'!$A$2:$E$59,5,FALSE)</f>
        <v>40.65</v>
      </c>
      <c r="AM241" s="1">
        <f>VLOOKUP($E241,'Product Parameters'!$A$2:$F$59,6,FALSE)</f>
        <v>7</v>
      </c>
      <c r="AN241" s="1">
        <f>VLOOKUP($C241,'Substrate Heating'!$A$2:$C$33,3,FALSE)</f>
        <v>247.59097</v>
      </c>
      <c r="AO241" s="1">
        <f>VLOOKUP($C241,'Substrate Heating'!$A$2:$B$33,2,FALSE)</f>
        <v>5.5</v>
      </c>
      <c r="AP241" s="1">
        <f>VLOOKUP($C241,'Substrate Heating'!$A$2:$M$33,13,FALSE)</f>
        <v>1</v>
      </c>
      <c r="AQ241" s="1">
        <f>VLOOKUP($C241,'Substrate Heating'!$A$2:$M$33,8,FALSE)</f>
        <v>1</v>
      </c>
      <c r="AR241" s="1">
        <f t="shared" si="3"/>
        <v>0.2109859154929582</v>
      </c>
    </row>
    <row r="242" spans="1:44" x14ac:dyDescent="0.2">
      <c r="A242" s="17" t="s">
        <v>323</v>
      </c>
      <c r="B242" s="18" t="s">
        <v>324</v>
      </c>
      <c r="C242" t="s">
        <v>327</v>
      </c>
      <c r="D242" s="19" t="s">
        <v>326</v>
      </c>
      <c r="E242" t="s">
        <v>108</v>
      </c>
      <c r="F242" t="s">
        <v>109</v>
      </c>
      <c r="G242">
        <v>-10</v>
      </c>
      <c r="H242">
        <v>0</v>
      </c>
      <c r="I242">
        <v>-5</v>
      </c>
      <c r="J242">
        <v>0.45</v>
      </c>
      <c r="K242">
        <v>-10</v>
      </c>
      <c r="L242">
        <v>0</v>
      </c>
      <c r="M242">
        <v>-5</v>
      </c>
      <c r="N242">
        <v>2.9109004739336499</v>
      </c>
      <c r="O242">
        <v>0.27393364928909902</v>
      </c>
      <c r="P242"/>
      <c r="Q242">
        <v>2.7393364928910001E-2</v>
      </c>
      <c r="R242">
        <v>0.113412797449708</v>
      </c>
      <c r="S242" s="1" t="str">
        <f>VLOOKUP($E242,'Product Naming'!$A$1:$P$58,2,FALSE)</f>
        <v>4-Hydroxystyrene</v>
      </c>
      <c r="T242" s="1" t="str">
        <f>VLOOKUP($E242,'Product Naming'!$A$1:$P$58,3,FALSE)</f>
        <v>4-Hydroxystyrene</v>
      </c>
      <c r="U242" s="1" t="str">
        <f>VLOOKUP($E242,'Product Naming'!$A$1:$P$58,4,FALSE)</f>
        <v>E</v>
      </c>
      <c r="V242" s="1" t="str">
        <f>VLOOKUP($E242,'Product Naming'!$A$1:$P$58,5,FALSE)</f>
        <v>C8H8O</v>
      </c>
      <c r="W242" s="1">
        <f>VLOOKUP($E242,'Product Naming'!$A$1:$P$58,6,FALSE)</f>
        <v>8</v>
      </c>
      <c r="X242" s="1">
        <f>VLOOKUP($E242,'Product Naming'!$A$1:$P$58,7,FALSE)</f>
        <v>8</v>
      </c>
      <c r="Y242" s="1">
        <f>VLOOKUP($E242,'Product Naming'!$A$1:$P$58,8,FALSE)</f>
        <v>1</v>
      </c>
      <c r="Z242" s="1">
        <f>VLOOKUP($E242,'Product Naming'!$A$1:$P$58,9,FALSE)</f>
        <v>0</v>
      </c>
      <c r="AA242" s="1">
        <f>VLOOKUP($E242,'Product Naming'!$A$1:$P$58,10,FALSE)</f>
        <v>0</v>
      </c>
      <c r="AB242" s="29">
        <f>VLOOKUP($E242,'Product Naming'!$A$1:$P$58,11,FALSE)</f>
        <v>4.75</v>
      </c>
      <c r="AC242" s="3">
        <f>VLOOKUP($E242,'Product Naming'!$A$1:$P$58,12,FALSE)</f>
        <v>120.14731999999999</v>
      </c>
      <c r="AD242" s="1">
        <f>VLOOKUP($E242,'Product Naming'!$A$1:$P$58,13,FALSE)</f>
        <v>229</v>
      </c>
      <c r="AE242" s="1" t="str">
        <f>VLOOKUP($E242,'Product Naming'!$A$1:$P$58,14,FALSE)</f>
        <v>Aromatic + Alcohol</v>
      </c>
      <c r="AF242" s="1" t="str">
        <f>VLOOKUP($E242,'Product Naming'!$A$1:$P$58,15,FALSE)</f>
        <v>E4P + L-glutamate</v>
      </c>
      <c r="AG242" s="30" t="str">
        <f>VLOOKUP($E242,'Product Naming'!$A$1:$P$58,16,FALSE)</f>
        <v>Proton symporter</v>
      </c>
      <c r="AH242" s="3" t="str">
        <f>VLOOKUP($E242,'Product Naming'!$A$1:$Q$58,17,FALSE)</f>
        <v>4hxst_c</v>
      </c>
      <c r="AI242" s="1">
        <f>VLOOKUP($E242,'Product Parameters'!$A$2:$D$59,2,FALSE)</f>
        <v>1</v>
      </c>
      <c r="AJ242" s="1">
        <f>VLOOKUP($E242,'Product Parameters'!$A$2:$D$59,3,FALSE)</f>
        <v>0</v>
      </c>
      <c r="AK242" s="1">
        <f>VLOOKUP($E242,'Product Parameters'!$A$2:$D$59,4,FALSE)</f>
        <v>0.12</v>
      </c>
      <c r="AL242" s="1">
        <f>VLOOKUP($E242,'Product Parameters'!$A$2:$E$59,5,FALSE)</f>
        <v>40.65</v>
      </c>
      <c r="AM242" s="1">
        <f>VLOOKUP($E242,'Product Parameters'!$A$2:$F$59,6,FALSE)</f>
        <v>8</v>
      </c>
      <c r="AN242" s="1">
        <f>VLOOKUP($C242,'Substrate Heating'!$A$2:$C$33,3,FALSE)</f>
        <v>269.26666666666665</v>
      </c>
      <c r="AO242" s="1">
        <f>VLOOKUP($C242,'Substrate Heating'!$A$2:$B$33,2,FALSE)</f>
        <v>13.919167510409219</v>
      </c>
      <c r="AP242" s="1">
        <f>VLOOKUP($C242,'Substrate Heating'!$A$2:$M$33,13,FALSE)</f>
        <v>1.3333333333333333</v>
      </c>
      <c r="AQ242" s="1">
        <f>VLOOKUP($C242,'Substrate Heating'!$A$2:$M$33,8,FALSE)</f>
        <v>0.66666666666666663</v>
      </c>
      <c r="AR242" s="1">
        <f t="shared" si="3"/>
        <v>0.32872037914692004</v>
      </c>
    </row>
    <row r="243" spans="1:44" x14ac:dyDescent="0.2">
      <c r="A243" s="8" t="s">
        <v>809</v>
      </c>
      <c r="B243" s="18" t="s">
        <v>324</v>
      </c>
      <c r="C243" t="s">
        <v>808</v>
      </c>
      <c r="D243" s="19" t="s">
        <v>326</v>
      </c>
      <c r="E243" t="s">
        <v>209</v>
      </c>
      <c r="F243" t="s">
        <v>210</v>
      </c>
      <c r="G243">
        <v>-10</v>
      </c>
      <c r="H243">
        <v>0</v>
      </c>
      <c r="I243">
        <v>-20</v>
      </c>
      <c r="J243">
        <v>0.45</v>
      </c>
      <c r="K243">
        <v>-9.6894117647058806</v>
      </c>
      <c r="L243">
        <v>0</v>
      </c>
      <c r="M243">
        <v>-20</v>
      </c>
      <c r="N243">
        <v>-9.6894117647058806</v>
      </c>
      <c r="O243">
        <v>0.621176470588237</v>
      </c>
      <c r="P243"/>
      <c r="Q243">
        <v>6.4108790675085195E-2</v>
      </c>
      <c r="R243">
        <v>0.11457016538556999</v>
      </c>
      <c r="S243" s="1" t="str">
        <f>VLOOKUP($E243,'Product Naming'!$A$1:$P$58,2,FALSE)</f>
        <v>GammaButyrolactone</v>
      </c>
      <c r="T243" s="1" t="str">
        <f>VLOOKUP($E243,'Product Naming'!$A$1:$P$58,3,FALSE)</f>
        <v>Gamma butyrolactone</v>
      </c>
      <c r="U243" s="1" t="str">
        <f>VLOOKUP($E243,'Product Naming'!$A$1:$P$58,4,FALSE)</f>
        <v>A</v>
      </c>
      <c r="V243" s="1" t="str">
        <f>VLOOKUP($E243,'Product Naming'!$A$1:$P$58,5,FALSE)</f>
        <v>C4H6O2</v>
      </c>
      <c r="W243" s="1">
        <f>VLOOKUP($E243,'Product Naming'!$A$1:$P$58,6,FALSE)</f>
        <v>4</v>
      </c>
      <c r="X243" s="1">
        <f>VLOOKUP($E243,'Product Naming'!$A$1:$P$58,7,FALSE)</f>
        <v>6</v>
      </c>
      <c r="Y243" s="1">
        <f>VLOOKUP($E243,'Product Naming'!$A$1:$P$58,8,FALSE)</f>
        <v>2</v>
      </c>
      <c r="Z243" s="1">
        <f>VLOOKUP($E243,'Product Naming'!$A$1:$P$58,9,FALSE)</f>
        <v>0</v>
      </c>
      <c r="AA243" s="1">
        <f>VLOOKUP($E243,'Product Naming'!$A$1:$P$58,10,FALSE)</f>
        <v>0</v>
      </c>
      <c r="AB243" s="29">
        <f>VLOOKUP($E243,'Product Naming'!$A$1:$P$58,11,FALSE)</f>
        <v>4.5</v>
      </c>
      <c r="AC243" s="3">
        <f>VLOOKUP($E243,'Product Naming'!$A$1:$P$58,12,FALSE)</f>
        <v>86.08784</v>
      </c>
      <c r="AD243" s="1">
        <f>VLOOKUP($E243,'Product Naming'!$A$1:$P$58,13,FALSE)</f>
        <v>204</v>
      </c>
      <c r="AE243" s="1" t="str">
        <f>VLOOKUP($E243,'Product Naming'!$A$1:$P$58,14,FALSE)</f>
        <v>Lactone (cyclic ester)</v>
      </c>
      <c r="AF243" s="1" t="str">
        <f>VLOOKUP($E243,'Product Naming'!$A$1:$P$58,15,FALSE)</f>
        <v>aKG</v>
      </c>
      <c r="AG243" s="30" t="str">
        <f>VLOOKUP($E243,'Product Naming'!$A$1:$P$58,16,FALSE)</f>
        <v>Proton symporter</v>
      </c>
      <c r="AH243" s="3" t="str">
        <f>VLOOKUP($E243,'Product Naming'!$A$1:$Q$58,17,FALSE)</f>
        <v>gblt_c</v>
      </c>
      <c r="AI243" s="1">
        <f>VLOOKUP($E243,'Product Parameters'!$A$2:$D$59,2,FALSE)</f>
        <v>1</v>
      </c>
      <c r="AJ243" s="1">
        <f>VLOOKUP($E243,'Product Parameters'!$A$2:$D$59,3,FALSE)</f>
        <v>0</v>
      </c>
      <c r="AK243" s="1">
        <f>VLOOKUP($E243,'Product Parameters'!$A$2:$D$59,4,FALSE)</f>
        <v>0.12</v>
      </c>
      <c r="AL243" s="1">
        <f>VLOOKUP($E243,'Product Parameters'!$A$2:$E$59,5,FALSE)</f>
        <v>0</v>
      </c>
      <c r="AM243" s="1">
        <f>VLOOKUP($E243,'Product Parameters'!$A$2:$F$59,6,FALSE)</f>
        <v>4</v>
      </c>
      <c r="AN243" s="1">
        <f>VLOOKUP($C243,'Substrate Heating'!$A$2:$C$33,3,FALSE)</f>
        <v>120.9</v>
      </c>
      <c r="AO243" s="1">
        <f>VLOOKUP($C243,'Substrate Heating'!$A$2:$B$33,2,FALSE)</f>
        <v>5.2537372583834907</v>
      </c>
      <c r="AP243" s="1">
        <f>VLOOKUP($C243,'Substrate Heating'!$A$2:$M$33,13,FALSE)</f>
        <v>0</v>
      </c>
      <c r="AQ243" s="1">
        <f>VLOOKUP($C243,'Substrate Heating'!$A$2:$M$33,8,FALSE)</f>
        <v>0.33333333333333331</v>
      </c>
      <c r="AR243" s="1">
        <f t="shared" si="3"/>
        <v>0.76930548810102239</v>
      </c>
    </row>
    <row r="244" spans="1:44" x14ac:dyDescent="0.2">
      <c r="A244" s="17" t="s">
        <v>323</v>
      </c>
      <c r="B244" s="18" t="s">
        <v>324</v>
      </c>
      <c r="C244" t="s">
        <v>335</v>
      </c>
      <c r="D244" s="19" t="s">
        <v>326</v>
      </c>
      <c r="E244" t="s">
        <v>192</v>
      </c>
      <c r="F244" t="s">
        <v>193</v>
      </c>
      <c r="G244">
        <v>-10</v>
      </c>
      <c r="H244">
        <v>0</v>
      </c>
      <c r="I244">
        <v>-10</v>
      </c>
      <c r="J244">
        <v>0.45</v>
      </c>
      <c r="K244">
        <v>-10</v>
      </c>
      <c r="L244">
        <v>0</v>
      </c>
      <c r="M244">
        <v>-10</v>
      </c>
      <c r="N244">
        <v>0.16930232558139499</v>
      </c>
      <c r="O244">
        <v>0.33860465116278998</v>
      </c>
      <c r="P244"/>
      <c r="Q244">
        <v>3.3860465116279097E-2</v>
      </c>
      <c r="R244">
        <v>0.114970223637125</v>
      </c>
      <c r="S244" s="1" t="str">
        <f>VLOOKUP($E244,'Product Naming'!$A$1:$P$58,2,FALSE)</f>
        <v>Coumaric acid</v>
      </c>
      <c r="T244" s="1" t="str">
        <f>VLOOKUP($E244,'Product Naming'!$A$1:$P$58,3,FALSE)</f>
        <v>Coumaric acid</v>
      </c>
      <c r="U244" s="1" t="str">
        <f>VLOOKUP($E244,'Product Naming'!$A$1:$P$58,4,FALSE)</f>
        <v>E</v>
      </c>
      <c r="V244" s="1" t="str">
        <f>VLOOKUP($E244,'Product Naming'!$A$1:$P$58,5,FALSE)</f>
        <v>C9H7O3</v>
      </c>
      <c r="W244" s="1">
        <f>VLOOKUP($E244,'Product Naming'!$A$1:$P$58,6,FALSE)</f>
        <v>9</v>
      </c>
      <c r="X244" s="1">
        <f>VLOOKUP($E244,'Product Naming'!$A$1:$P$58,7,FALSE)</f>
        <v>7</v>
      </c>
      <c r="Y244" s="1">
        <f>VLOOKUP($E244,'Product Naming'!$A$1:$P$58,8,FALSE)</f>
        <v>3</v>
      </c>
      <c r="Z244" s="1">
        <f>VLOOKUP($E244,'Product Naming'!$A$1:$P$58,9,FALSE)</f>
        <v>0</v>
      </c>
      <c r="AA244" s="1">
        <f>VLOOKUP($E244,'Product Naming'!$A$1:$P$58,10,FALSE)</f>
        <v>-1</v>
      </c>
      <c r="AB244" s="29">
        <f>VLOOKUP($E244,'Product Naming'!$A$1:$P$58,11,FALSE)</f>
        <v>4.1111111111111107</v>
      </c>
      <c r="AC244" s="3">
        <f>VLOOKUP($E244,'Product Naming'!$A$1:$P$58,12,FALSE)</f>
        <v>163.14818</v>
      </c>
      <c r="AD244" s="1">
        <f>VLOOKUP($E244,'Product Naming'!$A$1:$P$58,13,FALSE)</f>
        <v>346</v>
      </c>
      <c r="AE244" s="1" t="str">
        <f>VLOOKUP($E244,'Product Naming'!$A$1:$P$58,14,FALSE)</f>
        <v>Aromatic + Alcohol + Carboxylate</v>
      </c>
      <c r="AF244" s="1" t="str">
        <f>VLOOKUP($E244,'Product Naming'!$A$1:$P$58,15,FALSE)</f>
        <v>E4P + L-glutamate</v>
      </c>
      <c r="AG244" s="30" t="str">
        <f>VLOOKUP($E244,'Product Naming'!$A$1:$P$58,16,FALSE)</f>
        <v>Proton symporter</v>
      </c>
      <c r="AH244" s="3" t="str">
        <f>VLOOKUP($E244,'Product Naming'!$A$1:$Q$58,17,FALSE)</f>
        <v>T4hcinnm_c</v>
      </c>
      <c r="AI244" s="1">
        <f>VLOOKUP($E244,'Product Parameters'!$A$2:$D$59,2,FALSE)</f>
        <v>1</v>
      </c>
      <c r="AJ244" s="1">
        <f>VLOOKUP($E244,'Product Parameters'!$A$2:$D$59,3,FALSE)</f>
        <v>0</v>
      </c>
      <c r="AK244" s="1">
        <f>VLOOKUP($E244,'Product Parameters'!$A$2:$D$59,4,FALSE)</f>
        <v>0.12</v>
      </c>
      <c r="AL244" s="1">
        <f>VLOOKUP($E244,'Product Parameters'!$A$2:$E$59,5,FALSE)</f>
        <v>40.65</v>
      </c>
      <c r="AM244" s="1">
        <f>VLOOKUP($E244,'Product Parameters'!$A$2:$F$59,6,FALSE)</f>
        <v>9</v>
      </c>
      <c r="AN244" s="1">
        <f>VLOOKUP($C244,'Substrate Heating'!$A$2:$C$33,3,FALSE)</f>
        <v>247.9</v>
      </c>
      <c r="AO244" s="1">
        <f>VLOOKUP($C244,'Substrate Heating'!$A$2:$B$33,2,FALSE)</f>
        <v>10.541709491918519</v>
      </c>
      <c r="AP244" s="1">
        <f>VLOOKUP($C244,'Substrate Heating'!$A$2:$M$33,13,FALSE)</f>
        <v>0.5</v>
      </c>
      <c r="AQ244" s="1">
        <f>VLOOKUP($C244,'Substrate Heating'!$A$2:$M$33,8,FALSE)</f>
        <v>0.5</v>
      </c>
      <c r="AR244" s="1">
        <f t="shared" si="3"/>
        <v>0.60948837209302376</v>
      </c>
    </row>
    <row r="245" spans="1:44" x14ac:dyDescent="0.2">
      <c r="A245" s="17" t="s">
        <v>323</v>
      </c>
      <c r="B245" s="18" t="s">
        <v>324</v>
      </c>
      <c r="C245" t="s">
        <v>333</v>
      </c>
      <c r="D245" s="19" t="s">
        <v>326</v>
      </c>
      <c r="E245" t="s">
        <v>295</v>
      </c>
      <c r="F245" t="s">
        <v>292</v>
      </c>
      <c r="G245">
        <v>-10</v>
      </c>
      <c r="H245">
        <v>0</v>
      </c>
      <c r="I245">
        <v>0</v>
      </c>
      <c r="J245">
        <v>0.45</v>
      </c>
      <c r="K245">
        <v>-10</v>
      </c>
      <c r="L245">
        <v>0</v>
      </c>
      <c r="M245">
        <v>0</v>
      </c>
      <c r="N245">
        <v>6.5070422535211296</v>
      </c>
      <c r="O245">
        <v>0.60281690140845101</v>
      </c>
      <c r="P245"/>
      <c r="Q245">
        <v>6.0281690140845098E-2</v>
      </c>
      <c r="R245">
        <v>0.115439300418322</v>
      </c>
      <c r="S245" s="1" t="str">
        <f>VLOOKUP($E245,'Product Naming'!$A$1:$P$58,2,FALSE)</f>
        <v>Pentanol-PW2</v>
      </c>
      <c r="T245" s="1" t="str">
        <f>VLOOKUP($E245,'Product Naming'!$A$1:$P$58,3,FALSE)</f>
        <v>Pentanol (PW2)</v>
      </c>
      <c r="U245" s="1" t="str">
        <f>VLOOKUP($E245,'Product Naming'!$A$1:$P$58,4,FALSE)</f>
        <v>E</v>
      </c>
      <c r="V245" s="1" t="str">
        <f>VLOOKUP($E245,'Product Naming'!$A$1:$P$58,5,FALSE)</f>
        <v>C5H12O</v>
      </c>
      <c r="W245" s="1">
        <f>VLOOKUP($E245,'Product Naming'!$A$1:$P$58,6,FALSE)</f>
        <v>5</v>
      </c>
      <c r="X245" s="1">
        <f>VLOOKUP($E245,'Product Naming'!$A$1:$P$58,7,FALSE)</f>
        <v>12</v>
      </c>
      <c r="Y245" s="1">
        <f>VLOOKUP($E245,'Product Naming'!$A$1:$P$58,8,FALSE)</f>
        <v>1</v>
      </c>
      <c r="Z245" s="1">
        <f>VLOOKUP($E245,'Product Naming'!$A$1:$P$58,9,FALSE)</f>
        <v>0</v>
      </c>
      <c r="AA245" s="1">
        <f>VLOOKUP($E245,'Product Naming'!$A$1:$P$58,10,FALSE)</f>
        <v>0</v>
      </c>
      <c r="AB245" s="29">
        <f>VLOOKUP($E245,'Product Naming'!$A$1:$P$58,11,FALSE)</f>
        <v>6</v>
      </c>
      <c r="AC245" s="3">
        <f>VLOOKUP($E245,'Product Naming'!$A$1:$P$58,12,FALSE)</f>
        <v>88.14658</v>
      </c>
      <c r="AD245" s="1">
        <f>VLOOKUP($E245,'Product Naming'!$A$1:$P$58,13,FALSE)</f>
        <v>138</v>
      </c>
      <c r="AE245" s="1" t="str">
        <f>VLOOKUP($E245,'Product Naming'!$A$1:$P$58,14,FALSE)</f>
        <v>Alcohol</v>
      </c>
      <c r="AF245" s="1" t="str">
        <f>VLOOKUP($E245,'Product Naming'!$A$1:$P$58,15,FALSE)</f>
        <v>Oxaloacetate</v>
      </c>
      <c r="AG245" s="30" t="str">
        <f>VLOOKUP($E245,'Product Naming'!$A$1:$P$58,16,FALSE)</f>
        <v>Proton symporter</v>
      </c>
      <c r="AH245" s="3" t="str">
        <f>VLOOKUP($E245,'Product Naming'!$A$1:$Q$58,17,FALSE)</f>
        <v>pentoh_c</v>
      </c>
      <c r="AI245" s="1">
        <f>VLOOKUP($E245,'Product Parameters'!$A$2:$D$59,2,FALSE)</f>
        <v>1</v>
      </c>
      <c r="AJ245" s="1">
        <f>VLOOKUP($E245,'Product Parameters'!$A$2:$D$59,3,FALSE)</f>
        <v>0</v>
      </c>
      <c r="AK245" s="1">
        <f>VLOOKUP($E245,'Product Parameters'!$A$2:$D$59,4,FALSE)</f>
        <v>0.12</v>
      </c>
      <c r="AL245" s="1">
        <f>VLOOKUP($E245,'Product Parameters'!$A$2:$E$59,5,FALSE)</f>
        <v>57</v>
      </c>
      <c r="AM245" s="1">
        <f>VLOOKUP($E245,'Product Parameters'!$A$2:$F$59,6,FALSE)</f>
        <v>5</v>
      </c>
      <c r="AN245" s="1">
        <f>VLOOKUP($C245,'Substrate Heating'!$A$2:$C$33,3,FALSE)</f>
        <v>247.59097</v>
      </c>
      <c r="AO245" s="1">
        <f>VLOOKUP($C245,'Substrate Heating'!$A$2:$B$33,2,FALSE)</f>
        <v>5.5</v>
      </c>
      <c r="AP245" s="1">
        <f>VLOOKUP($C245,'Substrate Heating'!$A$2:$M$33,13,FALSE)</f>
        <v>1</v>
      </c>
      <c r="AQ245" s="1">
        <f>VLOOKUP($C245,'Substrate Heating'!$A$2:$M$33,8,FALSE)</f>
        <v>1</v>
      </c>
      <c r="AR245" s="1">
        <f t="shared" si="3"/>
        <v>0.30140845070422551</v>
      </c>
    </row>
    <row r="246" spans="1:44" x14ac:dyDescent="0.2">
      <c r="A246" s="17" t="s">
        <v>323</v>
      </c>
      <c r="B246" s="18" t="s">
        <v>324</v>
      </c>
      <c r="C246" t="s">
        <v>333</v>
      </c>
      <c r="D246" s="19" t="s">
        <v>326</v>
      </c>
      <c r="E246" t="s">
        <v>291</v>
      </c>
      <c r="F246" t="s">
        <v>292</v>
      </c>
      <c r="G246">
        <v>-10</v>
      </c>
      <c r="H246">
        <v>0</v>
      </c>
      <c r="I246">
        <v>0</v>
      </c>
      <c r="J246">
        <v>0.45</v>
      </c>
      <c r="K246">
        <v>-10</v>
      </c>
      <c r="L246">
        <v>0</v>
      </c>
      <c r="M246">
        <v>0</v>
      </c>
      <c r="N246">
        <v>6.5070422535211403</v>
      </c>
      <c r="O246">
        <v>0.60281690140845201</v>
      </c>
      <c r="P246"/>
      <c r="Q246">
        <v>6.0281690140845202E-2</v>
      </c>
      <c r="R246">
        <v>0.115439300418323</v>
      </c>
      <c r="S246" s="1" t="str">
        <f>VLOOKUP($E246,'Product Naming'!$A$1:$P$58,2,FALSE)</f>
        <v>Pentanol-PW1</v>
      </c>
      <c r="T246" s="1" t="str">
        <f>VLOOKUP($E246,'Product Naming'!$A$1:$P$58,3,FALSE)</f>
        <v>Pentanol (PW1)</v>
      </c>
      <c r="U246" s="1" t="str">
        <f>VLOOKUP($E246,'Product Naming'!$A$1:$P$58,4,FALSE)</f>
        <v>E</v>
      </c>
      <c r="V246" s="1" t="str">
        <f>VLOOKUP($E246,'Product Naming'!$A$1:$P$58,5,FALSE)</f>
        <v>C5H12O</v>
      </c>
      <c r="W246" s="1">
        <f>VLOOKUP($E246,'Product Naming'!$A$1:$P$58,6,FALSE)</f>
        <v>5</v>
      </c>
      <c r="X246" s="1">
        <f>VLOOKUP($E246,'Product Naming'!$A$1:$P$58,7,FALSE)</f>
        <v>12</v>
      </c>
      <c r="Y246" s="1">
        <f>VLOOKUP($E246,'Product Naming'!$A$1:$P$58,8,FALSE)</f>
        <v>1</v>
      </c>
      <c r="Z246" s="1">
        <f>VLOOKUP($E246,'Product Naming'!$A$1:$P$58,9,FALSE)</f>
        <v>0</v>
      </c>
      <c r="AA246" s="1">
        <f>VLOOKUP($E246,'Product Naming'!$A$1:$P$58,10,FALSE)</f>
        <v>0</v>
      </c>
      <c r="AB246" s="29">
        <f>VLOOKUP($E246,'Product Naming'!$A$1:$P$58,11,FALSE)</f>
        <v>6</v>
      </c>
      <c r="AC246" s="3">
        <f>VLOOKUP($E246,'Product Naming'!$A$1:$P$58,12,FALSE)</f>
        <v>88.14658</v>
      </c>
      <c r="AD246" s="1">
        <f>VLOOKUP($E246,'Product Naming'!$A$1:$P$58,13,FALSE)</f>
        <v>138</v>
      </c>
      <c r="AE246" s="1" t="str">
        <f>VLOOKUP($E246,'Product Naming'!$A$1:$P$58,14,FALSE)</f>
        <v>Alcohol</v>
      </c>
      <c r="AF246" s="1" t="str">
        <f>VLOOKUP($E246,'Product Naming'!$A$1:$P$58,15,FALSE)</f>
        <v>Acetyl-CoA + Succinyl-CoA</v>
      </c>
      <c r="AG246" s="30" t="str">
        <f>VLOOKUP($E246,'Product Naming'!$A$1:$P$58,16,FALSE)</f>
        <v>Proton symporter</v>
      </c>
      <c r="AH246" s="3" t="str">
        <f>VLOOKUP($E246,'Product Naming'!$A$1:$Q$58,17,FALSE)</f>
        <v>pentoh_c</v>
      </c>
      <c r="AI246" s="1">
        <f>VLOOKUP($E246,'Product Parameters'!$A$2:$D$59,2,FALSE)</f>
        <v>1</v>
      </c>
      <c r="AJ246" s="1">
        <f>VLOOKUP($E246,'Product Parameters'!$A$2:$D$59,3,FALSE)</f>
        <v>0</v>
      </c>
      <c r="AK246" s="1">
        <f>VLOOKUP($E246,'Product Parameters'!$A$2:$D$59,4,FALSE)</f>
        <v>0.12</v>
      </c>
      <c r="AL246" s="1">
        <f>VLOOKUP($E246,'Product Parameters'!$A$2:$E$59,5,FALSE)</f>
        <v>57</v>
      </c>
      <c r="AM246" s="1">
        <f>VLOOKUP($E246,'Product Parameters'!$A$2:$F$59,6,FALSE)</f>
        <v>5</v>
      </c>
      <c r="AN246" s="1">
        <f>VLOOKUP($C246,'Substrate Heating'!$A$2:$C$33,3,FALSE)</f>
        <v>247.59097</v>
      </c>
      <c r="AO246" s="1">
        <f>VLOOKUP($C246,'Substrate Heating'!$A$2:$B$33,2,FALSE)</f>
        <v>5.5</v>
      </c>
      <c r="AP246" s="1">
        <f>VLOOKUP($C246,'Substrate Heating'!$A$2:$M$33,13,FALSE)</f>
        <v>1</v>
      </c>
      <c r="AQ246" s="1">
        <f>VLOOKUP($C246,'Substrate Heating'!$A$2:$M$33,8,FALSE)</f>
        <v>1</v>
      </c>
      <c r="AR246" s="1">
        <f t="shared" si="3"/>
        <v>0.30140845070422601</v>
      </c>
    </row>
    <row r="247" spans="1:44" x14ac:dyDescent="0.2">
      <c r="A247" s="17" t="s">
        <v>323</v>
      </c>
      <c r="B247" s="18" t="s">
        <v>324</v>
      </c>
      <c r="C247" t="s">
        <v>325</v>
      </c>
      <c r="D247" s="19" t="s">
        <v>326</v>
      </c>
      <c r="E247" t="s">
        <v>192</v>
      </c>
      <c r="F247" t="s">
        <v>193</v>
      </c>
      <c r="G247">
        <v>-10</v>
      </c>
      <c r="H247">
        <v>0</v>
      </c>
      <c r="I247">
        <v>0</v>
      </c>
      <c r="J247">
        <v>0.45</v>
      </c>
      <c r="K247">
        <v>-10</v>
      </c>
      <c r="L247">
        <v>0</v>
      </c>
      <c r="M247">
        <v>0</v>
      </c>
      <c r="N247">
        <v>5.0995348837209296</v>
      </c>
      <c r="O247">
        <v>0.199069767441861</v>
      </c>
      <c r="P247"/>
      <c r="Q247">
        <v>1.9906976744186101E-2</v>
      </c>
      <c r="R247">
        <v>0.11595098268890699</v>
      </c>
      <c r="S247" s="1" t="str">
        <f>VLOOKUP($E247,'Product Naming'!$A$1:$P$58,2,FALSE)</f>
        <v>Coumaric acid</v>
      </c>
      <c r="T247" s="1" t="str">
        <f>VLOOKUP($E247,'Product Naming'!$A$1:$P$58,3,FALSE)</f>
        <v>Coumaric acid</v>
      </c>
      <c r="U247" s="1" t="str">
        <f>VLOOKUP($E247,'Product Naming'!$A$1:$P$58,4,FALSE)</f>
        <v>E</v>
      </c>
      <c r="V247" s="1" t="str">
        <f>VLOOKUP($E247,'Product Naming'!$A$1:$P$58,5,FALSE)</f>
        <v>C9H7O3</v>
      </c>
      <c r="W247" s="1">
        <f>VLOOKUP($E247,'Product Naming'!$A$1:$P$58,6,FALSE)</f>
        <v>9</v>
      </c>
      <c r="X247" s="1">
        <f>VLOOKUP($E247,'Product Naming'!$A$1:$P$58,7,FALSE)</f>
        <v>7</v>
      </c>
      <c r="Y247" s="1">
        <f>VLOOKUP($E247,'Product Naming'!$A$1:$P$58,8,FALSE)</f>
        <v>3</v>
      </c>
      <c r="Z247" s="1">
        <f>VLOOKUP($E247,'Product Naming'!$A$1:$P$58,9,FALSE)</f>
        <v>0</v>
      </c>
      <c r="AA247" s="1">
        <f>VLOOKUP($E247,'Product Naming'!$A$1:$P$58,10,FALSE)</f>
        <v>-1</v>
      </c>
      <c r="AB247" s="29">
        <f>VLOOKUP($E247,'Product Naming'!$A$1:$P$58,11,FALSE)</f>
        <v>4.1111111111111107</v>
      </c>
      <c r="AC247" s="3">
        <f>VLOOKUP($E247,'Product Naming'!$A$1:$P$58,12,FALSE)</f>
        <v>163.14818</v>
      </c>
      <c r="AD247" s="1">
        <f>VLOOKUP($E247,'Product Naming'!$A$1:$P$58,13,FALSE)</f>
        <v>346</v>
      </c>
      <c r="AE247" s="1" t="str">
        <f>VLOOKUP($E247,'Product Naming'!$A$1:$P$58,14,FALSE)</f>
        <v>Aromatic + Alcohol + Carboxylate</v>
      </c>
      <c r="AF247" s="1" t="str">
        <f>VLOOKUP($E247,'Product Naming'!$A$1:$P$58,15,FALSE)</f>
        <v>E4P + L-glutamate</v>
      </c>
      <c r="AG247" s="30" t="str">
        <f>VLOOKUP($E247,'Product Naming'!$A$1:$P$58,16,FALSE)</f>
        <v>Proton symporter</v>
      </c>
      <c r="AH247" s="3" t="str">
        <f>VLOOKUP($E247,'Product Naming'!$A$1:$Q$58,17,FALSE)</f>
        <v>T4hcinnm_c</v>
      </c>
      <c r="AI247" s="1">
        <f>VLOOKUP($E247,'Product Parameters'!$A$2:$D$59,2,FALSE)</f>
        <v>1</v>
      </c>
      <c r="AJ247" s="1">
        <f>VLOOKUP($E247,'Product Parameters'!$A$2:$D$59,3,FALSE)</f>
        <v>0</v>
      </c>
      <c r="AK247" s="1">
        <f>VLOOKUP($E247,'Product Parameters'!$A$2:$D$59,4,FALSE)</f>
        <v>0.12</v>
      </c>
      <c r="AL247" s="1">
        <f>VLOOKUP($E247,'Product Parameters'!$A$2:$E$59,5,FALSE)</f>
        <v>40.65</v>
      </c>
      <c r="AM247" s="1">
        <f>VLOOKUP($E247,'Product Parameters'!$A$2:$F$59,6,FALSE)</f>
        <v>9</v>
      </c>
      <c r="AN247" s="1">
        <f>VLOOKUP($C247,'Substrate Heating'!$A$2:$C$33,3,FALSE)</f>
        <v>280.09700000000004</v>
      </c>
      <c r="AO247" s="1">
        <f>VLOOKUP($C247,'Substrate Heating'!$A$2:$B$33,2,FALSE)</f>
        <v>10</v>
      </c>
      <c r="AP247" s="1">
        <f>VLOOKUP($C247,'Substrate Heating'!$A$2:$M$33,13,FALSE)</f>
        <v>2</v>
      </c>
      <c r="AQ247" s="1">
        <f>VLOOKUP($C247,'Substrate Heating'!$A$2:$M$33,8,FALSE)</f>
        <v>1</v>
      </c>
      <c r="AR247" s="1">
        <f t="shared" si="3"/>
        <v>0.17916279069767491</v>
      </c>
    </row>
    <row r="248" spans="1:44" x14ac:dyDescent="0.2">
      <c r="A248" s="17" t="s">
        <v>323</v>
      </c>
      <c r="B248" s="18" t="s">
        <v>324</v>
      </c>
      <c r="C248" t="s">
        <v>328</v>
      </c>
      <c r="D248" s="19" t="s">
        <v>326</v>
      </c>
      <c r="E248" t="s">
        <v>297</v>
      </c>
      <c r="F248" t="s">
        <v>298</v>
      </c>
      <c r="G248">
        <v>-10</v>
      </c>
      <c r="H248">
        <v>0</v>
      </c>
      <c r="I248">
        <v>-10</v>
      </c>
      <c r="J248">
        <v>0.45</v>
      </c>
      <c r="K248">
        <v>-10</v>
      </c>
      <c r="L248">
        <v>0</v>
      </c>
      <c r="M248">
        <v>-10</v>
      </c>
      <c r="N248">
        <v>0.38315789473684603</v>
      </c>
      <c r="O248">
        <v>0.38315789473684297</v>
      </c>
      <c r="P248"/>
      <c r="Q248">
        <v>3.8315789473684303E-2</v>
      </c>
      <c r="R248">
        <v>0.12007686124401901</v>
      </c>
      <c r="S248" s="1" t="str">
        <f>VLOOKUP($E248,'Product Naming'!$A$1:$P$58,2,FALSE)</f>
        <v>Phenol</v>
      </c>
      <c r="T248" s="1" t="str">
        <f>VLOOKUP($E248,'Product Naming'!$A$1:$P$58,3,FALSE)</f>
        <v>Phenol</v>
      </c>
      <c r="U248" s="1" t="str">
        <f>VLOOKUP($E248,'Product Naming'!$A$1:$P$58,4,FALSE)</f>
        <v>E-S</v>
      </c>
      <c r="V248" s="1" t="str">
        <f>VLOOKUP($E248,'Product Naming'!$A$1:$P$58,5,FALSE)</f>
        <v>C6H6O</v>
      </c>
      <c r="W248" s="1">
        <f>VLOOKUP($E248,'Product Naming'!$A$1:$P$58,6,FALSE)</f>
        <v>6</v>
      </c>
      <c r="X248" s="1">
        <f>VLOOKUP($E248,'Product Naming'!$A$1:$P$58,7,FALSE)</f>
        <v>6</v>
      </c>
      <c r="Y248" s="1">
        <f>VLOOKUP($E248,'Product Naming'!$A$1:$P$58,8,FALSE)</f>
        <v>1</v>
      </c>
      <c r="Z248" s="1">
        <f>VLOOKUP($E248,'Product Naming'!$A$1:$P$58,9,FALSE)</f>
        <v>0</v>
      </c>
      <c r="AA248" s="1">
        <f>VLOOKUP($E248,'Product Naming'!$A$1:$P$58,10,FALSE)</f>
        <v>0</v>
      </c>
      <c r="AB248" s="29">
        <f>VLOOKUP($E248,'Product Naming'!$A$1:$P$58,11,FALSE)</f>
        <v>4.666666666666667</v>
      </c>
      <c r="AC248" s="3">
        <f>VLOOKUP($E248,'Product Naming'!$A$1:$P$58,12,FALSE)</f>
        <v>94.11023999999999</v>
      </c>
      <c r="AD248" s="1">
        <f>VLOOKUP($E248,'Product Naming'!$A$1:$P$58,13,FALSE)</f>
        <v>181.7</v>
      </c>
      <c r="AE248" s="1" t="str">
        <f>VLOOKUP($E248,'Product Naming'!$A$1:$P$58,14,FALSE)</f>
        <v>Aromatic + Alcohol</v>
      </c>
      <c r="AF248" s="1" t="str">
        <f>VLOOKUP($E248,'Product Naming'!$A$1:$P$58,15,FALSE)</f>
        <v>E4P + L-glutamate</v>
      </c>
      <c r="AG248" s="30" t="str">
        <f>VLOOKUP($E248,'Product Naming'!$A$1:$P$58,16,FALSE)</f>
        <v>Proton symporter</v>
      </c>
      <c r="AH248" s="3" t="str">
        <f>VLOOKUP($E248,'Product Naming'!$A$1:$Q$58,17,FALSE)</f>
        <v>phenol_c</v>
      </c>
      <c r="AI248" s="1">
        <f>VLOOKUP($E248,'Product Parameters'!$A$2:$D$59,2,FALSE)</f>
        <v>1</v>
      </c>
      <c r="AJ248" s="1">
        <f>VLOOKUP($E248,'Product Parameters'!$A$2:$D$59,3,FALSE)</f>
        <v>0</v>
      </c>
      <c r="AK248" s="1">
        <f>VLOOKUP($E248,'Product Parameters'!$A$2:$D$59,4,FALSE)</f>
        <v>0.12</v>
      </c>
      <c r="AL248" s="1">
        <f>VLOOKUP($E248,'Product Parameters'!$A$2:$E$59,5,FALSE)</f>
        <v>58.8</v>
      </c>
      <c r="AM248" s="1">
        <f>VLOOKUP($E248,'Product Parameters'!$A$2:$F$59,6,FALSE)</f>
        <v>6</v>
      </c>
      <c r="AN248" s="1">
        <f>VLOOKUP($C248,'Substrate Heating'!$A$2:$C$33,3,FALSE)</f>
        <v>262.39999999999998</v>
      </c>
      <c r="AO248" s="1">
        <f>VLOOKUP($C248,'Substrate Heating'!$A$2:$B$33,2,FALSE)</f>
        <v>17.478546483008707</v>
      </c>
      <c r="AP248" s="1">
        <f>VLOOKUP($C248,'Substrate Heating'!$A$2:$M$33,13,FALSE)</f>
        <v>1</v>
      </c>
      <c r="AQ248" s="1">
        <f>VLOOKUP($C248,'Substrate Heating'!$A$2:$M$33,8,FALSE)</f>
        <v>0.5</v>
      </c>
      <c r="AR248" s="1">
        <f t="shared" si="3"/>
        <v>0.45978947368421164</v>
      </c>
    </row>
    <row r="249" spans="1:44" x14ac:dyDescent="0.2">
      <c r="A249" s="17" t="s">
        <v>323</v>
      </c>
      <c r="B249" s="18" t="s">
        <v>324</v>
      </c>
      <c r="C249" t="s">
        <v>333</v>
      </c>
      <c r="D249" s="19" t="s">
        <v>326</v>
      </c>
      <c r="E249" t="s">
        <v>225</v>
      </c>
      <c r="F249" t="s">
        <v>226</v>
      </c>
      <c r="G249">
        <v>-10</v>
      </c>
      <c r="H249">
        <v>0</v>
      </c>
      <c r="I249">
        <v>0</v>
      </c>
      <c r="J249">
        <v>0.45</v>
      </c>
      <c r="K249">
        <v>-10</v>
      </c>
      <c r="L249">
        <v>0</v>
      </c>
      <c r="M249">
        <v>0</v>
      </c>
      <c r="N249">
        <v>4.2620689655172397</v>
      </c>
      <c r="O249">
        <v>0.73793103448275899</v>
      </c>
      <c r="P249"/>
      <c r="Q249">
        <v>7.3793103448275901E-2</v>
      </c>
      <c r="R249">
        <v>0.120304677110321</v>
      </c>
      <c r="S249" s="1" t="str">
        <f>VLOOKUP($E249,'Product Naming'!$A$1:$P$58,2,FALSE)</f>
        <v>Glycolate</v>
      </c>
      <c r="T249" s="1" t="str">
        <f>VLOOKUP($E249,'Product Naming'!$A$1:$P$58,3,FALSE)</f>
        <v>Glycolate</v>
      </c>
      <c r="U249" s="1" t="str">
        <f>VLOOKUP($E249,'Product Naming'!$A$1:$P$58,4,FALSE)</f>
        <v>iJO1366</v>
      </c>
      <c r="V249" s="1" t="str">
        <f>VLOOKUP($E249,'Product Naming'!$A$1:$P$58,5,FALSE)</f>
        <v>C2H3O3</v>
      </c>
      <c r="W249" s="1">
        <f>VLOOKUP($E249,'Product Naming'!$A$1:$P$58,6,FALSE)</f>
        <v>2</v>
      </c>
      <c r="X249" s="1">
        <f>VLOOKUP($E249,'Product Naming'!$A$1:$P$58,7,FALSE)</f>
        <v>3</v>
      </c>
      <c r="Y249" s="1">
        <f>VLOOKUP($E249,'Product Naming'!$A$1:$P$58,8,FALSE)</f>
        <v>3</v>
      </c>
      <c r="Z249" s="1">
        <f>VLOOKUP($E249,'Product Naming'!$A$1:$P$58,9,FALSE)</f>
        <v>0</v>
      </c>
      <c r="AA249" s="1">
        <f>VLOOKUP($E249,'Product Naming'!$A$1:$P$58,10,FALSE)</f>
        <v>-1</v>
      </c>
      <c r="AB249" s="29">
        <f>VLOOKUP($E249,'Product Naming'!$A$1:$P$58,11,FALSE)</f>
        <v>2.5</v>
      </c>
      <c r="AC249" s="3">
        <f>VLOOKUP($E249,'Product Naming'!$A$1:$P$58,12,FALSE)</f>
        <v>75.041920000000005</v>
      </c>
      <c r="AD249" s="1">
        <f>VLOOKUP($E249,'Product Naming'!$A$1:$P$58,13,FALSE)</f>
        <v>112</v>
      </c>
      <c r="AE249" s="1" t="str">
        <f>VLOOKUP($E249,'Product Naming'!$A$1:$P$58,14,FALSE)</f>
        <v>Carboxylate + Alcohol (hydroxy carboxylate)</v>
      </c>
      <c r="AF249" s="1" t="str">
        <f>VLOOKUP($E249,'Product Naming'!$A$1:$P$58,15,FALSE)</f>
        <v>Glyoxylate (*isocitrate)</v>
      </c>
      <c r="AG249" s="30" t="str">
        <f>VLOOKUP($E249,'Product Naming'!$A$1:$P$58,16,FALSE)</f>
        <v>Proton symporter</v>
      </c>
      <c r="AH249" s="3" t="str">
        <f>VLOOKUP($E249,'Product Naming'!$A$1:$Q$58,17,FALSE)</f>
        <v>glyclt_c</v>
      </c>
      <c r="AI249" s="1">
        <f>VLOOKUP($E249,'Product Parameters'!$A$2:$D$59,2,FALSE)</f>
        <v>1</v>
      </c>
      <c r="AJ249" s="1">
        <f>VLOOKUP($E249,'Product Parameters'!$A$2:$D$59,3,FALSE)</f>
        <v>0</v>
      </c>
      <c r="AK249" s="1">
        <f>VLOOKUP($E249,'Product Parameters'!$A$2:$D$59,4,FALSE)</f>
        <v>0.12</v>
      </c>
      <c r="AL249" s="1">
        <f>VLOOKUP($E249,'Product Parameters'!$A$2:$E$59,5,FALSE)</f>
        <v>40.65</v>
      </c>
      <c r="AM249" s="1">
        <f>VLOOKUP($E249,'Product Parameters'!$A$2:$F$59,6,FALSE)</f>
        <v>2</v>
      </c>
      <c r="AN249" s="1">
        <f>VLOOKUP($C249,'Substrate Heating'!$A$2:$C$33,3,FALSE)</f>
        <v>247.59097</v>
      </c>
      <c r="AO249" s="1">
        <f>VLOOKUP($C249,'Substrate Heating'!$A$2:$B$33,2,FALSE)</f>
        <v>5.5</v>
      </c>
      <c r="AP249" s="1">
        <f>VLOOKUP($C249,'Substrate Heating'!$A$2:$M$33,13,FALSE)</f>
        <v>1</v>
      </c>
      <c r="AQ249" s="1">
        <f>VLOOKUP($C249,'Substrate Heating'!$A$2:$M$33,8,FALSE)</f>
        <v>1</v>
      </c>
      <c r="AR249" s="1">
        <f t="shared" si="3"/>
        <v>0.1475862068965518</v>
      </c>
    </row>
    <row r="250" spans="1:44" x14ac:dyDescent="0.2">
      <c r="A250" s="17" t="s">
        <v>323</v>
      </c>
      <c r="B250" s="18" t="s">
        <v>324</v>
      </c>
      <c r="C250" t="s">
        <v>335</v>
      </c>
      <c r="D250" s="19" t="s">
        <v>326</v>
      </c>
      <c r="E250" t="s">
        <v>158</v>
      </c>
      <c r="F250" t="s">
        <v>159</v>
      </c>
      <c r="G250">
        <v>-10</v>
      </c>
      <c r="H250">
        <v>0</v>
      </c>
      <c r="I250">
        <v>-10</v>
      </c>
      <c r="J250">
        <v>0.45</v>
      </c>
      <c r="K250">
        <v>-10</v>
      </c>
      <c r="L250">
        <v>0</v>
      </c>
      <c r="M250">
        <v>-10</v>
      </c>
      <c r="N250">
        <v>2.4931506849315102</v>
      </c>
      <c r="O250">
        <v>0.99726027397260297</v>
      </c>
      <c r="P250"/>
      <c r="Q250">
        <v>9.9726027397259998E-2</v>
      </c>
      <c r="R250">
        <v>0.120629440901936</v>
      </c>
      <c r="S250" s="1" t="str">
        <f>VLOOKUP($E250,'Product Naming'!$A$1:$P$58,2,FALSE)</f>
        <v>Butane</v>
      </c>
      <c r="T250" s="1" t="str">
        <f>VLOOKUP($E250,'Product Naming'!$A$1:$P$58,3,FALSE)</f>
        <v>Butane</v>
      </c>
      <c r="U250" s="1" t="str">
        <f>VLOOKUP($E250,'Product Naming'!$A$1:$P$58,4,FALSE)</f>
        <v>E</v>
      </c>
      <c r="V250" s="1" t="str">
        <f>VLOOKUP($E250,'Product Naming'!$A$1:$P$58,5,FALSE)</f>
        <v>C4H10</v>
      </c>
      <c r="W250" s="1">
        <f>VLOOKUP($E250,'Product Naming'!$A$1:$P$58,6,FALSE)</f>
        <v>4</v>
      </c>
      <c r="X250" s="1">
        <f>VLOOKUP($E250,'Product Naming'!$A$1:$P$58,7,FALSE)</f>
        <v>10</v>
      </c>
      <c r="Y250" s="1">
        <f>VLOOKUP($E250,'Product Naming'!$A$1:$P$58,8,FALSE)</f>
        <v>0</v>
      </c>
      <c r="Z250" s="1">
        <f>VLOOKUP($E250,'Product Naming'!$A$1:$P$58,9,FALSE)</f>
        <v>0</v>
      </c>
      <c r="AA250" s="1">
        <f>VLOOKUP($E250,'Product Naming'!$A$1:$P$58,10,FALSE)</f>
        <v>0</v>
      </c>
      <c r="AB250" s="29">
        <f>VLOOKUP($E250,'Product Naming'!$A$1:$P$58,11,FALSE)</f>
        <v>6.5</v>
      </c>
      <c r="AC250" s="3">
        <f>VLOOKUP($E250,'Product Naming'!$A$1:$P$58,12,FALSE)</f>
        <v>58.121200000000002</v>
      </c>
      <c r="AD250" s="1">
        <f>VLOOKUP($E250,'Product Naming'!$A$1:$P$58,13,FALSE)</f>
        <v>-1</v>
      </c>
      <c r="AE250" s="1" t="str">
        <f>VLOOKUP($E250,'Product Naming'!$A$1:$P$58,14,FALSE)</f>
        <v>Hydrocarbon (alkane)</v>
      </c>
      <c r="AF250" s="1" t="str">
        <f>VLOOKUP($E250,'Product Naming'!$A$1:$P$58,15,FALSE)</f>
        <v>Acetyl-CoA + Succinyl-CoA</v>
      </c>
      <c r="AG250" s="30" t="str">
        <f>VLOOKUP($E250,'Product Naming'!$A$1:$P$58,16,FALSE)</f>
        <v>Diffusion</v>
      </c>
      <c r="AH250" s="3" t="str">
        <f>VLOOKUP($E250,'Product Naming'!$A$1:$Q$58,17,FALSE)</f>
        <v>butn_c</v>
      </c>
      <c r="AI250" s="1">
        <f>VLOOKUP($E250,'Product Parameters'!$A$2:$D$59,2,FALSE)</f>
        <v>0</v>
      </c>
      <c r="AJ250" s="1">
        <f>VLOOKUP($E250,'Product Parameters'!$A$2:$D$59,3,FALSE)</f>
        <v>1</v>
      </c>
      <c r="AK250" s="1">
        <f>VLOOKUP($E250,'Product Parameters'!$A$2:$D$59,4,FALSE)</f>
        <v>0.12</v>
      </c>
      <c r="AL250" s="1">
        <f>VLOOKUP($E250,'Product Parameters'!$A$2:$E$59,5,FALSE)</f>
        <v>0</v>
      </c>
      <c r="AM250" s="1">
        <f>VLOOKUP($E250,'Product Parameters'!$A$2:$F$59,6,FALSE)</f>
        <v>4</v>
      </c>
      <c r="AN250" s="1">
        <f>VLOOKUP($C250,'Substrate Heating'!$A$2:$C$33,3,FALSE)</f>
        <v>247.9</v>
      </c>
      <c r="AO250" s="1">
        <f>VLOOKUP($C250,'Substrate Heating'!$A$2:$B$33,2,FALSE)</f>
        <v>10.541709491918519</v>
      </c>
      <c r="AP250" s="1">
        <f>VLOOKUP($C250,'Substrate Heating'!$A$2:$M$33,13,FALSE)</f>
        <v>0.5</v>
      </c>
      <c r="AQ250" s="1">
        <f>VLOOKUP($C250,'Substrate Heating'!$A$2:$M$33,8,FALSE)</f>
        <v>0.5</v>
      </c>
      <c r="AR250" s="1">
        <f t="shared" si="3"/>
        <v>0.79780821917807998</v>
      </c>
    </row>
    <row r="251" spans="1:44" x14ac:dyDescent="0.2">
      <c r="A251" s="17" t="s">
        <v>323</v>
      </c>
      <c r="B251" s="18" t="s">
        <v>324</v>
      </c>
      <c r="C251" t="s">
        <v>328</v>
      </c>
      <c r="D251" s="19" t="s">
        <v>326</v>
      </c>
      <c r="E251" t="s">
        <v>313</v>
      </c>
      <c r="F251" t="s">
        <v>314</v>
      </c>
      <c r="G251">
        <v>-10</v>
      </c>
      <c r="H251">
        <v>0</v>
      </c>
      <c r="I251">
        <v>-10</v>
      </c>
      <c r="J251">
        <v>0.45</v>
      </c>
      <c r="K251">
        <v>-10</v>
      </c>
      <c r="L251">
        <v>0</v>
      </c>
      <c r="M251">
        <v>-10</v>
      </c>
      <c r="N251">
        <v>0.7</v>
      </c>
      <c r="O251">
        <v>0.35</v>
      </c>
      <c r="P251"/>
      <c r="Q251">
        <v>3.5000000000000003E-2</v>
      </c>
      <c r="R251">
        <v>0.121384988344988</v>
      </c>
      <c r="S251" s="1" t="str">
        <f>VLOOKUP($E251,'Product Naming'!$A$1:$P$58,2,FALSE)</f>
        <v>Styrene</v>
      </c>
      <c r="T251" s="1" t="str">
        <f>VLOOKUP($E251,'Product Naming'!$A$1:$P$58,3,FALSE)</f>
        <v>Styrene</v>
      </c>
      <c r="U251" s="1" t="str">
        <f>VLOOKUP($E251,'Product Naming'!$A$1:$P$58,4,FALSE)</f>
        <v>E-S</v>
      </c>
      <c r="V251" s="1" t="str">
        <f>VLOOKUP($E251,'Product Naming'!$A$1:$P$58,5,FALSE)</f>
        <v>C8H8</v>
      </c>
      <c r="W251" s="1">
        <f>VLOOKUP($E251,'Product Naming'!$A$1:$P$58,6,FALSE)</f>
        <v>8</v>
      </c>
      <c r="X251" s="1">
        <f>VLOOKUP($E251,'Product Naming'!$A$1:$P$58,7,FALSE)</f>
        <v>8</v>
      </c>
      <c r="Y251" s="1">
        <f>VLOOKUP($E251,'Product Naming'!$A$1:$P$58,8,FALSE)</f>
        <v>0</v>
      </c>
      <c r="Z251" s="1">
        <f>VLOOKUP($E251,'Product Naming'!$A$1:$P$58,9,FALSE)</f>
        <v>0</v>
      </c>
      <c r="AA251" s="1">
        <f>VLOOKUP($E251,'Product Naming'!$A$1:$P$58,10,FALSE)</f>
        <v>0</v>
      </c>
      <c r="AB251" s="29">
        <f>VLOOKUP($E251,'Product Naming'!$A$1:$P$58,11,FALSE)</f>
        <v>5</v>
      </c>
      <c r="AC251" s="3">
        <f>VLOOKUP($E251,'Product Naming'!$A$1:$P$58,12,FALSE)</f>
        <v>104.14832</v>
      </c>
      <c r="AD251" s="1">
        <f>VLOOKUP($E251,'Product Naming'!$A$1:$P$58,13,FALSE)</f>
        <v>145</v>
      </c>
      <c r="AE251" s="1" t="str">
        <f>VLOOKUP($E251,'Product Naming'!$A$1:$P$58,14,FALSE)</f>
        <v>Cycloalkane</v>
      </c>
      <c r="AF251" s="1" t="str">
        <f>VLOOKUP($E251,'Product Naming'!$A$1:$P$58,15,FALSE)</f>
        <v>E4P</v>
      </c>
      <c r="AG251" s="30" t="str">
        <f>VLOOKUP($E251,'Product Naming'!$A$1:$P$58,16,FALSE)</f>
        <v>Proton symporter</v>
      </c>
      <c r="AH251" s="3" t="str">
        <f>VLOOKUP($E251,'Product Naming'!$A$1:$Q$58,17,FALSE)</f>
        <v>styr_c</v>
      </c>
      <c r="AI251" s="1">
        <f>VLOOKUP($E251,'Product Parameters'!$A$2:$D$59,2,FALSE)</f>
        <v>1</v>
      </c>
      <c r="AJ251" s="1">
        <f>VLOOKUP($E251,'Product Parameters'!$A$2:$D$59,3,FALSE)</f>
        <v>0</v>
      </c>
      <c r="AK251" s="1">
        <f>VLOOKUP($E251,'Product Parameters'!$A$2:$D$59,4,FALSE)</f>
        <v>0.12</v>
      </c>
      <c r="AL251" s="1">
        <f>VLOOKUP($E251,'Product Parameters'!$A$2:$E$59,5,FALSE)</f>
        <v>43.9</v>
      </c>
      <c r="AM251" s="1">
        <f>VLOOKUP($E251,'Product Parameters'!$A$2:$F$59,6,FALSE)</f>
        <v>8</v>
      </c>
      <c r="AN251" s="1">
        <f>VLOOKUP($C251,'Substrate Heating'!$A$2:$C$33,3,FALSE)</f>
        <v>262.39999999999998</v>
      </c>
      <c r="AO251" s="1">
        <f>VLOOKUP($C251,'Substrate Heating'!$A$2:$B$33,2,FALSE)</f>
        <v>17.478546483008707</v>
      </c>
      <c r="AP251" s="1">
        <f>VLOOKUP($C251,'Substrate Heating'!$A$2:$M$33,13,FALSE)</f>
        <v>1</v>
      </c>
      <c r="AQ251" s="1">
        <f>VLOOKUP($C251,'Substrate Heating'!$A$2:$M$33,8,FALSE)</f>
        <v>0.5</v>
      </c>
      <c r="AR251" s="1">
        <f t="shared" si="3"/>
        <v>0.56000000000000005</v>
      </c>
    </row>
    <row r="252" spans="1:44" x14ac:dyDescent="0.2">
      <c r="A252" s="17" t="s">
        <v>323</v>
      </c>
      <c r="B252" s="18" t="s">
        <v>324</v>
      </c>
      <c r="C252" t="s">
        <v>325</v>
      </c>
      <c r="D252" s="19" t="s">
        <v>326</v>
      </c>
      <c r="E252" t="s">
        <v>158</v>
      </c>
      <c r="F252" t="s">
        <v>159</v>
      </c>
      <c r="G252">
        <v>-10</v>
      </c>
      <c r="H252">
        <v>0</v>
      </c>
      <c r="I252">
        <v>0</v>
      </c>
      <c r="J252">
        <v>0.45</v>
      </c>
      <c r="K252">
        <v>-10</v>
      </c>
      <c r="L252">
        <v>0</v>
      </c>
      <c r="M252">
        <v>0</v>
      </c>
      <c r="N252">
        <v>6.4657534246575299</v>
      </c>
      <c r="O252">
        <v>0.58630136986301296</v>
      </c>
      <c r="P252"/>
      <c r="Q252">
        <v>5.8630136986300999E-2</v>
      </c>
      <c r="R252">
        <v>0.121658476180229</v>
      </c>
      <c r="S252" s="1" t="str">
        <f>VLOOKUP($E252,'Product Naming'!$A$1:$P$58,2,FALSE)</f>
        <v>Butane</v>
      </c>
      <c r="T252" s="1" t="str">
        <f>VLOOKUP($E252,'Product Naming'!$A$1:$P$58,3,FALSE)</f>
        <v>Butane</v>
      </c>
      <c r="U252" s="1" t="str">
        <f>VLOOKUP($E252,'Product Naming'!$A$1:$P$58,4,FALSE)</f>
        <v>E</v>
      </c>
      <c r="V252" s="1" t="str">
        <f>VLOOKUP($E252,'Product Naming'!$A$1:$P$58,5,FALSE)</f>
        <v>C4H10</v>
      </c>
      <c r="W252" s="1">
        <f>VLOOKUP($E252,'Product Naming'!$A$1:$P$58,6,FALSE)</f>
        <v>4</v>
      </c>
      <c r="X252" s="1">
        <f>VLOOKUP($E252,'Product Naming'!$A$1:$P$58,7,FALSE)</f>
        <v>10</v>
      </c>
      <c r="Y252" s="1">
        <f>VLOOKUP($E252,'Product Naming'!$A$1:$P$58,8,FALSE)</f>
        <v>0</v>
      </c>
      <c r="Z252" s="1">
        <f>VLOOKUP($E252,'Product Naming'!$A$1:$P$58,9,FALSE)</f>
        <v>0</v>
      </c>
      <c r="AA252" s="1">
        <f>VLOOKUP($E252,'Product Naming'!$A$1:$P$58,10,FALSE)</f>
        <v>0</v>
      </c>
      <c r="AB252" s="29">
        <f>VLOOKUP($E252,'Product Naming'!$A$1:$P$58,11,FALSE)</f>
        <v>6.5</v>
      </c>
      <c r="AC252" s="3">
        <f>VLOOKUP($E252,'Product Naming'!$A$1:$P$58,12,FALSE)</f>
        <v>58.121200000000002</v>
      </c>
      <c r="AD252" s="1">
        <f>VLOOKUP($E252,'Product Naming'!$A$1:$P$58,13,FALSE)</f>
        <v>-1</v>
      </c>
      <c r="AE252" s="1" t="str">
        <f>VLOOKUP($E252,'Product Naming'!$A$1:$P$58,14,FALSE)</f>
        <v>Hydrocarbon (alkane)</v>
      </c>
      <c r="AF252" s="1" t="str">
        <f>VLOOKUP($E252,'Product Naming'!$A$1:$P$58,15,FALSE)</f>
        <v>Acetyl-CoA + Succinyl-CoA</v>
      </c>
      <c r="AG252" s="30" t="str">
        <f>VLOOKUP($E252,'Product Naming'!$A$1:$P$58,16,FALSE)</f>
        <v>Diffusion</v>
      </c>
      <c r="AH252" s="3" t="str">
        <f>VLOOKUP($E252,'Product Naming'!$A$1:$Q$58,17,FALSE)</f>
        <v>butn_c</v>
      </c>
      <c r="AI252" s="1">
        <f>VLOOKUP($E252,'Product Parameters'!$A$2:$D$59,2,FALSE)</f>
        <v>0</v>
      </c>
      <c r="AJ252" s="1">
        <f>VLOOKUP($E252,'Product Parameters'!$A$2:$D$59,3,FALSE)</f>
        <v>1</v>
      </c>
      <c r="AK252" s="1">
        <f>VLOOKUP($E252,'Product Parameters'!$A$2:$D$59,4,FALSE)</f>
        <v>0.12</v>
      </c>
      <c r="AL252" s="1">
        <f>VLOOKUP($E252,'Product Parameters'!$A$2:$E$59,5,FALSE)</f>
        <v>0</v>
      </c>
      <c r="AM252" s="1">
        <f>VLOOKUP($E252,'Product Parameters'!$A$2:$F$59,6,FALSE)</f>
        <v>4</v>
      </c>
      <c r="AN252" s="1">
        <f>VLOOKUP($C252,'Substrate Heating'!$A$2:$C$33,3,FALSE)</f>
        <v>280.09700000000004</v>
      </c>
      <c r="AO252" s="1">
        <f>VLOOKUP($C252,'Substrate Heating'!$A$2:$B$33,2,FALSE)</f>
        <v>10</v>
      </c>
      <c r="AP252" s="1">
        <f>VLOOKUP($C252,'Substrate Heating'!$A$2:$M$33,13,FALSE)</f>
        <v>2</v>
      </c>
      <c r="AQ252" s="1">
        <f>VLOOKUP($C252,'Substrate Heating'!$A$2:$M$33,8,FALSE)</f>
        <v>1</v>
      </c>
      <c r="AR252" s="1">
        <f t="shared" si="3"/>
        <v>0.23452054794520399</v>
      </c>
    </row>
    <row r="253" spans="1:44" x14ac:dyDescent="0.2">
      <c r="A253" s="17" t="s">
        <v>323</v>
      </c>
      <c r="B253" s="18" t="s">
        <v>324</v>
      </c>
      <c r="C253" t="s">
        <v>335</v>
      </c>
      <c r="D253" s="19" t="s">
        <v>326</v>
      </c>
      <c r="E253" t="s">
        <v>175</v>
      </c>
      <c r="F253" t="s">
        <v>176</v>
      </c>
      <c r="G253">
        <v>-10</v>
      </c>
      <c r="H253">
        <v>0</v>
      </c>
      <c r="I253">
        <v>-10</v>
      </c>
      <c r="J253">
        <v>0.45</v>
      </c>
      <c r="K253">
        <v>-10</v>
      </c>
      <c r="L253">
        <v>0</v>
      </c>
      <c r="M253">
        <v>-10</v>
      </c>
      <c r="N253">
        <v>0.26569343065693402</v>
      </c>
      <c r="O253">
        <v>0.53138686131386803</v>
      </c>
      <c r="P253"/>
      <c r="Q253">
        <v>5.3138686131386802E-2</v>
      </c>
      <c r="R253">
        <v>0.121771260208733</v>
      </c>
      <c r="S253" s="1" t="str">
        <f>VLOOKUP($E253,'Product Naming'!$A$1:$P$58,2,FALSE)</f>
        <v>Catechol</v>
      </c>
      <c r="T253" s="1" t="str">
        <f>VLOOKUP($E253,'Product Naming'!$A$1:$P$58,3,FALSE)</f>
        <v>Catechol</v>
      </c>
      <c r="U253" s="1" t="str">
        <f>VLOOKUP($E253,'Product Naming'!$A$1:$P$58,4,FALSE)</f>
        <v>E</v>
      </c>
      <c r="V253" s="1" t="str">
        <f>VLOOKUP($E253,'Product Naming'!$A$1:$P$58,5,FALSE)</f>
        <v>C6H6O2</v>
      </c>
      <c r="W253" s="1">
        <f>VLOOKUP($E253,'Product Naming'!$A$1:$P$58,6,FALSE)</f>
        <v>6</v>
      </c>
      <c r="X253" s="1">
        <f>VLOOKUP($E253,'Product Naming'!$A$1:$P$58,7,FALSE)</f>
        <v>6</v>
      </c>
      <c r="Y253" s="1">
        <f>VLOOKUP($E253,'Product Naming'!$A$1:$P$58,8,FALSE)</f>
        <v>2</v>
      </c>
      <c r="Z253" s="1">
        <f>VLOOKUP($E253,'Product Naming'!$A$1:$P$58,9,FALSE)</f>
        <v>0</v>
      </c>
      <c r="AA253" s="1">
        <f>VLOOKUP($E253,'Product Naming'!$A$1:$P$58,10,FALSE)</f>
        <v>0</v>
      </c>
      <c r="AB253" s="29">
        <f>VLOOKUP($E253,'Product Naming'!$A$1:$P$58,11,FALSE)</f>
        <v>4.333333333333333</v>
      </c>
      <c r="AC253" s="3">
        <f>VLOOKUP($E253,'Product Naming'!$A$1:$P$58,12,FALSE)</f>
        <v>110.10924</v>
      </c>
      <c r="AD253" s="1">
        <f>VLOOKUP($E253,'Product Naming'!$A$1:$P$58,13,FALSE)</f>
        <v>245</v>
      </c>
      <c r="AE253" s="1" t="str">
        <f>VLOOKUP($E253,'Product Naming'!$A$1:$P$58,14,FALSE)</f>
        <v>Aromatic + Diol</v>
      </c>
      <c r="AF253" s="1" t="str">
        <f>VLOOKUP($E253,'Product Naming'!$A$1:$P$58,15,FALSE)</f>
        <v>Glyceraldehyde 3-P</v>
      </c>
      <c r="AG253" s="30" t="str">
        <f>VLOOKUP($E253,'Product Naming'!$A$1:$P$58,16,FALSE)</f>
        <v>Proton symporter</v>
      </c>
      <c r="AH253" s="3" t="str">
        <f>VLOOKUP($E253,'Product Naming'!$A$1:$Q$58,17,FALSE)</f>
        <v>catechol_c</v>
      </c>
      <c r="AI253" s="1">
        <f>VLOOKUP($E253,'Product Parameters'!$A$2:$D$59,2,FALSE)</f>
        <v>1</v>
      </c>
      <c r="AJ253" s="1">
        <f>VLOOKUP($E253,'Product Parameters'!$A$2:$D$59,3,FALSE)</f>
        <v>0</v>
      </c>
      <c r="AK253" s="1">
        <f>VLOOKUP($E253,'Product Parameters'!$A$2:$D$59,4,FALSE)</f>
        <v>0.12</v>
      </c>
      <c r="AL253" s="1">
        <f>VLOOKUP($E253,'Product Parameters'!$A$2:$E$59,5,FALSE)</f>
        <v>40.65</v>
      </c>
      <c r="AM253" s="1">
        <f>VLOOKUP($E253,'Product Parameters'!$A$2:$F$59,6,FALSE)</f>
        <v>6</v>
      </c>
      <c r="AN253" s="1">
        <f>VLOOKUP($C253,'Substrate Heating'!$A$2:$C$33,3,FALSE)</f>
        <v>247.9</v>
      </c>
      <c r="AO253" s="1">
        <f>VLOOKUP($C253,'Substrate Heating'!$A$2:$B$33,2,FALSE)</f>
        <v>10.541709491918519</v>
      </c>
      <c r="AP253" s="1">
        <f>VLOOKUP($C253,'Substrate Heating'!$A$2:$M$33,13,FALSE)</f>
        <v>0.5</v>
      </c>
      <c r="AQ253" s="1">
        <f>VLOOKUP($C253,'Substrate Heating'!$A$2:$M$33,8,FALSE)</f>
        <v>0.5</v>
      </c>
      <c r="AR253" s="1">
        <f t="shared" si="3"/>
        <v>0.63766423357664159</v>
      </c>
    </row>
    <row r="254" spans="1:44" x14ac:dyDescent="0.2">
      <c r="A254" s="17" t="s">
        <v>323</v>
      </c>
      <c r="B254" s="18" t="s">
        <v>324</v>
      </c>
      <c r="C254" t="s">
        <v>333</v>
      </c>
      <c r="D254" s="19" t="s">
        <v>326</v>
      </c>
      <c r="E254" t="s">
        <v>103</v>
      </c>
      <c r="F254" t="s">
        <v>104</v>
      </c>
      <c r="G254">
        <v>-10</v>
      </c>
      <c r="H254">
        <v>0</v>
      </c>
      <c r="I254">
        <v>0</v>
      </c>
      <c r="J254">
        <v>0.45</v>
      </c>
      <c r="K254">
        <v>-10</v>
      </c>
      <c r="L254">
        <v>0</v>
      </c>
      <c r="M254">
        <v>0</v>
      </c>
      <c r="N254">
        <v>6.6461538461538501</v>
      </c>
      <c r="O254">
        <v>0.54871794871794899</v>
      </c>
      <c r="P254"/>
      <c r="Q254">
        <v>5.4871794871794999E-2</v>
      </c>
      <c r="R254">
        <v>0.12180018298147501</v>
      </c>
      <c r="S254" s="1" t="str">
        <f>VLOOKUP($E254,'Product Naming'!$A$1:$P$58,2,FALSE)</f>
        <v>3-Methyl-1-Pentanol</v>
      </c>
      <c r="T254" s="1" t="str">
        <f>VLOOKUP($E254,'Product Naming'!$A$1:$P$58,3,FALSE)</f>
        <v>3-Methyl-1-pentanol</v>
      </c>
      <c r="U254" s="1" t="str">
        <f>VLOOKUP($E254,'Product Naming'!$A$1:$P$58,4,FALSE)</f>
        <v>A</v>
      </c>
      <c r="V254" s="1" t="str">
        <f>VLOOKUP($E254,'Product Naming'!$A$1:$P$58,5,FALSE)</f>
        <v>C6H14O</v>
      </c>
      <c r="W254" s="1">
        <f>VLOOKUP($E254,'Product Naming'!$A$1:$P$58,6,FALSE)</f>
        <v>6</v>
      </c>
      <c r="X254" s="1">
        <f>VLOOKUP($E254,'Product Naming'!$A$1:$P$58,7,FALSE)</f>
        <v>14</v>
      </c>
      <c r="Y254" s="1">
        <f>VLOOKUP($E254,'Product Naming'!$A$1:$P$58,8,FALSE)</f>
        <v>1</v>
      </c>
      <c r="Z254" s="1">
        <f>VLOOKUP($E254,'Product Naming'!$A$1:$P$58,9,FALSE)</f>
        <v>0</v>
      </c>
      <c r="AA254" s="1">
        <f>VLOOKUP($E254,'Product Naming'!$A$1:$P$58,10,FALSE)</f>
        <v>0</v>
      </c>
      <c r="AB254" s="29">
        <f>VLOOKUP($E254,'Product Naming'!$A$1:$P$58,11,FALSE)</f>
        <v>6</v>
      </c>
      <c r="AC254" s="3">
        <f>VLOOKUP($E254,'Product Naming'!$A$1:$P$58,12,FALSE)</f>
        <v>102.17295999999999</v>
      </c>
      <c r="AD254" s="1">
        <f>VLOOKUP($E254,'Product Naming'!$A$1:$P$58,13,FALSE)</f>
        <v>153</v>
      </c>
      <c r="AE254" s="1" t="str">
        <f>VLOOKUP($E254,'Product Naming'!$A$1:$P$58,14,FALSE)</f>
        <v>Alcohol</v>
      </c>
      <c r="AF254" s="1" t="str">
        <f>VLOOKUP($E254,'Product Naming'!$A$1:$P$58,15,FALSE)</f>
        <v>Oxaloacetate</v>
      </c>
      <c r="AG254" s="30" t="str">
        <f>VLOOKUP($E254,'Product Naming'!$A$1:$P$58,16,FALSE)</f>
        <v>Proton symporter</v>
      </c>
      <c r="AH254" s="3" t="str">
        <f>VLOOKUP($E254,'Product Naming'!$A$1:$Q$58,17,FALSE)</f>
        <v>3mptoh_c</v>
      </c>
      <c r="AI254" s="1">
        <f>VLOOKUP($E254,'Product Parameters'!$A$2:$D$59,2,FALSE)</f>
        <v>1</v>
      </c>
      <c r="AJ254" s="1">
        <f>VLOOKUP($E254,'Product Parameters'!$A$2:$D$59,3,FALSE)</f>
        <v>0</v>
      </c>
      <c r="AK254" s="1">
        <f>VLOOKUP($E254,'Product Parameters'!$A$2:$D$59,4,FALSE)</f>
        <v>0.12</v>
      </c>
      <c r="AL254" s="1">
        <f>VLOOKUP($E254,'Product Parameters'!$A$2:$E$59,5,FALSE)</f>
        <v>61.7</v>
      </c>
      <c r="AM254" s="1">
        <f>VLOOKUP($E254,'Product Parameters'!$A$2:$F$59,6,FALSE)</f>
        <v>6</v>
      </c>
      <c r="AN254" s="1">
        <f>VLOOKUP($C254,'Substrate Heating'!$A$2:$C$33,3,FALSE)</f>
        <v>247.59097</v>
      </c>
      <c r="AO254" s="1">
        <f>VLOOKUP($C254,'Substrate Heating'!$A$2:$B$33,2,FALSE)</f>
        <v>5.5</v>
      </c>
      <c r="AP254" s="1">
        <f>VLOOKUP($C254,'Substrate Heating'!$A$2:$M$33,13,FALSE)</f>
        <v>1</v>
      </c>
      <c r="AQ254" s="1">
        <f>VLOOKUP($C254,'Substrate Heating'!$A$2:$M$33,8,FALSE)</f>
        <v>1</v>
      </c>
      <c r="AR254" s="1">
        <f t="shared" si="3"/>
        <v>0.32923076923076999</v>
      </c>
    </row>
    <row r="255" spans="1:44" x14ac:dyDescent="0.2">
      <c r="A255" s="17" t="s">
        <v>323</v>
      </c>
      <c r="B255" s="18" t="s">
        <v>324</v>
      </c>
      <c r="C255" t="s">
        <v>325</v>
      </c>
      <c r="D255" s="19" t="s">
        <v>326</v>
      </c>
      <c r="E255" t="s">
        <v>175</v>
      </c>
      <c r="F255" t="s">
        <v>176</v>
      </c>
      <c r="G255">
        <v>-10</v>
      </c>
      <c r="H255">
        <v>0</v>
      </c>
      <c r="I255">
        <v>0</v>
      </c>
      <c r="J255">
        <v>0.45</v>
      </c>
      <c r="K255">
        <v>-10</v>
      </c>
      <c r="L255">
        <v>0</v>
      </c>
      <c r="M255">
        <v>0</v>
      </c>
      <c r="N255">
        <v>5.1562043795620403</v>
      </c>
      <c r="O255">
        <v>0.312408759124088</v>
      </c>
      <c r="P255"/>
      <c r="Q255">
        <v>3.1240875912408799E-2</v>
      </c>
      <c r="R255">
        <v>0.122810035831833</v>
      </c>
      <c r="S255" s="1" t="str">
        <f>VLOOKUP($E255,'Product Naming'!$A$1:$P$58,2,FALSE)</f>
        <v>Catechol</v>
      </c>
      <c r="T255" s="1" t="str">
        <f>VLOOKUP($E255,'Product Naming'!$A$1:$P$58,3,FALSE)</f>
        <v>Catechol</v>
      </c>
      <c r="U255" s="1" t="str">
        <f>VLOOKUP($E255,'Product Naming'!$A$1:$P$58,4,FALSE)</f>
        <v>E</v>
      </c>
      <c r="V255" s="1" t="str">
        <f>VLOOKUP($E255,'Product Naming'!$A$1:$P$58,5,FALSE)</f>
        <v>C6H6O2</v>
      </c>
      <c r="W255" s="1">
        <f>VLOOKUP($E255,'Product Naming'!$A$1:$P$58,6,FALSE)</f>
        <v>6</v>
      </c>
      <c r="X255" s="1">
        <f>VLOOKUP($E255,'Product Naming'!$A$1:$P$58,7,FALSE)</f>
        <v>6</v>
      </c>
      <c r="Y255" s="1">
        <f>VLOOKUP($E255,'Product Naming'!$A$1:$P$58,8,FALSE)</f>
        <v>2</v>
      </c>
      <c r="Z255" s="1">
        <f>VLOOKUP($E255,'Product Naming'!$A$1:$P$58,9,FALSE)</f>
        <v>0</v>
      </c>
      <c r="AA255" s="1">
        <f>VLOOKUP($E255,'Product Naming'!$A$1:$P$58,10,FALSE)</f>
        <v>0</v>
      </c>
      <c r="AB255" s="29">
        <f>VLOOKUP($E255,'Product Naming'!$A$1:$P$58,11,FALSE)</f>
        <v>4.333333333333333</v>
      </c>
      <c r="AC255" s="3">
        <f>VLOOKUP($E255,'Product Naming'!$A$1:$P$58,12,FALSE)</f>
        <v>110.10924</v>
      </c>
      <c r="AD255" s="1">
        <f>VLOOKUP($E255,'Product Naming'!$A$1:$P$58,13,FALSE)</f>
        <v>245</v>
      </c>
      <c r="AE255" s="1" t="str">
        <f>VLOOKUP($E255,'Product Naming'!$A$1:$P$58,14,FALSE)</f>
        <v>Aromatic + Diol</v>
      </c>
      <c r="AF255" s="1" t="str">
        <f>VLOOKUP($E255,'Product Naming'!$A$1:$P$58,15,FALSE)</f>
        <v>Glyceraldehyde 3-P</v>
      </c>
      <c r="AG255" s="30" t="str">
        <f>VLOOKUP($E255,'Product Naming'!$A$1:$P$58,16,FALSE)</f>
        <v>Proton symporter</v>
      </c>
      <c r="AH255" s="3" t="str">
        <f>VLOOKUP($E255,'Product Naming'!$A$1:$Q$58,17,FALSE)</f>
        <v>catechol_c</v>
      </c>
      <c r="AI255" s="1">
        <f>VLOOKUP($E255,'Product Parameters'!$A$2:$D$59,2,FALSE)</f>
        <v>1</v>
      </c>
      <c r="AJ255" s="1">
        <f>VLOOKUP($E255,'Product Parameters'!$A$2:$D$59,3,FALSE)</f>
        <v>0</v>
      </c>
      <c r="AK255" s="1">
        <f>VLOOKUP($E255,'Product Parameters'!$A$2:$D$59,4,FALSE)</f>
        <v>0.12</v>
      </c>
      <c r="AL255" s="1">
        <f>VLOOKUP($E255,'Product Parameters'!$A$2:$E$59,5,FALSE)</f>
        <v>40.65</v>
      </c>
      <c r="AM255" s="1">
        <f>VLOOKUP($E255,'Product Parameters'!$A$2:$F$59,6,FALSE)</f>
        <v>6</v>
      </c>
      <c r="AN255" s="1">
        <f>VLOOKUP($C255,'Substrate Heating'!$A$2:$C$33,3,FALSE)</f>
        <v>280.09700000000004</v>
      </c>
      <c r="AO255" s="1">
        <f>VLOOKUP($C255,'Substrate Heating'!$A$2:$B$33,2,FALSE)</f>
        <v>10</v>
      </c>
      <c r="AP255" s="1">
        <f>VLOOKUP($C255,'Substrate Heating'!$A$2:$M$33,13,FALSE)</f>
        <v>2</v>
      </c>
      <c r="AQ255" s="1">
        <f>VLOOKUP($C255,'Substrate Heating'!$A$2:$M$33,8,FALSE)</f>
        <v>1</v>
      </c>
      <c r="AR255" s="1">
        <f t="shared" si="3"/>
        <v>0.18744525547445279</v>
      </c>
    </row>
    <row r="256" spans="1:44" x14ac:dyDescent="0.2">
      <c r="A256" s="17" t="s">
        <v>323</v>
      </c>
      <c r="B256" s="18" t="s">
        <v>324</v>
      </c>
      <c r="C256" t="s">
        <v>334</v>
      </c>
      <c r="D256" s="19" t="s">
        <v>326</v>
      </c>
      <c r="E256" t="s">
        <v>209</v>
      </c>
      <c r="F256" t="s">
        <v>210</v>
      </c>
      <c r="G256">
        <v>-10</v>
      </c>
      <c r="H256">
        <v>0</v>
      </c>
      <c r="I256">
        <v>-5</v>
      </c>
      <c r="J256">
        <v>0.45</v>
      </c>
      <c r="K256">
        <v>-10</v>
      </c>
      <c r="L256">
        <v>0</v>
      </c>
      <c r="M256">
        <v>-5</v>
      </c>
      <c r="N256">
        <v>2.84</v>
      </c>
      <c r="O256">
        <v>0.68</v>
      </c>
      <c r="P256"/>
      <c r="Q256">
        <v>6.8000000000000005E-2</v>
      </c>
      <c r="R256">
        <v>0.124447765712293</v>
      </c>
      <c r="S256" s="1" t="str">
        <f>VLOOKUP($E256,'Product Naming'!$A$1:$P$58,2,FALSE)</f>
        <v>GammaButyrolactone</v>
      </c>
      <c r="T256" s="1" t="str">
        <f>VLOOKUP($E256,'Product Naming'!$A$1:$P$58,3,FALSE)</f>
        <v>Gamma butyrolactone</v>
      </c>
      <c r="U256" s="1" t="str">
        <f>VLOOKUP($E256,'Product Naming'!$A$1:$P$58,4,FALSE)</f>
        <v>A</v>
      </c>
      <c r="V256" s="1" t="str">
        <f>VLOOKUP($E256,'Product Naming'!$A$1:$P$58,5,FALSE)</f>
        <v>C4H6O2</v>
      </c>
      <c r="W256" s="1">
        <f>VLOOKUP($E256,'Product Naming'!$A$1:$P$58,6,FALSE)</f>
        <v>4</v>
      </c>
      <c r="X256" s="1">
        <f>VLOOKUP($E256,'Product Naming'!$A$1:$P$58,7,FALSE)</f>
        <v>6</v>
      </c>
      <c r="Y256" s="1">
        <f>VLOOKUP($E256,'Product Naming'!$A$1:$P$58,8,FALSE)</f>
        <v>2</v>
      </c>
      <c r="Z256" s="1">
        <f>VLOOKUP($E256,'Product Naming'!$A$1:$P$58,9,FALSE)</f>
        <v>0</v>
      </c>
      <c r="AA256" s="1">
        <f>VLOOKUP($E256,'Product Naming'!$A$1:$P$58,10,FALSE)</f>
        <v>0</v>
      </c>
      <c r="AB256" s="29">
        <f>VLOOKUP($E256,'Product Naming'!$A$1:$P$58,11,FALSE)</f>
        <v>4.5</v>
      </c>
      <c r="AC256" s="3">
        <f>VLOOKUP($E256,'Product Naming'!$A$1:$P$58,12,FALSE)</f>
        <v>86.08784</v>
      </c>
      <c r="AD256" s="1">
        <f>VLOOKUP($E256,'Product Naming'!$A$1:$P$58,13,FALSE)</f>
        <v>204</v>
      </c>
      <c r="AE256" s="1" t="str">
        <f>VLOOKUP($E256,'Product Naming'!$A$1:$P$58,14,FALSE)</f>
        <v>Lactone (cyclic ester)</v>
      </c>
      <c r="AF256" s="1" t="str">
        <f>VLOOKUP($E256,'Product Naming'!$A$1:$P$58,15,FALSE)</f>
        <v>aKG</v>
      </c>
      <c r="AG256" s="30" t="str">
        <f>VLOOKUP($E256,'Product Naming'!$A$1:$P$58,16,FALSE)</f>
        <v>Proton symporter</v>
      </c>
      <c r="AH256" s="3" t="str">
        <f>VLOOKUP($E256,'Product Naming'!$A$1:$Q$58,17,FALSE)</f>
        <v>gblt_c</v>
      </c>
      <c r="AI256" s="1">
        <f>VLOOKUP($E256,'Product Parameters'!$A$2:$D$59,2,FALSE)</f>
        <v>1</v>
      </c>
      <c r="AJ256" s="1">
        <f>VLOOKUP($E256,'Product Parameters'!$A$2:$D$59,3,FALSE)</f>
        <v>0</v>
      </c>
      <c r="AK256" s="1">
        <f>VLOOKUP($E256,'Product Parameters'!$A$2:$D$59,4,FALSE)</f>
        <v>0.12</v>
      </c>
      <c r="AL256" s="1">
        <f>VLOOKUP($E256,'Product Parameters'!$A$2:$E$59,5,FALSE)</f>
        <v>0</v>
      </c>
      <c r="AM256" s="1">
        <f>VLOOKUP($E256,'Product Parameters'!$A$2:$F$59,6,FALSE)</f>
        <v>4</v>
      </c>
      <c r="AN256" s="1">
        <f>VLOOKUP($C256,'Substrate Heating'!$A$2:$C$33,3,FALSE)</f>
        <v>249.93333333333334</v>
      </c>
      <c r="AO256" s="1">
        <f>VLOOKUP($C256,'Substrate Heating'!$A$2:$B$33,2,FALSE)</f>
        <v>8.1456827881222953</v>
      </c>
      <c r="AP256" s="1">
        <f>VLOOKUP($C256,'Substrate Heating'!$A$2:$M$33,13,FALSE)</f>
        <v>0.66666666666666663</v>
      </c>
      <c r="AQ256" s="1">
        <f>VLOOKUP($C256,'Substrate Heating'!$A$2:$M$33,8,FALSE)</f>
        <v>0.66666666666666663</v>
      </c>
      <c r="AR256" s="1">
        <f t="shared" si="3"/>
        <v>0.40800000000000003</v>
      </c>
    </row>
    <row r="257" spans="1:44" x14ac:dyDescent="0.2">
      <c r="A257" s="17" t="s">
        <v>323</v>
      </c>
      <c r="B257" s="18" t="s">
        <v>324</v>
      </c>
      <c r="C257" t="s">
        <v>335</v>
      </c>
      <c r="D257" s="19" t="s">
        <v>326</v>
      </c>
      <c r="E257" t="s">
        <v>124</v>
      </c>
      <c r="F257" t="s">
        <v>125</v>
      </c>
      <c r="G257">
        <v>-10</v>
      </c>
      <c r="H257">
        <v>0</v>
      </c>
      <c r="I257">
        <v>-10</v>
      </c>
      <c r="J257">
        <v>0.45</v>
      </c>
      <c r="K257">
        <v>-10</v>
      </c>
      <c r="L257">
        <v>0</v>
      </c>
      <c r="M257">
        <v>-10</v>
      </c>
      <c r="N257">
        <v>1.7763568394002501E-15</v>
      </c>
      <c r="O257">
        <v>0.84651162790697698</v>
      </c>
      <c r="P257"/>
      <c r="Q257">
        <v>8.4651162790697704E-2</v>
      </c>
      <c r="R257">
        <v>0.12517838969499001</v>
      </c>
      <c r="S257" s="1" t="str">
        <f>VLOOKUP($E257,'Product Naming'!$A$1:$P$58,2,FALSE)</f>
        <v>Acrylate-PW1</v>
      </c>
      <c r="T257" s="1" t="str">
        <f>VLOOKUP($E257,'Product Naming'!$A$1:$P$58,3,FALSE)</f>
        <v>Acrylate (PW1)</v>
      </c>
      <c r="U257" s="1" t="str">
        <f>VLOOKUP($E257,'Product Naming'!$A$1:$P$58,4,FALSE)</f>
        <v>A</v>
      </c>
      <c r="V257" s="1" t="str">
        <f>VLOOKUP($E257,'Product Naming'!$A$1:$P$58,5,FALSE)</f>
        <v>C3H3O2</v>
      </c>
      <c r="W257" s="1">
        <f>VLOOKUP($E257,'Product Naming'!$A$1:$P$58,6,FALSE)</f>
        <v>3</v>
      </c>
      <c r="X257" s="1">
        <f>VLOOKUP($E257,'Product Naming'!$A$1:$P$58,7,FALSE)</f>
        <v>3</v>
      </c>
      <c r="Y257" s="1">
        <f>VLOOKUP($E257,'Product Naming'!$A$1:$P$58,8,FALSE)</f>
        <v>2</v>
      </c>
      <c r="Z257" s="1">
        <f>VLOOKUP($E257,'Product Naming'!$A$1:$P$58,9,FALSE)</f>
        <v>0</v>
      </c>
      <c r="AA257" s="1">
        <f>VLOOKUP($E257,'Product Naming'!$A$1:$P$58,10,FALSE)</f>
        <v>-1</v>
      </c>
      <c r="AB257" s="29">
        <f>VLOOKUP($E257,'Product Naming'!$A$1:$P$58,11,FALSE)</f>
        <v>3.6666666666666665</v>
      </c>
      <c r="AC257" s="3">
        <f>VLOOKUP($E257,'Product Naming'!$A$1:$P$58,12,FALSE)</f>
        <v>71.053619999999995</v>
      </c>
      <c r="AD257" s="1">
        <f>VLOOKUP($E257,'Product Naming'!$A$1:$P$58,13,FALSE)</f>
        <v>80</v>
      </c>
      <c r="AE257" s="1" t="str">
        <f>VLOOKUP($E257,'Product Naming'!$A$1:$P$58,14,FALSE)</f>
        <v>Carboxylate</v>
      </c>
      <c r="AF257" s="1" t="str">
        <f>VLOOKUP($E257,'Product Naming'!$A$1:$P$58,15,FALSE)</f>
        <v>Glyceraldehyde 3-P</v>
      </c>
      <c r="AG257" s="30" t="str">
        <f>VLOOKUP($E257,'Product Naming'!$A$1:$P$58,16,FALSE)</f>
        <v>Proton symporter</v>
      </c>
      <c r="AH257" s="3" t="str">
        <f>VLOOKUP($E257,'Product Naming'!$A$1:$Q$58,17,FALSE)</f>
        <v>acryl_c</v>
      </c>
      <c r="AI257" s="1">
        <f>VLOOKUP($E257,'Product Parameters'!$A$2:$D$59,2,FALSE)</f>
        <v>1</v>
      </c>
      <c r="AJ257" s="1">
        <f>VLOOKUP($E257,'Product Parameters'!$A$2:$D$59,3,FALSE)</f>
        <v>0</v>
      </c>
      <c r="AK257" s="1">
        <f>VLOOKUP($E257,'Product Parameters'!$A$2:$D$59,4,FALSE)</f>
        <v>0.12</v>
      </c>
      <c r="AL257" s="1">
        <f>VLOOKUP($E257,'Product Parameters'!$A$2:$E$59,5,FALSE)</f>
        <v>53.1</v>
      </c>
      <c r="AM257" s="1">
        <f>VLOOKUP($E257,'Product Parameters'!$A$2:$F$59,6,FALSE)</f>
        <v>3</v>
      </c>
      <c r="AN257" s="1">
        <f>VLOOKUP($C257,'Substrate Heating'!$A$2:$C$33,3,FALSE)</f>
        <v>247.9</v>
      </c>
      <c r="AO257" s="1">
        <f>VLOOKUP($C257,'Substrate Heating'!$A$2:$B$33,2,FALSE)</f>
        <v>10.541709491918519</v>
      </c>
      <c r="AP257" s="1">
        <f>VLOOKUP($C257,'Substrate Heating'!$A$2:$M$33,13,FALSE)</f>
        <v>0.5</v>
      </c>
      <c r="AQ257" s="1">
        <f>VLOOKUP($C257,'Substrate Heating'!$A$2:$M$33,8,FALSE)</f>
        <v>0.5</v>
      </c>
      <c r="AR257" s="1">
        <f t="shared" si="3"/>
        <v>0.50790697674418617</v>
      </c>
    </row>
    <row r="258" spans="1:44" x14ac:dyDescent="0.2">
      <c r="A258" s="17" t="s">
        <v>323</v>
      </c>
      <c r="B258" s="18" t="s">
        <v>324</v>
      </c>
      <c r="C258" t="s">
        <v>325</v>
      </c>
      <c r="D258" s="19" t="s">
        <v>326</v>
      </c>
      <c r="E258" t="s">
        <v>124</v>
      </c>
      <c r="F258" t="s">
        <v>125</v>
      </c>
      <c r="G258">
        <v>-10</v>
      </c>
      <c r="H258">
        <v>0</v>
      </c>
      <c r="I258">
        <v>0</v>
      </c>
      <c r="J258">
        <v>0.45</v>
      </c>
      <c r="K258">
        <v>-10</v>
      </c>
      <c r="L258">
        <v>0</v>
      </c>
      <c r="M258">
        <v>0</v>
      </c>
      <c r="N258">
        <v>5</v>
      </c>
      <c r="O258">
        <v>0.497674418604651</v>
      </c>
      <c r="P258"/>
      <c r="Q258">
        <v>4.9767441860465098E-2</v>
      </c>
      <c r="R258">
        <v>0.12624623000091301</v>
      </c>
      <c r="S258" s="1" t="str">
        <f>VLOOKUP($E258,'Product Naming'!$A$1:$P$58,2,FALSE)</f>
        <v>Acrylate-PW1</v>
      </c>
      <c r="T258" s="1" t="str">
        <f>VLOOKUP($E258,'Product Naming'!$A$1:$P$58,3,FALSE)</f>
        <v>Acrylate (PW1)</v>
      </c>
      <c r="U258" s="1" t="str">
        <f>VLOOKUP($E258,'Product Naming'!$A$1:$P$58,4,FALSE)</f>
        <v>A</v>
      </c>
      <c r="V258" s="1" t="str">
        <f>VLOOKUP($E258,'Product Naming'!$A$1:$P$58,5,FALSE)</f>
        <v>C3H3O2</v>
      </c>
      <c r="W258" s="1">
        <f>VLOOKUP($E258,'Product Naming'!$A$1:$P$58,6,FALSE)</f>
        <v>3</v>
      </c>
      <c r="X258" s="1">
        <f>VLOOKUP($E258,'Product Naming'!$A$1:$P$58,7,FALSE)</f>
        <v>3</v>
      </c>
      <c r="Y258" s="1">
        <f>VLOOKUP($E258,'Product Naming'!$A$1:$P$58,8,FALSE)</f>
        <v>2</v>
      </c>
      <c r="Z258" s="1">
        <f>VLOOKUP($E258,'Product Naming'!$A$1:$P$58,9,FALSE)</f>
        <v>0</v>
      </c>
      <c r="AA258" s="1">
        <f>VLOOKUP($E258,'Product Naming'!$A$1:$P$58,10,FALSE)</f>
        <v>-1</v>
      </c>
      <c r="AB258" s="29">
        <f>VLOOKUP($E258,'Product Naming'!$A$1:$P$58,11,FALSE)</f>
        <v>3.6666666666666665</v>
      </c>
      <c r="AC258" s="3">
        <f>VLOOKUP($E258,'Product Naming'!$A$1:$P$58,12,FALSE)</f>
        <v>71.053619999999995</v>
      </c>
      <c r="AD258" s="1">
        <f>VLOOKUP($E258,'Product Naming'!$A$1:$P$58,13,FALSE)</f>
        <v>80</v>
      </c>
      <c r="AE258" s="1" t="str">
        <f>VLOOKUP($E258,'Product Naming'!$A$1:$P$58,14,FALSE)</f>
        <v>Carboxylate</v>
      </c>
      <c r="AF258" s="1" t="str">
        <f>VLOOKUP($E258,'Product Naming'!$A$1:$P$58,15,FALSE)</f>
        <v>Glyceraldehyde 3-P</v>
      </c>
      <c r="AG258" s="30" t="str">
        <f>VLOOKUP($E258,'Product Naming'!$A$1:$P$58,16,FALSE)</f>
        <v>Proton symporter</v>
      </c>
      <c r="AH258" s="3" t="str">
        <f>VLOOKUP($E258,'Product Naming'!$A$1:$Q$58,17,FALSE)</f>
        <v>acryl_c</v>
      </c>
      <c r="AI258" s="1">
        <f>VLOOKUP($E258,'Product Parameters'!$A$2:$D$59,2,FALSE)</f>
        <v>1</v>
      </c>
      <c r="AJ258" s="1">
        <f>VLOOKUP($E258,'Product Parameters'!$A$2:$D$59,3,FALSE)</f>
        <v>0</v>
      </c>
      <c r="AK258" s="1">
        <f>VLOOKUP($E258,'Product Parameters'!$A$2:$D$59,4,FALSE)</f>
        <v>0.12</v>
      </c>
      <c r="AL258" s="1">
        <f>VLOOKUP($E258,'Product Parameters'!$A$2:$E$59,5,FALSE)</f>
        <v>53.1</v>
      </c>
      <c r="AM258" s="1">
        <f>VLOOKUP($E258,'Product Parameters'!$A$2:$F$59,6,FALSE)</f>
        <v>3</v>
      </c>
      <c r="AN258" s="1">
        <f>VLOOKUP($C258,'Substrate Heating'!$A$2:$C$33,3,FALSE)</f>
        <v>280.09700000000004</v>
      </c>
      <c r="AO258" s="1">
        <f>VLOOKUP($C258,'Substrate Heating'!$A$2:$B$33,2,FALSE)</f>
        <v>10</v>
      </c>
      <c r="AP258" s="1">
        <f>VLOOKUP($C258,'Substrate Heating'!$A$2:$M$33,13,FALSE)</f>
        <v>2</v>
      </c>
      <c r="AQ258" s="1">
        <f>VLOOKUP($C258,'Substrate Heating'!$A$2:$M$33,8,FALSE)</f>
        <v>1</v>
      </c>
      <c r="AR258" s="1">
        <f t="shared" si="3"/>
        <v>0.14930232558139528</v>
      </c>
    </row>
    <row r="259" spans="1:44" x14ac:dyDescent="0.2">
      <c r="A259" s="17" t="s">
        <v>323</v>
      </c>
      <c r="B259" s="18" t="s">
        <v>324</v>
      </c>
      <c r="C259" t="s">
        <v>328</v>
      </c>
      <c r="D259" s="19" t="s">
        <v>326</v>
      </c>
      <c r="E259" t="s">
        <v>143</v>
      </c>
      <c r="F259" t="s">
        <v>137</v>
      </c>
      <c r="G259">
        <v>-10</v>
      </c>
      <c r="H259">
        <v>0</v>
      </c>
      <c r="I259">
        <v>-10</v>
      </c>
      <c r="J259">
        <v>0.45</v>
      </c>
      <c r="K259">
        <v>-10</v>
      </c>
      <c r="L259">
        <v>0</v>
      </c>
      <c r="M259">
        <v>-10</v>
      </c>
      <c r="N259">
        <v>0.15757575757575801</v>
      </c>
      <c r="O259">
        <v>0.31515151515151502</v>
      </c>
      <c r="P259"/>
      <c r="Q259">
        <v>3.1515151515152003E-2</v>
      </c>
      <c r="R259">
        <v>0.127101770956316</v>
      </c>
      <c r="S259" s="1" t="str">
        <f>VLOOKUP($E259,'Product Naming'!$A$1:$P$58,2,FALSE)</f>
        <v>Benzoate-PW2</v>
      </c>
      <c r="T259" s="1" t="str">
        <f>VLOOKUP($E259,'Product Naming'!$A$1:$P$58,3,FALSE)</f>
        <v>Benzoate (PW2)</v>
      </c>
      <c r="U259" s="1" t="str">
        <f>VLOOKUP($E259,'Product Naming'!$A$1:$P$58,4,FALSE)</f>
        <v>A</v>
      </c>
      <c r="V259" s="1" t="str">
        <f>VLOOKUP($E259,'Product Naming'!$A$1:$P$58,5,FALSE)</f>
        <v>C7H5O2</v>
      </c>
      <c r="W259" s="1">
        <f>VLOOKUP($E259,'Product Naming'!$A$1:$P$58,6,FALSE)</f>
        <v>7</v>
      </c>
      <c r="X259" s="1">
        <f>VLOOKUP($E259,'Product Naming'!$A$1:$P$58,7,FALSE)</f>
        <v>5</v>
      </c>
      <c r="Y259" s="1">
        <f>VLOOKUP($E259,'Product Naming'!$A$1:$P$58,8,FALSE)</f>
        <v>2</v>
      </c>
      <c r="Z259" s="1">
        <f>VLOOKUP($E259,'Product Naming'!$A$1:$P$58,9,FALSE)</f>
        <v>0</v>
      </c>
      <c r="AA259" s="1">
        <f>VLOOKUP($E259,'Product Naming'!$A$1:$P$58,10,FALSE)</f>
        <v>-1</v>
      </c>
      <c r="AB259" s="29">
        <f>VLOOKUP($E259,'Product Naming'!$A$1:$P$58,11,FALSE)</f>
        <v>4.1428571428571432</v>
      </c>
      <c r="AC259" s="3">
        <f>VLOOKUP($E259,'Product Naming'!$A$1:$P$58,12,FALSE)</f>
        <v>121.1121</v>
      </c>
      <c r="AD259" s="1">
        <f>VLOOKUP($E259,'Product Naming'!$A$1:$P$58,13,FALSE)</f>
        <v>249.2</v>
      </c>
      <c r="AE259" s="1" t="str">
        <f>VLOOKUP($E259,'Product Naming'!$A$1:$P$58,14,FALSE)</f>
        <v>Aromatic + Carboxylate</v>
      </c>
      <c r="AF259" s="1" t="str">
        <f>VLOOKUP($E259,'Product Naming'!$A$1:$P$58,15,FALSE)</f>
        <v>E4P + aKG</v>
      </c>
      <c r="AG259" s="30" t="str">
        <f>VLOOKUP($E259,'Product Naming'!$A$1:$P$58,16,FALSE)</f>
        <v>Proton symporter</v>
      </c>
      <c r="AH259" s="3" t="str">
        <f>VLOOKUP($E259,'Product Naming'!$A$1:$Q$58,17,FALSE)</f>
        <v>bz_c</v>
      </c>
      <c r="AI259" s="1">
        <f>VLOOKUP($E259,'Product Parameters'!$A$2:$D$59,2,FALSE)</f>
        <v>1</v>
      </c>
      <c r="AJ259" s="1">
        <f>VLOOKUP($E259,'Product Parameters'!$A$2:$D$59,3,FALSE)</f>
        <v>0</v>
      </c>
      <c r="AK259" s="1">
        <f>VLOOKUP($E259,'Product Parameters'!$A$2:$D$59,4,FALSE)</f>
        <v>0.12</v>
      </c>
      <c r="AL259" s="1">
        <f>VLOOKUP($E259,'Product Parameters'!$A$2:$E$59,5,FALSE)</f>
        <v>40.65</v>
      </c>
      <c r="AM259" s="1">
        <f>VLOOKUP($E259,'Product Parameters'!$A$2:$F$59,6,FALSE)</f>
        <v>7</v>
      </c>
      <c r="AN259" s="1">
        <f>VLOOKUP($C259,'Substrate Heating'!$A$2:$C$33,3,FALSE)</f>
        <v>262.39999999999998</v>
      </c>
      <c r="AO259" s="1">
        <f>VLOOKUP($C259,'Substrate Heating'!$A$2:$B$33,2,FALSE)</f>
        <v>17.478546483008707</v>
      </c>
      <c r="AP259" s="1">
        <f>VLOOKUP($C259,'Substrate Heating'!$A$2:$M$33,13,FALSE)</f>
        <v>1</v>
      </c>
      <c r="AQ259" s="1">
        <f>VLOOKUP($C259,'Substrate Heating'!$A$2:$M$33,8,FALSE)</f>
        <v>0.5</v>
      </c>
      <c r="AR259" s="1">
        <f t="shared" ref="AR259:AR322" si="4">Q259*W259/AQ259</f>
        <v>0.44121212121212805</v>
      </c>
    </row>
    <row r="260" spans="1:44" x14ac:dyDescent="0.2">
      <c r="A260" s="17" t="s">
        <v>323</v>
      </c>
      <c r="B260" s="18" t="s">
        <v>324</v>
      </c>
      <c r="C260" t="s">
        <v>333</v>
      </c>
      <c r="D260" s="19" t="s">
        <v>326</v>
      </c>
      <c r="E260" t="s">
        <v>91</v>
      </c>
      <c r="F260" t="s">
        <v>92</v>
      </c>
      <c r="G260">
        <v>-10</v>
      </c>
      <c r="H260">
        <v>0</v>
      </c>
      <c r="I260">
        <v>0</v>
      </c>
      <c r="J260">
        <v>0.45</v>
      </c>
      <c r="K260">
        <v>-10</v>
      </c>
      <c r="L260">
        <v>0</v>
      </c>
      <c r="M260">
        <v>0</v>
      </c>
      <c r="N260">
        <v>6.6666666666666599</v>
      </c>
      <c r="O260">
        <v>0.66666666666666696</v>
      </c>
      <c r="P260"/>
      <c r="Q260">
        <v>6.6666666666666999E-2</v>
      </c>
      <c r="R260">
        <v>0.12766651603895501</v>
      </c>
      <c r="S260" s="1" t="str">
        <f>VLOOKUP($E260,'Product Naming'!$A$1:$P$58,2,FALSE)</f>
        <v>2-Methyl-1-Butanol</v>
      </c>
      <c r="T260" s="1" t="str">
        <f>VLOOKUP($E260,'Product Naming'!$A$1:$P$58,3,FALSE)</f>
        <v>2-Methyl-1-butanol</v>
      </c>
      <c r="U260" s="1" t="str">
        <f>VLOOKUP($E260,'Product Naming'!$A$1:$P$58,4,FALSE)</f>
        <v>A</v>
      </c>
      <c r="V260" s="1" t="str">
        <f>VLOOKUP($E260,'Product Naming'!$A$1:$P$58,5,FALSE)</f>
        <v>C5H12O</v>
      </c>
      <c r="W260" s="1">
        <f>VLOOKUP($E260,'Product Naming'!$A$1:$P$58,6,FALSE)</f>
        <v>5</v>
      </c>
      <c r="X260" s="1">
        <f>VLOOKUP($E260,'Product Naming'!$A$1:$P$58,7,FALSE)</f>
        <v>12</v>
      </c>
      <c r="Y260" s="1">
        <f>VLOOKUP($E260,'Product Naming'!$A$1:$P$58,8,FALSE)</f>
        <v>1</v>
      </c>
      <c r="Z260" s="1">
        <f>VLOOKUP($E260,'Product Naming'!$A$1:$P$58,9,FALSE)</f>
        <v>0</v>
      </c>
      <c r="AA260" s="1">
        <f>VLOOKUP($E260,'Product Naming'!$A$1:$P$58,10,FALSE)</f>
        <v>0</v>
      </c>
      <c r="AB260" s="29">
        <f>VLOOKUP($E260,'Product Naming'!$A$1:$P$58,11,FALSE)</f>
        <v>6</v>
      </c>
      <c r="AC260" s="3">
        <f>VLOOKUP($E260,'Product Naming'!$A$1:$P$58,12,FALSE)</f>
        <v>88.14658</v>
      </c>
      <c r="AD260" s="1">
        <f>VLOOKUP($E260,'Product Naming'!$A$1:$P$58,13,FALSE)</f>
        <v>129</v>
      </c>
      <c r="AE260" s="1" t="str">
        <f>VLOOKUP($E260,'Product Naming'!$A$1:$P$58,14,FALSE)</f>
        <v>Alcohol</v>
      </c>
      <c r="AF260" s="1" t="str">
        <f>VLOOKUP($E260,'Product Naming'!$A$1:$P$58,15,FALSE)</f>
        <v>PEP</v>
      </c>
      <c r="AG260" s="30" t="str">
        <f>VLOOKUP($E260,'Product Naming'!$A$1:$P$58,16,FALSE)</f>
        <v>Proton symporter</v>
      </c>
      <c r="AH260" s="3" t="str">
        <f>VLOOKUP($E260,'Product Naming'!$A$1:$Q$58,17,FALSE)</f>
        <v>2mbtoh_c</v>
      </c>
      <c r="AI260" s="1">
        <f>VLOOKUP($E260,'Product Parameters'!$A$2:$D$59,2,FALSE)</f>
        <v>1</v>
      </c>
      <c r="AJ260" s="1">
        <f>VLOOKUP($E260,'Product Parameters'!$A$2:$D$59,3,FALSE)</f>
        <v>0</v>
      </c>
      <c r="AK260" s="1">
        <f>VLOOKUP($E260,'Product Parameters'!$A$2:$D$59,4,FALSE)</f>
        <v>0.12</v>
      </c>
      <c r="AL260" s="1">
        <f>VLOOKUP($E260,'Product Parameters'!$A$2:$E$59,5,FALSE)</f>
        <v>54.6</v>
      </c>
      <c r="AM260" s="1">
        <f>VLOOKUP($E260,'Product Parameters'!$A$2:$F$59,6,FALSE)</f>
        <v>5</v>
      </c>
      <c r="AN260" s="1">
        <f>VLOOKUP($C260,'Substrate Heating'!$A$2:$C$33,3,FALSE)</f>
        <v>247.59097</v>
      </c>
      <c r="AO260" s="1">
        <f>VLOOKUP($C260,'Substrate Heating'!$A$2:$B$33,2,FALSE)</f>
        <v>5.5</v>
      </c>
      <c r="AP260" s="1">
        <f>VLOOKUP($C260,'Substrate Heating'!$A$2:$M$33,13,FALSE)</f>
        <v>1</v>
      </c>
      <c r="AQ260" s="1">
        <f>VLOOKUP($C260,'Substrate Heating'!$A$2:$M$33,8,FALSE)</f>
        <v>1</v>
      </c>
      <c r="AR260" s="1">
        <f t="shared" si="4"/>
        <v>0.33333333333333498</v>
      </c>
    </row>
    <row r="261" spans="1:44" x14ac:dyDescent="0.2">
      <c r="A261" s="8" t="s">
        <v>34</v>
      </c>
      <c r="B261" s="9" t="s">
        <v>35</v>
      </c>
      <c r="C261" s="1" t="s">
        <v>337</v>
      </c>
      <c r="D261" s="23" t="s">
        <v>338</v>
      </c>
      <c r="E261" s="1" t="s">
        <v>130</v>
      </c>
      <c r="F261" s="1" t="s">
        <v>125</v>
      </c>
      <c r="G261" s="1">
        <v>-10</v>
      </c>
      <c r="H261" s="1">
        <v>-20</v>
      </c>
      <c r="I261" s="1" t="s">
        <v>40</v>
      </c>
      <c r="J261" s="1">
        <v>3.15</v>
      </c>
      <c r="K261" s="1">
        <v>-10</v>
      </c>
      <c r="L261" s="1">
        <v>-2.5052631578947402</v>
      </c>
      <c r="M261" s="1" t="s">
        <v>40</v>
      </c>
      <c r="N261" s="1">
        <v>7.5052631578947402</v>
      </c>
      <c r="O261" s="1">
        <v>0.83157894736842297</v>
      </c>
      <c r="Q261" s="1">
        <v>8.3157894736842305E-2</v>
      </c>
      <c r="R261" s="1">
        <v>0.12836673472356</v>
      </c>
      <c r="S261" s="1" t="str">
        <f>VLOOKUP($E261,'Product Naming'!$A$1:$P$58,2,FALSE)</f>
        <v>Acrylate-PW2</v>
      </c>
      <c r="T261" s="1" t="str">
        <f>VLOOKUP($E261,'Product Naming'!$A$1:$P$58,3,FALSE)</f>
        <v>Acrylate (PW2)</v>
      </c>
      <c r="U261" s="1" t="str">
        <f>VLOOKUP($E261,'Product Naming'!$A$1:$P$58,4,FALSE)</f>
        <v>A</v>
      </c>
      <c r="V261" s="1" t="str">
        <f>VLOOKUP($E261,'Product Naming'!$A$1:$P$58,5,FALSE)</f>
        <v>C3H3O2</v>
      </c>
      <c r="W261" s="1">
        <f>VLOOKUP($E261,'Product Naming'!$A$1:$P$58,6,FALSE)</f>
        <v>3</v>
      </c>
      <c r="X261" s="1">
        <f>VLOOKUP($E261,'Product Naming'!$A$1:$P$58,7,FALSE)</f>
        <v>3</v>
      </c>
      <c r="Y261" s="1">
        <f>VLOOKUP($E261,'Product Naming'!$A$1:$P$58,8,FALSE)</f>
        <v>2</v>
      </c>
      <c r="Z261" s="1">
        <f>VLOOKUP($E261,'Product Naming'!$A$1:$P$58,9,FALSE)</f>
        <v>0</v>
      </c>
      <c r="AA261" s="1">
        <f>VLOOKUP($E261,'Product Naming'!$A$1:$P$58,10,FALSE)</f>
        <v>-1</v>
      </c>
      <c r="AB261" s="29">
        <f>VLOOKUP($E261,'Product Naming'!$A$1:$P$58,11,FALSE)</f>
        <v>3.6666666666666665</v>
      </c>
      <c r="AC261" s="3">
        <f>VLOOKUP($E261,'Product Naming'!$A$1:$P$58,12,FALSE)</f>
        <v>71.053619999999995</v>
      </c>
      <c r="AD261" s="1">
        <f>VLOOKUP($E261,'Product Naming'!$A$1:$P$58,13,FALSE)</f>
        <v>80</v>
      </c>
      <c r="AE261" s="1" t="str">
        <f>VLOOKUP($E261,'Product Naming'!$A$1:$P$58,14,FALSE)</f>
        <v>Carboxylate</v>
      </c>
      <c r="AF261" s="1" t="str">
        <f>VLOOKUP($E261,'Product Naming'!$A$1:$P$58,15,FALSE)</f>
        <v>Pyruvate</v>
      </c>
      <c r="AG261" s="30" t="str">
        <f>VLOOKUP($E261,'Product Naming'!$A$1:$P$58,16,FALSE)</f>
        <v>Proton symporter</v>
      </c>
      <c r="AH261" s="3" t="str">
        <f>VLOOKUP($E261,'Product Naming'!$A$1:$Q$58,17,FALSE)</f>
        <v>acryl_c</v>
      </c>
      <c r="AI261" s="1">
        <f>VLOOKUP($E261,'Product Parameters'!$A$2:$D$59,2,FALSE)</f>
        <v>1</v>
      </c>
      <c r="AJ261" s="1">
        <f>VLOOKUP($E261,'Product Parameters'!$A$2:$D$59,3,FALSE)</f>
        <v>0</v>
      </c>
      <c r="AK261" s="1">
        <f>VLOOKUP($E261,'Product Parameters'!$A$2:$D$59,4,FALSE)</f>
        <v>0.12</v>
      </c>
      <c r="AL261" s="1">
        <f>VLOOKUP($E261,'Product Parameters'!$A$2:$E$59,5,FALSE)</f>
        <v>53.1</v>
      </c>
      <c r="AM261" s="1">
        <f>VLOOKUP($E261,'Product Parameters'!$A$2:$F$59,6,FALSE)</f>
        <v>3</v>
      </c>
      <c r="AN261" s="1">
        <f>VLOOKUP($C261,'Substrate Heating'!$A$2:$C$33,3,FALSE)</f>
        <v>247.59097</v>
      </c>
      <c r="AO261" s="1">
        <f>VLOOKUP($C261,'Substrate Heating'!$A$2:$B$33,2,FALSE)</f>
        <v>5.5</v>
      </c>
      <c r="AP261" s="1">
        <f>VLOOKUP($C261,'Substrate Heating'!$A$2:$M$33,13,FALSE)</f>
        <v>1</v>
      </c>
      <c r="AQ261" s="1">
        <f>VLOOKUP($C261,'Substrate Heating'!$A$2:$M$33,8,FALSE)</f>
        <v>1</v>
      </c>
      <c r="AR261" s="1">
        <f t="shared" si="4"/>
        <v>0.2494736842105269</v>
      </c>
    </row>
    <row r="262" spans="1:44" x14ac:dyDescent="0.2">
      <c r="A262" s="17" t="s">
        <v>185</v>
      </c>
      <c r="B262" s="9" t="s">
        <v>35</v>
      </c>
      <c r="C262" t="s">
        <v>339</v>
      </c>
      <c r="D262" s="23" t="s">
        <v>338</v>
      </c>
      <c r="E262" t="s">
        <v>215</v>
      </c>
      <c r="F262" t="s">
        <v>216</v>
      </c>
      <c r="G262">
        <v>-10</v>
      </c>
      <c r="H262">
        <v>-20</v>
      </c>
      <c r="I262" s="1" t="s">
        <v>40</v>
      </c>
      <c r="J262">
        <v>3.15</v>
      </c>
      <c r="K262">
        <v>-10</v>
      </c>
      <c r="L262">
        <v>-3.1769230769230798</v>
      </c>
      <c r="M262" s="1" t="s">
        <v>40</v>
      </c>
      <c r="N262">
        <v>7.9743589743589798</v>
      </c>
      <c r="O262">
        <v>0.40512820512820402</v>
      </c>
      <c r="P262"/>
      <c r="Q262">
        <v>4.0512820512820402E-2</v>
      </c>
      <c r="R262">
        <v>0.12860614864103001</v>
      </c>
      <c r="S262" s="1" t="str">
        <f>VLOOKUP($E262,'Product Naming'!$A$1:$P$58,2,FALSE)</f>
        <v>Glutamate_L</v>
      </c>
      <c r="T262" s="1" t="str">
        <f>VLOOKUP($E262,'Product Naming'!$A$1:$P$58,3,FALSE)</f>
        <v>L-Glutamate</v>
      </c>
      <c r="U262" s="1" t="str">
        <f>VLOOKUP($E262,'Product Naming'!$A$1:$P$58,4,FALSE)</f>
        <v>iJO1366</v>
      </c>
      <c r="V262" s="1" t="str">
        <f>VLOOKUP($E262,'Product Naming'!$A$1:$P$58,5,FALSE)</f>
        <v>C5H8NO4</v>
      </c>
      <c r="W262" s="1">
        <f>VLOOKUP($E262,'Product Naming'!$A$1:$P$58,6,FALSE)</f>
        <v>5</v>
      </c>
      <c r="X262" s="1">
        <f>VLOOKUP($E262,'Product Naming'!$A$1:$P$58,7,FALSE)</f>
        <v>8</v>
      </c>
      <c r="Y262" s="1">
        <f>VLOOKUP($E262,'Product Naming'!$A$1:$P$58,8,FALSE)</f>
        <v>4</v>
      </c>
      <c r="Z262" s="1">
        <f>VLOOKUP($E262,'Product Naming'!$A$1:$P$58,9,FALSE)</f>
        <v>1</v>
      </c>
      <c r="AA262" s="1">
        <f>VLOOKUP($E262,'Product Naming'!$A$1:$P$58,10,FALSE)</f>
        <v>-1</v>
      </c>
      <c r="AB262" s="29">
        <f>VLOOKUP($E262,'Product Naming'!$A$1:$P$58,11,FALSE)</f>
        <v>3.4</v>
      </c>
      <c r="AC262" s="3">
        <f>VLOOKUP($E262,'Product Naming'!$A$1:$P$58,12,FALSE)</f>
        <v>146.11892</v>
      </c>
      <c r="AD262" s="1">
        <f>VLOOKUP($E262,'Product Naming'!$A$1:$P$58,13,FALSE)</f>
        <v>333.8</v>
      </c>
      <c r="AE262" s="1" t="str">
        <f>VLOOKUP($E262,'Product Naming'!$A$1:$P$58,14,FALSE)</f>
        <v>Amino acid</v>
      </c>
      <c r="AF262" s="1" t="str">
        <f>VLOOKUP($E262,'Product Naming'!$A$1:$P$58,15,FALSE)</f>
        <v>aKG</v>
      </c>
      <c r="AG262" s="30" t="str">
        <f>VLOOKUP($E262,'Product Naming'!$A$1:$P$58,16,FALSE)</f>
        <v>Proton symporter</v>
      </c>
      <c r="AH262" s="3" t="str">
        <f>VLOOKUP($E262,'Product Naming'!$A$1:$Q$58,17,FALSE)</f>
        <v>glu__L_c</v>
      </c>
      <c r="AI262" s="1">
        <f>VLOOKUP($E262,'Product Parameters'!$A$2:$D$59,2,FALSE)</f>
        <v>1</v>
      </c>
      <c r="AJ262" s="1">
        <f>VLOOKUP($E262,'Product Parameters'!$A$2:$D$59,3,FALSE)</f>
        <v>0</v>
      </c>
      <c r="AK262" s="1">
        <f>VLOOKUP($E262,'Product Parameters'!$A$2:$D$59,4,FALSE)</f>
        <v>0.12</v>
      </c>
      <c r="AL262" s="1">
        <f>VLOOKUP($E262,'Product Parameters'!$A$2:$E$59,5,FALSE)</f>
        <v>40.65</v>
      </c>
      <c r="AM262" s="1">
        <f>VLOOKUP($E262,'Product Parameters'!$A$2:$F$59,6,FALSE)</f>
        <v>5</v>
      </c>
      <c r="AN262" s="1">
        <f>VLOOKUP($C262,'Substrate Heating'!$A$2:$C$33,3,FALSE)</f>
        <v>247.59097</v>
      </c>
      <c r="AO262" s="1">
        <f>VLOOKUP($C262,'Substrate Heating'!$A$2:$B$33,2,FALSE)</f>
        <v>5.5</v>
      </c>
      <c r="AP262" s="1">
        <f>VLOOKUP($C262,'Substrate Heating'!$A$2:$M$33,13,FALSE)</f>
        <v>1</v>
      </c>
      <c r="AQ262" s="1">
        <f>VLOOKUP($C262,'Substrate Heating'!$A$2:$M$33,8,FALSE)</f>
        <v>1</v>
      </c>
      <c r="AR262" s="1">
        <f t="shared" si="4"/>
        <v>0.20256410256410201</v>
      </c>
    </row>
    <row r="263" spans="1:44" x14ac:dyDescent="0.2">
      <c r="A263" s="8" t="s">
        <v>34</v>
      </c>
      <c r="B263" s="9" t="s">
        <v>35</v>
      </c>
      <c r="C263" s="1" t="s">
        <v>337</v>
      </c>
      <c r="D263" s="23" t="s">
        <v>338</v>
      </c>
      <c r="E263" s="1" t="s">
        <v>308</v>
      </c>
      <c r="F263" s="1" t="s">
        <v>309</v>
      </c>
      <c r="G263" s="1">
        <v>-10</v>
      </c>
      <c r="H263" s="1">
        <v>-20</v>
      </c>
      <c r="I263" s="1" t="s">
        <v>40</v>
      </c>
      <c r="J263" s="1">
        <v>3.15</v>
      </c>
      <c r="K263" s="1">
        <v>-10</v>
      </c>
      <c r="L263" s="1">
        <v>-2.5781021897810201</v>
      </c>
      <c r="M263" s="1" t="s">
        <v>40</v>
      </c>
      <c r="N263" s="1">
        <v>7.5781021897810197</v>
      </c>
      <c r="O263" s="1">
        <v>0.34598540145985301</v>
      </c>
      <c r="Q263" s="1">
        <v>3.4598540145985401E-2</v>
      </c>
      <c r="R263" s="1">
        <v>0.13014249865748101</v>
      </c>
      <c r="S263" s="1" t="str">
        <f>VLOOKUP($E263,'Product Naming'!$A$1:$P$58,2,FALSE)</f>
        <v>Shikimate</v>
      </c>
      <c r="T263" s="1" t="str">
        <f>VLOOKUP($E263,'Product Naming'!$A$1:$P$58,3,FALSE)</f>
        <v>Shikimate</v>
      </c>
      <c r="U263" s="1" t="str">
        <f>VLOOKUP($E263,'Product Naming'!$A$1:$P$58,4,FALSE)</f>
        <v>E</v>
      </c>
      <c r="V263" s="1" t="str">
        <f>VLOOKUP($E263,'Product Naming'!$A$1:$P$58,5,FALSE)</f>
        <v>C7H9O5</v>
      </c>
      <c r="W263" s="1">
        <f>VLOOKUP($E263,'Product Naming'!$A$1:$P$58,6,FALSE)</f>
        <v>7</v>
      </c>
      <c r="X263" s="1">
        <f>VLOOKUP($E263,'Product Naming'!$A$1:$P$58,7,FALSE)</f>
        <v>9</v>
      </c>
      <c r="Y263" s="1">
        <f>VLOOKUP($E263,'Product Naming'!$A$1:$P$58,8,FALSE)</f>
        <v>5</v>
      </c>
      <c r="Z263" s="1">
        <f>VLOOKUP($E263,'Product Naming'!$A$1:$P$58,9,FALSE)</f>
        <v>0</v>
      </c>
      <c r="AA263" s="1">
        <f>VLOOKUP($E263,'Product Naming'!$A$1:$P$58,10,FALSE)</f>
        <v>-1</v>
      </c>
      <c r="AB263" s="29">
        <f>VLOOKUP($E263,'Product Naming'!$A$1:$P$58,11,FALSE)</f>
        <v>3.8571428571428572</v>
      </c>
      <c r="AC263" s="3">
        <f>VLOOKUP($E263,'Product Naming'!$A$1:$P$58,12,FALSE)</f>
        <v>173.14046000000002</v>
      </c>
      <c r="AD263" s="1">
        <f>VLOOKUP($E263,'Product Naming'!$A$1:$P$58,13,FALSE)</f>
        <v>400.5</v>
      </c>
      <c r="AE263" s="1" t="str">
        <f>VLOOKUP($E263,'Product Naming'!$A$1:$P$58,14,FALSE)</f>
        <v>Aromatic + Alcohol + Carboxylate</v>
      </c>
      <c r="AF263" s="1" t="str">
        <f>VLOOKUP($E263,'Product Naming'!$A$1:$P$58,15,FALSE)</f>
        <v>PEP + E4P (Glyceraldehyde 3-P)</v>
      </c>
      <c r="AG263" s="30" t="str">
        <f>VLOOKUP($E263,'Product Naming'!$A$1:$P$58,16,FALSE)</f>
        <v>Proton symporter</v>
      </c>
      <c r="AH263" s="3" t="str">
        <f>VLOOKUP($E263,'Product Naming'!$A$1:$Q$58,17,FALSE)</f>
        <v>skm_c</v>
      </c>
      <c r="AI263" s="1">
        <f>VLOOKUP($E263,'Product Parameters'!$A$2:$D$59,2,FALSE)</f>
        <v>1</v>
      </c>
      <c r="AJ263" s="1">
        <f>VLOOKUP($E263,'Product Parameters'!$A$2:$D$59,3,FALSE)</f>
        <v>0</v>
      </c>
      <c r="AK263" s="1">
        <f>VLOOKUP($E263,'Product Parameters'!$A$2:$D$59,4,FALSE)</f>
        <v>0.12</v>
      </c>
      <c r="AL263" s="1">
        <f>VLOOKUP($E263,'Product Parameters'!$A$2:$E$59,5,FALSE)</f>
        <v>40.65</v>
      </c>
      <c r="AM263" s="1">
        <f>VLOOKUP($E263,'Product Parameters'!$A$2:$F$59,6,FALSE)</f>
        <v>7</v>
      </c>
      <c r="AN263" s="1">
        <f>VLOOKUP($C263,'Substrate Heating'!$A$2:$C$33,3,FALSE)</f>
        <v>247.59097</v>
      </c>
      <c r="AO263" s="1">
        <f>VLOOKUP($C263,'Substrate Heating'!$A$2:$B$33,2,FALSE)</f>
        <v>5.5</v>
      </c>
      <c r="AP263" s="1">
        <f>VLOOKUP($C263,'Substrate Heating'!$A$2:$M$33,13,FALSE)</f>
        <v>1</v>
      </c>
      <c r="AQ263" s="1">
        <f>VLOOKUP($C263,'Substrate Heating'!$A$2:$M$33,8,FALSE)</f>
        <v>1</v>
      </c>
      <c r="AR263" s="1">
        <f t="shared" si="4"/>
        <v>0.24218978102189781</v>
      </c>
    </row>
    <row r="264" spans="1:44" x14ac:dyDescent="0.2">
      <c r="A264" s="17" t="s">
        <v>323</v>
      </c>
      <c r="B264" s="18" t="s">
        <v>324</v>
      </c>
      <c r="C264" t="s">
        <v>336</v>
      </c>
      <c r="D264" s="19" t="s">
        <v>326</v>
      </c>
      <c r="E264" t="s">
        <v>247</v>
      </c>
      <c r="F264" t="s">
        <v>248</v>
      </c>
      <c r="G264">
        <v>-10</v>
      </c>
      <c r="H264">
        <v>0</v>
      </c>
      <c r="I264">
        <v>-20</v>
      </c>
      <c r="J264">
        <v>0.45</v>
      </c>
      <c r="K264">
        <v>-10</v>
      </c>
      <c r="L264">
        <v>0</v>
      </c>
      <c r="M264">
        <v>-19.033333333333399</v>
      </c>
      <c r="N264">
        <v>0</v>
      </c>
      <c r="O264">
        <v>0.96666666666666801</v>
      </c>
      <c r="P264"/>
      <c r="Q264">
        <v>9.6666666666666803E-2</v>
      </c>
      <c r="R264" s="20">
        <v>0.132022118079829</v>
      </c>
      <c r="S264" s="1" t="str">
        <f>VLOOKUP($E264,'Product Naming'!$A$1:$P$58,2,FALSE)</f>
        <v>Isoprene</v>
      </c>
      <c r="T264" s="1" t="str">
        <f>VLOOKUP($E264,'Product Naming'!$A$1:$P$58,3,FALSE)</f>
        <v>Isoprene</v>
      </c>
      <c r="U264" s="1" t="str">
        <f>VLOOKUP($E264,'Product Naming'!$A$1:$P$58,4,FALSE)</f>
        <v>E</v>
      </c>
      <c r="V264" s="1" t="str">
        <f>VLOOKUP($E264,'Product Naming'!$A$1:$P$58,5,FALSE)</f>
        <v>C5H8</v>
      </c>
      <c r="W264" s="1">
        <f>VLOOKUP($E264,'Product Naming'!$A$1:$P$58,6,FALSE)</f>
        <v>5</v>
      </c>
      <c r="X264" s="1">
        <f>VLOOKUP($E264,'Product Naming'!$A$1:$P$58,7,FALSE)</f>
        <v>8</v>
      </c>
      <c r="Y264" s="1">
        <f>VLOOKUP($E264,'Product Naming'!$A$1:$P$58,8,FALSE)</f>
        <v>0</v>
      </c>
      <c r="Z264" s="1">
        <f>VLOOKUP($E264,'Product Naming'!$A$1:$P$58,9,FALSE)</f>
        <v>0</v>
      </c>
      <c r="AA264" s="1">
        <f>VLOOKUP($E264,'Product Naming'!$A$1:$P$58,10,FALSE)</f>
        <v>0</v>
      </c>
      <c r="AB264" s="29">
        <f>VLOOKUP($E264,'Product Naming'!$A$1:$P$58,11,FALSE)</f>
        <v>5.6</v>
      </c>
      <c r="AC264" s="3">
        <f>VLOOKUP($E264,'Product Naming'!$A$1:$P$58,12,FALSE)</f>
        <v>68.116219999999998</v>
      </c>
      <c r="AD264" s="1">
        <f>VLOOKUP($E264,'Product Naming'!$A$1:$P$58,13,FALSE)</f>
        <v>34.07</v>
      </c>
      <c r="AE264" s="1" t="str">
        <f>VLOOKUP($E264,'Product Naming'!$A$1:$P$58,14,FALSE)</f>
        <v>Hydrocarbon</v>
      </c>
      <c r="AF264" s="1" t="str">
        <f>VLOOKUP($E264,'Product Naming'!$A$1:$P$58,15,FALSE)</f>
        <v>Acetyl-CoA</v>
      </c>
      <c r="AG264" s="30" t="str">
        <f>VLOOKUP($E264,'Product Naming'!$A$1:$P$58,16,FALSE)</f>
        <v>Diffusion</v>
      </c>
      <c r="AH264" s="3" t="str">
        <f>VLOOKUP($E264,'Product Naming'!$A$1:$Q$58,17,FALSE)</f>
        <v>iprene_c</v>
      </c>
      <c r="AI264" s="1">
        <f>VLOOKUP($E264,'Product Parameters'!$A$2:$D$59,2,FALSE)</f>
        <v>0</v>
      </c>
      <c r="AJ264" s="1">
        <f>VLOOKUP($E264,'Product Parameters'!$A$2:$D$59,3,FALSE)</f>
        <v>1</v>
      </c>
      <c r="AK264" s="1">
        <f>VLOOKUP($E264,'Product Parameters'!$A$2:$D$59,4,FALSE)</f>
        <v>0.12</v>
      </c>
      <c r="AL264" s="1">
        <f>VLOOKUP($E264,'Product Parameters'!$A$2:$E$59,5,FALSE)</f>
        <v>26.4</v>
      </c>
      <c r="AM264" s="1">
        <f>VLOOKUP($E264,'Product Parameters'!$A$2:$F$59,6,FALSE)</f>
        <v>5</v>
      </c>
      <c r="AN264" s="1">
        <f>VLOOKUP($C264,'Substrate Heating'!$A$2:$C$33,3,FALSE)</f>
        <v>245.86666666666667</v>
      </c>
      <c r="AO264" s="1">
        <f>VLOOKUP($C264,'Substrate Heating'!$A$2:$B$33,2,FALSE)</f>
        <v>15.038360459876978</v>
      </c>
      <c r="AP264" s="1">
        <f>VLOOKUP($C264,'Substrate Heating'!$A$2:$M$33,13,FALSE)</f>
        <v>0.33333333333333331</v>
      </c>
      <c r="AQ264" s="1">
        <f>VLOOKUP($C264,'Substrate Heating'!$A$2:$M$33,8,FALSE)</f>
        <v>0.33333333333333331</v>
      </c>
      <c r="AR264" s="1">
        <f t="shared" si="4"/>
        <v>1.4500000000000022</v>
      </c>
    </row>
    <row r="265" spans="1:44" x14ac:dyDescent="0.2">
      <c r="A265" s="17" t="s">
        <v>323</v>
      </c>
      <c r="B265" s="18" t="s">
        <v>324</v>
      </c>
      <c r="C265" t="s">
        <v>336</v>
      </c>
      <c r="D265" s="19" t="s">
        <v>326</v>
      </c>
      <c r="E265" t="s">
        <v>192</v>
      </c>
      <c r="F265" t="s">
        <v>193</v>
      </c>
      <c r="G265">
        <v>-10</v>
      </c>
      <c r="H265">
        <v>0</v>
      </c>
      <c r="I265">
        <v>-20</v>
      </c>
      <c r="J265">
        <v>0.45</v>
      </c>
      <c r="K265">
        <v>-10</v>
      </c>
      <c r="L265">
        <v>0</v>
      </c>
      <c r="M265">
        <v>-16.772173913043499</v>
      </c>
      <c r="N265">
        <v>0</v>
      </c>
      <c r="O265">
        <v>0.40347826086956501</v>
      </c>
      <c r="P265"/>
      <c r="Q265">
        <v>4.0347826086956501E-2</v>
      </c>
      <c r="R265" s="20">
        <v>0.13320403846683099</v>
      </c>
      <c r="S265" s="1" t="str">
        <f>VLOOKUP($E265,'Product Naming'!$A$1:$P$58,2,FALSE)</f>
        <v>Coumaric acid</v>
      </c>
      <c r="T265" s="1" t="str">
        <f>VLOOKUP($E265,'Product Naming'!$A$1:$P$58,3,FALSE)</f>
        <v>Coumaric acid</v>
      </c>
      <c r="U265" s="1" t="str">
        <f>VLOOKUP($E265,'Product Naming'!$A$1:$P$58,4,FALSE)</f>
        <v>E</v>
      </c>
      <c r="V265" s="1" t="str">
        <f>VLOOKUP($E265,'Product Naming'!$A$1:$P$58,5,FALSE)</f>
        <v>C9H7O3</v>
      </c>
      <c r="W265" s="1">
        <f>VLOOKUP($E265,'Product Naming'!$A$1:$P$58,6,FALSE)</f>
        <v>9</v>
      </c>
      <c r="X265" s="1">
        <f>VLOOKUP($E265,'Product Naming'!$A$1:$P$58,7,FALSE)</f>
        <v>7</v>
      </c>
      <c r="Y265" s="1">
        <f>VLOOKUP($E265,'Product Naming'!$A$1:$P$58,8,FALSE)</f>
        <v>3</v>
      </c>
      <c r="Z265" s="1">
        <f>VLOOKUP($E265,'Product Naming'!$A$1:$P$58,9,FALSE)</f>
        <v>0</v>
      </c>
      <c r="AA265" s="1">
        <f>VLOOKUP($E265,'Product Naming'!$A$1:$P$58,10,FALSE)</f>
        <v>-1</v>
      </c>
      <c r="AB265" s="29">
        <f>VLOOKUP($E265,'Product Naming'!$A$1:$P$58,11,FALSE)</f>
        <v>4.1111111111111107</v>
      </c>
      <c r="AC265" s="3">
        <f>VLOOKUP($E265,'Product Naming'!$A$1:$P$58,12,FALSE)</f>
        <v>163.14818</v>
      </c>
      <c r="AD265" s="1">
        <f>VLOOKUP($E265,'Product Naming'!$A$1:$P$58,13,FALSE)</f>
        <v>346</v>
      </c>
      <c r="AE265" s="1" t="str">
        <f>VLOOKUP($E265,'Product Naming'!$A$1:$P$58,14,FALSE)</f>
        <v>Aromatic + Alcohol + Carboxylate</v>
      </c>
      <c r="AF265" s="1" t="str">
        <f>VLOOKUP($E265,'Product Naming'!$A$1:$P$58,15,FALSE)</f>
        <v>E4P + L-glutamate</v>
      </c>
      <c r="AG265" s="30" t="str">
        <f>VLOOKUP($E265,'Product Naming'!$A$1:$P$58,16,FALSE)</f>
        <v>Proton symporter</v>
      </c>
      <c r="AH265" s="3" t="str">
        <f>VLOOKUP($E265,'Product Naming'!$A$1:$Q$58,17,FALSE)</f>
        <v>T4hcinnm_c</v>
      </c>
      <c r="AI265" s="1">
        <f>VLOOKUP($E265,'Product Parameters'!$A$2:$D$59,2,FALSE)</f>
        <v>1</v>
      </c>
      <c r="AJ265" s="1">
        <f>VLOOKUP($E265,'Product Parameters'!$A$2:$D$59,3,FALSE)</f>
        <v>0</v>
      </c>
      <c r="AK265" s="1">
        <f>VLOOKUP($E265,'Product Parameters'!$A$2:$D$59,4,FALSE)</f>
        <v>0.12</v>
      </c>
      <c r="AL265" s="1">
        <f>VLOOKUP($E265,'Product Parameters'!$A$2:$E$59,5,FALSE)</f>
        <v>40.65</v>
      </c>
      <c r="AM265" s="1">
        <f>VLOOKUP($E265,'Product Parameters'!$A$2:$F$59,6,FALSE)</f>
        <v>9</v>
      </c>
      <c r="AN265" s="1">
        <f>VLOOKUP($C265,'Substrate Heating'!$A$2:$C$33,3,FALSE)</f>
        <v>245.86666666666667</v>
      </c>
      <c r="AO265" s="1">
        <f>VLOOKUP($C265,'Substrate Heating'!$A$2:$B$33,2,FALSE)</f>
        <v>15.038360459876978</v>
      </c>
      <c r="AP265" s="1">
        <f>VLOOKUP($C265,'Substrate Heating'!$A$2:$M$33,13,FALSE)</f>
        <v>0.33333333333333331</v>
      </c>
      <c r="AQ265" s="1">
        <f>VLOOKUP($C265,'Substrate Heating'!$A$2:$M$33,8,FALSE)</f>
        <v>0.33333333333333331</v>
      </c>
      <c r="AR265" s="1">
        <f t="shared" si="4"/>
        <v>1.0893913043478256</v>
      </c>
    </row>
    <row r="266" spans="1:44" x14ac:dyDescent="0.2">
      <c r="A266" s="17" t="s">
        <v>323</v>
      </c>
      <c r="B266" s="18" t="s">
        <v>324</v>
      </c>
      <c r="C266" t="s">
        <v>336</v>
      </c>
      <c r="D266" s="19" t="s">
        <v>326</v>
      </c>
      <c r="E266" t="s">
        <v>204</v>
      </c>
      <c r="F266" t="s">
        <v>205</v>
      </c>
      <c r="G266">
        <v>-10</v>
      </c>
      <c r="H266">
        <v>0</v>
      </c>
      <c r="I266">
        <v>-20</v>
      </c>
      <c r="J266">
        <v>0.45</v>
      </c>
      <c r="K266">
        <v>-10</v>
      </c>
      <c r="L266">
        <v>0</v>
      </c>
      <c r="M266">
        <v>-19.019718309859201</v>
      </c>
      <c r="N266">
        <v>0</v>
      </c>
      <c r="O266">
        <v>0.32676056338028198</v>
      </c>
      <c r="P266"/>
      <c r="Q266">
        <v>3.2676056338028198E-2</v>
      </c>
      <c r="R266" s="20">
        <v>0.13388896755038299</v>
      </c>
      <c r="S266" s="1" t="str">
        <f>VLOOKUP($E266,'Product Naming'!$A$1:$P$58,2,FALSE)</f>
        <v>Farnesene</v>
      </c>
      <c r="T266" s="1" t="str">
        <f>VLOOKUP($E266,'Product Naming'!$A$1:$P$58,3,FALSE)</f>
        <v>Farnesene</v>
      </c>
      <c r="U266" s="1" t="str">
        <f>VLOOKUP($E266,'Product Naming'!$A$1:$P$58,4,FALSE)</f>
        <v>A</v>
      </c>
      <c r="V266" s="1" t="str">
        <f>VLOOKUP($E266,'Product Naming'!$A$1:$P$58,5,FALSE)</f>
        <v>C15H24</v>
      </c>
      <c r="W266" s="1">
        <f>VLOOKUP($E266,'Product Naming'!$A$1:$P$58,6,FALSE)</f>
        <v>15</v>
      </c>
      <c r="X266" s="1">
        <f>VLOOKUP($E266,'Product Naming'!$A$1:$P$58,7,FALSE)</f>
        <v>24</v>
      </c>
      <c r="Y266" s="1">
        <f>VLOOKUP($E266,'Product Naming'!$A$1:$P$58,8,FALSE)</f>
        <v>0</v>
      </c>
      <c r="Z266" s="1">
        <f>VLOOKUP($E266,'Product Naming'!$A$1:$P$58,9,FALSE)</f>
        <v>0</v>
      </c>
      <c r="AA266" s="1">
        <f>VLOOKUP($E266,'Product Naming'!$A$1:$P$58,10,FALSE)</f>
        <v>0</v>
      </c>
      <c r="AB266" s="29">
        <f>VLOOKUP($E266,'Product Naming'!$A$1:$P$58,11,FALSE)</f>
        <v>5.6</v>
      </c>
      <c r="AC266" s="3">
        <f>VLOOKUP($E266,'Product Naming'!$A$1:$P$58,12,FALSE)</f>
        <v>204.34866000000002</v>
      </c>
      <c r="AD266" s="1" t="str">
        <f>VLOOKUP($E266,'Product Naming'!$A$1:$P$58,13,FALSE)</f>
        <v>260 (A)/272 (B)</v>
      </c>
      <c r="AE266" s="1" t="str">
        <f>VLOOKUP($E266,'Product Naming'!$A$1:$P$58,14,FALSE)</f>
        <v>Hydrocarbon</v>
      </c>
      <c r="AF266" s="1" t="str">
        <f>VLOOKUP($E266,'Product Naming'!$A$1:$P$58,15,FALSE)</f>
        <v>Acetyl-CoA</v>
      </c>
      <c r="AG266" s="30" t="str">
        <f>VLOOKUP($E266,'Product Naming'!$A$1:$P$58,16,FALSE)</f>
        <v>Proton symporter</v>
      </c>
      <c r="AH266" s="3" t="str">
        <f>VLOOKUP($E266,'Product Naming'!$A$1:$Q$58,17,FALSE)</f>
        <v>frene_c</v>
      </c>
      <c r="AI266" s="1">
        <f>VLOOKUP($E266,'Product Parameters'!$A$2:$D$59,2,FALSE)</f>
        <v>1</v>
      </c>
      <c r="AJ266" s="1">
        <f>VLOOKUP($E266,'Product Parameters'!$A$2:$D$59,3,FALSE)</f>
        <v>0</v>
      </c>
      <c r="AK266" s="1">
        <f>VLOOKUP($E266,'Product Parameters'!$A$2:$D$59,4,FALSE)</f>
        <v>0.12</v>
      </c>
      <c r="AL266" s="1">
        <f>VLOOKUP($E266,'Product Parameters'!$A$2:$E$59,5,FALSE)</f>
        <v>0</v>
      </c>
      <c r="AM266" s="1">
        <f>VLOOKUP($E266,'Product Parameters'!$A$2:$F$59,6,FALSE)</f>
        <v>15</v>
      </c>
      <c r="AN266" s="1">
        <f>VLOOKUP($C266,'Substrate Heating'!$A$2:$C$33,3,FALSE)</f>
        <v>245.86666666666667</v>
      </c>
      <c r="AO266" s="1">
        <f>VLOOKUP($C266,'Substrate Heating'!$A$2:$B$33,2,FALSE)</f>
        <v>15.038360459876978</v>
      </c>
      <c r="AP266" s="1">
        <f>VLOOKUP($C266,'Substrate Heating'!$A$2:$M$33,13,FALSE)</f>
        <v>0.33333333333333331</v>
      </c>
      <c r="AQ266" s="1">
        <f>VLOOKUP($C266,'Substrate Heating'!$A$2:$M$33,8,FALSE)</f>
        <v>0.33333333333333331</v>
      </c>
      <c r="AR266" s="1">
        <f t="shared" si="4"/>
        <v>1.470422535211269</v>
      </c>
    </row>
    <row r="267" spans="1:44" x14ac:dyDescent="0.2">
      <c r="A267" s="8" t="s">
        <v>809</v>
      </c>
      <c r="B267" s="18" t="s">
        <v>324</v>
      </c>
      <c r="C267" t="s">
        <v>808</v>
      </c>
      <c r="D267" s="19" t="s">
        <v>326</v>
      </c>
      <c r="E267" t="s">
        <v>308</v>
      </c>
      <c r="F267" t="s">
        <v>309</v>
      </c>
      <c r="G267">
        <v>-10</v>
      </c>
      <c r="H267">
        <v>0</v>
      </c>
      <c r="I267">
        <v>-20</v>
      </c>
      <c r="J267">
        <v>0.45</v>
      </c>
      <c r="K267">
        <v>-9.9999999999999893</v>
      </c>
      <c r="L267">
        <v>0</v>
      </c>
      <c r="M267">
        <v>-20</v>
      </c>
      <c r="N267">
        <v>-9.9999999999999893</v>
      </c>
      <c r="O267">
        <v>0.37183098591549002</v>
      </c>
      <c r="P267"/>
      <c r="Q267">
        <v>3.7183098591549002E-2</v>
      </c>
      <c r="R267">
        <v>0.13400563661725401</v>
      </c>
      <c r="S267" s="1" t="str">
        <f>VLOOKUP($E267,'Product Naming'!$A$1:$P$58,2,FALSE)</f>
        <v>Shikimate</v>
      </c>
      <c r="T267" s="1" t="str">
        <f>VLOOKUP($E267,'Product Naming'!$A$1:$P$58,3,FALSE)</f>
        <v>Shikimate</v>
      </c>
      <c r="U267" s="1" t="str">
        <f>VLOOKUP($E267,'Product Naming'!$A$1:$P$58,4,FALSE)</f>
        <v>E</v>
      </c>
      <c r="V267" s="1" t="str">
        <f>VLOOKUP($E267,'Product Naming'!$A$1:$P$58,5,FALSE)</f>
        <v>C7H9O5</v>
      </c>
      <c r="W267" s="1">
        <f>VLOOKUP($E267,'Product Naming'!$A$1:$P$58,6,FALSE)</f>
        <v>7</v>
      </c>
      <c r="X267" s="1">
        <f>VLOOKUP($E267,'Product Naming'!$A$1:$P$58,7,FALSE)</f>
        <v>9</v>
      </c>
      <c r="Y267" s="1">
        <f>VLOOKUP($E267,'Product Naming'!$A$1:$P$58,8,FALSE)</f>
        <v>5</v>
      </c>
      <c r="Z267" s="1">
        <f>VLOOKUP($E267,'Product Naming'!$A$1:$P$58,9,FALSE)</f>
        <v>0</v>
      </c>
      <c r="AA267" s="1">
        <f>VLOOKUP($E267,'Product Naming'!$A$1:$P$58,10,FALSE)</f>
        <v>-1</v>
      </c>
      <c r="AB267" s="29">
        <f>VLOOKUP($E267,'Product Naming'!$A$1:$P$58,11,FALSE)</f>
        <v>3.8571428571428572</v>
      </c>
      <c r="AC267" s="3">
        <f>VLOOKUP($E267,'Product Naming'!$A$1:$P$58,12,FALSE)</f>
        <v>173.14046000000002</v>
      </c>
      <c r="AD267" s="1">
        <f>VLOOKUP($E267,'Product Naming'!$A$1:$P$58,13,FALSE)</f>
        <v>400.5</v>
      </c>
      <c r="AE267" s="1" t="str">
        <f>VLOOKUP($E267,'Product Naming'!$A$1:$P$58,14,FALSE)</f>
        <v>Aromatic + Alcohol + Carboxylate</v>
      </c>
      <c r="AF267" s="1" t="str">
        <f>VLOOKUP($E267,'Product Naming'!$A$1:$P$58,15,FALSE)</f>
        <v>PEP + E4P (Glyceraldehyde 3-P)</v>
      </c>
      <c r="AG267" s="30" t="str">
        <f>VLOOKUP($E267,'Product Naming'!$A$1:$P$58,16,FALSE)</f>
        <v>Proton symporter</v>
      </c>
      <c r="AH267" s="3" t="str">
        <f>VLOOKUP($E267,'Product Naming'!$A$1:$Q$58,17,FALSE)</f>
        <v>skm_c</v>
      </c>
      <c r="AI267" s="1">
        <f>VLOOKUP($E267,'Product Parameters'!$A$2:$D$59,2,FALSE)</f>
        <v>1</v>
      </c>
      <c r="AJ267" s="1">
        <f>VLOOKUP($E267,'Product Parameters'!$A$2:$D$59,3,FALSE)</f>
        <v>0</v>
      </c>
      <c r="AK267" s="1">
        <f>VLOOKUP($E267,'Product Parameters'!$A$2:$D$59,4,FALSE)</f>
        <v>0.12</v>
      </c>
      <c r="AL267" s="1">
        <f>VLOOKUP($E267,'Product Parameters'!$A$2:$E$59,5,FALSE)</f>
        <v>40.65</v>
      </c>
      <c r="AM267" s="1">
        <f>VLOOKUP($E267,'Product Parameters'!$A$2:$F$59,6,FALSE)</f>
        <v>7</v>
      </c>
      <c r="AN267" s="1">
        <f>VLOOKUP($C267,'Substrate Heating'!$A$2:$C$33,3,FALSE)</f>
        <v>120.9</v>
      </c>
      <c r="AO267" s="1">
        <f>VLOOKUP($C267,'Substrate Heating'!$A$2:$B$33,2,FALSE)</f>
        <v>5.2537372583834907</v>
      </c>
      <c r="AP267" s="1">
        <f>VLOOKUP($C267,'Substrate Heating'!$A$2:$M$33,13,FALSE)</f>
        <v>0</v>
      </c>
      <c r="AQ267" s="1">
        <f>VLOOKUP($C267,'Substrate Heating'!$A$2:$M$33,8,FALSE)</f>
        <v>0.33333333333333331</v>
      </c>
      <c r="AR267" s="1">
        <f t="shared" si="4"/>
        <v>0.78084507042252904</v>
      </c>
    </row>
    <row r="268" spans="1:44" x14ac:dyDescent="0.2">
      <c r="A268" s="17" t="s">
        <v>323</v>
      </c>
      <c r="B268" s="18" t="s">
        <v>324</v>
      </c>
      <c r="C268" t="s">
        <v>333</v>
      </c>
      <c r="D268" s="19" t="s">
        <v>326</v>
      </c>
      <c r="E268" t="s">
        <v>164</v>
      </c>
      <c r="F268" t="s">
        <v>165</v>
      </c>
      <c r="G268">
        <v>-10</v>
      </c>
      <c r="H268">
        <v>0</v>
      </c>
      <c r="I268">
        <v>0</v>
      </c>
      <c r="J268">
        <v>0.45</v>
      </c>
      <c r="K268">
        <v>-10</v>
      </c>
      <c r="L268">
        <v>0</v>
      </c>
      <c r="M268">
        <v>0</v>
      </c>
      <c r="N268">
        <v>6.6666666666666696</v>
      </c>
      <c r="O268">
        <v>0.83333333333333304</v>
      </c>
      <c r="P268"/>
      <c r="Q268">
        <v>8.3333333333332996E-2</v>
      </c>
      <c r="R268">
        <v>0.134189376690941</v>
      </c>
      <c r="S268" s="1" t="str">
        <f>VLOOKUP($E268,'Product Naming'!$A$1:$P$58,2,FALSE)</f>
        <v>Butanol-PW1</v>
      </c>
      <c r="T268" s="1" t="str">
        <f>VLOOKUP($E268,'Product Naming'!$A$1:$P$58,3,FALSE)</f>
        <v>Butanol (PW1)</v>
      </c>
      <c r="U268" s="1" t="str">
        <f>VLOOKUP($E268,'Product Naming'!$A$1:$P$58,4,FALSE)</f>
        <v>E</v>
      </c>
      <c r="V268" s="1" t="str">
        <f>VLOOKUP($E268,'Product Naming'!$A$1:$P$58,5,FALSE)</f>
        <v>C4H10O</v>
      </c>
      <c r="W268" s="1">
        <f>VLOOKUP($E268,'Product Naming'!$A$1:$P$58,6,FALSE)</f>
        <v>4</v>
      </c>
      <c r="X268" s="1">
        <f>VLOOKUP($E268,'Product Naming'!$A$1:$P$58,7,FALSE)</f>
        <v>10</v>
      </c>
      <c r="Y268" s="1">
        <f>VLOOKUP($E268,'Product Naming'!$A$1:$P$58,8,FALSE)</f>
        <v>1</v>
      </c>
      <c r="Z268" s="1">
        <f>VLOOKUP($E268,'Product Naming'!$A$1:$P$58,9,FALSE)</f>
        <v>0</v>
      </c>
      <c r="AA268" s="1">
        <f>VLOOKUP($E268,'Product Naming'!$A$1:$P$58,10,FALSE)</f>
        <v>0</v>
      </c>
      <c r="AB268" s="29">
        <f>VLOOKUP($E268,'Product Naming'!$A$1:$P$58,11,FALSE)</f>
        <v>6</v>
      </c>
      <c r="AC268" s="3">
        <f>VLOOKUP($E268,'Product Naming'!$A$1:$P$58,12,FALSE)</f>
        <v>74.120199999999997</v>
      </c>
      <c r="AD268" s="1">
        <f>VLOOKUP($E268,'Product Naming'!$A$1:$P$58,13,FALSE)</f>
        <v>117.7</v>
      </c>
      <c r="AE268" s="1" t="str">
        <f>VLOOKUP($E268,'Product Naming'!$A$1:$P$58,14,FALSE)</f>
        <v>Alcohol</v>
      </c>
      <c r="AF268" s="1" t="str">
        <f>VLOOKUP($E268,'Product Naming'!$A$1:$P$58,15,FALSE)</f>
        <v>Acetyl-CoA</v>
      </c>
      <c r="AG268" s="30" t="str">
        <f>VLOOKUP($E268,'Product Naming'!$A$1:$P$58,16,FALSE)</f>
        <v>Proton symporter</v>
      </c>
      <c r="AH268" s="3" t="str">
        <f>VLOOKUP($E268,'Product Naming'!$A$1:$Q$58,17,FALSE)</f>
        <v>btoh_c</v>
      </c>
      <c r="AI268" s="1">
        <f>VLOOKUP($E268,'Product Parameters'!$A$2:$D$59,2,FALSE)</f>
        <v>1</v>
      </c>
      <c r="AJ268" s="1">
        <f>VLOOKUP($E268,'Product Parameters'!$A$2:$D$59,3,FALSE)</f>
        <v>0</v>
      </c>
      <c r="AK268" s="1">
        <f>VLOOKUP($E268,'Product Parameters'!$A$2:$D$59,4,FALSE)</f>
        <v>0.12</v>
      </c>
      <c r="AL268" s="1">
        <f>VLOOKUP($E268,'Product Parameters'!$A$2:$E$59,5,FALSE)</f>
        <v>52</v>
      </c>
      <c r="AM268" s="1">
        <f>VLOOKUP($E268,'Product Parameters'!$A$2:$F$59,6,FALSE)</f>
        <v>4</v>
      </c>
      <c r="AN268" s="1">
        <f>VLOOKUP($C268,'Substrate Heating'!$A$2:$C$33,3,FALSE)</f>
        <v>247.59097</v>
      </c>
      <c r="AO268" s="1">
        <f>VLOOKUP($C268,'Substrate Heating'!$A$2:$B$33,2,FALSE)</f>
        <v>5.5</v>
      </c>
      <c r="AP268" s="1">
        <f>VLOOKUP($C268,'Substrate Heating'!$A$2:$M$33,13,FALSE)</f>
        <v>1</v>
      </c>
      <c r="AQ268" s="1">
        <f>VLOOKUP($C268,'Substrate Heating'!$A$2:$M$33,8,FALSE)</f>
        <v>1</v>
      </c>
      <c r="AR268" s="1">
        <f t="shared" si="4"/>
        <v>0.33333333333333198</v>
      </c>
    </row>
    <row r="269" spans="1:44" x14ac:dyDescent="0.2">
      <c r="A269" s="17" t="s">
        <v>323</v>
      </c>
      <c r="B269" s="18" t="s">
        <v>324</v>
      </c>
      <c r="C269" t="s">
        <v>333</v>
      </c>
      <c r="D269" s="19" t="s">
        <v>326</v>
      </c>
      <c r="E269" t="s">
        <v>169</v>
      </c>
      <c r="F269" t="s">
        <v>165</v>
      </c>
      <c r="G269">
        <v>-10</v>
      </c>
      <c r="H269">
        <v>0</v>
      </c>
      <c r="I269">
        <v>0</v>
      </c>
      <c r="J269">
        <v>0.45</v>
      </c>
      <c r="K269">
        <v>-10</v>
      </c>
      <c r="L269">
        <v>0</v>
      </c>
      <c r="M269">
        <v>0</v>
      </c>
      <c r="N269">
        <v>6.6666666666666696</v>
      </c>
      <c r="O269">
        <v>0.83333333333333304</v>
      </c>
      <c r="P269"/>
      <c r="Q269">
        <v>8.3333333333333301E-2</v>
      </c>
      <c r="R269">
        <v>0.134189376690941</v>
      </c>
      <c r="S269" s="1" t="str">
        <f>VLOOKUP($E269,'Product Naming'!$A$1:$P$58,2,FALSE)</f>
        <v>Butanol-PW2</v>
      </c>
      <c r="T269" s="1" t="str">
        <f>VLOOKUP($E269,'Product Naming'!$A$1:$P$58,3,FALSE)</f>
        <v>Butanol (PW2)</v>
      </c>
      <c r="U269" s="1" t="str">
        <f>VLOOKUP($E269,'Product Naming'!$A$1:$P$58,4,FALSE)</f>
        <v>E</v>
      </c>
      <c r="V269" s="1" t="str">
        <f>VLOOKUP($E269,'Product Naming'!$A$1:$P$58,5,FALSE)</f>
        <v>C4H10O</v>
      </c>
      <c r="W269" s="1">
        <f>VLOOKUP($E269,'Product Naming'!$A$1:$P$58,6,FALSE)</f>
        <v>4</v>
      </c>
      <c r="X269" s="1">
        <f>VLOOKUP($E269,'Product Naming'!$A$1:$P$58,7,FALSE)</f>
        <v>10</v>
      </c>
      <c r="Y269" s="1">
        <f>VLOOKUP($E269,'Product Naming'!$A$1:$P$58,8,FALSE)</f>
        <v>1</v>
      </c>
      <c r="Z269" s="1">
        <f>VLOOKUP($E269,'Product Naming'!$A$1:$P$58,9,FALSE)</f>
        <v>0</v>
      </c>
      <c r="AA269" s="1">
        <f>VLOOKUP($E269,'Product Naming'!$A$1:$P$58,10,FALSE)</f>
        <v>0</v>
      </c>
      <c r="AB269" s="29">
        <f>VLOOKUP($E269,'Product Naming'!$A$1:$P$58,11,FALSE)</f>
        <v>6</v>
      </c>
      <c r="AC269" s="3">
        <f>VLOOKUP($E269,'Product Naming'!$A$1:$P$58,12,FALSE)</f>
        <v>74.120199999999997</v>
      </c>
      <c r="AD269" s="1">
        <f>VLOOKUP($E269,'Product Naming'!$A$1:$P$58,13,FALSE)</f>
        <v>117.7</v>
      </c>
      <c r="AE269" s="1" t="str">
        <f>VLOOKUP($E269,'Product Naming'!$A$1:$P$58,14,FALSE)</f>
        <v>Alcohol</v>
      </c>
      <c r="AF269" s="1" t="str">
        <f>VLOOKUP($E269,'Product Naming'!$A$1:$P$58,15,FALSE)</f>
        <v>Oxaloacetate</v>
      </c>
      <c r="AG269" s="30" t="str">
        <f>VLOOKUP($E269,'Product Naming'!$A$1:$P$58,16,FALSE)</f>
        <v>Proton symporter</v>
      </c>
      <c r="AH269" s="3" t="str">
        <f>VLOOKUP($E269,'Product Naming'!$A$1:$Q$58,17,FALSE)</f>
        <v>btoh_c</v>
      </c>
      <c r="AI269" s="1">
        <f>VLOOKUP($E269,'Product Parameters'!$A$2:$D$59,2,FALSE)</f>
        <v>1</v>
      </c>
      <c r="AJ269" s="1">
        <f>VLOOKUP($E269,'Product Parameters'!$A$2:$D$59,3,FALSE)</f>
        <v>0</v>
      </c>
      <c r="AK269" s="1">
        <f>VLOOKUP($E269,'Product Parameters'!$A$2:$D$59,4,FALSE)</f>
        <v>0.12</v>
      </c>
      <c r="AL269" s="1">
        <f>VLOOKUP($E269,'Product Parameters'!$A$2:$E$59,5,FALSE)</f>
        <v>52</v>
      </c>
      <c r="AM269" s="1">
        <f>VLOOKUP($E269,'Product Parameters'!$A$2:$F$59,6,FALSE)</f>
        <v>4</v>
      </c>
      <c r="AN269" s="1">
        <f>VLOOKUP($C269,'Substrate Heating'!$A$2:$C$33,3,FALSE)</f>
        <v>247.59097</v>
      </c>
      <c r="AO269" s="1">
        <f>VLOOKUP($C269,'Substrate Heating'!$A$2:$B$33,2,FALSE)</f>
        <v>5.5</v>
      </c>
      <c r="AP269" s="1">
        <f>VLOOKUP($C269,'Substrate Heating'!$A$2:$M$33,13,FALSE)</f>
        <v>1</v>
      </c>
      <c r="AQ269" s="1">
        <f>VLOOKUP($C269,'Substrate Heating'!$A$2:$M$33,8,FALSE)</f>
        <v>1</v>
      </c>
      <c r="AR269" s="1">
        <f t="shared" si="4"/>
        <v>0.3333333333333332</v>
      </c>
    </row>
    <row r="270" spans="1:44" x14ac:dyDescent="0.2">
      <c r="A270" s="17" t="s">
        <v>323</v>
      </c>
      <c r="B270" s="18" t="s">
        <v>324</v>
      </c>
      <c r="C270" t="s">
        <v>336</v>
      </c>
      <c r="D270" s="19" t="s">
        <v>326</v>
      </c>
      <c r="E270" t="s">
        <v>259</v>
      </c>
      <c r="F270" t="s">
        <v>260</v>
      </c>
      <c r="G270">
        <v>-10</v>
      </c>
      <c r="H270">
        <v>0</v>
      </c>
      <c r="I270">
        <v>-20</v>
      </c>
      <c r="J270">
        <v>0.45</v>
      </c>
      <c r="K270">
        <v>-10</v>
      </c>
      <c r="L270">
        <v>0</v>
      </c>
      <c r="M270">
        <v>-19.012765957446799</v>
      </c>
      <c r="N270">
        <v>0</v>
      </c>
      <c r="O270">
        <v>0.49361702127659601</v>
      </c>
      <c r="P270"/>
      <c r="Q270">
        <v>4.9361702127659599E-2</v>
      </c>
      <c r="R270" s="20">
        <v>0.13484233180250599</v>
      </c>
      <c r="S270" s="1" t="str">
        <f>VLOOKUP($E270,'Product Naming'!$A$1:$P$58,2,FALSE)</f>
        <v>Limonene</v>
      </c>
      <c r="T270" s="1" t="str">
        <f>VLOOKUP($E270,'Product Naming'!$A$1:$P$58,3,FALSE)</f>
        <v>Limonene</v>
      </c>
      <c r="U270" s="1" t="str">
        <f>VLOOKUP($E270,'Product Naming'!$A$1:$P$58,4,FALSE)</f>
        <v>E</v>
      </c>
      <c r="V270" s="1" t="str">
        <f>VLOOKUP($E270,'Product Naming'!$A$1:$P$58,5,FALSE)</f>
        <v>C10H16</v>
      </c>
      <c r="W270" s="1">
        <f>VLOOKUP($E270,'Product Naming'!$A$1:$P$58,6,FALSE)</f>
        <v>10</v>
      </c>
      <c r="X270" s="1">
        <f>VLOOKUP($E270,'Product Naming'!$A$1:$P$58,7,FALSE)</f>
        <v>16</v>
      </c>
      <c r="Y270" s="1">
        <f>VLOOKUP($E270,'Product Naming'!$A$1:$P$58,8,FALSE)</f>
        <v>0</v>
      </c>
      <c r="Z270" s="1">
        <f>VLOOKUP($E270,'Product Naming'!$A$1:$P$58,9,FALSE)</f>
        <v>0</v>
      </c>
      <c r="AA270" s="1">
        <f>VLOOKUP($E270,'Product Naming'!$A$1:$P$58,10,FALSE)</f>
        <v>0</v>
      </c>
      <c r="AB270" s="29">
        <f>VLOOKUP($E270,'Product Naming'!$A$1:$P$58,11,FALSE)</f>
        <v>5.6</v>
      </c>
      <c r="AC270" s="3">
        <f>VLOOKUP($E270,'Product Naming'!$A$1:$P$58,12,FALSE)</f>
        <v>136.23244</v>
      </c>
      <c r="AD270" s="1">
        <f>VLOOKUP($E270,'Product Naming'!$A$1:$P$58,13,FALSE)</f>
        <v>176</v>
      </c>
      <c r="AE270" s="1" t="str">
        <f>VLOOKUP($E270,'Product Naming'!$A$1:$P$58,14,FALSE)</f>
        <v>Isoprenoid; Aromatic (Cycloalkane)</v>
      </c>
      <c r="AF270" s="1" t="str">
        <f>VLOOKUP($E270,'Product Naming'!$A$1:$P$58,15,FALSE)</f>
        <v>Acetyl-CoA</v>
      </c>
      <c r="AG270" s="30" t="str">
        <f>VLOOKUP($E270,'Product Naming'!$A$1:$P$58,16,FALSE)</f>
        <v>Proton symporter</v>
      </c>
      <c r="AH270" s="3" t="str">
        <f>VLOOKUP($E270,'Product Naming'!$A$1:$Q$58,17,FALSE)</f>
        <v>limnen_c</v>
      </c>
      <c r="AI270" s="1">
        <f>VLOOKUP($E270,'Product Parameters'!$A$2:$D$59,2,FALSE)</f>
        <v>1</v>
      </c>
      <c r="AJ270" s="1">
        <f>VLOOKUP($E270,'Product Parameters'!$A$2:$D$59,3,FALSE)</f>
        <v>0</v>
      </c>
      <c r="AK270" s="1">
        <f>VLOOKUP($E270,'Product Parameters'!$A$2:$D$59,4,FALSE)</f>
        <v>0.12</v>
      </c>
      <c r="AL270" s="1">
        <f>VLOOKUP($E270,'Product Parameters'!$A$2:$E$59,5,FALSE)</f>
        <v>49.5</v>
      </c>
      <c r="AM270" s="1">
        <f>VLOOKUP($E270,'Product Parameters'!$A$2:$F$59,6,FALSE)</f>
        <v>10</v>
      </c>
      <c r="AN270" s="1">
        <f>VLOOKUP($C270,'Substrate Heating'!$A$2:$C$33,3,FALSE)</f>
        <v>245.86666666666667</v>
      </c>
      <c r="AO270" s="1">
        <f>VLOOKUP($C270,'Substrate Heating'!$A$2:$B$33,2,FALSE)</f>
        <v>15.038360459876978</v>
      </c>
      <c r="AP270" s="1">
        <f>VLOOKUP($C270,'Substrate Heating'!$A$2:$M$33,13,FALSE)</f>
        <v>0.33333333333333331</v>
      </c>
      <c r="AQ270" s="1">
        <f>VLOOKUP($C270,'Substrate Heating'!$A$2:$M$33,8,FALSE)</f>
        <v>0.33333333333333331</v>
      </c>
      <c r="AR270" s="1">
        <f t="shared" si="4"/>
        <v>1.480851063829788</v>
      </c>
    </row>
    <row r="271" spans="1:44" x14ac:dyDescent="0.2">
      <c r="A271" s="17" t="s">
        <v>323</v>
      </c>
      <c r="B271" s="18" t="s">
        <v>324</v>
      </c>
      <c r="C271" t="s">
        <v>333</v>
      </c>
      <c r="D271" s="19" t="s">
        <v>326</v>
      </c>
      <c r="E271" t="s">
        <v>52</v>
      </c>
      <c r="F271" t="s">
        <v>53</v>
      </c>
      <c r="G271">
        <v>-10</v>
      </c>
      <c r="H271">
        <v>0</v>
      </c>
      <c r="I271">
        <v>0</v>
      </c>
      <c r="J271">
        <v>0.45</v>
      </c>
      <c r="K271">
        <v>-10</v>
      </c>
      <c r="L271">
        <v>0</v>
      </c>
      <c r="M271">
        <v>0</v>
      </c>
      <c r="N271">
        <v>5.8230769230769202</v>
      </c>
      <c r="O271">
        <v>0.82307692307692304</v>
      </c>
      <c r="P271"/>
      <c r="Q271">
        <v>8.2307692307691999E-2</v>
      </c>
      <c r="R271">
        <v>0.13614876347126501</v>
      </c>
      <c r="S271" s="1" t="str">
        <f>VLOOKUP($E271,'Product Naming'!$A$1:$P$58,2,FALSE)</f>
        <v>1-3-Diaminopropane</v>
      </c>
      <c r="T271" s="1" t="str">
        <f>VLOOKUP($E271,'Product Naming'!$A$1:$P$58,3,FALSE)</f>
        <v>1,3-Diaminopropane</v>
      </c>
      <c r="U271" s="1" t="str">
        <f>VLOOKUP($E271,'Product Naming'!$A$1:$P$58,4,FALSE)</f>
        <v>A</v>
      </c>
      <c r="V271" s="1" t="str">
        <f>VLOOKUP($E271,'Product Naming'!$A$1:$P$58,5,FALSE)</f>
        <v>C3H12N2</v>
      </c>
      <c r="W271" s="1">
        <f>VLOOKUP($E271,'Product Naming'!$A$1:$P$58,6,FALSE)</f>
        <v>3</v>
      </c>
      <c r="X271" s="1">
        <f>VLOOKUP($E271,'Product Naming'!$A$1:$P$58,7,FALSE)</f>
        <v>12</v>
      </c>
      <c r="Y271" s="1">
        <f>VLOOKUP($E271,'Product Naming'!$A$1:$P$58,8,FALSE)</f>
        <v>0</v>
      </c>
      <c r="Z271" s="1">
        <f>VLOOKUP($E271,'Product Naming'!$A$1:$P$58,9,FALSE)</f>
        <v>2</v>
      </c>
      <c r="AA271" s="1">
        <f>VLOOKUP($E271,'Product Naming'!$A$1:$P$58,10,FALSE)</f>
        <v>2</v>
      </c>
      <c r="AB271" s="29">
        <f>VLOOKUP($E271,'Product Naming'!$A$1:$P$58,11,FALSE)</f>
        <v>6</v>
      </c>
      <c r="AC271" s="3">
        <f>VLOOKUP($E271,'Product Naming'!$A$1:$P$58,12,FALSE)</f>
        <v>76.139580000000009</v>
      </c>
      <c r="AD271" s="1">
        <f>VLOOKUP($E271,'Product Naming'!$A$1:$P$58,13,FALSE)</f>
        <v>139.30000000000001</v>
      </c>
      <c r="AE271" s="1" t="str">
        <f>VLOOKUP($E271,'Product Naming'!$A$1:$P$58,14,FALSE)</f>
        <v>Diamine</v>
      </c>
      <c r="AF271" s="1" t="str">
        <f>VLOOKUP($E271,'Product Naming'!$A$1:$P$58,15,FALSE)</f>
        <v>Oxaloacetate + aKG</v>
      </c>
      <c r="AG271" s="30" t="str">
        <f>VLOOKUP($E271,'Product Naming'!$A$1:$P$58,16,FALSE)</f>
        <v>Proton symporter</v>
      </c>
      <c r="AH271" s="3" t="str">
        <f>VLOOKUP($E271,'Product Naming'!$A$1:$Q$58,17,FALSE)</f>
        <v>13dampp_c</v>
      </c>
      <c r="AI271" s="1">
        <f>VLOOKUP($E271,'Product Parameters'!$A$2:$D$59,2,FALSE)</f>
        <v>1</v>
      </c>
      <c r="AJ271" s="1">
        <f>VLOOKUP($E271,'Product Parameters'!$A$2:$D$59,3,FALSE)</f>
        <v>0</v>
      </c>
      <c r="AK271" s="1">
        <f>VLOOKUP($E271,'Product Parameters'!$A$2:$D$59,4,FALSE)</f>
        <v>0.12</v>
      </c>
      <c r="AL271" s="1">
        <f>VLOOKUP($E271,'Product Parameters'!$A$2:$E$59,5,FALSE)</f>
        <v>50.18</v>
      </c>
      <c r="AM271" s="1">
        <f>VLOOKUP($E271,'Product Parameters'!$A$2:$F$59,6,FALSE)</f>
        <v>3</v>
      </c>
      <c r="AN271" s="1">
        <f>VLOOKUP($C271,'Substrate Heating'!$A$2:$C$33,3,FALSE)</f>
        <v>247.59097</v>
      </c>
      <c r="AO271" s="1">
        <f>VLOOKUP($C271,'Substrate Heating'!$A$2:$B$33,2,FALSE)</f>
        <v>5.5</v>
      </c>
      <c r="AP271" s="1">
        <f>VLOOKUP($C271,'Substrate Heating'!$A$2:$M$33,13,FALSE)</f>
        <v>1</v>
      </c>
      <c r="AQ271" s="1">
        <f>VLOOKUP($C271,'Substrate Heating'!$A$2:$M$33,8,FALSE)</f>
        <v>1</v>
      </c>
      <c r="AR271" s="1">
        <f t="shared" si="4"/>
        <v>0.246923076923076</v>
      </c>
    </row>
    <row r="272" spans="1:44" x14ac:dyDescent="0.2">
      <c r="A272" s="17" t="s">
        <v>323</v>
      </c>
      <c r="B272" s="18" t="s">
        <v>324</v>
      </c>
      <c r="C272" t="s">
        <v>328</v>
      </c>
      <c r="D272" s="19" t="s">
        <v>326</v>
      </c>
      <c r="E272" t="s">
        <v>136</v>
      </c>
      <c r="F272" t="s">
        <v>137</v>
      </c>
      <c r="G272">
        <v>-10</v>
      </c>
      <c r="H272">
        <v>0</v>
      </c>
      <c r="I272">
        <v>-10</v>
      </c>
      <c r="J272">
        <v>0.45</v>
      </c>
      <c r="K272">
        <v>-10</v>
      </c>
      <c r="L272">
        <v>0</v>
      </c>
      <c r="M272">
        <v>-10</v>
      </c>
      <c r="N272">
        <v>0.16930232558139699</v>
      </c>
      <c r="O272">
        <v>0.33860465116279098</v>
      </c>
      <c r="P272"/>
      <c r="Q272">
        <v>3.3860465116279E-2</v>
      </c>
      <c r="R272">
        <v>0.13656050739957701</v>
      </c>
      <c r="S272" s="1" t="str">
        <f>VLOOKUP($E272,'Product Naming'!$A$1:$P$58,2,FALSE)</f>
        <v>Benzoate-PW1</v>
      </c>
      <c r="T272" s="1" t="str">
        <f>VLOOKUP($E272,'Product Naming'!$A$1:$P$58,3,FALSE)</f>
        <v>Benzoate (PW1)</v>
      </c>
      <c r="U272" s="1" t="str">
        <f>VLOOKUP($E272,'Product Naming'!$A$1:$P$58,4,FALSE)</f>
        <v>A</v>
      </c>
      <c r="V272" s="1" t="str">
        <f>VLOOKUP($E272,'Product Naming'!$A$1:$P$58,5,FALSE)</f>
        <v>C7H5O2</v>
      </c>
      <c r="W272" s="1">
        <f>VLOOKUP($E272,'Product Naming'!$A$1:$P$58,6,FALSE)</f>
        <v>7</v>
      </c>
      <c r="X272" s="1">
        <f>VLOOKUP($E272,'Product Naming'!$A$1:$P$58,7,FALSE)</f>
        <v>5</v>
      </c>
      <c r="Y272" s="1">
        <f>VLOOKUP($E272,'Product Naming'!$A$1:$P$58,8,FALSE)</f>
        <v>2</v>
      </c>
      <c r="Z272" s="1">
        <f>VLOOKUP($E272,'Product Naming'!$A$1:$P$58,9,FALSE)</f>
        <v>0</v>
      </c>
      <c r="AA272" s="1">
        <f>VLOOKUP($E272,'Product Naming'!$A$1:$P$58,10,FALSE)</f>
        <v>-1</v>
      </c>
      <c r="AB272" s="29">
        <f>VLOOKUP($E272,'Product Naming'!$A$1:$P$58,11,FALSE)</f>
        <v>4.1428571428571432</v>
      </c>
      <c r="AC272" s="3">
        <f>VLOOKUP($E272,'Product Naming'!$A$1:$P$58,12,FALSE)</f>
        <v>121.1121</v>
      </c>
      <c r="AD272" s="1">
        <f>VLOOKUP($E272,'Product Naming'!$A$1:$P$58,13,FALSE)</f>
        <v>249.2</v>
      </c>
      <c r="AE272" s="1" t="str">
        <f>VLOOKUP($E272,'Product Naming'!$A$1:$P$58,14,FALSE)</f>
        <v>Aromatic + Carboxylate</v>
      </c>
      <c r="AF272" s="1" t="str">
        <f>VLOOKUP($E272,'Product Naming'!$A$1:$P$58,15,FALSE)</f>
        <v>E4P + aKG</v>
      </c>
      <c r="AG272" s="30" t="str">
        <f>VLOOKUP($E272,'Product Naming'!$A$1:$P$58,16,FALSE)</f>
        <v>Proton symporter</v>
      </c>
      <c r="AH272" s="3" t="str">
        <f>VLOOKUP($E272,'Product Naming'!$A$1:$Q$58,17,FALSE)</f>
        <v>bz_c</v>
      </c>
      <c r="AI272" s="1">
        <f>VLOOKUP($E272,'Product Parameters'!$A$2:$D$59,2,FALSE)</f>
        <v>1</v>
      </c>
      <c r="AJ272" s="1">
        <f>VLOOKUP($E272,'Product Parameters'!$A$2:$D$59,3,FALSE)</f>
        <v>0</v>
      </c>
      <c r="AK272" s="1">
        <f>VLOOKUP($E272,'Product Parameters'!$A$2:$D$59,4,FALSE)</f>
        <v>0.12</v>
      </c>
      <c r="AL272" s="1">
        <f>VLOOKUP($E272,'Product Parameters'!$A$2:$E$59,5,FALSE)</f>
        <v>40.65</v>
      </c>
      <c r="AM272" s="1">
        <f>VLOOKUP($E272,'Product Parameters'!$A$2:$F$59,6,FALSE)</f>
        <v>7</v>
      </c>
      <c r="AN272" s="1">
        <f>VLOOKUP($C272,'Substrate Heating'!$A$2:$C$33,3,FALSE)</f>
        <v>262.39999999999998</v>
      </c>
      <c r="AO272" s="1">
        <f>VLOOKUP($C272,'Substrate Heating'!$A$2:$B$33,2,FALSE)</f>
        <v>17.478546483008707</v>
      </c>
      <c r="AP272" s="1">
        <f>VLOOKUP($C272,'Substrate Heating'!$A$2:$M$33,13,FALSE)</f>
        <v>1</v>
      </c>
      <c r="AQ272" s="1">
        <f>VLOOKUP($C272,'Substrate Heating'!$A$2:$M$33,8,FALSE)</f>
        <v>0.5</v>
      </c>
      <c r="AR272" s="1">
        <f t="shared" si="4"/>
        <v>0.47404651162790601</v>
      </c>
    </row>
    <row r="273" spans="1:44" x14ac:dyDescent="0.2">
      <c r="A273" s="17" t="s">
        <v>185</v>
      </c>
      <c r="B273" s="9" t="s">
        <v>35</v>
      </c>
      <c r="C273" t="s">
        <v>339</v>
      </c>
      <c r="D273" s="23" t="s">
        <v>338</v>
      </c>
      <c r="E273" t="s">
        <v>318</v>
      </c>
      <c r="F273" t="s">
        <v>319</v>
      </c>
      <c r="G273">
        <v>-10</v>
      </c>
      <c r="H273">
        <v>-20</v>
      </c>
      <c r="I273" s="1" t="s">
        <v>40</v>
      </c>
      <c r="J273">
        <v>3.15</v>
      </c>
      <c r="K273">
        <v>-10</v>
      </c>
      <c r="L273">
        <v>-3.0931034482758601</v>
      </c>
      <c r="M273" s="1" t="s">
        <v>40</v>
      </c>
      <c r="N273">
        <v>7.8206896551724103</v>
      </c>
      <c r="O273">
        <v>0.54482758620689598</v>
      </c>
      <c r="P273"/>
      <c r="Q273">
        <v>5.4482758620689603E-2</v>
      </c>
      <c r="R273">
        <v>0.13738599749606401</v>
      </c>
      <c r="S273" s="1" t="str">
        <f>VLOOKUP($E273,'Product Naming'!$A$1:$P$58,2,FALSE)</f>
        <v>Succinate</v>
      </c>
      <c r="T273" s="1" t="str">
        <f>VLOOKUP($E273,'Product Naming'!$A$1:$P$58,3,FALSE)</f>
        <v>Succinate</v>
      </c>
      <c r="U273" s="1" t="str">
        <f>VLOOKUP($E273,'Product Naming'!$A$1:$P$58,4,FALSE)</f>
        <v>iJO1366</v>
      </c>
      <c r="V273" s="1" t="str">
        <f>VLOOKUP($E273,'Product Naming'!$A$1:$P$58,5,FALSE)</f>
        <v>C4H4O4</v>
      </c>
      <c r="W273" s="1">
        <f>VLOOKUP($E273,'Product Naming'!$A$1:$P$58,6,FALSE)</f>
        <v>4</v>
      </c>
      <c r="X273" s="1">
        <f>VLOOKUP($E273,'Product Naming'!$A$1:$P$58,7,FALSE)</f>
        <v>4</v>
      </c>
      <c r="Y273" s="1">
        <f>VLOOKUP($E273,'Product Naming'!$A$1:$P$58,8,FALSE)</f>
        <v>4</v>
      </c>
      <c r="Z273" s="1">
        <f>VLOOKUP($E273,'Product Naming'!$A$1:$P$58,9,FALSE)</f>
        <v>0</v>
      </c>
      <c r="AA273" s="1">
        <f>VLOOKUP($E273,'Product Naming'!$A$1:$P$58,10,FALSE)</f>
        <v>-2</v>
      </c>
      <c r="AB273" s="29">
        <f>VLOOKUP($E273,'Product Naming'!$A$1:$P$58,11,FALSE)</f>
        <v>3</v>
      </c>
      <c r="AC273" s="3">
        <f>VLOOKUP($E273,'Product Naming'!$A$1:$P$58,12,FALSE)</f>
        <v>116.07016</v>
      </c>
      <c r="AD273" s="1">
        <f>VLOOKUP($E273,'Product Naming'!$A$1:$P$58,13,FALSE)</f>
        <v>235</v>
      </c>
      <c r="AE273" s="1" t="str">
        <f>VLOOKUP($E273,'Product Naming'!$A$1:$P$58,14,FALSE)</f>
        <v>Dicarboxylate</v>
      </c>
      <c r="AF273" s="1" t="str">
        <f>VLOOKUP($E273,'Product Naming'!$A$1:$P$58,15,FALSE)</f>
        <v>Oxaloacetate</v>
      </c>
      <c r="AG273" s="30" t="str">
        <f>VLOOKUP($E273,'Product Naming'!$A$1:$P$58,16,FALSE)</f>
        <v>Proton symporter</v>
      </c>
      <c r="AH273" s="3" t="str">
        <f>VLOOKUP($E273,'Product Naming'!$A$1:$Q$58,17,FALSE)</f>
        <v>succ_c</v>
      </c>
      <c r="AI273" s="1">
        <f>VLOOKUP($E273,'Product Parameters'!$A$2:$D$59,2,FALSE)</f>
        <v>1</v>
      </c>
      <c r="AJ273" s="1">
        <f>VLOOKUP($E273,'Product Parameters'!$A$2:$D$59,3,FALSE)</f>
        <v>0</v>
      </c>
      <c r="AK273" s="1">
        <f>VLOOKUP($E273,'Product Parameters'!$A$2:$D$59,4,FALSE)</f>
        <v>0.12</v>
      </c>
      <c r="AL273" s="1">
        <f>VLOOKUP($E273,'Product Parameters'!$A$2:$E$59,5,FALSE)</f>
        <v>40.65</v>
      </c>
      <c r="AM273" s="1">
        <f>VLOOKUP($E273,'Product Parameters'!$A$2:$F$59,6,FALSE)</f>
        <v>4</v>
      </c>
      <c r="AN273" s="1">
        <f>VLOOKUP($C273,'Substrate Heating'!$A$2:$C$33,3,FALSE)</f>
        <v>247.59097</v>
      </c>
      <c r="AO273" s="1">
        <f>VLOOKUP($C273,'Substrate Heating'!$A$2:$B$33,2,FALSE)</f>
        <v>5.5</v>
      </c>
      <c r="AP273" s="1">
        <f>VLOOKUP($C273,'Substrate Heating'!$A$2:$M$33,13,FALSE)</f>
        <v>1</v>
      </c>
      <c r="AQ273" s="1">
        <f>VLOOKUP($C273,'Substrate Heating'!$A$2:$M$33,8,FALSE)</f>
        <v>1</v>
      </c>
      <c r="AR273" s="1">
        <f t="shared" si="4"/>
        <v>0.21793103448275841</v>
      </c>
    </row>
    <row r="274" spans="1:44" x14ac:dyDescent="0.2">
      <c r="A274" s="8" t="s">
        <v>809</v>
      </c>
      <c r="B274" s="18" t="s">
        <v>324</v>
      </c>
      <c r="C274" t="s">
        <v>808</v>
      </c>
      <c r="D274" s="19" t="s">
        <v>326</v>
      </c>
      <c r="E274" t="s">
        <v>225</v>
      </c>
      <c r="F274" t="s">
        <v>226</v>
      </c>
      <c r="G274">
        <v>-10</v>
      </c>
      <c r="H274">
        <v>0</v>
      </c>
      <c r="I274">
        <v>-20</v>
      </c>
      <c r="J274">
        <v>0.45</v>
      </c>
      <c r="K274">
        <v>-10</v>
      </c>
      <c r="L274">
        <v>0</v>
      </c>
      <c r="M274">
        <v>-20</v>
      </c>
      <c r="N274">
        <v>-10</v>
      </c>
      <c r="O274">
        <v>0.87999999999999901</v>
      </c>
      <c r="P274"/>
      <c r="Q274">
        <v>8.7999999999999995E-2</v>
      </c>
      <c r="R274">
        <v>0.13745657882685899</v>
      </c>
      <c r="S274" s="1" t="str">
        <f>VLOOKUP($E274,'Product Naming'!$A$1:$P$58,2,FALSE)</f>
        <v>Glycolate</v>
      </c>
      <c r="T274" s="1" t="str">
        <f>VLOOKUP($E274,'Product Naming'!$A$1:$P$58,3,FALSE)</f>
        <v>Glycolate</v>
      </c>
      <c r="U274" s="1" t="str">
        <f>VLOOKUP($E274,'Product Naming'!$A$1:$P$58,4,FALSE)</f>
        <v>iJO1366</v>
      </c>
      <c r="V274" s="1" t="str">
        <f>VLOOKUP($E274,'Product Naming'!$A$1:$P$58,5,FALSE)</f>
        <v>C2H3O3</v>
      </c>
      <c r="W274" s="1">
        <f>VLOOKUP($E274,'Product Naming'!$A$1:$P$58,6,FALSE)</f>
        <v>2</v>
      </c>
      <c r="X274" s="1">
        <f>VLOOKUP($E274,'Product Naming'!$A$1:$P$58,7,FALSE)</f>
        <v>3</v>
      </c>
      <c r="Y274" s="1">
        <f>VLOOKUP($E274,'Product Naming'!$A$1:$P$58,8,FALSE)</f>
        <v>3</v>
      </c>
      <c r="Z274" s="1">
        <f>VLOOKUP($E274,'Product Naming'!$A$1:$P$58,9,FALSE)</f>
        <v>0</v>
      </c>
      <c r="AA274" s="1">
        <f>VLOOKUP($E274,'Product Naming'!$A$1:$P$58,10,FALSE)</f>
        <v>-1</v>
      </c>
      <c r="AB274" s="29">
        <f>VLOOKUP($E274,'Product Naming'!$A$1:$P$58,11,FALSE)</f>
        <v>2.5</v>
      </c>
      <c r="AC274" s="3">
        <f>VLOOKUP($E274,'Product Naming'!$A$1:$P$58,12,FALSE)</f>
        <v>75.041920000000005</v>
      </c>
      <c r="AD274" s="1">
        <f>VLOOKUP($E274,'Product Naming'!$A$1:$P$58,13,FALSE)</f>
        <v>112</v>
      </c>
      <c r="AE274" s="1" t="str">
        <f>VLOOKUP($E274,'Product Naming'!$A$1:$P$58,14,FALSE)</f>
        <v>Carboxylate + Alcohol (hydroxy carboxylate)</v>
      </c>
      <c r="AF274" s="1" t="str">
        <f>VLOOKUP($E274,'Product Naming'!$A$1:$P$58,15,FALSE)</f>
        <v>Glyoxylate (*isocitrate)</v>
      </c>
      <c r="AG274" s="30" t="str">
        <f>VLOOKUP($E274,'Product Naming'!$A$1:$P$58,16,FALSE)</f>
        <v>Proton symporter</v>
      </c>
      <c r="AH274" s="3" t="str">
        <f>VLOOKUP($E274,'Product Naming'!$A$1:$Q$58,17,FALSE)</f>
        <v>glyclt_c</v>
      </c>
      <c r="AI274" s="1">
        <f>VLOOKUP($E274,'Product Parameters'!$A$2:$D$59,2,FALSE)</f>
        <v>1</v>
      </c>
      <c r="AJ274" s="1">
        <f>VLOOKUP($E274,'Product Parameters'!$A$2:$D$59,3,FALSE)</f>
        <v>0</v>
      </c>
      <c r="AK274" s="1">
        <f>VLOOKUP($E274,'Product Parameters'!$A$2:$D$59,4,FALSE)</f>
        <v>0.12</v>
      </c>
      <c r="AL274" s="1">
        <f>VLOOKUP($E274,'Product Parameters'!$A$2:$E$59,5,FALSE)</f>
        <v>40.65</v>
      </c>
      <c r="AM274" s="1">
        <f>VLOOKUP($E274,'Product Parameters'!$A$2:$F$59,6,FALSE)</f>
        <v>2</v>
      </c>
      <c r="AN274" s="1">
        <f>VLOOKUP($C274,'Substrate Heating'!$A$2:$C$33,3,FALSE)</f>
        <v>120.9</v>
      </c>
      <c r="AO274" s="1">
        <f>VLOOKUP($C274,'Substrate Heating'!$A$2:$B$33,2,FALSE)</f>
        <v>5.2537372583834907</v>
      </c>
      <c r="AP274" s="1">
        <f>VLOOKUP($C274,'Substrate Heating'!$A$2:$M$33,13,FALSE)</f>
        <v>0</v>
      </c>
      <c r="AQ274" s="1">
        <f>VLOOKUP($C274,'Substrate Heating'!$A$2:$M$33,8,FALSE)</f>
        <v>0.33333333333333331</v>
      </c>
      <c r="AR274" s="1">
        <f t="shared" si="4"/>
        <v>0.52800000000000002</v>
      </c>
    </row>
    <row r="275" spans="1:44" x14ac:dyDescent="0.2">
      <c r="A275" s="17" t="s">
        <v>323</v>
      </c>
      <c r="B275" s="18" t="s">
        <v>324</v>
      </c>
      <c r="C275" t="s">
        <v>328</v>
      </c>
      <c r="D275" s="19" t="s">
        <v>326</v>
      </c>
      <c r="E275" t="s">
        <v>108</v>
      </c>
      <c r="F275" t="s">
        <v>109</v>
      </c>
      <c r="G275">
        <v>-10</v>
      </c>
      <c r="H275">
        <v>0</v>
      </c>
      <c r="I275">
        <v>-10</v>
      </c>
      <c r="J275">
        <v>0.45</v>
      </c>
      <c r="K275">
        <v>-10</v>
      </c>
      <c r="L275">
        <v>0</v>
      </c>
      <c r="M275">
        <v>-10</v>
      </c>
      <c r="N275">
        <v>0.51753554502369803</v>
      </c>
      <c r="O275">
        <v>0.34502369668246402</v>
      </c>
      <c r="P275"/>
      <c r="Q275">
        <v>3.4502369668246997E-2</v>
      </c>
      <c r="R275">
        <v>0.13804086744219399</v>
      </c>
      <c r="S275" s="1" t="str">
        <f>VLOOKUP($E275,'Product Naming'!$A$1:$P$58,2,FALSE)</f>
        <v>4-Hydroxystyrene</v>
      </c>
      <c r="T275" s="1" t="str">
        <f>VLOOKUP($E275,'Product Naming'!$A$1:$P$58,3,FALSE)</f>
        <v>4-Hydroxystyrene</v>
      </c>
      <c r="U275" s="1" t="str">
        <f>VLOOKUP($E275,'Product Naming'!$A$1:$P$58,4,FALSE)</f>
        <v>E</v>
      </c>
      <c r="V275" s="1" t="str">
        <f>VLOOKUP($E275,'Product Naming'!$A$1:$P$58,5,FALSE)</f>
        <v>C8H8O</v>
      </c>
      <c r="W275" s="1">
        <f>VLOOKUP($E275,'Product Naming'!$A$1:$P$58,6,FALSE)</f>
        <v>8</v>
      </c>
      <c r="X275" s="1">
        <f>VLOOKUP($E275,'Product Naming'!$A$1:$P$58,7,FALSE)</f>
        <v>8</v>
      </c>
      <c r="Y275" s="1">
        <f>VLOOKUP($E275,'Product Naming'!$A$1:$P$58,8,FALSE)</f>
        <v>1</v>
      </c>
      <c r="Z275" s="1">
        <f>VLOOKUP($E275,'Product Naming'!$A$1:$P$58,9,FALSE)</f>
        <v>0</v>
      </c>
      <c r="AA275" s="1">
        <f>VLOOKUP($E275,'Product Naming'!$A$1:$P$58,10,FALSE)</f>
        <v>0</v>
      </c>
      <c r="AB275" s="29">
        <f>VLOOKUP($E275,'Product Naming'!$A$1:$P$58,11,FALSE)</f>
        <v>4.75</v>
      </c>
      <c r="AC275" s="3">
        <f>VLOOKUP($E275,'Product Naming'!$A$1:$P$58,12,FALSE)</f>
        <v>120.14731999999999</v>
      </c>
      <c r="AD275" s="1">
        <f>VLOOKUP($E275,'Product Naming'!$A$1:$P$58,13,FALSE)</f>
        <v>229</v>
      </c>
      <c r="AE275" s="1" t="str">
        <f>VLOOKUP($E275,'Product Naming'!$A$1:$P$58,14,FALSE)</f>
        <v>Aromatic + Alcohol</v>
      </c>
      <c r="AF275" s="1" t="str">
        <f>VLOOKUP($E275,'Product Naming'!$A$1:$P$58,15,FALSE)</f>
        <v>E4P + L-glutamate</v>
      </c>
      <c r="AG275" s="30" t="str">
        <f>VLOOKUP($E275,'Product Naming'!$A$1:$P$58,16,FALSE)</f>
        <v>Proton symporter</v>
      </c>
      <c r="AH275" s="3" t="str">
        <f>VLOOKUP($E275,'Product Naming'!$A$1:$Q$58,17,FALSE)</f>
        <v>4hxst_c</v>
      </c>
      <c r="AI275" s="1">
        <f>VLOOKUP($E275,'Product Parameters'!$A$2:$D$59,2,FALSE)</f>
        <v>1</v>
      </c>
      <c r="AJ275" s="1">
        <f>VLOOKUP($E275,'Product Parameters'!$A$2:$D$59,3,FALSE)</f>
        <v>0</v>
      </c>
      <c r="AK275" s="1">
        <f>VLOOKUP($E275,'Product Parameters'!$A$2:$D$59,4,FALSE)</f>
        <v>0.12</v>
      </c>
      <c r="AL275" s="1">
        <f>VLOOKUP($E275,'Product Parameters'!$A$2:$E$59,5,FALSE)</f>
        <v>40.65</v>
      </c>
      <c r="AM275" s="1">
        <f>VLOOKUP($E275,'Product Parameters'!$A$2:$F$59,6,FALSE)</f>
        <v>8</v>
      </c>
      <c r="AN275" s="1">
        <f>VLOOKUP($C275,'Substrate Heating'!$A$2:$C$33,3,FALSE)</f>
        <v>262.39999999999998</v>
      </c>
      <c r="AO275" s="1">
        <f>VLOOKUP($C275,'Substrate Heating'!$A$2:$B$33,2,FALSE)</f>
        <v>17.478546483008707</v>
      </c>
      <c r="AP275" s="1">
        <f>VLOOKUP($C275,'Substrate Heating'!$A$2:$M$33,13,FALSE)</f>
        <v>1</v>
      </c>
      <c r="AQ275" s="1">
        <f>VLOOKUP($C275,'Substrate Heating'!$A$2:$M$33,8,FALSE)</f>
        <v>0.5</v>
      </c>
      <c r="AR275" s="1">
        <f t="shared" si="4"/>
        <v>0.55203791469195196</v>
      </c>
    </row>
    <row r="276" spans="1:44" x14ac:dyDescent="0.2">
      <c r="A276" s="8" t="s">
        <v>809</v>
      </c>
      <c r="B276" s="18" t="s">
        <v>324</v>
      </c>
      <c r="C276" t="s">
        <v>808</v>
      </c>
      <c r="D276" s="19" t="s">
        <v>326</v>
      </c>
      <c r="E276" t="s">
        <v>66</v>
      </c>
      <c r="F276" t="s">
        <v>67</v>
      </c>
      <c r="G276">
        <v>-10</v>
      </c>
      <c r="H276">
        <v>0</v>
      </c>
      <c r="I276">
        <v>-20</v>
      </c>
      <c r="J276">
        <v>0.45</v>
      </c>
      <c r="K276">
        <v>-8.9974683544303709</v>
      </c>
      <c r="L276">
        <v>0</v>
      </c>
      <c r="M276">
        <v>-20</v>
      </c>
      <c r="N276">
        <v>-8.9974683544303709</v>
      </c>
      <c r="O276">
        <v>0.66835443037974795</v>
      </c>
      <c r="P276"/>
      <c r="Q276">
        <v>7.4282498593134696E-2</v>
      </c>
      <c r="R276">
        <v>0.13805125441327701</v>
      </c>
      <c r="S276" s="1" t="str">
        <f>VLOOKUP($E276,'Product Naming'!$A$1:$P$58,2,FALSE)</f>
        <v>1-4-butanediol</v>
      </c>
      <c r="T276" s="1" t="str">
        <f>VLOOKUP($E276,'Product Naming'!$A$1:$P$58,3,FALSE)</f>
        <v>1,4-Butanediol</v>
      </c>
      <c r="U276" s="1" t="str">
        <f>VLOOKUP($E276,'Product Naming'!$A$1:$P$58,4,FALSE)</f>
        <v>E</v>
      </c>
      <c r="V276" s="1" t="str">
        <f>VLOOKUP($E276,'Product Naming'!$A$1:$P$58,5,FALSE)</f>
        <v>C4H10O2</v>
      </c>
      <c r="W276" s="1">
        <f>VLOOKUP($E276,'Product Naming'!$A$1:$P$58,6,FALSE)</f>
        <v>4</v>
      </c>
      <c r="X276" s="1">
        <f>VLOOKUP($E276,'Product Naming'!$A$1:$P$58,7,FALSE)</f>
        <v>10</v>
      </c>
      <c r="Y276" s="1">
        <f>VLOOKUP($E276,'Product Naming'!$A$1:$P$58,8,FALSE)</f>
        <v>2</v>
      </c>
      <c r="Z276" s="1">
        <f>VLOOKUP($E276,'Product Naming'!$A$1:$P$58,9,FALSE)</f>
        <v>0</v>
      </c>
      <c r="AA276" s="1">
        <f>VLOOKUP($E276,'Product Naming'!$A$1:$P$58,10,FALSE)</f>
        <v>0</v>
      </c>
      <c r="AB276" s="29">
        <f>VLOOKUP($E276,'Product Naming'!$A$1:$P$58,11,FALSE)</f>
        <v>5.5</v>
      </c>
      <c r="AC276" s="3">
        <f>VLOOKUP($E276,'Product Naming'!$A$1:$P$58,12,FALSE)</f>
        <v>90.119200000000006</v>
      </c>
      <c r="AD276" s="1">
        <f>VLOOKUP($E276,'Product Naming'!$A$1:$P$58,13,FALSE)</f>
        <v>230</v>
      </c>
      <c r="AE276" s="1" t="str">
        <f>VLOOKUP($E276,'Product Naming'!$A$1:$P$58,14,FALSE)</f>
        <v>Diol</v>
      </c>
      <c r="AF276" s="1" t="str">
        <f>VLOOKUP($E276,'Product Naming'!$A$1:$P$58,15,FALSE)</f>
        <v>aKG</v>
      </c>
      <c r="AG276" s="30" t="str">
        <f>VLOOKUP($E276,'Product Naming'!$A$1:$P$58,16,FALSE)</f>
        <v>Proton symporter</v>
      </c>
      <c r="AH276" s="3" t="str">
        <f>VLOOKUP($E276,'Product Naming'!$A$1:$Q$58,17,FALSE)</f>
        <v>14bdo_c</v>
      </c>
      <c r="AI276" s="1">
        <f>VLOOKUP($E276,'Product Parameters'!$A$2:$D$59,2,FALSE)</f>
        <v>1</v>
      </c>
      <c r="AJ276" s="1">
        <f>VLOOKUP($E276,'Product Parameters'!$A$2:$D$59,3,FALSE)</f>
        <v>0</v>
      </c>
      <c r="AK276" s="1">
        <f>VLOOKUP($E276,'Product Parameters'!$A$2:$D$59,4,FALSE)</f>
        <v>0.12</v>
      </c>
      <c r="AL276" s="1">
        <f>VLOOKUP($E276,'Product Parameters'!$A$2:$E$59,5,FALSE)</f>
        <v>78</v>
      </c>
      <c r="AM276" s="1">
        <f>VLOOKUP($E276,'Product Parameters'!$A$2:$F$59,6,FALSE)</f>
        <v>4</v>
      </c>
      <c r="AN276" s="1">
        <f>VLOOKUP($C276,'Substrate Heating'!$A$2:$C$33,3,FALSE)</f>
        <v>120.9</v>
      </c>
      <c r="AO276" s="1">
        <f>VLOOKUP($C276,'Substrate Heating'!$A$2:$B$33,2,FALSE)</f>
        <v>5.2537372583834907</v>
      </c>
      <c r="AP276" s="1">
        <f>VLOOKUP($C276,'Substrate Heating'!$A$2:$M$33,13,FALSE)</f>
        <v>0</v>
      </c>
      <c r="AQ276" s="1">
        <f>VLOOKUP($C276,'Substrate Heating'!$A$2:$M$33,8,FALSE)</f>
        <v>0.33333333333333331</v>
      </c>
      <c r="AR276" s="1">
        <f t="shared" si="4"/>
        <v>0.89138998311761641</v>
      </c>
    </row>
    <row r="277" spans="1:44" x14ac:dyDescent="0.2">
      <c r="A277" s="17" t="s">
        <v>323</v>
      </c>
      <c r="B277" s="18" t="s">
        <v>324</v>
      </c>
      <c r="C277" t="s">
        <v>327</v>
      </c>
      <c r="D277" s="19" t="s">
        <v>326</v>
      </c>
      <c r="E277" t="s">
        <v>247</v>
      </c>
      <c r="F277" t="s">
        <v>248</v>
      </c>
      <c r="G277">
        <v>-10</v>
      </c>
      <c r="H277">
        <v>0</v>
      </c>
      <c r="I277">
        <v>-5</v>
      </c>
      <c r="J277">
        <v>0.45</v>
      </c>
      <c r="K277">
        <v>-10</v>
      </c>
      <c r="L277">
        <v>0</v>
      </c>
      <c r="M277">
        <v>-5</v>
      </c>
      <c r="N277">
        <v>3.6795918367346898</v>
      </c>
      <c r="O277">
        <v>0.58979591836734702</v>
      </c>
      <c r="P277"/>
      <c r="Q277">
        <v>5.8979591836734797E-2</v>
      </c>
      <c r="R277">
        <v>0.13843786537082101</v>
      </c>
      <c r="S277" s="1" t="str">
        <f>VLOOKUP($E277,'Product Naming'!$A$1:$P$58,2,FALSE)</f>
        <v>Isoprene</v>
      </c>
      <c r="T277" s="1" t="str">
        <f>VLOOKUP($E277,'Product Naming'!$A$1:$P$58,3,FALSE)</f>
        <v>Isoprene</v>
      </c>
      <c r="U277" s="1" t="str">
        <f>VLOOKUP($E277,'Product Naming'!$A$1:$P$58,4,FALSE)</f>
        <v>E</v>
      </c>
      <c r="V277" s="1" t="str">
        <f>VLOOKUP($E277,'Product Naming'!$A$1:$P$58,5,FALSE)</f>
        <v>C5H8</v>
      </c>
      <c r="W277" s="1">
        <f>VLOOKUP($E277,'Product Naming'!$A$1:$P$58,6,FALSE)</f>
        <v>5</v>
      </c>
      <c r="X277" s="1">
        <f>VLOOKUP($E277,'Product Naming'!$A$1:$P$58,7,FALSE)</f>
        <v>8</v>
      </c>
      <c r="Y277" s="1">
        <f>VLOOKUP($E277,'Product Naming'!$A$1:$P$58,8,FALSE)</f>
        <v>0</v>
      </c>
      <c r="Z277" s="1">
        <f>VLOOKUP($E277,'Product Naming'!$A$1:$P$58,9,FALSE)</f>
        <v>0</v>
      </c>
      <c r="AA277" s="1">
        <f>VLOOKUP($E277,'Product Naming'!$A$1:$P$58,10,FALSE)</f>
        <v>0</v>
      </c>
      <c r="AB277" s="29">
        <f>VLOOKUP($E277,'Product Naming'!$A$1:$P$58,11,FALSE)</f>
        <v>5.6</v>
      </c>
      <c r="AC277" s="3">
        <f>VLOOKUP($E277,'Product Naming'!$A$1:$P$58,12,FALSE)</f>
        <v>68.116219999999998</v>
      </c>
      <c r="AD277" s="1">
        <f>VLOOKUP($E277,'Product Naming'!$A$1:$P$58,13,FALSE)</f>
        <v>34.07</v>
      </c>
      <c r="AE277" s="1" t="str">
        <f>VLOOKUP($E277,'Product Naming'!$A$1:$P$58,14,FALSE)</f>
        <v>Hydrocarbon</v>
      </c>
      <c r="AF277" s="1" t="str">
        <f>VLOOKUP($E277,'Product Naming'!$A$1:$P$58,15,FALSE)</f>
        <v>Acetyl-CoA</v>
      </c>
      <c r="AG277" s="30" t="str">
        <f>VLOOKUP($E277,'Product Naming'!$A$1:$P$58,16,FALSE)</f>
        <v>Diffusion</v>
      </c>
      <c r="AH277" s="3" t="str">
        <f>VLOOKUP($E277,'Product Naming'!$A$1:$Q$58,17,FALSE)</f>
        <v>iprene_c</v>
      </c>
      <c r="AI277" s="1">
        <f>VLOOKUP($E277,'Product Parameters'!$A$2:$D$59,2,FALSE)</f>
        <v>0</v>
      </c>
      <c r="AJ277" s="1">
        <f>VLOOKUP($E277,'Product Parameters'!$A$2:$D$59,3,FALSE)</f>
        <v>1</v>
      </c>
      <c r="AK277" s="1">
        <f>VLOOKUP($E277,'Product Parameters'!$A$2:$D$59,4,FALSE)</f>
        <v>0.12</v>
      </c>
      <c r="AL277" s="1">
        <f>VLOOKUP($E277,'Product Parameters'!$A$2:$E$59,5,FALSE)</f>
        <v>26.4</v>
      </c>
      <c r="AM277" s="1">
        <f>VLOOKUP($E277,'Product Parameters'!$A$2:$F$59,6,FALSE)</f>
        <v>5</v>
      </c>
      <c r="AN277" s="1">
        <f>VLOOKUP($C277,'Substrate Heating'!$A$2:$C$33,3,FALSE)</f>
        <v>269.26666666666665</v>
      </c>
      <c r="AO277" s="1">
        <f>VLOOKUP($C277,'Substrate Heating'!$A$2:$B$33,2,FALSE)</f>
        <v>13.919167510409219</v>
      </c>
      <c r="AP277" s="1">
        <f>VLOOKUP($C277,'Substrate Heating'!$A$2:$M$33,13,FALSE)</f>
        <v>1.3333333333333333</v>
      </c>
      <c r="AQ277" s="1">
        <f>VLOOKUP($C277,'Substrate Heating'!$A$2:$M$33,8,FALSE)</f>
        <v>0.66666666666666663</v>
      </c>
      <c r="AR277" s="1">
        <f t="shared" si="4"/>
        <v>0.44234693877551101</v>
      </c>
    </row>
    <row r="278" spans="1:44" x14ac:dyDescent="0.2">
      <c r="A278" s="17" t="s">
        <v>323</v>
      </c>
      <c r="B278" s="18" t="s">
        <v>324</v>
      </c>
      <c r="C278" t="s">
        <v>334</v>
      </c>
      <c r="D278" s="19" t="s">
        <v>326</v>
      </c>
      <c r="E278" t="s">
        <v>72</v>
      </c>
      <c r="F278" t="s">
        <v>73</v>
      </c>
      <c r="G278">
        <v>-10</v>
      </c>
      <c r="H278">
        <v>0</v>
      </c>
      <c r="I278">
        <v>-5</v>
      </c>
      <c r="J278">
        <v>0.45</v>
      </c>
      <c r="K278">
        <v>-10</v>
      </c>
      <c r="L278">
        <v>0</v>
      </c>
      <c r="M278">
        <v>-5</v>
      </c>
      <c r="N278">
        <v>4.13584905660377</v>
      </c>
      <c r="O278">
        <v>1.0905660377358499</v>
      </c>
      <c r="P278"/>
      <c r="Q278">
        <v>0.109056603773585</v>
      </c>
      <c r="R278">
        <v>0.13932150607107899</v>
      </c>
      <c r="S278" s="1" t="str">
        <f>VLOOKUP($E278,'Product Naming'!$A$1:$P$58,2,FALSE)</f>
        <v>1-propanol-PW1</v>
      </c>
      <c r="T278" s="1" t="str">
        <f>VLOOKUP($E278,'Product Naming'!$A$1:$P$58,3,FALSE)</f>
        <v>1-Propanol (PW1)</v>
      </c>
      <c r="U278" s="1" t="str">
        <f>VLOOKUP($E278,'Product Naming'!$A$1:$P$58,4,FALSE)</f>
        <v>E-S</v>
      </c>
      <c r="V278" s="1" t="str">
        <f>VLOOKUP($E278,'Product Naming'!$A$1:$P$58,5,FALSE)</f>
        <v>C3H8O</v>
      </c>
      <c r="W278" s="1">
        <f>VLOOKUP($E278,'Product Naming'!$A$1:$P$58,6,FALSE)</f>
        <v>3</v>
      </c>
      <c r="X278" s="1">
        <f>VLOOKUP($E278,'Product Naming'!$A$1:$P$58,7,FALSE)</f>
        <v>8</v>
      </c>
      <c r="Y278" s="1">
        <f>VLOOKUP($E278,'Product Naming'!$A$1:$P$58,8,FALSE)</f>
        <v>1</v>
      </c>
      <c r="Z278" s="1">
        <f>VLOOKUP($E278,'Product Naming'!$A$1:$P$58,9,FALSE)</f>
        <v>0</v>
      </c>
      <c r="AA278" s="1">
        <f>VLOOKUP($E278,'Product Naming'!$A$1:$P$58,10,FALSE)</f>
        <v>0</v>
      </c>
      <c r="AB278" s="29">
        <f>VLOOKUP($E278,'Product Naming'!$A$1:$P$58,11,FALSE)</f>
        <v>6</v>
      </c>
      <c r="AC278" s="3">
        <f>VLOOKUP($E278,'Product Naming'!$A$1:$P$58,12,FALSE)</f>
        <v>60.093820000000001</v>
      </c>
      <c r="AD278" s="1">
        <f>VLOOKUP($E278,'Product Naming'!$A$1:$P$58,13,FALSE)</f>
        <v>97</v>
      </c>
      <c r="AE278" s="1" t="str">
        <f>VLOOKUP($E278,'Product Naming'!$A$1:$P$58,14,FALSE)</f>
        <v>Alcohol</v>
      </c>
      <c r="AF278" s="1" t="str">
        <f>VLOOKUP($E278,'Product Naming'!$A$1:$P$58,15,FALSE)</f>
        <v>Glyceraldehyde 3-P (--&gt;DHAP)</v>
      </c>
      <c r="AG278" s="30" t="str">
        <f>VLOOKUP($E278,'Product Naming'!$A$1:$P$58,16,FALSE)</f>
        <v>Proton symporter</v>
      </c>
      <c r="AH278" s="3" t="str">
        <f>VLOOKUP($E278,'Product Naming'!$A$1:$Q$58,17,FALSE)</f>
        <v>ppoh_c</v>
      </c>
      <c r="AI278" s="1">
        <f>VLOOKUP($E278,'Product Parameters'!$A$2:$D$59,2,FALSE)</f>
        <v>1</v>
      </c>
      <c r="AJ278" s="1">
        <f>VLOOKUP($E278,'Product Parameters'!$A$2:$D$59,3,FALSE)</f>
        <v>0</v>
      </c>
      <c r="AK278" s="1">
        <f>VLOOKUP($E278,'Product Parameters'!$A$2:$D$59,4,FALSE)</f>
        <v>0.12</v>
      </c>
      <c r="AL278" s="1">
        <f>VLOOKUP($E278,'Product Parameters'!$A$2:$E$59,5,FALSE)</f>
        <v>47</v>
      </c>
      <c r="AM278" s="1">
        <f>VLOOKUP($E278,'Product Parameters'!$A$2:$F$59,6,FALSE)</f>
        <v>3</v>
      </c>
      <c r="AN278" s="1">
        <f>VLOOKUP($C278,'Substrate Heating'!$A$2:$C$33,3,FALSE)</f>
        <v>249.93333333333334</v>
      </c>
      <c r="AO278" s="1">
        <f>VLOOKUP($C278,'Substrate Heating'!$A$2:$B$33,2,FALSE)</f>
        <v>8.1456827881222953</v>
      </c>
      <c r="AP278" s="1">
        <f>VLOOKUP($C278,'Substrate Heating'!$A$2:$M$33,13,FALSE)</f>
        <v>0.66666666666666663</v>
      </c>
      <c r="AQ278" s="1">
        <f>VLOOKUP($C278,'Substrate Heating'!$A$2:$M$33,8,FALSE)</f>
        <v>0.66666666666666663</v>
      </c>
      <c r="AR278" s="1">
        <f t="shared" si="4"/>
        <v>0.49075471698113254</v>
      </c>
    </row>
    <row r="279" spans="1:44" x14ac:dyDescent="0.2">
      <c r="A279" s="17" t="s">
        <v>323</v>
      </c>
      <c r="B279" s="18" t="s">
        <v>324</v>
      </c>
      <c r="C279" t="s">
        <v>334</v>
      </c>
      <c r="D279" s="19" t="s">
        <v>326</v>
      </c>
      <c r="E279" t="s">
        <v>66</v>
      </c>
      <c r="F279" t="s">
        <v>67</v>
      </c>
      <c r="G279">
        <v>-10</v>
      </c>
      <c r="H279">
        <v>0</v>
      </c>
      <c r="I279">
        <v>-5</v>
      </c>
      <c r="J279">
        <v>0.45</v>
      </c>
      <c r="K279">
        <v>-10</v>
      </c>
      <c r="L279">
        <v>0</v>
      </c>
      <c r="M279">
        <v>-5</v>
      </c>
      <c r="N279">
        <v>3.5974683544303798</v>
      </c>
      <c r="O279">
        <v>0.73164556962025296</v>
      </c>
      <c r="P279"/>
      <c r="Q279">
        <v>7.3164556962025007E-2</v>
      </c>
      <c r="R279">
        <v>0.14016980037611201</v>
      </c>
      <c r="S279" s="1" t="str">
        <f>VLOOKUP($E279,'Product Naming'!$A$1:$P$58,2,FALSE)</f>
        <v>1-4-butanediol</v>
      </c>
      <c r="T279" s="1" t="str">
        <f>VLOOKUP($E279,'Product Naming'!$A$1:$P$58,3,FALSE)</f>
        <v>1,4-Butanediol</v>
      </c>
      <c r="U279" s="1" t="str">
        <f>VLOOKUP($E279,'Product Naming'!$A$1:$P$58,4,FALSE)</f>
        <v>E</v>
      </c>
      <c r="V279" s="1" t="str">
        <f>VLOOKUP($E279,'Product Naming'!$A$1:$P$58,5,FALSE)</f>
        <v>C4H10O2</v>
      </c>
      <c r="W279" s="1">
        <f>VLOOKUP($E279,'Product Naming'!$A$1:$P$58,6,FALSE)</f>
        <v>4</v>
      </c>
      <c r="X279" s="1">
        <f>VLOOKUP($E279,'Product Naming'!$A$1:$P$58,7,FALSE)</f>
        <v>10</v>
      </c>
      <c r="Y279" s="1">
        <f>VLOOKUP($E279,'Product Naming'!$A$1:$P$58,8,FALSE)</f>
        <v>2</v>
      </c>
      <c r="Z279" s="1">
        <f>VLOOKUP($E279,'Product Naming'!$A$1:$P$58,9,FALSE)</f>
        <v>0</v>
      </c>
      <c r="AA279" s="1">
        <f>VLOOKUP($E279,'Product Naming'!$A$1:$P$58,10,FALSE)</f>
        <v>0</v>
      </c>
      <c r="AB279" s="29">
        <f>VLOOKUP($E279,'Product Naming'!$A$1:$P$58,11,FALSE)</f>
        <v>5.5</v>
      </c>
      <c r="AC279" s="3">
        <f>VLOOKUP($E279,'Product Naming'!$A$1:$P$58,12,FALSE)</f>
        <v>90.119200000000006</v>
      </c>
      <c r="AD279" s="1">
        <f>VLOOKUP($E279,'Product Naming'!$A$1:$P$58,13,FALSE)</f>
        <v>230</v>
      </c>
      <c r="AE279" s="1" t="str">
        <f>VLOOKUP($E279,'Product Naming'!$A$1:$P$58,14,FALSE)</f>
        <v>Diol</v>
      </c>
      <c r="AF279" s="1" t="str">
        <f>VLOOKUP($E279,'Product Naming'!$A$1:$P$58,15,FALSE)</f>
        <v>aKG</v>
      </c>
      <c r="AG279" s="30" t="str">
        <f>VLOOKUP($E279,'Product Naming'!$A$1:$P$58,16,FALSE)</f>
        <v>Proton symporter</v>
      </c>
      <c r="AH279" s="3" t="str">
        <f>VLOOKUP($E279,'Product Naming'!$A$1:$Q$58,17,FALSE)</f>
        <v>14bdo_c</v>
      </c>
      <c r="AI279" s="1">
        <f>VLOOKUP($E279,'Product Parameters'!$A$2:$D$59,2,FALSE)</f>
        <v>1</v>
      </c>
      <c r="AJ279" s="1">
        <f>VLOOKUP($E279,'Product Parameters'!$A$2:$D$59,3,FALSE)</f>
        <v>0</v>
      </c>
      <c r="AK279" s="1">
        <f>VLOOKUP($E279,'Product Parameters'!$A$2:$D$59,4,FALSE)</f>
        <v>0.12</v>
      </c>
      <c r="AL279" s="1">
        <f>VLOOKUP($E279,'Product Parameters'!$A$2:$E$59,5,FALSE)</f>
        <v>78</v>
      </c>
      <c r="AM279" s="1">
        <f>VLOOKUP($E279,'Product Parameters'!$A$2:$F$59,6,FALSE)</f>
        <v>4</v>
      </c>
      <c r="AN279" s="1">
        <f>VLOOKUP($C279,'Substrate Heating'!$A$2:$C$33,3,FALSE)</f>
        <v>249.93333333333334</v>
      </c>
      <c r="AO279" s="1">
        <f>VLOOKUP($C279,'Substrate Heating'!$A$2:$B$33,2,FALSE)</f>
        <v>8.1456827881222953</v>
      </c>
      <c r="AP279" s="1">
        <f>VLOOKUP($C279,'Substrate Heating'!$A$2:$M$33,13,FALSE)</f>
        <v>0.66666666666666663</v>
      </c>
      <c r="AQ279" s="1">
        <f>VLOOKUP($C279,'Substrate Heating'!$A$2:$M$33,8,FALSE)</f>
        <v>0.66666666666666663</v>
      </c>
      <c r="AR279" s="1">
        <f t="shared" si="4"/>
        <v>0.43898734177215004</v>
      </c>
    </row>
    <row r="280" spans="1:44" x14ac:dyDescent="0.2">
      <c r="A280" s="17" t="s">
        <v>323</v>
      </c>
      <c r="B280" s="18" t="s">
        <v>324</v>
      </c>
      <c r="C280" t="s">
        <v>327</v>
      </c>
      <c r="D280" s="19" t="s">
        <v>326</v>
      </c>
      <c r="E280" t="s">
        <v>204</v>
      </c>
      <c r="F280" t="s">
        <v>205</v>
      </c>
      <c r="G280">
        <v>-10</v>
      </c>
      <c r="H280">
        <v>0</v>
      </c>
      <c r="I280">
        <v>-5</v>
      </c>
      <c r="J280">
        <v>0.45</v>
      </c>
      <c r="K280">
        <v>-10</v>
      </c>
      <c r="L280">
        <v>0</v>
      </c>
      <c r="M280">
        <v>-5</v>
      </c>
      <c r="N280">
        <v>3.6958620689655199</v>
      </c>
      <c r="O280">
        <v>0.199310344827586</v>
      </c>
      <c r="P280"/>
      <c r="Q280">
        <v>1.9931034482758601E-2</v>
      </c>
      <c r="R280">
        <v>0.14034735316903901</v>
      </c>
      <c r="S280" s="1" t="str">
        <f>VLOOKUP($E280,'Product Naming'!$A$1:$P$58,2,FALSE)</f>
        <v>Farnesene</v>
      </c>
      <c r="T280" s="1" t="str">
        <f>VLOOKUP($E280,'Product Naming'!$A$1:$P$58,3,FALSE)</f>
        <v>Farnesene</v>
      </c>
      <c r="U280" s="1" t="str">
        <f>VLOOKUP($E280,'Product Naming'!$A$1:$P$58,4,FALSE)</f>
        <v>A</v>
      </c>
      <c r="V280" s="1" t="str">
        <f>VLOOKUP($E280,'Product Naming'!$A$1:$P$58,5,FALSE)</f>
        <v>C15H24</v>
      </c>
      <c r="W280" s="1">
        <f>VLOOKUP($E280,'Product Naming'!$A$1:$P$58,6,FALSE)</f>
        <v>15</v>
      </c>
      <c r="X280" s="1">
        <f>VLOOKUP($E280,'Product Naming'!$A$1:$P$58,7,FALSE)</f>
        <v>24</v>
      </c>
      <c r="Y280" s="1">
        <f>VLOOKUP($E280,'Product Naming'!$A$1:$P$58,8,FALSE)</f>
        <v>0</v>
      </c>
      <c r="Z280" s="1">
        <f>VLOOKUP($E280,'Product Naming'!$A$1:$P$58,9,FALSE)</f>
        <v>0</v>
      </c>
      <c r="AA280" s="1">
        <f>VLOOKUP($E280,'Product Naming'!$A$1:$P$58,10,FALSE)</f>
        <v>0</v>
      </c>
      <c r="AB280" s="29">
        <f>VLOOKUP($E280,'Product Naming'!$A$1:$P$58,11,FALSE)</f>
        <v>5.6</v>
      </c>
      <c r="AC280" s="3">
        <f>VLOOKUP($E280,'Product Naming'!$A$1:$P$58,12,FALSE)</f>
        <v>204.34866000000002</v>
      </c>
      <c r="AD280" s="1" t="str">
        <f>VLOOKUP($E280,'Product Naming'!$A$1:$P$58,13,FALSE)</f>
        <v>260 (A)/272 (B)</v>
      </c>
      <c r="AE280" s="1" t="str">
        <f>VLOOKUP($E280,'Product Naming'!$A$1:$P$58,14,FALSE)</f>
        <v>Hydrocarbon</v>
      </c>
      <c r="AF280" s="1" t="str">
        <f>VLOOKUP($E280,'Product Naming'!$A$1:$P$58,15,FALSE)</f>
        <v>Acetyl-CoA</v>
      </c>
      <c r="AG280" s="30" t="str">
        <f>VLOOKUP($E280,'Product Naming'!$A$1:$P$58,16,FALSE)</f>
        <v>Proton symporter</v>
      </c>
      <c r="AH280" s="3" t="str">
        <f>VLOOKUP($E280,'Product Naming'!$A$1:$Q$58,17,FALSE)</f>
        <v>frene_c</v>
      </c>
      <c r="AI280" s="1">
        <f>VLOOKUP($E280,'Product Parameters'!$A$2:$D$59,2,FALSE)</f>
        <v>1</v>
      </c>
      <c r="AJ280" s="1">
        <f>VLOOKUP($E280,'Product Parameters'!$A$2:$D$59,3,FALSE)</f>
        <v>0</v>
      </c>
      <c r="AK280" s="1">
        <f>VLOOKUP($E280,'Product Parameters'!$A$2:$D$59,4,FALSE)</f>
        <v>0.12</v>
      </c>
      <c r="AL280" s="1">
        <f>VLOOKUP($E280,'Product Parameters'!$A$2:$E$59,5,FALSE)</f>
        <v>0</v>
      </c>
      <c r="AM280" s="1">
        <f>VLOOKUP($E280,'Product Parameters'!$A$2:$F$59,6,FALSE)</f>
        <v>15</v>
      </c>
      <c r="AN280" s="1">
        <f>VLOOKUP($C280,'Substrate Heating'!$A$2:$C$33,3,FALSE)</f>
        <v>269.26666666666665</v>
      </c>
      <c r="AO280" s="1">
        <f>VLOOKUP($C280,'Substrate Heating'!$A$2:$B$33,2,FALSE)</f>
        <v>13.919167510409219</v>
      </c>
      <c r="AP280" s="1">
        <f>VLOOKUP($C280,'Substrate Heating'!$A$2:$M$33,13,FALSE)</f>
        <v>1.3333333333333333</v>
      </c>
      <c r="AQ280" s="1">
        <f>VLOOKUP($C280,'Substrate Heating'!$A$2:$M$33,8,FALSE)</f>
        <v>0.66666666666666663</v>
      </c>
      <c r="AR280" s="1">
        <f t="shared" si="4"/>
        <v>0.44844827586206848</v>
      </c>
    </row>
    <row r="281" spans="1:44" x14ac:dyDescent="0.2">
      <c r="A281" s="17" t="s">
        <v>323</v>
      </c>
      <c r="B281" s="18" t="s">
        <v>324</v>
      </c>
      <c r="C281" t="s">
        <v>334</v>
      </c>
      <c r="D281" s="19" t="s">
        <v>326</v>
      </c>
      <c r="E281" t="s">
        <v>301</v>
      </c>
      <c r="F281" t="s">
        <v>302</v>
      </c>
      <c r="G281">
        <v>-10</v>
      </c>
      <c r="H281">
        <v>0</v>
      </c>
      <c r="I281">
        <v>-5</v>
      </c>
      <c r="J281">
        <v>0.45</v>
      </c>
      <c r="K281">
        <v>-10</v>
      </c>
      <c r="L281">
        <v>0</v>
      </c>
      <c r="M281">
        <v>-5</v>
      </c>
      <c r="N281">
        <v>5.5</v>
      </c>
      <c r="O281">
        <v>1.5</v>
      </c>
      <c r="P281"/>
      <c r="Q281">
        <v>0.15</v>
      </c>
      <c r="R281">
        <v>0.14060967780338299</v>
      </c>
      <c r="S281" s="1" t="str">
        <f>VLOOKUP($E281,'Product Naming'!$A$1:$P$58,2,FALSE)</f>
        <v>Propane-PW1</v>
      </c>
      <c r="T281" s="1" t="str">
        <f>VLOOKUP($E281,'Product Naming'!$A$1:$P$58,3,FALSE)</f>
        <v>Propane (PW1)</v>
      </c>
      <c r="U281" s="1" t="str">
        <f>VLOOKUP($E281,'Product Naming'!$A$1:$P$58,4,FALSE)</f>
        <v>E</v>
      </c>
      <c r="V281" s="1" t="str">
        <f>VLOOKUP($E281,'Product Naming'!$A$1:$P$58,5,FALSE)</f>
        <v>C3H8</v>
      </c>
      <c r="W281" s="1">
        <f>VLOOKUP($E281,'Product Naming'!$A$1:$P$58,6,FALSE)</f>
        <v>3</v>
      </c>
      <c r="X281" s="1">
        <f>VLOOKUP($E281,'Product Naming'!$A$1:$P$58,7,FALSE)</f>
        <v>8</v>
      </c>
      <c r="Y281" s="1">
        <f>VLOOKUP($E281,'Product Naming'!$A$1:$P$58,8,FALSE)</f>
        <v>0</v>
      </c>
      <c r="Z281" s="1">
        <f>VLOOKUP($E281,'Product Naming'!$A$1:$P$58,9,FALSE)</f>
        <v>0</v>
      </c>
      <c r="AA281" s="1">
        <f>VLOOKUP($E281,'Product Naming'!$A$1:$P$58,10,FALSE)</f>
        <v>0</v>
      </c>
      <c r="AB281" s="29">
        <f>VLOOKUP($E281,'Product Naming'!$A$1:$P$58,11,FALSE)</f>
        <v>6.666666666666667</v>
      </c>
      <c r="AC281" s="3">
        <f>VLOOKUP($E281,'Product Naming'!$A$1:$P$58,12,FALSE)</f>
        <v>44.094819999999999</v>
      </c>
      <c r="AD281" s="1">
        <f>VLOOKUP($E281,'Product Naming'!$A$1:$P$58,13,FALSE)</f>
        <v>-42</v>
      </c>
      <c r="AE281" s="1" t="str">
        <f>VLOOKUP($E281,'Product Naming'!$A$1:$P$58,14,FALSE)</f>
        <v>Hydrocarbon</v>
      </c>
      <c r="AF281" s="1" t="str">
        <f>VLOOKUP($E281,'Product Naming'!$A$1:$P$58,15,FALSE)</f>
        <v>Acetyl-CoA</v>
      </c>
      <c r="AG281" s="30" t="str">
        <f>VLOOKUP($E281,'Product Naming'!$A$1:$P$58,16,FALSE)</f>
        <v>Diffusion</v>
      </c>
      <c r="AH281" s="3" t="str">
        <f>VLOOKUP($E281,'Product Naming'!$A$1:$Q$58,17,FALSE)</f>
        <v>prop_c</v>
      </c>
      <c r="AI281" s="1">
        <f>VLOOKUP($E281,'Product Parameters'!$A$2:$D$59,2,FALSE)</f>
        <v>0</v>
      </c>
      <c r="AJ281" s="1">
        <f>VLOOKUP($E281,'Product Parameters'!$A$2:$D$59,3,FALSE)</f>
        <v>1</v>
      </c>
      <c r="AK281" s="1">
        <f>VLOOKUP($E281,'Product Parameters'!$A$2:$D$59,4,FALSE)</f>
        <v>0.12</v>
      </c>
      <c r="AL281" s="1">
        <f>VLOOKUP($E281,'Product Parameters'!$A$2:$E$59,5,FALSE)</f>
        <v>0</v>
      </c>
      <c r="AM281" s="1">
        <f>VLOOKUP($E281,'Product Parameters'!$A$2:$F$59,6,FALSE)</f>
        <v>3</v>
      </c>
      <c r="AN281" s="1">
        <f>VLOOKUP($C281,'Substrate Heating'!$A$2:$C$33,3,FALSE)</f>
        <v>249.93333333333334</v>
      </c>
      <c r="AO281" s="1">
        <f>VLOOKUP($C281,'Substrate Heating'!$A$2:$B$33,2,FALSE)</f>
        <v>8.1456827881222953</v>
      </c>
      <c r="AP281" s="1">
        <f>VLOOKUP($C281,'Substrate Heating'!$A$2:$M$33,13,FALSE)</f>
        <v>0.66666666666666663</v>
      </c>
      <c r="AQ281" s="1">
        <f>VLOOKUP($C281,'Substrate Heating'!$A$2:$M$33,8,FALSE)</f>
        <v>0.66666666666666663</v>
      </c>
      <c r="AR281" s="1">
        <f t="shared" si="4"/>
        <v>0.67499999999999993</v>
      </c>
    </row>
    <row r="282" spans="1:44" x14ac:dyDescent="0.2">
      <c r="A282" s="17" t="s">
        <v>323</v>
      </c>
      <c r="B282" s="18" t="s">
        <v>324</v>
      </c>
      <c r="C282" t="s">
        <v>334</v>
      </c>
      <c r="D282" s="19" t="s">
        <v>326</v>
      </c>
      <c r="E282" t="s">
        <v>306</v>
      </c>
      <c r="F282" t="s">
        <v>302</v>
      </c>
      <c r="G282">
        <v>-10</v>
      </c>
      <c r="H282">
        <v>0</v>
      </c>
      <c r="I282">
        <v>-5</v>
      </c>
      <c r="J282">
        <v>0.45</v>
      </c>
      <c r="K282">
        <v>-10</v>
      </c>
      <c r="L282">
        <v>0</v>
      </c>
      <c r="M282">
        <v>-5</v>
      </c>
      <c r="N282">
        <v>5.5</v>
      </c>
      <c r="O282">
        <v>1.5</v>
      </c>
      <c r="P282"/>
      <c r="Q282">
        <v>0.15</v>
      </c>
      <c r="R282">
        <v>0.14060967780338299</v>
      </c>
      <c r="S282" s="1" t="str">
        <f>VLOOKUP($E282,'Product Naming'!$A$1:$P$58,2,FALSE)</f>
        <v>Propane-PW2</v>
      </c>
      <c r="T282" s="1" t="str">
        <f>VLOOKUP($E282,'Product Naming'!$A$1:$P$58,3,FALSE)</f>
        <v>Propane (PW2)</v>
      </c>
      <c r="U282" s="1" t="str">
        <f>VLOOKUP($E282,'Product Naming'!$A$1:$P$58,4,FALSE)</f>
        <v>E</v>
      </c>
      <c r="V282" s="1" t="str">
        <f>VLOOKUP($E282,'Product Naming'!$A$1:$P$58,5,FALSE)</f>
        <v>C3H8</v>
      </c>
      <c r="W282" s="1">
        <f>VLOOKUP($E282,'Product Naming'!$A$1:$P$58,6,FALSE)</f>
        <v>3</v>
      </c>
      <c r="X282" s="1">
        <f>VLOOKUP($E282,'Product Naming'!$A$1:$P$58,7,FALSE)</f>
        <v>8</v>
      </c>
      <c r="Y282" s="1">
        <f>VLOOKUP($E282,'Product Naming'!$A$1:$P$58,8,FALSE)</f>
        <v>0</v>
      </c>
      <c r="Z282" s="1">
        <f>VLOOKUP($E282,'Product Naming'!$A$1:$P$58,9,FALSE)</f>
        <v>0</v>
      </c>
      <c r="AA282" s="1">
        <f>VLOOKUP($E282,'Product Naming'!$A$1:$P$58,10,FALSE)</f>
        <v>0</v>
      </c>
      <c r="AB282" s="29">
        <f>VLOOKUP($E282,'Product Naming'!$A$1:$P$58,11,FALSE)</f>
        <v>6.666666666666667</v>
      </c>
      <c r="AC282" s="3">
        <f>VLOOKUP($E282,'Product Naming'!$A$1:$P$58,12,FALSE)</f>
        <v>44.094819999999999</v>
      </c>
      <c r="AD282" s="1">
        <f>VLOOKUP($E282,'Product Naming'!$A$1:$P$58,13,FALSE)</f>
        <v>-42</v>
      </c>
      <c r="AE282" s="1" t="str">
        <f>VLOOKUP($E282,'Product Naming'!$A$1:$P$58,14,FALSE)</f>
        <v>Hydrocarbon</v>
      </c>
      <c r="AF282" s="1" t="str">
        <f>VLOOKUP($E282,'Product Naming'!$A$1:$P$58,15,FALSE)</f>
        <v>Oxaloacetate</v>
      </c>
      <c r="AG282" s="30" t="str">
        <f>VLOOKUP($E282,'Product Naming'!$A$1:$P$58,16,FALSE)</f>
        <v>Diffusion</v>
      </c>
      <c r="AH282" s="3" t="str">
        <f>VLOOKUP($E282,'Product Naming'!$A$1:$Q$58,17,FALSE)</f>
        <v>prop_c</v>
      </c>
      <c r="AI282" s="1">
        <f>VLOOKUP($E282,'Product Parameters'!$A$2:$D$59,2,FALSE)</f>
        <v>0</v>
      </c>
      <c r="AJ282" s="1">
        <f>VLOOKUP($E282,'Product Parameters'!$A$2:$D$59,3,FALSE)</f>
        <v>1</v>
      </c>
      <c r="AK282" s="1">
        <f>VLOOKUP($E282,'Product Parameters'!$A$2:$D$59,4,FALSE)</f>
        <v>0.12</v>
      </c>
      <c r="AL282" s="1">
        <f>VLOOKUP($E282,'Product Parameters'!$A$2:$E$59,5,FALSE)</f>
        <v>0</v>
      </c>
      <c r="AM282" s="1">
        <f>VLOOKUP($E282,'Product Parameters'!$A$2:$F$59,6,FALSE)</f>
        <v>3</v>
      </c>
      <c r="AN282" s="1">
        <f>VLOOKUP($C282,'Substrate Heating'!$A$2:$C$33,3,FALSE)</f>
        <v>249.93333333333334</v>
      </c>
      <c r="AO282" s="1">
        <f>VLOOKUP($C282,'Substrate Heating'!$A$2:$B$33,2,FALSE)</f>
        <v>8.1456827881222953</v>
      </c>
      <c r="AP282" s="1">
        <f>VLOOKUP($C282,'Substrate Heating'!$A$2:$M$33,13,FALSE)</f>
        <v>0.66666666666666663</v>
      </c>
      <c r="AQ282" s="1">
        <f>VLOOKUP($C282,'Substrate Heating'!$A$2:$M$33,8,FALSE)</f>
        <v>0.66666666666666663</v>
      </c>
      <c r="AR282" s="1">
        <f t="shared" si="4"/>
        <v>0.67499999999999993</v>
      </c>
    </row>
    <row r="283" spans="1:44" x14ac:dyDescent="0.2">
      <c r="A283" s="17" t="s">
        <v>323</v>
      </c>
      <c r="B283" s="18" t="s">
        <v>324</v>
      </c>
      <c r="C283" t="s">
        <v>329</v>
      </c>
      <c r="D283" s="19" t="s">
        <v>326</v>
      </c>
      <c r="E283" t="s">
        <v>297</v>
      </c>
      <c r="F283" t="s">
        <v>298</v>
      </c>
      <c r="G283">
        <v>-10</v>
      </c>
      <c r="H283">
        <v>0</v>
      </c>
      <c r="I283">
        <v>-20</v>
      </c>
      <c r="J283">
        <v>0.45</v>
      </c>
      <c r="K283">
        <v>-10</v>
      </c>
      <c r="L283">
        <v>0</v>
      </c>
      <c r="M283">
        <v>-18.106122448979601</v>
      </c>
      <c r="N283">
        <v>0</v>
      </c>
      <c r="O283">
        <v>0.473469387755102</v>
      </c>
      <c r="P283"/>
      <c r="Q283">
        <v>4.73469387755103E-2</v>
      </c>
      <c r="R283" s="20">
        <v>0.140707055287077</v>
      </c>
      <c r="S283" s="1" t="str">
        <f>VLOOKUP($E283,'Product Naming'!$A$1:$P$58,2,FALSE)</f>
        <v>Phenol</v>
      </c>
      <c r="T283" s="1" t="str">
        <f>VLOOKUP($E283,'Product Naming'!$A$1:$P$58,3,FALSE)</f>
        <v>Phenol</v>
      </c>
      <c r="U283" s="1" t="str">
        <f>VLOOKUP($E283,'Product Naming'!$A$1:$P$58,4,FALSE)</f>
        <v>E-S</v>
      </c>
      <c r="V283" s="1" t="str">
        <f>VLOOKUP($E283,'Product Naming'!$A$1:$P$58,5,FALSE)</f>
        <v>C6H6O</v>
      </c>
      <c r="W283" s="1">
        <f>VLOOKUP($E283,'Product Naming'!$A$1:$P$58,6,FALSE)</f>
        <v>6</v>
      </c>
      <c r="X283" s="1">
        <f>VLOOKUP($E283,'Product Naming'!$A$1:$P$58,7,FALSE)</f>
        <v>6</v>
      </c>
      <c r="Y283" s="1">
        <f>VLOOKUP($E283,'Product Naming'!$A$1:$P$58,8,FALSE)</f>
        <v>1</v>
      </c>
      <c r="Z283" s="1">
        <f>VLOOKUP($E283,'Product Naming'!$A$1:$P$58,9,FALSE)</f>
        <v>0</v>
      </c>
      <c r="AA283" s="1">
        <f>VLOOKUP($E283,'Product Naming'!$A$1:$P$58,10,FALSE)</f>
        <v>0</v>
      </c>
      <c r="AB283" s="29">
        <f>VLOOKUP($E283,'Product Naming'!$A$1:$P$58,11,FALSE)</f>
        <v>4.666666666666667</v>
      </c>
      <c r="AC283" s="3">
        <f>VLOOKUP($E283,'Product Naming'!$A$1:$P$58,12,FALSE)</f>
        <v>94.11023999999999</v>
      </c>
      <c r="AD283" s="1">
        <f>VLOOKUP($E283,'Product Naming'!$A$1:$P$58,13,FALSE)</f>
        <v>181.7</v>
      </c>
      <c r="AE283" s="1" t="str">
        <f>VLOOKUP($E283,'Product Naming'!$A$1:$P$58,14,FALSE)</f>
        <v>Aromatic + Alcohol</v>
      </c>
      <c r="AF283" s="1" t="str">
        <f>VLOOKUP($E283,'Product Naming'!$A$1:$P$58,15,FALSE)</f>
        <v>E4P + L-glutamate</v>
      </c>
      <c r="AG283" s="30" t="str">
        <f>VLOOKUP($E283,'Product Naming'!$A$1:$P$58,16,FALSE)</f>
        <v>Proton symporter</v>
      </c>
      <c r="AH283" s="3" t="str">
        <f>VLOOKUP($E283,'Product Naming'!$A$1:$Q$58,17,FALSE)</f>
        <v>phenol_c</v>
      </c>
      <c r="AI283" s="1">
        <f>VLOOKUP($E283,'Product Parameters'!$A$2:$D$59,2,FALSE)</f>
        <v>1</v>
      </c>
      <c r="AJ283" s="1">
        <f>VLOOKUP($E283,'Product Parameters'!$A$2:$D$59,3,FALSE)</f>
        <v>0</v>
      </c>
      <c r="AK283" s="1">
        <f>VLOOKUP($E283,'Product Parameters'!$A$2:$D$59,4,FALSE)</f>
        <v>0.12</v>
      </c>
      <c r="AL283" s="1">
        <f>VLOOKUP($E283,'Product Parameters'!$A$2:$E$59,5,FALSE)</f>
        <v>58.8</v>
      </c>
      <c r="AM283" s="1">
        <f>VLOOKUP($E283,'Product Parameters'!$A$2:$F$59,6,FALSE)</f>
        <v>6</v>
      </c>
      <c r="AN283" s="1">
        <f>VLOOKUP($C283,'Substrate Heating'!$A$2:$C$33,3,FALSE)</f>
        <v>255.53333333333336</v>
      </c>
      <c r="AO283" s="1">
        <f>VLOOKUP($C283,'Substrate Heating'!$A$2:$B$33,2,FALSE)</f>
        <v>23.925550527978785</v>
      </c>
      <c r="AP283" s="1">
        <f>VLOOKUP($C283,'Substrate Heating'!$A$2:$M$33,13,FALSE)</f>
        <v>0.66666666666666663</v>
      </c>
      <c r="AQ283" s="1">
        <f>VLOOKUP($C283,'Substrate Heating'!$A$2:$M$33,8,FALSE)</f>
        <v>0.33333333333333331</v>
      </c>
      <c r="AR283" s="1">
        <f t="shared" si="4"/>
        <v>0.85224489795918545</v>
      </c>
    </row>
    <row r="284" spans="1:44" x14ac:dyDescent="0.2">
      <c r="A284" s="17" t="s">
        <v>323</v>
      </c>
      <c r="B284" s="18" t="s">
        <v>324</v>
      </c>
      <c r="C284" t="s">
        <v>327</v>
      </c>
      <c r="D284" s="19" t="s">
        <v>326</v>
      </c>
      <c r="E284" t="s">
        <v>259</v>
      </c>
      <c r="F284" t="s">
        <v>260</v>
      </c>
      <c r="G284">
        <v>-10</v>
      </c>
      <c r="H284">
        <v>0</v>
      </c>
      <c r="I284">
        <v>-5</v>
      </c>
      <c r="J284">
        <v>0.45</v>
      </c>
      <c r="K284">
        <v>-10</v>
      </c>
      <c r="L284">
        <v>0</v>
      </c>
      <c r="M284">
        <v>-5</v>
      </c>
      <c r="N284">
        <v>3.7041666666666599</v>
      </c>
      <c r="O284">
        <v>0.30104166666666798</v>
      </c>
      <c r="P284"/>
      <c r="Q284">
        <v>3.01041666666668E-2</v>
      </c>
      <c r="R284">
        <v>0.141321987566047</v>
      </c>
      <c r="S284" s="1" t="str">
        <f>VLOOKUP($E284,'Product Naming'!$A$1:$P$58,2,FALSE)</f>
        <v>Limonene</v>
      </c>
      <c r="T284" s="1" t="str">
        <f>VLOOKUP($E284,'Product Naming'!$A$1:$P$58,3,FALSE)</f>
        <v>Limonene</v>
      </c>
      <c r="U284" s="1" t="str">
        <f>VLOOKUP($E284,'Product Naming'!$A$1:$P$58,4,FALSE)</f>
        <v>E</v>
      </c>
      <c r="V284" s="1" t="str">
        <f>VLOOKUP($E284,'Product Naming'!$A$1:$P$58,5,FALSE)</f>
        <v>C10H16</v>
      </c>
      <c r="W284" s="1">
        <f>VLOOKUP($E284,'Product Naming'!$A$1:$P$58,6,FALSE)</f>
        <v>10</v>
      </c>
      <c r="X284" s="1">
        <f>VLOOKUP($E284,'Product Naming'!$A$1:$P$58,7,FALSE)</f>
        <v>16</v>
      </c>
      <c r="Y284" s="1">
        <f>VLOOKUP($E284,'Product Naming'!$A$1:$P$58,8,FALSE)</f>
        <v>0</v>
      </c>
      <c r="Z284" s="1">
        <f>VLOOKUP($E284,'Product Naming'!$A$1:$P$58,9,FALSE)</f>
        <v>0</v>
      </c>
      <c r="AA284" s="1">
        <f>VLOOKUP($E284,'Product Naming'!$A$1:$P$58,10,FALSE)</f>
        <v>0</v>
      </c>
      <c r="AB284" s="29">
        <f>VLOOKUP($E284,'Product Naming'!$A$1:$P$58,11,FALSE)</f>
        <v>5.6</v>
      </c>
      <c r="AC284" s="3">
        <f>VLOOKUP($E284,'Product Naming'!$A$1:$P$58,12,FALSE)</f>
        <v>136.23244</v>
      </c>
      <c r="AD284" s="1">
        <f>VLOOKUP($E284,'Product Naming'!$A$1:$P$58,13,FALSE)</f>
        <v>176</v>
      </c>
      <c r="AE284" s="1" t="str">
        <f>VLOOKUP($E284,'Product Naming'!$A$1:$P$58,14,FALSE)</f>
        <v>Isoprenoid; Aromatic (Cycloalkane)</v>
      </c>
      <c r="AF284" s="1" t="str">
        <f>VLOOKUP($E284,'Product Naming'!$A$1:$P$58,15,FALSE)</f>
        <v>Acetyl-CoA</v>
      </c>
      <c r="AG284" s="30" t="str">
        <f>VLOOKUP($E284,'Product Naming'!$A$1:$P$58,16,FALSE)</f>
        <v>Proton symporter</v>
      </c>
      <c r="AH284" s="3" t="str">
        <f>VLOOKUP($E284,'Product Naming'!$A$1:$Q$58,17,FALSE)</f>
        <v>limnen_c</v>
      </c>
      <c r="AI284" s="1">
        <f>VLOOKUP($E284,'Product Parameters'!$A$2:$D$59,2,FALSE)</f>
        <v>1</v>
      </c>
      <c r="AJ284" s="1">
        <f>VLOOKUP($E284,'Product Parameters'!$A$2:$D$59,3,FALSE)</f>
        <v>0</v>
      </c>
      <c r="AK284" s="1">
        <f>VLOOKUP($E284,'Product Parameters'!$A$2:$D$59,4,FALSE)</f>
        <v>0.12</v>
      </c>
      <c r="AL284" s="1">
        <f>VLOOKUP($E284,'Product Parameters'!$A$2:$E$59,5,FALSE)</f>
        <v>49.5</v>
      </c>
      <c r="AM284" s="1">
        <f>VLOOKUP($E284,'Product Parameters'!$A$2:$F$59,6,FALSE)</f>
        <v>10</v>
      </c>
      <c r="AN284" s="1">
        <f>VLOOKUP($C284,'Substrate Heating'!$A$2:$C$33,3,FALSE)</f>
        <v>269.26666666666665</v>
      </c>
      <c r="AO284" s="1">
        <f>VLOOKUP($C284,'Substrate Heating'!$A$2:$B$33,2,FALSE)</f>
        <v>13.919167510409219</v>
      </c>
      <c r="AP284" s="1">
        <f>VLOOKUP($C284,'Substrate Heating'!$A$2:$M$33,13,FALSE)</f>
        <v>1.3333333333333333</v>
      </c>
      <c r="AQ284" s="1">
        <f>VLOOKUP($C284,'Substrate Heating'!$A$2:$M$33,8,FALSE)</f>
        <v>0.66666666666666663</v>
      </c>
      <c r="AR284" s="1">
        <f t="shared" si="4"/>
        <v>0.45156250000000198</v>
      </c>
    </row>
    <row r="285" spans="1:44" x14ac:dyDescent="0.2">
      <c r="A285" s="8" t="s">
        <v>816</v>
      </c>
      <c r="B285" s="18" t="s">
        <v>324</v>
      </c>
      <c r="C285" t="s">
        <v>815</v>
      </c>
      <c r="D285" s="19" t="s">
        <v>326</v>
      </c>
      <c r="E285" t="s">
        <v>313</v>
      </c>
      <c r="F285" t="s">
        <v>314</v>
      </c>
      <c r="G285">
        <v>-10</v>
      </c>
      <c r="H285">
        <v>0</v>
      </c>
      <c r="I285">
        <v>0</v>
      </c>
      <c r="J285">
        <v>0.45</v>
      </c>
      <c r="K285">
        <v>21.853846149999999</v>
      </c>
      <c r="L285">
        <v>0</v>
      </c>
      <c r="M285">
        <v>0</v>
      </c>
      <c r="N285">
        <v>21.853846149999999</v>
      </c>
      <c r="O285">
        <v>0.92692307699999998</v>
      </c>
      <c r="P285"/>
      <c r="Q285">
        <v>4.2414643000000002E-2</v>
      </c>
      <c r="R285">
        <v>0.14153841</v>
      </c>
      <c r="S285" s="1" t="str">
        <f>VLOOKUP($E285,'Product Naming'!$A$1:$P$58,2,FALSE)</f>
        <v>Styrene</v>
      </c>
      <c r="T285" s="1" t="str">
        <f>VLOOKUP($E285,'Product Naming'!$A$1:$P$58,3,FALSE)</f>
        <v>Styrene</v>
      </c>
      <c r="U285" s="1" t="str">
        <f>VLOOKUP($E285,'Product Naming'!$A$1:$P$58,4,FALSE)</f>
        <v>E-S</v>
      </c>
      <c r="V285" s="1" t="str">
        <f>VLOOKUP($E285,'Product Naming'!$A$1:$P$58,5,FALSE)</f>
        <v>C8H8</v>
      </c>
      <c r="W285" s="1">
        <f>VLOOKUP($E285,'Product Naming'!$A$1:$P$58,6,FALSE)</f>
        <v>8</v>
      </c>
      <c r="X285" s="1">
        <f>VLOOKUP($E285,'Product Naming'!$A$1:$P$58,7,FALSE)</f>
        <v>8</v>
      </c>
      <c r="Y285" s="1">
        <f>VLOOKUP($E285,'Product Naming'!$A$1:$P$58,8,FALSE)</f>
        <v>0</v>
      </c>
      <c r="Z285" s="1">
        <f>VLOOKUP($E285,'Product Naming'!$A$1:$P$58,9,FALSE)</f>
        <v>0</v>
      </c>
      <c r="AA285" s="1">
        <f>VLOOKUP($E285,'Product Naming'!$A$1:$P$58,10,FALSE)</f>
        <v>0</v>
      </c>
      <c r="AB285" s="29">
        <f>VLOOKUP($E285,'Product Naming'!$A$1:$P$58,11,FALSE)</f>
        <v>5</v>
      </c>
      <c r="AC285" s="3">
        <f>VLOOKUP($E285,'Product Naming'!$A$1:$P$58,12,FALSE)</f>
        <v>104.14832</v>
      </c>
      <c r="AD285" s="1">
        <f>VLOOKUP($E285,'Product Naming'!$A$1:$P$58,13,FALSE)</f>
        <v>145</v>
      </c>
      <c r="AE285" s="1" t="str">
        <f>VLOOKUP($E285,'Product Naming'!$A$1:$P$58,14,FALSE)</f>
        <v>Cycloalkane</v>
      </c>
      <c r="AF285" s="1" t="str">
        <f>VLOOKUP($E285,'Product Naming'!$A$1:$P$58,15,FALSE)</f>
        <v>E4P</v>
      </c>
      <c r="AG285" s="30" t="str">
        <f>VLOOKUP($E285,'Product Naming'!$A$1:$P$58,16,FALSE)</f>
        <v>Proton symporter</v>
      </c>
      <c r="AH285" s="3" t="str">
        <f>VLOOKUP($E285,'Product Naming'!$A$1:$Q$58,17,FALSE)</f>
        <v>styr_c</v>
      </c>
      <c r="AI285" s="1">
        <f>VLOOKUP($E285,'Product Parameters'!$A$2:$D$59,2,FALSE)</f>
        <v>1</v>
      </c>
      <c r="AJ285" s="1">
        <f>VLOOKUP($E285,'Product Parameters'!$A$2:$D$59,3,FALSE)</f>
        <v>0</v>
      </c>
      <c r="AK285" s="1">
        <f>VLOOKUP($E285,'Product Parameters'!$A$2:$D$59,4,FALSE)</f>
        <v>0.12</v>
      </c>
      <c r="AL285" s="1">
        <f>VLOOKUP($E285,'Product Parameters'!$A$2:$E$59,5,FALSE)</f>
        <v>43.9</v>
      </c>
      <c r="AM285" s="1">
        <f>VLOOKUP($E285,'Product Parameters'!$A$2:$F$59,6,FALSE)</f>
        <v>8</v>
      </c>
      <c r="AN285" s="1">
        <f>VLOOKUP($C285,'Substrate Heating'!$A$2:$C$33,3,FALSE)</f>
        <v>226.4</v>
      </c>
      <c r="AO285" s="1">
        <f>VLOOKUP($C285,'Substrate Heating'!$A$2:$B$33,2,FALSE)</f>
        <v>7.2542014450728134</v>
      </c>
      <c r="AP285" s="1">
        <f>VLOOKUP($C285,'Substrate Heating'!$A$2:$M$33,13,FALSE)</f>
        <v>1.6</v>
      </c>
      <c r="AQ285" s="1">
        <f>VLOOKUP($C285,'Substrate Heating'!$A$2:$M$33,8,FALSE)</f>
        <v>1</v>
      </c>
      <c r="AR285" s="1">
        <f t="shared" si="4"/>
        <v>0.33931714400000001</v>
      </c>
    </row>
    <row r="286" spans="1:44" x14ac:dyDescent="0.2">
      <c r="A286" s="17" t="s">
        <v>323</v>
      </c>
      <c r="B286" s="18" t="s">
        <v>324</v>
      </c>
      <c r="C286" t="s">
        <v>336</v>
      </c>
      <c r="D286" s="19" t="s">
        <v>326</v>
      </c>
      <c r="E286" t="s">
        <v>175</v>
      </c>
      <c r="F286" t="s">
        <v>176</v>
      </c>
      <c r="G286">
        <v>-10</v>
      </c>
      <c r="H286">
        <v>0</v>
      </c>
      <c r="I286">
        <v>-20</v>
      </c>
      <c r="J286">
        <v>0.45</v>
      </c>
      <c r="K286">
        <v>-10</v>
      </c>
      <c r="L286">
        <v>0</v>
      </c>
      <c r="M286">
        <v>-16.821917808219201</v>
      </c>
      <c r="N286">
        <v>0</v>
      </c>
      <c r="O286">
        <v>0.63561643835616399</v>
      </c>
      <c r="P286"/>
      <c r="Q286">
        <v>6.3561643835616397E-2</v>
      </c>
      <c r="R286" s="20">
        <v>0.14159424651201699</v>
      </c>
      <c r="S286" s="1" t="str">
        <f>VLOOKUP($E286,'Product Naming'!$A$1:$P$58,2,FALSE)</f>
        <v>Catechol</v>
      </c>
      <c r="T286" s="1" t="str">
        <f>VLOOKUP($E286,'Product Naming'!$A$1:$P$58,3,FALSE)</f>
        <v>Catechol</v>
      </c>
      <c r="U286" s="1" t="str">
        <f>VLOOKUP($E286,'Product Naming'!$A$1:$P$58,4,FALSE)</f>
        <v>E</v>
      </c>
      <c r="V286" s="1" t="str">
        <f>VLOOKUP($E286,'Product Naming'!$A$1:$P$58,5,FALSE)</f>
        <v>C6H6O2</v>
      </c>
      <c r="W286" s="1">
        <f>VLOOKUP($E286,'Product Naming'!$A$1:$P$58,6,FALSE)</f>
        <v>6</v>
      </c>
      <c r="X286" s="1">
        <f>VLOOKUP($E286,'Product Naming'!$A$1:$P$58,7,FALSE)</f>
        <v>6</v>
      </c>
      <c r="Y286" s="1">
        <f>VLOOKUP($E286,'Product Naming'!$A$1:$P$58,8,FALSE)</f>
        <v>2</v>
      </c>
      <c r="Z286" s="1">
        <f>VLOOKUP($E286,'Product Naming'!$A$1:$P$58,9,FALSE)</f>
        <v>0</v>
      </c>
      <c r="AA286" s="1">
        <f>VLOOKUP($E286,'Product Naming'!$A$1:$P$58,10,FALSE)</f>
        <v>0</v>
      </c>
      <c r="AB286" s="29">
        <f>VLOOKUP($E286,'Product Naming'!$A$1:$P$58,11,FALSE)</f>
        <v>4.333333333333333</v>
      </c>
      <c r="AC286" s="3">
        <f>VLOOKUP($E286,'Product Naming'!$A$1:$P$58,12,FALSE)</f>
        <v>110.10924</v>
      </c>
      <c r="AD286" s="1">
        <f>VLOOKUP($E286,'Product Naming'!$A$1:$P$58,13,FALSE)</f>
        <v>245</v>
      </c>
      <c r="AE286" s="1" t="str">
        <f>VLOOKUP($E286,'Product Naming'!$A$1:$P$58,14,FALSE)</f>
        <v>Aromatic + Diol</v>
      </c>
      <c r="AF286" s="1" t="str">
        <f>VLOOKUP($E286,'Product Naming'!$A$1:$P$58,15,FALSE)</f>
        <v>Glyceraldehyde 3-P</v>
      </c>
      <c r="AG286" s="30" t="str">
        <f>VLOOKUP($E286,'Product Naming'!$A$1:$P$58,16,FALSE)</f>
        <v>Proton symporter</v>
      </c>
      <c r="AH286" s="3" t="str">
        <f>VLOOKUP($E286,'Product Naming'!$A$1:$Q$58,17,FALSE)</f>
        <v>catechol_c</v>
      </c>
      <c r="AI286" s="1">
        <f>VLOOKUP($E286,'Product Parameters'!$A$2:$D$59,2,FALSE)</f>
        <v>1</v>
      </c>
      <c r="AJ286" s="1">
        <f>VLOOKUP($E286,'Product Parameters'!$A$2:$D$59,3,FALSE)</f>
        <v>0</v>
      </c>
      <c r="AK286" s="1">
        <f>VLOOKUP($E286,'Product Parameters'!$A$2:$D$59,4,FALSE)</f>
        <v>0.12</v>
      </c>
      <c r="AL286" s="1">
        <f>VLOOKUP($E286,'Product Parameters'!$A$2:$E$59,5,FALSE)</f>
        <v>40.65</v>
      </c>
      <c r="AM286" s="1">
        <f>VLOOKUP($E286,'Product Parameters'!$A$2:$F$59,6,FALSE)</f>
        <v>6</v>
      </c>
      <c r="AN286" s="1">
        <f>VLOOKUP($C286,'Substrate Heating'!$A$2:$C$33,3,FALSE)</f>
        <v>245.86666666666667</v>
      </c>
      <c r="AO286" s="1">
        <f>VLOOKUP($C286,'Substrate Heating'!$A$2:$B$33,2,FALSE)</f>
        <v>15.038360459876978</v>
      </c>
      <c r="AP286" s="1">
        <f>VLOOKUP($C286,'Substrate Heating'!$A$2:$M$33,13,FALSE)</f>
        <v>0.33333333333333331</v>
      </c>
      <c r="AQ286" s="1">
        <f>VLOOKUP($C286,'Substrate Heating'!$A$2:$M$33,8,FALSE)</f>
        <v>0.33333333333333331</v>
      </c>
      <c r="AR286" s="1">
        <f t="shared" si="4"/>
        <v>1.1441095890410951</v>
      </c>
    </row>
    <row r="287" spans="1:44" x14ac:dyDescent="0.2">
      <c r="A287" s="17" t="s">
        <v>323</v>
      </c>
      <c r="B287" s="18" t="s">
        <v>324</v>
      </c>
      <c r="C287" t="s">
        <v>334</v>
      </c>
      <c r="D287" s="19" t="s">
        <v>326</v>
      </c>
      <c r="E287" t="s">
        <v>287</v>
      </c>
      <c r="F287" t="s">
        <v>288</v>
      </c>
      <c r="G287">
        <v>-10</v>
      </c>
      <c r="H287">
        <v>0</v>
      </c>
      <c r="I287">
        <v>-5</v>
      </c>
      <c r="J287">
        <v>0.45</v>
      </c>
      <c r="K287">
        <v>-10</v>
      </c>
      <c r="L287">
        <v>0</v>
      </c>
      <c r="M287">
        <v>-5</v>
      </c>
      <c r="N287">
        <v>5.3125</v>
      </c>
      <c r="O287">
        <v>0.9375</v>
      </c>
      <c r="P287"/>
      <c r="Q287">
        <v>9.375E-2</v>
      </c>
      <c r="R287">
        <v>0.143790245346474</v>
      </c>
      <c r="S287" s="1" t="str">
        <f>VLOOKUP($E287,'Product Naming'!$A$1:$P$58,2,FALSE)</f>
        <v>Pentane</v>
      </c>
      <c r="T287" s="1" t="str">
        <f>VLOOKUP($E287,'Product Naming'!$A$1:$P$58,3,FALSE)</f>
        <v>Pentane</v>
      </c>
      <c r="U287" s="1" t="str">
        <f>VLOOKUP($E287,'Product Naming'!$A$1:$P$58,4,FALSE)</f>
        <v>E</v>
      </c>
      <c r="V287" s="1" t="str">
        <f>VLOOKUP($E287,'Product Naming'!$A$1:$P$58,5,FALSE)</f>
        <v>C5H12</v>
      </c>
      <c r="W287" s="1">
        <f>VLOOKUP($E287,'Product Naming'!$A$1:$P$58,6,FALSE)</f>
        <v>5</v>
      </c>
      <c r="X287" s="1">
        <f>VLOOKUP($E287,'Product Naming'!$A$1:$P$58,7,FALSE)</f>
        <v>12</v>
      </c>
      <c r="Y287" s="1">
        <f>VLOOKUP($E287,'Product Naming'!$A$1:$P$58,8,FALSE)</f>
        <v>0</v>
      </c>
      <c r="Z287" s="1">
        <f>VLOOKUP($E287,'Product Naming'!$A$1:$P$58,9,FALSE)</f>
        <v>0</v>
      </c>
      <c r="AA287" s="1">
        <f>VLOOKUP($E287,'Product Naming'!$A$1:$P$58,10,FALSE)</f>
        <v>0</v>
      </c>
      <c r="AB287" s="29">
        <f>VLOOKUP($E287,'Product Naming'!$A$1:$P$58,11,FALSE)</f>
        <v>6.4</v>
      </c>
      <c r="AC287" s="3">
        <f>VLOOKUP($E287,'Product Naming'!$A$1:$P$58,12,FALSE)</f>
        <v>72.147580000000005</v>
      </c>
      <c r="AD287" s="1">
        <f>VLOOKUP($E287,'Product Naming'!$A$1:$P$58,13,FALSE)</f>
        <v>36.1</v>
      </c>
      <c r="AE287" s="1" t="str">
        <f>VLOOKUP($E287,'Product Naming'!$A$1:$P$58,14,FALSE)</f>
        <v>Hydrocarbon (alkane)</v>
      </c>
      <c r="AF287" s="1" t="str">
        <f>VLOOKUP($E287,'Product Naming'!$A$1:$P$58,15,FALSE)</f>
        <v>Acetyl-CoA</v>
      </c>
      <c r="AG287" s="30" t="str">
        <f>VLOOKUP($E287,'Product Naming'!$A$1:$P$58,16,FALSE)</f>
        <v>Diffusion</v>
      </c>
      <c r="AH287" s="3" t="str">
        <f>VLOOKUP($E287,'Product Naming'!$A$1:$Q$58,17,FALSE)</f>
        <v>pent_c</v>
      </c>
      <c r="AI287" s="1">
        <f>VLOOKUP($E287,'Product Parameters'!$A$2:$D$59,2,FALSE)</f>
        <v>0</v>
      </c>
      <c r="AJ287" s="1">
        <f>VLOOKUP($E287,'Product Parameters'!$A$2:$D$59,3,FALSE)</f>
        <v>1</v>
      </c>
      <c r="AK287" s="1">
        <f>VLOOKUP($E287,'Product Parameters'!$A$2:$D$59,4,FALSE)</f>
        <v>0.12</v>
      </c>
      <c r="AL287" s="1">
        <f>VLOOKUP($E287,'Product Parameters'!$A$2:$E$59,5,FALSE)</f>
        <v>26.5</v>
      </c>
      <c r="AM287" s="1">
        <f>VLOOKUP($E287,'Product Parameters'!$A$2:$F$59,6,FALSE)</f>
        <v>5</v>
      </c>
      <c r="AN287" s="1">
        <f>VLOOKUP($C287,'Substrate Heating'!$A$2:$C$33,3,FALSE)</f>
        <v>249.93333333333334</v>
      </c>
      <c r="AO287" s="1">
        <f>VLOOKUP($C287,'Substrate Heating'!$A$2:$B$33,2,FALSE)</f>
        <v>8.1456827881222953</v>
      </c>
      <c r="AP287" s="1">
        <f>VLOOKUP($C287,'Substrate Heating'!$A$2:$M$33,13,FALSE)</f>
        <v>0.66666666666666663</v>
      </c>
      <c r="AQ287" s="1">
        <f>VLOOKUP($C287,'Substrate Heating'!$A$2:$M$33,8,FALSE)</f>
        <v>0.66666666666666663</v>
      </c>
      <c r="AR287" s="1">
        <f t="shared" si="4"/>
        <v>0.703125</v>
      </c>
    </row>
    <row r="288" spans="1:44" x14ac:dyDescent="0.2">
      <c r="A288" s="17" t="s">
        <v>323</v>
      </c>
      <c r="B288" s="18" t="s">
        <v>324</v>
      </c>
      <c r="C288" t="s">
        <v>329</v>
      </c>
      <c r="D288" s="19" t="s">
        <v>326</v>
      </c>
      <c r="E288" t="s">
        <v>313</v>
      </c>
      <c r="F288" t="s">
        <v>314</v>
      </c>
      <c r="G288">
        <v>-10</v>
      </c>
      <c r="H288">
        <v>0</v>
      </c>
      <c r="I288">
        <v>-20</v>
      </c>
      <c r="J288">
        <v>0.45</v>
      </c>
      <c r="K288">
        <v>-10</v>
      </c>
      <c r="L288">
        <v>0</v>
      </c>
      <c r="M288">
        <v>-18.2490566037735</v>
      </c>
      <c r="N288">
        <v>0</v>
      </c>
      <c r="O288">
        <v>0.43773584905660401</v>
      </c>
      <c r="P288"/>
      <c r="Q288">
        <v>4.3773584905660398E-2</v>
      </c>
      <c r="R288" s="20">
        <v>0.14383205520504599</v>
      </c>
      <c r="S288" s="1" t="str">
        <f>VLOOKUP($E288,'Product Naming'!$A$1:$P$58,2,FALSE)</f>
        <v>Styrene</v>
      </c>
      <c r="T288" s="1" t="str">
        <f>VLOOKUP($E288,'Product Naming'!$A$1:$P$58,3,FALSE)</f>
        <v>Styrene</v>
      </c>
      <c r="U288" s="1" t="str">
        <f>VLOOKUP($E288,'Product Naming'!$A$1:$P$58,4,FALSE)</f>
        <v>E-S</v>
      </c>
      <c r="V288" s="1" t="str">
        <f>VLOOKUP($E288,'Product Naming'!$A$1:$P$58,5,FALSE)</f>
        <v>C8H8</v>
      </c>
      <c r="W288" s="1">
        <f>VLOOKUP($E288,'Product Naming'!$A$1:$P$58,6,FALSE)</f>
        <v>8</v>
      </c>
      <c r="X288" s="1">
        <f>VLOOKUP($E288,'Product Naming'!$A$1:$P$58,7,FALSE)</f>
        <v>8</v>
      </c>
      <c r="Y288" s="1">
        <f>VLOOKUP($E288,'Product Naming'!$A$1:$P$58,8,FALSE)</f>
        <v>0</v>
      </c>
      <c r="Z288" s="1">
        <f>VLOOKUP($E288,'Product Naming'!$A$1:$P$58,9,FALSE)</f>
        <v>0</v>
      </c>
      <c r="AA288" s="1">
        <f>VLOOKUP($E288,'Product Naming'!$A$1:$P$58,10,FALSE)</f>
        <v>0</v>
      </c>
      <c r="AB288" s="29">
        <f>VLOOKUP($E288,'Product Naming'!$A$1:$P$58,11,FALSE)</f>
        <v>5</v>
      </c>
      <c r="AC288" s="3">
        <f>VLOOKUP($E288,'Product Naming'!$A$1:$P$58,12,FALSE)</f>
        <v>104.14832</v>
      </c>
      <c r="AD288" s="1">
        <f>VLOOKUP($E288,'Product Naming'!$A$1:$P$58,13,FALSE)</f>
        <v>145</v>
      </c>
      <c r="AE288" s="1" t="str">
        <f>VLOOKUP($E288,'Product Naming'!$A$1:$P$58,14,FALSE)</f>
        <v>Cycloalkane</v>
      </c>
      <c r="AF288" s="1" t="str">
        <f>VLOOKUP($E288,'Product Naming'!$A$1:$P$58,15,FALSE)</f>
        <v>E4P</v>
      </c>
      <c r="AG288" s="30" t="str">
        <f>VLOOKUP($E288,'Product Naming'!$A$1:$P$58,16,FALSE)</f>
        <v>Proton symporter</v>
      </c>
      <c r="AH288" s="3" t="str">
        <f>VLOOKUP($E288,'Product Naming'!$A$1:$Q$58,17,FALSE)</f>
        <v>styr_c</v>
      </c>
      <c r="AI288" s="1">
        <f>VLOOKUP($E288,'Product Parameters'!$A$2:$D$59,2,FALSE)</f>
        <v>1</v>
      </c>
      <c r="AJ288" s="1">
        <f>VLOOKUP($E288,'Product Parameters'!$A$2:$D$59,3,FALSE)</f>
        <v>0</v>
      </c>
      <c r="AK288" s="1">
        <f>VLOOKUP($E288,'Product Parameters'!$A$2:$D$59,4,FALSE)</f>
        <v>0.12</v>
      </c>
      <c r="AL288" s="1">
        <f>VLOOKUP($E288,'Product Parameters'!$A$2:$E$59,5,FALSE)</f>
        <v>43.9</v>
      </c>
      <c r="AM288" s="1">
        <f>VLOOKUP($E288,'Product Parameters'!$A$2:$F$59,6,FALSE)</f>
        <v>8</v>
      </c>
      <c r="AN288" s="1">
        <f>VLOOKUP($C288,'Substrate Heating'!$A$2:$C$33,3,FALSE)</f>
        <v>255.53333333333336</v>
      </c>
      <c r="AO288" s="1">
        <f>VLOOKUP($C288,'Substrate Heating'!$A$2:$B$33,2,FALSE)</f>
        <v>23.925550527978785</v>
      </c>
      <c r="AP288" s="1">
        <f>VLOOKUP($C288,'Substrate Heating'!$A$2:$M$33,13,FALSE)</f>
        <v>0.66666666666666663</v>
      </c>
      <c r="AQ288" s="1">
        <f>VLOOKUP($C288,'Substrate Heating'!$A$2:$M$33,8,FALSE)</f>
        <v>0.33333333333333331</v>
      </c>
      <c r="AR288" s="1">
        <f t="shared" si="4"/>
        <v>1.0505660377358497</v>
      </c>
    </row>
    <row r="289" spans="1:44" x14ac:dyDescent="0.2">
      <c r="A289" s="8" t="s">
        <v>809</v>
      </c>
      <c r="B289" s="18" t="s">
        <v>324</v>
      </c>
      <c r="C289" t="s">
        <v>808</v>
      </c>
      <c r="D289" s="19" t="s">
        <v>326</v>
      </c>
      <c r="E289" t="s">
        <v>72</v>
      </c>
      <c r="F289" t="s">
        <v>73</v>
      </c>
      <c r="G289">
        <v>-10</v>
      </c>
      <c r="H289">
        <v>0</v>
      </c>
      <c r="I289">
        <v>-20</v>
      </c>
      <c r="J289">
        <v>0.45</v>
      </c>
      <c r="K289">
        <v>-8.5056603773585007</v>
      </c>
      <c r="L289">
        <v>0</v>
      </c>
      <c r="M289">
        <v>-20</v>
      </c>
      <c r="N289">
        <v>-8.5056603773585007</v>
      </c>
      <c r="O289">
        <v>0.99622641509433296</v>
      </c>
      <c r="P289"/>
      <c r="Q289">
        <v>0.11712511091392901</v>
      </c>
      <c r="R289">
        <v>0.14437828773679301</v>
      </c>
      <c r="S289" s="1" t="str">
        <f>VLOOKUP($E289,'Product Naming'!$A$1:$P$58,2,FALSE)</f>
        <v>1-propanol-PW1</v>
      </c>
      <c r="T289" s="1" t="str">
        <f>VLOOKUP($E289,'Product Naming'!$A$1:$P$58,3,FALSE)</f>
        <v>1-Propanol (PW1)</v>
      </c>
      <c r="U289" s="1" t="str">
        <f>VLOOKUP($E289,'Product Naming'!$A$1:$P$58,4,FALSE)</f>
        <v>E-S</v>
      </c>
      <c r="V289" s="1" t="str">
        <f>VLOOKUP($E289,'Product Naming'!$A$1:$P$58,5,FALSE)</f>
        <v>C3H8O</v>
      </c>
      <c r="W289" s="1">
        <f>VLOOKUP($E289,'Product Naming'!$A$1:$P$58,6,FALSE)</f>
        <v>3</v>
      </c>
      <c r="X289" s="1">
        <f>VLOOKUP($E289,'Product Naming'!$A$1:$P$58,7,FALSE)</f>
        <v>8</v>
      </c>
      <c r="Y289" s="1">
        <f>VLOOKUP($E289,'Product Naming'!$A$1:$P$58,8,FALSE)</f>
        <v>1</v>
      </c>
      <c r="Z289" s="1">
        <f>VLOOKUP($E289,'Product Naming'!$A$1:$P$58,9,FALSE)</f>
        <v>0</v>
      </c>
      <c r="AA289" s="1">
        <f>VLOOKUP($E289,'Product Naming'!$A$1:$P$58,10,FALSE)</f>
        <v>0</v>
      </c>
      <c r="AB289" s="29">
        <f>VLOOKUP($E289,'Product Naming'!$A$1:$P$58,11,FALSE)</f>
        <v>6</v>
      </c>
      <c r="AC289" s="3">
        <f>VLOOKUP($E289,'Product Naming'!$A$1:$P$58,12,FALSE)</f>
        <v>60.093820000000001</v>
      </c>
      <c r="AD289" s="1">
        <f>VLOOKUP($E289,'Product Naming'!$A$1:$P$58,13,FALSE)</f>
        <v>97</v>
      </c>
      <c r="AE289" s="1" t="str">
        <f>VLOOKUP($E289,'Product Naming'!$A$1:$P$58,14,FALSE)</f>
        <v>Alcohol</v>
      </c>
      <c r="AF289" s="1" t="str">
        <f>VLOOKUP($E289,'Product Naming'!$A$1:$P$58,15,FALSE)</f>
        <v>Glyceraldehyde 3-P (--&gt;DHAP)</v>
      </c>
      <c r="AG289" s="30" t="str">
        <f>VLOOKUP($E289,'Product Naming'!$A$1:$P$58,16,FALSE)</f>
        <v>Proton symporter</v>
      </c>
      <c r="AH289" s="3" t="str">
        <f>VLOOKUP($E289,'Product Naming'!$A$1:$Q$58,17,FALSE)</f>
        <v>ppoh_c</v>
      </c>
      <c r="AI289" s="1">
        <f>VLOOKUP($E289,'Product Parameters'!$A$2:$D$59,2,FALSE)</f>
        <v>1</v>
      </c>
      <c r="AJ289" s="1">
        <f>VLOOKUP($E289,'Product Parameters'!$A$2:$D$59,3,FALSE)</f>
        <v>0</v>
      </c>
      <c r="AK289" s="1">
        <f>VLOOKUP($E289,'Product Parameters'!$A$2:$D$59,4,FALSE)</f>
        <v>0.12</v>
      </c>
      <c r="AL289" s="1">
        <f>VLOOKUP($E289,'Product Parameters'!$A$2:$E$59,5,FALSE)</f>
        <v>47</v>
      </c>
      <c r="AM289" s="1">
        <f>VLOOKUP($E289,'Product Parameters'!$A$2:$F$59,6,FALSE)</f>
        <v>3</v>
      </c>
      <c r="AN289" s="1">
        <f>VLOOKUP($C289,'Substrate Heating'!$A$2:$C$33,3,FALSE)</f>
        <v>120.9</v>
      </c>
      <c r="AO289" s="1">
        <f>VLOOKUP($C289,'Substrate Heating'!$A$2:$B$33,2,FALSE)</f>
        <v>5.2537372583834907</v>
      </c>
      <c r="AP289" s="1">
        <f>VLOOKUP($C289,'Substrate Heating'!$A$2:$M$33,13,FALSE)</f>
        <v>0</v>
      </c>
      <c r="AQ289" s="1">
        <f>VLOOKUP($C289,'Substrate Heating'!$A$2:$M$33,8,FALSE)</f>
        <v>0.33333333333333331</v>
      </c>
      <c r="AR289" s="1">
        <f t="shared" si="4"/>
        <v>1.054125998225361</v>
      </c>
    </row>
    <row r="290" spans="1:44" x14ac:dyDescent="0.2">
      <c r="A290" s="17" t="s">
        <v>323</v>
      </c>
      <c r="B290" s="18" t="s">
        <v>324</v>
      </c>
      <c r="C290" t="s">
        <v>334</v>
      </c>
      <c r="D290" s="19" t="s">
        <v>326</v>
      </c>
      <c r="E290" t="s">
        <v>236</v>
      </c>
      <c r="F290" t="s">
        <v>237</v>
      </c>
      <c r="G290">
        <v>-10</v>
      </c>
      <c r="H290">
        <v>0</v>
      </c>
      <c r="I290">
        <v>-5</v>
      </c>
      <c r="J290">
        <v>0.45</v>
      </c>
      <c r="K290">
        <v>-10</v>
      </c>
      <c r="L290">
        <v>0</v>
      </c>
      <c r="M290">
        <v>-5</v>
      </c>
      <c r="N290">
        <v>5.2631578947368398</v>
      </c>
      <c r="O290">
        <v>0.78947368421052599</v>
      </c>
      <c r="P290"/>
      <c r="Q290">
        <v>7.8947368421052599E-2</v>
      </c>
      <c r="R290">
        <v>0.144627236805182</v>
      </c>
      <c r="S290" s="1" t="str">
        <f>VLOOKUP($E290,'Product Naming'!$A$1:$P$58,2,FALSE)</f>
        <v>Hexane</v>
      </c>
      <c r="T290" s="1" t="str">
        <f>VLOOKUP($E290,'Product Naming'!$A$1:$P$58,3,FALSE)</f>
        <v>Hexane</v>
      </c>
      <c r="U290" s="1" t="str">
        <f>VLOOKUP($E290,'Product Naming'!$A$1:$P$58,4,FALSE)</f>
        <v>E</v>
      </c>
      <c r="V290" s="1" t="str">
        <f>VLOOKUP($E290,'Product Naming'!$A$1:$P$58,5,FALSE)</f>
        <v>C6H14</v>
      </c>
      <c r="W290" s="1">
        <f>VLOOKUP($E290,'Product Naming'!$A$1:$P$58,6,FALSE)</f>
        <v>6</v>
      </c>
      <c r="X290" s="1">
        <f>VLOOKUP($E290,'Product Naming'!$A$1:$P$58,7,FALSE)</f>
        <v>14</v>
      </c>
      <c r="Y290" s="1">
        <f>VLOOKUP($E290,'Product Naming'!$A$1:$P$58,8,FALSE)</f>
        <v>0</v>
      </c>
      <c r="Z290" s="1">
        <f>VLOOKUP($E290,'Product Naming'!$A$1:$P$58,9,FALSE)</f>
        <v>0</v>
      </c>
      <c r="AA290" s="1">
        <f>VLOOKUP($E290,'Product Naming'!$A$1:$P$58,10,FALSE)</f>
        <v>0</v>
      </c>
      <c r="AB290" s="29">
        <f>VLOOKUP($E290,'Product Naming'!$A$1:$P$58,11,FALSE)</f>
        <v>6.333333333333333</v>
      </c>
      <c r="AC290" s="3">
        <f>VLOOKUP($E290,'Product Naming'!$A$1:$P$58,12,FALSE)</f>
        <v>86.173959999999994</v>
      </c>
      <c r="AD290" s="1">
        <f>VLOOKUP($E290,'Product Naming'!$A$1:$P$58,13,FALSE)</f>
        <v>69</v>
      </c>
      <c r="AE290" s="1" t="str">
        <f>VLOOKUP($E290,'Product Naming'!$A$1:$P$58,14,FALSE)</f>
        <v>Hydrocarbon (alkane)</v>
      </c>
      <c r="AF290" s="1" t="str">
        <f>VLOOKUP($E290,'Product Naming'!$A$1:$P$58,15,FALSE)</f>
        <v>Acetyl-CoA + Succinyl-CoA</v>
      </c>
      <c r="AG290" s="30" t="str">
        <f>VLOOKUP($E290,'Product Naming'!$A$1:$P$58,16,FALSE)</f>
        <v>Proton symporter</v>
      </c>
      <c r="AH290" s="3" t="str">
        <f>VLOOKUP($E290,'Product Naming'!$A$1:$Q$58,17,FALSE)</f>
        <v>hex_c</v>
      </c>
      <c r="AI290" s="1">
        <f>VLOOKUP($E290,'Product Parameters'!$A$2:$D$59,2,FALSE)</f>
        <v>1</v>
      </c>
      <c r="AJ290" s="1">
        <f>VLOOKUP($E290,'Product Parameters'!$A$2:$D$59,3,FALSE)</f>
        <v>0</v>
      </c>
      <c r="AK290" s="1">
        <f>VLOOKUP($E290,'Product Parameters'!$A$2:$D$59,4,FALSE)</f>
        <v>0.12</v>
      </c>
      <c r="AL290" s="1">
        <f>VLOOKUP($E290,'Product Parameters'!$A$2:$E$59,5,FALSE)</f>
        <v>31</v>
      </c>
      <c r="AM290" s="1">
        <f>VLOOKUP($E290,'Product Parameters'!$A$2:$F$59,6,FALSE)</f>
        <v>6</v>
      </c>
      <c r="AN290" s="1">
        <f>VLOOKUP($C290,'Substrate Heating'!$A$2:$C$33,3,FALSE)</f>
        <v>249.93333333333334</v>
      </c>
      <c r="AO290" s="1">
        <f>VLOOKUP($C290,'Substrate Heating'!$A$2:$B$33,2,FALSE)</f>
        <v>8.1456827881222953</v>
      </c>
      <c r="AP290" s="1">
        <f>VLOOKUP($C290,'Substrate Heating'!$A$2:$M$33,13,FALSE)</f>
        <v>0.66666666666666663</v>
      </c>
      <c r="AQ290" s="1">
        <f>VLOOKUP($C290,'Substrate Heating'!$A$2:$M$33,8,FALSE)</f>
        <v>0.66666666666666663</v>
      </c>
      <c r="AR290" s="1">
        <f t="shared" si="4"/>
        <v>0.71052631578947345</v>
      </c>
    </row>
    <row r="291" spans="1:44" x14ac:dyDescent="0.2">
      <c r="A291" s="17" t="s">
        <v>323</v>
      </c>
      <c r="B291" s="18" t="s">
        <v>324</v>
      </c>
      <c r="C291" t="s">
        <v>336</v>
      </c>
      <c r="D291" s="19" t="s">
        <v>326</v>
      </c>
      <c r="E291" t="s">
        <v>124</v>
      </c>
      <c r="F291" t="s">
        <v>125</v>
      </c>
      <c r="G291">
        <v>-10</v>
      </c>
      <c r="H291">
        <v>0</v>
      </c>
      <c r="I291">
        <v>-20</v>
      </c>
      <c r="J291">
        <v>0.45</v>
      </c>
      <c r="K291">
        <v>-10</v>
      </c>
      <c r="L291">
        <v>0</v>
      </c>
      <c r="M291">
        <v>-16.973913043478301</v>
      </c>
      <c r="N291">
        <v>0</v>
      </c>
      <c r="O291">
        <v>1.0086956521739101</v>
      </c>
      <c r="P291"/>
      <c r="Q291">
        <v>0.100869565217391</v>
      </c>
      <c r="R291" s="21">
        <v>0.144911680779443</v>
      </c>
      <c r="S291" s="1" t="str">
        <f>VLOOKUP($E291,'Product Naming'!$A$1:$P$58,2,FALSE)</f>
        <v>Acrylate-PW1</v>
      </c>
      <c r="T291" s="1" t="str">
        <f>VLOOKUP($E291,'Product Naming'!$A$1:$P$58,3,FALSE)</f>
        <v>Acrylate (PW1)</v>
      </c>
      <c r="U291" s="1" t="str">
        <f>VLOOKUP($E291,'Product Naming'!$A$1:$P$58,4,FALSE)</f>
        <v>A</v>
      </c>
      <c r="V291" s="1" t="str">
        <f>VLOOKUP($E291,'Product Naming'!$A$1:$P$58,5,FALSE)</f>
        <v>C3H3O2</v>
      </c>
      <c r="W291" s="1">
        <f>VLOOKUP($E291,'Product Naming'!$A$1:$P$58,6,FALSE)</f>
        <v>3</v>
      </c>
      <c r="X291" s="1">
        <f>VLOOKUP($E291,'Product Naming'!$A$1:$P$58,7,FALSE)</f>
        <v>3</v>
      </c>
      <c r="Y291" s="1">
        <f>VLOOKUP($E291,'Product Naming'!$A$1:$P$58,8,FALSE)</f>
        <v>2</v>
      </c>
      <c r="Z291" s="1">
        <f>VLOOKUP($E291,'Product Naming'!$A$1:$P$58,9,FALSE)</f>
        <v>0</v>
      </c>
      <c r="AA291" s="1">
        <f>VLOOKUP($E291,'Product Naming'!$A$1:$P$58,10,FALSE)</f>
        <v>-1</v>
      </c>
      <c r="AB291" s="29">
        <f>VLOOKUP($E291,'Product Naming'!$A$1:$P$58,11,FALSE)</f>
        <v>3.6666666666666665</v>
      </c>
      <c r="AC291" s="3">
        <f>VLOOKUP($E291,'Product Naming'!$A$1:$P$58,12,FALSE)</f>
        <v>71.053619999999995</v>
      </c>
      <c r="AD291" s="1">
        <f>VLOOKUP($E291,'Product Naming'!$A$1:$P$58,13,FALSE)</f>
        <v>80</v>
      </c>
      <c r="AE291" s="1" t="str">
        <f>VLOOKUP($E291,'Product Naming'!$A$1:$P$58,14,FALSE)</f>
        <v>Carboxylate</v>
      </c>
      <c r="AF291" s="1" t="str">
        <f>VLOOKUP($E291,'Product Naming'!$A$1:$P$58,15,FALSE)</f>
        <v>Glyceraldehyde 3-P</v>
      </c>
      <c r="AG291" s="30" t="str">
        <f>VLOOKUP($E291,'Product Naming'!$A$1:$P$58,16,FALSE)</f>
        <v>Proton symporter</v>
      </c>
      <c r="AH291" s="3" t="str">
        <f>VLOOKUP($E291,'Product Naming'!$A$1:$Q$58,17,FALSE)</f>
        <v>acryl_c</v>
      </c>
      <c r="AI291" s="1">
        <f>VLOOKUP($E291,'Product Parameters'!$A$2:$D$59,2,FALSE)</f>
        <v>1</v>
      </c>
      <c r="AJ291" s="1">
        <f>VLOOKUP($E291,'Product Parameters'!$A$2:$D$59,3,FALSE)</f>
        <v>0</v>
      </c>
      <c r="AK291" s="1">
        <f>VLOOKUP($E291,'Product Parameters'!$A$2:$D$59,4,FALSE)</f>
        <v>0.12</v>
      </c>
      <c r="AL291" s="1">
        <f>VLOOKUP($E291,'Product Parameters'!$A$2:$E$59,5,FALSE)</f>
        <v>53.1</v>
      </c>
      <c r="AM291" s="1">
        <f>VLOOKUP($E291,'Product Parameters'!$A$2:$F$59,6,FALSE)</f>
        <v>3</v>
      </c>
      <c r="AN291" s="1">
        <f>VLOOKUP($C291,'Substrate Heating'!$A$2:$C$33,3,FALSE)</f>
        <v>245.86666666666667</v>
      </c>
      <c r="AO291" s="1">
        <f>VLOOKUP($C291,'Substrate Heating'!$A$2:$B$33,2,FALSE)</f>
        <v>15.038360459876978</v>
      </c>
      <c r="AP291" s="1">
        <f>VLOOKUP($C291,'Substrate Heating'!$A$2:$M$33,13,FALSE)</f>
        <v>0.33333333333333331</v>
      </c>
      <c r="AQ291" s="1">
        <f>VLOOKUP($C291,'Substrate Heating'!$A$2:$M$33,8,FALSE)</f>
        <v>0.33333333333333331</v>
      </c>
      <c r="AR291" s="1">
        <f t="shared" si="4"/>
        <v>0.90782608695651912</v>
      </c>
    </row>
    <row r="292" spans="1:44" x14ac:dyDescent="0.2">
      <c r="A292" s="17" t="s">
        <v>323</v>
      </c>
      <c r="B292" s="18" t="s">
        <v>324</v>
      </c>
      <c r="C292" t="s">
        <v>333</v>
      </c>
      <c r="D292" s="19" t="s">
        <v>326</v>
      </c>
      <c r="E292" t="s">
        <v>81</v>
      </c>
      <c r="F292" t="s">
        <v>73</v>
      </c>
      <c r="G292">
        <v>-10</v>
      </c>
      <c r="H292">
        <v>0</v>
      </c>
      <c r="I292">
        <v>0</v>
      </c>
      <c r="J292">
        <v>0.45</v>
      </c>
      <c r="K292">
        <v>-10</v>
      </c>
      <c r="L292">
        <v>0</v>
      </c>
      <c r="M292">
        <v>0</v>
      </c>
      <c r="N292">
        <v>6.6666666666666696</v>
      </c>
      <c r="O292">
        <v>1.1111111111111101</v>
      </c>
      <c r="P292"/>
      <c r="Q292">
        <v>0.11111111111111099</v>
      </c>
      <c r="R292">
        <v>0.14506081111091801</v>
      </c>
      <c r="S292" s="1" t="str">
        <f>VLOOKUP($E292,'Product Naming'!$A$1:$P$58,2,FALSE)</f>
        <v>1-propanol-PW2</v>
      </c>
      <c r="T292" s="1" t="str">
        <f>VLOOKUP($E292,'Product Naming'!$A$1:$P$58,3,FALSE)</f>
        <v>1-Propanol (PW2)</v>
      </c>
      <c r="U292" s="1" t="str">
        <f>VLOOKUP($E292,'Product Naming'!$A$1:$P$58,4,FALSE)</f>
        <v>E-S</v>
      </c>
      <c r="V292" s="1" t="str">
        <f>VLOOKUP($E292,'Product Naming'!$A$1:$P$58,5,FALSE)</f>
        <v>C3H8O</v>
      </c>
      <c r="W292" s="1">
        <f>VLOOKUP($E292,'Product Naming'!$A$1:$P$58,6,FALSE)</f>
        <v>3</v>
      </c>
      <c r="X292" s="1">
        <f>VLOOKUP($E292,'Product Naming'!$A$1:$P$58,7,FALSE)</f>
        <v>8</v>
      </c>
      <c r="Y292" s="1">
        <f>VLOOKUP($E292,'Product Naming'!$A$1:$P$58,8,FALSE)</f>
        <v>1</v>
      </c>
      <c r="Z292" s="1">
        <f>VLOOKUP($E292,'Product Naming'!$A$1:$P$58,9,FALSE)</f>
        <v>0</v>
      </c>
      <c r="AA292" s="1">
        <f>VLOOKUP($E292,'Product Naming'!$A$1:$P$58,10,FALSE)</f>
        <v>0</v>
      </c>
      <c r="AB292" s="29">
        <f>VLOOKUP($E292,'Product Naming'!$A$1:$P$58,11,FALSE)</f>
        <v>6</v>
      </c>
      <c r="AC292" s="3">
        <f>VLOOKUP($E292,'Product Naming'!$A$1:$P$58,12,FALSE)</f>
        <v>60.093820000000001</v>
      </c>
      <c r="AD292" s="1">
        <f>VLOOKUP($E292,'Product Naming'!$A$1:$P$58,13,FALSE)</f>
        <v>97</v>
      </c>
      <c r="AE292" s="1" t="str">
        <f>VLOOKUP($E292,'Product Naming'!$A$1:$P$58,14,FALSE)</f>
        <v>Alcohol</v>
      </c>
      <c r="AF292" s="1" t="str">
        <f>VLOOKUP($E292,'Product Naming'!$A$1:$P$58,15,FALSE)</f>
        <v>Oxaloacetate</v>
      </c>
      <c r="AG292" s="30" t="str">
        <f>VLOOKUP($E292,'Product Naming'!$A$1:$P$58,16,FALSE)</f>
        <v>Proton symporter</v>
      </c>
      <c r="AH292" s="3" t="str">
        <f>VLOOKUP($E292,'Product Naming'!$A$1:$Q$58,17,FALSE)</f>
        <v>ppoh_c</v>
      </c>
      <c r="AI292" s="1">
        <f>VLOOKUP($E292,'Product Parameters'!$A$2:$D$59,2,FALSE)</f>
        <v>1</v>
      </c>
      <c r="AJ292" s="1">
        <f>VLOOKUP($E292,'Product Parameters'!$A$2:$D$59,3,FALSE)</f>
        <v>0</v>
      </c>
      <c r="AK292" s="1">
        <f>VLOOKUP($E292,'Product Parameters'!$A$2:$D$59,4,FALSE)</f>
        <v>0.12</v>
      </c>
      <c r="AL292" s="1">
        <f>VLOOKUP($E292,'Product Parameters'!$A$2:$E$59,5,FALSE)</f>
        <v>47</v>
      </c>
      <c r="AM292" s="1">
        <f>VLOOKUP($E292,'Product Parameters'!$A$2:$F$59,6,FALSE)</f>
        <v>3</v>
      </c>
      <c r="AN292" s="1">
        <f>VLOOKUP($C292,'Substrate Heating'!$A$2:$C$33,3,FALSE)</f>
        <v>247.59097</v>
      </c>
      <c r="AO292" s="1">
        <f>VLOOKUP($C292,'Substrate Heating'!$A$2:$B$33,2,FALSE)</f>
        <v>5.5</v>
      </c>
      <c r="AP292" s="1">
        <f>VLOOKUP($C292,'Substrate Heating'!$A$2:$M$33,13,FALSE)</f>
        <v>1</v>
      </c>
      <c r="AQ292" s="1">
        <f>VLOOKUP($C292,'Substrate Heating'!$A$2:$M$33,8,FALSE)</f>
        <v>1</v>
      </c>
      <c r="AR292" s="1">
        <f t="shared" si="4"/>
        <v>0.33333333333333298</v>
      </c>
    </row>
    <row r="293" spans="1:44" x14ac:dyDescent="0.2">
      <c r="A293" s="17" t="s">
        <v>323</v>
      </c>
      <c r="B293" s="18" t="s">
        <v>324</v>
      </c>
      <c r="C293" t="s">
        <v>333</v>
      </c>
      <c r="D293" s="19" t="s">
        <v>326</v>
      </c>
      <c r="E293" t="s">
        <v>251</v>
      </c>
      <c r="F293" t="s">
        <v>252</v>
      </c>
      <c r="G293">
        <v>-10</v>
      </c>
      <c r="H293">
        <v>0</v>
      </c>
      <c r="I293">
        <v>0</v>
      </c>
      <c r="J293">
        <v>0.45</v>
      </c>
      <c r="K293">
        <v>-10</v>
      </c>
      <c r="L293">
        <v>0</v>
      </c>
      <c r="M293">
        <v>0</v>
      </c>
      <c r="N293">
        <v>6.6666666666666696</v>
      </c>
      <c r="O293">
        <v>1.1111111111111101</v>
      </c>
      <c r="P293"/>
      <c r="Q293">
        <v>0.11111111111111099</v>
      </c>
      <c r="R293">
        <v>0.14506081111091801</v>
      </c>
      <c r="S293" s="1" t="str">
        <f>VLOOKUP($E293,'Product Naming'!$A$1:$P$58,2,FALSE)</f>
        <v>Isopropanol</v>
      </c>
      <c r="T293" s="1" t="str">
        <f>VLOOKUP($E293,'Product Naming'!$A$1:$P$58,3,FALSE)</f>
        <v>Isopropanol</v>
      </c>
      <c r="U293" s="1" t="str">
        <f>VLOOKUP($E293,'Product Naming'!$A$1:$P$58,4,FALSE)</f>
        <v>A</v>
      </c>
      <c r="V293" s="1" t="str">
        <f>VLOOKUP($E293,'Product Naming'!$A$1:$P$58,5,FALSE)</f>
        <v>C3H8O</v>
      </c>
      <c r="W293" s="1">
        <f>VLOOKUP($E293,'Product Naming'!$A$1:$P$58,6,FALSE)</f>
        <v>3</v>
      </c>
      <c r="X293" s="1">
        <f>VLOOKUP($E293,'Product Naming'!$A$1:$P$58,7,FALSE)</f>
        <v>8</v>
      </c>
      <c r="Y293" s="1">
        <f>VLOOKUP($E293,'Product Naming'!$A$1:$P$58,8,FALSE)</f>
        <v>1</v>
      </c>
      <c r="Z293" s="1">
        <f>VLOOKUP($E293,'Product Naming'!$A$1:$P$58,9,FALSE)</f>
        <v>0</v>
      </c>
      <c r="AA293" s="1">
        <f>VLOOKUP($E293,'Product Naming'!$A$1:$P$58,10,FALSE)</f>
        <v>0</v>
      </c>
      <c r="AB293" s="29">
        <f>VLOOKUP($E293,'Product Naming'!$A$1:$P$58,11,FALSE)</f>
        <v>6</v>
      </c>
      <c r="AC293" s="3">
        <f>VLOOKUP($E293,'Product Naming'!$A$1:$P$58,12,FALSE)</f>
        <v>60.093820000000001</v>
      </c>
      <c r="AD293" s="1">
        <f>VLOOKUP($E293,'Product Naming'!$A$1:$P$58,13,FALSE)</f>
        <v>82.5</v>
      </c>
      <c r="AE293" s="1" t="str">
        <f>VLOOKUP($E293,'Product Naming'!$A$1:$P$58,14,FALSE)</f>
        <v>Alcohol</v>
      </c>
      <c r="AF293" s="1" t="str">
        <f>VLOOKUP($E293,'Product Naming'!$A$1:$P$58,15,FALSE)</f>
        <v>Acetyl-CoA</v>
      </c>
      <c r="AG293" s="30" t="str">
        <f>VLOOKUP($E293,'Product Naming'!$A$1:$P$58,16,FALSE)</f>
        <v>Proton symporter</v>
      </c>
      <c r="AH293" s="3" t="str">
        <f>VLOOKUP($E293,'Product Naming'!$A$1:$Q$58,17,FALSE)</f>
        <v>2ppoh_c</v>
      </c>
      <c r="AI293" s="1">
        <f>VLOOKUP($E293,'Product Parameters'!$A$2:$D$59,2,FALSE)</f>
        <v>1</v>
      </c>
      <c r="AJ293" s="1">
        <f>VLOOKUP($E293,'Product Parameters'!$A$2:$D$59,3,FALSE)</f>
        <v>0</v>
      </c>
      <c r="AK293" s="1">
        <f>VLOOKUP($E293,'Product Parameters'!$A$2:$D$59,4,FALSE)</f>
        <v>0.12</v>
      </c>
      <c r="AL293" s="1">
        <f>VLOOKUP($E293,'Product Parameters'!$A$2:$E$59,5,FALSE)</f>
        <v>45</v>
      </c>
      <c r="AM293" s="1">
        <f>VLOOKUP($E293,'Product Parameters'!$A$2:$F$59,6,FALSE)</f>
        <v>3</v>
      </c>
      <c r="AN293" s="1">
        <f>VLOOKUP($C293,'Substrate Heating'!$A$2:$C$33,3,FALSE)</f>
        <v>247.59097</v>
      </c>
      <c r="AO293" s="1">
        <f>VLOOKUP($C293,'Substrate Heating'!$A$2:$B$33,2,FALSE)</f>
        <v>5.5</v>
      </c>
      <c r="AP293" s="1">
        <f>VLOOKUP($C293,'Substrate Heating'!$A$2:$M$33,13,FALSE)</f>
        <v>1</v>
      </c>
      <c r="AQ293" s="1">
        <f>VLOOKUP($C293,'Substrate Heating'!$A$2:$M$33,8,FALSE)</f>
        <v>1</v>
      </c>
      <c r="AR293" s="1">
        <f t="shared" si="4"/>
        <v>0.33333333333333298</v>
      </c>
    </row>
    <row r="294" spans="1:44" x14ac:dyDescent="0.2">
      <c r="A294" s="17" t="s">
        <v>323</v>
      </c>
      <c r="B294" s="18" t="s">
        <v>324</v>
      </c>
      <c r="C294" t="s">
        <v>334</v>
      </c>
      <c r="D294" s="19" t="s">
        <v>326</v>
      </c>
      <c r="E294" t="s">
        <v>232</v>
      </c>
      <c r="F294" t="s">
        <v>233</v>
      </c>
      <c r="G294">
        <v>-10</v>
      </c>
      <c r="H294">
        <v>0</v>
      </c>
      <c r="I294">
        <v>-5</v>
      </c>
      <c r="J294">
        <v>0.45</v>
      </c>
      <c r="K294">
        <v>-10</v>
      </c>
      <c r="L294">
        <v>0</v>
      </c>
      <c r="M294">
        <v>-5</v>
      </c>
      <c r="N294">
        <v>5.2272727272727302</v>
      </c>
      <c r="O294">
        <v>0.68181818181818199</v>
      </c>
      <c r="P294"/>
      <c r="Q294">
        <v>6.8181818181818205E-2</v>
      </c>
      <c r="R294">
        <v>0.145235957866061</v>
      </c>
      <c r="S294" s="1" t="str">
        <f>VLOOKUP($E294,'Product Naming'!$A$1:$P$58,2,FALSE)</f>
        <v>Heptane</v>
      </c>
      <c r="T294" s="1" t="str">
        <f>VLOOKUP($E294,'Product Naming'!$A$1:$P$58,3,FALSE)</f>
        <v>Heptane</v>
      </c>
      <c r="U294" s="1" t="str">
        <f>VLOOKUP($E294,'Product Naming'!$A$1:$P$58,4,FALSE)</f>
        <v>E</v>
      </c>
      <c r="V294" s="1" t="str">
        <f>VLOOKUP($E294,'Product Naming'!$A$1:$P$58,5,FALSE)</f>
        <v>C7H16</v>
      </c>
      <c r="W294" s="1">
        <f>VLOOKUP($E294,'Product Naming'!$A$1:$P$58,6,FALSE)</f>
        <v>7</v>
      </c>
      <c r="X294" s="1">
        <f>VLOOKUP($E294,'Product Naming'!$A$1:$P$58,7,FALSE)</f>
        <v>16</v>
      </c>
      <c r="Y294" s="1">
        <f>VLOOKUP($E294,'Product Naming'!$A$1:$P$58,8,FALSE)</f>
        <v>0</v>
      </c>
      <c r="Z294" s="1">
        <f>VLOOKUP($E294,'Product Naming'!$A$1:$P$58,9,FALSE)</f>
        <v>0</v>
      </c>
      <c r="AA294" s="1">
        <f>VLOOKUP($E294,'Product Naming'!$A$1:$P$58,10,FALSE)</f>
        <v>0</v>
      </c>
      <c r="AB294" s="29">
        <f>VLOOKUP($E294,'Product Naming'!$A$1:$P$58,11,FALSE)</f>
        <v>6.2857142857142856</v>
      </c>
      <c r="AC294" s="3">
        <f>VLOOKUP($E294,'Product Naming'!$A$1:$P$58,12,FALSE)</f>
        <v>100.20034</v>
      </c>
      <c r="AD294" s="1">
        <f>VLOOKUP($E294,'Product Naming'!$A$1:$P$58,13,FALSE)</f>
        <v>98</v>
      </c>
      <c r="AE294" s="1" t="str">
        <f>VLOOKUP($E294,'Product Naming'!$A$1:$P$58,14,FALSE)</f>
        <v>Hydrocarbon (alkane)</v>
      </c>
      <c r="AF294" s="1" t="str">
        <f>VLOOKUP($E294,'Product Naming'!$A$1:$P$58,15,FALSE)</f>
        <v>Acetyl-CoA</v>
      </c>
      <c r="AG294" s="30" t="str">
        <f>VLOOKUP($E294,'Product Naming'!$A$1:$P$58,16,FALSE)</f>
        <v>Proton symporter</v>
      </c>
      <c r="AH294" s="3" t="str">
        <f>VLOOKUP($E294,'Product Naming'!$A$1:$Q$58,17,FALSE)</f>
        <v>hept_c</v>
      </c>
      <c r="AI294" s="1">
        <f>VLOOKUP($E294,'Product Parameters'!$A$2:$D$59,2,FALSE)</f>
        <v>1</v>
      </c>
      <c r="AJ294" s="1">
        <f>VLOOKUP($E294,'Product Parameters'!$A$2:$D$59,3,FALSE)</f>
        <v>0</v>
      </c>
      <c r="AK294" s="1">
        <f>VLOOKUP($E294,'Product Parameters'!$A$2:$D$59,4,FALSE)</f>
        <v>0.12</v>
      </c>
      <c r="AL294" s="1">
        <f>VLOOKUP($E294,'Product Parameters'!$A$2:$E$59,5,FALSE)</f>
        <v>36</v>
      </c>
      <c r="AM294" s="1">
        <f>VLOOKUP($E294,'Product Parameters'!$A$2:$F$59,6,FALSE)</f>
        <v>7</v>
      </c>
      <c r="AN294" s="1">
        <f>VLOOKUP($C294,'Substrate Heating'!$A$2:$C$33,3,FALSE)</f>
        <v>249.93333333333334</v>
      </c>
      <c r="AO294" s="1">
        <f>VLOOKUP($C294,'Substrate Heating'!$A$2:$B$33,2,FALSE)</f>
        <v>8.1456827881222953</v>
      </c>
      <c r="AP294" s="1">
        <f>VLOOKUP($C294,'Substrate Heating'!$A$2:$M$33,13,FALSE)</f>
        <v>0.66666666666666663</v>
      </c>
      <c r="AQ294" s="1">
        <f>VLOOKUP($C294,'Substrate Heating'!$A$2:$M$33,8,FALSE)</f>
        <v>0.66666666666666663</v>
      </c>
      <c r="AR294" s="1">
        <f t="shared" si="4"/>
        <v>0.71590909090909116</v>
      </c>
    </row>
    <row r="295" spans="1:44" x14ac:dyDescent="0.2">
      <c r="A295" s="8" t="s">
        <v>816</v>
      </c>
      <c r="B295" s="18" t="s">
        <v>324</v>
      </c>
      <c r="C295" t="s">
        <v>815</v>
      </c>
      <c r="D295" s="19" t="s">
        <v>326</v>
      </c>
      <c r="E295" t="s">
        <v>297</v>
      </c>
      <c r="F295" t="s">
        <v>298</v>
      </c>
      <c r="G295">
        <v>-10</v>
      </c>
      <c r="H295">
        <v>0</v>
      </c>
      <c r="I295">
        <v>0</v>
      </c>
      <c r="J295">
        <v>0.45</v>
      </c>
      <c r="K295">
        <v>21.014736840000001</v>
      </c>
      <c r="L295">
        <v>0</v>
      </c>
      <c r="M295">
        <v>0</v>
      </c>
      <c r="N295">
        <v>21.014736840000001</v>
      </c>
      <c r="O295">
        <v>1.014736842</v>
      </c>
      <c r="P295"/>
      <c r="Q295">
        <v>4.8286915999999999E-2</v>
      </c>
      <c r="R295">
        <v>0.145603758</v>
      </c>
      <c r="S295" s="1" t="str">
        <f>VLOOKUP($E295,'Product Naming'!$A$1:$P$58,2,FALSE)</f>
        <v>Phenol</v>
      </c>
      <c r="T295" s="1" t="str">
        <f>VLOOKUP($E295,'Product Naming'!$A$1:$P$58,3,FALSE)</f>
        <v>Phenol</v>
      </c>
      <c r="U295" s="1" t="str">
        <f>VLOOKUP($E295,'Product Naming'!$A$1:$P$58,4,FALSE)</f>
        <v>E-S</v>
      </c>
      <c r="V295" s="1" t="str">
        <f>VLOOKUP($E295,'Product Naming'!$A$1:$P$58,5,FALSE)</f>
        <v>C6H6O</v>
      </c>
      <c r="W295" s="1">
        <f>VLOOKUP($E295,'Product Naming'!$A$1:$P$58,6,FALSE)</f>
        <v>6</v>
      </c>
      <c r="X295" s="1">
        <f>VLOOKUP($E295,'Product Naming'!$A$1:$P$58,7,FALSE)</f>
        <v>6</v>
      </c>
      <c r="Y295" s="1">
        <f>VLOOKUP($E295,'Product Naming'!$A$1:$P$58,8,FALSE)</f>
        <v>1</v>
      </c>
      <c r="Z295" s="1">
        <f>VLOOKUP($E295,'Product Naming'!$A$1:$P$58,9,FALSE)</f>
        <v>0</v>
      </c>
      <c r="AA295" s="1">
        <f>VLOOKUP($E295,'Product Naming'!$A$1:$P$58,10,FALSE)</f>
        <v>0</v>
      </c>
      <c r="AB295" s="29">
        <f>VLOOKUP($E295,'Product Naming'!$A$1:$P$58,11,FALSE)</f>
        <v>4.666666666666667</v>
      </c>
      <c r="AC295" s="3">
        <f>VLOOKUP($E295,'Product Naming'!$A$1:$P$58,12,FALSE)</f>
        <v>94.11023999999999</v>
      </c>
      <c r="AD295" s="1">
        <f>VLOOKUP($E295,'Product Naming'!$A$1:$P$58,13,FALSE)</f>
        <v>181.7</v>
      </c>
      <c r="AE295" s="1" t="str">
        <f>VLOOKUP($E295,'Product Naming'!$A$1:$P$58,14,FALSE)</f>
        <v>Aromatic + Alcohol</v>
      </c>
      <c r="AF295" s="1" t="str">
        <f>VLOOKUP($E295,'Product Naming'!$A$1:$P$58,15,FALSE)</f>
        <v>E4P + L-glutamate</v>
      </c>
      <c r="AG295" s="30" t="str">
        <f>VLOOKUP($E295,'Product Naming'!$A$1:$P$58,16,FALSE)</f>
        <v>Proton symporter</v>
      </c>
      <c r="AH295" s="3" t="str">
        <f>VLOOKUP($E295,'Product Naming'!$A$1:$Q$58,17,FALSE)</f>
        <v>phenol_c</v>
      </c>
      <c r="AI295" s="1">
        <f>VLOOKUP($E295,'Product Parameters'!$A$2:$D$59,2,FALSE)</f>
        <v>1</v>
      </c>
      <c r="AJ295" s="1">
        <f>VLOOKUP($E295,'Product Parameters'!$A$2:$D$59,3,FALSE)</f>
        <v>0</v>
      </c>
      <c r="AK295" s="1">
        <f>VLOOKUP($E295,'Product Parameters'!$A$2:$D$59,4,FALSE)</f>
        <v>0.12</v>
      </c>
      <c r="AL295" s="1">
        <f>VLOOKUP($E295,'Product Parameters'!$A$2:$E$59,5,FALSE)</f>
        <v>58.8</v>
      </c>
      <c r="AM295" s="1">
        <f>VLOOKUP($E295,'Product Parameters'!$A$2:$F$59,6,FALSE)</f>
        <v>6</v>
      </c>
      <c r="AN295" s="1">
        <f>VLOOKUP($C295,'Substrate Heating'!$A$2:$C$33,3,FALSE)</f>
        <v>226.4</v>
      </c>
      <c r="AO295" s="1">
        <f>VLOOKUP($C295,'Substrate Heating'!$A$2:$B$33,2,FALSE)</f>
        <v>7.2542014450728134</v>
      </c>
      <c r="AP295" s="1">
        <f>VLOOKUP($C295,'Substrate Heating'!$A$2:$M$33,13,FALSE)</f>
        <v>1.6</v>
      </c>
      <c r="AQ295" s="1">
        <f>VLOOKUP($C295,'Substrate Heating'!$A$2:$M$33,8,FALSE)</f>
        <v>1</v>
      </c>
      <c r="AR295" s="1">
        <f t="shared" si="4"/>
        <v>0.28972149599999997</v>
      </c>
    </row>
    <row r="296" spans="1:44" x14ac:dyDescent="0.2">
      <c r="A296" s="17" t="s">
        <v>323</v>
      </c>
      <c r="B296" s="18" t="s">
        <v>324</v>
      </c>
      <c r="C296" t="s">
        <v>334</v>
      </c>
      <c r="D296" s="19" t="s">
        <v>326</v>
      </c>
      <c r="E296" t="s">
        <v>283</v>
      </c>
      <c r="F296" t="s">
        <v>284</v>
      </c>
      <c r="G296">
        <v>-10</v>
      </c>
      <c r="H296">
        <v>0</v>
      </c>
      <c r="I296">
        <v>-5</v>
      </c>
      <c r="J296">
        <v>0.45</v>
      </c>
      <c r="K296">
        <v>-10</v>
      </c>
      <c r="L296">
        <v>0</v>
      </c>
      <c r="M296">
        <v>-5</v>
      </c>
      <c r="N296">
        <v>5.2</v>
      </c>
      <c r="O296">
        <v>0.59999999999999798</v>
      </c>
      <c r="P296"/>
      <c r="Q296">
        <v>5.9999999999999797E-2</v>
      </c>
      <c r="R296">
        <v>0.14569858587232801</v>
      </c>
      <c r="S296" s="1" t="str">
        <f>VLOOKUP($E296,'Product Naming'!$A$1:$P$58,2,FALSE)</f>
        <v>Octane</v>
      </c>
      <c r="T296" s="1" t="str">
        <f>VLOOKUP($E296,'Product Naming'!$A$1:$P$58,3,FALSE)</f>
        <v>Octane</v>
      </c>
      <c r="U296" s="1" t="str">
        <f>VLOOKUP($E296,'Product Naming'!$A$1:$P$58,4,FALSE)</f>
        <v>E</v>
      </c>
      <c r="V296" s="1" t="str">
        <f>VLOOKUP($E296,'Product Naming'!$A$1:$P$58,5,FALSE)</f>
        <v>C8H18</v>
      </c>
      <c r="W296" s="1">
        <f>VLOOKUP($E296,'Product Naming'!$A$1:$P$58,6,FALSE)</f>
        <v>8</v>
      </c>
      <c r="X296" s="1">
        <f>VLOOKUP($E296,'Product Naming'!$A$1:$P$58,7,FALSE)</f>
        <v>18</v>
      </c>
      <c r="Y296" s="1">
        <f>VLOOKUP($E296,'Product Naming'!$A$1:$P$58,8,FALSE)</f>
        <v>0</v>
      </c>
      <c r="Z296" s="1">
        <f>VLOOKUP($E296,'Product Naming'!$A$1:$P$58,9,FALSE)</f>
        <v>0</v>
      </c>
      <c r="AA296" s="1">
        <f>VLOOKUP($E296,'Product Naming'!$A$1:$P$58,10,FALSE)</f>
        <v>0</v>
      </c>
      <c r="AB296" s="29">
        <f>VLOOKUP($E296,'Product Naming'!$A$1:$P$58,11,FALSE)</f>
        <v>6.25</v>
      </c>
      <c r="AC296" s="3">
        <f>VLOOKUP($E296,'Product Naming'!$A$1:$P$58,12,FALSE)</f>
        <v>114.22672</v>
      </c>
      <c r="AD296" s="1">
        <f>VLOOKUP($E296,'Product Naming'!$A$1:$P$58,13,FALSE)</f>
        <v>126</v>
      </c>
      <c r="AE296" s="1" t="str">
        <f>VLOOKUP($E296,'Product Naming'!$A$1:$P$58,14,FALSE)</f>
        <v>Hydrocarbon (alkane)</v>
      </c>
      <c r="AF296" s="1" t="str">
        <f>VLOOKUP($E296,'Product Naming'!$A$1:$P$58,15,FALSE)</f>
        <v>Acetyl-CoA + Succinyl-CoA</v>
      </c>
      <c r="AG296" s="30" t="str">
        <f>VLOOKUP($E296,'Product Naming'!$A$1:$P$58,16,FALSE)</f>
        <v>Proton symporter</v>
      </c>
      <c r="AH296" s="3" t="str">
        <f>VLOOKUP($E296,'Product Naming'!$A$1:$Q$58,17,FALSE)</f>
        <v>octn_c</v>
      </c>
      <c r="AI296" s="1">
        <f>VLOOKUP($E296,'Product Parameters'!$A$2:$D$59,2,FALSE)</f>
        <v>1</v>
      </c>
      <c r="AJ296" s="1">
        <f>VLOOKUP($E296,'Product Parameters'!$A$2:$D$59,3,FALSE)</f>
        <v>0</v>
      </c>
      <c r="AK296" s="1">
        <f>VLOOKUP($E296,'Product Parameters'!$A$2:$D$59,4,FALSE)</f>
        <v>0.12</v>
      </c>
      <c r="AL296" s="1">
        <f>VLOOKUP($E296,'Product Parameters'!$A$2:$E$59,5,FALSE)</f>
        <v>41</v>
      </c>
      <c r="AM296" s="1">
        <f>VLOOKUP($E296,'Product Parameters'!$A$2:$F$59,6,FALSE)</f>
        <v>8</v>
      </c>
      <c r="AN296" s="1">
        <f>VLOOKUP($C296,'Substrate Heating'!$A$2:$C$33,3,FALSE)</f>
        <v>249.93333333333334</v>
      </c>
      <c r="AO296" s="1">
        <f>VLOOKUP($C296,'Substrate Heating'!$A$2:$B$33,2,FALSE)</f>
        <v>8.1456827881222953</v>
      </c>
      <c r="AP296" s="1">
        <f>VLOOKUP($C296,'Substrate Heating'!$A$2:$M$33,13,FALSE)</f>
        <v>0.66666666666666663</v>
      </c>
      <c r="AQ296" s="1">
        <f>VLOOKUP($C296,'Substrate Heating'!$A$2:$M$33,8,FALSE)</f>
        <v>0.66666666666666663</v>
      </c>
      <c r="AR296" s="1">
        <f t="shared" si="4"/>
        <v>0.71999999999999764</v>
      </c>
    </row>
    <row r="297" spans="1:44" x14ac:dyDescent="0.2">
      <c r="A297" s="17" t="s">
        <v>323</v>
      </c>
      <c r="B297" s="18" t="s">
        <v>324</v>
      </c>
      <c r="C297" t="s">
        <v>334</v>
      </c>
      <c r="D297" s="19" t="s">
        <v>326</v>
      </c>
      <c r="E297" t="s">
        <v>279</v>
      </c>
      <c r="F297" t="s">
        <v>280</v>
      </c>
      <c r="G297">
        <v>-10</v>
      </c>
      <c r="H297">
        <v>0</v>
      </c>
      <c r="I297">
        <v>-5</v>
      </c>
      <c r="J297">
        <v>0.45</v>
      </c>
      <c r="K297">
        <v>-10</v>
      </c>
      <c r="L297">
        <v>0</v>
      </c>
      <c r="M297">
        <v>-5</v>
      </c>
      <c r="N297">
        <v>5.1785714285714199</v>
      </c>
      <c r="O297">
        <v>0.53571428571428503</v>
      </c>
      <c r="P297"/>
      <c r="Q297">
        <v>5.3571428571428499E-2</v>
      </c>
      <c r="R297">
        <v>0.14606207930582499</v>
      </c>
      <c r="S297" s="1" t="str">
        <f>VLOOKUP($E297,'Product Naming'!$A$1:$P$58,2,FALSE)</f>
        <v>Nonane</v>
      </c>
      <c r="T297" s="1" t="str">
        <f>VLOOKUP($E297,'Product Naming'!$A$1:$P$58,3,FALSE)</f>
        <v>Nonane</v>
      </c>
      <c r="U297" s="1" t="str">
        <f>VLOOKUP($E297,'Product Naming'!$A$1:$P$58,4,FALSE)</f>
        <v>E</v>
      </c>
      <c r="V297" s="1" t="str">
        <f>VLOOKUP($E297,'Product Naming'!$A$1:$P$58,5,FALSE)</f>
        <v>C9H20</v>
      </c>
      <c r="W297" s="1">
        <f>VLOOKUP($E297,'Product Naming'!$A$1:$P$58,6,FALSE)</f>
        <v>9</v>
      </c>
      <c r="X297" s="1">
        <f>VLOOKUP($E297,'Product Naming'!$A$1:$P$58,7,FALSE)</f>
        <v>20</v>
      </c>
      <c r="Y297" s="1">
        <f>VLOOKUP($E297,'Product Naming'!$A$1:$P$58,8,FALSE)</f>
        <v>0</v>
      </c>
      <c r="Z297" s="1">
        <f>VLOOKUP($E297,'Product Naming'!$A$1:$P$58,9,FALSE)</f>
        <v>0</v>
      </c>
      <c r="AA297" s="1">
        <f>VLOOKUP($E297,'Product Naming'!$A$1:$P$58,10,FALSE)</f>
        <v>0</v>
      </c>
      <c r="AB297" s="29">
        <f>VLOOKUP($E297,'Product Naming'!$A$1:$P$58,11,FALSE)</f>
        <v>6.2222222222222223</v>
      </c>
      <c r="AC297" s="3">
        <f>VLOOKUP($E297,'Product Naming'!$A$1:$P$58,12,FALSE)</f>
        <v>128.25309999999999</v>
      </c>
      <c r="AD297" s="1">
        <f>VLOOKUP($E297,'Product Naming'!$A$1:$P$58,13,FALSE)</f>
        <v>151</v>
      </c>
      <c r="AE297" s="1" t="str">
        <f>VLOOKUP($E297,'Product Naming'!$A$1:$P$58,14,FALSE)</f>
        <v>Hydrocarbon (alkane)</v>
      </c>
      <c r="AF297" s="1" t="str">
        <f>VLOOKUP($E297,'Product Naming'!$A$1:$P$58,15,FALSE)</f>
        <v>Acetyl-CoA</v>
      </c>
      <c r="AG297" s="30" t="str">
        <f>VLOOKUP($E297,'Product Naming'!$A$1:$P$58,16,FALSE)</f>
        <v>Proton symporter</v>
      </c>
      <c r="AH297" s="3" t="str">
        <f>VLOOKUP($E297,'Product Naming'!$A$1:$Q$58,17,FALSE)</f>
        <v>nonan_c</v>
      </c>
      <c r="AI297" s="1">
        <f>VLOOKUP($E297,'Product Parameters'!$A$2:$D$59,2,FALSE)</f>
        <v>1</v>
      </c>
      <c r="AJ297" s="1">
        <f>VLOOKUP($E297,'Product Parameters'!$A$2:$D$59,3,FALSE)</f>
        <v>0</v>
      </c>
      <c r="AK297" s="1">
        <f>VLOOKUP($E297,'Product Parameters'!$A$2:$D$59,4,FALSE)</f>
        <v>0.12</v>
      </c>
      <c r="AL297" s="1">
        <f>VLOOKUP($E297,'Product Parameters'!$A$2:$E$59,5,FALSE)</f>
        <v>46.5</v>
      </c>
      <c r="AM297" s="1">
        <f>VLOOKUP($E297,'Product Parameters'!$A$2:$F$59,6,FALSE)</f>
        <v>9</v>
      </c>
      <c r="AN297" s="1">
        <f>VLOOKUP($C297,'Substrate Heating'!$A$2:$C$33,3,FALSE)</f>
        <v>249.93333333333334</v>
      </c>
      <c r="AO297" s="1">
        <f>VLOOKUP($C297,'Substrate Heating'!$A$2:$B$33,2,FALSE)</f>
        <v>8.1456827881222953</v>
      </c>
      <c r="AP297" s="1">
        <f>VLOOKUP($C297,'Substrate Heating'!$A$2:$M$33,13,FALSE)</f>
        <v>0.66666666666666663</v>
      </c>
      <c r="AQ297" s="1">
        <f>VLOOKUP($C297,'Substrate Heating'!$A$2:$M$33,8,FALSE)</f>
        <v>0.66666666666666663</v>
      </c>
      <c r="AR297" s="1">
        <f t="shared" si="4"/>
        <v>0.72321428571428481</v>
      </c>
    </row>
    <row r="298" spans="1:44" x14ac:dyDescent="0.2">
      <c r="A298" s="17" t="s">
        <v>323</v>
      </c>
      <c r="B298" s="18" t="s">
        <v>324</v>
      </c>
      <c r="C298" t="s">
        <v>329</v>
      </c>
      <c r="D298" s="19" t="s">
        <v>326</v>
      </c>
      <c r="E298" t="s">
        <v>143</v>
      </c>
      <c r="F298" t="s">
        <v>137</v>
      </c>
      <c r="G298">
        <v>-10</v>
      </c>
      <c r="H298">
        <v>0</v>
      </c>
      <c r="I298">
        <v>-20</v>
      </c>
      <c r="J298">
        <v>0.45</v>
      </c>
      <c r="K298">
        <v>-10</v>
      </c>
      <c r="L298">
        <v>0</v>
      </c>
      <c r="M298">
        <v>-17.699173553719</v>
      </c>
      <c r="N298">
        <v>0</v>
      </c>
      <c r="O298">
        <v>0.38347107438016398</v>
      </c>
      <c r="P298"/>
      <c r="Q298">
        <v>3.8347107438017003E-2</v>
      </c>
      <c r="R298" s="20">
        <v>0.14704019128930901</v>
      </c>
      <c r="S298" s="1" t="str">
        <f>VLOOKUP($E298,'Product Naming'!$A$1:$P$58,2,FALSE)</f>
        <v>Benzoate-PW2</v>
      </c>
      <c r="T298" s="1" t="str">
        <f>VLOOKUP($E298,'Product Naming'!$A$1:$P$58,3,FALSE)</f>
        <v>Benzoate (PW2)</v>
      </c>
      <c r="U298" s="1" t="str">
        <f>VLOOKUP($E298,'Product Naming'!$A$1:$P$58,4,FALSE)</f>
        <v>A</v>
      </c>
      <c r="V298" s="1" t="str">
        <f>VLOOKUP($E298,'Product Naming'!$A$1:$P$58,5,FALSE)</f>
        <v>C7H5O2</v>
      </c>
      <c r="W298" s="1">
        <f>VLOOKUP($E298,'Product Naming'!$A$1:$P$58,6,FALSE)</f>
        <v>7</v>
      </c>
      <c r="X298" s="1">
        <f>VLOOKUP($E298,'Product Naming'!$A$1:$P$58,7,FALSE)</f>
        <v>5</v>
      </c>
      <c r="Y298" s="1">
        <f>VLOOKUP($E298,'Product Naming'!$A$1:$P$58,8,FALSE)</f>
        <v>2</v>
      </c>
      <c r="Z298" s="1">
        <f>VLOOKUP($E298,'Product Naming'!$A$1:$P$58,9,FALSE)</f>
        <v>0</v>
      </c>
      <c r="AA298" s="1">
        <f>VLOOKUP($E298,'Product Naming'!$A$1:$P$58,10,FALSE)</f>
        <v>-1</v>
      </c>
      <c r="AB298" s="29">
        <f>VLOOKUP($E298,'Product Naming'!$A$1:$P$58,11,FALSE)</f>
        <v>4.1428571428571432</v>
      </c>
      <c r="AC298" s="3">
        <f>VLOOKUP($E298,'Product Naming'!$A$1:$P$58,12,FALSE)</f>
        <v>121.1121</v>
      </c>
      <c r="AD298" s="1">
        <f>VLOOKUP($E298,'Product Naming'!$A$1:$P$58,13,FALSE)</f>
        <v>249.2</v>
      </c>
      <c r="AE298" s="1" t="str">
        <f>VLOOKUP($E298,'Product Naming'!$A$1:$P$58,14,FALSE)</f>
        <v>Aromatic + Carboxylate</v>
      </c>
      <c r="AF298" s="1" t="str">
        <f>VLOOKUP($E298,'Product Naming'!$A$1:$P$58,15,FALSE)</f>
        <v>E4P + aKG</v>
      </c>
      <c r="AG298" s="30" t="str">
        <f>VLOOKUP($E298,'Product Naming'!$A$1:$P$58,16,FALSE)</f>
        <v>Proton symporter</v>
      </c>
      <c r="AH298" s="3" t="str">
        <f>VLOOKUP($E298,'Product Naming'!$A$1:$Q$58,17,FALSE)</f>
        <v>bz_c</v>
      </c>
      <c r="AI298" s="1">
        <f>VLOOKUP($E298,'Product Parameters'!$A$2:$D$59,2,FALSE)</f>
        <v>1</v>
      </c>
      <c r="AJ298" s="1">
        <f>VLOOKUP($E298,'Product Parameters'!$A$2:$D$59,3,FALSE)</f>
        <v>0</v>
      </c>
      <c r="AK298" s="1">
        <f>VLOOKUP($E298,'Product Parameters'!$A$2:$D$59,4,FALSE)</f>
        <v>0.12</v>
      </c>
      <c r="AL298" s="1">
        <f>VLOOKUP($E298,'Product Parameters'!$A$2:$E$59,5,FALSE)</f>
        <v>40.65</v>
      </c>
      <c r="AM298" s="1">
        <f>VLOOKUP($E298,'Product Parameters'!$A$2:$F$59,6,FALSE)</f>
        <v>7</v>
      </c>
      <c r="AN298" s="1">
        <f>VLOOKUP($C298,'Substrate Heating'!$A$2:$C$33,3,FALSE)</f>
        <v>255.53333333333336</v>
      </c>
      <c r="AO298" s="1">
        <f>VLOOKUP($C298,'Substrate Heating'!$A$2:$B$33,2,FALSE)</f>
        <v>23.925550527978785</v>
      </c>
      <c r="AP298" s="1">
        <f>VLOOKUP($C298,'Substrate Heating'!$A$2:$M$33,13,FALSE)</f>
        <v>0.66666666666666663</v>
      </c>
      <c r="AQ298" s="1">
        <f>VLOOKUP($C298,'Substrate Heating'!$A$2:$M$33,8,FALSE)</f>
        <v>0.33333333333333331</v>
      </c>
      <c r="AR298" s="1">
        <f t="shared" si="4"/>
        <v>0.80528925619835712</v>
      </c>
    </row>
    <row r="299" spans="1:44" x14ac:dyDescent="0.2">
      <c r="A299" s="17" t="s">
        <v>323</v>
      </c>
      <c r="B299" s="18" t="s">
        <v>324</v>
      </c>
      <c r="C299" t="s">
        <v>334</v>
      </c>
      <c r="D299" s="19" t="s">
        <v>326</v>
      </c>
      <c r="E299" t="s">
        <v>308</v>
      </c>
      <c r="F299" t="s">
        <v>309</v>
      </c>
      <c r="G299">
        <v>-10</v>
      </c>
      <c r="H299">
        <v>0</v>
      </c>
      <c r="I299">
        <v>-5</v>
      </c>
      <c r="J299">
        <v>0.45</v>
      </c>
      <c r="K299">
        <v>-10</v>
      </c>
      <c r="L299">
        <v>0</v>
      </c>
      <c r="M299">
        <v>-5</v>
      </c>
      <c r="N299">
        <v>2.5</v>
      </c>
      <c r="O299">
        <v>0.407042253521127</v>
      </c>
      <c r="P299"/>
      <c r="Q299">
        <v>4.0704225352112697E-2</v>
      </c>
      <c r="R299">
        <v>0.14982160352997201</v>
      </c>
      <c r="S299" s="1" t="str">
        <f>VLOOKUP($E299,'Product Naming'!$A$1:$P$58,2,FALSE)</f>
        <v>Shikimate</v>
      </c>
      <c r="T299" s="1" t="str">
        <f>VLOOKUP($E299,'Product Naming'!$A$1:$P$58,3,FALSE)</f>
        <v>Shikimate</v>
      </c>
      <c r="U299" s="1" t="str">
        <f>VLOOKUP($E299,'Product Naming'!$A$1:$P$58,4,FALSE)</f>
        <v>E</v>
      </c>
      <c r="V299" s="1" t="str">
        <f>VLOOKUP($E299,'Product Naming'!$A$1:$P$58,5,FALSE)</f>
        <v>C7H9O5</v>
      </c>
      <c r="W299" s="1">
        <f>VLOOKUP($E299,'Product Naming'!$A$1:$P$58,6,FALSE)</f>
        <v>7</v>
      </c>
      <c r="X299" s="1">
        <f>VLOOKUP($E299,'Product Naming'!$A$1:$P$58,7,FALSE)</f>
        <v>9</v>
      </c>
      <c r="Y299" s="1">
        <f>VLOOKUP($E299,'Product Naming'!$A$1:$P$58,8,FALSE)</f>
        <v>5</v>
      </c>
      <c r="Z299" s="1">
        <f>VLOOKUP($E299,'Product Naming'!$A$1:$P$58,9,FALSE)</f>
        <v>0</v>
      </c>
      <c r="AA299" s="1">
        <f>VLOOKUP($E299,'Product Naming'!$A$1:$P$58,10,FALSE)</f>
        <v>-1</v>
      </c>
      <c r="AB299" s="29">
        <f>VLOOKUP($E299,'Product Naming'!$A$1:$P$58,11,FALSE)</f>
        <v>3.8571428571428572</v>
      </c>
      <c r="AC299" s="3">
        <f>VLOOKUP($E299,'Product Naming'!$A$1:$P$58,12,FALSE)</f>
        <v>173.14046000000002</v>
      </c>
      <c r="AD299" s="1">
        <f>VLOOKUP($E299,'Product Naming'!$A$1:$P$58,13,FALSE)</f>
        <v>400.5</v>
      </c>
      <c r="AE299" s="1" t="str">
        <f>VLOOKUP($E299,'Product Naming'!$A$1:$P$58,14,FALSE)</f>
        <v>Aromatic + Alcohol + Carboxylate</v>
      </c>
      <c r="AF299" s="1" t="str">
        <f>VLOOKUP($E299,'Product Naming'!$A$1:$P$58,15,FALSE)</f>
        <v>PEP + E4P (Glyceraldehyde 3-P)</v>
      </c>
      <c r="AG299" s="30" t="str">
        <f>VLOOKUP($E299,'Product Naming'!$A$1:$P$58,16,FALSE)</f>
        <v>Proton symporter</v>
      </c>
      <c r="AH299" s="3" t="str">
        <f>VLOOKUP($E299,'Product Naming'!$A$1:$Q$58,17,FALSE)</f>
        <v>skm_c</v>
      </c>
      <c r="AI299" s="1">
        <f>VLOOKUP($E299,'Product Parameters'!$A$2:$D$59,2,FALSE)</f>
        <v>1</v>
      </c>
      <c r="AJ299" s="1">
        <f>VLOOKUP($E299,'Product Parameters'!$A$2:$D$59,3,FALSE)</f>
        <v>0</v>
      </c>
      <c r="AK299" s="1">
        <f>VLOOKUP($E299,'Product Parameters'!$A$2:$D$59,4,FALSE)</f>
        <v>0.12</v>
      </c>
      <c r="AL299" s="1">
        <f>VLOOKUP($E299,'Product Parameters'!$A$2:$E$59,5,FALSE)</f>
        <v>40.65</v>
      </c>
      <c r="AM299" s="1">
        <f>VLOOKUP($E299,'Product Parameters'!$A$2:$F$59,6,FALSE)</f>
        <v>7</v>
      </c>
      <c r="AN299" s="1">
        <f>VLOOKUP($C299,'Substrate Heating'!$A$2:$C$33,3,FALSE)</f>
        <v>249.93333333333334</v>
      </c>
      <c r="AO299" s="1">
        <f>VLOOKUP($C299,'Substrate Heating'!$A$2:$B$33,2,FALSE)</f>
        <v>8.1456827881222953</v>
      </c>
      <c r="AP299" s="1">
        <f>VLOOKUP($C299,'Substrate Heating'!$A$2:$M$33,13,FALSE)</f>
        <v>0.66666666666666663</v>
      </c>
      <c r="AQ299" s="1">
        <f>VLOOKUP($C299,'Substrate Heating'!$A$2:$M$33,8,FALSE)</f>
        <v>0.66666666666666663</v>
      </c>
      <c r="AR299" s="1">
        <f t="shared" si="4"/>
        <v>0.4273943661971833</v>
      </c>
    </row>
    <row r="300" spans="1:44" x14ac:dyDescent="0.2">
      <c r="A300" s="17" t="s">
        <v>323</v>
      </c>
      <c r="B300" s="18" t="s">
        <v>324</v>
      </c>
      <c r="C300" t="s">
        <v>327</v>
      </c>
      <c r="D300" s="19" t="s">
        <v>326</v>
      </c>
      <c r="E300" t="s">
        <v>192</v>
      </c>
      <c r="F300" t="s">
        <v>193</v>
      </c>
      <c r="G300">
        <v>-10</v>
      </c>
      <c r="H300">
        <v>0</v>
      </c>
      <c r="I300">
        <v>-5</v>
      </c>
      <c r="J300">
        <v>0.45</v>
      </c>
      <c r="K300">
        <v>-10</v>
      </c>
      <c r="L300">
        <v>0</v>
      </c>
      <c r="M300">
        <v>-5</v>
      </c>
      <c r="N300">
        <v>2.63441860465116</v>
      </c>
      <c r="O300">
        <v>0.26883720930232502</v>
      </c>
      <c r="P300"/>
      <c r="Q300">
        <v>2.6883720930232499E-2</v>
      </c>
      <c r="R300">
        <v>0.15113818543746901</v>
      </c>
      <c r="S300" s="1" t="str">
        <f>VLOOKUP($E300,'Product Naming'!$A$1:$P$58,2,FALSE)</f>
        <v>Coumaric acid</v>
      </c>
      <c r="T300" s="1" t="str">
        <f>VLOOKUP($E300,'Product Naming'!$A$1:$P$58,3,FALSE)</f>
        <v>Coumaric acid</v>
      </c>
      <c r="U300" s="1" t="str">
        <f>VLOOKUP($E300,'Product Naming'!$A$1:$P$58,4,FALSE)</f>
        <v>E</v>
      </c>
      <c r="V300" s="1" t="str">
        <f>VLOOKUP($E300,'Product Naming'!$A$1:$P$58,5,FALSE)</f>
        <v>C9H7O3</v>
      </c>
      <c r="W300" s="1">
        <f>VLOOKUP($E300,'Product Naming'!$A$1:$P$58,6,FALSE)</f>
        <v>9</v>
      </c>
      <c r="X300" s="1">
        <f>VLOOKUP($E300,'Product Naming'!$A$1:$P$58,7,FALSE)</f>
        <v>7</v>
      </c>
      <c r="Y300" s="1">
        <f>VLOOKUP($E300,'Product Naming'!$A$1:$P$58,8,FALSE)</f>
        <v>3</v>
      </c>
      <c r="Z300" s="1">
        <f>VLOOKUP($E300,'Product Naming'!$A$1:$P$58,9,FALSE)</f>
        <v>0</v>
      </c>
      <c r="AA300" s="1">
        <f>VLOOKUP($E300,'Product Naming'!$A$1:$P$58,10,FALSE)</f>
        <v>-1</v>
      </c>
      <c r="AB300" s="29">
        <f>VLOOKUP($E300,'Product Naming'!$A$1:$P$58,11,FALSE)</f>
        <v>4.1111111111111107</v>
      </c>
      <c r="AC300" s="3">
        <f>VLOOKUP($E300,'Product Naming'!$A$1:$P$58,12,FALSE)</f>
        <v>163.14818</v>
      </c>
      <c r="AD300" s="1">
        <f>VLOOKUP($E300,'Product Naming'!$A$1:$P$58,13,FALSE)</f>
        <v>346</v>
      </c>
      <c r="AE300" s="1" t="str">
        <f>VLOOKUP($E300,'Product Naming'!$A$1:$P$58,14,FALSE)</f>
        <v>Aromatic + Alcohol + Carboxylate</v>
      </c>
      <c r="AF300" s="1" t="str">
        <f>VLOOKUP($E300,'Product Naming'!$A$1:$P$58,15,FALSE)</f>
        <v>E4P + L-glutamate</v>
      </c>
      <c r="AG300" s="30" t="str">
        <f>VLOOKUP($E300,'Product Naming'!$A$1:$P$58,16,FALSE)</f>
        <v>Proton symporter</v>
      </c>
      <c r="AH300" s="3" t="str">
        <f>VLOOKUP($E300,'Product Naming'!$A$1:$Q$58,17,FALSE)</f>
        <v>T4hcinnm_c</v>
      </c>
      <c r="AI300" s="1">
        <f>VLOOKUP($E300,'Product Parameters'!$A$2:$D$59,2,FALSE)</f>
        <v>1</v>
      </c>
      <c r="AJ300" s="1">
        <f>VLOOKUP($E300,'Product Parameters'!$A$2:$D$59,3,FALSE)</f>
        <v>0</v>
      </c>
      <c r="AK300" s="1">
        <f>VLOOKUP($E300,'Product Parameters'!$A$2:$D$59,4,FALSE)</f>
        <v>0.12</v>
      </c>
      <c r="AL300" s="1">
        <f>VLOOKUP($E300,'Product Parameters'!$A$2:$E$59,5,FALSE)</f>
        <v>40.65</v>
      </c>
      <c r="AM300" s="1">
        <f>VLOOKUP($E300,'Product Parameters'!$A$2:$F$59,6,FALSE)</f>
        <v>9</v>
      </c>
      <c r="AN300" s="1">
        <f>VLOOKUP($C300,'Substrate Heating'!$A$2:$C$33,3,FALSE)</f>
        <v>269.26666666666665</v>
      </c>
      <c r="AO300" s="1">
        <f>VLOOKUP($C300,'Substrate Heating'!$A$2:$B$33,2,FALSE)</f>
        <v>13.919167510409219</v>
      </c>
      <c r="AP300" s="1">
        <f>VLOOKUP($C300,'Substrate Heating'!$A$2:$M$33,13,FALSE)</f>
        <v>1.3333333333333333</v>
      </c>
      <c r="AQ300" s="1">
        <f>VLOOKUP($C300,'Substrate Heating'!$A$2:$M$33,8,FALSE)</f>
        <v>0.66666666666666663</v>
      </c>
      <c r="AR300" s="1">
        <f t="shared" si="4"/>
        <v>0.36293023255813878</v>
      </c>
    </row>
    <row r="301" spans="1:44" x14ac:dyDescent="0.2">
      <c r="A301" s="17" t="s">
        <v>323</v>
      </c>
      <c r="B301" s="18" t="s">
        <v>324</v>
      </c>
      <c r="C301" t="s">
        <v>334</v>
      </c>
      <c r="D301" s="19" t="s">
        <v>326</v>
      </c>
      <c r="E301" t="s">
        <v>295</v>
      </c>
      <c r="F301" t="s">
        <v>292</v>
      </c>
      <c r="G301">
        <v>-10</v>
      </c>
      <c r="H301">
        <v>0</v>
      </c>
      <c r="I301">
        <v>-5</v>
      </c>
      <c r="J301">
        <v>0.45</v>
      </c>
      <c r="K301">
        <v>-10</v>
      </c>
      <c r="L301">
        <v>0</v>
      </c>
      <c r="M301">
        <v>-5</v>
      </c>
      <c r="N301">
        <v>4.5352112676056304</v>
      </c>
      <c r="O301">
        <v>0.81408450704225299</v>
      </c>
      <c r="P301"/>
      <c r="Q301">
        <v>8.1408450704225296E-2</v>
      </c>
      <c r="R301">
        <v>0.15254969244372901</v>
      </c>
      <c r="S301" s="1" t="str">
        <f>VLOOKUP($E301,'Product Naming'!$A$1:$P$58,2,FALSE)</f>
        <v>Pentanol-PW2</v>
      </c>
      <c r="T301" s="1" t="str">
        <f>VLOOKUP($E301,'Product Naming'!$A$1:$P$58,3,FALSE)</f>
        <v>Pentanol (PW2)</v>
      </c>
      <c r="U301" s="1" t="str">
        <f>VLOOKUP($E301,'Product Naming'!$A$1:$P$58,4,FALSE)</f>
        <v>E</v>
      </c>
      <c r="V301" s="1" t="str">
        <f>VLOOKUP($E301,'Product Naming'!$A$1:$P$58,5,FALSE)</f>
        <v>C5H12O</v>
      </c>
      <c r="W301" s="1">
        <f>VLOOKUP($E301,'Product Naming'!$A$1:$P$58,6,FALSE)</f>
        <v>5</v>
      </c>
      <c r="X301" s="1">
        <f>VLOOKUP($E301,'Product Naming'!$A$1:$P$58,7,FALSE)</f>
        <v>12</v>
      </c>
      <c r="Y301" s="1">
        <f>VLOOKUP($E301,'Product Naming'!$A$1:$P$58,8,FALSE)</f>
        <v>1</v>
      </c>
      <c r="Z301" s="1">
        <f>VLOOKUP($E301,'Product Naming'!$A$1:$P$58,9,FALSE)</f>
        <v>0</v>
      </c>
      <c r="AA301" s="1">
        <f>VLOOKUP($E301,'Product Naming'!$A$1:$P$58,10,FALSE)</f>
        <v>0</v>
      </c>
      <c r="AB301" s="29">
        <f>VLOOKUP($E301,'Product Naming'!$A$1:$P$58,11,FALSE)</f>
        <v>6</v>
      </c>
      <c r="AC301" s="3">
        <f>VLOOKUP($E301,'Product Naming'!$A$1:$P$58,12,FALSE)</f>
        <v>88.14658</v>
      </c>
      <c r="AD301" s="1">
        <f>VLOOKUP($E301,'Product Naming'!$A$1:$P$58,13,FALSE)</f>
        <v>138</v>
      </c>
      <c r="AE301" s="1" t="str">
        <f>VLOOKUP($E301,'Product Naming'!$A$1:$P$58,14,FALSE)</f>
        <v>Alcohol</v>
      </c>
      <c r="AF301" s="1" t="str">
        <f>VLOOKUP($E301,'Product Naming'!$A$1:$P$58,15,FALSE)</f>
        <v>Oxaloacetate</v>
      </c>
      <c r="AG301" s="30" t="str">
        <f>VLOOKUP($E301,'Product Naming'!$A$1:$P$58,16,FALSE)</f>
        <v>Proton symporter</v>
      </c>
      <c r="AH301" s="3" t="str">
        <f>VLOOKUP($E301,'Product Naming'!$A$1:$Q$58,17,FALSE)</f>
        <v>pentoh_c</v>
      </c>
      <c r="AI301" s="1">
        <f>VLOOKUP($E301,'Product Parameters'!$A$2:$D$59,2,FALSE)</f>
        <v>1</v>
      </c>
      <c r="AJ301" s="1">
        <f>VLOOKUP($E301,'Product Parameters'!$A$2:$D$59,3,FALSE)</f>
        <v>0</v>
      </c>
      <c r="AK301" s="1">
        <f>VLOOKUP($E301,'Product Parameters'!$A$2:$D$59,4,FALSE)</f>
        <v>0.12</v>
      </c>
      <c r="AL301" s="1">
        <f>VLOOKUP($E301,'Product Parameters'!$A$2:$E$59,5,FALSE)</f>
        <v>57</v>
      </c>
      <c r="AM301" s="1">
        <f>VLOOKUP($E301,'Product Parameters'!$A$2:$F$59,6,FALSE)</f>
        <v>5</v>
      </c>
      <c r="AN301" s="1">
        <f>VLOOKUP($C301,'Substrate Heating'!$A$2:$C$33,3,FALSE)</f>
        <v>249.93333333333334</v>
      </c>
      <c r="AO301" s="1">
        <f>VLOOKUP($C301,'Substrate Heating'!$A$2:$B$33,2,FALSE)</f>
        <v>8.1456827881222953</v>
      </c>
      <c r="AP301" s="1">
        <f>VLOOKUP($C301,'Substrate Heating'!$A$2:$M$33,13,FALSE)</f>
        <v>0.66666666666666663</v>
      </c>
      <c r="AQ301" s="1">
        <f>VLOOKUP($C301,'Substrate Heating'!$A$2:$M$33,8,FALSE)</f>
        <v>0.66666666666666663</v>
      </c>
      <c r="AR301" s="1">
        <f t="shared" si="4"/>
        <v>0.61056338028168977</v>
      </c>
    </row>
    <row r="302" spans="1:44" x14ac:dyDescent="0.2">
      <c r="A302" s="17" t="s">
        <v>323</v>
      </c>
      <c r="B302" s="18" t="s">
        <v>324</v>
      </c>
      <c r="C302" t="s">
        <v>334</v>
      </c>
      <c r="D302" s="19" t="s">
        <v>326</v>
      </c>
      <c r="E302" t="s">
        <v>291</v>
      </c>
      <c r="F302" t="s">
        <v>292</v>
      </c>
      <c r="G302">
        <v>-10</v>
      </c>
      <c r="H302">
        <v>0</v>
      </c>
      <c r="I302">
        <v>-5</v>
      </c>
      <c r="J302">
        <v>0.45</v>
      </c>
      <c r="K302">
        <v>-10</v>
      </c>
      <c r="L302">
        <v>0</v>
      </c>
      <c r="M302">
        <v>-5</v>
      </c>
      <c r="N302">
        <v>4.5352112676056402</v>
      </c>
      <c r="O302">
        <v>0.81408450704225399</v>
      </c>
      <c r="P302"/>
      <c r="Q302">
        <v>8.1408450704225394E-2</v>
      </c>
      <c r="R302">
        <v>0.15254969244373001</v>
      </c>
      <c r="S302" s="1" t="str">
        <f>VLOOKUP($E302,'Product Naming'!$A$1:$P$58,2,FALSE)</f>
        <v>Pentanol-PW1</v>
      </c>
      <c r="T302" s="1" t="str">
        <f>VLOOKUP($E302,'Product Naming'!$A$1:$P$58,3,FALSE)</f>
        <v>Pentanol (PW1)</v>
      </c>
      <c r="U302" s="1" t="str">
        <f>VLOOKUP($E302,'Product Naming'!$A$1:$P$58,4,FALSE)</f>
        <v>E</v>
      </c>
      <c r="V302" s="1" t="str">
        <f>VLOOKUP($E302,'Product Naming'!$A$1:$P$58,5,FALSE)</f>
        <v>C5H12O</v>
      </c>
      <c r="W302" s="1">
        <f>VLOOKUP($E302,'Product Naming'!$A$1:$P$58,6,FALSE)</f>
        <v>5</v>
      </c>
      <c r="X302" s="1">
        <f>VLOOKUP($E302,'Product Naming'!$A$1:$P$58,7,FALSE)</f>
        <v>12</v>
      </c>
      <c r="Y302" s="1">
        <f>VLOOKUP($E302,'Product Naming'!$A$1:$P$58,8,FALSE)</f>
        <v>1</v>
      </c>
      <c r="Z302" s="1">
        <f>VLOOKUP($E302,'Product Naming'!$A$1:$P$58,9,FALSE)</f>
        <v>0</v>
      </c>
      <c r="AA302" s="1">
        <f>VLOOKUP($E302,'Product Naming'!$A$1:$P$58,10,FALSE)</f>
        <v>0</v>
      </c>
      <c r="AB302" s="29">
        <f>VLOOKUP($E302,'Product Naming'!$A$1:$P$58,11,FALSE)</f>
        <v>6</v>
      </c>
      <c r="AC302" s="3">
        <f>VLOOKUP($E302,'Product Naming'!$A$1:$P$58,12,FALSE)</f>
        <v>88.14658</v>
      </c>
      <c r="AD302" s="1">
        <f>VLOOKUP($E302,'Product Naming'!$A$1:$P$58,13,FALSE)</f>
        <v>138</v>
      </c>
      <c r="AE302" s="1" t="str">
        <f>VLOOKUP($E302,'Product Naming'!$A$1:$P$58,14,FALSE)</f>
        <v>Alcohol</v>
      </c>
      <c r="AF302" s="1" t="str">
        <f>VLOOKUP($E302,'Product Naming'!$A$1:$P$58,15,FALSE)</f>
        <v>Acetyl-CoA + Succinyl-CoA</v>
      </c>
      <c r="AG302" s="30" t="str">
        <f>VLOOKUP($E302,'Product Naming'!$A$1:$P$58,16,FALSE)</f>
        <v>Proton symporter</v>
      </c>
      <c r="AH302" s="3" t="str">
        <f>VLOOKUP($E302,'Product Naming'!$A$1:$Q$58,17,FALSE)</f>
        <v>pentoh_c</v>
      </c>
      <c r="AI302" s="1">
        <f>VLOOKUP($E302,'Product Parameters'!$A$2:$D$59,2,FALSE)</f>
        <v>1</v>
      </c>
      <c r="AJ302" s="1">
        <f>VLOOKUP($E302,'Product Parameters'!$A$2:$D$59,3,FALSE)</f>
        <v>0</v>
      </c>
      <c r="AK302" s="1">
        <f>VLOOKUP($E302,'Product Parameters'!$A$2:$D$59,4,FALSE)</f>
        <v>0.12</v>
      </c>
      <c r="AL302" s="1">
        <f>VLOOKUP($E302,'Product Parameters'!$A$2:$E$59,5,FALSE)</f>
        <v>57</v>
      </c>
      <c r="AM302" s="1">
        <f>VLOOKUP($E302,'Product Parameters'!$A$2:$F$59,6,FALSE)</f>
        <v>5</v>
      </c>
      <c r="AN302" s="1">
        <f>VLOOKUP($C302,'Substrate Heating'!$A$2:$C$33,3,FALSE)</f>
        <v>249.93333333333334</v>
      </c>
      <c r="AO302" s="1">
        <f>VLOOKUP($C302,'Substrate Heating'!$A$2:$B$33,2,FALSE)</f>
        <v>8.1456827881222953</v>
      </c>
      <c r="AP302" s="1">
        <f>VLOOKUP($C302,'Substrate Heating'!$A$2:$M$33,13,FALSE)</f>
        <v>0.66666666666666663</v>
      </c>
      <c r="AQ302" s="1">
        <f>VLOOKUP($C302,'Substrate Heating'!$A$2:$M$33,8,FALSE)</f>
        <v>0.66666666666666663</v>
      </c>
      <c r="AR302" s="1">
        <f t="shared" si="4"/>
        <v>0.61056338028169055</v>
      </c>
    </row>
    <row r="303" spans="1:44" x14ac:dyDescent="0.2">
      <c r="A303" s="17" t="s">
        <v>323</v>
      </c>
      <c r="B303" s="18" t="s">
        <v>324</v>
      </c>
      <c r="C303" t="s">
        <v>335</v>
      </c>
      <c r="D303" s="19" t="s">
        <v>326</v>
      </c>
      <c r="E303" t="s">
        <v>209</v>
      </c>
      <c r="F303" t="s">
        <v>210</v>
      </c>
      <c r="G303">
        <v>-10</v>
      </c>
      <c r="H303">
        <v>0</v>
      </c>
      <c r="I303">
        <v>-10</v>
      </c>
      <c r="J303">
        <v>0.45</v>
      </c>
      <c r="K303">
        <v>-10</v>
      </c>
      <c r="L303">
        <v>0</v>
      </c>
      <c r="M303">
        <v>-10</v>
      </c>
      <c r="N303">
        <v>0.42823529411764899</v>
      </c>
      <c r="O303">
        <v>0.85647058823529398</v>
      </c>
      <c r="P303"/>
      <c r="Q303">
        <v>8.5647058823529396E-2</v>
      </c>
      <c r="R303">
        <v>0.15344915038773699</v>
      </c>
      <c r="S303" s="1" t="str">
        <f>VLOOKUP($E303,'Product Naming'!$A$1:$P$58,2,FALSE)</f>
        <v>GammaButyrolactone</v>
      </c>
      <c r="T303" s="1" t="str">
        <f>VLOOKUP($E303,'Product Naming'!$A$1:$P$58,3,FALSE)</f>
        <v>Gamma butyrolactone</v>
      </c>
      <c r="U303" s="1" t="str">
        <f>VLOOKUP($E303,'Product Naming'!$A$1:$P$58,4,FALSE)</f>
        <v>A</v>
      </c>
      <c r="V303" s="1" t="str">
        <f>VLOOKUP($E303,'Product Naming'!$A$1:$P$58,5,FALSE)</f>
        <v>C4H6O2</v>
      </c>
      <c r="W303" s="1">
        <f>VLOOKUP($E303,'Product Naming'!$A$1:$P$58,6,FALSE)</f>
        <v>4</v>
      </c>
      <c r="X303" s="1">
        <f>VLOOKUP($E303,'Product Naming'!$A$1:$P$58,7,FALSE)</f>
        <v>6</v>
      </c>
      <c r="Y303" s="1">
        <f>VLOOKUP($E303,'Product Naming'!$A$1:$P$58,8,FALSE)</f>
        <v>2</v>
      </c>
      <c r="Z303" s="1">
        <f>VLOOKUP($E303,'Product Naming'!$A$1:$P$58,9,FALSE)</f>
        <v>0</v>
      </c>
      <c r="AA303" s="1">
        <f>VLOOKUP($E303,'Product Naming'!$A$1:$P$58,10,FALSE)</f>
        <v>0</v>
      </c>
      <c r="AB303" s="29">
        <f>VLOOKUP($E303,'Product Naming'!$A$1:$P$58,11,FALSE)</f>
        <v>4.5</v>
      </c>
      <c r="AC303" s="3">
        <f>VLOOKUP($E303,'Product Naming'!$A$1:$P$58,12,FALSE)</f>
        <v>86.08784</v>
      </c>
      <c r="AD303" s="1">
        <f>VLOOKUP($E303,'Product Naming'!$A$1:$P$58,13,FALSE)</f>
        <v>204</v>
      </c>
      <c r="AE303" s="1" t="str">
        <f>VLOOKUP($E303,'Product Naming'!$A$1:$P$58,14,FALSE)</f>
        <v>Lactone (cyclic ester)</v>
      </c>
      <c r="AF303" s="1" t="str">
        <f>VLOOKUP($E303,'Product Naming'!$A$1:$P$58,15,FALSE)</f>
        <v>aKG</v>
      </c>
      <c r="AG303" s="30" t="str">
        <f>VLOOKUP($E303,'Product Naming'!$A$1:$P$58,16,FALSE)</f>
        <v>Proton symporter</v>
      </c>
      <c r="AH303" s="3" t="str">
        <f>VLOOKUP($E303,'Product Naming'!$A$1:$Q$58,17,FALSE)</f>
        <v>gblt_c</v>
      </c>
      <c r="AI303" s="1">
        <f>VLOOKUP($E303,'Product Parameters'!$A$2:$D$59,2,FALSE)</f>
        <v>1</v>
      </c>
      <c r="AJ303" s="1">
        <f>VLOOKUP($E303,'Product Parameters'!$A$2:$D$59,3,FALSE)</f>
        <v>0</v>
      </c>
      <c r="AK303" s="1">
        <f>VLOOKUP($E303,'Product Parameters'!$A$2:$D$59,4,FALSE)</f>
        <v>0.12</v>
      </c>
      <c r="AL303" s="1">
        <f>VLOOKUP($E303,'Product Parameters'!$A$2:$E$59,5,FALSE)</f>
        <v>0</v>
      </c>
      <c r="AM303" s="1">
        <f>VLOOKUP($E303,'Product Parameters'!$A$2:$F$59,6,FALSE)</f>
        <v>4</v>
      </c>
      <c r="AN303" s="1">
        <f>VLOOKUP($C303,'Substrate Heating'!$A$2:$C$33,3,FALSE)</f>
        <v>247.9</v>
      </c>
      <c r="AO303" s="1">
        <f>VLOOKUP($C303,'Substrate Heating'!$A$2:$B$33,2,FALSE)</f>
        <v>10.541709491918519</v>
      </c>
      <c r="AP303" s="1">
        <f>VLOOKUP($C303,'Substrate Heating'!$A$2:$M$33,13,FALSE)</f>
        <v>0.5</v>
      </c>
      <c r="AQ303" s="1">
        <f>VLOOKUP($C303,'Substrate Heating'!$A$2:$M$33,8,FALSE)</f>
        <v>0.5</v>
      </c>
      <c r="AR303" s="1">
        <f t="shared" si="4"/>
        <v>0.68517647058823516</v>
      </c>
    </row>
    <row r="304" spans="1:44" x14ac:dyDescent="0.2">
      <c r="A304" s="17" t="s">
        <v>323</v>
      </c>
      <c r="B304" s="18" t="s">
        <v>324</v>
      </c>
      <c r="C304" t="s">
        <v>325</v>
      </c>
      <c r="D304" s="19" t="s">
        <v>326</v>
      </c>
      <c r="E304" t="s">
        <v>209</v>
      </c>
      <c r="F304" t="s">
        <v>210</v>
      </c>
      <c r="G304">
        <v>-10</v>
      </c>
      <c r="H304">
        <v>0</v>
      </c>
      <c r="I304">
        <v>0</v>
      </c>
      <c r="J304">
        <v>0.45</v>
      </c>
      <c r="K304">
        <v>-10</v>
      </c>
      <c r="L304">
        <v>0</v>
      </c>
      <c r="M304">
        <v>0</v>
      </c>
      <c r="N304">
        <v>5.2517647058823496</v>
      </c>
      <c r="O304">
        <v>0.503529411764706</v>
      </c>
      <c r="P304"/>
      <c r="Q304">
        <v>5.03529411764706E-2</v>
      </c>
      <c r="R304">
        <v>0.15475815578469901</v>
      </c>
      <c r="S304" s="1" t="str">
        <f>VLOOKUP($E304,'Product Naming'!$A$1:$P$58,2,FALSE)</f>
        <v>GammaButyrolactone</v>
      </c>
      <c r="T304" s="1" t="str">
        <f>VLOOKUP($E304,'Product Naming'!$A$1:$P$58,3,FALSE)</f>
        <v>Gamma butyrolactone</v>
      </c>
      <c r="U304" s="1" t="str">
        <f>VLOOKUP($E304,'Product Naming'!$A$1:$P$58,4,FALSE)</f>
        <v>A</v>
      </c>
      <c r="V304" s="1" t="str">
        <f>VLOOKUP($E304,'Product Naming'!$A$1:$P$58,5,FALSE)</f>
        <v>C4H6O2</v>
      </c>
      <c r="W304" s="1">
        <f>VLOOKUP($E304,'Product Naming'!$A$1:$P$58,6,FALSE)</f>
        <v>4</v>
      </c>
      <c r="X304" s="1">
        <f>VLOOKUP($E304,'Product Naming'!$A$1:$P$58,7,FALSE)</f>
        <v>6</v>
      </c>
      <c r="Y304" s="1">
        <f>VLOOKUP($E304,'Product Naming'!$A$1:$P$58,8,FALSE)</f>
        <v>2</v>
      </c>
      <c r="Z304" s="1">
        <f>VLOOKUP($E304,'Product Naming'!$A$1:$P$58,9,FALSE)</f>
        <v>0</v>
      </c>
      <c r="AA304" s="1">
        <f>VLOOKUP($E304,'Product Naming'!$A$1:$P$58,10,FALSE)</f>
        <v>0</v>
      </c>
      <c r="AB304" s="29">
        <f>VLOOKUP($E304,'Product Naming'!$A$1:$P$58,11,FALSE)</f>
        <v>4.5</v>
      </c>
      <c r="AC304" s="3">
        <f>VLOOKUP($E304,'Product Naming'!$A$1:$P$58,12,FALSE)</f>
        <v>86.08784</v>
      </c>
      <c r="AD304" s="1">
        <f>VLOOKUP($E304,'Product Naming'!$A$1:$P$58,13,FALSE)</f>
        <v>204</v>
      </c>
      <c r="AE304" s="1" t="str">
        <f>VLOOKUP($E304,'Product Naming'!$A$1:$P$58,14,FALSE)</f>
        <v>Lactone (cyclic ester)</v>
      </c>
      <c r="AF304" s="1" t="str">
        <f>VLOOKUP($E304,'Product Naming'!$A$1:$P$58,15,FALSE)</f>
        <v>aKG</v>
      </c>
      <c r="AG304" s="30" t="str">
        <f>VLOOKUP($E304,'Product Naming'!$A$1:$P$58,16,FALSE)</f>
        <v>Proton symporter</v>
      </c>
      <c r="AH304" s="3" t="str">
        <f>VLOOKUP($E304,'Product Naming'!$A$1:$Q$58,17,FALSE)</f>
        <v>gblt_c</v>
      </c>
      <c r="AI304" s="1">
        <f>VLOOKUP($E304,'Product Parameters'!$A$2:$D$59,2,FALSE)</f>
        <v>1</v>
      </c>
      <c r="AJ304" s="1">
        <f>VLOOKUP($E304,'Product Parameters'!$A$2:$D$59,3,FALSE)</f>
        <v>0</v>
      </c>
      <c r="AK304" s="1">
        <f>VLOOKUP($E304,'Product Parameters'!$A$2:$D$59,4,FALSE)</f>
        <v>0.12</v>
      </c>
      <c r="AL304" s="1">
        <f>VLOOKUP($E304,'Product Parameters'!$A$2:$E$59,5,FALSE)</f>
        <v>0</v>
      </c>
      <c r="AM304" s="1">
        <f>VLOOKUP($E304,'Product Parameters'!$A$2:$F$59,6,FALSE)</f>
        <v>4</v>
      </c>
      <c r="AN304" s="1">
        <f>VLOOKUP($C304,'Substrate Heating'!$A$2:$C$33,3,FALSE)</f>
        <v>280.09700000000004</v>
      </c>
      <c r="AO304" s="1">
        <f>VLOOKUP($C304,'Substrate Heating'!$A$2:$B$33,2,FALSE)</f>
        <v>10</v>
      </c>
      <c r="AP304" s="1">
        <f>VLOOKUP($C304,'Substrate Heating'!$A$2:$M$33,13,FALSE)</f>
        <v>2</v>
      </c>
      <c r="AQ304" s="1">
        <f>VLOOKUP($C304,'Substrate Heating'!$A$2:$M$33,8,FALSE)</f>
        <v>1</v>
      </c>
      <c r="AR304" s="1">
        <f t="shared" si="4"/>
        <v>0.2014117647058824</v>
      </c>
    </row>
    <row r="305" spans="1:44" x14ac:dyDescent="0.2">
      <c r="A305" s="17" t="s">
        <v>323</v>
      </c>
      <c r="B305" s="18" t="s">
        <v>324</v>
      </c>
      <c r="C305" t="s">
        <v>333</v>
      </c>
      <c r="D305" s="19" t="s">
        <v>326</v>
      </c>
      <c r="E305" t="s">
        <v>240</v>
      </c>
      <c r="F305" t="s">
        <v>241</v>
      </c>
      <c r="G305">
        <v>-10</v>
      </c>
      <c r="H305">
        <v>0</v>
      </c>
      <c r="I305">
        <v>0</v>
      </c>
      <c r="J305">
        <v>0.45</v>
      </c>
      <c r="K305">
        <v>-10</v>
      </c>
      <c r="L305">
        <v>0</v>
      </c>
      <c r="M305">
        <v>0</v>
      </c>
      <c r="N305">
        <v>6.6666666666666599</v>
      </c>
      <c r="O305">
        <v>0.83333333333333304</v>
      </c>
      <c r="P305"/>
      <c r="Q305">
        <v>8.3333333333333301E-2</v>
      </c>
      <c r="R305">
        <v>0.15593389905625901</v>
      </c>
      <c r="S305" s="1" t="str">
        <f>VLOOKUP($E305,'Product Naming'!$A$1:$P$58,2,FALSE)</f>
        <v>Isobutanol</v>
      </c>
      <c r="T305" s="1" t="str">
        <f>VLOOKUP($E305,'Product Naming'!$A$1:$P$58,3,FALSE)</f>
        <v>Isobutanol</v>
      </c>
      <c r="U305" s="1" t="str">
        <f>VLOOKUP($E305,'Product Naming'!$A$1:$P$58,4,FALSE)</f>
        <v>E</v>
      </c>
      <c r="V305" s="1" t="str">
        <f>VLOOKUP($E305,'Product Naming'!$A$1:$P$58,5,FALSE)</f>
        <v>C5H10O</v>
      </c>
      <c r="W305" s="1">
        <f>VLOOKUP($E305,'Product Naming'!$A$1:$P$58,6,FALSE)</f>
        <v>5</v>
      </c>
      <c r="X305" s="1">
        <f>VLOOKUP($E305,'Product Naming'!$A$1:$P$58,7,FALSE)</f>
        <v>10</v>
      </c>
      <c r="Y305" s="1">
        <f>VLOOKUP($E305,'Product Naming'!$A$1:$P$58,8,FALSE)</f>
        <v>1</v>
      </c>
      <c r="Z305" s="1">
        <f>VLOOKUP($E305,'Product Naming'!$A$1:$P$58,9,FALSE)</f>
        <v>0</v>
      </c>
      <c r="AA305" s="1">
        <f>VLOOKUP($E305,'Product Naming'!$A$1:$P$58,10,FALSE)</f>
        <v>0</v>
      </c>
      <c r="AB305" s="29">
        <f>VLOOKUP($E305,'Product Naming'!$A$1:$P$58,11,FALSE)</f>
        <v>5.6</v>
      </c>
      <c r="AC305" s="3">
        <f>VLOOKUP($E305,'Product Naming'!$A$1:$P$58,12,FALSE)</f>
        <v>86.130899999999997</v>
      </c>
      <c r="AD305" s="1">
        <f>VLOOKUP($E305,'Product Naming'!$A$1:$P$58,13,FALSE)</f>
        <v>108</v>
      </c>
      <c r="AE305" s="1" t="str">
        <f>VLOOKUP($E305,'Product Naming'!$A$1:$P$58,14,FALSE)</f>
        <v>Alcohol</v>
      </c>
      <c r="AF305" s="1" t="str">
        <f>VLOOKUP($E305,'Product Naming'!$A$1:$P$58,15,FALSE)</f>
        <v>Pyruvate</v>
      </c>
      <c r="AG305" s="30" t="str">
        <f>VLOOKUP($E305,'Product Naming'!$A$1:$P$58,16,FALSE)</f>
        <v>Proton symporter</v>
      </c>
      <c r="AH305" s="3" t="str">
        <f>VLOOKUP($E305,'Product Naming'!$A$1:$Q$58,17,FALSE)</f>
        <v>ibutoh_c</v>
      </c>
      <c r="AI305" s="1">
        <f>VLOOKUP($E305,'Product Parameters'!$A$2:$D$59,2,FALSE)</f>
        <v>1</v>
      </c>
      <c r="AJ305" s="1">
        <f>VLOOKUP($E305,'Product Parameters'!$A$2:$D$59,3,FALSE)</f>
        <v>0</v>
      </c>
      <c r="AK305" s="1">
        <f>VLOOKUP($E305,'Product Parameters'!$A$2:$D$59,4,FALSE)</f>
        <v>0.12</v>
      </c>
      <c r="AL305" s="1">
        <f>VLOOKUP($E305,'Product Parameters'!$A$2:$E$59,5,FALSE)</f>
        <v>51</v>
      </c>
      <c r="AM305" s="1">
        <f>VLOOKUP($E305,'Product Parameters'!$A$2:$F$59,6,FALSE)</f>
        <v>5</v>
      </c>
      <c r="AN305" s="1">
        <f>VLOOKUP($C305,'Substrate Heating'!$A$2:$C$33,3,FALSE)</f>
        <v>247.59097</v>
      </c>
      <c r="AO305" s="1">
        <f>VLOOKUP($C305,'Substrate Heating'!$A$2:$B$33,2,FALSE)</f>
        <v>5.5</v>
      </c>
      <c r="AP305" s="1">
        <f>VLOOKUP($C305,'Substrate Heating'!$A$2:$M$33,13,FALSE)</f>
        <v>1</v>
      </c>
      <c r="AQ305" s="1">
        <f>VLOOKUP($C305,'Substrate Heating'!$A$2:$M$33,8,FALSE)</f>
        <v>1</v>
      </c>
      <c r="AR305" s="1">
        <f t="shared" si="4"/>
        <v>0.41666666666666652</v>
      </c>
    </row>
    <row r="306" spans="1:44" x14ac:dyDescent="0.2">
      <c r="A306" s="8" t="s">
        <v>34</v>
      </c>
      <c r="B306" s="9" t="s">
        <v>35</v>
      </c>
      <c r="C306" s="1" t="s">
        <v>337</v>
      </c>
      <c r="D306" s="23" t="s">
        <v>338</v>
      </c>
      <c r="E306" s="1" t="s">
        <v>97</v>
      </c>
      <c r="F306" s="1" t="s">
        <v>98</v>
      </c>
      <c r="G306" s="1">
        <v>-10</v>
      </c>
      <c r="H306" s="1">
        <v>-20</v>
      </c>
      <c r="I306" s="1" t="s">
        <v>40</v>
      </c>
      <c r="J306" s="1">
        <v>3.15</v>
      </c>
      <c r="K306" s="1">
        <v>-10</v>
      </c>
      <c r="L306" s="1">
        <v>-3.0249999999999999</v>
      </c>
      <c r="M306" s="1" t="s">
        <v>40</v>
      </c>
      <c r="N306" s="1">
        <v>7.2350000000000003</v>
      </c>
      <c r="O306" s="1">
        <v>0.39500000000000002</v>
      </c>
      <c r="Q306" s="1">
        <v>3.95E-2</v>
      </c>
      <c r="R306" s="1">
        <v>0.15625469067730299</v>
      </c>
      <c r="S306" s="1" t="str">
        <f>VLOOKUP($E306,'Product Naming'!$A$1:$P$58,2,FALSE)</f>
        <v>2-Pyrone-4-6-Dicarboxylate</v>
      </c>
      <c r="T306" s="1" t="str">
        <f>VLOOKUP($E306,'Product Naming'!$A$1:$P$58,3,FALSE)</f>
        <v>2-Pyrone 4,6-dicarboxylate</v>
      </c>
      <c r="U306" s="1" t="str">
        <f>VLOOKUP($E306,'Product Naming'!$A$1:$P$58,4,FALSE)</f>
        <v>A</v>
      </c>
      <c r="V306" s="1" t="str">
        <f>VLOOKUP($E306,'Product Naming'!$A$1:$P$58,5,FALSE)</f>
        <v>C7H2O6</v>
      </c>
      <c r="W306" s="1">
        <f>VLOOKUP($E306,'Product Naming'!$A$1:$P$58,6,FALSE)</f>
        <v>7</v>
      </c>
      <c r="X306" s="1">
        <f>VLOOKUP($E306,'Product Naming'!$A$1:$P$58,7,FALSE)</f>
        <v>2</v>
      </c>
      <c r="Y306" s="1">
        <f>VLOOKUP($E306,'Product Naming'!$A$1:$P$58,8,FALSE)</f>
        <v>6</v>
      </c>
      <c r="Z306" s="1">
        <f>VLOOKUP($E306,'Product Naming'!$A$1:$P$58,9,FALSE)</f>
        <v>0</v>
      </c>
      <c r="AA306" s="1">
        <f>VLOOKUP($E306,'Product Naming'!$A$1:$P$58,10,FALSE)</f>
        <v>-2</v>
      </c>
      <c r="AB306" s="29">
        <f>VLOOKUP($E306,'Product Naming'!$A$1:$P$58,11,FALSE)</f>
        <v>2.5714285714285716</v>
      </c>
      <c r="AC306" s="3">
        <f>VLOOKUP($E306,'Product Naming'!$A$1:$P$58,12,FALSE)</f>
        <v>182.08458000000002</v>
      </c>
      <c r="AD306" s="1">
        <f>VLOOKUP($E306,'Product Naming'!$A$1:$P$58,13,FALSE)</f>
        <v>355.5</v>
      </c>
      <c r="AE306" s="1" t="str">
        <f>VLOOKUP($E306,'Product Naming'!$A$1:$P$58,14,FALSE)</f>
        <v>Dicarboxylate</v>
      </c>
      <c r="AF306" s="1" t="str">
        <f>VLOOKUP($E306,'Product Naming'!$A$1:$P$58,15,FALSE)</f>
        <v>Glyceraldehyde 3-P</v>
      </c>
      <c r="AG306" s="30" t="str">
        <f>VLOOKUP($E306,'Product Naming'!$A$1:$P$58,16,FALSE)</f>
        <v>Proton symporter</v>
      </c>
      <c r="AH306" s="3" t="str">
        <f>VLOOKUP($E306,'Product Naming'!$A$1:$Q$58,17,FALSE)</f>
        <v>2p46dc_c</v>
      </c>
      <c r="AI306" s="1">
        <f>VLOOKUP($E306,'Product Parameters'!$A$2:$D$59,2,FALSE)</f>
        <v>1</v>
      </c>
      <c r="AJ306" s="1">
        <f>VLOOKUP($E306,'Product Parameters'!$A$2:$D$59,3,FALSE)</f>
        <v>0</v>
      </c>
      <c r="AK306" s="1">
        <f>VLOOKUP($E306,'Product Parameters'!$A$2:$D$59,4,FALSE)</f>
        <v>0.12</v>
      </c>
      <c r="AL306" s="1">
        <f>VLOOKUP($E306,'Product Parameters'!$A$2:$E$59,5,FALSE)</f>
        <v>0</v>
      </c>
      <c r="AM306" s="1">
        <f>VLOOKUP($E306,'Product Parameters'!$A$2:$F$59,6,FALSE)</f>
        <v>7</v>
      </c>
      <c r="AN306" s="1">
        <f>VLOOKUP($C306,'Substrate Heating'!$A$2:$C$33,3,FALSE)</f>
        <v>247.59097</v>
      </c>
      <c r="AO306" s="1">
        <f>VLOOKUP($C306,'Substrate Heating'!$A$2:$B$33,2,FALSE)</f>
        <v>5.5</v>
      </c>
      <c r="AP306" s="1">
        <f>VLOOKUP($C306,'Substrate Heating'!$A$2:$M$33,13,FALSE)</f>
        <v>1</v>
      </c>
      <c r="AQ306" s="1">
        <f>VLOOKUP($C306,'Substrate Heating'!$A$2:$M$33,8,FALSE)</f>
        <v>1</v>
      </c>
      <c r="AR306" s="1">
        <f t="shared" si="4"/>
        <v>0.27650000000000002</v>
      </c>
    </row>
    <row r="307" spans="1:44" x14ac:dyDescent="0.2">
      <c r="A307" s="8" t="s">
        <v>34</v>
      </c>
      <c r="B307" s="9" t="s">
        <v>35</v>
      </c>
      <c r="C307" s="1" t="s">
        <v>337</v>
      </c>
      <c r="D307" s="23" t="s">
        <v>338</v>
      </c>
      <c r="E307" s="1" t="s">
        <v>254</v>
      </c>
      <c r="F307" s="1" t="s">
        <v>255</v>
      </c>
      <c r="G307" s="1">
        <v>-10</v>
      </c>
      <c r="H307" s="1">
        <v>-20</v>
      </c>
      <c r="I307" s="1" t="s">
        <v>40</v>
      </c>
      <c r="J307" s="1">
        <v>3.15</v>
      </c>
      <c r="K307" s="1">
        <v>-10</v>
      </c>
      <c r="L307" s="1">
        <v>-2.4607142857142801</v>
      </c>
      <c r="M307" s="1" t="s">
        <v>40</v>
      </c>
      <c r="N307" s="1">
        <v>7.1785714285714297</v>
      </c>
      <c r="O307" s="1">
        <v>0.56428571428571095</v>
      </c>
      <c r="Q307" s="1">
        <v>5.6428571428571099E-2</v>
      </c>
      <c r="R307" s="1">
        <v>0.157016788265438</v>
      </c>
      <c r="S307" s="1" t="str">
        <f>VLOOKUP($E307,'Product Naming'!$A$1:$P$58,2,FALSE)</f>
        <v>Itaconate</v>
      </c>
      <c r="T307" s="1" t="str">
        <f>VLOOKUP($E307,'Product Naming'!$A$1:$P$58,3,FALSE)</f>
        <v>Itaconate</v>
      </c>
      <c r="U307" s="1" t="str">
        <f>VLOOKUP($E307,'Product Naming'!$A$1:$P$58,4,FALSE)</f>
        <v>E</v>
      </c>
      <c r="V307" s="1" t="str">
        <f>VLOOKUP($E307,'Product Naming'!$A$1:$P$58,5,FALSE)</f>
        <v>C5H4O4</v>
      </c>
      <c r="W307" s="1">
        <f>VLOOKUP($E307,'Product Naming'!$A$1:$P$58,6,FALSE)</f>
        <v>5</v>
      </c>
      <c r="X307" s="1">
        <f>VLOOKUP($E307,'Product Naming'!$A$1:$P$58,7,FALSE)</f>
        <v>4</v>
      </c>
      <c r="Y307" s="1">
        <f>VLOOKUP($E307,'Product Naming'!$A$1:$P$58,8,FALSE)</f>
        <v>4</v>
      </c>
      <c r="Z307" s="1">
        <f>VLOOKUP($E307,'Product Naming'!$A$1:$P$58,9,FALSE)</f>
        <v>0</v>
      </c>
      <c r="AA307" s="1">
        <f>VLOOKUP($E307,'Product Naming'!$A$1:$P$58,10,FALSE)</f>
        <v>-2</v>
      </c>
      <c r="AB307" s="29">
        <f>VLOOKUP($E307,'Product Naming'!$A$1:$P$58,11,FALSE)</f>
        <v>3.2</v>
      </c>
      <c r="AC307" s="3">
        <f>VLOOKUP($E307,'Product Naming'!$A$1:$P$58,12,FALSE)</f>
        <v>128.08086</v>
      </c>
      <c r="AD307" s="1">
        <f>VLOOKUP($E307,'Product Naming'!$A$1:$P$58,13,FALSE)</f>
        <v>381</v>
      </c>
      <c r="AE307" s="1" t="str">
        <f>VLOOKUP($E307,'Product Naming'!$A$1:$P$58,14,FALSE)</f>
        <v>Dicarboxylate</v>
      </c>
      <c r="AF307" s="1" t="str">
        <f>VLOOKUP($E307,'Product Naming'!$A$1:$P$58,15,FALSE)</f>
        <v>Acetyl-CoA + Oxaloacetate</v>
      </c>
      <c r="AG307" s="30" t="str">
        <f>VLOOKUP($E307,'Product Naming'!$A$1:$P$58,16,FALSE)</f>
        <v>Proton symporter</v>
      </c>
      <c r="AH307" s="3" t="str">
        <f>VLOOKUP($E307,'Product Naming'!$A$1:$Q$58,17,FALSE)</f>
        <v>itacon_c</v>
      </c>
      <c r="AI307" s="1">
        <f>VLOOKUP($E307,'Product Parameters'!$A$2:$D$59,2,FALSE)</f>
        <v>1</v>
      </c>
      <c r="AJ307" s="1">
        <f>VLOOKUP($E307,'Product Parameters'!$A$2:$D$59,3,FALSE)</f>
        <v>0</v>
      </c>
      <c r="AK307" s="1">
        <f>VLOOKUP($E307,'Product Parameters'!$A$2:$D$59,4,FALSE)</f>
        <v>0.12</v>
      </c>
      <c r="AL307" s="1">
        <f>VLOOKUP($E307,'Product Parameters'!$A$2:$E$59,5,FALSE)</f>
        <v>40.65</v>
      </c>
      <c r="AM307" s="1">
        <f>VLOOKUP($E307,'Product Parameters'!$A$2:$F$59,6,FALSE)</f>
        <v>5</v>
      </c>
      <c r="AN307" s="1">
        <f>VLOOKUP($C307,'Substrate Heating'!$A$2:$C$33,3,FALSE)</f>
        <v>247.59097</v>
      </c>
      <c r="AO307" s="1">
        <f>VLOOKUP($C307,'Substrate Heating'!$A$2:$B$33,2,FALSE)</f>
        <v>5.5</v>
      </c>
      <c r="AP307" s="1">
        <f>VLOOKUP($C307,'Substrate Heating'!$A$2:$M$33,13,FALSE)</f>
        <v>1</v>
      </c>
      <c r="AQ307" s="1">
        <f>VLOOKUP($C307,'Substrate Heating'!$A$2:$M$33,8,FALSE)</f>
        <v>1</v>
      </c>
      <c r="AR307" s="1">
        <f t="shared" si="4"/>
        <v>0.28214285714285547</v>
      </c>
    </row>
    <row r="308" spans="1:44" x14ac:dyDescent="0.2">
      <c r="A308" s="17" t="s">
        <v>323</v>
      </c>
      <c r="B308" s="18" t="s">
        <v>324</v>
      </c>
      <c r="C308" t="s">
        <v>325</v>
      </c>
      <c r="D308" s="19" t="s">
        <v>326</v>
      </c>
      <c r="E308" t="s">
        <v>301</v>
      </c>
      <c r="F308" t="s">
        <v>302</v>
      </c>
      <c r="G308">
        <v>-10</v>
      </c>
      <c r="H308">
        <v>0</v>
      </c>
      <c r="I308">
        <v>0</v>
      </c>
      <c r="J308">
        <v>0.45</v>
      </c>
      <c r="K308">
        <v>-10</v>
      </c>
      <c r="L308">
        <v>0</v>
      </c>
      <c r="M308">
        <v>0</v>
      </c>
      <c r="N308">
        <v>7</v>
      </c>
      <c r="O308">
        <v>1</v>
      </c>
      <c r="P308"/>
      <c r="Q308">
        <v>0.1</v>
      </c>
      <c r="R308">
        <v>0.15742527668689801</v>
      </c>
      <c r="S308" s="1" t="str">
        <f>VLOOKUP($E308,'Product Naming'!$A$1:$P$58,2,FALSE)</f>
        <v>Propane-PW1</v>
      </c>
      <c r="T308" s="1" t="str">
        <f>VLOOKUP($E308,'Product Naming'!$A$1:$P$58,3,FALSE)</f>
        <v>Propane (PW1)</v>
      </c>
      <c r="U308" s="1" t="str">
        <f>VLOOKUP($E308,'Product Naming'!$A$1:$P$58,4,FALSE)</f>
        <v>E</v>
      </c>
      <c r="V308" s="1" t="str">
        <f>VLOOKUP($E308,'Product Naming'!$A$1:$P$58,5,FALSE)</f>
        <v>C3H8</v>
      </c>
      <c r="W308" s="1">
        <f>VLOOKUP($E308,'Product Naming'!$A$1:$P$58,6,FALSE)</f>
        <v>3</v>
      </c>
      <c r="X308" s="1">
        <f>VLOOKUP($E308,'Product Naming'!$A$1:$P$58,7,FALSE)</f>
        <v>8</v>
      </c>
      <c r="Y308" s="1">
        <f>VLOOKUP($E308,'Product Naming'!$A$1:$P$58,8,FALSE)</f>
        <v>0</v>
      </c>
      <c r="Z308" s="1">
        <f>VLOOKUP($E308,'Product Naming'!$A$1:$P$58,9,FALSE)</f>
        <v>0</v>
      </c>
      <c r="AA308" s="1">
        <f>VLOOKUP($E308,'Product Naming'!$A$1:$P$58,10,FALSE)</f>
        <v>0</v>
      </c>
      <c r="AB308" s="29">
        <f>VLOOKUP($E308,'Product Naming'!$A$1:$P$58,11,FALSE)</f>
        <v>6.666666666666667</v>
      </c>
      <c r="AC308" s="3">
        <f>VLOOKUP($E308,'Product Naming'!$A$1:$P$58,12,FALSE)</f>
        <v>44.094819999999999</v>
      </c>
      <c r="AD308" s="1">
        <f>VLOOKUP($E308,'Product Naming'!$A$1:$P$58,13,FALSE)</f>
        <v>-42</v>
      </c>
      <c r="AE308" s="1" t="str">
        <f>VLOOKUP($E308,'Product Naming'!$A$1:$P$58,14,FALSE)</f>
        <v>Hydrocarbon</v>
      </c>
      <c r="AF308" s="1" t="str">
        <f>VLOOKUP($E308,'Product Naming'!$A$1:$P$58,15,FALSE)</f>
        <v>Acetyl-CoA</v>
      </c>
      <c r="AG308" s="30" t="str">
        <f>VLOOKUP($E308,'Product Naming'!$A$1:$P$58,16,FALSE)</f>
        <v>Diffusion</v>
      </c>
      <c r="AH308" s="3" t="str">
        <f>VLOOKUP($E308,'Product Naming'!$A$1:$Q$58,17,FALSE)</f>
        <v>prop_c</v>
      </c>
      <c r="AI308" s="1">
        <f>VLOOKUP($E308,'Product Parameters'!$A$2:$D$59,2,FALSE)</f>
        <v>0</v>
      </c>
      <c r="AJ308" s="1">
        <f>VLOOKUP($E308,'Product Parameters'!$A$2:$D$59,3,FALSE)</f>
        <v>1</v>
      </c>
      <c r="AK308" s="1">
        <f>VLOOKUP($E308,'Product Parameters'!$A$2:$D$59,4,FALSE)</f>
        <v>0.12</v>
      </c>
      <c r="AL308" s="1">
        <f>VLOOKUP($E308,'Product Parameters'!$A$2:$E$59,5,FALSE)</f>
        <v>0</v>
      </c>
      <c r="AM308" s="1">
        <f>VLOOKUP($E308,'Product Parameters'!$A$2:$F$59,6,FALSE)</f>
        <v>3</v>
      </c>
      <c r="AN308" s="1">
        <f>VLOOKUP($C308,'Substrate Heating'!$A$2:$C$33,3,FALSE)</f>
        <v>280.09700000000004</v>
      </c>
      <c r="AO308" s="1">
        <f>VLOOKUP($C308,'Substrate Heating'!$A$2:$B$33,2,FALSE)</f>
        <v>10</v>
      </c>
      <c r="AP308" s="1">
        <f>VLOOKUP($C308,'Substrate Heating'!$A$2:$M$33,13,FALSE)</f>
        <v>2</v>
      </c>
      <c r="AQ308" s="1">
        <f>VLOOKUP($C308,'Substrate Heating'!$A$2:$M$33,8,FALSE)</f>
        <v>1</v>
      </c>
      <c r="AR308" s="1">
        <f t="shared" si="4"/>
        <v>0.30000000000000004</v>
      </c>
    </row>
    <row r="309" spans="1:44" x14ac:dyDescent="0.2">
      <c r="A309" s="17" t="s">
        <v>323</v>
      </c>
      <c r="B309" s="18" t="s">
        <v>324</v>
      </c>
      <c r="C309" t="s">
        <v>325</v>
      </c>
      <c r="D309" s="19" t="s">
        <v>326</v>
      </c>
      <c r="E309" t="s">
        <v>306</v>
      </c>
      <c r="F309" t="s">
        <v>302</v>
      </c>
      <c r="G309">
        <v>-10</v>
      </c>
      <c r="H309">
        <v>0</v>
      </c>
      <c r="I309">
        <v>0</v>
      </c>
      <c r="J309">
        <v>0.45</v>
      </c>
      <c r="K309">
        <v>-10</v>
      </c>
      <c r="L309">
        <v>0</v>
      </c>
      <c r="M309">
        <v>0</v>
      </c>
      <c r="N309">
        <v>7</v>
      </c>
      <c r="O309">
        <v>1</v>
      </c>
      <c r="P309"/>
      <c r="Q309">
        <v>0.1</v>
      </c>
      <c r="R309">
        <v>0.15742527668689801</v>
      </c>
      <c r="S309" s="1" t="str">
        <f>VLOOKUP($E309,'Product Naming'!$A$1:$P$58,2,FALSE)</f>
        <v>Propane-PW2</v>
      </c>
      <c r="T309" s="1" t="str">
        <f>VLOOKUP($E309,'Product Naming'!$A$1:$P$58,3,FALSE)</f>
        <v>Propane (PW2)</v>
      </c>
      <c r="U309" s="1" t="str">
        <f>VLOOKUP($E309,'Product Naming'!$A$1:$P$58,4,FALSE)</f>
        <v>E</v>
      </c>
      <c r="V309" s="1" t="str">
        <f>VLOOKUP($E309,'Product Naming'!$A$1:$P$58,5,FALSE)</f>
        <v>C3H8</v>
      </c>
      <c r="W309" s="1">
        <f>VLOOKUP($E309,'Product Naming'!$A$1:$P$58,6,FALSE)</f>
        <v>3</v>
      </c>
      <c r="X309" s="1">
        <f>VLOOKUP($E309,'Product Naming'!$A$1:$P$58,7,FALSE)</f>
        <v>8</v>
      </c>
      <c r="Y309" s="1">
        <f>VLOOKUP($E309,'Product Naming'!$A$1:$P$58,8,FALSE)</f>
        <v>0</v>
      </c>
      <c r="Z309" s="1">
        <f>VLOOKUP($E309,'Product Naming'!$A$1:$P$58,9,FALSE)</f>
        <v>0</v>
      </c>
      <c r="AA309" s="1">
        <f>VLOOKUP($E309,'Product Naming'!$A$1:$P$58,10,FALSE)</f>
        <v>0</v>
      </c>
      <c r="AB309" s="29">
        <f>VLOOKUP($E309,'Product Naming'!$A$1:$P$58,11,FALSE)</f>
        <v>6.666666666666667</v>
      </c>
      <c r="AC309" s="3">
        <f>VLOOKUP($E309,'Product Naming'!$A$1:$P$58,12,FALSE)</f>
        <v>44.094819999999999</v>
      </c>
      <c r="AD309" s="1">
        <f>VLOOKUP($E309,'Product Naming'!$A$1:$P$58,13,FALSE)</f>
        <v>-42</v>
      </c>
      <c r="AE309" s="1" t="str">
        <f>VLOOKUP($E309,'Product Naming'!$A$1:$P$58,14,FALSE)</f>
        <v>Hydrocarbon</v>
      </c>
      <c r="AF309" s="1" t="str">
        <f>VLOOKUP($E309,'Product Naming'!$A$1:$P$58,15,FALSE)</f>
        <v>Oxaloacetate</v>
      </c>
      <c r="AG309" s="30" t="str">
        <f>VLOOKUP($E309,'Product Naming'!$A$1:$P$58,16,FALSE)</f>
        <v>Diffusion</v>
      </c>
      <c r="AH309" s="3" t="str">
        <f>VLOOKUP($E309,'Product Naming'!$A$1:$Q$58,17,FALSE)</f>
        <v>prop_c</v>
      </c>
      <c r="AI309" s="1">
        <f>VLOOKUP($E309,'Product Parameters'!$A$2:$D$59,2,FALSE)</f>
        <v>0</v>
      </c>
      <c r="AJ309" s="1">
        <f>VLOOKUP($E309,'Product Parameters'!$A$2:$D$59,3,FALSE)</f>
        <v>1</v>
      </c>
      <c r="AK309" s="1">
        <f>VLOOKUP($E309,'Product Parameters'!$A$2:$D$59,4,FALSE)</f>
        <v>0.12</v>
      </c>
      <c r="AL309" s="1">
        <f>VLOOKUP($E309,'Product Parameters'!$A$2:$E$59,5,FALSE)</f>
        <v>0</v>
      </c>
      <c r="AM309" s="1">
        <f>VLOOKUP($E309,'Product Parameters'!$A$2:$F$59,6,FALSE)</f>
        <v>3</v>
      </c>
      <c r="AN309" s="1">
        <f>VLOOKUP($C309,'Substrate Heating'!$A$2:$C$33,3,FALSE)</f>
        <v>280.09700000000004</v>
      </c>
      <c r="AO309" s="1">
        <f>VLOOKUP($C309,'Substrate Heating'!$A$2:$B$33,2,FALSE)</f>
        <v>10</v>
      </c>
      <c r="AP309" s="1">
        <f>VLOOKUP($C309,'Substrate Heating'!$A$2:$M$33,13,FALSE)</f>
        <v>2</v>
      </c>
      <c r="AQ309" s="1">
        <f>VLOOKUP($C309,'Substrate Heating'!$A$2:$M$33,8,FALSE)</f>
        <v>1</v>
      </c>
      <c r="AR309" s="1">
        <f t="shared" si="4"/>
        <v>0.30000000000000004</v>
      </c>
    </row>
    <row r="310" spans="1:44" x14ac:dyDescent="0.2">
      <c r="A310" s="17" t="s">
        <v>323</v>
      </c>
      <c r="B310" s="18" t="s">
        <v>324</v>
      </c>
      <c r="C310" t="s">
        <v>329</v>
      </c>
      <c r="D310" s="19" t="s">
        <v>326</v>
      </c>
      <c r="E310" t="s">
        <v>136</v>
      </c>
      <c r="F310" t="s">
        <v>137</v>
      </c>
      <c r="G310">
        <v>-10</v>
      </c>
      <c r="H310">
        <v>0</v>
      </c>
      <c r="I310">
        <v>-20</v>
      </c>
      <c r="J310">
        <v>0.45</v>
      </c>
      <c r="K310">
        <v>-10</v>
      </c>
      <c r="L310">
        <v>0</v>
      </c>
      <c r="M310">
        <v>-17.536283185840698</v>
      </c>
      <c r="N310">
        <v>0</v>
      </c>
      <c r="O310">
        <v>0.410619469026549</v>
      </c>
      <c r="P310"/>
      <c r="Q310">
        <v>4.1061946902655001E-2</v>
      </c>
      <c r="R310" s="20">
        <v>0.15761431073402701</v>
      </c>
      <c r="S310" s="1" t="str">
        <f>VLOOKUP($E310,'Product Naming'!$A$1:$P$58,2,FALSE)</f>
        <v>Benzoate-PW1</v>
      </c>
      <c r="T310" s="1" t="str">
        <f>VLOOKUP($E310,'Product Naming'!$A$1:$P$58,3,FALSE)</f>
        <v>Benzoate (PW1)</v>
      </c>
      <c r="U310" s="1" t="str">
        <f>VLOOKUP($E310,'Product Naming'!$A$1:$P$58,4,FALSE)</f>
        <v>A</v>
      </c>
      <c r="V310" s="1" t="str">
        <f>VLOOKUP($E310,'Product Naming'!$A$1:$P$58,5,FALSE)</f>
        <v>C7H5O2</v>
      </c>
      <c r="W310" s="1">
        <f>VLOOKUP($E310,'Product Naming'!$A$1:$P$58,6,FALSE)</f>
        <v>7</v>
      </c>
      <c r="X310" s="1">
        <f>VLOOKUP($E310,'Product Naming'!$A$1:$P$58,7,FALSE)</f>
        <v>5</v>
      </c>
      <c r="Y310" s="1">
        <f>VLOOKUP($E310,'Product Naming'!$A$1:$P$58,8,FALSE)</f>
        <v>2</v>
      </c>
      <c r="Z310" s="1">
        <f>VLOOKUP($E310,'Product Naming'!$A$1:$P$58,9,FALSE)</f>
        <v>0</v>
      </c>
      <c r="AA310" s="1">
        <f>VLOOKUP($E310,'Product Naming'!$A$1:$P$58,10,FALSE)</f>
        <v>-1</v>
      </c>
      <c r="AB310" s="29">
        <f>VLOOKUP($E310,'Product Naming'!$A$1:$P$58,11,FALSE)</f>
        <v>4.1428571428571432</v>
      </c>
      <c r="AC310" s="3">
        <f>VLOOKUP($E310,'Product Naming'!$A$1:$P$58,12,FALSE)</f>
        <v>121.1121</v>
      </c>
      <c r="AD310" s="1">
        <f>VLOOKUP($E310,'Product Naming'!$A$1:$P$58,13,FALSE)</f>
        <v>249.2</v>
      </c>
      <c r="AE310" s="1" t="str">
        <f>VLOOKUP($E310,'Product Naming'!$A$1:$P$58,14,FALSE)</f>
        <v>Aromatic + Carboxylate</v>
      </c>
      <c r="AF310" s="1" t="str">
        <f>VLOOKUP($E310,'Product Naming'!$A$1:$P$58,15,FALSE)</f>
        <v>E4P + aKG</v>
      </c>
      <c r="AG310" s="30" t="str">
        <f>VLOOKUP($E310,'Product Naming'!$A$1:$P$58,16,FALSE)</f>
        <v>Proton symporter</v>
      </c>
      <c r="AH310" s="3" t="str">
        <f>VLOOKUP($E310,'Product Naming'!$A$1:$Q$58,17,FALSE)</f>
        <v>bz_c</v>
      </c>
      <c r="AI310" s="1">
        <f>VLOOKUP($E310,'Product Parameters'!$A$2:$D$59,2,FALSE)</f>
        <v>1</v>
      </c>
      <c r="AJ310" s="1">
        <f>VLOOKUP($E310,'Product Parameters'!$A$2:$D$59,3,FALSE)</f>
        <v>0</v>
      </c>
      <c r="AK310" s="1">
        <f>VLOOKUP($E310,'Product Parameters'!$A$2:$D$59,4,FALSE)</f>
        <v>0.12</v>
      </c>
      <c r="AL310" s="1">
        <f>VLOOKUP($E310,'Product Parameters'!$A$2:$E$59,5,FALSE)</f>
        <v>40.65</v>
      </c>
      <c r="AM310" s="1">
        <f>VLOOKUP($E310,'Product Parameters'!$A$2:$F$59,6,FALSE)</f>
        <v>7</v>
      </c>
      <c r="AN310" s="1">
        <f>VLOOKUP($C310,'Substrate Heating'!$A$2:$C$33,3,FALSE)</f>
        <v>255.53333333333336</v>
      </c>
      <c r="AO310" s="1">
        <f>VLOOKUP($C310,'Substrate Heating'!$A$2:$B$33,2,FALSE)</f>
        <v>23.925550527978785</v>
      </c>
      <c r="AP310" s="1">
        <f>VLOOKUP($C310,'Substrate Heating'!$A$2:$M$33,13,FALSE)</f>
        <v>0.66666666666666663</v>
      </c>
      <c r="AQ310" s="1">
        <f>VLOOKUP($C310,'Substrate Heating'!$A$2:$M$33,8,FALSE)</f>
        <v>0.33333333333333331</v>
      </c>
      <c r="AR310" s="1">
        <f t="shared" si="4"/>
        <v>0.86230088495575496</v>
      </c>
    </row>
    <row r="311" spans="1:44" x14ac:dyDescent="0.2">
      <c r="A311" s="17" t="s">
        <v>323</v>
      </c>
      <c r="B311" s="18" t="s">
        <v>324</v>
      </c>
      <c r="C311" t="s">
        <v>333</v>
      </c>
      <c r="D311" s="19" t="s">
        <v>326</v>
      </c>
      <c r="E311" t="s">
        <v>119</v>
      </c>
      <c r="F311" t="s">
        <v>120</v>
      </c>
      <c r="G311">
        <v>-10</v>
      </c>
      <c r="H311">
        <v>0</v>
      </c>
      <c r="I311">
        <v>0</v>
      </c>
      <c r="J311">
        <v>0.45</v>
      </c>
      <c r="K311">
        <v>-10</v>
      </c>
      <c r="L311">
        <v>0</v>
      </c>
      <c r="M311">
        <v>0</v>
      </c>
      <c r="N311">
        <v>6.25</v>
      </c>
      <c r="O311">
        <v>1.25</v>
      </c>
      <c r="P311"/>
      <c r="Q311">
        <v>0.125</v>
      </c>
      <c r="R311">
        <v>0.15771954351113199</v>
      </c>
      <c r="S311" s="1" t="str">
        <f>VLOOKUP($E311,'Product Naming'!$A$1:$P$58,2,FALSE)</f>
        <v>Acetone</v>
      </c>
      <c r="T311" s="1" t="str">
        <f>VLOOKUP($E311,'Product Naming'!$A$1:$P$58,3,FALSE)</f>
        <v>Acetone</v>
      </c>
      <c r="U311" s="1" t="str">
        <f>VLOOKUP($E311,'Product Naming'!$A$1:$P$58,4,FALSE)</f>
        <v>A</v>
      </c>
      <c r="V311" s="1" t="str">
        <f>VLOOKUP($E311,'Product Naming'!$A$1:$P$58,5,FALSE)</f>
        <v>C3H6O</v>
      </c>
      <c r="W311" s="1">
        <f>VLOOKUP($E311,'Product Naming'!$A$1:$P$58,6,FALSE)</f>
        <v>3</v>
      </c>
      <c r="X311" s="1">
        <f>VLOOKUP($E311,'Product Naming'!$A$1:$P$58,7,FALSE)</f>
        <v>6</v>
      </c>
      <c r="Y311" s="1">
        <f>VLOOKUP($E311,'Product Naming'!$A$1:$P$58,8,FALSE)</f>
        <v>1</v>
      </c>
      <c r="Z311" s="1">
        <f>VLOOKUP($E311,'Product Naming'!$A$1:$P$58,9,FALSE)</f>
        <v>0</v>
      </c>
      <c r="AA311" s="1">
        <f>VLOOKUP($E311,'Product Naming'!$A$1:$P$58,10,FALSE)</f>
        <v>0</v>
      </c>
      <c r="AB311" s="29">
        <f>VLOOKUP($E311,'Product Naming'!$A$1:$P$58,11,FALSE)</f>
        <v>5.333333333333333</v>
      </c>
      <c r="AC311" s="3">
        <f>VLOOKUP($E311,'Product Naming'!$A$1:$P$58,12,FALSE)</f>
        <v>58.078140000000005</v>
      </c>
      <c r="AD311" s="1">
        <f>VLOOKUP($E311,'Product Naming'!$A$1:$P$58,13,FALSE)</f>
        <v>56</v>
      </c>
      <c r="AE311" s="1" t="str">
        <f>VLOOKUP($E311,'Product Naming'!$A$1:$P$58,14,FALSE)</f>
        <v>Ketone</v>
      </c>
      <c r="AF311" s="1" t="str">
        <f>VLOOKUP($E311,'Product Naming'!$A$1:$P$58,15,FALSE)</f>
        <v>Acetyl-CoA</v>
      </c>
      <c r="AG311" s="30" t="str">
        <f>VLOOKUP($E311,'Product Naming'!$A$1:$P$58,16,FALSE)</f>
        <v>Proton symporter</v>
      </c>
      <c r="AH311" s="3" t="str">
        <f>VLOOKUP($E311,'Product Naming'!$A$1:$Q$58,17,FALSE)</f>
        <v>acetone_c</v>
      </c>
      <c r="AI311" s="1">
        <f>VLOOKUP($E311,'Product Parameters'!$A$2:$D$59,2,FALSE)</f>
        <v>1</v>
      </c>
      <c r="AJ311" s="1">
        <f>VLOOKUP($E311,'Product Parameters'!$A$2:$D$59,3,FALSE)</f>
        <v>0</v>
      </c>
      <c r="AK311" s="1">
        <f>VLOOKUP($E311,'Product Parameters'!$A$2:$D$59,4,FALSE)</f>
        <v>0.12</v>
      </c>
      <c r="AL311" s="1">
        <f>VLOOKUP($E311,'Product Parameters'!$A$2:$E$59,5,FALSE)</f>
        <v>31.3</v>
      </c>
      <c r="AM311" s="1">
        <f>VLOOKUP($E311,'Product Parameters'!$A$2:$F$59,6,FALSE)</f>
        <v>3</v>
      </c>
      <c r="AN311" s="1">
        <f>VLOOKUP($C311,'Substrate Heating'!$A$2:$C$33,3,FALSE)</f>
        <v>247.59097</v>
      </c>
      <c r="AO311" s="1">
        <f>VLOOKUP($C311,'Substrate Heating'!$A$2:$B$33,2,FALSE)</f>
        <v>5.5</v>
      </c>
      <c r="AP311" s="1">
        <f>VLOOKUP($C311,'Substrate Heating'!$A$2:$M$33,13,FALSE)</f>
        <v>1</v>
      </c>
      <c r="AQ311" s="1">
        <f>VLOOKUP($C311,'Substrate Heating'!$A$2:$M$33,8,FALSE)</f>
        <v>1</v>
      </c>
      <c r="AR311" s="1">
        <f t="shared" si="4"/>
        <v>0.375</v>
      </c>
    </row>
    <row r="312" spans="1:44" x14ac:dyDescent="0.2">
      <c r="A312" s="8" t="s">
        <v>807</v>
      </c>
      <c r="B312" s="18" t="s">
        <v>324</v>
      </c>
      <c r="C312" t="s">
        <v>365</v>
      </c>
      <c r="D312" s="23" t="s">
        <v>338</v>
      </c>
      <c r="E312" t="s">
        <v>264</v>
      </c>
      <c r="F312" t="s">
        <v>265</v>
      </c>
      <c r="G312">
        <v>-10</v>
      </c>
      <c r="H312">
        <v>0</v>
      </c>
      <c r="I312">
        <v>0</v>
      </c>
      <c r="J312">
        <v>0.45</v>
      </c>
      <c r="K312">
        <v>-10</v>
      </c>
      <c r="L312">
        <v>0</v>
      </c>
      <c r="M312">
        <v>1.36666666666666</v>
      </c>
      <c r="N312">
        <v>0</v>
      </c>
      <c r="O312">
        <v>0.34166666666666501</v>
      </c>
      <c r="P312"/>
      <c r="Q312">
        <v>3.4166666666666498E-2</v>
      </c>
      <c r="R312">
        <v>0.15831939265002201</v>
      </c>
      <c r="S312" s="1" t="str">
        <f>VLOOKUP($E312,'Product Naming'!$A$1:$P$58,2,FALSE)</f>
        <v>Lysine_L</v>
      </c>
      <c r="T312" s="1" t="str">
        <f>VLOOKUP($E312,'Product Naming'!$A$1:$P$58,3,FALSE)</f>
        <v>L-Lysine</v>
      </c>
      <c r="U312" s="1" t="str">
        <f>VLOOKUP($E312,'Product Naming'!$A$1:$P$58,4,FALSE)</f>
        <v>iJO1366</v>
      </c>
      <c r="V312" s="1" t="str">
        <f>VLOOKUP($E312,'Product Naming'!$A$1:$P$58,5,FALSE)</f>
        <v>C6H15N2O2</v>
      </c>
      <c r="W312" s="1">
        <f>VLOOKUP($E312,'Product Naming'!$A$1:$P$58,6,FALSE)</f>
        <v>6</v>
      </c>
      <c r="X312" s="1">
        <f>VLOOKUP($E312,'Product Naming'!$A$1:$P$58,7,FALSE)</f>
        <v>15</v>
      </c>
      <c r="Y312" s="1">
        <f>VLOOKUP($E312,'Product Naming'!$A$1:$P$58,8,FALSE)</f>
        <v>2</v>
      </c>
      <c r="Z312" s="1">
        <f>VLOOKUP($E312,'Product Naming'!$A$1:$P$58,9,FALSE)</f>
        <v>2</v>
      </c>
      <c r="AA312" s="1">
        <f>VLOOKUP($E312,'Product Naming'!$A$1:$P$58,10,FALSE)</f>
        <v>1</v>
      </c>
      <c r="AB312" s="29">
        <f>VLOOKUP($E312,'Product Naming'!$A$1:$P$58,11,FALSE)</f>
        <v>4.833333333333333</v>
      </c>
      <c r="AC312" s="3">
        <f>VLOOKUP($E312,'Product Naming'!$A$1:$P$58,12,FALSE)</f>
        <v>147.19319999999999</v>
      </c>
      <c r="AD312" s="1" t="str">
        <f>VLOOKUP($E312,'Product Naming'!$A$1:$P$58,13,FALSE)</f>
        <v>NA</v>
      </c>
      <c r="AE312" s="1" t="str">
        <f>VLOOKUP($E312,'Product Naming'!$A$1:$P$58,14,FALSE)</f>
        <v>Amino acid</v>
      </c>
      <c r="AF312" s="1" t="str">
        <f>VLOOKUP($E312,'Product Naming'!$A$1:$P$58,15,FALSE)</f>
        <v>Oxaloacetate</v>
      </c>
      <c r="AG312" s="30" t="str">
        <f>VLOOKUP($E312,'Product Naming'!$A$1:$P$58,16,FALSE)</f>
        <v>Proton antiport</v>
      </c>
      <c r="AH312" s="3" t="str">
        <f>VLOOKUP($E312,'Product Naming'!$A$1:$Q$58,17,FALSE)</f>
        <v>lys__L_</v>
      </c>
      <c r="AI312" s="1">
        <f>VLOOKUP($E312,'Product Parameters'!$A$2:$D$59,2,FALSE)</f>
        <v>1</v>
      </c>
      <c r="AJ312" s="1">
        <f>VLOOKUP($E312,'Product Parameters'!$A$2:$D$59,3,FALSE)</f>
        <v>0</v>
      </c>
      <c r="AK312" s="1">
        <f>VLOOKUP($E312,'Product Parameters'!$A$2:$D$59,4,FALSE)</f>
        <v>0.12</v>
      </c>
      <c r="AL312" s="1">
        <f>VLOOKUP($E312,'Product Parameters'!$A$2:$E$59,5,FALSE)</f>
        <v>40.65</v>
      </c>
      <c r="AM312" s="1">
        <f>VLOOKUP($E312,'Product Parameters'!$A$2:$F$59,6,FALSE)</f>
        <v>6</v>
      </c>
      <c r="AN312" s="1">
        <f>VLOOKUP($C312,'Substrate Heating'!$A$2:$C$33,3,FALSE)</f>
        <v>638.57832580000002</v>
      </c>
      <c r="AO312" s="1">
        <f>VLOOKUP($C312,'Substrate Heating'!$A$2:$B$33,2,FALSE)</f>
        <v>19.93</v>
      </c>
      <c r="AP312" s="1">
        <f>VLOOKUP($C312,'Substrate Heating'!$A$2:$M$33,13,FALSE)</f>
        <v>6</v>
      </c>
      <c r="AQ312" s="1">
        <f>VLOOKUP($C312,'Substrate Heating'!$A$2:$M$33,8,FALSE)</f>
        <v>1</v>
      </c>
      <c r="AR312" s="1">
        <f t="shared" si="4"/>
        <v>0.20499999999999899</v>
      </c>
    </row>
    <row r="313" spans="1:44" x14ac:dyDescent="0.2">
      <c r="A313" s="17" t="s">
        <v>323</v>
      </c>
      <c r="B313" s="18" t="s">
        <v>324</v>
      </c>
      <c r="C313" t="s">
        <v>336</v>
      </c>
      <c r="D313" s="19" t="s">
        <v>326</v>
      </c>
      <c r="E313" t="s">
        <v>158</v>
      </c>
      <c r="F313" t="s">
        <v>159</v>
      </c>
      <c r="G313">
        <v>-10</v>
      </c>
      <c r="H313">
        <v>0</v>
      </c>
      <c r="I313">
        <v>-20</v>
      </c>
      <c r="J313">
        <v>0.45</v>
      </c>
      <c r="K313">
        <v>-10</v>
      </c>
      <c r="L313">
        <v>0</v>
      </c>
      <c r="M313">
        <v>-20</v>
      </c>
      <c r="N313">
        <v>0</v>
      </c>
      <c r="O313">
        <v>1.3647058823529401</v>
      </c>
      <c r="P313"/>
      <c r="Q313">
        <v>0.13647058823529401</v>
      </c>
      <c r="R313" s="20">
        <v>0.158414906190157</v>
      </c>
      <c r="S313" s="1" t="str">
        <f>VLOOKUP($E313,'Product Naming'!$A$1:$P$58,2,FALSE)</f>
        <v>Butane</v>
      </c>
      <c r="T313" s="1" t="str">
        <f>VLOOKUP($E313,'Product Naming'!$A$1:$P$58,3,FALSE)</f>
        <v>Butane</v>
      </c>
      <c r="U313" s="1" t="str">
        <f>VLOOKUP($E313,'Product Naming'!$A$1:$P$58,4,FALSE)</f>
        <v>E</v>
      </c>
      <c r="V313" s="1" t="str">
        <f>VLOOKUP($E313,'Product Naming'!$A$1:$P$58,5,FALSE)</f>
        <v>C4H10</v>
      </c>
      <c r="W313" s="1">
        <f>VLOOKUP($E313,'Product Naming'!$A$1:$P$58,6,FALSE)</f>
        <v>4</v>
      </c>
      <c r="X313" s="1">
        <f>VLOOKUP($E313,'Product Naming'!$A$1:$P$58,7,FALSE)</f>
        <v>10</v>
      </c>
      <c r="Y313" s="1">
        <f>VLOOKUP($E313,'Product Naming'!$A$1:$P$58,8,FALSE)</f>
        <v>0</v>
      </c>
      <c r="Z313" s="1">
        <f>VLOOKUP($E313,'Product Naming'!$A$1:$P$58,9,FALSE)</f>
        <v>0</v>
      </c>
      <c r="AA313" s="1">
        <f>VLOOKUP($E313,'Product Naming'!$A$1:$P$58,10,FALSE)</f>
        <v>0</v>
      </c>
      <c r="AB313" s="29">
        <f>VLOOKUP($E313,'Product Naming'!$A$1:$P$58,11,FALSE)</f>
        <v>6.5</v>
      </c>
      <c r="AC313" s="3">
        <f>VLOOKUP($E313,'Product Naming'!$A$1:$P$58,12,FALSE)</f>
        <v>58.121200000000002</v>
      </c>
      <c r="AD313" s="1">
        <f>VLOOKUP($E313,'Product Naming'!$A$1:$P$58,13,FALSE)</f>
        <v>-1</v>
      </c>
      <c r="AE313" s="1" t="str">
        <f>VLOOKUP($E313,'Product Naming'!$A$1:$P$58,14,FALSE)</f>
        <v>Hydrocarbon (alkane)</v>
      </c>
      <c r="AF313" s="1" t="str">
        <f>VLOOKUP($E313,'Product Naming'!$A$1:$P$58,15,FALSE)</f>
        <v>Acetyl-CoA + Succinyl-CoA</v>
      </c>
      <c r="AG313" s="30" t="str">
        <f>VLOOKUP($E313,'Product Naming'!$A$1:$P$58,16,FALSE)</f>
        <v>Diffusion</v>
      </c>
      <c r="AH313" s="3" t="str">
        <f>VLOOKUP($E313,'Product Naming'!$A$1:$Q$58,17,FALSE)</f>
        <v>butn_c</v>
      </c>
      <c r="AI313" s="1">
        <f>VLOOKUP($E313,'Product Parameters'!$A$2:$D$59,2,FALSE)</f>
        <v>0</v>
      </c>
      <c r="AJ313" s="1">
        <f>VLOOKUP($E313,'Product Parameters'!$A$2:$D$59,3,FALSE)</f>
        <v>1</v>
      </c>
      <c r="AK313" s="1">
        <f>VLOOKUP($E313,'Product Parameters'!$A$2:$D$59,4,FALSE)</f>
        <v>0.12</v>
      </c>
      <c r="AL313" s="1">
        <f>VLOOKUP($E313,'Product Parameters'!$A$2:$E$59,5,FALSE)</f>
        <v>0</v>
      </c>
      <c r="AM313" s="1">
        <f>VLOOKUP($E313,'Product Parameters'!$A$2:$F$59,6,FALSE)</f>
        <v>4</v>
      </c>
      <c r="AN313" s="1">
        <f>VLOOKUP($C313,'Substrate Heating'!$A$2:$C$33,3,FALSE)</f>
        <v>245.86666666666667</v>
      </c>
      <c r="AO313" s="1">
        <f>VLOOKUP($C313,'Substrate Heating'!$A$2:$B$33,2,FALSE)</f>
        <v>15.038360459876978</v>
      </c>
      <c r="AP313" s="1">
        <f>VLOOKUP($C313,'Substrate Heating'!$A$2:$M$33,13,FALSE)</f>
        <v>0.33333333333333331</v>
      </c>
      <c r="AQ313" s="1">
        <f>VLOOKUP($C313,'Substrate Heating'!$A$2:$M$33,8,FALSE)</f>
        <v>0.33333333333333331</v>
      </c>
      <c r="AR313" s="1">
        <f t="shared" si="4"/>
        <v>1.6376470588235281</v>
      </c>
    </row>
    <row r="314" spans="1:44" x14ac:dyDescent="0.2">
      <c r="A314" s="17" t="s">
        <v>323</v>
      </c>
      <c r="B314" s="18" t="s">
        <v>324</v>
      </c>
      <c r="C314" t="s">
        <v>327</v>
      </c>
      <c r="D314" s="19" t="s">
        <v>326</v>
      </c>
      <c r="E314" t="s">
        <v>158</v>
      </c>
      <c r="F314" t="s">
        <v>159</v>
      </c>
      <c r="G314">
        <v>-10</v>
      </c>
      <c r="H314">
        <v>0</v>
      </c>
      <c r="I314">
        <v>-5</v>
      </c>
      <c r="J314">
        <v>0.45</v>
      </c>
      <c r="K314">
        <v>-10</v>
      </c>
      <c r="L314">
        <v>0</v>
      </c>
      <c r="M314">
        <v>-5</v>
      </c>
      <c r="N314">
        <v>4.4794520547945202</v>
      </c>
      <c r="O314">
        <v>0.79178082191780697</v>
      </c>
      <c r="P314"/>
      <c r="Q314">
        <v>7.9178082191781005E-2</v>
      </c>
      <c r="R314">
        <v>0.15857771022346401</v>
      </c>
      <c r="S314" s="1" t="str">
        <f>VLOOKUP($E314,'Product Naming'!$A$1:$P$58,2,FALSE)</f>
        <v>Butane</v>
      </c>
      <c r="T314" s="1" t="str">
        <f>VLOOKUP($E314,'Product Naming'!$A$1:$P$58,3,FALSE)</f>
        <v>Butane</v>
      </c>
      <c r="U314" s="1" t="str">
        <f>VLOOKUP($E314,'Product Naming'!$A$1:$P$58,4,FALSE)</f>
        <v>E</v>
      </c>
      <c r="V314" s="1" t="str">
        <f>VLOOKUP($E314,'Product Naming'!$A$1:$P$58,5,FALSE)</f>
        <v>C4H10</v>
      </c>
      <c r="W314" s="1">
        <f>VLOOKUP($E314,'Product Naming'!$A$1:$P$58,6,FALSE)</f>
        <v>4</v>
      </c>
      <c r="X314" s="1">
        <f>VLOOKUP($E314,'Product Naming'!$A$1:$P$58,7,FALSE)</f>
        <v>10</v>
      </c>
      <c r="Y314" s="1">
        <f>VLOOKUP($E314,'Product Naming'!$A$1:$P$58,8,FALSE)</f>
        <v>0</v>
      </c>
      <c r="Z314" s="1">
        <f>VLOOKUP($E314,'Product Naming'!$A$1:$P$58,9,FALSE)</f>
        <v>0</v>
      </c>
      <c r="AA314" s="1">
        <f>VLOOKUP($E314,'Product Naming'!$A$1:$P$58,10,FALSE)</f>
        <v>0</v>
      </c>
      <c r="AB314" s="29">
        <f>VLOOKUP($E314,'Product Naming'!$A$1:$P$58,11,FALSE)</f>
        <v>6.5</v>
      </c>
      <c r="AC314" s="3">
        <f>VLOOKUP($E314,'Product Naming'!$A$1:$P$58,12,FALSE)</f>
        <v>58.121200000000002</v>
      </c>
      <c r="AD314" s="1">
        <f>VLOOKUP($E314,'Product Naming'!$A$1:$P$58,13,FALSE)</f>
        <v>-1</v>
      </c>
      <c r="AE314" s="1" t="str">
        <f>VLOOKUP($E314,'Product Naming'!$A$1:$P$58,14,FALSE)</f>
        <v>Hydrocarbon (alkane)</v>
      </c>
      <c r="AF314" s="1" t="str">
        <f>VLOOKUP($E314,'Product Naming'!$A$1:$P$58,15,FALSE)</f>
        <v>Acetyl-CoA + Succinyl-CoA</v>
      </c>
      <c r="AG314" s="30" t="str">
        <f>VLOOKUP($E314,'Product Naming'!$A$1:$P$58,16,FALSE)</f>
        <v>Diffusion</v>
      </c>
      <c r="AH314" s="3" t="str">
        <f>VLOOKUP($E314,'Product Naming'!$A$1:$Q$58,17,FALSE)</f>
        <v>butn_c</v>
      </c>
      <c r="AI314" s="1">
        <f>VLOOKUP($E314,'Product Parameters'!$A$2:$D$59,2,FALSE)</f>
        <v>0</v>
      </c>
      <c r="AJ314" s="1">
        <f>VLOOKUP($E314,'Product Parameters'!$A$2:$D$59,3,FALSE)</f>
        <v>1</v>
      </c>
      <c r="AK314" s="1">
        <f>VLOOKUP($E314,'Product Parameters'!$A$2:$D$59,4,FALSE)</f>
        <v>0.12</v>
      </c>
      <c r="AL314" s="1">
        <f>VLOOKUP($E314,'Product Parameters'!$A$2:$E$59,5,FALSE)</f>
        <v>0</v>
      </c>
      <c r="AM314" s="1">
        <f>VLOOKUP($E314,'Product Parameters'!$A$2:$F$59,6,FALSE)</f>
        <v>4</v>
      </c>
      <c r="AN314" s="1">
        <f>VLOOKUP($C314,'Substrate Heating'!$A$2:$C$33,3,FALSE)</f>
        <v>269.26666666666665</v>
      </c>
      <c r="AO314" s="1">
        <f>VLOOKUP($C314,'Substrate Heating'!$A$2:$B$33,2,FALSE)</f>
        <v>13.919167510409219</v>
      </c>
      <c r="AP314" s="1">
        <f>VLOOKUP($C314,'Substrate Heating'!$A$2:$M$33,13,FALSE)</f>
        <v>1.3333333333333333</v>
      </c>
      <c r="AQ314" s="1">
        <f>VLOOKUP($C314,'Substrate Heating'!$A$2:$M$33,8,FALSE)</f>
        <v>0.66666666666666663</v>
      </c>
      <c r="AR314" s="1">
        <f t="shared" si="4"/>
        <v>0.47506849315068606</v>
      </c>
    </row>
    <row r="315" spans="1:44" x14ac:dyDescent="0.2">
      <c r="A315" s="8" t="s">
        <v>816</v>
      </c>
      <c r="B315" s="18" t="s">
        <v>324</v>
      </c>
      <c r="C315" t="s">
        <v>815</v>
      </c>
      <c r="D315" s="19" t="s">
        <v>326</v>
      </c>
      <c r="E315" t="s">
        <v>143</v>
      </c>
      <c r="F315" t="s">
        <v>137</v>
      </c>
      <c r="G315">
        <v>-10</v>
      </c>
      <c r="H315">
        <v>0</v>
      </c>
      <c r="I315">
        <v>0</v>
      </c>
      <c r="J315">
        <v>0.45</v>
      </c>
      <c r="K315">
        <v>20.417316020000001</v>
      </c>
      <c r="L315">
        <v>0</v>
      </c>
      <c r="M315">
        <v>0</v>
      </c>
      <c r="N315">
        <v>20.417316020000001</v>
      </c>
      <c r="O315">
        <v>0.83463203500000005</v>
      </c>
      <c r="P315"/>
      <c r="Q315">
        <v>4.0878636000000003E-2</v>
      </c>
      <c r="R315">
        <v>0.15863176800000001</v>
      </c>
      <c r="S315" s="1" t="str">
        <f>VLOOKUP($E315,'Product Naming'!$A$1:$P$58,2,FALSE)</f>
        <v>Benzoate-PW2</v>
      </c>
      <c r="T315" s="1" t="str">
        <f>VLOOKUP($E315,'Product Naming'!$A$1:$P$58,3,FALSE)</f>
        <v>Benzoate (PW2)</v>
      </c>
      <c r="U315" s="1" t="str">
        <f>VLOOKUP($E315,'Product Naming'!$A$1:$P$58,4,FALSE)</f>
        <v>A</v>
      </c>
      <c r="V315" s="1" t="str">
        <f>VLOOKUP($E315,'Product Naming'!$A$1:$P$58,5,FALSE)</f>
        <v>C7H5O2</v>
      </c>
      <c r="W315" s="1">
        <f>VLOOKUP($E315,'Product Naming'!$A$1:$P$58,6,FALSE)</f>
        <v>7</v>
      </c>
      <c r="X315" s="1">
        <f>VLOOKUP($E315,'Product Naming'!$A$1:$P$58,7,FALSE)</f>
        <v>5</v>
      </c>
      <c r="Y315" s="1">
        <f>VLOOKUP($E315,'Product Naming'!$A$1:$P$58,8,FALSE)</f>
        <v>2</v>
      </c>
      <c r="Z315" s="1">
        <f>VLOOKUP($E315,'Product Naming'!$A$1:$P$58,9,FALSE)</f>
        <v>0</v>
      </c>
      <c r="AA315" s="1">
        <f>VLOOKUP($E315,'Product Naming'!$A$1:$P$58,10,FALSE)</f>
        <v>-1</v>
      </c>
      <c r="AB315" s="29">
        <f>VLOOKUP($E315,'Product Naming'!$A$1:$P$58,11,FALSE)</f>
        <v>4.1428571428571432</v>
      </c>
      <c r="AC315" s="3">
        <f>VLOOKUP($E315,'Product Naming'!$A$1:$P$58,12,FALSE)</f>
        <v>121.1121</v>
      </c>
      <c r="AD315" s="1">
        <f>VLOOKUP($E315,'Product Naming'!$A$1:$P$58,13,FALSE)</f>
        <v>249.2</v>
      </c>
      <c r="AE315" s="1" t="str">
        <f>VLOOKUP($E315,'Product Naming'!$A$1:$P$58,14,FALSE)</f>
        <v>Aromatic + Carboxylate</v>
      </c>
      <c r="AF315" s="1" t="str">
        <f>VLOOKUP($E315,'Product Naming'!$A$1:$P$58,15,FALSE)</f>
        <v>E4P + aKG</v>
      </c>
      <c r="AG315" s="30" t="str">
        <f>VLOOKUP($E315,'Product Naming'!$A$1:$P$58,16,FALSE)</f>
        <v>Proton symporter</v>
      </c>
      <c r="AH315" s="3" t="str">
        <f>VLOOKUP($E315,'Product Naming'!$A$1:$Q$58,17,FALSE)</f>
        <v>bz_c</v>
      </c>
      <c r="AI315" s="1">
        <f>VLOOKUP($E315,'Product Parameters'!$A$2:$D$59,2,FALSE)</f>
        <v>1</v>
      </c>
      <c r="AJ315" s="1">
        <f>VLOOKUP($E315,'Product Parameters'!$A$2:$D$59,3,FALSE)</f>
        <v>0</v>
      </c>
      <c r="AK315" s="1">
        <f>VLOOKUP($E315,'Product Parameters'!$A$2:$D$59,4,FALSE)</f>
        <v>0.12</v>
      </c>
      <c r="AL315" s="1">
        <f>VLOOKUP($E315,'Product Parameters'!$A$2:$E$59,5,FALSE)</f>
        <v>40.65</v>
      </c>
      <c r="AM315" s="1">
        <f>VLOOKUP($E315,'Product Parameters'!$A$2:$F$59,6,FALSE)</f>
        <v>7</v>
      </c>
      <c r="AN315" s="1">
        <f>VLOOKUP($C315,'Substrate Heating'!$A$2:$C$33,3,FALSE)</f>
        <v>226.4</v>
      </c>
      <c r="AO315" s="1">
        <f>VLOOKUP($C315,'Substrate Heating'!$A$2:$B$33,2,FALSE)</f>
        <v>7.2542014450728134</v>
      </c>
      <c r="AP315" s="1">
        <f>VLOOKUP($C315,'Substrate Heating'!$A$2:$M$33,13,FALSE)</f>
        <v>1.6</v>
      </c>
      <c r="AQ315" s="1">
        <f>VLOOKUP($C315,'Substrate Heating'!$A$2:$M$33,8,FALSE)</f>
        <v>1</v>
      </c>
      <c r="AR315" s="1">
        <f t="shared" si="4"/>
        <v>0.286150452</v>
      </c>
    </row>
    <row r="316" spans="1:44" x14ac:dyDescent="0.2">
      <c r="A316" s="17" t="s">
        <v>323</v>
      </c>
      <c r="B316" s="18" t="s">
        <v>324</v>
      </c>
      <c r="C316" t="s">
        <v>334</v>
      </c>
      <c r="D316" s="19" t="s">
        <v>326</v>
      </c>
      <c r="E316" t="s">
        <v>225</v>
      </c>
      <c r="F316" t="s">
        <v>226</v>
      </c>
      <c r="G316">
        <v>-10</v>
      </c>
      <c r="H316">
        <v>0</v>
      </c>
      <c r="I316">
        <v>-5</v>
      </c>
      <c r="J316">
        <v>0.45</v>
      </c>
      <c r="K316">
        <v>-10</v>
      </c>
      <c r="L316">
        <v>0</v>
      </c>
      <c r="M316">
        <v>-5</v>
      </c>
      <c r="N316">
        <v>1.50344827586207</v>
      </c>
      <c r="O316">
        <v>0.99655172413793103</v>
      </c>
      <c r="P316"/>
      <c r="Q316">
        <v>9.9655172413793097E-2</v>
      </c>
      <c r="R316">
        <v>0.15897914684355499</v>
      </c>
      <c r="S316" s="1" t="str">
        <f>VLOOKUP($E316,'Product Naming'!$A$1:$P$58,2,FALSE)</f>
        <v>Glycolate</v>
      </c>
      <c r="T316" s="1" t="str">
        <f>VLOOKUP($E316,'Product Naming'!$A$1:$P$58,3,FALSE)</f>
        <v>Glycolate</v>
      </c>
      <c r="U316" s="1" t="str">
        <f>VLOOKUP($E316,'Product Naming'!$A$1:$P$58,4,FALSE)</f>
        <v>iJO1366</v>
      </c>
      <c r="V316" s="1" t="str">
        <f>VLOOKUP($E316,'Product Naming'!$A$1:$P$58,5,FALSE)</f>
        <v>C2H3O3</v>
      </c>
      <c r="W316" s="1">
        <f>VLOOKUP($E316,'Product Naming'!$A$1:$P$58,6,FALSE)</f>
        <v>2</v>
      </c>
      <c r="X316" s="1">
        <f>VLOOKUP($E316,'Product Naming'!$A$1:$P$58,7,FALSE)</f>
        <v>3</v>
      </c>
      <c r="Y316" s="1">
        <f>VLOOKUP($E316,'Product Naming'!$A$1:$P$58,8,FALSE)</f>
        <v>3</v>
      </c>
      <c r="Z316" s="1">
        <f>VLOOKUP($E316,'Product Naming'!$A$1:$P$58,9,FALSE)</f>
        <v>0</v>
      </c>
      <c r="AA316" s="1">
        <f>VLOOKUP($E316,'Product Naming'!$A$1:$P$58,10,FALSE)</f>
        <v>-1</v>
      </c>
      <c r="AB316" s="29">
        <f>VLOOKUP($E316,'Product Naming'!$A$1:$P$58,11,FALSE)</f>
        <v>2.5</v>
      </c>
      <c r="AC316" s="3">
        <f>VLOOKUP($E316,'Product Naming'!$A$1:$P$58,12,FALSE)</f>
        <v>75.041920000000005</v>
      </c>
      <c r="AD316" s="1">
        <f>VLOOKUP($E316,'Product Naming'!$A$1:$P$58,13,FALSE)</f>
        <v>112</v>
      </c>
      <c r="AE316" s="1" t="str">
        <f>VLOOKUP($E316,'Product Naming'!$A$1:$P$58,14,FALSE)</f>
        <v>Carboxylate + Alcohol (hydroxy carboxylate)</v>
      </c>
      <c r="AF316" s="1" t="str">
        <f>VLOOKUP($E316,'Product Naming'!$A$1:$P$58,15,FALSE)</f>
        <v>Glyoxylate (*isocitrate)</v>
      </c>
      <c r="AG316" s="30" t="str">
        <f>VLOOKUP($E316,'Product Naming'!$A$1:$P$58,16,FALSE)</f>
        <v>Proton symporter</v>
      </c>
      <c r="AH316" s="3" t="str">
        <f>VLOOKUP($E316,'Product Naming'!$A$1:$Q$58,17,FALSE)</f>
        <v>glyclt_c</v>
      </c>
      <c r="AI316" s="1">
        <f>VLOOKUP($E316,'Product Parameters'!$A$2:$D$59,2,FALSE)</f>
        <v>1</v>
      </c>
      <c r="AJ316" s="1">
        <f>VLOOKUP($E316,'Product Parameters'!$A$2:$D$59,3,FALSE)</f>
        <v>0</v>
      </c>
      <c r="AK316" s="1">
        <f>VLOOKUP($E316,'Product Parameters'!$A$2:$D$59,4,FALSE)</f>
        <v>0.12</v>
      </c>
      <c r="AL316" s="1">
        <f>VLOOKUP($E316,'Product Parameters'!$A$2:$E$59,5,FALSE)</f>
        <v>40.65</v>
      </c>
      <c r="AM316" s="1">
        <f>VLOOKUP($E316,'Product Parameters'!$A$2:$F$59,6,FALSE)</f>
        <v>2</v>
      </c>
      <c r="AN316" s="1">
        <f>VLOOKUP($C316,'Substrate Heating'!$A$2:$C$33,3,FALSE)</f>
        <v>249.93333333333334</v>
      </c>
      <c r="AO316" s="1">
        <f>VLOOKUP($C316,'Substrate Heating'!$A$2:$B$33,2,FALSE)</f>
        <v>8.1456827881222953</v>
      </c>
      <c r="AP316" s="1">
        <f>VLOOKUP($C316,'Substrate Heating'!$A$2:$M$33,13,FALSE)</f>
        <v>0.66666666666666663</v>
      </c>
      <c r="AQ316" s="1">
        <f>VLOOKUP($C316,'Substrate Heating'!$A$2:$M$33,8,FALSE)</f>
        <v>0.66666666666666663</v>
      </c>
      <c r="AR316" s="1">
        <f t="shared" si="4"/>
        <v>0.29896551724137932</v>
      </c>
    </row>
    <row r="317" spans="1:44" x14ac:dyDescent="0.2">
      <c r="A317" s="17" t="s">
        <v>323</v>
      </c>
      <c r="B317" s="18" t="s">
        <v>324</v>
      </c>
      <c r="C317" t="s">
        <v>327</v>
      </c>
      <c r="D317" s="19" t="s">
        <v>326</v>
      </c>
      <c r="E317" t="s">
        <v>175</v>
      </c>
      <c r="F317" t="s">
        <v>176</v>
      </c>
      <c r="G317">
        <v>-10</v>
      </c>
      <c r="H317">
        <v>0</v>
      </c>
      <c r="I317">
        <v>-5</v>
      </c>
      <c r="J317">
        <v>0.45</v>
      </c>
      <c r="K317">
        <v>-10</v>
      </c>
      <c r="L317">
        <v>0</v>
      </c>
      <c r="M317">
        <v>-5</v>
      </c>
      <c r="N317">
        <v>2.7109489051094902</v>
      </c>
      <c r="O317">
        <v>0.42189781021897799</v>
      </c>
      <c r="P317"/>
      <c r="Q317">
        <v>4.2189781021897799E-2</v>
      </c>
      <c r="R317">
        <v>0.160078729293163</v>
      </c>
      <c r="S317" s="1" t="str">
        <f>VLOOKUP($E317,'Product Naming'!$A$1:$P$58,2,FALSE)</f>
        <v>Catechol</v>
      </c>
      <c r="T317" s="1" t="str">
        <f>VLOOKUP($E317,'Product Naming'!$A$1:$P$58,3,FALSE)</f>
        <v>Catechol</v>
      </c>
      <c r="U317" s="1" t="str">
        <f>VLOOKUP($E317,'Product Naming'!$A$1:$P$58,4,FALSE)</f>
        <v>E</v>
      </c>
      <c r="V317" s="1" t="str">
        <f>VLOOKUP($E317,'Product Naming'!$A$1:$P$58,5,FALSE)</f>
        <v>C6H6O2</v>
      </c>
      <c r="W317" s="1">
        <f>VLOOKUP($E317,'Product Naming'!$A$1:$P$58,6,FALSE)</f>
        <v>6</v>
      </c>
      <c r="X317" s="1">
        <f>VLOOKUP($E317,'Product Naming'!$A$1:$P$58,7,FALSE)</f>
        <v>6</v>
      </c>
      <c r="Y317" s="1">
        <f>VLOOKUP($E317,'Product Naming'!$A$1:$P$58,8,FALSE)</f>
        <v>2</v>
      </c>
      <c r="Z317" s="1">
        <f>VLOOKUP($E317,'Product Naming'!$A$1:$P$58,9,FALSE)</f>
        <v>0</v>
      </c>
      <c r="AA317" s="1">
        <f>VLOOKUP($E317,'Product Naming'!$A$1:$P$58,10,FALSE)</f>
        <v>0</v>
      </c>
      <c r="AB317" s="29">
        <f>VLOOKUP($E317,'Product Naming'!$A$1:$P$58,11,FALSE)</f>
        <v>4.333333333333333</v>
      </c>
      <c r="AC317" s="3">
        <f>VLOOKUP($E317,'Product Naming'!$A$1:$P$58,12,FALSE)</f>
        <v>110.10924</v>
      </c>
      <c r="AD317" s="1">
        <f>VLOOKUP($E317,'Product Naming'!$A$1:$P$58,13,FALSE)</f>
        <v>245</v>
      </c>
      <c r="AE317" s="1" t="str">
        <f>VLOOKUP($E317,'Product Naming'!$A$1:$P$58,14,FALSE)</f>
        <v>Aromatic + Diol</v>
      </c>
      <c r="AF317" s="1" t="str">
        <f>VLOOKUP($E317,'Product Naming'!$A$1:$P$58,15,FALSE)</f>
        <v>Glyceraldehyde 3-P</v>
      </c>
      <c r="AG317" s="30" t="str">
        <f>VLOOKUP($E317,'Product Naming'!$A$1:$P$58,16,FALSE)</f>
        <v>Proton symporter</v>
      </c>
      <c r="AH317" s="3" t="str">
        <f>VLOOKUP($E317,'Product Naming'!$A$1:$Q$58,17,FALSE)</f>
        <v>catechol_c</v>
      </c>
      <c r="AI317" s="1">
        <f>VLOOKUP($E317,'Product Parameters'!$A$2:$D$59,2,FALSE)</f>
        <v>1</v>
      </c>
      <c r="AJ317" s="1">
        <f>VLOOKUP($E317,'Product Parameters'!$A$2:$D$59,3,FALSE)</f>
        <v>0</v>
      </c>
      <c r="AK317" s="1">
        <f>VLOOKUP($E317,'Product Parameters'!$A$2:$D$59,4,FALSE)</f>
        <v>0.12</v>
      </c>
      <c r="AL317" s="1">
        <f>VLOOKUP($E317,'Product Parameters'!$A$2:$E$59,5,FALSE)</f>
        <v>40.65</v>
      </c>
      <c r="AM317" s="1">
        <f>VLOOKUP($E317,'Product Parameters'!$A$2:$F$59,6,FALSE)</f>
        <v>6</v>
      </c>
      <c r="AN317" s="1">
        <f>VLOOKUP($C317,'Substrate Heating'!$A$2:$C$33,3,FALSE)</f>
        <v>269.26666666666665</v>
      </c>
      <c r="AO317" s="1">
        <f>VLOOKUP($C317,'Substrate Heating'!$A$2:$B$33,2,FALSE)</f>
        <v>13.919167510409219</v>
      </c>
      <c r="AP317" s="1">
        <f>VLOOKUP($C317,'Substrate Heating'!$A$2:$M$33,13,FALSE)</f>
        <v>1.3333333333333333</v>
      </c>
      <c r="AQ317" s="1">
        <f>VLOOKUP($C317,'Substrate Heating'!$A$2:$M$33,8,FALSE)</f>
        <v>0.66666666666666663</v>
      </c>
      <c r="AR317" s="1">
        <f t="shared" si="4"/>
        <v>0.37970802919708019</v>
      </c>
    </row>
    <row r="318" spans="1:44" x14ac:dyDescent="0.2">
      <c r="A318" s="8" t="s">
        <v>812</v>
      </c>
      <c r="B318" s="18" t="s">
        <v>324</v>
      </c>
      <c r="C318" t="s">
        <v>814</v>
      </c>
      <c r="E318" t="s">
        <v>297</v>
      </c>
      <c r="F318" t="s">
        <v>298</v>
      </c>
      <c r="G318">
        <v>-10</v>
      </c>
      <c r="H318">
        <v>0</v>
      </c>
      <c r="I318">
        <v>-10</v>
      </c>
      <c r="J318">
        <v>0.45</v>
      </c>
      <c r="K318">
        <v>-9.2719999999999896</v>
      </c>
      <c r="L318">
        <v>0</v>
      </c>
      <c r="M318">
        <v>-10</v>
      </c>
      <c r="N318">
        <v>0</v>
      </c>
      <c r="O318">
        <v>0.36399999999999899</v>
      </c>
      <c r="P318"/>
      <c r="Q318">
        <v>3.9257981018118997E-2</v>
      </c>
      <c r="R318">
        <v>0.160726851414426</v>
      </c>
      <c r="S318" s="1" t="str">
        <f>VLOOKUP($E318,'Product Naming'!$A$1:$P$58,2,FALSE)</f>
        <v>Phenol</v>
      </c>
      <c r="T318" s="1" t="str">
        <f>VLOOKUP($E318,'Product Naming'!$A$1:$P$58,3,FALSE)</f>
        <v>Phenol</v>
      </c>
      <c r="U318" s="1" t="str">
        <f>VLOOKUP($E318,'Product Naming'!$A$1:$P$58,4,FALSE)</f>
        <v>E-S</v>
      </c>
      <c r="V318" s="1" t="str">
        <f>VLOOKUP($E318,'Product Naming'!$A$1:$P$58,5,FALSE)</f>
        <v>C6H6O</v>
      </c>
      <c r="W318" s="1">
        <f>VLOOKUP($E318,'Product Naming'!$A$1:$P$58,6,FALSE)</f>
        <v>6</v>
      </c>
      <c r="X318" s="1">
        <f>VLOOKUP($E318,'Product Naming'!$A$1:$P$58,7,FALSE)</f>
        <v>6</v>
      </c>
      <c r="Y318" s="1">
        <f>VLOOKUP($E318,'Product Naming'!$A$1:$P$58,8,FALSE)</f>
        <v>1</v>
      </c>
      <c r="Z318" s="1">
        <f>VLOOKUP($E318,'Product Naming'!$A$1:$P$58,9,FALSE)</f>
        <v>0</v>
      </c>
      <c r="AA318" s="1">
        <f>VLOOKUP($E318,'Product Naming'!$A$1:$P$58,10,FALSE)</f>
        <v>0</v>
      </c>
      <c r="AB318" s="29">
        <f>VLOOKUP($E318,'Product Naming'!$A$1:$P$58,11,FALSE)</f>
        <v>4.666666666666667</v>
      </c>
      <c r="AC318" s="3">
        <f>VLOOKUP($E318,'Product Naming'!$A$1:$P$58,12,FALSE)</f>
        <v>94.11023999999999</v>
      </c>
      <c r="AD318" s="1">
        <f>VLOOKUP($E318,'Product Naming'!$A$1:$P$58,13,FALSE)</f>
        <v>181.7</v>
      </c>
      <c r="AE318" s="1" t="str">
        <f>VLOOKUP($E318,'Product Naming'!$A$1:$P$58,14,FALSE)</f>
        <v>Aromatic + Alcohol</v>
      </c>
      <c r="AF318" s="1" t="str">
        <f>VLOOKUP($E318,'Product Naming'!$A$1:$P$58,15,FALSE)</f>
        <v>E4P + L-glutamate</v>
      </c>
      <c r="AG318" s="30" t="str">
        <f>VLOOKUP($E318,'Product Naming'!$A$1:$P$58,16,FALSE)</f>
        <v>Proton symporter</v>
      </c>
      <c r="AH318" s="3" t="str">
        <f>VLOOKUP($E318,'Product Naming'!$A$1:$Q$58,17,FALSE)</f>
        <v>phenol_c</v>
      </c>
      <c r="AI318" s="1">
        <f>VLOOKUP($E318,'Product Parameters'!$A$2:$D$59,2,FALSE)</f>
        <v>1</v>
      </c>
      <c r="AJ318" s="1">
        <f>VLOOKUP($E318,'Product Parameters'!$A$2:$D$59,3,FALSE)</f>
        <v>0</v>
      </c>
      <c r="AK318" s="1">
        <f>VLOOKUP($E318,'Product Parameters'!$A$2:$D$59,4,FALSE)</f>
        <v>0.12</v>
      </c>
      <c r="AL318" s="1">
        <f>VLOOKUP($E318,'Product Parameters'!$A$2:$E$59,5,FALSE)</f>
        <v>58.8</v>
      </c>
      <c r="AM318" s="1">
        <f>VLOOKUP($E318,'Product Parameters'!$A$2:$F$59,6,FALSE)</f>
        <v>6</v>
      </c>
      <c r="AN318" s="1">
        <f>VLOOKUP($C318,'Substrate Heating'!$A$2:$C$33,3,FALSE)</f>
        <v>209.92000000000002</v>
      </c>
      <c r="AO318" s="1">
        <f>VLOOKUP($C318,'Substrate Heating'!$A$2:$B$33,2,FALSE)</f>
        <v>10.086540906516333</v>
      </c>
      <c r="AP318" s="1">
        <f>VLOOKUP($C318,'Substrate Heating'!$A$2:$M$33,13,FALSE)</f>
        <v>0.8</v>
      </c>
      <c r="AQ318" s="1">
        <f>VLOOKUP($C318,'Substrate Heating'!$A$2:$M$33,8,FALSE)</f>
        <v>0.8</v>
      </c>
      <c r="AR318" s="1">
        <f t="shared" si="4"/>
        <v>0.29443485763589244</v>
      </c>
    </row>
    <row r="319" spans="1:44" x14ac:dyDescent="0.2">
      <c r="A319" s="17" t="s">
        <v>323</v>
      </c>
      <c r="B319" s="18" t="s">
        <v>324</v>
      </c>
      <c r="C319" t="s">
        <v>334</v>
      </c>
      <c r="D319" s="19" t="s">
        <v>326</v>
      </c>
      <c r="E319" t="s">
        <v>103</v>
      </c>
      <c r="F319" t="s">
        <v>104</v>
      </c>
      <c r="G319">
        <v>-10</v>
      </c>
      <c r="H319">
        <v>0</v>
      </c>
      <c r="I319">
        <v>-5</v>
      </c>
      <c r="J319">
        <v>0.45</v>
      </c>
      <c r="K319">
        <v>-10</v>
      </c>
      <c r="L319">
        <v>0</v>
      </c>
      <c r="M319">
        <v>-5</v>
      </c>
      <c r="N319">
        <v>4.7230769230769196</v>
      </c>
      <c r="O319">
        <v>0.74102564102564095</v>
      </c>
      <c r="P319"/>
      <c r="Q319">
        <v>7.4102564102563995E-2</v>
      </c>
      <c r="R319">
        <v>0.16095541454325099</v>
      </c>
      <c r="S319" s="1" t="str">
        <f>VLOOKUP($E319,'Product Naming'!$A$1:$P$58,2,FALSE)</f>
        <v>3-Methyl-1-Pentanol</v>
      </c>
      <c r="T319" s="1" t="str">
        <f>VLOOKUP($E319,'Product Naming'!$A$1:$P$58,3,FALSE)</f>
        <v>3-Methyl-1-pentanol</v>
      </c>
      <c r="U319" s="1" t="str">
        <f>VLOOKUP($E319,'Product Naming'!$A$1:$P$58,4,FALSE)</f>
        <v>A</v>
      </c>
      <c r="V319" s="1" t="str">
        <f>VLOOKUP($E319,'Product Naming'!$A$1:$P$58,5,FALSE)</f>
        <v>C6H14O</v>
      </c>
      <c r="W319" s="1">
        <f>VLOOKUP($E319,'Product Naming'!$A$1:$P$58,6,FALSE)</f>
        <v>6</v>
      </c>
      <c r="X319" s="1">
        <f>VLOOKUP($E319,'Product Naming'!$A$1:$P$58,7,FALSE)</f>
        <v>14</v>
      </c>
      <c r="Y319" s="1">
        <f>VLOOKUP($E319,'Product Naming'!$A$1:$P$58,8,FALSE)</f>
        <v>1</v>
      </c>
      <c r="Z319" s="1">
        <f>VLOOKUP($E319,'Product Naming'!$A$1:$P$58,9,FALSE)</f>
        <v>0</v>
      </c>
      <c r="AA319" s="1">
        <f>VLOOKUP($E319,'Product Naming'!$A$1:$P$58,10,FALSE)</f>
        <v>0</v>
      </c>
      <c r="AB319" s="29">
        <f>VLOOKUP($E319,'Product Naming'!$A$1:$P$58,11,FALSE)</f>
        <v>6</v>
      </c>
      <c r="AC319" s="3">
        <f>VLOOKUP($E319,'Product Naming'!$A$1:$P$58,12,FALSE)</f>
        <v>102.17295999999999</v>
      </c>
      <c r="AD319" s="1">
        <f>VLOOKUP($E319,'Product Naming'!$A$1:$P$58,13,FALSE)</f>
        <v>153</v>
      </c>
      <c r="AE319" s="1" t="str">
        <f>VLOOKUP($E319,'Product Naming'!$A$1:$P$58,14,FALSE)</f>
        <v>Alcohol</v>
      </c>
      <c r="AF319" s="1" t="str">
        <f>VLOOKUP($E319,'Product Naming'!$A$1:$P$58,15,FALSE)</f>
        <v>Oxaloacetate</v>
      </c>
      <c r="AG319" s="30" t="str">
        <f>VLOOKUP($E319,'Product Naming'!$A$1:$P$58,16,FALSE)</f>
        <v>Proton symporter</v>
      </c>
      <c r="AH319" s="3" t="str">
        <f>VLOOKUP($E319,'Product Naming'!$A$1:$Q$58,17,FALSE)</f>
        <v>3mptoh_c</v>
      </c>
      <c r="AI319" s="1">
        <f>VLOOKUP($E319,'Product Parameters'!$A$2:$D$59,2,FALSE)</f>
        <v>1</v>
      </c>
      <c r="AJ319" s="1">
        <f>VLOOKUP($E319,'Product Parameters'!$A$2:$D$59,3,FALSE)</f>
        <v>0</v>
      </c>
      <c r="AK319" s="1">
        <f>VLOOKUP($E319,'Product Parameters'!$A$2:$D$59,4,FALSE)</f>
        <v>0.12</v>
      </c>
      <c r="AL319" s="1">
        <f>VLOOKUP($E319,'Product Parameters'!$A$2:$E$59,5,FALSE)</f>
        <v>61.7</v>
      </c>
      <c r="AM319" s="1">
        <f>VLOOKUP($E319,'Product Parameters'!$A$2:$F$59,6,FALSE)</f>
        <v>6</v>
      </c>
      <c r="AN319" s="1">
        <f>VLOOKUP($C319,'Substrate Heating'!$A$2:$C$33,3,FALSE)</f>
        <v>249.93333333333334</v>
      </c>
      <c r="AO319" s="1">
        <f>VLOOKUP($C319,'Substrate Heating'!$A$2:$B$33,2,FALSE)</f>
        <v>8.1456827881222953</v>
      </c>
      <c r="AP319" s="1">
        <f>VLOOKUP($C319,'Substrate Heating'!$A$2:$M$33,13,FALSE)</f>
        <v>0.66666666666666663</v>
      </c>
      <c r="AQ319" s="1">
        <f>VLOOKUP($C319,'Substrate Heating'!$A$2:$M$33,8,FALSE)</f>
        <v>0.66666666666666663</v>
      </c>
      <c r="AR319" s="1">
        <f t="shared" si="4"/>
        <v>0.66692307692307595</v>
      </c>
    </row>
    <row r="320" spans="1:44" x14ac:dyDescent="0.2">
      <c r="A320" s="17" t="s">
        <v>323</v>
      </c>
      <c r="B320" s="18" t="s">
        <v>324</v>
      </c>
      <c r="C320" t="s">
        <v>325</v>
      </c>
      <c r="D320" s="19" t="s">
        <v>326</v>
      </c>
      <c r="E320" t="s">
        <v>287</v>
      </c>
      <c r="F320" t="s">
        <v>288</v>
      </c>
      <c r="G320">
        <v>-10</v>
      </c>
      <c r="H320">
        <v>0</v>
      </c>
      <c r="I320">
        <v>0</v>
      </c>
      <c r="J320">
        <v>0.45</v>
      </c>
      <c r="K320">
        <v>-10</v>
      </c>
      <c r="L320">
        <v>0</v>
      </c>
      <c r="M320">
        <v>0</v>
      </c>
      <c r="N320">
        <v>6.875</v>
      </c>
      <c r="O320">
        <v>0.625</v>
      </c>
      <c r="P320"/>
      <c r="Q320">
        <v>6.25E-2</v>
      </c>
      <c r="R320">
        <v>0.16098621028204199</v>
      </c>
      <c r="S320" s="1" t="str">
        <f>VLOOKUP($E320,'Product Naming'!$A$1:$P$58,2,FALSE)</f>
        <v>Pentane</v>
      </c>
      <c r="T320" s="1" t="str">
        <f>VLOOKUP($E320,'Product Naming'!$A$1:$P$58,3,FALSE)</f>
        <v>Pentane</v>
      </c>
      <c r="U320" s="1" t="str">
        <f>VLOOKUP($E320,'Product Naming'!$A$1:$P$58,4,FALSE)</f>
        <v>E</v>
      </c>
      <c r="V320" s="1" t="str">
        <f>VLOOKUP($E320,'Product Naming'!$A$1:$P$58,5,FALSE)</f>
        <v>C5H12</v>
      </c>
      <c r="W320" s="1">
        <f>VLOOKUP($E320,'Product Naming'!$A$1:$P$58,6,FALSE)</f>
        <v>5</v>
      </c>
      <c r="X320" s="1">
        <f>VLOOKUP($E320,'Product Naming'!$A$1:$P$58,7,FALSE)</f>
        <v>12</v>
      </c>
      <c r="Y320" s="1">
        <f>VLOOKUP($E320,'Product Naming'!$A$1:$P$58,8,FALSE)</f>
        <v>0</v>
      </c>
      <c r="Z320" s="1">
        <f>VLOOKUP($E320,'Product Naming'!$A$1:$P$58,9,FALSE)</f>
        <v>0</v>
      </c>
      <c r="AA320" s="1">
        <f>VLOOKUP($E320,'Product Naming'!$A$1:$P$58,10,FALSE)</f>
        <v>0</v>
      </c>
      <c r="AB320" s="29">
        <f>VLOOKUP($E320,'Product Naming'!$A$1:$P$58,11,FALSE)</f>
        <v>6.4</v>
      </c>
      <c r="AC320" s="3">
        <f>VLOOKUP($E320,'Product Naming'!$A$1:$P$58,12,FALSE)</f>
        <v>72.147580000000005</v>
      </c>
      <c r="AD320" s="1">
        <f>VLOOKUP($E320,'Product Naming'!$A$1:$P$58,13,FALSE)</f>
        <v>36.1</v>
      </c>
      <c r="AE320" s="1" t="str">
        <f>VLOOKUP($E320,'Product Naming'!$A$1:$P$58,14,FALSE)</f>
        <v>Hydrocarbon (alkane)</v>
      </c>
      <c r="AF320" s="1" t="str">
        <f>VLOOKUP($E320,'Product Naming'!$A$1:$P$58,15,FALSE)</f>
        <v>Acetyl-CoA</v>
      </c>
      <c r="AG320" s="30" t="str">
        <f>VLOOKUP($E320,'Product Naming'!$A$1:$P$58,16,FALSE)</f>
        <v>Diffusion</v>
      </c>
      <c r="AH320" s="3" t="str">
        <f>VLOOKUP($E320,'Product Naming'!$A$1:$Q$58,17,FALSE)</f>
        <v>pent_c</v>
      </c>
      <c r="AI320" s="1">
        <f>VLOOKUP($E320,'Product Parameters'!$A$2:$D$59,2,FALSE)</f>
        <v>0</v>
      </c>
      <c r="AJ320" s="1">
        <f>VLOOKUP($E320,'Product Parameters'!$A$2:$D$59,3,FALSE)</f>
        <v>1</v>
      </c>
      <c r="AK320" s="1">
        <f>VLOOKUP($E320,'Product Parameters'!$A$2:$D$59,4,FALSE)</f>
        <v>0.12</v>
      </c>
      <c r="AL320" s="1">
        <f>VLOOKUP($E320,'Product Parameters'!$A$2:$E$59,5,FALSE)</f>
        <v>26.5</v>
      </c>
      <c r="AM320" s="1">
        <f>VLOOKUP($E320,'Product Parameters'!$A$2:$F$59,6,FALSE)</f>
        <v>5</v>
      </c>
      <c r="AN320" s="1">
        <f>VLOOKUP($C320,'Substrate Heating'!$A$2:$C$33,3,FALSE)</f>
        <v>280.09700000000004</v>
      </c>
      <c r="AO320" s="1">
        <f>VLOOKUP($C320,'Substrate Heating'!$A$2:$B$33,2,FALSE)</f>
        <v>10</v>
      </c>
      <c r="AP320" s="1">
        <f>VLOOKUP($C320,'Substrate Heating'!$A$2:$M$33,13,FALSE)</f>
        <v>2</v>
      </c>
      <c r="AQ320" s="1">
        <f>VLOOKUP($C320,'Substrate Heating'!$A$2:$M$33,8,FALSE)</f>
        <v>1</v>
      </c>
      <c r="AR320" s="1">
        <f t="shared" si="4"/>
        <v>0.3125</v>
      </c>
    </row>
    <row r="321" spans="1:44" x14ac:dyDescent="0.2">
      <c r="A321" s="17" t="s">
        <v>323</v>
      </c>
      <c r="B321" s="18" t="s">
        <v>324</v>
      </c>
      <c r="C321" t="s">
        <v>329</v>
      </c>
      <c r="D321" s="19" t="s">
        <v>326</v>
      </c>
      <c r="E321" t="s">
        <v>108</v>
      </c>
      <c r="F321" t="s">
        <v>109</v>
      </c>
      <c r="G321">
        <v>-10</v>
      </c>
      <c r="H321">
        <v>0</v>
      </c>
      <c r="I321">
        <v>-20</v>
      </c>
      <c r="J321">
        <v>0.45</v>
      </c>
      <c r="K321">
        <v>-10</v>
      </c>
      <c r="L321">
        <v>0</v>
      </c>
      <c r="M321">
        <v>-17.871559633027498</v>
      </c>
      <c r="N321">
        <v>0</v>
      </c>
      <c r="O321">
        <v>0.42568807339449599</v>
      </c>
      <c r="P321"/>
      <c r="Q321">
        <v>4.2568807339450003E-2</v>
      </c>
      <c r="R321" s="20">
        <v>0.16174950075233999</v>
      </c>
      <c r="S321" s="1" t="str">
        <f>VLOOKUP($E321,'Product Naming'!$A$1:$P$58,2,FALSE)</f>
        <v>4-Hydroxystyrene</v>
      </c>
      <c r="T321" s="1" t="str">
        <f>VLOOKUP($E321,'Product Naming'!$A$1:$P$58,3,FALSE)</f>
        <v>4-Hydroxystyrene</v>
      </c>
      <c r="U321" s="1" t="str">
        <f>VLOOKUP($E321,'Product Naming'!$A$1:$P$58,4,FALSE)</f>
        <v>E</v>
      </c>
      <c r="V321" s="1" t="str">
        <f>VLOOKUP($E321,'Product Naming'!$A$1:$P$58,5,FALSE)</f>
        <v>C8H8O</v>
      </c>
      <c r="W321" s="1">
        <f>VLOOKUP($E321,'Product Naming'!$A$1:$P$58,6,FALSE)</f>
        <v>8</v>
      </c>
      <c r="X321" s="1">
        <f>VLOOKUP($E321,'Product Naming'!$A$1:$P$58,7,FALSE)</f>
        <v>8</v>
      </c>
      <c r="Y321" s="1">
        <f>VLOOKUP($E321,'Product Naming'!$A$1:$P$58,8,FALSE)</f>
        <v>1</v>
      </c>
      <c r="Z321" s="1">
        <f>VLOOKUP($E321,'Product Naming'!$A$1:$P$58,9,FALSE)</f>
        <v>0</v>
      </c>
      <c r="AA321" s="1">
        <f>VLOOKUP($E321,'Product Naming'!$A$1:$P$58,10,FALSE)</f>
        <v>0</v>
      </c>
      <c r="AB321" s="29">
        <f>VLOOKUP($E321,'Product Naming'!$A$1:$P$58,11,FALSE)</f>
        <v>4.75</v>
      </c>
      <c r="AC321" s="3">
        <f>VLOOKUP($E321,'Product Naming'!$A$1:$P$58,12,FALSE)</f>
        <v>120.14731999999999</v>
      </c>
      <c r="AD321" s="1">
        <f>VLOOKUP($E321,'Product Naming'!$A$1:$P$58,13,FALSE)</f>
        <v>229</v>
      </c>
      <c r="AE321" s="1" t="str">
        <f>VLOOKUP($E321,'Product Naming'!$A$1:$P$58,14,FALSE)</f>
        <v>Aromatic + Alcohol</v>
      </c>
      <c r="AF321" s="1" t="str">
        <f>VLOOKUP($E321,'Product Naming'!$A$1:$P$58,15,FALSE)</f>
        <v>E4P + L-glutamate</v>
      </c>
      <c r="AG321" s="30" t="str">
        <f>VLOOKUP($E321,'Product Naming'!$A$1:$P$58,16,FALSE)</f>
        <v>Proton symporter</v>
      </c>
      <c r="AH321" s="3" t="str">
        <f>VLOOKUP($E321,'Product Naming'!$A$1:$Q$58,17,FALSE)</f>
        <v>4hxst_c</v>
      </c>
      <c r="AI321" s="1">
        <f>VLOOKUP($E321,'Product Parameters'!$A$2:$D$59,2,FALSE)</f>
        <v>1</v>
      </c>
      <c r="AJ321" s="1">
        <f>VLOOKUP($E321,'Product Parameters'!$A$2:$D$59,3,FALSE)</f>
        <v>0</v>
      </c>
      <c r="AK321" s="1">
        <f>VLOOKUP($E321,'Product Parameters'!$A$2:$D$59,4,FALSE)</f>
        <v>0.12</v>
      </c>
      <c r="AL321" s="1">
        <f>VLOOKUP($E321,'Product Parameters'!$A$2:$E$59,5,FALSE)</f>
        <v>40.65</v>
      </c>
      <c r="AM321" s="1">
        <f>VLOOKUP($E321,'Product Parameters'!$A$2:$F$59,6,FALSE)</f>
        <v>8</v>
      </c>
      <c r="AN321" s="1">
        <f>VLOOKUP($C321,'Substrate Heating'!$A$2:$C$33,3,FALSE)</f>
        <v>255.53333333333336</v>
      </c>
      <c r="AO321" s="1">
        <f>VLOOKUP($C321,'Substrate Heating'!$A$2:$B$33,2,FALSE)</f>
        <v>23.925550527978785</v>
      </c>
      <c r="AP321" s="1">
        <f>VLOOKUP($C321,'Substrate Heating'!$A$2:$M$33,13,FALSE)</f>
        <v>0.66666666666666663</v>
      </c>
      <c r="AQ321" s="1">
        <f>VLOOKUP($C321,'Substrate Heating'!$A$2:$M$33,8,FALSE)</f>
        <v>0.33333333333333331</v>
      </c>
      <c r="AR321" s="1">
        <f t="shared" si="4"/>
        <v>1.0216513761468002</v>
      </c>
    </row>
    <row r="322" spans="1:44" x14ac:dyDescent="0.2">
      <c r="A322" s="17" t="s">
        <v>323</v>
      </c>
      <c r="B322" s="18" t="s">
        <v>324</v>
      </c>
      <c r="C322" t="s">
        <v>325</v>
      </c>
      <c r="D322" s="19" t="s">
        <v>326</v>
      </c>
      <c r="E322" t="s">
        <v>236</v>
      </c>
      <c r="F322" t="s">
        <v>237</v>
      </c>
      <c r="G322">
        <v>-10</v>
      </c>
      <c r="H322">
        <v>0</v>
      </c>
      <c r="I322">
        <v>0</v>
      </c>
      <c r="J322">
        <v>0.45</v>
      </c>
      <c r="K322">
        <v>-10</v>
      </c>
      <c r="L322">
        <v>0</v>
      </c>
      <c r="M322">
        <v>0</v>
      </c>
      <c r="N322">
        <v>6.8421052631579</v>
      </c>
      <c r="O322">
        <v>0.52631578947368396</v>
      </c>
      <c r="P322"/>
      <c r="Q322">
        <v>5.2631578947368397E-2</v>
      </c>
      <c r="R322">
        <v>0.161923298070238</v>
      </c>
      <c r="S322" s="1" t="str">
        <f>VLOOKUP($E322,'Product Naming'!$A$1:$P$58,2,FALSE)</f>
        <v>Hexane</v>
      </c>
      <c r="T322" s="1" t="str">
        <f>VLOOKUP($E322,'Product Naming'!$A$1:$P$58,3,FALSE)</f>
        <v>Hexane</v>
      </c>
      <c r="U322" s="1" t="str">
        <f>VLOOKUP($E322,'Product Naming'!$A$1:$P$58,4,FALSE)</f>
        <v>E</v>
      </c>
      <c r="V322" s="1" t="str">
        <f>VLOOKUP($E322,'Product Naming'!$A$1:$P$58,5,FALSE)</f>
        <v>C6H14</v>
      </c>
      <c r="W322" s="1">
        <f>VLOOKUP($E322,'Product Naming'!$A$1:$P$58,6,FALSE)</f>
        <v>6</v>
      </c>
      <c r="X322" s="1">
        <f>VLOOKUP($E322,'Product Naming'!$A$1:$P$58,7,FALSE)</f>
        <v>14</v>
      </c>
      <c r="Y322" s="1">
        <f>VLOOKUP($E322,'Product Naming'!$A$1:$P$58,8,FALSE)</f>
        <v>0</v>
      </c>
      <c r="Z322" s="1">
        <f>VLOOKUP($E322,'Product Naming'!$A$1:$P$58,9,FALSE)</f>
        <v>0</v>
      </c>
      <c r="AA322" s="1">
        <f>VLOOKUP($E322,'Product Naming'!$A$1:$P$58,10,FALSE)</f>
        <v>0</v>
      </c>
      <c r="AB322" s="29">
        <f>VLOOKUP($E322,'Product Naming'!$A$1:$P$58,11,FALSE)</f>
        <v>6.333333333333333</v>
      </c>
      <c r="AC322" s="3">
        <f>VLOOKUP($E322,'Product Naming'!$A$1:$P$58,12,FALSE)</f>
        <v>86.173959999999994</v>
      </c>
      <c r="AD322" s="1">
        <f>VLOOKUP($E322,'Product Naming'!$A$1:$P$58,13,FALSE)</f>
        <v>69</v>
      </c>
      <c r="AE322" s="1" t="str">
        <f>VLOOKUP($E322,'Product Naming'!$A$1:$P$58,14,FALSE)</f>
        <v>Hydrocarbon (alkane)</v>
      </c>
      <c r="AF322" s="1" t="str">
        <f>VLOOKUP($E322,'Product Naming'!$A$1:$P$58,15,FALSE)</f>
        <v>Acetyl-CoA + Succinyl-CoA</v>
      </c>
      <c r="AG322" s="30" t="str">
        <f>VLOOKUP($E322,'Product Naming'!$A$1:$P$58,16,FALSE)</f>
        <v>Proton symporter</v>
      </c>
      <c r="AH322" s="3" t="str">
        <f>VLOOKUP($E322,'Product Naming'!$A$1:$Q$58,17,FALSE)</f>
        <v>hex_c</v>
      </c>
      <c r="AI322" s="1">
        <f>VLOOKUP($E322,'Product Parameters'!$A$2:$D$59,2,FALSE)</f>
        <v>1</v>
      </c>
      <c r="AJ322" s="1">
        <f>VLOOKUP($E322,'Product Parameters'!$A$2:$D$59,3,FALSE)</f>
        <v>0</v>
      </c>
      <c r="AK322" s="1">
        <f>VLOOKUP($E322,'Product Parameters'!$A$2:$D$59,4,FALSE)</f>
        <v>0.12</v>
      </c>
      <c r="AL322" s="1">
        <f>VLOOKUP($E322,'Product Parameters'!$A$2:$E$59,5,FALSE)</f>
        <v>31</v>
      </c>
      <c r="AM322" s="1">
        <f>VLOOKUP($E322,'Product Parameters'!$A$2:$F$59,6,FALSE)</f>
        <v>6</v>
      </c>
      <c r="AN322" s="1">
        <f>VLOOKUP($C322,'Substrate Heating'!$A$2:$C$33,3,FALSE)</f>
        <v>280.09700000000004</v>
      </c>
      <c r="AO322" s="1">
        <f>VLOOKUP($C322,'Substrate Heating'!$A$2:$B$33,2,FALSE)</f>
        <v>10</v>
      </c>
      <c r="AP322" s="1">
        <f>VLOOKUP($C322,'Substrate Heating'!$A$2:$M$33,13,FALSE)</f>
        <v>2</v>
      </c>
      <c r="AQ322" s="1">
        <f>VLOOKUP($C322,'Substrate Heating'!$A$2:$M$33,8,FALSE)</f>
        <v>1</v>
      </c>
      <c r="AR322" s="1">
        <f t="shared" si="4"/>
        <v>0.3157894736842104</v>
      </c>
    </row>
    <row r="323" spans="1:44" x14ac:dyDescent="0.2">
      <c r="A323" s="17" t="s">
        <v>185</v>
      </c>
      <c r="B323" s="9" t="s">
        <v>35</v>
      </c>
      <c r="C323" t="s">
        <v>339</v>
      </c>
      <c r="D323" s="23" t="s">
        <v>338</v>
      </c>
      <c r="E323" t="s">
        <v>186</v>
      </c>
      <c r="F323" t="s">
        <v>187</v>
      </c>
      <c r="G323">
        <v>-10</v>
      </c>
      <c r="H323">
        <v>-20</v>
      </c>
      <c r="I323" s="1" t="s">
        <v>40</v>
      </c>
      <c r="J323">
        <v>3.15</v>
      </c>
      <c r="K323">
        <v>-10</v>
      </c>
      <c r="L323">
        <v>-3.2225000000000001</v>
      </c>
      <c r="M323" s="1" t="s">
        <v>40</v>
      </c>
      <c r="N323">
        <v>7.63</v>
      </c>
      <c r="O323">
        <v>0.39500000000000002</v>
      </c>
      <c r="P323"/>
      <c r="Q323">
        <v>3.9500000000000098E-2</v>
      </c>
      <c r="R323">
        <v>0.16227183812155699</v>
      </c>
      <c r="S323" s="1" t="str">
        <f>VLOOKUP($E323,'Product Naming'!$A$1:$P$58,2,FALSE)</f>
        <v>Citrate</v>
      </c>
      <c r="T323" s="1" t="str">
        <f>VLOOKUP($E323,'Product Naming'!$A$1:$P$58,3,FALSE)</f>
        <v>Citrate</v>
      </c>
      <c r="U323" s="1" t="str">
        <f>VLOOKUP($E323,'Product Naming'!$A$1:$P$58,4,FALSE)</f>
        <v>iJO1366</v>
      </c>
      <c r="V323" s="1" t="str">
        <f>VLOOKUP($E323,'Product Naming'!$A$1:$P$58,5,FALSE)</f>
        <v>C6H5O7</v>
      </c>
      <c r="W323" s="1">
        <f>VLOOKUP($E323,'Product Naming'!$A$1:$P$58,6,FALSE)</f>
        <v>6</v>
      </c>
      <c r="X323" s="1">
        <f>VLOOKUP($E323,'Product Naming'!$A$1:$P$58,7,FALSE)</f>
        <v>5</v>
      </c>
      <c r="Y323" s="1">
        <f>VLOOKUP($E323,'Product Naming'!$A$1:$P$58,8,FALSE)</f>
        <v>7</v>
      </c>
      <c r="Z323" s="1">
        <f>VLOOKUP($E323,'Product Naming'!$A$1:$P$58,9,FALSE)</f>
        <v>0</v>
      </c>
      <c r="AA323" s="1">
        <f>VLOOKUP($E323,'Product Naming'!$A$1:$P$58,10,FALSE)</f>
        <v>-3</v>
      </c>
      <c r="AB323" s="29">
        <f>VLOOKUP($E323,'Product Naming'!$A$1:$P$58,11,FALSE)</f>
        <v>2.5</v>
      </c>
      <c r="AC323" s="3">
        <f>VLOOKUP($E323,'Product Naming'!$A$1:$P$58,12,FALSE)</f>
        <v>189.09640000000002</v>
      </c>
      <c r="AD323" s="1" t="str">
        <f>VLOOKUP($E323,'Product Naming'!$A$1:$P$58,13,FALSE)</f>
        <v>NA</v>
      </c>
      <c r="AE323" s="1" t="str">
        <f>VLOOKUP($E323,'Product Naming'!$A$1:$P$58,14,FALSE)</f>
        <v>Tricarboxylate + Alcohol</v>
      </c>
      <c r="AF323" s="1" t="str">
        <f>VLOOKUP($E323,'Product Naming'!$A$1:$P$58,15,FALSE)</f>
        <v>Acetyl-CoA</v>
      </c>
      <c r="AG323" s="30" t="str">
        <f>VLOOKUP($E323,'Product Naming'!$A$1:$P$58,16,FALSE)</f>
        <v>Proton antiport</v>
      </c>
      <c r="AH323" s="3" t="str">
        <f>VLOOKUP($E323,'Product Naming'!$A$1:$Q$58,17,FALSE)</f>
        <v>cit_c</v>
      </c>
      <c r="AI323" s="1">
        <f>VLOOKUP($E323,'Product Parameters'!$A$2:$D$59,2,FALSE)</f>
        <v>1</v>
      </c>
      <c r="AJ323" s="1">
        <f>VLOOKUP($E323,'Product Parameters'!$A$2:$D$59,3,FALSE)</f>
        <v>0</v>
      </c>
      <c r="AK323" s="1">
        <f>VLOOKUP($E323,'Product Parameters'!$A$2:$D$59,4,FALSE)</f>
        <v>0.12</v>
      </c>
      <c r="AL323" s="1">
        <f>VLOOKUP($E323,'Product Parameters'!$A$2:$E$59,5,FALSE)</f>
        <v>40.65</v>
      </c>
      <c r="AM323" s="1">
        <f>VLOOKUP($E323,'Product Parameters'!$A$2:$F$59,6,FALSE)</f>
        <v>6</v>
      </c>
      <c r="AN323" s="1">
        <f>VLOOKUP($C323,'Substrate Heating'!$A$2:$C$33,3,FALSE)</f>
        <v>247.59097</v>
      </c>
      <c r="AO323" s="1">
        <f>VLOOKUP($C323,'Substrate Heating'!$A$2:$B$33,2,FALSE)</f>
        <v>5.5</v>
      </c>
      <c r="AP323" s="1">
        <f>VLOOKUP($C323,'Substrate Heating'!$A$2:$M$33,13,FALSE)</f>
        <v>1</v>
      </c>
      <c r="AQ323" s="1">
        <f>VLOOKUP($C323,'Substrate Heating'!$A$2:$M$33,8,FALSE)</f>
        <v>1</v>
      </c>
      <c r="AR323" s="1">
        <f t="shared" ref="AR323:AR386" si="5">Q323*W323/AQ323</f>
        <v>0.2370000000000006</v>
      </c>
    </row>
    <row r="324" spans="1:44" x14ac:dyDescent="0.2">
      <c r="A324" s="17" t="s">
        <v>323</v>
      </c>
      <c r="B324" s="18" t="s">
        <v>324</v>
      </c>
      <c r="C324" t="s">
        <v>325</v>
      </c>
      <c r="D324" s="19" t="s">
        <v>326</v>
      </c>
      <c r="E324" t="s">
        <v>232</v>
      </c>
      <c r="F324" t="s">
        <v>233</v>
      </c>
      <c r="G324">
        <v>-10</v>
      </c>
      <c r="H324">
        <v>0</v>
      </c>
      <c r="I324">
        <v>0</v>
      </c>
      <c r="J324">
        <v>0.45</v>
      </c>
      <c r="K324">
        <v>-10</v>
      </c>
      <c r="L324">
        <v>0</v>
      </c>
      <c r="M324">
        <v>0</v>
      </c>
      <c r="N324">
        <v>6.8181818181818201</v>
      </c>
      <c r="O324">
        <v>0.45454545454545398</v>
      </c>
      <c r="P324"/>
      <c r="Q324">
        <v>4.54545454545454E-2</v>
      </c>
      <c r="R324">
        <v>0.16260481646165301</v>
      </c>
      <c r="S324" s="1" t="str">
        <f>VLOOKUP($E324,'Product Naming'!$A$1:$P$58,2,FALSE)</f>
        <v>Heptane</v>
      </c>
      <c r="T324" s="1" t="str">
        <f>VLOOKUP($E324,'Product Naming'!$A$1:$P$58,3,FALSE)</f>
        <v>Heptane</v>
      </c>
      <c r="U324" s="1" t="str">
        <f>VLOOKUP($E324,'Product Naming'!$A$1:$P$58,4,FALSE)</f>
        <v>E</v>
      </c>
      <c r="V324" s="1" t="str">
        <f>VLOOKUP($E324,'Product Naming'!$A$1:$P$58,5,FALSE)</f>
        <v>C7H16</v>
      </c>
      <c r="W324" s="1">
        <f>VLOOKUP($E324,'Product Naming'!$A$1:$P$58,6,FALSE)</f>
        <v>7</v>
      </c>
      <c r="X324" s="1">
        <f>VLOOKUP($E324,'Product Naming'!$A$1:$P$58,7,FALSE)</f>
        <v>16</v>
      </c>
      <c r="Y324" s="1">
        <f>VLOOKUP($E324,'Product Naming'!$A$1:$P$58,8,FALSE)</f>
        <v>0</v>
      </c>
      <c r="Z324" s="1">
        <f>VLOOKUP($E324,'Product Naming'!$A$1:$P$58,9,FALSE)</f>
        <v>0</v>
      </c>
      <c r="AA324" s="1">
        <f>VLOOKUP($E324,'Product Naming'!$A$1:$P$58,10,FALSE)</f>
        <v>0</v>
      </c>
      <c r="AB324" s="29">
        <f>VLOOKUP($E324,'Product Naming'!$A$1:$P$58,11,FALSE)</f>
        <v>6.2857142857142856</v>
      </c>
      <c r="AC324" s="3">
        <f>VLOOKUP($E324,'Product Naming'!$A$1:$P$58,12,FALSE)</f>
        <v>100.20034</v>
      </c>
      <c r="AD324" s="1">
        <f>VLOOKUP($E324,'Product Naming'!$A$1:$P$58,13,FALSE)</f>
        <v>98</v>
      </c>
      <c r="AE324" s="1" t="str">
        <f>VLOOKUP($E324,'Product Naming'!$A$1:$P$58,14,FALSE)</f>
        <v>Hydrocarbon (alkane)</v>
      </c>
      <c r="AF324" s="1" t="str">
        <f>VLOOKUP($E324,'Product Naming'!$A$1:$P$58,15,FALSE)</f>
        <v>Acetyl-CoA</v>
      </c>
      <c r="AG324" s="30" t="str">
        <f>VLOOKUP($E324,'Product Naming'!$A$1:$P$58,16,FALSE)</f>
        <v>Proton symporter</v>
      </c>
      <c r="AH324" s="3" t="str">
        <f>VLOOKUP($E324,'Product Naming'!$A$1:$Q$58,17,FALSE)</f>
        <v>hept_c</v>
      </c>
      <c r="AI324" s="1">
        <f>VLOOKUP($E324,'Product Parameters'!$A$2:$D$59,2,FALSE)</f>
        <v>1</v>
      </c>
      <c r="AJ324" s="1">
        <f>VLOOKUP($E324,'Product Parameters'!$A$2:$D$59,3,FALSE)</f>
        <v>0</v>
      </c>
      <c r="AK324" s="1">
        <f>VLOOKUP($E324,'Product Parameters'!$A$2:$D$59,4,FALSE)</f>
        <v>0.12</v>
      </c>
      <c r="AL324" s="1">
        <f>VLOOKUP($E324,'Product Parameters'!$A$2:$E$59,5,FALSE)</f>
        <v>36</v>
      </c>
      <c r="AM324" s="1">
        <f>VLOOKUP($E324,'Product Parameters'!$A$2:$F$59,6,FALSE)</f>
        <v>7</v>
      </c>
      <c r="AN324" s="1">
        <f>VLOOKUP($C324,'Substrate Heating'!$A$2:$C$33,3,FALSE)</f>
        <v>280.09700000000004</v>
      </c>
      <c r="AO324" s="1">
        <f>VLOOKUP($C324,'Substrate Heating'!$A$2:$B$33,2,FALSE)</f>
        <v>10</v>
      </c>
      <c r="AP324" s="1">
        <f>VLOOKUP($C324,'Substrate Heating'!$A$2:$M$33,13,FALSE)</f>
        <v>2</v>
      </c>
      <c r="AQ324" s="1">
        <f>VLOOKUP($C324,'Substrate Heating'!$A$2:$M$33,8,FALSE)</f>
        <v>1</v>
      </c>
      <c r="AR324" s="1">
        <f t="shared" si="5"/>
        <v>0.31818181818181779</v>
      </c>
    </row>
    <row r="325" spans="1:44" x14ac:dyDescent="0.2">
      <c r="A325" s="17" t="s">
        <v>323</v>
      </c>
      <c r="B325" s="18" t="s">
        <v>324</v>
      </c>
      <c r="C325" t="s">
        <v>325</v>
      </c>
      <c r="D325" s="19" t="s">
        <v>326</v>
      </c>
      <c r="E325" t="s">
        <v>283</v>
      </c>
      <c r="F325" t="s">
        <v>284</v>
      </c>
      <c r="G325">
        <v>-10</v>
      </c>
      <c r="H325">
        <v>0</v>
      </c>
      <c r="I325">
        <v>0</v>
      </c>
      <c r="J325">
        <v>0.45</v>
      </c>
      <c r="K325">
        <v>-10</v>
      </c>
      <c r="L325">
        <v>0</v>
      </c>
      <c r="M325">
        <v>0</v>
      </c>
      <c r="N325">
        <v>6.8</v>
      </c>
      <c r="O325">
        <v>0.4</v>
      </c>
      <c r="P325"/>
      <c r="Q325">
        <v>0.04</v>
      </c>
      <c r="R325">
        <v>0.16312277043912901</v>
      </c>
      <c r="S325" s="1" t="str">
        <f>VLOOKUP($E325,'Product Naming'!$A$1:$P$58,2,FALSE)</f>
        <v>Octane</v>
      </c>
      <c r="T325" s="1" t="str">
        <f>VLOOKUP($E325,'Product Naming'!$A$1:$P$58,3,FALSE)</f>
        <v>Octane</v>
      </c>
      <c r="U325" s="1" t="str">
        <f>VLOOKUP($E325,'Product Naming'!$A$1:$P$58,4,FALSE)</f>
        <v>E</v>
      </c>
      <c r="V325" s="1" t="str">
        <f>VLOOKUP($E325,'Product Naming'!$A$1:$P$58,5,FALSE)</f>
        <v>C8H18</v>
      </c>
      <c r="W325" s="1">
        <f>VLOOKUP($E325,'Product Naming'!$A$1:$P$58,6,FALSE)</f>
        <v>8</v>
      </c>
      <c r="X325" s="1">
        <f>VLOOKUP($E325,'Product Naming'!$A$1:$P$58,7,FALSE)</f>
        <v>18</v>
      </c>
      <c r="Y325" s="1">
        <f>VLOOKUP($E325,'Product Naming'!$A$1:$P$58,8,FALSE)</f>
        <v>0</v>
      </c>
      <c r="Z325" s="1">
        <f>VLOOKUP($E325,'Product Naming'!$A$1:$P$58,9,FALSE)</f>
        <v>0</v>
      </c>
      <c r="AA325" s="1">
        <f>VLOOKUP($E325,'Product Naming'!$A$1:$P$58,10,FALSE)</f>
        <v>0</v>
      </c>
      <c r="AB325" s="29">
        <f>VLOOKUP($E325,'Product Naming'!$A$1:$P$58,11,FALSE)</f>
        <v>6.25</v>
      </c>
      <c r="AC325" s="3">
        <f>VLOOKUP($E325,'Product Naming'!$A$1:$P$58,12,FALSE)</f>
        <v>114.22672</v>
      </c>
      <c r="AD325" s="1">
        <f>VLOOKUP($E325,'Product Naming'!$A$1:$P$58,13,FALSE)</f>
        <v>126</v>
      </c>
      <c r="AE325" s="1" t="str">
        <f>VLOOKUP($E325,'Product Naming'!$A$1:$P$58,14,FALSE)</f>
        <v>Hydrocarbon (alkane)</v>
      </c>
      <c r="AF325" s="1" t="str">
        <f>VLOOKUP($E325,'Product Naming'!$A$1:$P$58,15,FALSE)</f>
        <v>Acetyl-CoA + Succinyl-CoA</v>
      </c>
      <c r="AG325" s="30" t="str">
        <f>VLOOKUP($E325,'Product Naming'!$A$1:$P$58,16,FALSE)</f>
        <v>Proton symporter</v>
      </c>
      <c r="AH325" s="3" t="str">
        <f>VLOOKUP($E325,'Product Naming'!$A$1:$Q$58,17,FALSE)</f>
        <v>octn_c</v>
      </c>
      <c r="AI325" s="1">
        <f>VLOOKUP($E325,'Product Parameters'!$A$2:$D$59,2,FALSE)</f>
        <v>1</v>
      </c>
      <c r="AJ325" s="1">
        <f>VLOOKUP($E325,'Product Parameters'!$A$2:$D$59,3,FALSE)</f>
        <v>0</v>
      </c>
      <c r="AK325" s="1">
        <f>VLOOKUP($E325,'Product Parameters'!$A$2:$D$59,4,FALSE)</f>
        <v>0.12</v>
      </c>
      <c r="AL325" s="1">
        <f>VLOOKUP($E325,'Product Parameters'!$A$2:$E$59,5,FALSE)</f>
        <v>41</v>
      </c>
      <c r="AM325" s="1">
        <f>VLOOKUP($E325,'Product Parameters'!$A$2:$F$59,6,FALSE)</f>
        <v>8</v>
      </c>
      <c r="AN325" s="1">
        <f>VLOOKUP($C325,'Substrate Heating'!$A$2:$C$33,3,FALSE)</f>
        <v>280.09700000000004</v>
      </c>
      <c r="AO325" s="1">
        <f>VLOOKUP($C325,'Substrate Heating'!$A$2:$B$33,2,FALSE)</f>
        <v>10</v>
      </c>
      <c r="AP325" s="1">
        <f>VLOOKUP($C325,'Substrate Heating'!$A$2:$M$33,13,FALSE)</f>
        <v>2</v>
      </c>
      <c r="AQ325" s="1">
        <f>VLOOKUP($C325,'Substrate Heating'!$A$2:$M$33,8,FALSE)</f>
        <v>1</v>
      </c>
      <c r="AR325" s="1">
        <f t="shared" si="5"/>
        <v>0.32</v>
      </c>
    </row>
    <row r="326" spans="1:44" x14ac:dyDescent="0.2">
      <c r="A326" s="17" t="s">
        <v>323</v>
      </c>
      <c r="B326" s="18" t="s">
        <v>324</v>
      </c>
      <c r="C326" t="s">
        <v>325</v>
      </c>
      <c r="D326" s="19" t="s">
        <v>326</v>
      </c>
      <c r="E326" t="s">
        <v>279</v>
      </c>
      <c r="F326" t="s">
        <v>280</v>
      </c>
      <c r="G326">
        <v>-10</v>
      </c>
      <c r="H326">
        <v>0</v>
      </c>
      <c r="I326">
        <v>0</v>
      </c>
      <c r="J326">
        <v>0.45</v>
      </c>
      <c r="K326">
        <v>-10</v>
      </c>
      <c r="L326">
        <v>0</v>
      </c>
      <c r="M326">
        <v>0</v>
      </c>
      <c r="N326">
        <v>6.7857142857142803</v>
      </c>
      <c r="O326">
        <v>0.35714285714285698</v>
      </c>
      <c r="P326"/>
      <c r="Q326">
        <v>3.5714285714285698E-2</v>
      </c>
      <c r="R326">
        <v>0.16352973427857401</v>
      </c>
      <c r="S326" s="1" t="str">
        <f>VLOOKUP($E326,'Product Naming'!$A$1:$P$58,2,FALSE)</f>
        <v>Nonane</v>
      </c>
      <c r="T326" s="1" t="str">
        <f>VLOOKUP($E326,'Product Naming'!$A$1:$P$58,3,FALSE)</f>
        <v>Nonane</v>
      </c>
      <c r="U326" s="1" t="str">
        <f>VLOOKUP($E326,'Product Naming'!$A$1:$P$58,4,FALSE)</f>
        <v>E</v>
      </c>
      <c r="V326" s="1" t="str">
        <f>VLOOKUP($E326,'Product Naming'!$A$1:$P$58,5,FALSE)</f>
        <v>C9H20</v>
      </c>
      <c r="W326" s="1">
        <f>VLOOKUP($E326,'Product Naming'!$A$1:$P$58,6,FALSE)</f>
        <v>9</v>
      </c>
      <c r="X326" s="1">
        <f>VLOOKUP($E326,'Product Naming'!$A$1:$P$58,7,FALSE)</f>
        <v>20</v>
      </c>
      <c r="Y326" s="1">
        <f>VLOOKUP($E326,'Product Naming'!$A$1:$P$58,8,FALSE)</f>
        <v>0</v>
      </c>
      <c r="Z326" s="1">
        <f>VLOOKUP($E326,'Product Naming'!$A$1:$P$58,9,FALSE)</f>
        <v>0</v>
      </c>
      <c r="AA326" s="1">
        <f>VLOOKUP($E326,'Product Naming'!$A$1:$P$58,10,FALSE)</f>
        <v>0</v>
      </c>
      <c r="AB326" s="29">
        <f>VLOOKUP($E326,'Product Naming'!$A$1:$P$58,11,FALSE)</f>
        <v>6.2222222222222223</v>
      </c>
      <c r="AC326" s="3">
        <f>VLOOKUP($E326,'Product Naming'!$A$1:$P$58,12,FALSE)</f>
        <v>128.25309999999999</v>
      </c>
      <c r="AD326" s="1">
        <f>VLOOKUP($E326,'Product Naming'!$A$1:$P$58,13,FALSE)</f>
        <v>151</v>
      </c>
      <c r="AE326" s="1" t="str">
        <f>VLOOKUP($E326,'Product Naming'!$A$1:$P$58,14,FALSE)</f>
        <v>Hydrocarbon (alkane)</v>
      </c>
      <c r="AF326" s="1" t="str">
        <f>VLOOKUP($E326,'Product Naming'!$A$1:$P$58,15,FALSE)</f>
        <v>Acetyl-CoA</v>
      </c>
      <c r="AG326" s="30" t="str">
        <f>VLOOKUP($E326,'Product Naming'!$A$1:$P$58,16,FALSE)</f>
        <v>Proton symporter</v>
      </c>
      <c r="AH326" s="3" t="str">
        <f>VLOOKUP($E326,'Product Naming'!$A$1:$Q$58,17,FALSE)</f>
        <v>nonan_c</v>
      </c>
      <c r="AI326" s="1">
        <f>VLOOKUP($E326,'Product Parameters'!$A$2:$D$59,2,FALSE)</f>
        <v>1</v>
      </c>
      <c r="AJ326" s="1">
        <f>VLOOKUP($E326,'Product Parameters'!$A$2:$D$59,3,FALSE)</f>
        <v>0</v>
      </c>
      <c r="AK326" s="1">
        <f>VLOOKUP($E326,'Product Parameters'!$A$2:$D$59,4,FALSE)</f>
        <v>0.12</v>
      </c>
      <c r="AL326" s="1">
        <f>VLOOKUP($E326,'Product Parameters'!$A$2:$E$59,5,FALSE)</f>
        <v>46.5</v>
      </c>
      <c r="AM326" s="1">
        <f>VLOOKUP($E326,'Product Parameters'!$A$2:$F$59,6,FALSE)</f>
        <v>9</v>
      </c>
      <c r="AN326" s="1">
        <f>VLOOKUP($C326,'Substrate Heating'!$A$2:$C$33,3,FALSE)</f>
        <v>280.09700000000004</v>
      </c>
      <c r="AO326" s="1">
        <f>VLOOKUP($C326,'Substrate Heating'!$A$2:$B$33,2,FALSE)</f>
        <v>10</v>
      </c>
      <c r="AP326" s="1">
        <f>VLOOKUP($C326,'Substrate Heating'!$A$2:$M$33,13,FALSE)</f>
        <v>2</v>
      </c>
      <c r="AQ326" s="1">
        <f>VLOOKUP($C326,'Substrate Heating'!$A$2:$M$33,8,FALSE)</f>
        <v>1</v>
      </c>
      <c r="AR326" s="1">
        <f t="shared" si="5"/>
        <v>0.32142857142857129</v>
      </c>
    </row>
    <row r="327" spans="1:44" x14ac:dyDescent="0.2">
      <c r="A327" s="17" t="s">
        <v>185</v>
      </c>
      <c r="B327" s="9" t="s">
        <v>35</v>
      </c>
      <c r="C327" t="s">
        <v>339</v>
      </c>
      <c r="D327" s="23" t="s">
        <v>338</v>
      </c>
      <c r="E327" t="s">
        <v>269</v>
      </c>
      <c r="F327" t="s">
        <v>270</v>
      </c>
      <c r="G327">
        <v>-10</v>
      </c>
      <c r="H327">
        <v>-20</v>
      </c>
      <c r="I327" s="1" t="s">
        <v>40</v>
      </c>
      <c r="J327">
        <v>3.15</v>
      </c>
      <c r="K327">
        <v>-10</v>
      </c>
      <c r="L327">
        <v>-3.2867469879518101</v>
      </c>
      <c r="M327" s="1" t="s">
        <v>40</v>
      </c>
      <c r="N327">
        <v>7.7156626506024102</v>
      </c>
      <c r="O327">
        <v>0.57108433734939901</v>
      </c>
      <c r="P327"/>
      <c r="Q327">
        <v>5.7108433734939901E-2</v>
      </c>
      <c r="R327">
        <v>0.16385679806666101</v>
      </c>
      <c r="S327" s="1" t="str">
        <f>VLOOKUP($E327,'Product Naming'!$A$1:$P$58,2,FALSE)</f>
        <v>Malate_L</v>
      </c>
      <c r="T327" s="1" t="str">
        <f>VLOOKUP($E327,'Product Naming'!$A$1:$P$58,3,FALSE)</f>
        <v>L-Malate</v>
      </c>
      <c r="U327" s="1" t="str">
        <f>VLOOKUP($E327,'Product Naming'!$A$1:$P$58,4,FALSE)</f>
        <v>iJO1366</v>
      </c>
      <c r="V327" s="1" t="str">
        <f>VLOOKUP($E327,'Product Naming'!$A$1:$P$58,5,FALSE)</f>
        <v>C4H4O5</v>
      </c>
      <c r="W327" s="1">
        <f>VLOOKUP($E327,'Product Naming'!$A$1:$P$58,6,FALSE)</f>
        <v>4</v>
      </c>
      <c r="X327" s="1">
        <f>VLOOKUP($E327,'Product Naming'!$A$1:$P$58,7,FALSE)</f>
        <v>4</v>
      </c>
      <c r="Y327" s="1">
        <f>VLOOKUP($E327,'Product Naming'!$A$1:$P$58,8,FALSE)</f>
        <v>5</v>
      </c>
      <c r="Z327" s="1">
        <f>VLOOKUP($E327,'Product Naming'!$A$1:$P$58,9,FALSE)</f>
        <v>0</v>
      </c>
      <c r="AA327" s="1">
        <f>VLOOKUP($E327,'Product Naming'!$A$1:$P$58,10,FALSE)</f>
        <v>-2</v>
      </c>
      <c r="AB327" s="29">
        <f>VLOOKUP($E327,'Product Naming'!$A$1:$P$58,11,FALSE)</f>
        <v>2.5</v>
      </c>
      <c r="AC327" s="3">
        <f>VLOOKUP($E327,'Product Naming'!$A$1:$P$58,12,FALSE)</f>
        <v>132.06916000000001</v>
      </c>
      <c r="AD327" s="1" t="str">
        <f>VLOOKUP($E327,'Product Naming'!$A$1:$P$58,13,FALSE)</f>
        <v>NA</v>
      </c>
      <c r="AE327" s="1" t="str">
        <f>VLOOKUP($E327,'Product Naming'!$A$1:$P$58,14,FALSE)</f>
        <v>Dicarboxylate</v>
      </c>
      <c r="AF327" s="1" t="str">
        <f>VLOOKUP($E327,'Product Naming'!$A$1:$P$58,15,FALSE)</f>
        <v>Oxaloacetate</v>
      </c>
      <c r="AG327" s="30" t="str">
        <f>VLOOKUP($E327,'Product Naming'!$A$1:$P$58,16,FALSE)</f>
        <v>Proton symporter</v>
      </c>
      <c r="AH327" s="3" t="str">
        <f>VLOOKUP($E327,'Product Naming'!$A$1:$Q$58,17,FALSE)</f>
        <v>mal__L_e</v>
      </c>
      <c r="AI327" s="1">
        <f>VLOOKUP($E327,'Product Parameters'!$A$2:$D$59,2,FALSE)</f>
        <v>1</v>
      </c>
      <c r="AJ327" s="1">
        <f>VLOOKUP($E327,'Product Parameters'!$A$2:$D$59,3,FALSE)</f>
        <v>0</v>
      </c>
      <c r="AK327" s="1">
        <f>VLOOKUP($E327,'Product Parameters'!$A$2:$D$59,4,FALSE)</f>
        <v>0.12</v>
      </c>
      <c r="AL327" s="1">
        <f>VLOOKUP($E327,'Product Parameters'!$A$2:$E$59,5,FALSE)</f>
        <v>40.65</v>
      </c>
      <c r="AM327" s="1">
        <f>VLOOKUP($E327,'Product Parameters'!$A$2:$F$59,6,FALSE)</f>
        <v>4</v>
      </c>
      <c r="AN327" s="1">
        <f>VLOOKUP($C327,'Substrate Heating'!$A$2:$C$33,3,FALSE)</f>
        <v>247.59097</v>
      </c>
      <c r="AO327" s="1">
        <f>VLOOKUP($C327,'Substrate Heating'!$A$2:$B$33,2,FALSE)</f>
        <v>5.5</v>
      </c>
      <c r="AP327" s="1">
        <f>VLOOKUP($C327,'Substrate Heating'!$A$2:$M$33,13,FALSE)</f>
        <v>1</v>
      </c>
      <c r="AQ327" s="1">
        <f>VLOOKUP($C327,'Substrate Heating'!$A$2:$M$33,8,FALSE)</f>
        <v>1</v>
      </c>
      <c r="AR327" s="1">
        <f t="shared" si="5"/>
        <v>0.2284337349397596</v>
      </c>
    </row>
    <row r="328" spans="1:44" x14ac:dyDescent="0.2">
      <c r="A328" s="8" t="s">
        <v>809</v>
      </c>
      <c r="B328" s="18" t="s">
        <v>324</v>
      </c>
      <c r="C328" t="s">
        <v>808</v>
      </c>
      <c r="D328" s="19" t="s">
        <v>326</v>
      </c>
      <c r="E328" t="s">
        <v>291</v>
      </c>
      <c r="F328" t="s">
        <v>292</v>
      </c>
      <c r="G328">
        <v>-10</v>
      </c>
      <c r="H328">
        <v>0</v>
      </c>
      <c r="I328">
        <v>-20</v>
      </c>
      <c r="J328">
        <v>0.45</v>
      </c>
      <c r="K328">
        <v>-8.1408450704225306</v>
      </c>
      <c r="L328">
        <v>0</v>
      </c>
      <c r="M328">
        <v>-20</v>
      </c>
      <c r="N328">
        <v>-8.1408450704225306</v>
      </c>
      <c r="O328">
        <v>0.74366197183098404</v>
      </c>
      <c r="P328"/>
      <c r="Q328">
        <v>9.1349480968857893E-2</v>
      </c>
      <c r="R328">
        <v>0.16445431790957701</v>
      </c>
      <c r="S328" s="1" t="str">
        <f>VLOOKUP($E328,'Product Naming'!$A$1:$P$58,2,FALSE)</f>
        <v>Pentanol-PW1</v>
      </c>
      <c r="T328" s="1" t="str">
        <f>VLOOKUP($E328,'Product Naming'!$A$1:$P$58,3,FALSE)</f>
        <v>Pentanol (PW1)</v>
      </c>
      <c r="U328" s="1" t="str">
        <f>VLOOKUP($E328,'Product Naming'!$A$1:$P$58,4,FALSE)</f>
        <v>E</v>
      </c>
      <c r="V328" s="1" t="str">
        <f>VLOOKUP($E328,'Product Naming'!$A$1:$P$58,5,FALSE)</f>
        <v>C5H12O</v>
      </c>
      <c r="W328" s="1">
        <f>VLOOKUP($E328,'Product Naming'!$A$1:$P$58,6,FALSE)</f>
        <v>5</v>
      </c>
      <c r="X328" s="1">
        <f>VLOOKUP($E328,'Product Naming'!$A$1:$P$58,7,FALSE)</f>
        <v>12</v>
      </c>
      <c r="Y328" s="1">
        <f>VLOOKUP($E328,'Product Naming'!$A$1:$P$58,8,FALSE)</f>
        <v>1</v>
      </c>
      <c r="Z328" s="1">
        <f>VLOOKUP($E328,'Product Naming'!$A$1:$P$58,9,FALSE)</f>
        <v>0</v>
      </c>
      <c r="AA328" s="1">
        <f>VLOOKUP($E328,'Product Naming'!$A$1:$P$58,10,FALSE)</f>
        <v>0</v>
      </c>
      <c r="AB328" s="29">
        <f>VLOOKUP($E328,'Product Naming'!$A$1:$P$58,11,FALSE)</f>
        <v>6</v>
      </c>
      <c r="AC328" s="3">
        <f>VLOOKUP($E328,'Product Naming'!$A$1:$P$58,12,FALSE)</f>
        <v>88.14658</v>
      </c>
      <c r="AD328" s="1">
        <f>VLOOKUP($E328,'Product Naming'!$A$1:$P$58,13,FALSE)</f>
        <v>138</v>
      </c>
      <c r="AE328" s="1" t="str">
        <f>VLOOKUP($E328,'Product Naming'!$A$1:$P$58,14,FALSE)</f>
        <v>Alcohol</v>
      </c>
      <c r="AF328" s="1" t="str">
        <f>VLOOKUP($E328,'Product Naming'!$A$1:$P$58,15,FALSE)</f>
        <v>Acetyl-CoA + Succinyl-CoA</v>
      </c>
      <c r="AG328" s="30" t="str">
        <f>VLOOKUP($E328,'Product Naming'!$A$1:$P$58,16,FALSE)</f>
        <v>Proton symporter</v>
      </c>
      <c r="AH328" s="3" t="str">
        <f>VLOOKUP($E328,'Product Naming'!$A$1:$Q$58,17,FALSE)</f>
        <v>pentoh_c</v>
      </c>
      <c r="AI328" s="1">
        <f>VLOOKUP($E328,'Product Parameters'!$A$2:$D$59,2,FALSE)</f>
        <v>1</v>
      </c>
      <c r="AJ328" s="1">
        <f>VLOOKUP($E328,'Product Parameters'!$A$2:$D$59,3,FALSE)</f>
        <v>0</v>
      </c>
      <c r="AK328" s="1">
        <f>VLOOKUP($E328,'Product Parameters'!$A$2:$D$59,4,FALSE)</f>
        <v>0.12</v>
      </c>
      <c r="AL328" s="1">
        <f>VLOOKUP($E328,'Product Parameters'!$A$2:$E$59,5,FALSE)</f>
        <v>57</v>
      </c>
      <c r="AM328" s="1">
        <f>VLOOKUP($E328,'Product Parameters'!$A$2:$F$59,6,FALSE)</f>
        <v>5</v>
      </c>
      <c r="AN328" s="1">
        <f>VLOOKUP($C328,'Substrate Heating'!$A$2:$C$33,3,FALSE)</f>
        <v>120.9</v>
      </c>
      <c r="AO328" s="1">
        <f>VLOOKUP($C328,'Substrate Heating'!$A$2:$B$33,2,FALSE)</f>
        <v>5.2537372583834907</v>
      </c>
      <c r="AP328" s="1">
        <f>VLOOKUP($C328,'Substrate Heating'!$A$2:$M$33,13,FALSE)</f>
        <v>0</v>
      </c>
      <c r="AQ328" s="1">
        <f>VLOOKUP($C328,'Substrate Heating'!$A$2:$M$33,8,FALSE)</f>
        <v>0.33333333333333331</v>
      </c>
      <c r="AR328" s="1">
        <f t="shared" si="5"/>
        <v>1.3702422145328683</v>
      </c>
    </row>
    <row r="329" spans="1:44" x14ac:dyDescent="0.2">
      <c r="A329" s="8" t="s">
        <v>809</v>
      </c>
      <c r="B329" s="18" t="s">
        <v>324</v>
      </c>
      <c r="C329" t="s">
        <v>808</v>
      </c>
      <c r="D329" s="19" t="s">
        <v>326</v>
      </c>
      <c r="E329" t="s">
        <v>295</v>
      </c>
      <c r="F329" t="s">
        <v>292</v>
      </c>
      <c r="G329">
        <v>-10</v>
      </c>
      <c r="H329">
        <v>0</v>
      </c>
      <c r="I329">
        <v>-20</v>
      </c>
      <c r="J329">
        <v>0.45</v>
      </c>
      <c r="K329">
        <v>-8.1408450704225306</v>
      </c>
      <c r="L329">
        <v>0</v>
      </c>
      <c r="M329">
        <v>-20</v>
      </c>
      <c r="N329">
        <v>-8.1408450704225306</v>
      </c>
      <c r="O329">
        <v>0.74366197183098504</v>
      </c>
      <c r="P329"/>
      <c r="Q329">
        <v>9.1349480968858005E-2</v>
      </c>
      <c r="R329">
        <v>0.16445431790957701</v>
      </c>
      <c r="S329" s="1" t="str">
        <f>VLOOKUP($E329,'Product Naming'!$A$1:$P$58,2,FALSE)</f>
        <v>Pentanol-PW2</v>
      </c>
      <c r="T329" s="1" t="str">
        <f>VLOOKUP($E329,'Product Naming'!$A$1:$P$58,3,FALSE)</f>
        <v>Pentanol (PW2)</v>
      </c>
      <c r="U329" s="1" t="str">
        <f>VLOOKUP($E329,'Product Naming'!$A$1:$P$58,4,FALSE)</f>
        <v>E</v>
      </c>
      <c r="V329" s="1" t="str">
        <f>VLOOKUP($E329,'Product Naming'!$A$1:$P$58,5,FALSE)</f>
        <v>C5H12O</v>
      </c>
      <c r="W329" s="1">
        <f>VLOOKUP($E329,'Product Naming'!$A$1:$P$58,6,FALSE)</f>
        <v>5</v>
      </c>
      <c r="X329" s="1">
        <f>VLOOKUP($E329,'Product Naming'!$A$1:$P$58,7,FALSE)</f>
        <v>12</v>
      </c>
      <c r="Y329" s="1">
        <f>VLOOKUP($E329,'Product Naming'!$A$1:$P$58,8,FALSE)</f>
        <v>1</v>
      </c>
      <c r="Z329" s="1">
        <f>VLOOKUP($E329,'Product Naming'!$A$1:$P$58,9,FALSE)</f>
        <v>0</v>
      </c>
      <c r="AA329" s="1">
        <f>VLOOKUP($E329,'Product Naming'!$A$1:$P$58,10,FALSE)</f>
        <v>0</v>
      </c>
      <c r="AB329" s="29">
        <f>VLOOKUP($E329,'Product Naming'!$A$1:$P$58,11,FALSE)</f>
        <v>6</v>
      </c>
      <c r="AC329" s="3">
        <f>VLOOKUP($E329,'Product Naming'!$A$1:$P$58,12,FALSE)</f>
        <v>88.14658</v>
      </c>
      <c r="AD329" s="1">
        <f>VLOOKUP($E329,'Product Naming'!$A$1:$P$58,13,FALSE)</f>
        <v>138</v>
      </c>
      <c r="AE329" s="1" t="str">
        <f>VLOOKUP($E329,'Product Naming'!$A$1:$P$58,14,FALSE)</f>
        <v>Alcohol</v>
      </c>
      <c r="AF329" s="1" t="str">
        <f>VLOOKUP($E329,'Product Naming'!$A$1:$P$58,15,FALSE)</f>
        <v>Oxaloacetate</v>
      </c>
      <c r="AG329" s="30" t="str">
        <f>VLOOKUP($E329,'Product Naming'!$A$1:$P$58,16,FALSE)</f>
        <v>Proton symporter</v>
      </c>
      <c r="AH329" s="3" t="str">
        <f>VLOOKUP($E329,'Product Naming'!$A$1:$Q$58,17,FALSE)</f>
        <v>pentoh_c</v>
      </c>
      <c r="AI329" s="1">
        <f>VLOOKUP($E329,'Product Parameters'!$A$2:$D$59,2,FALSE)</f>
        <v>1</v>
      </c>
      <c r="AJ329" s="1">
        <f>VLOOKUP($E329,'Product Parameters'!$A$2:$D$59,3,FALSE)</f>
        <v>0</v>
      </c>
      <c r="AK329" s="1">
        <f>VLOOKUP($E329,'Product Parameters'!$A$2:$D$59,4,FALSE)</f>
        <v>0.12</v>
      </c>
      <c r="AL329" s="1">
        <f>VLOOKUP($E329,'Product Parameters'!$A$2:$E$59,5,FALSE)</f>
        <v>57</v>
      </c>
      <c r="AM329" s="1">
        <f>VLOOKUP($E329,'Product Parameters'!$A$2:$F$59,6,FALSE)</f>
        <v>5</v>
      </c>
      <c r="AN329" s="1">
        <f>VLOOKUP($C329,'Substrate Heating'!$A$2:$C$33,3,FALSE)</f>
        <v>120.9</v>
      </c>
      <c r="AO329" s="1">
        <f>VLOOKUP($C329,'Substrate Heating'!$A$2:$B$33,2,FALSE)</f>
        <v>5.2537372583834907</v>
      </c>
      <c r="AP329" s="1">
        <f>VLOOKUP($C329,'Substrate Heating'!$A$2:$M$33,13,FALSE)</f>
        <v>0</v>
      </c>
      <c r="AQ329" s="1">
        <f>VLOOKUP($C329,'Substrate Heating'!$A$2:$M$33,8,FALSE)</f>
        <v>0.33333333333333331</v>
      </c>
      <c r="AR329" s="1">
        <f t="shared" si="5"/>
        <v>1.3702422145328701</v>
      </c>
    </row>
    <row r="330" spans="1:44" x14ac:dyDescent="0.2">
      <c r="A330" s="17" t="s">
        <v>323</v>
      </c>
      <c r="B330" s="18" t="s">
        <v>324</v>
      </c>
      <c r="C330" t="s">
        <v>327</v>
      </c>
      <c r="D330" s="19" t="s">
        <v>326</v>
      </c>
      <c r="E330" t="s">
        <v>124</v>
      </c>
      <c r="F330" t="s">
        <v>125</v>
      </c>
      <c r="G330">
        <v>-10</v>
      </c>
      <c r="H330">
        <v>0</v>
      </c>
      <c r="I330">
        <v>-5</v>
      </c>
      <c r="J330">
        <v>0.45</v>
      </c>
      <c r="K330">
        <v>-10</v>
      </c>
      <c r="L330">
        <v>0</v>
      </c>
      <c r="M330">
        <v>-5</v>
      </c>
      <c r="N330">
        <v>2.5</v>
      </c>
      <c r="O330">
        <v>0.67209302325581399</v>
      </c>
      <c r="P330"/>
      <c r="Q330">
        <v>6.7209302325581394E-2</v>
      </c>
      <c r="R330">
        <v>0.164557692209062</v>
      </c>
      <c r="S330" s="1" t="str">
        <f>VLOOKUP($E330,'Product Naming'!$A$1:$P$58,2,FALSE)</f>
        <v>Acrylate-PW1</v>
      </c>
      <c r="T330" s="1" t="str">
        <f>VLOOKUP($E330,'Product Naming'!$A$1:$P$58,3,FALSE)</f>
        <v>Acrylate (PW1)</v>
      </c>
      <c r="U330" s="1" t="str">
        <f>VLOOKUP($E330,'Product Naming'!$A$1:$P$58,4,FALSE)</f>
        <v>A</v>
      </c>
      <c r="V330" s="1" t="str">
        <f>VLOOKUP($E330,'Product Naming'!$A$1:$P$58,5,FALSE)</f>
        <v>C3H3O2</v>
      </c>
      <c r="W330" s="1">
        <f>VLOOKUP($E330,'Product Naming'!$A$1:$P$58,6,FALSE)</f>
        <v>3</v>
      </c>
      <c r="X330" s="1">
        <f>VLOOKUP($E330,'Product Naming'!$A$1:$P$58,7,FALSE)</f>
        <v>3</v>
      </c>
      <c r="Y330" s="1">
        <f>VLOOKUP($E330,'Product Naming'!$A$1:$P$58,8,FALSE)</f>
        <v>2</v>
      </c>
      <c r="Z330" s="1">
        <f>VLOOKUP($E330,'Product Naming'!$A$1:$P$58,9,FALSE)</f>
        <v>0</v>
      </c>
      <c r="AA330" s="1">
        <f>VLOOKUP($E330,'Product Naming'!$A$1:$P$58,10,FALSE)</f>
        <v>-1</v>
      </c>
      <c r="AB330" s="29">
        <f>VLOOKUP($E330,'Product Naming'!$A$1:$P$58,11,FALSE)</f>
        <v>3.6666666666666665</v>
      </c>
      <c r="AC330" s="3">
        <f>VLOOKUP($E330,'Product Naming'!$A$1:$P$58,12,FALSE)</f>
        <v>71.053619999999995</v>
      </c>
      <c r="AD330" s="1">
        <f>VLOOKUP($E330,'Product Naming'!$A$1:$P$58,13,FALSE)</f>
        <v>80</v>
      </c>
      <c r="AE330" s="1" t="str">
        <f>VLOOKUP($E330,'Product Naming'!$A$1:$P$58,14,FALSE)</f>
        <v>Carboxylate</v>
      </c>
      <c r="AF330" s="1" t="str">
        <f>VLOOKUP($E330,'Product Naming'!$A$1:$P$58,15,FALSE)</f>
        <v>Glyceraldehyde 3-P</v>
      </c>
      <c r="AG330" s="30" t="str">
        <f>VLOOKUP($E330,'Product Naming'!$A$1:$P$58,16,FALSE)</f>
        <v>Proton symporter</v>
      </c>
      <c r="AH330" s="3" t="str">
        <f>VLOOKUP($E330,'Product Naming'!$A$1:$Q$58,17,FALSE)</f>
        <v>acryl_c</v>
      </c>
      <c r="AI330" s="1">
        <f>VLOOKUP($E330,'Product Parameters'!$A$2:$D$59,2,FALSE)</f>
        <v>1</v>
      </c>
      <c r="AJ330" s="1">
        <f>VLOOKUP($E330,'Product Parameters'!$A$2:$D$59,3,FALSE)</f>
        <v>0</v>
      </c>
      <c r="AK330" s="1">
        <f>VLOOKUP($E330,'Product Parameters'!$A$2:$D$59,4,FALSE)</f>
        <v>0.12</v>
      </c>
      <c r="AL330" s="1">
        <f>VLOOKUP($E330,'Product Parameters'!$A$2:$E$59,5,FALSE)</f>
        <v>53.1</v>
      </c>
      <c r="AM330" s="1">
        <f>VLOOKUP($E330,'Product Parameters'!$A$2:$F$59,6,FALSE)</f>
        <v>3</v>
      </c>
      <c r="AN330" s="1">
        <f>VLOOKUP($C330,'Substrate Heating'!$A$2:$C$33,3,FALSE)</f>
        <v>269.26666666666665</v>
      </c>
      <c r="AO330" s="1">
        <f>VLOOKUP($C330,'Substrate Heating'!$A$2:$B$33,2,FALSE)</f>
        <v>13.919167510409219</v>
      </c>
      <c r="AP330" s="1">
        <f>VLOOKUP($C330,'Substrate Heating'!$A$2:$M$33,13,FALSE)</f>
        <v>1.3333333333333333</v>
      </c>
      <c r="AQ330" s="1">
        <f>VLOOKUP($C330,'Substrate Heating'!$A$2:$M$33,8,FALSE)</f>
        <v>0.66666666666666663</v>
      </c>
      <c r="AR330" s="1">
        <f t="shared" si="5"/>
        <v>0.30244186046511629</v>
      </c>
    </row>
    <row r="331" spans="1:44" x14ac:dyDescent="0.2">
      <c r="A331" s="8" t="s">
        <v>816</v>
      </c>
      <c r="B331" s="18" t="s">
        <v>324</v>
      </c>
      <c r="C331" t="s">
        <v>815</v>
      </c>
      <c r="D331" s="19" t="s">
        <v>326</v>
      </c>
      <c r="E331" t="s">
        <v>108</v>
      </c>
      <c r="F331" t="s">
        <v>109</v>
      </c>
      <c r="G331">
        <v>-10</v>
      </c>
      <c r="H331">
        <v>0</v>
      </c>
      <c r="I331">
        <v>0</v>
      </c>
      <c r="J331">
        <v>0.45</v>
      </c>
      <c r="K331">
        <v>21.37061611</v>
      </c>
      <c r="L331">
        <v>0</v>
      </c>
      <c r="M331">
        <v>0</v>
      </c>
      <c r="N331">
        <v>21.37061611</v>
      </c>
      <c r="O331">
        <v>0.91374407599999996</v>
      </c>
      <c r="P331"/>
      <c r="Q331">
        <v>4.2757030000000001E-2</v>
      </c>
      <c r="R331">
        <v>0.164599249</v>
      </c>
      <c r="S331" s="1" t="str">
        <f>VLOOKUP($E331,'Product Naming'!$A$1:$P$58,2,FALSE)</f>
        <v>4-Hydroxystyrene</v>
      </c>
      <c r="T331" s="1" t="str">
        <f>VLOOKUP($E331,'Product Naming'!$A$1:$P$58,3,FALSE)</f>
        <v>4-Hydroxystyrene</v>
      </c>
      <c r="U331" s="1" t="str">
        <f>VLOOKUP($E331,'Product Naming'!$A$1:$P$58,4,FALSE)</f>
        <v>E</v>
      </c>
      <c r="V331" s="1" t="str">
        <f>VLOOKUP($E331,'Product Naming'!$A$1:$P$58,5,FALSE)</f>
        <v>C8H8O</v>
      </c>
      <c r="W331" s="1">
        <f>VLOOKUP($E331,'Product Naming'!$A$1:$P$58,6,FALSE)</f>
        <v>8</v>
      </c>
      <c r="X331" s="1">
        <f>VLOOKUP($E331,'Product Naming'!$A$1:$P$58,7,FALSE)</f>
        <v>8</v>
      </c>
      <c r="Y331" s="1">
        <f>VLOOKUP($E331,'Product Naming'!$A$1:$P$58,8,FALSE)</f>
        <v>1</v>
      </c>
      <c r="Z331" s="1">
        <f>VLOOKUP($E331,'Product Naming'!$A$1:$P$58,9,FALSE)</f>
        <v>0</v>
      </c>
      <c r="AA331" s="1">
        <f>VLOOKUP($E331,'Product Naming'!$A$1:$P$58,10,FALSE)</f>
        <v>0</v>
      </c>
      <c r="AB331" s="29">
        <f>VLOOKUP($E331,'Product Naming'!$A$1:$P$58,11,FALSE)</f>
        <v>4.75</v>
      </c>
      <c r="AC331" s="3">
        <f>VLOOKUP($E331,'Product Naming'!$A$1:$P$58,12,FALSE)</f>
        <v>120.14731999999999</v>
      </c>
      <c r="AD331" s="1">
        <f>VLOOKUP($E331,'Product Naming'!$A$1:$P$58,13,FALSE)</f>
        <v>229</v>
      </c>
      <c r="AE331" s="1" t="str">
        <f>VLOOKUP($E331,'Product Naming'!$A$1:$P$58,14,FALSE)</f>
        <v>Aromatic + Alcohol</v>
      </c>
      <c r="AF331" s="1" t="str">
        <f>VLOOKUP($E331,'Product Naming'!$A$1:$P$58,15,FALSE)</f>
        <v>E4P + L-glutamate</v>
      </c>
      <c r="AG331" s="30" t="str">
        <f>VLOOKUP($E331,'Product Naming'!$A$1:$P$58,16,FALSE)</f>
        <v>Proton symporter</v>
      </c>
      <c r="AH331" s="3" t="str">
        <f>VLOOKUP($E331,'Product Naming'!$A$1:$Q$58,17,FALSE)</f>
        <v>4hxst_c</v>
      </c>
      <c r="AI331" s="1">
        <f>VLOOKUP($E331,'Product Parameters'!$A$2:$D$59,2,FALSE)</f>
        <v>1</v>
      </c>
      <c r="AJ331" s="1">
        <f>VLOOKUP($E331,'Product Parameters'!$A$2:$D$59,3,FALSE)</f>
        <v>0</v>
      </c>
      <c r="AK331" s="1">
        <f>VLOOKUP($E331,'Product Parameters'!$A$2:$D$59,4,FALSE)</f>
        <v>0.12</v>
      </c>
      <c r="AL331" s="1">
        <f>VLOOKUP($E331,'Product Parameters'!$A$2:$E$59,5,FALSE)</f>
        <v>40.65</v>
      </c>
      <c r="AM331" s="1">
        <f>VLOOKUP($E331,'Product Parameters'!$A$2:$F$59,6,FALSE)</f>
        <v>8</v>
      </c>
      <c r="AN331" s="1">
        <f>VLOOKUP($C331,'Substrate Heating'!$A$2:$C$33,3,FALSE)</f>
        <v>226.4</v>
      </c>
      <c r="AO331" s="1">
        <f>VLOOKUP($C331,'Substrate Heating'!$A$2:$B$33,2,FALSE)</f>
        <v>7.2542014450728134</v>
      </c>
      <c r="AP331" s="1">
        <f>VLOOKUP($C331,'Substrate Heating'!$A$2:$M$33,13,FALSE)</f>
        <v>1.6</v>
      </c>
      <c r="AQ331" s="1">
        <f>VLOOKUP($C331,'Substrate Heating'!$A$2:$M$33,8,FALSE)</f>
        <v>1</v>
      </c>
      <c r="AR331" s="1">
        <f t="shared" si="5"/>
        <v>0.34205624000000001</v>
      </c>
    </row>
    <row r="332" spans="1:44" x14ac:dyDescent="0.2">
      <c r="A332" s="8" t="s">
        <v>812</v>
      </c>
      <c r="B332" s="18" t="s">
        <v>324</v>
      </c>
      <c r="C332" t="s">
        <v>814</v>
      </c>
      <c r="E332" t="s">
        <v>313</v>
      </c>
      <c r="F332" t="s">
        <v>314</v>
      </c>
      <c r="G332">
        <v>-10</v>
      </c>
      <c r="H332">
        <v>0</v>
      </c>
      <c r="I332">
        <v>-10</v>
      </c>
      <c r="J332">
        <v>0.45</v>
      </c>
      <c r="K332">
        <v>-8.7228070175438592</v>
      </c>
      <c r="L332">
        <v>0</v>
      </c>
      <c r="M332">
        <v>-10</v>
      </c>
      <c r="N332">
        <v>0</v>
      </c>
      <c r="O332">
        <v>0.31929824561403503</v>
      </c>
      <c r="P332"/>
      <c r="Q332">
        <v>3.66049879324215E-2</v>
      </c>
      <c r="R332">
        <v>0.16486839686518101</v>
      </c>
      <c r="S332" s="1" t="str">
        <f>VLOOKUP($E332,'Product Naming'!$A$1:$P$58,2,FALSE)</f>
        <v>Styrene</v>
      </c>
      <c r="T332" s="1" t="str">
        <f>VLOOKUP($E332,'Product Naming'!$A$1:$P$58,3,FALSE)</f>
        <v>Styrene</v>
      </c>
      <c r="U332" s="1" t="str">
        <f>VLOOKUP($E332,'Product Naming'!$A$1:$P$58,4,FALSE)</f>
        <v>E-S</v>
      </c>
      <c r="V332" s="1" t="str">
        <f>VLOOKUP($E332,'Product Naming'!$A$1:$P$58,5,FALSE)</f>
        <v>C8H8</v>
      </c>
      <c r="W332" s="1">
        <f>VLOOKUP($E332,'Product Naming'!$A$1:$P$58,6,FALSE)</f>
        <v>8</v>
      </c>
      <c r="X332" s="1">
        <f>VLOOKUP($E332,'Product Naming'!$A$1:$P$58,7,FALSE)</f>
        <v>8</v>
      </c>
      <c r="Y332" s="1">
        <f>VLOOKUP($E332,'Product Naming'!$A$1:$P$58,8,FALSE)</f>
        <v>0</v>
      </c>
      <c r="Z332" s="1">
        <f>VLOOKUP($E332,'Product Naming'!$A$1:$P$58,9,FALSE)</f>
        <v>0</v>
      </c>
      <c r="AA332" s="1">
        <f>VLOOKUP($E332,'Product Naming'!$A$1:$P$58,10,FALSE)</f>
        <v>0</v>
      </c>
      <c r="AB332" s="29">
        <f>VLOOKUP($E332,'Product Naming'!$A$1:$P$58,11,FALSE)</f>
        <v>5</v>
      </c>
      <c r="AC332" s="3">
        <f>VLOOKUP($E332,'Product Naming'!$A$1:$P$58,12,FALSE)</f>
        <v>104.14832</v>
      </c>
      <c r="AD332" s="1">
        <f>VLOOKUP($E332,'Product Naming'!$A$1:$P$58,13,FALSE)</f>
        <v>145</v>
      </c>
      <c r="AE332" s="1" t="str">
        <f>VLOOKUP($E332,'Product Naming'!$A$1:$P$58,14,FALSE)</f>
        <v>Cycloalkane</v>
      </c>
      <c r="AF332" s="1" t="str">
        <f>VLOOKUP($E332,'Product Naming'!$A$1:$P$58,15,FALSE)</f>
        <v>E4P</v>
      </c>
      <c r="AG332" s="30" t="str">
        <f>VLOOKUP($E332,'Product Naming'!$A$1:$P$58,16,FALSE)</f>
        <v>Proton symporter</v>
      </c>
      <c r="AH332" s="3" t="str">
        <f>VLOOKUP($E332,'Product Naming'!$A$1:$Q$58,17,FALSE)</f>
        <v>styr_c</v>
      </c>
      <c r="AI332" s="1">
        <f>VLOOKUP($E332,'Product Parameters'!$A$2:$D$59,2,FALSE)</f>
        <v>1</v>
      </c>
      <c r="AJ332" s="1">
        <f>VLOOKUP($E332,'Product Parameters'!$A$2:$D$59,3,FALSE)</f>
        <v>0</v>
      </c>
      <c r="AK332" s="1">
        <f>VLOOKUP($E332,'Product Parameters'!$A$2:$D$59,4,FALSE)</f>
        <v>0.12</v>
      </c>
      <c r="AL332" s="1">
        <f>VLOOKUP($E332,'Product Parameters'!$A$2:$E$59,5,FALSE)</f>
        <v>43.9</v>
      </c>
      <c r="AM332" s="1">
        <f>VLOOKUP($E332,'Product Parameters'!$A$2:$F$59,6,FALSE)</f>
        <v>8</v>
      </c>
      <c r="AN332" s="1">
        <f>VLOOKUP($C332,'Substrate Heating'!$A$2:$C$33,3,FALSE)</f>
        <v>209.92000000000002</v>
      </c>
      <c r="AO332" s="1">
        <f>VLOOKUP($C332,'Substrate Heating'!$A$2:$B$33,2,FALSE)</f>
        <v>10.086540906516333</v>
      </c>
      <c r="AP332" s="1">
        <f>VLOOKUP($C332,'Substrate Heating'!$A$2:$M$33,13,FALSE)</f>
        <v>0.8</v>
      </c>
      <c r="AQ332" s="1">
        <f>VLOOKUP($C332,'Substrate Heating'!$A$2:$M$33,8,FALSE)</f>
        <v>0.8</v>
      </c>
      <c r="AR332" s="1">
        <f t="shared" si="5"/>
        <v>0.36604987932421496</v>
      </c>
    </row>
    <row r="333" spans="1:44" x14ac:dyDescent="0.2">
      <c r="A333" s="8" t="s">
        <v>812</v>
      </c>
      <c r="B333" s="18" t="s">
        <v>324</v>
      </c>
      <c r="C333" t="s">
        <v>814</v>
      </c>
      <c r="E333" t="s">
        <v>143</v>
      </c>
      <c r="F333" t="s">
        <v>137</v>
      </c>
      <c r="G333">
        <v>-10</v>
      </c>
      <c r="H333">
        <v>0</v>
      </c>
      <c r="I333">
        <v>-10</v>
      </c>
      <c r="J333">
        <v>0.45</v>
      </c>
      <c r="K333">
        <v>-9.6915254237288107</v>
      </c>
      <c r="L333">
        <v>0</v>
      </c>
      <c r="M333">
        <v>-10</v>
      </c>
      <c r="N333">
        <v>0</v>
      </c>
      <c r="O333">
        <v>0.30847457627118602</v>
      </c>
      <c r="P333"/>
      <c r="Q333">
        <v>3.1829310947883799E-2</v>
      </c>
      <c r="R333">
        <v>0.16839153688776201</v>
      </c>
      <c r="S333" s="1" t="str">
        <f>VLOOKUP($E333,'Product Naming'!$A$1:$P$58,2,FALSE)</f>
        <v>Benzoate-PW2</v>
      </c>
      <c r="T333" s="1" t="str">
        <f>VLOOKUP($E333,'Product Naming'!$A$1:$P$58,3,FALSE)</f>
        <v>Benzoate (PW2)</v>
      </c>
      <c r="U333" s="1" t="str">
        <f>VLOOKUP($E333,'Product Naming'!$A$1:$P$58,4,FALSE)</f>
        <v>A</v>
      </c>
      <c r="V333" s="1" t="str">
        <f>VLOOKUP($E333,'Product Naming'!$A$1:$P$58,5,FALSE)</f>
        <v>C7H5O2</v>
      </c>
      <c r="W333" s="1">
        <f>VLOOKUP($E333,'Product Naming'!$A$1:$P$58,6,FALSE)</f>
        <v>7</v>
      </c>
      <c r="X333" s="1">
        <f>VLOOKUP($E333,'Product Naming'!$A$1:$P$58,7,FALSE)</f>
        <v>5</v>
      </c>
      <c r="Y333" s="1">
        <f>VLOOKUP($E333,'Product Naming'!$A$1:$P$58,8,FALSE)</f>
        <v>2</v>
      </c>
      <c r="Z333" s="1">
        <f>VLOOKUP($E333,'Product Naming'!$A$1:$P$58,9,FALSE)</f>
        <v>0</v>
      </c>
      <c r="AA333" s="1">
        <f>VLOOKUP($E333,'Product Naming'!$A$1:$P$58,10,FALSE)</f>
        <v>-1</v>
      </c>
      <c r="AB333" s="29">
        <f>VLOOKUP($E333,'Product Naming'!$A$1:$P$58,11,FALSE)</f>
        <v>4.1428571428571432</v>
      </c>
      <c r="AC333" s="3">
        <f>VLOOKUP($E333,'Product Naming'!$A$1:$P$58,12,FALSE)</f>
        <v>121.1121</v>
      </c>
      <c r="AD333" s="1">
        <f>VLOOKUP($E333,'Product Naming'!$A$1:$P$58,13,FALSE)</f>
        <v>249.2</v>
      </c>
      <c r="AE333" s="1" t="str">
        <f>VLOOKUP($E333,'Product Naming'!$A$1:$P$58,14,FALSE)</f>
        <v>Aromatic + Carboxylate</v>
      </c>
      <c r="AF333" s="1" t="str">
        <f>VLOOKUP($E333,'Product Naming'!$A$1:$P$58,15,FALSE)</f>
        <v>E4P + aKG</v>
      </c>
      <c r="AG333" s="30" t="str">
        <f>VLOOKUP($E333,'Product Naming'!$A$1:$P$58,16,FALSE)</f>
        <v>Proton symporter</v>
      </c>
      <c r="AH333" s="3" t="str">
        <f>VLOOKUP($E333,'Product Naming'!$A$1:$Q$58,17,FALSE)</f>
        <v>bz_c</v>
      </c>
      <c r="AI333" s="1">
        <f>VLOOKUP($E333,'Product Parameters'!$A$2:$D$59,2,FALSE)</f>
        <v>1</v>
      </c>
      <c r="AJ333" s="1">
        <f>VLOOKUP($E333,'Product Parameters'!$A$2:$D$59,3,FALSE)</f>
        <v>0</v>
      </c>
      <c r="AK333" s="1">
        <f>VLOOKUP($E333,'Product Parameters'!$A$2:$D$59,4,FALSE)</f>
        <v>0.12</v>
      </c>
      <c r="AL333" s="1">
        <f>VLOOKUP($E333,'Product Parameters'!$A$2:$E$59,5,FALSE)</f>
        <v>40.65</v>
      </c>
      <c r="AM333" s="1">
        <f>VLOOKUP($E333,'Product Parameters'!$A$2:$F$59,6,FALSE)</f>
        <v>7</v>
      </c>
      <c r="AN333" s="1">
        <f>VLOOKUP($C333,'Substrate Heating'!$A$2:$C$33,3,FALSE)</f>
        <v>209.92000000000002</v>
      </c>
      <c r="AO333" s="1">
        <f>VLOOKUP($C333,'Substrate Heating'!$A$2:$B$33,2,FALSE)</f>
        <v>10.086540906516333</v>
      </c>
      <c r="AP333" s="1">
        <f>VLOOKUP($C333,'Substrate Heating'!$A$2:$M$33,13,FALSE)</f>
        <v>0.8</v>
      </c>
      <c r="AQ333" s="1">
        <f>VLOOKUP($C333,'Substrate Heating'!$A$2:$M$33,8,FALSE)</f>
        <v>0.8</v>
      </c>
      <c r="AR333" s="1">
        <f t="shared" si="5"/>
        <v>0.27850647079398322</v>
      </c>
    </row>
    <row r="334" spans="1:44" x14ac:dyDescent="0.2">
      <c r="A334" s="17" t="s">
        <v>323</v>
      </c>
      <c r="B334" s="18" t="s">
        <v>324</v>
      </c>
      <c r="C334" t="s">
        <v>328</v>
      </c>
      <c r="D334" s="19" t="s">
        <v>326</v>
      </c>
      <c r="E334" t="s">
        <v>247</v>
      </c>
      <c r="F334" t="s">
        <v>248</v>
      </c>
      <c r="G334">
        <v>-10</v>
      </c>
      <c r="H334">
        <v>0</v>
      </c>
      <c r="I334">
        <v>-10</v>
      </c>
      <c r="J334">
        <v>0.45</v>
      </c>
      <c r="K334">
        <v>-10</v>
      </c>
      <c r="L334">
        <v>0</v>
      </c>
      <c r="M334">
        <v>-10</v>
      </c>
      <c r="N334">
        <v>1.48571428571429</v>
      </c>
      <c r="O334">
        <v>0.74285714285714399</v>
      </c>
      <c r="P334"/>
      <c r="Q334">
        <v>7.4285714285714399E-2</v>
      </c>
      <c r="R334">
        <v>0.168500235003092</v>
      </c>
      <c r="S334" s="1" t="str">
        <f>VLOOKUP($E334,'Product Naming'!$A$1:$P$58,2,FALSE)</f>
        <v>Isoprene</v>
      </c>
      <c r="T334" s="1" t="str">
        <f>VLOOKUP($E334,'Product Naming'!$A$1:$P$58,3,FALSE)</f>
        <v>Isoprene</v>
      </c>
      <c r="U334" s="1" t="str">
        <f>VLOOKUP($E334,'Product Naming'!$A$1:$P$58,4,FALSE)</f>
        <v>E</v>
      </c>
      <c r="V334" s="1" t="str">
        <f>VLOOKUP($E334,'Product Naming'!$A$1:$P$58,5,FALSE)</f>
        <v>C5H8</v>
      </c>
      <c r="W334" s="1">
        <f>VLOOKUP($E334,'Product Naming'!$A$1:$P$58,6,FALSE)</f>
        <v>5</v>
      </c>
      <c r="X334" s="1">
        <f>VLOOKUP($E334,'Product Naming'!$A$1:$P$58,7,FALSE)</f>
        <v>8</v>
      </c>
      <c r="Y334" s="1">
        <f>VLOOKUP($E334,'Product Naming'!$A$1:$P$58,8,FALSE)</f>
        <v>0</v>
      </c>
      <c r="Z334" s="1">
        <f>VLOOKUP($E334,'Product Naming'!$A$1:$P$58,9,FALSE)</f>
        <v>0</v>
      </c>
      <c r="AA334" s="1">
        <f>VLOOKUP($E334,'Product Naming'!$A$1:$P$58,10,FALSE)</f>
        <v>0</v>
      </c>
      <c r="AB334" s="29">
        <f>VLOOKUP($E334,'Product Naming'!$A$1:$P$58,11,FALSE)</f>
        <v>5.6</v>
      </c>
      <c r="AC334" s="3">
        <f>VLOOKUP($E334,'Product Naming'!$A$1:$P$58,12,FALSE)</f>
        <v>68.116219999999998</v>
      </c>
      <c r="AD334" s="1">
        <f>VLOOKUP($E334,'Product Naming'!$A$1:$P$58,13,FALSE)</f>
        <v>34.07</v>
      </c>
      <c r="AE334" s="1" t="str">
        <f>VLOOKUP($E334,'Product Naming'!$A$1:$P$58,14,FALSE)</f>
        <v>Hydrocarbon</v>
      </c>
      <c r="AF334" s="1" t="str">
        <f>VLOOKUP($E334,'Product Naming'!$A$1:$P$58,15,FALSE)</f>
        <v>Acetyl-CoA</v>
      </c>
      <c r="AG334" s="30" t="str">
        <f>VLOOKUP($E334,'Product Naming'!$A$1:$P$58,16,FALSE)</f>
        <v>Diffusion</v>
      </c>
      <c r="AH334" s="3" t="str">
        <f>VLOOKUP($E334,'Product Naming'!$A$1:$Q$58,17,FALSE)</f>
        <v>iprene_c</v>
      </c>
      <c r="AI334" s="1">
        <f>VLOOKUP($E334,'Product Parameters'!$A$2:$D$59,2,FALSE)</f>
        <v>0</v>
      </c>
      <c r="AJ334" s="1">
        <f>VLOOKUP($E334,'Product Parameters'!$A$2:$D$59,3,FALSE)</f>
        <v>1</v>
      </c>
      <c r="AK334" s="1">
        <f>VLOOKUP($E334,'Product Parameters'!$A$2:$D$59,4,FALSE)</f>
        <v>0.12</v>
      </c>
      <c r="AL334" s="1">
        <f>VLOOKUP($E334,'Product Parameters'!$A$2:$E$59,5,FALSE)</f>
        <v>26.4</v>
      </c>
      <c r="AM334" s="1">
        <f>VLOOKUP($E334,'Product Parameters'!$A$2:$F$59,6,FALSE)</f>
        <v>5</v>
      </c>
      <c r="AN334" s="1">
        <f>VLOOKUP($C334,'Substrate Heating'!$A$2:$C$33,3,FALSE)</f>
        <v>262.39999999999998</v>
      </c>
      <c r="AO334" s="1">
        <f>VLOOKUP($C334,'Substrate Heating'!$A$2:$B$33,2,FALSE)</f>
        <v>17.478546483008707</v>
      </c>
      <c r="AP334" s="1">
        <f>VLOOKUP($C334,'Substrate Heating'!$A$2:$M$33,13,FALSE)</f>
        <v>1</v>
      </c>
      <c r="AQ334" s="1">
        <f>VLOOKUP($C334,'Substrate Heating'!$A$2:$M$33,8,FALSE)</f>
        <v>0.5</v>
      </c>
      <c r="AR334" s="1">
        <f t="shared" si="5"/>
        <v>0.74285714285714399</v>
      </c>
    </row>
    <row r="335" spans="1:44" x14ac:dyDescent="0.2">
      <c r="A335" s="8" t="s">
        <v>816</v>
      </c>
      <c r="B335" s="18" t="s">
        <v>324</v>
      </c>
      <c r="C335" t="s">
        <v>815</v>
      </c>
      <c r="D335" s="19" t="s">
        <v>326</v>
      </c>
      <c r="E335" t="s">
        <v>136</v>
      </c>
      <c r="F335" t="s">
        <v>137</v>
      </c>
      <c r="G335">
        <v>-10</v>
      </c>
      <c r="H335">
        <v>0</v>
      </c>
      <c r="I335">
        <v>0</v>
      </c>
      <c r="J335">
        <v>0.45</v>
      </c>
      <c r="K335">
        <v>20.448372089999999</v>
      </c>
      <c r="L335">
        <v>0</v>
      </c>
      <c r="M335">
        <v>0</v>
      </c>
      <c r="N335">
        <v>20.448372089999999</v>
      </c>
      <c r="O335">
        <v>0.89674418600000005</v>
      </c>
      <c r="P335"/>
      <c r="Q335">
        <v>4.3854061999999999E-2</v>
      </c>
      <c r="R335">
        <v>0.17017807099999999</v>
      </c>
      <c r="S335" s="1" t="str">
        <f>VLOOKUP($E335,'Product Naming'!$A$1:$P$58,2,FALSE)</f>
        <v>Benzoate-PW1</v>
      </c>
      <c r="T335" s="1" t="str">
        <f>VLOOKUP($E335,'Product Naming'!$A$1:$P$58,3,FALSE)</f>
        <v>Benzoate (PW1)</v>
      </c>
      <c r="U335" s="1" t="str">
        <f>VLOOKUP($E335,'Product Naming'!$A$1:$P$58,4,FALSE)</f>
        <v>A</v>
      </c>
      <c r="V335" s="1" t="str">
        <f>VLOOKUP($E335,'Product Naming'!$A$1:$P$58,5,FALSE)</f>
        <v>C7H5O2</v>
      </c>
      <c r="W335" s="1">
        <f>VLOOKUP($E335,'Product Naming'!$A$1:$P$58,6,FALSE)</f>
        <v>7</v>
      </c>
      <c r="X335" s="1">
        <f>VLOOKUP($E335,'Product Naming'!$A$1:$P$58,7,FALSE)</f>
        <v>5</v>
      </c>
      <c r="Y335" s="1">
        <f>VLOOKUP($E335,'Product Naming'!$A$1:$P$58,8,FALSE)</f>
        <v>2</v>
      </c>
      <c r="Z335" s="1">
        <f>VLOOKUP($E335,'Product Naming'!$A$1:$P$58,9,FALSE)</f>
        <v>0</v>
      </c>
      <c r="AA335" s="1">
        <f>VLOOKUP($E335,'Product Naming'!$A$1:$P$58,10,FALSE)</f>
        <v>-1</v>
      </c>
      <c r="AB335" s="29">
        <f>VLOOKUP($E335,'Product Naming'!$A$1:$P$58,11,FALSE)</f>
        <v>4.1428571428571432</v>
      </c>
      <c r="AC335" s="3">
        <f>VLOOKUP($E335,'Product Naming'!$A$1:$P$58,12,FALSE)</f>
        <v>121.1121</v>
      </c>
      <c r="AD335" s="1">
        <f>VLOOKUP($E335,'Product Naming'!$A$1:$P$58,13,FALSE)</f>
        <v>249.2</v>
      </c>
      <c r="AE335" s="1" t="str">
        <f>VLOOKUP($E335,'Product Naming'!$A$1:$P$58,14,FALSE)</f>
        <v>Aromatic + Carboxylate</v>
      </c>
      <c r="AF335" s="1" t="str">
        <f>VLOOKUP($E335,'Product Naming'!$A$1:$P$58,15,FALSE)</f>
        <v>E4P + aKG</v>
      </c>
      <c r="AG335" s="30" t="str">
        <f>VLOOKUP($E335,'Product Naming'!$A$1:$P$58,16,FALSE)</f>
        <v>Proton symporter</v>
      </c>
      <c r="AH335" s="3" t="str">
        <f>VLOOKUP($E335,'Product Naming'!$A$1:$Q$58,17,FALSE)</f>
        <v>bz_c</v>
      </c>
      <c r="AI335" s="1">
        <f>VLOOKUP($E335,'Product Parameters'!$A$2:$D$59,2,FALSE)</f>
        <v>1</v>
      </c>
      <c r="AJ335" s="1">
        <f>VLOOKUP($E335,'Product Parameters'!$A$2:$D$59,3,FALSE)</f>
        <v>0</v>
      </c>
      <c r="AK335" s="1">
        <f>VLOOKUP($E335,'Product Parameters'!$A$2:$D$59,4,FALSE)</f>
        <v>0.12</v>
      </c>
      <c r="AL335" s="1">
        <f>VLOOKUP($E335,'Product Parameters'!$A$2:$E$59,5,FALSE)</f>
        <v>40.65</v>
      </c>
      <c r="AM335" s="1">
        <f>VLOOKUP($E335,'Product Parameters'!$A$2:$F$59,6,FALSE)</f>
        <v>7</v>
      </c>
      <c r="AN335" s="1">
        <f>VLOOKUP($C335,'Substrate Heating'!$A$2:$C$33,3,FALSE)</f>
        <v>226.4</v>
      </c>
      <c r="AO335" s="1">
        <f>VLOOKUP($C335,'Substrate Heating'!$A$2:$B$33,2,FALSE)</f>
        <v>7.2542014450728134</v>
      </c>
      <c r="AP335" s="1">
        <f>VLOOKUP($C335,'Substrate Heating'!$A$2:$M$33,13,FALSE)</f>
        <v>1.6</v>
      </c>
      <c r="AQ335" s="1">
        <f>VLOOKUP($C335,'Substrate Heating'!$A$2:$M$33,8,FALSE)</f>
        <v>1</v>
      </c>
      <c r="AR335" s="1">
        <f t="shared" si="5"/>
        <v>0.30697843400000002</v>
      </c>
    </row>
    <row r="336" spans="1:44" x14ac:dyDescent="0.2">
      <c r="A336" s="17" t="s">
        <v>323</v>
      </c>
      <c r="B336" s="18" t="s">
        <v>324</v>
      </c>
      <c r="C336" t="s">
        <v>328</v>
      </c>
      <c r="D336" s="19" t="s">
        <v>326</v>
      </c>
      <c r="E336" t="s">
        <v>204</v>
      </c>
      <c r="F336" t="s">
        <v>205</v>
      </c>
      <c r="G336">
        <v>-10</v>
      </c>
      <c r="H336">
        <v>0</v>
      </c>
      <c r="I336">
        <v>-10</v>
      </c>
      <c r="J336">
        <v>0.45</v>
      </c>
      <c r="K336">
        <v>-10</v>
      </c>
      <c r="L336">
        <v>0</v>
      </c>
      <c r="M336">
        <v>-10</v>
      </c>
      <c r="N336">
        <v>1.5062068965517199</v>
      </c>
      <c r="O336">
        <v>0.25103448275862</v>
      </c>
      <c r="P336"/>
      <c r="Q336">
        <v>2.5103448275862E-2</v>
      </c>
      <c r="R336">
        <v>0.17082437617554799</v>
      </c>
      <c r="S336" s="1" t="str">
        <f>VLOOKUP($E336,'Product Naming'!$A$1:$P$58,2,FALSE)</f>
        <v>Farnesene</v>
      </c>
      <c r="T336" s="1" t="str">
        <f>VLOOKUP($E336,'Product Naming'!$A$1:$P$58,3,FALSE)</f>
        <v>Farnesene</v>
      </c>
      <c r="U336" s="1" t="str">
        <f>VLOOKUP($E336,'Product Naming'!$A$1:$P$58,4,FALSE)</f>
        <v>A</v>
      </c>
      <c r="V336" s="1" t="str">
        <f>VLOOKUP($E336,'Product Naming'!$A$1:$P$58,5,FALSE)</f>
        <v>C15H24</v>
      </c>
      <c r="W336" s="1">
        <f>VLOOKUP($E336,'Product Naming'!$A$1:$P$58,6,FALSE)</f>
        <v>15</v>
      </c>
      <c r="X336" s="1">
        <f>VLOOKUP($E336,'Product Naming'!$A$1:$P$58,7,FALSE)</f>
        <v>24</v>
      </c>
      <c r="Y336" s="1">
        <f>VLOOKUP($E336,'Product Naming'!$A$1:$P$58,8,FALSE)</f>
        <v>0</v>
      </c>
      <c r="Z336" s="1">
        <f>VLOOKUP($E336,'Product Naming'!$A$1:$P$58,9,FALSE)</f>
        <v>0</v>
      </c>
      <c r="AA336" s="1">
        <f>VLOOKUP($E336,'Product Naming'!$A$1:$P$58,10,FALSE)</f>
        <v>0</v>
      </c>
      <c r="AB336" s="29">
        <f>VLOOKUP($E336,'Product Naming'!$A$1:$P$58,11,FALSE)</f>
        <v>5.6</v>
      </c>
      <c r="AC336" s="3">
        <f>VLOOKUP($E336,'Product Naming'!$A$1:$P$58,12,FALSE)</f>
        <v>204.34866000000002</v>
      </c>
      <c r="AD336" s="1" t="str">
        <f>VLOOKUP($E336,'Product Naming'!$A$1:$P$58,13,FALSE)</f>
        <v>260 (A)/272 (B)</v>
      </c>
      <c r="AE336" s="1" t="str">
        <f>VLOOKUP($E336,'Product Naming'!$A$1:$P$58,14,FALSE)</f>
        <v>Hydrocarbon</v>
      </c>
      <c r="AF336" s="1" t="str">
        <f>VLOOKUP($E336,'Product Naming'!$A$1:$P$58,15,FALSE)</f>
        <v>Acetyl-CoA</v>
      </c>
      <c r="AG336" s="30" t="str">
        <f>VLOOKUP($E336,'Product Naming'!$A$1:$P$58,16,FALSE)</f>
        <v>Proton symporter</v>
      </c>
      <c r="AH336" s="3" t="str">
        <f>VLOOKUP($E336,'Product Naming'!$A$1:$Q$58,17,FALSE)</f>
        <v>frene_c</v>
      </c>
      <c r="AI336" s="1">
        <f>VLOOKUP($E336,'Product Parameters'!$A$2:$D$59,2,FALSE)</f>
        <v>1</v>
      </c>
      <c r="AJ336" s="1">
        <f>VLOOKUP($E336,'Product Parameters'!$A$2:$D$59,3,FALSE)</f>
        <v>0</v>
      </c>
      <c r="AK336" s="1">
        <f>VLOOKUP($E336,'Product Parameters'!$A$2:$D$59,4,FALSE)</f>
        <v>0.12</v>
      </c>
      <c r="AL336" s="1">
        <f>VLOOKUP($E336,'Product Parameters'!$A$2:$E$59,5,FALSE)</f>
        <v>0</v>
      </c>
      <c r="AM336" s="1">
        <f>VLOOKUP($E336,'Product Parameters'!$A$2:$F$59,6,FALSE)</f>
        <v>15</v>
      </c>
      <c r="AN336" s="1">
        <f>VLOOKUP($C336,'Substrate Heating'!$A$2:$C$33,3,FALSE)</f>
        <v>262.39999999999998</v>
      </c>
      <c r="AO336" s="1">
        <f>VLOOKUP($C336,'Substrate Heating'!$A$2:$B$33,2,FALSE)</f>
        <v>17.478546483008707</v>
      </c>
      <c r="AP336" s="1">
        <f>VLOOKUP($C336,'Substrate Heating'!$A$2:$M$33,13,FALSE)</f>
        <v>1</v>
      </c>
      <c r="AQ336" s="1">
        <f>VLOOKUP($C336,'Substrate Heating'!$A$2:$M$33,8,FALSE)</f>
        <v>0.5</v>
      </c>
      <c r="AR336" s="1">
        <f t="shared" si="5"/>
        <v>0.75310344827586007</v>
      </c>
    </row>
    <row r="337" spans="1:44" x14ac:dyDescent="0.2">
      <c r="A337" s="17" t="s">
        <v>323</v>
      </c>
      <c r="B337" s="18" t="s">
        <v>324</v>
      </c>
      <c r="C337" t="s">
        <v>335</v>
      </c>
      <c r="D337" s="19" t="s">
        <v>326</v>
      </c>
      <c r="E337" t="s">
        <v>72</v>
      </c>
      <c r="F337" t="s">
        <v>73</v>
      </c>
      <c r="G337">
        <v>-10</v>
      </c>
      <c r="H337">
        <v>0</v>
      </c>
      <c r="I337">
        <v>-10</v>
      </c>
      <c r="J337">
        <v>0.45</v>
      </c>
      <c r="K337">
        <v>-10</v>
      </c>
      <c r="L337">
        <v>0</v>
      </c>
      <c r="M337">
        <v>-10</v>
      </c>
      <c r="N337">
        <v>2.0603773584905598</v>
      </c>
      <c r="O337">
        <v>1.3735849056603799</v>
      </c>
      <c r="P337"/>
      <c r="Q337">
        <v>0.13735849056603799</v>
      </c>
      <c r="R337">
        <v>0.17178907644490601</v>
      </c>
      <c r="S337" s="1" t="str">
        <f>VLOOKUP($E337,'Product Naming'!$A$1:$P$58,2,FALSE)</f>
        <v>1-propanol-PW1</v>
      </c>
      <c r="T337" s="1" t="str">
        <f>VLOOKUP($E337,'Product Naming'!$A$1:$P$58,3,FALSE)</f>
        <v>1-Propanol (PW1)</v>
      </c>
      <c r="U337" s="1" t="str">
        <f>VLOOKUP($E337,'Product Naming'!$A$1:$P$58,4,FALSE)</f>
        <v>E-S</v>
      </c>
      <c r="V337" s="1" t="str">
        <f>VLOOKUP($E337,'Product Naming'!$A$1:$P$58,5,FALSE)</f>
        <v>C3H8O</v>
      </c>
      <c r="W337" s="1">
        <f>VLOOKUP($E337,'Product Naming'!$A$1:$P$58,6,FALSE)</f>
        <v>3</v>
      </c>
      <c r="X337" s="1">
        <f>VLOOKUP($E337,'Product Naming'!$A$1:$P$58,7,FALSE)</f>
        <v>8</v>
      </c>
      <c r="Y337" s="1">
        <f>VLOOKUP($E337,'Product Naming'!$A$1:$P$58,8,FALSE)</f>
        <v>1</v>
      </c>
      <c r="Z337" s="1">
        <f>VLOOKUP($E337,'Product Naming'!$A$1:$P$58,9,FALSE)</f>
        <v>0</v>
      </c>
      <c r="AA337" s="1">
        <f>VLOOKUP($E337,'Product Naming'!$A$1:$P$58,10,FALSE)</f>
        <v>0</v>
      </c>
      <c r="AB337" s="29">
        <f>VLOOKUP($E337,'Product Naming'!$A$1:$P$58,11,FALSE)</f>
        <v>6</v>
      </c>
      <c r="AC337" s="3">
        <f>VLOOKUP($E337,'Product Naming'!$A$1:$P$58,12,FALSE)</f>
        <v>60.093820000000001</v>
      </c>
      <c r="AD337" s="1">
        <f>VLOOKUP($E337,'Product Naming'!$A$1:$P$58,13,FALSE)</f>
        <v>97</v>
      </c>
      <c r="AE337" s="1" t="str">
        <f>VLOOKUP($E337,'Product Naming'!$A$1:$P$58,14,FALSE)</f>
        <v>Alcohol</v>
      </c>
      <c r="AF337" s="1" t="str">
        <f>VLOOKUP($E337,'Product Naming'!$A$1:$P$58,15,FALSE)</f>
        <v>Glyceraldehyde 3-P (--&gt;DHAP)</v>
      </c>
      <c r="AG337" s="30" t="str">
        <f>VLOOKUP($E337,'Product Naming'!$A$1:$P$58,16,FALSE)</f>
        <v>Proton symporter</v>
      </c>
      <c r="AH337" s="3" t="str">
        <f>VLOOKUP($E337,'Product Naming'!$A$1:$Q$58,17,FALSE)</f>
        <v>ppoh_c</v>
      </c>
      <c r="AI337" s="1">
        <f>VLOOKUP($E337,'Product Parameters'!$A$2:$D$59,2,FALSE)</f>
        <v>1</v>
      </c>
      <c r="AJ337" s="1">
        <f>VLOOKUP($E337,'Product Parameters'!$A$2:$D$59,3,FALSE)</f>
        <v>0</v>
      </c>
      <c r="AK337" s="1">
        <f>VLOOKUP($E337,'Product Parameters'!$A$2:$D$59,4,FALSE)</f>
        <v>0.12</v>
      </c>
      <c r="AL337" s="1">
        <f>VLOOKUP($E337,'Product Parameters'!$A$2:$E$59,5,FALSE)</f>
        <v>47</v>
      </c>
      <c r="AM337" s="1">
        <f>VLOOKUP($E337,'Product Parameters'!$A$2:$F$59,6,FALSE)</f>
        <v>3</v>
      </c>
      <c r="AN337" s="1">
        <f>VLOOKUP($C337,'Substrate Heating'!$A$2:$C$33,3,FALSE)</f>
        <v>247.9</v>
      </c>
      <c r="AO337" s="1">
        <f>VLOOKUP($C337,'Substrate Heating'!$A$2:$B$33,2,FALSE)</f>
        <v>10.541709491918519</v>
      </c>
      <c r="AP337" s="1">
        <f>VLOOKUP($C337,'Substrate Heating'!$A$2:$M$33,13,FALSE)</f>
        <v>0.5</v>
      </c>
      <c r="AQ337" s="1">
        <f>VLOOKUP($C337,'Substrate Heating'!$A$2:$M$33,8,FALSE)</f>
        <v>0.5</v>
      </c>
      <c r="AR337" s="1">
        <f t="shared" si="5"/>
        <v>0.82415094339622796</v>
      </c>
    </row>
    <row r="338" spans="1:44" x14ac:dyDescent="0.2">
      <c r="A338" s="17" t="s">
        <v>323</v>
      </c>
      <c r="B338" s="18" t="s">
        <v>324</v>
      </c>
      <c r="C338" t="s">
        <v>328</v>
      </c>
      <c r="D338" s="19" t="s">
        <v>326</v>
      </c>
      <c r="E338" t="s">
        <v>259</v>
      </c>
      <c r="F338" t="s">
        <v>260</v>
      </c>
      <c r="G338">
        <v>-10</v>
      </c>
      <c r="H338">
        <v>0</v>
      </c>
      <c r="I338">
        <v>-10</v>
      </c>
      <c r="J338">
        <v>0.45</v>
      </c>
      <c r="K338">
        <v>-10</v>
      </c>
      <c r="L338">
        <v>0</v>
      </c>
      <c r="M338">
        <v>-10</v>
      </c>
      <c r="N338">
        <v>1.5166666666666699</v>
      </c>
      <c r="O338">
        <v>0.37916666666666599</v>
      </c>
      <c r="P338"/>
      <c r="Q338">
        <v>3.7916666666666599E-2</v>
      </c>
      <c r="R338">
        <v>0.17201065656565601</v>
      </c>
      <c r="S338" s="1" t="str">
        <f>VLOOKUP($E338,'Product Naming'!$A$1:$P$58,2,FALSE)</f>
        <v>Limonene</v>
      </c>
      <c r="T338" s="1" t="str">
        <f>VLOOKUP($E338,'Product Naming'!$A$1:$P$58,3,FALSE)</f>
        <v>Limonene</v>
      </c>
      <c r="U338" s="1" t="str">
        <f>VLOOKUP($E338,'Product Naming'!$A$1:$P$58,4,FALSE)</f>
        <v>E</v>
      </c>
      <c r="V338" s="1" t="str">
        <f>VLOOKUP($E338,'Product Naming'!$A$1:$P$58,5,FALSE)</f>
        <v>C10H16</v>
      </c>
      <c r="W338" s="1">
        <f>VLOOKUP($E338,'Product Naming'!$A$1:$P$58,6,FALSE)</f>
        <v>10</v>
      </c>
      <c r="X338" s="1">
        <f>VLOOKUP($E338,'Product Naming'!$A$1:$P$58,7,FALSE)</f>
        <v>16</v>
      </c>
      <c r="Y338" s="1">
        <f>VLOOKUP($E338,'Product Naming'!$A$1:$P$58,8,FALSE)</f>
        <v>0</v>
      </c>
      <c r="Z338" s="1">
        <f>VLOOKUP($E338,'Product Naming'!$A$1:$P$58,9,FALSE)</f>
        <v>0</v>
      </c>
      <c r="AA338" s="1">
        <f>VLOOKUP($E338,'Product Naming'!$A$1:$P$58,10,FALSE)</f>
        <v>0</v>
      </c>
      <c r="AB338" s="29">
        <f>VLOOKUP($E338,'Product Naming'!$A$1:$P$58,11,FALSE)</f>
        <v>5.6</v>
      </c>
      <c r="AC338" s="3">
        <f>VLOOKUP($E338,'Product Naming'!$A$1:$P$58,12,FALSE)</f>
        <v>136.23244</v>
      </c>
      <c r="AD338" s="1">
        <f>VLOOKUP($E338,'Product Naming'!$A$1:$P$58,13,FALSE)</f>
        <v>176</v>
      </c>
      <c r="AE338" s="1" t="str">
        <f>VLOOKUP($E338,'Product Naming'!$A$1:$P$58,14,FALSE)</f>
        <v>Isoprenoid; Aromatic (Cycloalkane)</v>
      </c>
      <c r="AF338" s="1" t="str">
        <f>VLOOKUP($E338,'Product Naming'!$A$1:$P$58,15,FALSE)</f>
        <v>Acetyl-CoA</v>
      </c>
      <c r="AG338" s="30" t="str">
        <f>VLOOKUP($E338,'Product Naming'!$A$1:$P$58,16,FALSE)</f>
        <v>Proton symporter</v>
      </c>
      <c r="AH338" s="3" t="str">
        <f>VLOOKUP($E338,'Product Naming'!$A$1:$Q$58,17,FALSE)</f>
        <v>limnen_c</v>
      </c>
      <c r="AI338" s="1">
        <f>VLOOKUP($E338,'Product Parameters'!$A$2:$D$59,2,FALSE)</f>
        <v>1</v>
      </c>
      <c r="AJ338" s="1">
        <f>VLOOKUP($E338,'Product Parameters'!$A$2:$D$59,3,FALSE)</f>
        <v>0</v>
      </c>
      <c r="AK338" s="1">
        <f>VLOOKUP($E338,'Product Parameters'!$A$2:$D$59,4,FALSE)</f>
        <v>0.12</v>
      </c>
      <c r="AL338" s="1">
        <f>VLOOKUP($E338,'Product Parameters'!$A$2:$E$59,5,FALSE)</f>
        <v>49.5</v>
      </c>
      <c r="AM338" s="1">
        <f>VLOOKUP($E338,'Product Parameters'!$A$2:$F$59,6,FALSE)</f>
        <v>10</v>
      </c>
      <c r="AN338" s="1">
        <f>VLOOKUP($C338,'Substrate Heating'!$A$2:$C$33,3,FALSE)</f>
        <v>262.39999999999998</v>
      </c>
      <c r="AO338" s="1">
        <f>VLOOKUP($C338,'Substrate Heating'!$A$2:$B$33,2,FALSE)</f>
        <v>17.478546483008707</v>
      </c>
      <c r="AP338" s="1">
        <f>VLOOKUP($C338,'Substrate Heating'!$A$2:$M$33,13,FALSE)</f>
        <v>1</v>
      </c>
      <c r="AQ338" s="1">
        <f>VLOOKUP($C338,'Substrate Heating'!$A$2:$M$33,8,FALSE)</f>
        <v>0.5</v>
      </c>
      <c r="AR338" s="1">
        <f t="shared" si="5"/>
        <v>0.75833333333333197</v>
      </c>
    </row>
    <row r="339" spans="1:44" x14ac:dyDescent="0.2">
      <c r="A339" s="17" t="s">
        <v>323</v>
      </c>
      <c r="B339" s="18" t="s">
        <v>324</v>
      </c>
      <c r="C339" t="s">
        <v>335</v>
      </c>
      <c r="D339" s="19" t="s">
        <v>326</v>
      </c>
      <c r="E339" t="s">
        <v>66</v>
      </c>
      <c r="F339" t="s">
        <v>67</v>
      </c>
      <c r="G339">
        <v>-10</v>
      </c>
      <c r="H339">
        <v>0</v>
      </c>
      <c r="I339">
        <v>-10</v>
      </c>
      <c r="J339">
        <v>0.45</v>
      </c>
      <c r="K339">
        <v>-10</v>
      </c>
      <c r="L339">
        <v>0</v>
      </c>
      <c r="M339">
        <v>-10</v>
      </c>
      <c r="N339">
        <v>1.38227848101266</v>
      </c>
      <c r="O339">
        <v>0.92151898734177196</v>
      </c>
      <c r="P339"/>
      <c r="Q339">
        <v>9.2151898734177007E-2</v>
      </c>
      <c r="R339">
        <v>0.17283505778206401</v>
      </c>
      <c r="S339" s="1" t="str">
        <f>VLOOKUP($E339,'Product Naming'!$A$1:$P$58,2,FALSE)</f>
        <v>1-4-butanediol</v>
      </c>
      <c r="T339" s="1" t="str">
        <f>VLOOKUP($E339,'Product Naming'!$A$1:$P$58,3,FALSE)</f>
        <v>1,4-Butanediol</v>
      </c>
      <c r="U339" s="1" t="str">
        <f>VLOOKUP($E339,'Product Naming'!$A$1:$P$58,4,FALSE)</f>
        <v>E</v>
      </c>
      <c r="V339" s="1" t="str">
        <f>VLOOKUP($E339,'Product Naming'!$A$1:$P$58,5,FALSE)</f>
        <v>C4H10O2</v>
      </c>
      <c r="W339" s="1">
        <f>VLOOKUP($E339,'Product Naming'!$A$1:$P$58,6,FALSE)</f>
        <v>4</v>
      </c>
      <c r="X339" s="1">
        <f>VLOOKUP($E339,'Product Naming'!$A$1:$P$58,7,FALSE)</f>
        <v>10</v>
      </c>
      <c r="Y339" s="1">
        <f>VLOOKUP($E339,'Product Naming'!$A$1:$P$58,8,FALSE)</f>
        <v>2</v>
      </c>
      <c r="Z339" s="1">
        <f>VLOOKUP($E339,'Product Naming'!$A$1:$P$58,9,FALSE)</f>
        <v>0</v>
      </c>
      <c r="AA339" s="1">
        <f>VLOOKUP($E339,'Product Naming'!$A$1:$P$58,10,FALSE)</f>
        <v>0</v>
      </c>
      <c r="AB339" s="29">
        <f>VLOOKUP($E339,'Product Naming'!$A$1:$P$58,11,FALSE)</f>
        <v>5.5</v>
      </c>
      <c r="AC339" s="3">
        <f>VLOOKUP($E339,'Product Naming'!$A$1:$P$58,12,FALSE)</f>
        <v>90.119200000000006</v>
      </c>
      <c r="AD339" s="1">
        <f>VLOOKUP($E339,'Product Naming'!$A$1:$P$58,13,FALSE)</f>
        <v>230</v>
      </c>
      <c r="AE339" s="1" t="str">
        <f>VLOOKUP($E339,'Product Naming'!$A$1:$P$58,14,FALSE)</f>
        <v>Diol</v>
      </c>
      <c r="AF339" s="1" t="str">
        <f>VLOOKUP($E339,'Product Naming'!$A$1:$P$58,15,FALSE)</f>
        <v>aKG</v>
      </c>
      <c r="AG339" s="30" t="str">
        <f>VLOOKUP($E339,'Product Naming'!$A$1:$P$58,16,FALSE)</f>
        <v>Proton symporter</v>
      </c>
      <c r="AH339" s="3" t="str">
        <f>VLOOKUP($E339,'Product Naming'!$A$1:$Q$58,17,FALSE)</f>
        <v>14bdo_c</v>
      </c>
      <c r="AI339" s="1">
        <f>VLOOKUP($E339,'Product Parameters'!$A$2:$D$59,2,FALSE)</f>
        <v>1</v>
      </c>
      <c r="AJ339" s="1">
        <f>VLOOKUP($E339,'Product Parameters'!$A$2:$D$59,3,FALSE)</f>
        <v>0</v>
      </c>
      <c r="AK339" s="1">
        <f>VLOOKUP($E339,'Product Parameters'!$A$2:$D$59,4,FALSE)</f>
        <v>0.12</v>
      </c>
      <c r="AL339" s="1">
        <f>VLOOKUP($E339,'Product Parameters'!$A$2:$E$59,5,FALSE)</f>
        <v>78</v>
      </c>
      <c r="AM339" s="1">
        <f>VLOOKUP($E339,'Product Parameters'!$A$2:$F$59,6,FALSE)</f>
        <v>4</v>
      </c>
      <c r="AN339" s="1">
        <f>VLOOKUP($C339,'Substrate Heating'!$A$2:$C$33,3,FALSE)</f>
        <v>247.9</v>
      </c>
      <c r="AO339" s="1">
        <f>VLOOKUP($C339,'Substrate Heating'!$A$2:$B$33,2,FALSE)</f>
        <v>10.541709491918519</v>
      </c>
      <c r="AP339" s="1">
        <f>VLOOKUP($C339,'Substrate Heating'!$A$2:$M$33,13,FALSE)</f>
        <v>0.5</v>
      </c>
      <c r="AQ339" s="1">
        <f>VLOOKUP($C339,'Substrate Heating'!$A$2:$M$33,8,FALSE)</f>
        <v>0.5</v>
      </c>
      <c r="AR339" s="1">
        <f t="shared" si="5"/>
        <v>0.73721518987341605</v>
      </c>
    </row>
    <row r="340" spans="1:44" x14ac:dyDescent="0.2">
      <c r="A340" s="17" t="s">
        <v>323</v>
      </c>
      <c r="B340" s="18" t="s">
        <v>324</v>
      </c>
      <c r="C340" t="s">
        <v>325</v>
      </c>
      <c r="D340" s="19" t="s">
        <v>326</v>
      </c>
      <c r="E340" t="s">
        <v>72</v>
      </c>
      <c r="F340" t="s">
        <v>73</v>
      </c>
      <c r="G340">
        <v>-10</v>
      </c>
      <c r="H340">
        <v>0</v>
      </c>
      <c r="I340">
        <v>0</v>
      </c>
      <c r="J340">
        <v>0.45</v>
      </c>
      <c r="K340">
        <v>-10</v>
      </c>
      <c r="L340">
        <v>0</v>
      </c>
      <c r="M340">
        <v>0</v>
      </c>
      <c r="N340">
        <v>6.2113207547169802</v>
      </c>
      <c r="O340">
        <v>0.80754716981132102</v>
      </c>
      <c r="P340"/>
      <c r="Q340">
        <v>8.0754716981131999E-2</v>
      </c>
      <c r="R340">
        <v>0.17325453146787201</v>
      </c>
      <c r="S340" s="1" t="str">
        <f>VLOOKUP($E340,'Product Naming'!$A$1:$P$58,2,FALSE)</f>
        <v>1-propanol-PW1</v>
      </c>
      <c r="T340" s="1" t="str">
        <f>VLOOKUP($E340,'Product Naming'!$A$1:$P$58,3,FALSE)</f>
        <v>1-Propanol (PW1)</v>
      </c>
      <c r="U340" s="1" t="str">
        <f>VLOOKUP($E340,'Product Naming'!$A$1:$P$58,4,FALSE)</f>
        <v>E-S</v>
      </c>
      <c r="V340" s="1" t="str">
        <f>VLOOKUP($E340,'Product Naming'!$A$1:$P$58,5,FALSE)</f>
        <v>C3H8O</v>
      </c>
      <c r="W340" s="1">
        <f>VLOOKUP($E340,'Product Naming'!$A$1:$P$58,6,FALSE)</f>
        <v>3</v>
      </c>
      <c r="X340" s="1">
        <f>VLOOKUP($E340,'Product Naming'!$A$1:$P$58,7,FALSE)</f>
        <v>8</v>
      </c>
      <c r="Y340" s="1">
        <f>VLOOKUP($E340,'Product Naming'!$A$1:$P$58,8,FALSE)</f>
        <v>1</v>
      </c>
      <c r="Z340" s="1">
        <f>VLOOKUP($E340,'Product Naming'!$A$1:$P$58,9,FALSE)</f>
        <v>0</v>
      </c>
      <c r="AA340" s="1">
        <f>VLOOKUP($E340,'Product Naming'!$A$1:$P$58,10,FALSE)</f>
        <v>0</v>
      </c>
      <c r="AB340" s="29">
        <f>VLOOKUP($E340,'Product Naming'!$A$1:$P$58,11,FALSE)</f>
        <v>6</v>
      </c>
      <c r="AC340" s="3">
        <f>VLOOKUP($E340,'Product Naming'!$A$1:$P$58,12,FALSE)</f>
        <v>60.093820000000001</v>
      </c>
      <c r="AD340" s="1">
        <f>VLOOKUP($E340,'Product Naming'!$A$1:$P$58,13,FALSE)</f>
        <v>97</v>
      </c>
      <c r="AE340" s="1" t="str">
        <f>VLOOKUP($E340,'Product Naming'!$A$1:$P$58,14,FALSE)</f>
        <v>Alcohol</v>
      </c>
      <c r="AF340" s="1" t="str">
        <f>VLOOKUP($E340,'Product Naming'!$A$1:$P$58,15,FALSE)</f>
        <v>Glyceraldehyde 3-P (--&gt;DHAP)</v>
      </c>
      <c r="AG340" s="30" t="str">
        <f>VLOOKUP($E340,'Product Naming'!$A$1:$P$58,16,FALSE)</f>
        <v>Proton symporter</v>
      </c>
      <c r="AH340" s="3" t="str">
        <f>VLOOKUP($E340,'Product Naming'!$A$1:$Q$58,17,FALSE)</f>
        <v>ppoh_c</v>
      </c>
      <c r="AI340" s="1">
        <f>VLOOKUP($E340,'Product Parameters'!$A$2:$D$59,2,FALSE)</f>
        <v>1</v>
      </c>
      <c r="AJ340" s="1">
        <f>VLOOKUP($E340,'Product Parameters'!$A$2:$D$59,3,FALSE)</f>
        <v>0</v>
      </c>
      <c r="AK340" s="1">
        <f>VLOOKUP($E340,'Product Parameters'!$A$2:$D$59,4,FALSE)</f>
        <v>0.12</v>
      </c>
      <c r="AL340" s="1">
        <f>VLOOKUP($E340,'Product Parameters'!$A$2:$E$59,5,FALSE)</f>
        <v>47</v>
      </c>
      <c r="AM340" s="1">
        <f>VLOOKUP($E340,'Product Parameters'!$A$2:$F$59,6,FALSE)</f>
        <v>3</v>
      </c>
      <c r="AN340" s="1">
        <f>VLOOKUP($C340,'Substrate Heating'!$A$2:$C$33,3,FALSE)</f>
        <v>280.09700000000004</v>
      </c>
      <c r="AO340" s="1">
        <f>VLOOKUP($C340,'Substrate Heating'!$A$2:$B$33,2,FALSE)</f>
        <v>10</v>
      </c>
      <c r="AP340" s="1">
        <f>VLOOKUP($C340,'Substrate Heating'!$A$2:$M$33,13,FALSE)</f>
        <v>2</v>
      </c>
      <c r="AQ340" s="1">
        <f>VLOOKUP($C340,'Substrate Heating'!$A$2:$M$33,8,FALSE)</f>
        <v>1</v>
      </c>
      <c r="AR340" s="1">
        <f t="shared" si="5"/>
        <v>0.24226415094339598</v>
      </c>
    </row>
    <row r="341" spans="1:44" x14ac:dyDescent="0.2">
      <c r="A341" s="17" t="s">
        <v>323</v>
      </c>
      <c r="B341" s="18" t="s">
        <v>324</v>
      </c>
      <c r="C341" t="s">
        <v>325</v>
      </c>
      <c r="D341" s="19" t="s">
        <v>326</v>
      </c>
      <c r="E341" t="s">
        <v>66</v>
      </c>
      <c r="F341" t="s">
        <v>67</v>
      </c>
      <c r="G341">
        <v>-10</v>
      </c>
      <c r="H341">
        <v>0</v>
      </c>
      <c r="I341">
        <v>0</v>
      </c>
      <c r="J341">
        <v>0.45</v>
      </c>
      <c r="K341">
        <v>-10</v>
      </c>
      <c r="L341">
        <v>0</v>
      </c>
      <c r="M341">
        <v>0</v>
      </c>
      <c r="N341">
        <v>5.8126582278481003</v>
      </c>
      <c r="O341">
        <v>0.54177215189873396</v>
      </c>
      <c r="P341"/>
      <c r="Q341">
        <v>5.4177215189873E-2</v>
      </c>
      <c r="R341">
        <v>0.17430943559940201</v>
      </c>
      <c r="S341" s="1" t="str">
        <f>VLOOKUP($E341,'Product Naming'!$A$1:$P$58,2,FALSE)</f>
        <v>1-4-butanediol</v>
      </c>
      <c r="T341" s="1" t="str">
        <f>VLOOKUP($E341,'Product Naming'!$A$1:$P$58,3,FALSE)</f>
        <v>1,4-Butanediol</v>
      </c>
      <c r="U341" s="1" t="str">
        <f>VLOOKUP($E341,'Product Naming'!$A$1:$P$58,4,FALSE)</f>
        <v>E</v>
      </c>
      <c r="V341" s="1" t="str">
        <f>VLOOKUP($E341,'Product Naming'!$A$1:$P$58,5,FALSE)</f>
        <v>C4H10O2</v>
      </c>
      <c r="W341" s="1">
        <f>VLOOKUP($E341,'Product Naming'!$A$1:$P$58,6,FALSE)</f>
        <v>4</v>
      </c>
      <c r="X341" s="1">
        <f>VLOOKUP($E341,'Product Naming'!$A$1:$P$58,7,FALSE)</f>
        <v>10</v>
      </c>
      <c r="Y341" s="1">
        <f>VLOOKUP($E341,'Product Naming'!$A$1:$P$58,8,FALSE)</f>
        <v>2</v>
      </c>
      <c r="Z341" s="1">
        <f>VLOOKUP($E341,'Product Naming'!$A$1:$P$58,9,FALSE)</f>
        <v>0</v>
      </c>
      <c r="AA341" s="1">
        <f>VLOOKUP($E341,'Product Naming'!$A$1:$P$58,10,FALSE)</f>
        <v>0</v>
      </c>
      <c r="AB341" s="29">
        <f>VLOOKUP($E341,'Product Naming'!$A$1:$P$58,11,FALSE)</f>
        <v>5.5</v>
      </c>
      <c r="AC341" s="3">
        <f>VLOOKUP($E341,'Product Naming'!$A$1:$P$58,12,FALSE)</f>
        <v>90.119200000000006</v>
      </c>
      <c r="AD341" s="1">
        <f>VLOOKUP($E341,'Product Naming'!$A$1:$P$58,13,FALSE)</f>
        <v>230</v>
      </c>
      <c r="AE341" s="1" t="str">
        <f>VLOOKUP($E341,'Product Naming'!$A$1:$P$58,14,FALSE)</f>
        <v>Diol</v>
      </c>
      <c r="AF341" s="1" t="str">
        <f>VLOOKUP($E341,'Product Naming'!$A$1:$P$58,15,FALSE)</f>
        <v>aKG</v>
      </c>
      <c r="AG341" s="30" t="str">
        <f>VLOOKUP($E341,'Product Naming'!$A$1:$P$58,16,FALSE)</f>
        <v>Proton symporter</v>
      </c>
      <c r="AH341" s="3" t="str">
        <f>VLOOKUP($E341,'Product Naming'!$A$1:$Q$58,17,FALSE)</f>
        <v>14bdo_c</v>
      </c>
      <c r="AI341" s="1">
        <f>VLOOKUP($E341,'Product Parameters'!$A$2:$D$59,2,FALSE)</f>
        <v>1</v>
      </c>
      <c r="AJ341" s="1">
        <f>VLOOKUP($E341,'Product Parameters'!$A$2:$D$59,3,FALSE)</f>
        <v>0</v>
      </c>
      <c r="AK341" s="1">
        <f>VLOOKUP($E341,'Product Parameters'!$A$2:$D$59,4,FALSE)</f>
        <v>0.12</v>
      </c>
      <c r="AL341" s="1">
        <f>VLOOKUP($E341,'Product Parameters'!$A$2:$E$59,5,FALSE)</f>
        <v>78</v>
      </c>
      <c r="AM341" s="1">
        <f>VLOOKUP($E341,'Product Parameters'!$A$2:$F$59,6,FALSE)</f>
        <v>4</v>
      </c>
      <c r="AN341" s="1">
        <f>VLOOKUP($C341,'Substrate Heating'!$A$2:$C$33,3,FALSE)</f>
        <v>280.09700000000004</v>
      </c>
      <c r="AO341" s="1">
        <f>VLOOKUP($C341,'Substrate Heating'!$A$2:$B$33,2,FALSE)</f>
        <v>10</v>
      </c>
      <c r="AP341" s="1">
        <f>VLOOKUP($C341,'Substrate Heating'!$A$2:$M$33,13,FALSE)</f>
        <v>2</v>
      </c>
      <c r="AQ341" s="1">
        <f>VLOOKUP($C341,'Substrate Heating'!$A$2:$M$33,8,FALSE)</f>
        <v>1</v>
      </c>
      <c r="AR341" s="1">
        <f t="shared" si="5"/>
        <v>0.216708860759492</v>
      </c>
    </row>
    <row r="342" spans="1:44" x14ac:dyDescent="0.2">
      <c r="A342" s="8" t="s">
        <v>807</v>
      </c>
      <c r="B342" s="18" t="s">
        <v>324</v>
      </c>
      <c r="C342" t="s">
        <v>365</v>
      </c>
      <c r="D342" s="23" t="s">
        <v>338</v>
      </c>
      <c r="E342" t="s">
        <v>103</v>
      </c>
      <c r="F342" t="s">
        <v>104</v>
      </c>
      <c r="G342">
        <v>-10</v>
      </c>
      <c r="H342">
        <v>0</v>
      </c>
      <c r="I342">
        <v>0</v>
      </c>
      <c r="J342">
        <v>0.45</v>
      </c>
      <c r="K342">
        <v>-10</v>
      </c>
      <c r="L342">
        <v>0</v>
      </c>
      <c r="M342">
        <v>0</v>
      </c>
      <c r="N342">
        <v>0</v>
      </c>
      <c r="O342">
        <v>0.54666666666667596</v>
      </c>
      <c r="P342"/>
      <c r="Q342">
        <v>5.4666666666667599E-2</v>
      </c>
      <c r="R342">
        <v>0.17432179667797301</v>
      </c>
      <c r="S342" s="1" t="str">
        <f>VLOOKUP($E342,'Product Naming'!$A$1:$P$58,2,FALSE)</f>
        <v>3-Methyl-1-Pentanol</v>
      </c>
      <c r="T342" s="1" t="str">
        <f>VLOOKUP($E342,'Product Naming'!$A$1:$P$58,3,FALSE)</f>
        <v>3-Methyl-1-pentanol</v>
      </c>
      <c r="U342" s="1" t="str">
        <f>VLOOKUP($E342,'Product Naming'!$A$1:$P$58,4,FALSE)</f>
        <v>A</v>
      </c>
      <c r="V342" s="1" t="str">
        <f>VLOOKUP($E342,'Product Naming'!$A$1:$P$58,5,FALSE)</f>
        <v>C6H14O</v>
      </c>
      <c r="W342" s="1">
        <f>VLOOKUP($E342,'Product Naming'!$A$1:$P$58,6,FALSE)</f>
        <v>6</v>
      </c>
      <c r="X342" s="1">
        <f>VLOOKUP($E342,'Product Naming'!$A$1:$P$58,7,FALSE)</f>
        <v>14</v>
      </c>
      <c r="Y342" s="1">
        <f>VLOOKUP($E342,'Product Naming'!$A$1:$P$58,8,FALSE)</f>
        <v>1</v>
      </c>
      <c r="Z342" s="1">
        <f>VLOOKUP($E342,'Product Naming'!$A$1:$P$58,9,FALSE)</f>
        <v>0</v>
      </c>
      <c r="AA342" s="1">
        <f>VLOOKUP($E342,'Product Naming'!$A$1:$P$58,10,FALSE)</f>
        <v>0</v>
      </c>
      <c r="AB342" s="29">
        <f>VLOOKUP($E342,'Product Naming'!$A$1:$P$58,11,FALSE)</f>
        <v>6</v>
      </c>
      <c r="AC342" s="3">
        <f>VLOOKUP($E342,'Product Naming'!$A$1:$P$58,12,FALSE)</f>
        <v>102.17295999999999</v>
      </c>
      <c r="AD342" s="1">
        <f>VLOOKUP($E342,'Product Naming'!$A$1:$P$58,13,FALSE)</f>
        <v>153</v>
      </c>
      <c r="AE342" s="1" t="str">
        <f>VLOOKUP($E342,'Product Naming'!$A$1:$P$58,14,FALSE)</f>
        <v>Alcohol</v>
      </c>
      <c r="AF342" s="1" t="str">
        <f>VLOOKUP($E342,'Product Naming'!$A$1:$P$58,15,FALSE)</f>
        <v>Oxaloacetate</v>
      </c>
      <c r="AG342" s="30" t="str">
        <f>VLOOKUP($E342,'Product Naming'!$A$1:$P$58,16,FALSE)</f>
        <v>Proton symporter</v>
      </c>
      <c r="AH342" s="3" t="str">
        <f>VLOOKUP($E342,'Product Naming'!$A$1:$Q$58,17,FALSE)</f>
        <v>3mptoh_c</v>
      </c>
      <c r="AI342" s="1">
        <f>VLOOKUP($E342,'Product Parameters'!$A$2:$D$59,2,FALSE)</f>
        <v>1</v>
      </c>
      <c r="AJ342" s="1">
        <f>VLOOKUP($E342,'Product Parameters'!$A$2:$D$59,3,FALSE)</f>
        <v>0</v>
      </c>
      <c r="AK342" s="1">
        <f>VLOOKUP($E342,'Product Parameters'!$A$2:$D$59,4,FALSE)</f>
        <v>0.12</v>
      </c>
      <c r="AL342" s="1">
        <f>VLOOKUP($E342,'Product Parameters'!$A$2:$E$59,5,FALSE)</f>
        <v>61.7</v>
      </c>
      <c r="AM342" s="1">
        <f>VLOOKUP($E342,'Product Parameters'!$A$2:$F$59,6,FALSE)</f>
        <v>6</v>
      </c>
      <c r="AN342" s="1">
        <f>VLOOKUP($C342,'Substrate Heating'!$A$2:$C$33,3,FALSE)</f>
        <v>638.57832580000002</v>
      </c>
      <c r="AO342" s="1">
        <f>VLOOKUP($C342,'Substrate Heating'!$A$2:$B$33,2,FALSE)</f>
        <v>19.93</v>
      </c>
      <c r="AP342" s="1">
        <f>VLOOKUP($C342,'Substrate Heating'!$A$2:$M$33,13,FALSE)</f>
        <v>6</v>
      </c>
      <c r="AQ342" s="1">
        <f>VLOOKUP($C342,'Substrate Heating'!$A$2:$M$33,8,FALSE)</f>
        <v>1</v>
      </c>
      <c r="AR342" s="1">
        <f t="shared" si="5"/>
        <v>0.32800000000000562</v>
      </c>
    </row>
    <row r="343" spans="1:44" x14ac:dyDescent="0.2">
      <c r="A343" s="17" t="s">
        <v>323</v>
      </c>
      <c r="B343" s="18" t="s">
        <v>324</v>
      </c>
      <c r="C343" t="s">
        <v>333</v>
      </c>
      <c r="D343" s="19" t="s">
        <v>326</v>
      </c>
      <c r="E343" t="s">
        <v>264</v>
      </c>
      <c r="F343" t="s">
        <v>265</v>
      </c>
      <c r="G343">
        <v>-10</v>
      </c>
      <c r="H343">
        <v>0</v>
      </c>
      <c r="I343">
        <v>0</v>
      </c>
      <c r="J343">
        <v>0.45</v>
      </c>
      <c r="K343">
        <v>-10</v>
      </c>
      <c r="L343">
        <v>0</v>
      </c>
      <c r="M343">
        <v>0</v>
      </c>
      <c r="N343">
        <v>5.5487179487179503</v>
      </c>
      <c r="O343">
        <v>0.54871794871794899</v>
      </c>
      <c r="P343"/>
      <c r="Q343">
        <v>5.4871794871794902E-2</v>
      </c>
      <c r="R343">
        <v>0.17546872179908299</v>
      </c>
      <c r="S343" s="1" t="str">
        <f>VLOOKUP($E343,'Product Naming'!$A$1:$P$58,2,FALSE)</f>
        <v>Lysine_L</v>
      </c>
      <c r="T343" s="1" t="str">
        <f>VLOOKUP($E343,'Product Naming'!$A$1:$P$58,3,FALSE)</f>
        <v>L-Lysine</v>
      </c>
      <c r="U343" s="1" t="str">
        <f>VLOOKUP($E343,'Product Naming'!$A$1:$P$58,4,FALSE)</f>
        <v>iJO1366</v>
      </c>
      <c r="V343" s="1" t="str">
        <f>VLOOKUP($E343,'Product Naming'!$A$1:$P$58,5,FALSE)</f>
        <v>C6H15N2O2</v>
      </c>
      <c r="W343" s="1">
        <f>VLOOKUP($E343,'Product Naming'!$A$1:$P$58,6,FALSE)</f>
        <v>6</v>
      </c>
      <c r="X343" s="1">
        <f>VLOOKUP($E343,'Product Naming'!$A$1:$P$58,7,FALSE)</f>
        <v>15</v>
      </c>
      <c r="Y343" s="1">
        <f>VLOOKUP($E343,'Product Naming'!$A$1:$P$58,8,FALSE)</f>
        <v>2</v>
      </c>
      <c r="Z343" s="1">
        <f>VLOOKUP($E343,'Product Naming'!$A$1:$P$58,9,FALSE)</f>
        <v>2</v>
      </c>
      <c r="AA343" s="1">
        <f>VLOOKUP($E343,'Product Naming'!$A$1:$P$58,10,FALSE)</f>
        <v>1</v>
      </c>
      <c r="AB343" s="29">
        <f>VLOOKUP($E343,'Product Naming'!$A$1:$P$58,11,FALSE)</f>
        <v>4.833333333333333</v>
      </c>
      <c r="AC343" s="3">
        <f>VLOOKUP($E343,'Product Naming'!$A$1:$P$58,12,FALSE)</f>
        <v>147.19319999999999</v>
      </c>
      <c r="AD343" s="1" t="str">
        <f>VLOOKUP($E343,'Product Naming'!$A$1:$P$58,13,FALSE)</f>
        <v>NA</v>
      </c>
      <c r="AE343" s="1" t="str">
        <f>VLOOKUP($E343,'Product Naming'!$A$1:$P$58,14,FALSE)</f>
        <v>Amino acid</v>
      </c>
      <c r="AF343" s="1" t="str">
        <f>VLOOKUP($E343,'Product Naming'!$A$1:$P$58,15,FALSE)</f>
        <v>Oxaloacetate</v>
      </c>
      <c r="AG343" s="30" t="str">
        <f>VLOOKUP($E343,'Product Naming'!$A$1:$P$58,16,FALSE)</f>
        <v>Proton antiport</v>
      </c>
      <c r="AH343" s="3" t="str">
        <f>VLOOKUP($E343,'Product Naming'!$A$1:$Q$58,17,FALSE)</f>
        <v>lys__L_</v>
      </c>
      <c r="AI343" s="1">
        <f>VLOOKUP($E343,'Product Parameters'!$A$2:$D$59,2,FALSE)</f>
        <v>1</v>
      </c>
      <c r="AJ343" s="1">
        <f>VLOOKUP($E343,'Product Parameters'!$A$2:$D$59,3,FALSE)</f>
        <v>0</v>
      </c>
      <c r="AK343" s="1">
        <f>VLOOKUP($E343,'Product Parameters'!$A$2:$D$59,4,FALSE)</f>
        <v>0.12</v>
      </c>
      <c r="AL343" s="1">
        <f>VLOOKUP($E343,'Product Parameters'!$A$2:$E$59,5,FALSE)</f>
        <v>40.65</v>
      </c>
      <c r="AM343" s="1">
        <f>VLOOKUP($E343,'Product Parameters'!$A$2:$F$59,6,FALSE)</f>
        <v>6</v>
      </c>
      <c r="AN343" s="1">
        <f>VLOOKUP($C343,'Substrate Heating'!$A$2:$C$33,3,FALSE)</f>
        <v>247.59097</v>
      </c>
      <c r="AO343" s="1">
        <f>VLOOKUP($C343,'Substrate Heating'!$A$2:$B$33,2,FALSE)</f>
        <v>5.5</v>
      </c>
      <c r="AP343" s="1">
        <f>VLOOKUP($C343,'Substrate Heating'!$A$2:$M$33,13,FALSE)</f>
        <v>1</v>
      </c>
      <c r="AQ343" s="1">
        <f>VLOOKUP($C343,'Substrate Heating'!$A$2:$M$33,8,FALSE)</f>
        <v>1</v>
      </c>
      <c r="AR343" s="1">
        <f t="shared" si="5"/>
        <v>0.32923076923076944</v>
      </c>
    </row>
    <row r="344" spans="1:44" x14ac:dyDescent="0.2">
      <c r="A344" s="17" t="s">
        <v>185</v>
      </c>
      <c r="B344" s="9" t="s">
        <v>35</v>
      </c>
      <c r="C344" t="s">
        <v>339</v>
      </c>
      <c r="D344" s="23" t="s">
        <v>338</v>
      </c>
      <c r="E344" t="s">
        <v>225</v>
      </c>
      <c r="F344" t="s">
        <v>226</v>
      </c>
      <c r="G344">
        <v>-10</v>
      </c>
      <c r="H344">
        <v>-20</v>
      </c>
      <c r="I344" s="1" t="s">
        <v>40</v>
      </c>
      <c r="J344">
        <v>3.15</v>
      </c>
      <c r="K344">
        <v>-10</v>
      </c>
      <c r="L344">
        <v>-3.3840909090909101</v>
      </c>
      <c r="M344" s="1" t="s">
        <v>40</v>
      </c>
      <c r="N344">
        <v>7.8454545454545501</v>
      </c>
      <c r="O344">
        <v>1.07727272727273</v>
      </c>
      <c r="P344"/>
      <c r="Q344">
        <v>0.107727272727273</v>
      </c>
      <c r="R344">
        <v>0.17562745237451999</v>
      </c>
      <c r="S344" s="1" t="str">
        <f>VLOOKUP($E344,'Product Naming'!$A$1:$P$58,2,FALSE)</f>
        <v>Glycolate</v>
      </c>
      <c r="T344" s="1" t="str">
        <f>VLOOKUP($E344,'Product Naming'!$A$1:$P$58,3,FALSE)</f>
        <v>Glycolate</v>
      </c>
      <c r="U344" s="1" t="str">
        <f>VLOOKUP($E344,'Product Naming'!$A$1:$P$58,4,FALSE)</f>
        <v>iJO1366</v>
      </c>
      <c r="V344" s="1" t="str">
        <f>VLOOKUP($E344,'Product Naming'!$A$1:$P$58,5,FALSE)</f>
        <v>C2H3O3</v>
      </c>
      <c r="W344" s="1">
        <f>VLOOKUP($E344,'Product Naming'!$A$1:$P$58,6,FALSE)</f>
        <v>2</v>
      </c>
      <c r="X344" s="1">
        <f>VLOOKUP($E344,'Product Naming'!$A$1:$P$58,7,FALSE)</f>
        <v>3</v>
      </c>
      <c r="Y344" s="1">
        <f>VLOOKUP($E344,'Product Naming'!$A$1:$P$58,8,FALSE)</f>
        <v>3</v>
      </c>
      <c r="Z344" s="1">
        <f>VLOOKUP($E344,'Product Naming'!$A$1:$P$58,9,FALSE)</f>
        <v>0</v>
      </c>
      <c r="AA344" s="1">
        <f>VLOOKUP($E344,'Product Naming'!$A$1:$P$58,10,FALSE)</f>
        <v>-1</v>
      </c>
      <c r="AB344" s="29">
        <f>VLOOKUP($E344,'Product Naming'!$A$1:$P$58,11,FALSE)</f>
        <v>2.5</v>
      </c>
      <c r="AC344" s="3">
        <f>VLOOKUP($E344,'Product Naming'!$A$1:$P$58,12,FALSE)</f>
        <v>75.041920000000005</v>
      </c>
      <c r="AD344" s="1">
        <f>VLOOKUP($E344,'Product Naming'!$A$1:$P$58,13,FALSE)</f>
        <v>112</v>
      </c>
      <c r="AE344" s="1" t="str">
        <f>VLOOKUP($E344,'Product Naming'!$A$1:$P$58,14,FALSE)</f>
        <v>Carboxylate + Alcohol (hydroxy carboxylate)</v>
      </c>
      <c r="AF344" s="1" t="str">
        <f>VLOOKUP($E344,'Product Naming'!$A$1:$P$58,15,FALSE)</f>
        <v>Glyoxylate (*isocitrate)</v>
      </c>
      <c r="AG344" s="30" t="str">
        <f>VLOOKUP($E344,'Product Naming'!$A$1:$P$58,16,FALSE)</f>
        <v>Proton symporter</v>
      </c>
      <c r="AH344" s="3" t="str">
        <f>VLOOKUP($E344,'Product Naming'!$A$1:$Q$58,17,FALSE)</f>
        <v>glyclt_c</v>
      </c>
      <c r="AI344" s="1">
        <f>VLOOKUP($E344,'Product Parameters'!$A$2:$D$59,2,FALSE)</f>
        <v>1</v>
      </c>
      <c r="AJ344" s="1">
        <f>VLOOKUP($E344,'Product Parameters'!$A$2:$D$59,3,FALSE)</f>
        <v>0</v>
      </c>
      <c r="AK344" s="1">
        <f>VLOOKUP($E344,'Product Parameters'!$A$2:$D$59,4,FALSE)</f>
        <v>0.12</v>
      </c>
      <c r="AL344" s="1">
        <f>VLOOKUP($E344,'Product Parameters'!$A$2:$E$59,5,FALSE)</f>
        <v>40.65</v>
      </c>
      <c r="AM344" s="1">
        <f>VLOOKUP($E344,'Product Parameters'!$A$2:$F$59,6,FALSE)</f>
        <v>2</v>
      </c>
      <c r="AN344" s="1">
        <f>VLOOKUP($C344,'Substrate Heating'!$A$2:$C$33,3,FALSE)</f>
        <v>247.59097</v>
      </c>
      <c r="AO344" s="1">
        <f>VLOOKUP($C344,'Substrate Heating'!$A$2:$B$33,2,FALSE)</f>
        <v>5.5</v>
      </c>
      <c r="AP344" s="1">
        <f>VLOOKUP($C344,'Substrate Heating'!$A$2:$M$33,13,FALSE)</f>
        <v>1</v>
      </c>
      <c r="AQ344" s="1">
        <f>VLOOKUP($C344,'Substrate Heating'!$A$2:$M$33,8,FALSE)</f>
        <v>1</v>
      </c>
      <c r="AR344" s="1">
        <f t="shared" si="5"/>
        <v>0.21545454545454601</v>
      </c>
    </row>
    <row r="345" spans="1:44" x14ac:dyDescent="0.2">
      <c r="A345" s="8" t="s">
        <v>34</v>
      </c>
      <c r="B345" s="9" t="s">
        <v>35</v>
      </c>
      <c r="C345" s="1" t="s">
        <v>344</v>
      </c>
      <c r="D345" s="10" t="s">
        <v>37</v>
      </c>
      <c r="E345" s="1" t="s">
        <v>306</v>
      </c>
      <c r="F345" s="1" t="s">
        <v>302</v>
      </c>
      <c r="G345" s="1">
        <v>-10</v>
      </c>
      <c r="H345" s="1">
        <v>-20</v>
      </c>
      <c r="I345" s="1" t="s">
        <v>40</v>
      </c>
      <c r="J345" s="1">
        <v>3.15</v>
      </c>
      <c r="K345" s="1">
        <v>-10</v>
      </c>
      <c r="L345" s="1">
        <v>-8.0292207792207808</v>
      </c>
      <c r="M345" s="1" t="s">
        <v>40</v>
      </c>
      <c r="N345" s="1">
        <v>12.8175324675325</v>
      </c>
      <c r="O345" s="1">
        <v>2.3941558441558399</v>
      </c>
      <c r="Q345" s="1">
        <v>0.239415584415584</v>
      </c>
      <c r="R345" s="1">
        <v>0.17579742722973399</v>
      </c>
      <c r="S345" s="1" t="str">
        <f>VLOOKUP($E345,'Product Naming'!$A$1:$P$58,2,FALSE)</f>
        <v>Propane-PW2</v>
      </c>
      <c r="T345" s="1" t="str">
        <f>VLOOKUP($E345,'Product Naming'!$A$1:$P$58,3,FALSE)</f>
        <v>Propane (PW2)</v>
      </c>
      <c r="U345" s="1" t="str">
        <f>VLOOKUP($E345,'Product Naming'!$A$1:$P$58,4,FALSE)</f>
        <v>E</v>
      </c>
      <c r="V345" s="1" t="str">
        <f>VLOOKUP($E345,'Product Naming'!$A$1:$P$58,5,FALSE)</f>
        <v>C3H8</v>
      </c>
      <c r="W345" s="1">
        <f>VLOOKUP($E345,'Product Naming'!$A$1:$P$58,6,FALSE)</f>
        <v>3</v>
      </c>
      <c r="X345" s="1">
        <f>VLOOKUP($E345,'Product Naming'!$A$1:$P$58,7,FALSE)</f>
        <v>8</v>
      </c>
      <c r="Y345" s="1">
        <f>VLOOKUP($E345,'Product Naming'!$A$1:$P$58,8,FALSE)</f>
        <v>0</v>
      </c>
      <c r="Z345" s="1">
        <f>VLOOKUP($E345,'Product Naming'!$A$1:$P$58,9,FALSE)</f>
        <v>0</v>
      </c>
      <c r="AA345" s="1">
        <f>VLOOKUP($E345,'Product Naming'!$A$1:$P$58,10,FALSE)</f>
        <v>0</v>
      </c>
      <c r="AB345" s="29">
        <f>VLOOKUP($E345,'Product Naming'!$A$1:$P$58,11,FALSE)</f>
        <v>6.666666666666667</v>
      </c>
      <c r="AC345" s="3">
        <f>VLOOKUP($E345,'Product Naming'!$A$1:$P$58,12,FALSE)</f>
        <v>44.094819999999999</v>
      </c>
      <c r="AD345" s="1">
        <f>VLOOKUP($E345,'Product Naming'!$A$1:$P$58,13,FALSE)</f>
        <v>-42</v>
      </c>
      <c r="AE345" s="1" t="str">
        <f>VLOOKUP($E345,'Product Naming'!$A$1:$P$58,14,FALSE)</f>
        <v>Hydrocarbon</v>
      </c>
      <c r="AF345" s="1" t="str">
        <f>VLOOKUP($E345,'Product Naming'!$A$1:$P$58,15,FALSE)</f>
        <v>Oxaloacetate</v>
      </c>
      <c r="AG345" s="30" t="str">
        <f>VLOOKUP($E345,'Product Naming'!$A$1:$P$58,16,FALSE)</f>
        <v>Diffusion</v>
      </c>
      <c r="AH345" s="3" t="str">
        <f>VLOOKUP($E345,'Product Naming'!$A$1:$Q$58,17,FALSE)</f>
        <v>prop_c</v>
      </c>
      <c r="AI345" s="1">
        <f>VLOOKUP($E345,'Product Parameters'!$A$2:$D$59,2,FALSE)</f>
        <v>0</v>
      </c>
      <c r="AJ345" s="1">
        <f>VLOOKUP($E345,'Product Parameters'!$A$2:$D$59,3,FALSE)</f>
        <v>1</v>
      </c>
      <c r="AK345" s="1">
        <f>VLOOKUP($E345,'Product Parameters'!$A$2:$D$59,4,FALSE)</f>
        <v>0.12</v>
      </c>
      <c r="AL345" s="1">
        <f>VLOOKUP($E345,'Product Parameters'!$A$2:$E$59,5,FALSE)</f>
        <v>0</v>
      </c>
      <c r="AM345" s="1">
        <f>VLOOKUP($E345,'Product Parameters'!$A$2:$F$59,6,FALSE)</f>
        <v>3</v>
      </c>
      <c r="AN345" s="1">
        <f>VLOOKUP($C345,'Substrate Heating'!$A$2:$C$33,3,FALSE)</f>
        <v>1020.8629199999999</v>
      </c>
      <c r="AO345" s="1">
        <f>VLOOKUP($C345,'Substrate Heating'!$A$2:$B$33,2,FALSE)</f>
        <v>17</v>
      </c>
      <c r="AP345" s="1">
        <f>VLOOKUP($C345,'Substrate Heating'!$A$2:$M$33,13,FALSE)</f>
        <v>4</v>
      </c>
      <c r="AQ345" s="1">
        <f>VLOOKUP($C345,'Substrate Heating'!$A$2:$M$33,8,FALSE)</f>
        <v>2</v>
      </c>
      <c r="AR345" s="1">
        <f t="shared" si="5"/>
        <v>0.35912337662337601</v>
      </c>
    </row>
    <row r="346" spans="1:44" x14ac:dyDescent="0.2">
      <c r="A346" s="17" t="s">
        <v>323</v>
      </c>
      <c r="B346" s="18" t="s">
        <v>324</v>
      </c>
      <c r="C346" t="s">
        <v>335</v>
      </c>
      <c r="D346" s="19" t="s">
        <v>326</v>
      </c>
      <c r="E346" t="s">
        <v>306</v>
      </c>
      <c r="F346" t="s">
        <v>302</v>
      </c>
      <c r="G346">
        <v>-10</v>
      </c>
      <c r="H346">
        <v>0</v>
      </c>
      <c r="I346">
        <v>-10</v>
      </c>
      <c r="J346">
        <v>0.45</v>
      </c>
      <c r="K346">
        <v>-10</v>
      </c>
      <c r="L346">
        <v>0</v>
      </c>
      <c r="M346">
        <v>-10</v>
      </c>
      <c r="N346">
        <v>3.8315789473684201</v>
      </c>
      <c r="O346">
        <v>1.91578947368421</v>
      </c>
      <c r="P346"/>
      <c r="Q346">
        <v>0.19157894736842099</v>
      </c>
      <c r="R346">
        <v>0.17581081216076699</v>
      </c>
      <c r="S346" s="1" t="str">
        <f>VLOOKUP($E346,'Product Naming'!$A$1:$P$58,2,FALSE)</f>
        <v>Propane-PW2</v>
      </c>
      <c r="T346" s="1" t="str">
        <f>VLOOKUP($E346,'Product Naming'!$A$1:$P$58,3,FALSE)</f>
        <v>Propane (PW2)</v>
      </c>
      <c r="U346" s="1" t="str">
        <f>VLOOKUP($E346,'Product Naming'!$A$1:$P$58,4,FALSE)</f>
        <v>E</v>
      </c>
      <c r="V346" s="1" t="str">
        <f>VLOOKUP($E346,'Product Naming'!$A$1:$P$58,5,FALSE)</f>
        <v>C3H8</v>
      </c>
      <c r="W346" s="1">
        <f>VLOOKUP($E346,'Product Naming'!$A$1:$P$58,6,FALSE)</f>
        <v>3</v>
      </c>
      <c r="X346" s="1">
        <f>VLOOKUP($E346,'Product Naming'!$A$1:$P$58,7,FALSE)</f>
        <v>8</v>
      </c>
      <c r="Y346" s="1">
        <f>VLOOKUP($E346,'Product Naming'!$A$1:$P$58,8,FALSE)</f>
        <v>0</v>
      </c>
      <c r="Z346" s="1">
        <f>VLOOKUP($E346,'Product Naming'!$A$1:$P$58,9,FALSE)</f>
        <v>0</v>
      </c>
      <c r="AA346" s="1">
        <f>VLOOKUP($E346,'Product Naming'!$A$1:$P$58,10,FALSE)</f>
        <v>0</v>
      </c>
      <c r="AB346" s="29">
        <f>VLOOKUP($E346,'Product Naming'!$A$1:$P$58,11,FALSE)</f>
        <v>6.666666666666667</v>
      </c>
      <c r="AC346" s="3">
        <f>VLOOKUP($E346,'Product Naming'!$A$1:$P$58,12,FALSE)</f>
        <v>44.094819999999999</v>
      </c>
      <c r="AD346" s="1">
        <f>VLOOKUP($E346,'Product Naming'!$A$1:$P$58,13,FALSE)</f>
        <v>-42</v>
      </c>
      <c r="AE346" s="1" t="str">
        <f>VLOOKUP($E346,'Product Naming'!$A$1:$P$58,14,FALSE)</f>
        <v>Hydrocarbon</v>
      </c>
      <c r="AF346" s="1" t="str">
        <f>VLOOKUP($E346,'Product Naming'!$A$1:$P$58,15,FALSE)</f>
        <v>Oxaloacetate</v>
      </c>
      <c r="AG346" s="30" t="str">
        <f>VLOOKUP($E346,'Product Naming'!$A$1:$P$58,16,FALSE)</f>
        <v>Diffusion</v>
      </c>
      <c r="AH346" s="3" t="str">
        <f>VLOOKUP($E346,'Product Naming'!$A$1:$Q$58,17,FALSE)</f>
        <v>prop_c</v>
      </c>
      <c r="AI346" s="1">
        <f>VLOOKUP($E346,'Product Parameters'!$A$2:$D$59,2,FALSE)</f>
        <v>0</v>
      </c>
      <c r="AJ346" s="1">
        <f>VLOOKUP($E346,'Product Parameters'!$A$2:$D$59,3,FALSE)</f>
        <v>1</v>
      </c>
      <c r="AK346" s="1">
        <f>VLOOKUP($E346,'Product Parameters'!$A$2:$D$59,4,FALSE)</f>
        <v>0.12</v>
      </c>
      <c r="AL346" s="1">
        <f>VLOOKUP($E346,'Product Parameters'!$A$2:$E$59,5,FALSE)</f>
        <v>0</v>
      </c>
      <c r="AM346" s="1">
        <f>VLOOKUP($E346,'Product Parameters'!$A$2:$F$59,6,FALSE)</f>
        <v>3</v>
      </c>
      <c r="AN346" s="1">
        <f>VLOOKUP($C346,'Substrate Heating'!$A$2:$C$33,3,FALSE)</f>
        <v>247.9</v>
      </c>
      <c r="AO346" s="1">
        <f>VLOOKUP($C346,'Substrate Heating'!$A$2:$B$33,2,FALSE)</f>
        <v>10.541709491918519</v>
      </c>
      <c r="AP346" s="1">
        <f>VLOOKUP($C346,'Substrate Heating'!$A$2:$M$33,13,FALSE)</f>
        <v>0.5</v>
      </c>
      <c r="AQ346" s="1">
        <f>VLOOKUP($C346,'Substrate Heating'!$A$2:$M$33,8,FALSE)</f>
        <v>0.5</v>
      </c>
      <c r="AR346" s="1">
        <f t="shared" si="5"/>
        <v>1.149473684210526</v>
      </c>
    </row>
    <row r="347" spans="1:44" x14ac:dyDescent="0.2">
      <c r="A347" s="8" t="s">
        <v>809</v>
      </c>
      <c r="B347" s="18" t="s">
        <v>324</v>
      </c>
      <c r="C347" t="s">
        <v>808</v>
      </c>
      <c r="D347" s="19" t="s">
        <v>326</v>
      </c>
      <c r="E347" t="s">
        <v>103</v>
      </c>
      <c r="F347" t="s">
        <v>104</v>
      </c>
      <c r="G347">
        <v>-10</v>
      </c>
      <c r="H347">
        <v>0</v>
      </c>
      <c r="I347">
        <v>-20</v>
      </c>
      <c r="J347">
        <v>0.45</v>
      </c>
      <c r="K347">
        <v>-7.9692307692307702</v>
      </c>
      <c r="L347">
        <v>0</v>
      </c>
      <c r="M347">
        <v>-20</v>
      </c>
      <c r="N347">
        <v>-7.9692307692307702</v>
      </c>
      <c r="O347">
        <v>0.67692307692307596</v>
      </c>
      <c r="P347"/>
      <c r="Q347">
        <v>8.49420849420848E-2</v>
      </c>
      <c r="R347">
        <v>0.176867329347178</v>
      </c>
      <c r="S347" s="1" t="str">
        <f>VLOOKUP($E347,'Product Naming'!$A$1:$P$58,2,FALSE)</f>
        <v>3-Methyl-1-Pentanol</v>
      </c>
      <c r="T347" s="1" t="str">
        <f>VLOOKUP($E347,'Product Naming'!$A$1:$P$58,3,FALSE)</f>
        <v>3-Methyl-1-pentanol</v>
      </c>
      <c r="U347" s="1" t="str">
        <f>VLOOKUP($E347,'Product Naming'!$A$1:$P$58,4,FALSE)</f>
        <v>A</v>
      </c>
      <c r="V347" s="1" t="str">
        <f>VLOOKUP($E347,'Product Naming'!$A$1:$P$58,5,FALSE)</f>
        <v>C6H14O</v>
      </c>
      <c r="W347" s="1">
        <f>VLOOKUP($E347,'Product Naming'!$A$1:$P$58,6,FALSE)</f>
        <v>6</v>
      </c>
      <c r="X347" s="1">
        <f>VLOOKUP($E347,'Product Naming'!$A$1:$P$58,7,FALSE)</f>
        <v>14</v>
      </c>
      <c r="Y347" s="1">
        <f>VLOOKUP($E347,'Product Naming'!$A$1:$P$58,8,FALSE)</f>
        <v>1</v>
      </c>
      <c r="Z347" s="1">
        <f>VLOOKUP($E347,'Product Naming'!$A$1:$P$58,9,FALSE)</f>
        <v>0</v>
      </c>
      <c r="AA347" s="1">
        <f>VLOOKUP($E347,'Product Naming'!$A$1:$P$58,10,FALSE)</f>
        <v>0</v>
      </c>
      <c r="AB347" s="29">
        <f>VLOOKUP($E347,'Product Naming'!$A$1:$P$58,11,FALSE)</f>
        <v>6</v>
      </c>
      <c r="AC347" s="3">
        <f>VLOOKUP($E347,'Product Naming'!$A$1:$P$58,12,FALSE)</f>
        <v>102.17295999999999</v>
      </c>
      <c r="AD347" s="1">
        <f>VLOOKUP($E347,'Product Naming'!$A$1:$P$58,13,FALSE)</f>
        <v>153</v>
      </c>
      <c r="AE347" s="1" t="str">
        <f>VLOOKUP($E347,'Product Naming'!$A$1:$P$58,14,FALSE)</f>
        <v>Alcohol</v>
      </c>
      <c r="AF347" s="1" t="str">
        <f>VLOOKUP($E347,'Product Naming'!$A$1:$P$58,15,FALSE)</f>
        <v>Oxaloacetate</v>
      </c>
      <c r="AG347" s="30" t="str">
        <f>VLOOKUP($E347,'Product Naming'!$A$1:$P$58,16,FALSE)</f>
        <v>Proton symporter</v>
      </c>
      <c r="AH347" s="3" t="str">
        <f>VLOOKUP($E347,'Product Naming'!$A$1:$Q$58,17,FALSE)</f>
        <v>3mptoh_c</v>
      </c>
      <c r="AI347" s="1">
        <f>VLOOKUP($E347,'Product Parameters'!$A$2:$D$59,2,FALSE)</f>
        <v>1</v>
      </c>
      <c r="AJ347" s="1">
        <f>VLOOKUP($E347,'Product Parameters'!$A$2:$D$59,3,FALSE)</f>
        <v>0</v>
      </c>
      <c r="AK347" s="1">
        <f>VLOOKUP($E347,'Product Parameters'!$A$2:$D$59,4,FALSE)</f>
        <v>0.12</v>
      </c>
      <c r="AL347" s="1">
        <f>VLOOKUP($E347,'Product Parameters'!$A$2:$E$59,5,FALSE)</f>
        <v>61.7</v>
      </c>
      <c r="AM347" s="1">
        <f>VLOOKUP($E347,'Product Parameters'!$A$2:$F$59,6,FALSE)</f>
        <v>6</v>
      </c>
      <c r="AN347" s="1">
        <f>VLOOKUP($C347,'Substrate Heating'!$A$2:$C$33,3,FALSE)</f>
        <v>120.9</v>
      </c>
      <c r="AO347" s="1">
        <f>VLOOKUP($C347,'Substrate Heating'!$A$2:$B$33,2,FALSE)</f>
        <v>5.2537372583834907</v>
      </c>
      <c r="AP347" s="1">
        <f>VLOOKUP($C347,'Substrate Heating'!$A$2:$M$33,13,FALSE)</f>
        <v>0</v>
      </c>
      <c r="AQ347" s="1">
        <f>VLOOKUP($C347,'Substrate Heating'!$A$2:$M$33,8,FALSE)</f>
        <v>0.33333333333333331</v>
      </c>
      <c r="AR347" s="1">
        <f t="shared" si="5"/>
        <v>1.5289575289575266</v>
      </c>
    </row>
    <row r="348" spans="1:44" x14ac:dyDescent="0.2">
      <c r="A348" s="8" t="s">
        <v>809</v>
      </c>
      <c r="B348" s="18" t="s">
        <v>324</v>
      </c>
      <c r="C348" t="s">
        <v>808</v>
      </c>
      <c r="D348" s="19" t="s">
        <v>326</v>
      </c>
      <c r="E348" t="s">
        <v>52</v>
      </c>
      <c r="F348" t="s">
        <v>53</v>
      </c>
      <c r="G348">
        <v>-10</v>
      </c>
      <c r="H348">
        <v>0</v>
      </c>
      <c r="I348">
        <v>-20</v>
      </c>
      <c r="J348">
        <v>0.45</v>
      </c>
      <c r="K348">
        <v>-8.9846153846153793</v>
      </c>
      <c r="L348">
        <v>0</v>
      </c>
      <c r="M348">
        <v>-20</v>
      </c>
      <c r="N348">
        <v>-8.9846153846153793</v>
      </c>
      <c r="O348">
        <v>1.01538461538461</v>
      </c>
      <c r="P348"/>
      <c r="Q348">
        <v>0.11301369863013699</v>
      </c>
      <c r="R348">
        <v>0.177427396598622</v>
      </c>
      <c r="S348" s="1" t="str">
        <f>VLOOKUP($E348,'Product Naming'!$A$1:$P$58,2,FALSE)</f>
        <v>1-3-Diaminopropane</v>
      </c>
      <c r="T348" s="1" t="str">
        <f>VLOOKUP($E348,'Product Naming'!$A$1:$P$58,3,FALSE)</f>
        <v>1,3-Diaminopropane</v>
      </c>
      <c r="U348" s="1" t="str">
        <f>VLOOKUP($E348,'Product Naming'!$A$1:$P$58,4,FALSE)</f>
        <v>A</v>
      </c>
      <c r="V348" s="1" t="str">
        <f>VLOOKUP($E348,'Product Naming'!$A$1:$P$58,5,FALSE)</f>
        <v>C3H12N2</v>
      </c>
      <c r="W348" s="1">
        <f>VLOOKUP($E348,'Product Naming'!$A$1:$P$58,6,FALSE)</f>
        <v>3</v>
      </c>
      <c r="X348" s="1">
        <f>VLOOKUP($E348,'Product Naming'!$A$1:$P$58,7,FALSE)</f>
        <v>12</v>
      </c>
      <c r="Y348" s="1">
        <f>VLOOKUP($E348,'Product Naming'!$A$1:$P$58,8,FALSE)</f>
        <v>0</v>
      </c>
      <c r="Z348" s="1">
        <f>VLOOKUP($E348,'Product Naming'!$A$1:$P$58,9,FALSE)</f>
        <v>2</v>
      </c>
      <c r="AA348" s="1">
        <f>VLOOKUP($E348,'Product Naming'!$A$1:$P$58,10,FALSE)</f>
        <v>2</v>
      </c>
      <c r="AB348" s="29">
        <f>VLOOKUP($E348,'Product Naming'!$A$1:$P$58,11,FALSE)</f>
        <v>6</v>
      </c>
      <c r="AC348" s="3">
        <f>VLOOKUP($E348,'Product Naming'!$A$1:$P$58,12,FALSE)</f>
        <v>76.139580000000009</v>
      </c>
      <c r="AD348" s="1">
        <f>VLOOKUP($E348,'Product Naming'!$A$1:$P$58,13,FALSE)</f>
        <v>139.30000000000001</v>
      </c>
      <c r="AE348" s="1" t="str">
        <f>VLOOKUP($E348,'Product Naming'!$A$1:$P$58,14,FALSE)</f>
        <v>Diamine</v>
      </c>
      <c r="AF348" s="1" t="str">
        <f>VLOOKUP($E348,'Product Naming'!$A$1:$P$58,15,FALSE)</f>
        <v>Oxaloacetate + aKG</v>
      </c>
      <c r="AG348" s="30" t="str">
        <f>VLOOKUP($E348,'Product Naming'!$A$1:$P$58,16,FALSE)</f>
        <v>Proton symporter</v>
      </c>
      <c r="AH348" s="3" t="str">
        <f>VLOOKUP($E348,'Product Naming'!$A$1:$Q$58,17,FALSE)</f>
        <v>13dampp_c</v>
      </c>
      <c r="AI348" s="1">
        <f>VLOOKUP($E348,'Product Parameters'!$A$2:$D$59,2,FALSE)</f>
        <v>1</v>
      </c>
      <c r="AJ348" s="1">
        <f>VLOOKUP($E348,'Product Parameters'!$A$2:$D$59,3,FALSE)</f>
        <v>0</v>
      </c>
      <c r="AK348" s="1">
        <f>VLOOKUP($E348,'Product Parameters'!$A$2:$D$59,4,FALSE)</f>
        <v>0.12</v>
      </c>
      <c r="AL348" s="1">
        <f>VLOOKUP($E348,'Product Parameters'!$A$2:$E$59,5,FALSE)</f>
        <v>50.18</v>
      </c>
      <c r="AM348" s="1">
        <f>VLOOKUP($E348,'Product Parameters'!$A$2:$F$59,6,FALSE)</f>
        <v>3</v>
      </c>
      <c r="AN348" s="1">
        <f>VLOOKUP($C348,'Substrate Heating'!$A$2:$C$33,3,FALSE)</f>
        <v>120.9</v>
      </c>
      <c r="AO348" s="1">
        <f>VLOOKUP($C348,'Substrate Heating'!$A$2:$B$33,2,FALSE)</f>
        <v>5.2537372583834907</v>
      </c>
      <c r="AP348" s="1">
        <f>VLOOKUP($C348,'Substrate Heating'!$A$2:$M$33,13,FALSE)</f>
        <v>0</v>
      </c>
      <c r="AQ348" s="1">
        <f>VLOOKUP($C348,'Substrate Heating'!$A$2:$M$33,8,FALSE)</f>
        <v>0.33333333333333331</v>
      </c>
      <c r="AR348" s="1">
        <f t="shared" si="5"/>
        <v>1.0171232876712331</v>
      </c>
    </row>
    <row r="349" spans="1:44" x14ac:dyDescent="0.2">
      <c r="A349" s="17" t="s">
        <v>323</v>
      </c>
      <c r="B349" s="18" t="s">
        <v>324</v>
      </c>
      <c r="C349" t="s">
        <v>333</v>
      </c>
      <c r="D349" s="19" t="s">
        <v>326</v>
      </c>
      <c r="E349" t="s">
        <v>38</v>
      </c>
      <c r="F349" t="s">
        <v>39</v>
      </c>
      <c r="G349">
        <v>-10</v>
      </c>
      <c r="H349">
        <v>0</v>
      </c>
      <c r="I349">
        <v>0</v>
      </c>
      <c r="J349">
        <v>0.45</v>
      </c>
      <c r="K349">
        <v>-10</v>
      </c>
      <c r="L349">
        <v>0</v>
      </c>
      <c r="M349">
        <v>0</v>
      </c>
      <c r="N349">
        <v>6.3636363636363598</v>
      </c>
      <c r="O349">
        <v>0.90909090909090895</v>
      </c>
      <c r="P349"/>
      <c r="Q349">
        <v>9.0909090909090995E-2</v>
      </c>
      <c r="R349">
        <v>0.17798510852606</v>
      </c>
      <c r="S349" s="1" t="str">
        <f>VLOOKUP($E349,'Product Naming'!$A$1:$P$58,2,FALSE)</f>
        <v>1-3-butanediol-PW1</v>
      </c>
      <c r="T349" s="1" t="str">
        <f>VLOOKUP($E349,'Product Naming'!$A$1:$P$58,3,FALSE)</f>
        <v>1,3-Butanediol (PW1)</v>
      </c>
      <c r="U349" s="1" t="str">
        <f>VLOOKUP($E349,'Product Naming'!$A$1:$P$58,4,FALSE)</f>
        <v>E</v>
      </c>
      <c r="V349" s="1" t="str">
        <f>VLOOKUP($E349,'Product Naming'!$A$1:$P$58,5,FALSE)</f>
        <v>C4H10O2</v>
      </c>
      <c r="W349" s="1">
        <f>VLOOKUP($E349,'Product Naming'!$A$1:$P$58,6,FALSE)</f>
        <v>4</v>
      </c>
      <c r="X349" s="1">
        <f>VLOOKUP($E349,'Product Naming'!$A$1:$P$58,7,FALSE)</f>
        <v>10</v>
      </c>
      <c r="Y349" s="1">
        <f>VLOOKUP($E349,'Product Naming'!$A$1:$P$58,8,FALSE)</f>
        <v>2</v>
      </c>
      <c r="Z349" s="1">
        <f>VLOOKUP($E349,'Product Naming'!$A$1:$P$58,9,FALSE)</f>
        <v>0</v>
      </c>
      <c r="AA349" s="1">
        <f>VLOOKUP($E349,'Product Naming'!$A$1:$P$58,10,FALSE)</f>
        <v>0</v>
      </c>
      <c r="AB349" s="29">
        <f>VLOOKUP($E349,'Product Naming'!$A$1:$P$58,11,FALSE)</f>
        <v>5.5</v>
      </c>
      <c r="AC349" s="3">
        <f>VLOOKUP($E349,'Product Naming'!$A$1:$P$58,12,FALSE)</f>
        <v>90.119200000000006</v>
      </c>
      <c r="AD349" s="1">
        <f>VLOOKUP($E349,'Product Naming'!$A$1:$P$58,13,FALSE)</f>
        <v>207</v>
      </c>
      <c r="AE349" s="1" t="str">
        <f>VLOOKUP($E349,'Product Naming'!$A$1:$P$58,14,FALSE)</f>
        <v>Diol</v>
      </c>
      <c r="AF349" s="1" t="str">
        <f>VLOOKUP($E349,'Product Naming'!$A$1:$P$58,15,FALSE)</f>
        <v>Acetyl-CoA</v>
      </c>
      <c r="AG349" s="30" t="str">
        <f>VLOOKUP($E349,'Product Naming'!$A$1:$P$58,16,FALSE)</f>
        <v>Proton symporter</v>
      </c>
      <c r="AH349" s="3" t="str">
        <f>VLOOKUP($E349,'Product Naming'!$A$1:$Q$58,17,FALSE)</f>
        <v>13bdo__R_c</v>
      </c>
      <c r="AI349" s="1">
        <f>VLOOKUP($E349,'Product Parameters'!$A$2:$D$59,2,FALSE)</f>
        <v>1</v>
      </c>
      <c r="AJ349" s="1">
        <f>VLOOKUP($E349,'Product Parameters'!$A$2:$D$59,3,FALSE)</f>
        <v>0</v>
      </c>
      <c r="AK349" s="1">
        <f>VLOOKUP($E349,'Product Parameters'!$A$2:$D$59,4,FALSE)</f>
        <v>0.12</v>
      </c>
      <c r="AL349" s="1">
        <f>VLOOKUP($E349,'Product Parameters'!$A$2:$E$59,5,FALSE)</f>
        <v>72.599999999999994</v>
      </c>
      <c r="AM349" s="1">
        <f>VLOOKUP($E349,'Product Parameters'!$A$2:$F$59,6,FALSE)</f>
        <v>4</v>
      </c>
      <c r="AN349" s="1">
        <f>VLOOKUP($C349,'Substrate Heating'!$A$2:$C$33,3,FALSE)</f>
        <v>247.59097</v>
      </c>
      <c r="AO349" s="1">
        <f>VLOOKUP($C349,'Substrate Heating'!$A$2:$B$33,2,FALSE)</f>
        <v>5.5</v>
      </c>
      <c r="AP349" s="1">
        <f>VLOOKUP($C349,'Substrate Heating'!$A$2:$M$33,13,FALSE)</f>
        <v>1</v>
      </c>
      <c r="AQ349" s="1">
        <f>VLOOKUP($C349,'Substrate Heating'!$A$2:$M$33,8,FALSE)</f>
        <v>1</v>
      </c>
      <c r="AR349" s="1">
        <f t="shared" si="5"/>
        <v>0.36363636363636398</v>
      </c>
    </row>
    <row r="350" spans="1:44" x14ac:dyDescent="0.2">
      <c r="A350" s="17" t="s">
        <v>323</v>
      </c>
      <c r="B350" s="18" t="s">
        <v>324</v>
      </c>
      <c r="C350" t="s">
        <v>333</v>
      </c>
      <c r="D350" s="19" t="s">
        <v>326</v>
      </c>
      <c r="E350" t="s">
        <v>48</v>
      </c>
      <c r="F350" t="s">
        <v>39</v>
      </c>
      <c r="G350">
        <v>-10</v>
      </c>
      <c r="H350">
        <v>0</v>
      </c>
      <c r="I350">
        <v>0</v>
      </c>
      <c r="J350">
        <v>0.45</v>
      </c>
      <c r="K350">
        <v>-10</v>
      </c>
      <c r="L350">
        <v>0</v>
      </c>
      <c r="M350">
        <v>0</v>
      </c>
      <c r="N350">
        <v>6.3636363636363598</v>
      </c>
      <c r="O350">
        <v>0.90909090909090895</v>
      </c>
      <c r="P350"/>
      <c r="Q350">
        <v>9.0909090909090995E-2</v>
      </c>
      <c r="R350">
        <v>0.17798665522738699</v>
      </c>
      <c r="S350" s="1" t="str">
        <f>VLOOKUP($E350,'Product Naming'!$A$1:$P$58,2,FALSE)</f>
        <v>1-3-butanediol-PW2</v>
      </c>
      <c r="T350" s="1" t="str">
        <f>VLOOKUP($E350,'Product Naming'!$A$1:$P$58,3,FALSE)</f>
        <v>1,3-Butanediol (PW2)</v>
      </c>
      <c r="U350" s="1" t="str">
        <f>VLOOKUP($E350,'Product Naming'!$A$1:$P$58,4,FALSE)</f>
        <v>E</v>
      </c>
      <c r="V350" s="1" t="str">
        <f>VLOOKUP($E350,'Product Naming'!$A$1:$P$58,5,FALSE)</f>
        <v>C4H10O2</v>
      </c>
      <c r="W350" s="1">
        <f>VLOOKUP($E350,'Product Naming'!$A$1:$P$58,6,FALSE)</f>
        <v>4</v>
      </c>
      <c r="X350" s="1">
        <f>VLOOKUP($E350,'Product Naming'!$A$1:$P$58,7,FALSE)</f>
        <v>10</v>
      </c>
      <c r="Y350" s="1">
        <f>VLOOKUP($E350,'Product Naming'!$A$1:$P$58,8,FALSE)</f>
        <v>2</v>
      </c>
      <c r="Z350" s="1">
        <f>VLOOKUP($E350,'Product Naming'!$A$1:$P$58,9,FALSE)</f>
        <v>0</v>
      </c>
      <c r="AA350" s="1">
        <f>VLOOKUP($E350,'Product Naming'!$A$1:$P$58,10,FALSE)</f>
        <v>0</v>
      </c>
      <c r="AB350" s="29">
        <f>VLOOKUP($E350,'Product Naming'!$A$1:$P$58,11,FALSE)</f>
        <v>5.5</v>
      </c>
      <c r="AC350" s="3">
        <f>VLOOKUP($E350,'Product Naming'!$A$1:$P$58,12,FALSE)</f>
        <v>90.119200000000006</v>
      </c>
      <c r="AD350" s="1">
        <f>VLOOKUP($E350,'Product Naming'!$A$1:$P$58,13,FALSE)</f>
        <v>207</v>
      </c>
      <c r="AE350" s="1" t="str">
        <f>VLOOKUP($E350,'Product Naming'!$A$1:$P$58,14,FALSE)</f>
        <v>Diol</v>
      </c>
      <c r="AF350" s="1" t="str">
        <f>VLOOKUP($E350,'Product Naming'!$A$1:$P$58,15,FALSE)</f>
        <v>Pyruvate (acetalehyde)</v>
      </c>
      <c r="AG350" s="30" t="str">
        <f>VLOOKUP($E350,'Product Naming'!$A$1:$P$58,16,FALSE)</f>
        <v>Proton symporter</v>
      </c>
      <c r="AH350" s="3" t="str">
        <f>VLOOKUP($E350,'Product Naming'!$A$1:$Q$58,17,FALSE)</f>
        <v>13bdo__R_c</v>
      </c>
      <c r="AI350" s="1">
        <f>VLOOKUP($E350,'Product Parameters'!$A$2:$D$59,2,FALSE)</f>
        <v>1</v>
      </c>
      <c r="AJ350" s="1">
        <f>VLOOKUP($E350,'Product Parameters'!$A$2:$D$59,3,FALSE)</f>
        <v>0</v>
      </c>
      <c r="AK350" s="1">
        <f>VLOOKUP($E350,'Product Parameters'!$A$2:$D$59,4,FALSE)</f>
        <v>0.12</v>
      </c>
      <c r="AL350" s="1">
        <f>VLOOKUP($E350,'Product Parameters'!$A$2:$E$59,5,FALSE)</f>
        <v>72.599999999999994</v>
      </c>
      <c r="AM350" s="1">
        <f>VLOOKUP($E350,'Product Parameters'!$A$2:$F$59,6,FALSE)</f>
        <v>4</v>
      </c>
      <c r="AN350" s="1">
        <f>VLOOKUP($C350,'Substrate Heating'!$A$2:$C$33,3,FALSE)</f>
        <v>247.59097</v>
      </c>
      <c r="AO350" s="1">
        <f>VLOOKUP($C350,'Substrate Heating'!$A$2:$B$33,2,FALSE)</f>
        <v>5.5</v>
      </c>
      <c r="AP350" s="1">
        <f>VLOOKUP($C350,'Substrate Heating'!$A$2:$M$33,13,FALSE)</f>
        <v>1</v>
      </c>
      <c r="AQ350" s="1">
        <f>VLOOKUP($C350,'Substrate Heating'!$A$2:$M$33,8,FALSE)</f>
        <v>1</v>
      </c>
      <c r="AR350" s="1">
        <f t="shared" si="5"/>
        <v>0.36363636363636398</v>
      </c>
    </row>
    <row r="351" spans="1:44" x14ac:dyDescent="0.2">
      <c r="A351" s="17" t="s">
        <v>323</v>
      </c>
      <c r="B351" s="18" t="s">
        <v>324</v>
      </c>
      <c r="C351" t="s">
        <v>333</v>
      </c>
      <c r="D351" s="19" t="s">
        <v>326</v>
      </c>
      <c r="E351" t="s">
        <v>85</v>
      </c>
      <c r="F351" t="s">
        <v>86</v>
      </c>
      <c r="G351">
        <v>-10</v>
      </c>
      <c r="H351">
        <v>0</v>
      </c>
      <c r="I351">
        <v>0</v>
      </c>
      <c r="J351">
        <v>0.45</v>
      </c>
      <c r="K351">
        <v>-10</v>
      </c>
      <c r="L351">
        <v>0</v>
      </c>
      <c r="M351">
        <v>0</v>
      </c>
      <c r="N351">
        <v>6.3636363636363598</v>
      </c>
      <c r="O351">
        <v>0.90909090909090895</v>
      </c>
      <c r="P351"/>
      <c r="Q351">
        <v>9.0909090909090995E-2</v>
      </c>
      <c r="R351">
        <v>0.17798665522738699</v>
      </c>
      <c r="S351" s="1" t="str">
        <f>VLOOKUP($E351,'Product Naming'!$A$1:$P$58,2,FALSE)</f>
        <v>2-3-butanediol</v>
      </c>
      <c r="T351" s="1" t="str">
        <f>VLOOKUP($E351,'Product Naming'!$A$1:$P$58,3,FALSE)</f>
        <v>2,3-Butanediol</v>
      </c>
      <c r="U351" s="1" t="str">
        <f>VLOOKUP($E351,'Product Naming'!$A$1:$P$58,4,FALSE)</f>
        <v>E</v>
      </c>
      <c r="V351" s="1" t="str">
        <f>VLOOKUP($E351,'Product Naming'!$A$1:$P$58,5,FALSE)</f>
        <v>C4H10O2</v>
      </c>
      <c r="W351" s="1">
        <f>VLOOKUP($E351,'Product Naming'!$A$1:$P$58,6,FALSE)</f>
        <v>4</v>
      </c>
      <c r="X351" s="1">
        <f>VLOOKUP($E351,'Product Naming'!$A$1:$P$58,7,FALSE)</f>
        <v>10</v>
      </c>
      <c r="Y351" s="1">
        <f>VLOOKUP($E351,'Product Naming'!$A$1:$P$58,8,FALSE)</f>
        <v>2</v>
      </c>
      <c r="Z351" s="1">
        <f>VLOOKUP($E351,'Product Naming'!$A$1:$P$58,9,FALSE)</f>
        <v>0</v>
      </c>
      <c r="AA351" s="1">
        <f>VLOOKUP($E351,'Product Naming'!$A$1:$P$58,10,FALSE)</f>
        <v>0</v>
      </c>
      <c r="AB351" s="29">
        <f>VLOOKUP($E351,'Product Naming'!$A$1:$P$58,11,FALSE)</f>
        <v>5.5</v>
      </c>
      <c r="AC351" s="3">
        <f>VLOOKUP($E351,'Product Naming'!$A$1:$P$58,12,FALSE)</f>
        <v>90.119200000000006</v>
      </c>
      <c r="AD351" s="1">
        <f>VLOOKUP($E351,'Product Naming'!$A$1:$P$58,13,FALSE)</f>
        <v>177</v>
      </c>
      <c r="AE351" s="1" t="str">
        <f>VLOOKUP($E351,'Product Naming'!$A$1:$P$58,14,FALSE)</f>
        <v>Diol</v>
      </c>
      <c r="AF351" s="1" t="str">
        <f>VLOOKUP($E351,'Product Naming'!$A$1:$P$58,15,FALSE)</f>
        <v>Pyruvate</v>
      </c>
      <c r="AG351" s="30" t="str">
        <f>VLOOKUP($E351,'Product Naming'!$A$1:$P$58,16,FALSE)</f>
        <v>Proton symporter</v>
      </c>
      <c r="AH351" s="3" t="str">
        <f>VLOOKUP($E351,'Product Naming'!$A$1:$Q$58,17,FALSE)</f>
        <v>btd_RR_c</v>
      </c>
      <c r="AI351" s="1">
        <f>VLOOKUP($E351,'Product Parameters'!$A$2:$D$59,2,FALSE)</f>
        <v>1</v>
      </c>
      <c r="AJ351" s="1">
        <f>VLOOKUP($E351,'Product Parameters'!$A$2:$D$59,3,FALSE)</f>
        <v>0</v>
      </c>
      <c r="AK351" s="1">
        <f>VLOOKUP($E351,'Product Parameters'!$A$2:$D$59,4,FALSE)</f>
        <v>0.12</v>
      </c>
      <c r="AL351" s="1">
        <f>VLOOKUP($E351,'Product Parameters'!$A$2:$E$59,5,FALSE)</f>
        <v>63</v>
      </c>
      <c r="AM351" s="1">
        <f>VLOOKUP($E351,'Product Parameters'!$A$2:$F$59,6,FALSE)</f>
        <v>4</v>
      </c>
      <c r="AN351" s="1">
        <f>VLOOKUP($C351,'Substrate Heating'!$A$2:$C$33,3,FALSE)</f>
        <v>247.59097</v>
      </c>
      <c r="AO351" s="1">
        <f>VLOOKUP($C351,'Substrate Heating'!$A$2:$B$33,2,FALSE)</f>
        <v>5.5</v>
      </c>
      <c r="AP351" s="1">
        <f>VLOOKUP($C351,'Substrate Heating'!$A$2:$M$33,13,FALSE)</f>
        <v>1</v>
      </c>
      <c r="AQ351" s="1">
        <f>VLOOKUP($C351,'Substrate Heating'!$A$2:$M$33,8,FALSE)</f>
        <v>1</v>
      </c>
      <c r="AR351" s="1">
        <f t="shared" si="5"/>
        <v>0.36363636363636398</v>
      </c>
    </row>
    <row r="352" spans="1:44" x14ac:dyDescent="0.2">
      <c r="A352" s="17" t="s">
        <v>185</v>
      </c>
      <c r="B352" s="9" t="s">
        <v>35</v>
      </c>
      <c r="C352" t="s">
        <v>337</v>
      </c>
      <c r="D352" s="23" t="s">
        <v>338</v>
      </c>
      <c r="E352" t="s">
        <v>215</v>
      </c>
      <c r="F352" t="s">
        <v>216</v>
      </c>
      <c r="G352">
        <v>-10</v>
      </c>
      <c r="H352">
        <v>-20</v>
      </c>
      <c r="I352" s="1" t="s">
        <v>40</v>
      </c>
      <c r="J352">
        <v>3.15</v>
      </c>
      <c r="K352">
        <v>-10</v>
      </c>
      <c r="L352">
        <v>-2.4607142857142801</v>
      </c>
      <c r="M352" s="1" t="s">
        <v>40</v>
      </c>
      <c r="N352">
        <v>7.1785714285714297</v>
      </c>
      <c r="O352">
        <v>0.56428571428571395</v>
      </c>
      <c r="P352"/>
      <c r="Q352">
        <v>5.6428571428571397E-2</v>
      </c>
      <c r="R352">
        <v>0.17912999275000699</v>
      </c>
      <c r="S352" s="1" t="str">
        <f>VLOOKUP($E352,'Product Naming'!$A$1:$P$58,2,FALSE)</f>
        <v>Glutamate_L</v>
      </c>
      <c r="T352" s="1" t="str">
        <f>VLOOKUP($E352,'Product Naming'!$A$1:$P$58,3,FALSE)</f>
        <v>L-Glutamate</v>
      </c>
      <c r="U352" s="1" t="str">
        <f>VLOOKUP($E352,'Product Naming'!$A$1:$P$58,4,FALSE)</f>
        <v>iJO1366</v>
      </c>
      <c r="V352" s="1" t="str">
        <f>VLOOKUP($E352,'Product Naming'!$A$1:$P$58,5,FALSE)</f>
        <v>C5H8NO4</v>
      </c>
      <c r="W352" s="1">
        <f>VLOOKUP($E352,'Product Naming'!$A$1:$P$58,6,FALSE)</f>
        <v>5</v>
      </c>
      <c r="X352" s="1">
        <f>VLOOKUP($E352,'Product Naming'!$A$1:$P$58,7,FALSE)</f>
        <v>8</v>
      </c>
      <c r="Y352" s="1">
        <f>VLOOKUP($E352,'Product Naming'!$A$1:$P$58,8,FALSE)</f>
        <v>4</v>
      </c>
      <c r="Z352" s="1">
        <f>VLOOKUP($E352,'Product Naming'!$A$1:$P$58,9,FALSE)</f>
        <v>1</v>
      </c>
      <c r="AA352" s="1">
        <f>VLOOKUP($E352,'Product Naming'!$A$1:$P$58,10,FALSE)</f>
        <v>-1</v>
      </c>
      <c r="AB352" s="29">
        <f>VLOOKUP($E352,'Product Naming'!$A$1:$P$58,11,FALSE)</f>
        <v>3.4</v>
      </c>
      <c r="AC352" s="3">
        <f>VLOOKUP($E352,'Product Naming'!$A$1:$P$58,12,FALSE)</f>
        <v>146.11892</v>
      </c>
      <c r="AD352" s="1">
        <f>VLOOKUP($E352,'Product Naming'!$A$1:$P$58,13,FALSE)</f>
        <v>333.8</v>
      </c>
      <c r="AE352" s="1" t="str">
        <f>VLOOKUP($E352,'Product Naming'!$A$1:$P$58,14,FALSE)</f>
        <v>Amino acid</v>
      </c>
      <c r="AF352" s="1" t="str">
        <f>VLOOKUP($E352,'Product Naming'!$A$1:$P$58,15,FALSE)</f>
        <v>aKG</v>
      </c>
      <c r="AG352" s="30" t="str">
        <f>VLOOKUP($E352,'Product Naming'!$A$1:$P$58,16,FALSE)</f>
        <v>Proton symporter</v>
      </c>
      <c r="AH352" s="3" t="str">
        <f>VLOOKUP($E352,'Product Naming'!$A$1:$Q$58,17,FALSE)</f>
        <v>glu__L_c</v>
      </c>
      <c r="AI352" s="1">
        <f>VLOOKUP($E352,'Product Parameters'!$A$2:$D$59,2,FALSE)</f>
        <v>1</v>
      </c>
      <c r="AJ352" s="1">
        <f>VLOOKUP($E352,'Product Parameters'!$A$2:$D$59,3,FALSE)</f>
        <v>0</v>
      </c>
      <c r="AK352" s="1">
        <f>VLOOKUP($E352,'Product Parameters'!$A$2:$D$59,4,FALSE)</f>
        <v>0.12</v>
      </c>
      <c r="AL352" s="1">
        <f>VLOOKUP($E352,'Product Parameters'!$A$2:$E$59,5,FALSE)</f>
        <v>40.65</v>
      </c>
      <c r="AM352" s="1">
        <f>VLOOKUP($E352,'Product Parameters'!$A$2:$F$59,6,FALSE)</f>
        <v>5</v>
      </c>
      <c r="AN352" s="1">
        <f>VLOOKUP($C352,'Substrate Heating'!$A$2:$C$33,3,FALSE)</f>
        <v>247.59097</v>
      </c>
      <c r="AO352" s="1">
        <f>VLOOKUP($C352,'Substrate Heating'!$A$2:$B$33,2,FALSE)</f>
        <v>5.5</v>
      </c>
      <c r="AP352" s="1">
        <f>VLOOKUP($C352,'Substrate Heating'!$A$2:$M$33,13,FALSE)</f>
        <v>1</v>
      </c>
      <c r="AQ352" s="1">
        <f>VLOOKUP($C352,'Substrate Heating'!$A$2:$M$33,8,FALSE)</f>
        <v>1</v>
      </c>
      <c r="AR352" s="1">
        <f t="shared" si="5"/>
        <v>0.28214285714285697</v>
      </c>
    </row>
    <row r="353" spans="1:44" x14ac:dyDescent="0.2">
      <c r="A353" s="8" t="s">
        <v>816</v>
      </c>
      <c r="B353" s="18" t="s">
        <v>324</v>
      </c>
      <c r="C353" t="s">
        <v>815</v>
      </c>
      <c r="D353" s="19" t="s">
        <v>326</v>
      </c>
      <c r="E353" t="s">
        <v>247</v>
      </c>
      <c r="F353" t="s">
        <v>248</v>
      </c>
      <c r="G353">
        <v>-10</v>
      </c>
      <c r="H353">
        <v>0</v>
      </c>
      <c r="I353">
        <v>0</v>
      </c>
      <c r="J353">
        <v>0.45</v>
      </c>
      <c r="K353">
        <v>23.934693880000001</v>
      </c>
      <c r="L353">
        <v>0</v>
      </c>
      <c r="M353">
        <v>0</v>
      </c>
      <c r="N353">
        <v>23.934693880000001</v>
      </c>
      <c r="O353">
        <v>1.967346939</v>
      </c>
      <c r="P353"/>
      <c r="Q353">
        <v>8.2196453000000003E-2</v>
      </c>
      <c r="R353">
        <v>0.17939479899999999</v>
      </c>
      <c r="S353" s="1" t="str">
        <f>VLOOKUP($E353,'Product Naming'!$A$1:$P$58,2,FALSE)</f>
        <v>Isoprene</v>
      </c>
      <c r="T353" s="1" t="str">
        <f>VLOOKUP($E353,'Product Naming'!$A$1:$P$58,3,FALSE)</f>
        <v>Isoprene</v>
      </c>
      <c r="U353" s="1" t="str">
        <f>VLOOKUP($E353,'Product Naming'!$A$1:$P$58,4,FALSE)</f>
        <v>E</v>
      </c>
      <c r="V353" s="1" t="str">
        <f>VLOOKUP($E353,'Product Naming'!$A$1:$P$58,5,FALSE)</f>
        <v>C5H8</v>
      </c>
      <c r="W353" s="1">
        <f>VLOOKUP($E353,'Product Naming'!$A$1:$P$58,6,FALSE)</f>
        <v>5</v>
      </c>
      <c r="X353" s="1">
        <f>VLOOKUP($E353,'Product Naming'!$A$1:$P$58,7,FALSE)</f>
        <v>8</v>
      </c>
      <c r="Y353" s="1">
        <f>VLOOKUP($E353,'Product Naming'!$A$1:$P$58,8,FALSE)</f>
        <v>0</v>
      </c>
      <c r="Z353" s="1">
        <f>VLOOKUP($E353,'Product Naming'!$A$1:$P$58,9,FALSE)</f>
        <v>0</v>
      </c>
      <c r="AA353" s="1">
        <f>VLOOKUP($E353,'Product Naming'!$A$1:$P$58,10,FALSE)</f>
        <v>0</v>
      </c>
      <c r="AB353" s="29">
        <f>VLOOKUP($E353,'Product Naming'!$A$1:$P$58,11,FALSE)</f>
        <v>5.6</v>
      </c>
      <c r="AC353" s="3">
        <f>VLOOKUP($E353,'Product Naming'!$A$1:$P$58,12,FALSE)</f>
        <v>68.116219999999998</v>
      </c>
      <c r="AD353" s="1">
        <f>VLOOKUP($E353,'Product Naming'!$A$1:$P$58,13,FALSE)</f>
        <v>34.07</v>
      </c>
      <c r="AE353" s="1" t="str">
        <f>VLOOKUP($E353,'Product Naming'!$A$1:$P$58,14,FALSE)</f>
        <v>Hydrocarbon</v>
      </c>
      <c r="AF353" s="1" t="str">
        <f>VLOOKUP($E353,'Product Naming'!$A$1:$P$58,15,FALSE)</f>
        <v>Acetyl-CoA</v>
      </c>
      <c r="AG353" s="30" t="str">
        <f>VLOOKUP($E353,'Product Naming'!$A$1:$P$58,16,FALSE)</f>
        <v>Diffusion</v>
      </c>
      <c r="AH353" s="3" t="str">
        <f>VLOOKUP($E353,'Product Naming'!$A$1:$Q$58,17,FALSE)</f>
        <v>iprene_c</v>
      </c>
      <c r="AI353" s="1">
        <f>VLOOKUP($E353,'Product Parameters'!$A$2:$D$59,2,FALSE)</f>
        <v>0</v>
      </c>
      <c r="AJ353" s="1">
        <f>VLOOKUP($E353,'Product Parameters'!$A$2:$D$59,3,FALSE)</f>
        <v>1</v>
      </c>
      <c r="AK353" s="1">
        <f>VLOOKUP($E353,'Product Parameters'!$A$2:$D$59,4,FALSE)</f>
        <v>0.12</v>
      </c>
      <c r="AL353" s="1">
        <f>VLOOKUP($E353,'Product Parameters'!$A$2:$E$59,5,FALSE)</f>
        <v>26.4</v>
      </c>
      <c r="AM353" s="1">
        <f>VLOOKUP($E353,'Product Parameters'!$A$2:$F$59,6,FALSE)</f>
        <v>5</v>
      </c>
      <c r="AN353" s="1">
        <f>VLOOKUP($C353,'Substrate Heating'!$A$2:$C$33,3,FALSE)</f>
        <v>226.4</v>
      </c>
      <c r="AO353" s="1">
        <f>VLOOKUP($C353,'Substrate Heating'!$A$2:$B$33,2,FALSE)</f>
        <v>7.2542014450728134</v>
      </c>
      <c r="AP353" s="1">
        <f>VLOOKUP($C353,'Substrate Heating'!$A$2:$M$33,13,FALSE)</f>
        <v>1.6</v>
      </c>
      <c r="AQ353" s="1">
        <f>VLOOKUP($C353,'Substrate Heating'!$A$2:$M$33,8,FALSE)</f>
        <v>1</v>
      </c>
      <c r="AR353" s="1">
        <f t="shared" si="5"/>
        <v>0.41098226500000001</v>
      </c>
    </row>
    <row r="354" spans="1:44" x14ac:dyDescent="0.2">
      <c r="A354" s="17" t="s">
        <v>323</v>
      </c>
      <c r="B354" s="18" t="s">
        <v>324</v>
      </c>
      <c r="C354" t="s">
        <v>336</v>
      </c>
      <c r="D354" s="19" t="s">
        <v>326</v>
      </c>
      <c r="E354" t="s">
        <v>209</v>
      </c>
      <c r="F354" t="s">
        <v>210</v>
      </c>
      <c r="G354">
        <v>-10</v>
      </c>
      <c r="H354">
        <v>0</v>
      </c>
      <c r="I354">
        <v>-20</v>
      </c>
      <c r="J354">
        <v>0.45</v>
      </c>
      <c r="K354">
        <v>-10</v>
      </c>
      <c r="L354">
        <v>0</v>
      </c>
      <c r="M354">
        <v>-16.906666666666698</v>
      </c>
      <c r="N354">
        <v>0</v>
      </c>
      <c r="O354">
        <v>1.03111111111111</v>
      </c>
      <c r="P354"/>
      <c r="Q354">
        <v>0.103111111111111</v>
      </c>
      <c r="R354" s="20">
        <v>0.179524451517902</v>
      </c>
      <c r="S354" s="1" t="str">
        <f>VLOOKUP($E354,'Product Naming'!$A$1:$P$58,2,FALSE)</f>
        <v>GammaButyrolactone</v>
      </c>
      <c r="T354" s="1" t="str">
        <f>VLOOKUP($E354,'Product Naming'!$A$1:$P$58,3,FALSE)</f>
        <v>Gamma butyrolactone</v>
      </c>
      <c r="U354" s="1" t="str">
        <f>VLOOKUP($E354,'Product Naming'!$A$1:$P$58,4,FALSE)</f>
        <v>A</v>
      </c>
      <c r="V354" s="1" t="str">
        <f>VLOOKUP($E354,'Product Naming'!$A$1:$P$58,5,FALSE)</f>
        <v>C4H6O2</v>
      </c>
      <c r="W354" s="1">
        <f>VLOOKUP($E354,'Product Naming'!$A$1:$P$58,6,FALSE)</f>
        <v>4</v>
      </c>
      <c r="X354" s="1">
        <f>VLOOKUP($E354,'Product Naming'!$A$1:$P$58,7,FALSE)</f>
        <v>6</v>
      </c>
      <c r="Y354" s="1">
        <f>VLOOKUP($E354,'Product Naming'!$A$1:$P$58,8,FALSE)</f>
        <v>2</v>
      </c>
      <c r="Z354" s="1">
        <f>VLOOKUP($E354,'Product Naming'!$A$1:$P$58,9,FALSE)</f>
        <v>0</v>
      </c>
      <c r="AA354" s="1">
        <f>VLOOKUP($E354,'Product Naming'!$A$1:$P$58,10,FALSE)</f>
        <v>0</v>
      </c>
      <c r="AB354" s="29">
        <f>VLOOKUP($E354,'Product Naming'!$A$1:$P$58,11,FALSE)</f>
        <v>4.5</v>
      </c>
      <c r="AC354" s="3">
        <f>VLOOKUP($E354,'Product Naming'!$A$1:$P$58,12,FALSE)</f>
        <v>86.08784</v>
      </c>
      <c r="AD354" s="1">
        <f>VLOOKUP($E354,'Product Naming'!$A$1:$P$58,13,FALSE)</f>
        <v>204</v>
      </c>
      <c r="AE354" s="1" t="str">
        <f>VLOOKUP($E354,'Product Naming'!$A$1:$P$58,14,FALSE)</f>
        <v>Lactone (cyclic ester)</v>
      </c>
      <c r="AF354" s="1" t="str">
        <f>VLOOKUP($E354,'Product Naming'!$A$1:$P$58,15,FALSE)</f>
        <v>aKG</v>
      </c>
      <c r="AG354" s="30" t="str">
        <f>VLOOKUP($E354,'Product Naming'!$A$1:$P$58,16,FALSE)</f>
        <v>Proton symporter</v>
      </c>
      <c r="AH354" s="3" t="str">
        <f>VLOOKUP($E354,'Product Naming'!$A$1:$Q$58,17,FALSE)</f>
        <v>gblt_c</v>
      </c>
      <c r="AI354" s="1">
        <f>VLOOKUP($E354,'Product Parameters'!$A$2:$D$59,2,FALSE)</f>
        <v>1</v>
      </c>
      <c r="AJ354" s="1">
        <f>VLOOKUP($E354,'Product Parameters'!$A$2:$D$59,3,FALSE)</f>
        <v>0</v>
      </c>
      <c r="AK354" s="1">
        <f>VLOOKUP($E354,'Product Parameters'!$A$2:$D$59,4,FALSE)</f>
        <v>0.12</v>
      </c>
      <c r="AL354" s="1">
        <f>VLOOKUP($E354,'Product Parameters'!$A$2:$E$59,5,FALSE)</f>
        <v>0</v>
      </c>
      <c r="AM354" s="1">
        <f>VLOOKUP($E354,'Product Parameters'!$A$2:$F$59,6,FALSE)</f>
        <v>4</v>
      </c>
      <c r="AN354" s="1">
        <f>VLOOKUP($C354,'Substrate Heating'!$A$2:$C$33,3,FALSE)</f>
        <v>245.86666666666667</v>
      </c>
      <c r="AO354" s="1">
        <f>VLOOKUP($C354,'Substrate Heating'!$A$2:$B$33,2,FALSE)</f>
        <v>15.038360459876978</v>
      </c>
      <c r="AP354" s="1">
        <f>VLOOKUP($C354,'Substrate Heating'!$A$2:$M$33,13,FALSE)</f>
        <v>0.33333333333333331</v>
      </c>
      <c r="AQ354" s="1">
        <f>VLOOKUP($C354,'Substrate Heating'!$A$2:$M$33,8,FALSE)</f>
        <v>0.33333333333333331</v>
      </c>
      <c r="AR354" s="1">
        <f t="shared" si="5"/>
        <v>1.2373333333333321</v>
      </c>
    </row>
    <row r="355" spans="1:44" x14ac:dyDescent="0.2">
      <c r="A355" s="17" t="s">
        <v>323</v>
      </c>
      <c r="B355" s="18" t="s">
        <v>324</v>
      </c>
      <c r="C355" t="s">
        <v>334</v>
      </c>
      <c r="D355" s="19" t="s">
        <v>326</v>
      </c>
      <c r="E355" t="s">
        <v>52</v>
      </c>
      <c r="F355" t="s">
        <v>53</v>
      </c>
      <c r="G355">
        <v>-10</v>
      </c>
      <c r="H355">
        <v>0</v>
      </c>
      <c r="I355">
        <v>-5</v>
      </c>
      <c r="J355">
        <v>0.45</v>
      </c>
      <c r="K355">
        <v>-10</v>
      </c>
      <c r="L355">
        <v>0</v>
      </c>
      <c r="M355">
        <v>-5</v>
      </c>
      <c r="N355">
        <v>3.6115384615384598</v>
      </c>
      <c r="O355">
        <v>1.11153846153846</v>
      </c>
      <c r="P355"/>
      <c r="Q355">
        <v>0.11115384615384601</v>
      </c>
      <c r="R355">
        <v>0.17991664813345501</v>
      </c>
      <c r="S355" s="1" t="str">
        <f>VLOOKUP($E355,'Product Naming'!$A$1:$P$58,2,FALSE)</f>
        <v>1-3-Diaminopropane</v>
      </c>
      <c r="T355" s="1" t="str">
        <f>VLOOKUP($E355,'Product Naming'!$A$1:$P$58,3,FALSE)</f>
        <v>1,3-Diaminopropane</v>
      </c>
      <c r="U355" s="1" t="str">
        <f>VLOOKUP($E355,'Product Naming'!$A$1:$P$58,4,FALSE)</f>
        <v>A</v>
      </c>
      <c r="V355" s="1" t="str">
        <f>VLOOKUP($E355,'Product Naming'!$A$1:$P$58,5,FALSE)</f>
        <v>C3H12N2</v>
      </c>
      <c r="W355" s="1">
        <f>VLOOKUP($E355,'Product Naming'!$A$1:$P$58,6,FALSE)</f>
        <v>3</v>
      </c>
      <c r="X355" s="1">
        <f>VLOOKUP($E355,'Product Naming'!$A$1:$P$58,7,FALSE)</f>
        <v>12</v>
      </c>
      <c r="Y355" s="1">
        <f>VLOOKUP($E355,'Product Naming'!$A$1:$P$58,8,FALSE)</f>
        <v>0</v>
      </c>
      <c r="Z355" s="1">
        <f>VLOOKUP($E355,'Product Naming'!$A$1:$P$58,9,FALSE)</f>
        <v>2</v>
      </c>
      <c r="AA355" s="1">
        <f>VLOOKUP($E355,'Product Naming'!$A$1:$P$58,10,FALSE)</f>
        <v>2</v>
      </c>
      <c r="AB355" s="29">
        <f>VLOOKUP($E355,'Product Naming'!$A$1:$P$58,11,FALSE)</f>
        <v>6</v>
      </c>
      <c r="AC355" s="3">
        <f>VLOOKUP($E355,'Product Naming'!$A$1:$P$58,12,FALSE)</f>
        <v>76.139580000000009</v>
      </c>
      <c r="AD355" s="1">
        <f>VLOOKUP($E355,'Product Naming'!$A$1:$P$58,13,FALSE)</f>
        <v>139.30000000000001</v>
      </c>
      <c r="AE355" s="1" t="str">
        <f>VLOOKUP($E355,'Product Naming'!$A$1:$P$58,14,FALSE)</f>
        <v>Diamine</v>
      </c>
      <c r="AF355" s="1" t="str">
        <f>VLOOKUP($E355,'Product Naming'!$A$1:$P$58,15,FALSE)</f>
        <v>Oxaloacetate + aKG</v>
      </c>
      <c r="AG355" s="30" t="str">
        <f>VLOOKUP($E355,'Product Naming'!$A$1:$P$58,16,FALSE)</f>
        <v>Proton symporter</v>
      </c>
      <c r="AH355" s="3" t="str">
        <f>VLOOKUP($E355,'Product Naming'!$A$1:$Q$58,17,FALSE)</f>
        <v>13dampp_c</v>
      </c>
      <c r="AI355" s="1">
        <f>VLOOKUP($E355,'Product Parameters'!$A$2:$D$59,2,FALSE)</f>
        <v>1</v>
      </c>
      <c r="AJ355" s="1">
        <f>VLOOKUP($E355,'Product Parameters'!$A$2:$D$59,3,FALSE)</f>
        <v>0</v>
      </c>
      <c r="AK355" s="1">
        <f>VLOOKUP($E355,'Product Parameters'!$A$2:$D$59,4,FALSE)</f>
        <v>0.12</v>
      </c>
      <c r="AL355" s="1">
        <f>VLOOKUP($E355,'Product Parameters'!$A$2:$E$59,5,FALSE)</f>
        <v>50.18</v>
      </c>
      <c r="AM355" s="1">
        <f>VLOOKUP($E355,'Product Parameters'!$A$2:$F$59,6,FALSE)</f>
        <v>3</v>
      </c>
      <c r="AN355" s="1">
        <f>VLOOKUP($C355,'Substrate Heating'!$A$2:$C$33,3,FALSE)</f>
        <v>249.93333333333334</v>
      </c>
      <c r="AO355" s="1">
        <f>VLOOKUP($C355,'Substrate Heating'!$A$2:$B$33,2,FALSE)</f>
        <v>8.1456827881222953</v>
      </c>
      <c r="AP355" s="1">
        <f>VLOOKUP($C355,'Substrate Heating'!$A$2:$M$33,13,FALSE)</f>
        <v>0.66666666666666663</v>
      </c>
      <c r="AQ355" s="1">
        <f>VLOOKUP($C355,'Substrate Heating'!$A$2:$M$33,8,FALSE)</f>
        <v>0.66666666666666663</v>
      </c>
      <c r="AR355" s="1">
        <f t="shared" si="5"/>
        <v>0.50019230769230705</v>
      </c>
    </row>
    <row r="356" spans="1:44" x14ac:dyDescent="0.2">
      <c r="A356" s="8" t="s">
        <v>812</v>
      </c>
      <c r="B356" s="18" t="s">
        <v>324</v>
      </c>
      <c r="C356" t="s">
        <v>814</v>
      </c>
      <c r="E356" t="s">
        <v>136</v>
      </c>
      <c r="F356" t="s">
        <v>137</v>
      </c>
      <c r="G356">
        <v>-10</v>
      </c>
      <c r="H356">
        <v>0</v>
      </c>
      <c r="I356">
        <v>-10</v>
      </c>
      <c r="J356">
        <v>0.45</v>
      </c>
      <c r="K356">
        <v>-9.6690909090908992</v>
      </c>
      <c r="L356">
        <v>0</v>
      </c>
      <c r="M356">
        <v>-10</v>
      </c>
      <c r="N356">
        <v>0</v>
      </c>
      <c r="O356">
        <v>0.33090909090908999</v>
      </c>
      <c r="P356"/>
      <c r="Q356">
        <v>3.4223392252726498E-2</v>
      </c>
      <c r="R356">
        <v>0.18101915178229999</v>
      </c>
      <c r="S356" s="1" t="str">
        <f>VLOOKUP($E356,'Product Naming'!$A$1:$P$58,2,FALSE)</f>
        <v>Benzoate-PW1</v>
      </c>
      <c r="T356" s="1" t="str">
        <f>VLOOKUP($E356,'Product Naming'!$A$1:$P$58,3,FALSE)</f>
        <v>Benzoate (PW1)</v>
      </c>
      <c r="U356" s="1" t="str">
        <f>VLOOKUP($E356,'Product Naming'!$A$1:$P$58,4,FALSE)</f>
        <v>A</v>
      </c>
      <c r="V356" s="1" t="str">
        <f>VLOOKUP($E356,'Product Naming'!$A$1:$P$58,5,FALSE)</f>
        <v>C7H5O2</v>
      </c>
      <c r="W356" s="1">
        <f>VLOOKUP($E356,'Product Naming'!$A$1:$P$58,6,FALSE)</f>
        <v>7</v>
      </c>
      <c r="X356" s="1">
        <f>VLOOKUP($E356,'Product Naming'!$A$1:$P$58,7,FALSE)</f>
        <v>5</v>
      </c>
      <c r="Y356" s="1">
        <f>VLOOKUP($E356,'Product Naming'!$A$1:$P$58,8,FALSE)</f>
        <v>2</v>
      </c>
      <c r="Z356" s="1">
        <f>VLOOKUP($E356,'Product Naming'!$A$1:$P$58,9,FALSE)</f>
        <v>0</v>
      </c>
      <c r="AA356" s="1">
        <f>VLOOKUP($E356,'Product Naming'!$A$1:$P$58,10,FALSE)</f>
        <v>-1</v>
      </c>
      <c r="AB356" s="29">
        <f>VLOOKUP($E356,'Product Naming'!$A$1:$P$58,11,FALSE)</f>
        <v>4.1428571428571432</v>
      </c>
      <c r="AC356" s="3">
        <f>VLOOKUP($E356,'Product Naming'!$A$1:$P$58,12,FALSE)</f>
        <v>121.1121</v>
      </c>
      <c r="AD356" s="1">
        <f>VLOOKUP($E356,'Product Naming'!$A$1:$P$58,13,FALSE)</f>
        <v>249.2</v>
      </c>
      <c r="AE356" s="1" t="str">
        <f>VLOOKUP($E356,'Product Naming'!$A$1:$P$58,14,FALSE)</f>
        <v>Aromatic + Carboxylate</v>
      </c>
      <c r="AF356" s="1" t="str">
        <f>VLOOKUP($E356,'Product Naming'!$A$1:$P$58,15,FALSE)</f>
        <v>E4P + aKG</v>
      </c>
      <c r="AG356" s="30" t="str">
        <f>VLOOKUP($E356,'Product Naming'!$A$1:$P$58,16,FALSE)</f>
        <v>Proton symporter</v>
      </c>
      <c r="AH356" s="3" t="str">
        <f>VLOOKUP($E356,'Product Naming'!$A$1:$Q$58,17,FALSE)</f>
        <v>bz_c</v>
      </c>
      <c r="AI356" s="1">
        <f>VLOOKUP($E356,'Product Parameters'!$A$2:$D$59,2,FALSE)</f>
        <v>1</v>
      </c>
      <c r="AJ356" s="1">
        <f>VLOOKUP($E356,'Product Parameters'!$A$2:$D$59,3,FALSE)</f>
        <v>0</v>
      </c>
      <c r="AK356" s="1">
        <f>VLOOKUP($E356,'Product Parameters'!$A$2:$D$59,4,FALSE)</f>
        <v>0.12</v>
      </c>
      <c r="AL356" s="1">
        <f>VLOOKUP($E356,'Product Parameters'!$A$2:$E$59,5,FALSE)</f>
        <v>40.65</v>
      </c>
      <c r="AM356" s="1">
        <f>VLOOKUP($E356,'Product Parameters'!$A$2:$F$59,6,FALSE)</f>
        <v>7</v>
      </c>
      <c r="AN356" s="1">
        <f>VLOOKUP($C356,'Substrate Heating'!$A$2:$C$33,3,FALSE)</f>
        <v>209.92000000000002</v>
      </c>
      <c r="AO356" s="1">
        <f>VLOOKUP($C356,'Substrate Heating'!$A$2:$B$33,2,FALSE)</f>
        <v>10.086540906516333</v>
      </c>
      <c r="AP356" s="1">
        <f>VLOOKUP($C356,'Substrate Heating'!$A$2:$M$33,13,FALSE)</f>
        <v>0.8</v>
      </c>
      <c r="AQ356" s="1">
        <f>VLOOKUP($C356,'Substrate Heating'!$A$2:$M$33,8,FALSE)</f>
        <v>0.8</v>
      </c>
      <c r="AR356" s="1">
        <f t="shared" si="5"/>
        <v>0.29945468221135685</v>
      </c>
    </row>
    <row r="357" spans="1:44" x14ac:dyDescent="0.2">
      <c r="A357" s="8" t="s">
        <v>816</v>
      </c>
      <c r="B357" s="18" t="s">
        <v>324</v>
      </c>
      <c r="C357" t="s">
        <v>815</v>
      </c>
      <c r="D357" s="19" t="s">
        <v>326</v>
      </c>
      <c r="E357" t="s">
        <v>204</v>
      </c>
      <c r="F357" t="s">
        <v>205</v>
      </c>
      <c r="G357">
        <v>-10</v>
      </c>
      <c r="H357">
        <v>0</v>
      </c>
      <c r="I357">
        <v>0</v>
      </c>
      <c r="J357">
        <v>0.45</v>
      </c>
      <c r="K357">
        <v>23.988965520000001</v>
      </c>
      <c r="L357">
        <v>0</v>
      </c>
      <c r="M357">
        <v>0</v>
      </c>
      <c r="N357">
        <v>23.988965520000001</v>
      </c>
      <c r="O357">
        <v>0.66482758600000003</v>
      </c>
      <c r="P357"/>
      <c r="Q357">
        <v>2.7713891000000001E-2</v>
      </c>
      <c r="R357">
        <v>0.181457756</v>
      </c>
      <c r="S357" s="1" t="str">
        <f>VLOOKUP($E357,'Product Naming'!$A$1:$P$58,2,FALSE)</f>
        <v>Farnesene</v>
      </c>
      <c r="T357" s="1" t="str">
        <f>VLOOKUP($E357,'Product Naming'!$A$1:$P$58,3,FALSE)</f>
        <v>Farnesene</v>
      </c>
      <c r="U357" s="1" t="str">
        <f>VLOOKUP($E357,'Product Naming'!$A$1:$P$58,4,FALSE)</f>
        <v>A</v>
      </c>
      <c r="V357" s="1" t="str">
        <f>VLOOKUP($E357,'Product Naming'!$A$1:$P$58,5,FALSE)</f>
        <v>C15H24</v>
      </c>
      <c r="W357" s="1">
        <f>VLOOKUP($E357,'Product Naming'!$A$1:$P$58,6,FALSE)</f>
        <v>15</v>
      </c>
      <c r="X357" s="1">
        <f>VLOOKUP($E357,'Product Naming'!$A$1:$P$58,7,FALSE)</f>
        <v>24</v>
      </c>
      <c r="Y357" s="1">
        <f>VLOOKUP($E357,'Product Naming'!$A$1:$P$58,8,FALSE)</f>
        <v>0</v>
      </c>
      <c r="Z357" s="1">
        <f>VLOOKUP($E357,'Product Naming'!$A$1:$P$58,9,FALSE)</f>
        <v>0</v>
      </c>
      <c r="AA357" s="1">
        <f>VLOOKUP($E357,'Product Naming'!$A$1:$P$58,10,FALSE)</f>
        <v>0</v>
      </c>
      <c r="AB357" s="29">
        <f>VLOOKUP($E357,'Product Naming'!$A$1:$P$58,11,FALSE)</f>
        <v>5.6</v>
      </c>
      <c r="AC357" s="3">
        <f>VLOOKUP($E357,'Product Naming'!$A$1:$P$58,12,FALSE)</f>
        <v>204.34866000000002</v>
      </c>
      <c r="AD357" s="1" t="str">
        <f>VLOOKUP($E357,'Product Naming'!$A$1:$P$58,13,FALSE)</f>
        <v>260 (A)/272 (B)</v>
      </c>
      <c r="AE357" s="1" t="str">
        <f>VLOOKUP($E357,'Product Naming'!$A$1:$P$58,14,FALSE)</f>
        <v>Hydrocarbon</v>
      </c>
      <c r="AF357" s="1" t="str">
        <f>VLOOKUP($E357,'Product Naming'!$A$1:$P$58,15,FALSE)</f>
        <v>Acetyl-CoA</v>
      </c>
      <c r="AG357" s="30" t="str">
        <f>VLOOKUP($E357,'Product Naming'!$A$1:$P$58,16,FALSE)</f>
        <v>Proton symporter</v>
      </c>
      <c r="AH357" s="3" t="str">
        <f>VLOOKUP($E357,'Product Naming'!$A$1:$Q$58,17,FALSE)</f>
        <v>frene_c</v>
      </c>
      <c r="AI357" s="1">
        <f>VLOOKUP($E357,'Product Parameters'!$A$2:$D$59,2,FALSE)</f>
        <v>1</v>
      </c>
      <c r="AJ357" s="1">
        <f>VLOOKUP($E357,'Product Parameters'!$A$2:$D$59,3,FALSE)</f>
        <v>0</v>
      </c>
      <c r="AK357" s="1">
        <f>VLOOKUP($E357,'Product Parameters'!$A$2:$D$59,4,FALSE)</f>
        <v>0.12</v>
      </c>
      <c r="AL357" s="1">
        <f>VLOOKUP($E357,'Product Parameters'!$A$2:$E$59,5,FALSE)</f>
        <v>0</v>
      </c>
      <c r="AM357" s="1">
        <f>VLOOKUP($E357,'Product Parameters'!$A$2:$F$59,6,FALSE)</f>
        <v>15</v>
      </c>
      <c r="AN357" s="1">
        <f>VLOOKUP($C357,'Substrate Heating'!$A$2:$C$33,3,FALSE)</f>
        <v>226.4</v>
      </c>
      <c r="AO357" s="1">
        <f>VLOOKUP($C357,'Substrate Heating'!$A$2:$B$33,2,FALSE)</f>
        <v>7.2542014450728134</v>
      </c>
      <c r="AP357" s="1">
        <f>VLOOKUP($C357,'Substrate Heating'!$A$2:$M$33,13,FALSE)</f>
        <v>1.6</v>
      </c>
      <c r="AQ357" s="1">
        <f>VLOOKUP($C357,'Substrate Heating'!$A$2:$M$33,8,FALSE)</f>
        <v>1</v>
      </c>
      <c r="AR357" s="1">
        <f t="shared" si="5"/>
        <v>0.41570836500000002</v>
      </c>
    </row>
    <row r="358" spans="1:44" x14ac:dyDescent="0.2">
      <c r="A358" s="8" t="s">
        <v>816</v>
      </c>
      <c r="B358" s="18" t="s">
        <v>324</v>
      </c>
      <c r="C358" t="s">
        <v>815</v>
      </c>
      <c r="D358" s="19" t="s">
        <v>326</v>
      </c>
      <c r="E358" t="s">
        <v>259</v>
      </c>
      <c r="F358" t="s">
        <v>260</v>
      </c>
      <c r="G358">
        <v>-10</v>
      </c>
      <c r="H358">
        <v>0</v>
      </c>
      <c r="I358">
        <v>0</v>
      </c>
      <c r="J358">
        <v>0.45</v>
      </c>
      <c r="K358">
        <v>24.016666669999999</v>
      </c>
      <c r="L358">
        <v>0</v>
      </c>
      <c r="M358">
        <v>0</v>
      </c>
      <c r="N358">
        <v>24.016666669999999</v>
      </c>
      <c r="O358">
        <v>1.004166667</v>
      </c>
      <c r="P358"/>
      <c r="Q358">
        <v>4.1811241999999998E-2</v>
      </c>
      <c r="R358">
        <v>0.18250713099999999</v>
      </c>
      <c r="S358" s="1" t="str">
        <f>VLOOKUP($E358,'Product Naming'!$A$1:$P$58,2,FALSE)</f>
        <v>Limonene</v>
      </c>
      <c r="T358" s="1" t="str">
        <f>VLOOKUP($E358,'Product Naming'!$A$1:$P$58,3,FALSE)</f>
        <v>Limonene</v>
      </c>
      <c r="U358" s="1" t="str">
        <f>VLOOKUP($E358,'Product Naming'!$A$1:$P$58,4,FALSE)</f>
        <v>E</v>
      </c>
      <c r="V358" s="1" t="str">
        <f>VLOOKUP($E358,'Product Naming'!$A$1:$P$58,5,FALSE)</f>
        <v>C10H16</v>
      </c>
      <c r="W358" s="1">
        <f>VLOOKUP($E358,'Product Naming'!$A$1:$P$58,6,FALSE)</f>
        <v>10</v>
      </c>
      <c r="X358" s="1">
        <f>VLOOKUP($E358,'Product Naming'!$A$1:$P$58,7,FALSE)</f>
        <v>16</v>
      </c>
      <c r="Y358" s="1">
        <f>VLOOKUP($E358,'Product Naming'!$A$1:$P$58,8,FALSE)</f>
        <v>0</v>
      </c>
      <c r="Z358" s="1">
        <f>VLOOKUP($E358,'Product Naming'!$A$1:$P$58,9,FALSE)</f>
        <v>0</v>
      </c>
      <c r="AA358" s="1">
        <f>VLOOKUP($E358,'Product Naming'!$A$1:$P$58,10,FALSE)</f>
        <v>0</v>
      </c>
      <c r="AB358" s="29">
        <f>VLOOKUP($E358,'Product Naming'!$A$1:$P$58,11,FALSE)</f>
        <v>5.6</v>
      </c>
      <c r="AC358" s="3">
        <f>VLOOKUP($E358,'Product Naming'!$A$1:$P$58,12,FALSE)</f>
        <v>136.23244</v>
      </c>
      <c r="AD358" s="1">
        <f>VLOOKUP($E358,'Product Naming'!$A$1:$P$58,13,FALSE)</f>
        <v>176</v>
      </c>
      <c r="AE358" s="1" t="str">
        <f>VLOOKUP($E358,'Product Naming'!$A$1:$P$58,14,FALSE)</f>
        <v>Isoprenoid; Aromatic (Cycloalkane)</v>
      </c>
      <c r="AF358" s="1" t="str">
        <f>VLOOKUP($E358,'Product Naming'!$A$1:$P$58,15,FALSE)</f>
        <v>Acetyl-CoA</v>
      </c>
      <c r="AG358" s="30" t="str">
        <f>VLOOKUP($E358,'Product Naming'!$A$1:$P$58,16,FALSE)</f>
        <v>Proton symporter</v>
      </c>
      <c r="AH358" s="3" t="str">
        <f>VLOOKUP($E358,'Product Naming'!$A$1:$Q$58,17,FALSE)</f>
        <v>limnen_c</v>
      </c>
      <c r="AI358" s="1">
        <f>VLOOKUP($E358,'Product Parameters'!$A$2:$D$59,2,FALSE)</f>
        <v>1</v>
      </c>
      <c r="AJ358" s="1">
        <f>VLOOKUP($E358,'Product Parameters'!$A$2:$D$59,3,FALSE)</f>
        <v>0</v>
      </c>
      <c r="AK358" s="1">
        <f>VLOOKUP($E358,'Product Parameters'!$A$2:$D$59,4,FALSE)</f>
        <v>0.12</v>
      </c>
      <c r="AL358" s="1">
        <f>VLOOKUP($E358,'Product Parameters'!$A$2:$E$59,5,FALSE)</f>
        <v>49.5</v>
      </c>
      <c r="AM358" s="1">
        <f>VLOOKUP($E358,'Product Parameters'!$A$2:$F$59,6,FALSE)</f>
        <v>10</v>
      </c>
      <c r="AN358" s="1">
        <f>VLOOKUP($C358,'Substrate Heating'!$A$2:$C$33,3,FALSE)</f>
        <v>226.4</v>
      </c>
      <c r="AO358" s="1">
        <f>VLOOKUP($C358,'Substrate Heating'!$A$2:$B$33,2,FALSE)</f>
        <v>7.2542014450728134</v>
      </c>
      <c r="AP358" s="1">
        <f>VLOOKUP($C358,'Substrate Heating'!$A$2:$M$33,13,FALSE)</f>
        <v>1.6</v>
      </c>
      <c r="AQ358" s="1">
        <f>VLOOKUP($C358,'Substrate Heating'!$A$2:$M$33,8,FALSE)</f>
        <v>1</v>
      </c>
      <c r="AR358" s="1">
        <f t="shared" si="5"/>
        <v>0.41811241999999998</v>
      </c>
    </row>
    <row r="359" spans="1:44" x14ac:dyDescent="0.2">
      <c r="A359" s="17" t="s">
        <v>323</v>
      </c>
      <c r="B359" s="18" t="s">
        <v>324</v>
      </c>
      <c r="C359" t="s">
        <v>335</v>
      </c>
      <c r="D359" s="19" t="s">
        <v>326</v>
      </c>
      <c r="E359" t="s">
        <v>301</v>
      </c>
      <c r="F359" t="s">
        <v>302</v>
      </c>
      <c r="G359">
        <v>-10</v>
      </c>
      <c r="H359">
        <v>0</v>
      </c>
      <c r="I359">
        <v>-10</v>
      </c>
      <c r="J359">
        <v>0.45</v>
      </c>
      <c r="K359">
        <v>-10</v>
      </c>
      <c r="L359">
        <v>0</v>
      </c>
      <c r="M359">
        <v>-10</v>
      </c>
      <c r="N359">
        <v>4</v>
      </c>
      <c r="O359">
        <v>2</v>
      </c>
      <c r="P359"/>
      <c r="Q359">
        <v>0.2</v>
      </c>
      <c r="R359">
        <v>0.18353875994805399</v>
      </c>
      <c r="S359" s="1" t="str">
        <f>VLOOKUP($E359,'Product Naming'!$A$1:$P$58,2,FALSE)</f>
        <v>Propane-PW1</v>
      </c>
      <c r="T359" s="1" t="str">
        <f>VLOOKUP($E359,'Product Naming'!$A$1:$P$58,3,FALSE)</f>
        <v>Propane (PW1)</v>
      </c>
      <c r="U359" s="1" t="str">
        <f>VLOOKUP($E359,'Product Naming'!$A$1:$P$58,4,FALSE)</f>
        <v>E</v>
      </c>
      <c r="V359" s="1" t="str">
        <f>VLOOKUP($E359,'Product Naming'!$A$1:$P$58,5,FALSE)</f>
        <v>C3H8</v>
      </c>
      <c r="W359" s="1">
        <f>VLOOKUP($E359,'Product Naming'!$A$1:$P$58,6,FALSE)</f>
        <v>3</v>
      </c>
      <c r="X359" s="1">
        <f>VLOOKUP($E359,'Product Naming'!$A$1:$P$58,7,FALSE)</f>
        <v>8</v>
      </c>
      <c r="Y359" s="1">
        <f>VLOOKUP($E359,'Product Naming'!$A$1:$P$58,8,FALSE)</f>
        <v>0</v>
      </c>
      <c r="Z359" s="1">
        <f>VLOOKUP($E359,'Product Naming'!$A$1:$P$58,9,FALSE)</f>
        <v>0</v>
      </c>
      <c r="AA359" s="1">
        <f>VLOOKUP($E359,'Product Naming'!$A$1:$P$58,10,FALSE)</f>
        <v>0</v>
      </c>
      <c r="AB359" s="29">
        <f>VLOOKUP($E359,'Product Naming'!$A$1:$P$58,11,FALSE)</f>
        <v>6.666666666666667</v>
      </c>
      <c r="AC359" s="3">
        <f>VLOOKUP($E359,'Product Naming'!$A$1:$P$58,12,FALSE)</f>
        <v>44.094819999999999</v>
      </c>
      <c r="AD359" s="1">
        <f>VLOOKUP($E359,'Product Naming'!$A$1:$P$58,13,FALSE)</f>
        <v>-42</v>
      </c>
      <c r="AE359" s="1" t="str">
        <f>VLOOKUP($E359,'Product Naming'!$A$1:$P$58,14,FALSE)</f>
        <v>Hydrocarbon</v>
      </c>
      <c r="AF359" s="1" t="str">
        <f>VLOOKUP($E359,'Product Naming'!$A$1:$P$58,15,FALSE)</f>
        <v>Acetyl-CoA</v>
      </c>
      <c r="AG359" s="30" t="str">
        <f>VLOOKUP($E359,'Product Naming'!$A$1:$P$58,16,FALSE)</f>
        <v>Diffusion</v>
      </c>
      <c r="AH359" s="3" t="str">
        <f>VLOOKUP($E359,'Product Naming'!$A$1:$Q$58,17,FALSE)</f>
        <v>prop_c</v>
      </c>
      <c r="AI359" s="1">
        <f>VLOOKUP($E359,'Product Parameters'!$A$2:$D$59,2,FALSE)</f>
        <v>0</v>
      </c>
      <c r="AJ359" s="1">
        <f>VLOOKUP($E359,'Product Parameters'!$A$2:$D$59,3,FALSE)</f>
        <v>1</v>
      </c>
      <c r="AK359" s="1">
        <f>VLOOKUP($E359,'Product Parameters'!$A$2:$D$59,4,FALSE)</f>
        <v>0.12</v>
      </c>
      <c r="AL359" s="1">
        <f>VLOOKUP($E359,'Product Parameters'!$A$2:$E$59,5,FALSE)</f>
        <v>0</v>
      </c>
      <c r="AM359" s="1">
        <f>VLOOKUP($E359,'Product Parameters'!$A$2:$F$59,6,FALSE)</f>
        <v>3</v>
      </c>
      <c r="AN359" s="1">
        <f>VLOOKUP($C359,'Substrate Heating'!$A$2:$C$33,3,FALSE)</f>
        <v>247.9</v>
      </c>
      <c r="AO359" s="1">
        <f>VLOOKUP($C359,'Substrate Heating'!$A$2:$B$33,2,FALSE)</f>
        <v>10.541709491918519</v>
      </c>
      <c r="AP359" s="1">
        <f>VLOOKUP($C359,'Substrate Heating'!$A$2:$M$33,13,FALSE)</f>
        <v>0.5</v>
      </c>
      <c r="AQ359" s="1">
        <f>VLOOKUP($C359,'Substrate Heating'!$A$2:$M$33,8,FALSE)</f>
        <v>0.5</v>
      </c>
      <c r="AR359" s="1">
        <f t="shared" si="5"/>
        <v>1.2000000000000002</v>
      </c>
    </row>
    <row r="360" spans="1:44" x14ac:dyDescent="0.2">
      <c r="A360" s="17" t="s">
        <v>323</v>
      </c>
      <c r="B360" s="18" t="s">
        <v>324</v>
      </c>
      <c r="C360" t="s">
        <v>328</v>
      </c>
      <c r="D360" s="19" t="s">
        <v>326</v>
      </c>
      <c r="E360" t="s">
        <v>192</v>
      </c>
      <c r="F360" t="s">
        <v>193</v>
      </c>
      <c r="G360">
        <v>-10</v>
      </c>
      <c r="H360">
        <v>0</v>
      </c>
      <c r="I360">
        <v>-10</v>
      </c>
      <c r="J360">
        <v>0.45</v>
      </c>
      <c r="K360">
        <v>-10</v>
      </c>
      <c r="L360">
        <v>0</v>
      </c>
      <c r="M360">
        <v>-10</v>
      </c>
      <c r="N360">
        <v>0.16930232558139699</v>
      </c>
      <c r="O360">
        <v>0.33860465116278998</v>
      </c>
      <c r="P360"/>
      <c r="Q360">
        <v>3.3860465116279097E-2</v>
      </c>
      <c r="R360">
        <v>0.183958483439041</v>
      </c>
      <c r="S360" s="1" t="str">
        <f>VLOOKUP($E360,'Product Naming'!$A$1:$P$58,2,FALSE)</f>
        <v>Coumaric acid</v>
      </c>
      <c r="T360" s="1" t="str">
        <f>VLOOKUP($E360,'Product Naming'!$A$1:$P$58,3,FALSE)</f>
        <v>Coumaric acid</v>
      </c>
      <c r="U360" s="1" t="str">
        <f>VLOOKUP($E360,'Product Naming'!$A$1:$P$58,4,FALSE)</f>
        <v>E</v>
      </c>
      <c r="V360" s="1" t="str">
        <f>VLOOKUP($E360,'Product Naming'!$A$1:$P$58,5,FALSE)</f>
        <v>C9H7O3</v>
      </c>
      <c r="W360" s="1">
        <f>VLOOKUP($E360,'Product Naming'!$A$1:$P$58,6,FALSE)</f>
        <v>9</v>
      </c>
      <c r="X360" s="1">
        <f>VLOOKUP($E360,'Product Naming'!$A$1:$P$58,7,FALSE)</f>
        <v>7</v>
      </c>
      <c r="Y360" s="1">
        <f>VLOOKUP($E360,'Product Naming'!$A$1:$P$58,8,FALSE)</f>
        <v>3</v>
      </c>
      <c r="Z360" s="1">
        <f>VLOOKUP($E360,'Product Naming'!$A$1:$P$58,9,FALSE)</f>
        <v>0</v>
      </c>
      <c r="AA360" s="1">
        <f>VLOOKUP($E360,'Product Naming'!$A$1:$P$58,10,FALSE)</f>
        <v>-1</v>
      </c>
      <c r="AB360" s="29">
        <f>VLOOKUP($E360,'Product Naming'!$A$1:$P$58,11,FALSE)</f>
        <v>4.1111111111111107</v>
      </c>
      <c r="AC360" s="3">
        <f>VLOOKUP($E360,'Product Naming'!$A$1:$P$58,12,FALSE)</f>
        <v>163.14818</v>
      </c>
      <c r="AD360" s="1">
        <f>VLOOKUP($E360,'Product Naming'!$A$1:$P$58,13,FALSE)</f>
        <v>346</v>
      </c>
      <c r="AE360" s="1" t="str">
        <f>VLOOKUP($E360,'Product Naming'!$A$1:$P$58,14,FALSE)</f>
        <v>Aromatic + Alcohol + Carboxylate</v>
      </c>
      <c r="AF360" s="1" t="str">
        <f>VLOOKUP($E360,'Product Naming'!$A$1:$P$58,15,FALSE)</f>
        <v>E4P + L-glutamate</v>
      </c>
      <c r="AG360" s="30" t="str">
        <f>VLOOKUP($E360,'Product Naming'!$A$1:$P$58,16,FALSE)</f>
        <v>Proton symporter</v>
      </c>
      <c r="AH360" s="3" t="str">
        <f>VLOOKUP($E360,'Product Naming'!$A$1:$Q$58,17,FALSE)</f>
        <v>T4hcinnm_c</v>
      </c>
      <c r="AI360" s="1">
        <f>VLOOKUP($E360,'Product Parameters'!$A$2:$D$59,2,FALSE)</f>
        <v>1</v>
      </c>
      <c r="AJ360" s="1">
        <f>VLOOKUP($E360,'Product Parameters'!$A$2:$D$59,3,FALSE)</f>
        <v>0</v>
      </c>
      <c r="AK360" s="1">
        <f>VLOOKUP($E360,'Product Parameters'!$A$2:$D$59,4,FALSE)</f>
        <v>0.12</v>
      </c>
      <c r="AL360" s="1">
        <f>VLOOKUP($E360,'Product Parameters'!$A$2:$E$59,5,FALSE)</f>
        <v>40.65</v>
      </c>
      <c r="AM360" s="1">
        <f>VLOOKUP($E360,'Product Parameters'!$A$2:$F$59,6,FALSE)</f>
        <v>9</v>
      </c>
      <c r="AN360" s="1">
        <f>VLOOKUP($C360,'Substrate Heating'!$A$2:$C$33,3,FALSE)</f>
        <v>262.39999999999998</v>
      </c>
      <c r="AO360" s="1">
        <f>VLOOKUP($C360,'Substrate Heating'!$A$2:$B$33,2,FALSE)</f>
        <v>17.478546483008707</v>
      </c>
      <c r="AP360" s="1">
        <f>VLOOKUP($C360,'Substrate Heating'!$A$2:$M$33,13,FALSE)</f>
        <v>1</v>
      </c>
      <c r="AQ360" s="1">
        <f>VLOOKUP($C360,'Substrate Heating'!$A$2:$M$33,8,FALSE)</f>
        <v>0.5</v>
      </c>
      <c r="AR360" s="1">
        <f t="shared" si="5"/>
        <v>0.60948837209302376</v>
      </c>
    </row>
    <row r="361" spans="1:44" x14ac:dyDescent="0.2">
      <c r="A361" s="17" t="s">
        <v>323</v>
      </c>
      <c r="B361" s="18" t="s">
        <v>324</v>
      </c>
      <c r="C361" t="s">
        <v>335</v>
      </c>
      <c r="D361" s="19" t="s">
        <v>326</v>
      </c>
      <c r="E361" t="s">
        <v>308</v>
      </c>
      <c r="F361" t="s">
        <v>309</v>
      </c>
      <c r="G361">
        <v>-10</v>
      </c>
      <c r="H361">
        <v>0</v>
      </c>
      <c r="I361">
        <v>-10</v>
      </c>
      <c r="J361">
        <v>0.45</v>
      </c>
      <c r="K361">
        <v>-10</v>
      </c>
      <c r="L361">
        <v>0</v>
      </c>
      <c r="M361">
        <v>-10</v>
      </c>
      <c r="N361">
        <v>0</v>
      </c>
      <c r="O361">
        <v>0.51267605633802804</v>
      </c>
      <c r="P361"/>
      <c r="Q361">
        <v>5.1267605633802803E-2</v>
      </c>
      <c r="R361">
        <v>0.184736123142237</v>
      </c>
      <c r="S361" s="1" t="str">
        <f>VLOOKUP($E361,'Product Naming'!$A$1:$P$58,2,FALSE)</f>
        <v>Shikimate</v>
      </c>
      <c r="T361" s="1" t="str">
        <f>VLOOKUP($E361,'Product Naming'!$A$1:$P$58,3,FALSE)</f>
        <v>Shikimate</v>
      </c>
      <c r="U361" s="1" t="str">
        <f>VLOOKUP($E361,'Product Naming'!$A$1:$P$58,4,FALSE)</f>
        <v>E</v>
      </c>
      <c r="V361" s="1" t="str">
        <f>VLOOKUP($E361,'Product Naming'!$A$1:$P$58,5,FALSE)</f>
        <v>C7H9O5</v>
      </c>
      <c r="W361" s="1">
        <f>VLOOKUP($E361,'Product Naming'!$A$1:$P$58,6,FALSE)</f>
        <v>7</v>
      </c>
      <c r="X361" s="1">
        <f>VLOOKUP($E361,'Product Naming'!$A$1:$P$58,7,FALSE)</f>
        <v>9</v>
      </c>
      <c r="Y361" s="1">
        <f>VLOOKUP($E361,'Product Naming'!$A$1:$P$58,8,FALSE)</f>
        <v>5</v>
      </c>
      <c r="Z361" s="1">
        <f>VLOOKUP($E361,'Product Naming'!$A$1:$P$58,9,FALSE)</f>
        <v>0</v>
      </c>
      <c r="AA361" s="1">
        <f>VLOOKUP($E361,'Product Naming'!$A$1:$P$58,10,FALSE)</f>
        <v>-1</v>
      </c>
      <c r="AB361" s="29">
        <f>VLOOKUP($E361,'Product Naming'!$A$1:$P$58,11,FALSE)</f>
        <v>3.8571428571428572</v>
      </c>
      <c r="AC361" s="3">
        <f>VLOOKUP($E361,'Product Naming'!$A$1:$P$58,12,FALSE)</f>
        <v>173.14046000000002</v>
      </c>
      <c r="AD361" s="1">
        <f>VLOOKUP($E361,'Product Naming'!$A$1:$P$58,13,FALSE)</f>
        <v>400.5</v>
      </c>
      <c r="AE361" s="1" t="str">
        <f>VLOOKUP($E361,'Product Naming'!$A$1:$P$58,14,FALSE)</f>
        <v>Aromatic + Alcohol + Carboxylate</v>
      </c>
      <c r="AF361" s="1" t="str">
        <f>VLOOKUP($E361,'Product Naming'!$A$1:$P$58,15,FALSE)</f>
        <v>PEP + E4P (Glyceraldehyde 3-P)</v>
      </c>
      <c r="AG361" s="30" t="str">
        <f>VLOOKUP($E361,'Product Naming'!$A$1:$P$58,16,FALSE)</f>
        <v>Proton symporter</v>
      </c>
      <c r="AH361" s="3" t="str">
        <f>VLOOKUP($E361,'Product Naming'!$A$1:$Q$58,17,FALSE)</f>
        <v>skm_c</v>
      </c>
      <c r="AI361" s="1">
        <f>VLOOKUP($E361,'Product Parameters'!$A$2:$D$59,2,FALSE)</f>
        <v>1</v>
      </c>
      <c r="AJ361" s="1">
        <f>VLOOKUP($E361,'Product Parameters'!$A$2:$D$59,3,FALSE)</f>
        <v>0</v>
      </c>
      <c r="AK361" s="1">
        <f>VLOOKUP($E361,'Product Parameters'!$A$2:$D$59,4,FALSE)</f>
        <v>0.12</v>
      </c>
      <c r="AL361" s="1">
        <f>VLOOKUP($E361,'Product Parameters'!$A$2:$E$59,5,FALSE)</f>
        <v>40.65</v>
      </c>
      <c r="AM361" s="1">
        <f>VLOOKUP($E361,'Product Parameters'!$A$2:$F$59,6,FALSE)</f>
        <v>7</v>
      </c>
      <c r="AN361" s="1">
        <f>VLOOKUP($C361,'Substrate Heating'!$A$2:$C$33,3,FALSE)</f>
        <v>247.9</v>
      </c>
      <c r="AO361" s="1">
        <f>VLOOKUP($C361,'Substrate Heating'!$A$2:$B$33,2,FALSE)</f>
        <v>10.541709491918519</v>
      </c>
      <c r="AP361" s="1">
        <f>VLOOKUP($C361,'Substrate Heating'!$A$2:$M$33,13,FALSE)</f>
        <v>0.5</v>
      </c>
      <c r="AQ361" s="1">
        <f>VLOOKUP($C361,'Substrate Heating'!$A$2:$M$33,8,FALSE)</f>
        <v>0.5</v>
      </c>
      <c r="AR361" s="1">
        <f t="shared" si="5"/>
        <v>0.71774647887323928</v>
      </c>
    </row>
    <row r="362" spans="1:44" x14ac:dyDescent="0.2">
      <c r="A362" s="8" t="s">
        <v>816</v>
      </c>
      <c r="B362" s="18" t="s">
        <v>324</v>
      </c>
      <c r="C362" t="s">
        <v>815</v>
      </c>
      <c r="D362" s="19" t="s">
        <v>326</v>
      </c>
      <c r="E362" t="s">
        <v>158</v>
      </c>
      <c r="F362" t="s">
        <v>159</v>
      </c>
      <c r="G362">
        <v>-10</v>
      </c>
      <c r="H362">
        <v>0</v>
      </c>
      <c r="I362">
        <v>0</v>
      </c>
      <c r="J362">
        <v>0.45</v>
      </c>
      <c r="K362">
        <v>26.60273973</v>
      </c>
      <c r="L362">
        <v>0</v>
      </c>
      <c r="M362">
        <v>0</v>
      </c>
      <c r="N362">
        <v>26.60273973</v>
      </c>
      <c r="O362">
        <v>2.6410958899999999</v>
      </c>
      <c r="P362"/>
      <c r="Q362">
        <v>9.9279093999999998E-2</v>
      </c>
      <c r="R362">
        <v>0.18488369299999999</v>
      </c>
      <c r="S362" s="1" t="str">
        <f>VLOOKUP($E362,'Product Naming'!$A$1:$P$58,2,FALSE)</f>
        <v>Butane</v>
      </c>
      <c r="T362" s="1" t="str">
        <f>VLOOKUP($E362,'Product Naming'!$A$1:$P$58,3,FALSE)</f>
        <v>Butane</v>
      </c>
      <c r="U362" s="1" t="str">
        <f>VLOOKUP($E362,'Product Naming'!$A$1:$P$58,4,FALSE)</f>
        <v>E</v>
      </c>
      <c r="V362" s="1" t="str">
        <f>VLOOKUP($E362,'Product Naming'!$A$1:$P$58,5,FALSE)</f>
        <v>C4H10</v>
      </c>
      <c r="W362" s="1">
        <f>VLOOKUP($E362,'Product Naming'!$A$1:$P$58,6,FALSE)</f>
        <v>4</v>
      </c>
      <c r="X362" s="1">
        <f>VLOOKUP($E362,'Product Naming'!$A$1:$P$58,7,FALSE)</f>
        <v>10</v>
      </c>
      <c r="Y362" s="1">
        <f>VLOOKUP($E362,'Product Naming'!$A$1:$P$58,8,FALSE)</f>
        <v>0</v>
      </c>
      <c r="Z362" s="1">
        <f>VLOOKUP($E362,'Product Naming'!$A$1:$P$58,9,FALSE)</f>
        <v>0</v>
      </c>
      <c r="AA362" s="1">
        <f>VLOOKUP($E362,'Product Naming'!$A$1:$P$58,10,FALSE)</f>
        <v>0</v>
      </c>
      <c r="AB362" s="29">
        <f>VLOOKUP($E362,'Product Naming'!$A$1:$P$58,11,FALSE)</f>
        <v>6.5</v>
      </c>
      <c r="AC362" s="3">
        <f>VLOOKUP($E362,'Product Naming'!$A$1:$P$58,12,FALSE)</f>
        <v>58.121200000000002</v>
      </c>
      <c r="AD362" s="1">
        <f>VLOOKUP($E362,'Product Naming'!$A$1:$P$58,13,FALSE)</f>
        <v>-1</v>
      </c>
      <c r="AE362" s="1" t="str">
        <f>VLOOKUP($E362,'Product Naming'!$A$1:$P$58,14,FALSE)</f>
        <v>Hydrocarbon (alkane)</v>
      </c>
      <c r="AF362" s="1" t="str">
        <f>VLOOKUP($E362,'Product Naming'!$A$1:$P$58,15,FALSE)</f>
        <v>Acetyl-CoA + Succinyl-CoA</v>
      </c>
      <c r="AG362" s="30" t="str">
        <f>VLOOKUP($E362,'Product Naming'!$A$1:$P$58,16,FALSE)</f>
        <v>Diffusion</v>
      </c>
      <c r="AH362" s="3" t="str">
        <f>VLOOKUP($E362,'Product Naming'!$A$1:$Q$58,17,FALSE)</f>
        <v>butn_c</v>
      </c>
      <c r="AI362" s="1">
        <f>VLOOKUP($E362,'Product Parameters'!$A$2:$D$59,2,FALSE)</f>
        <v>0</v>
      </c>
      <c r="AJ362" s="1">
        <f>VLOOKUP($E362,'Product Parameters'!$A$2:$D$59,3,FALSE)</f>
        <v>1</v>
      </c>
      <c r="AK362" s="1">
        <f>VLOOKUP($E362,'Product Parameters'!$A$2:$D$59,4,FALSE)</f>
        <v>0.12</v>
      </c>
      <c r="AL362" s="1">
        <f>VLOOKUP($E362,'Product Parameters'!$A$2:$E$59,5,FALSE)</f>
        <v>0</v>
      </c>
      <c r="AM362" s="1">
        <f>VLOOKUP($E362,'Product Parameters'!$A$2:$F$59,6,FALSE)</f>
        <v>4</v>
      </c>
      <c r="AN362" s="1">
        <f>VLOOKUP($C362,'Substrate Heating'!$A$2:$C$33,3,FALSE)</f>
        <v>226.4</v>
      </c>
      <c r="AO362" s="1">
        <f>VLOOKUP($C362,'Substrate Heating'!$A$2:$B$33,2,FALSE)</f>
        <v>7.2542014450728134</v>
      </c>
      <c r="AP362" s="1">
        <f>VLOOKUP($C362,'Substrate Heating'!$A$2:$M$33,13,FALSE)</f>
        <v>1.6</v>
      </c>
      <c r="AQ362" s="1">
        <f>VLOOKUP($C362,'Substrate Heating'!$A$2:$M$33,8,FALSE)</f>
        <v>1</v>
      </c>
      <c r="AR362" s="1">
        <f t="shared" si="5"/>
        <v>0.39711637599999999</v>
      </c>
    </row>
    <row r="363" spans="1:44" x14ac:dyDescent="0.2">
      <c r="A363" s="8" t="s">
        <v>812</v>
      </c>
      <c r="B363" s="18" t="s">
        <v>324</v>
      </c>
      <c r="C363" t="s">
        <v>814</v>
      </c>
      <c r="E363" t="s">
        <v>108</v>
      </c>
      <c r="F363" t="s">
        <v>109</v>
      </c>
      <c r="G363">
        <v>-10</v>
      </c>
      <c r="H363">
        <v>0</v>
      </c>
      <c r="I363">
        <v>-10</v>
      </c>
      <c r="J363">
        <v>0.45</v>
      </c>
      <c r="K363">
        <v>-9.0336283185840696</v>
      </c>
      <c r="L363">
        <v>0</v>
      </c>
      <c r="M363">
        <v>-10</v>
      </c>
      <c r="N363">
        <v>0</v>
      </c>
      <c r="O363">
        <v>0.32212389380530898</v>
      </c>
      <c r="P363"/>
      <c r="Q363">
        <v>3.5658307210031298E-2</v>
      </c>
      <c r="R363">
        <v>0.18591557993385299</v>
      </c>
      <c r="S363" s="1" t="str">
        <f>VLOOKUP($E363,'Product Naming'!$A$1:$P$58,2,FALSE)</f>
        <v>4-Hydroxystyrene</v>
      </c>
      <c r="T363" s="1" t="str">
        <f>VLOOKUP($E363,'Product Naming'!$A$1:$P$58,3,FALSE)</f>
        <v>4-Hydroxystyrene</v>
      </c>
      <c r="U363" s="1" t="str">
        <f>VLOOKUP($E363,'Product Naming'!$A$1:$P$58,4,FALSE)</f>
        <v>E</v>
      </c>
      <c r="V363" s="1" t="str">
        <f>VLOOKUP($E363,'Product Naming'!$A$1:$P$58,5,FALSE)</f>
        <v>C8H8O</v>
      </c>
      <c r="W363" s="1">
        <f>VLOOKUP($E363,'Product Naming'!$A$1:$P$58,6,FALSE)</f>
        <v>8</v>
      </c>
      <c r="X363" s="1">
        <f>VLOOKUP($E363,'Product Naming'!$A$1:$P$58,7,FALSE)</f>
        <v>8</v>
      </c>
      <c r="Y363" s="1">
        <f>VLOOKUP($E363,'Product Naming'!$A$1:$P$58,8,FALSE)</f>
        <v>1</v>
      </c>
      <c r="Z363" s="1">
        <f>VLOOKUP($E363,'Product Naming'!$A$1:$P$58,9,FALSE)</f>
        <v>0</v>
      </c>
      <c r="AA363" s="1">
        <f>VLOOKUP($E363,'Product Naming'!$A$1:$P$58,10,FALSE)</f>
        <v>0</v>
      </c>
      <c r="AB363" s="29">
        <f>VLOOKUP($E363,'Product Naming'!$A$1:$P$58,11,FALSE)</f>
        <v>4.75</v>
      </c>
      <c r="AC363" s="3">
        <f>VLOOKUP($E363,'Product Naming'!$A$1:$P$58,12,FALSE)</f>
        <v>120.14731999999999</v>
      </c>
      <c r="AD363" s="1">
        <f>VLOOKUP($E363,'Product Naming'!$A$1:$P$58,13,FALSE)</f>
        <v>229</v>
      </c>
      <c r="AE363" s="1" t="str">
        <f>VLOOKUP($E363,'Product Naming'!$A$1:$P$58,14,FALSE)</f>
        <v>Aromatic + Alcohol</v>
      </c>
      <c r="AF363" s="1" t="str">
        <f>VLOOKUP($E363,'Product Naming'!$A$1:$P$58,15,FALSE)</f>
        <v>E4P + L-glutamate</v>
      </c>
      <c r="AG363" s="30" t="str">
        <f>VLOOKUP($E363,'Product Naming'!$A$1:$P$58,16,FALSE)</f>
        <v>Proton symporter</v>
      </c>
      <c r="AH363" s="3" t="str">
        <f>VLOOKUP($E363,'Product Naming'!$A$1:$Q$58,17,FALSE)</f>
        <v>4hxst_c</v>
      </c>
      <c r="AI363" s="1">
        <f>VLOOKUP($E363,'Product Parameters'!$A$2:$D$59,2,FALSE)</f>
        <v>1</v>
      </c>
      <c r="AJ363" s="1">
        <f>VLOOKUP($E363,'Product Parameters'!$A$2:$D$59,3,FALSE)</f>
        <v>0</v>
      </c>
      <c r="AK363" s="1">
        <f>VLOOKUP($E363,'Product Parameters'!$A$2:$D$59,4,FALSE)</f>
        <v>0.12</v>
      </c>
      <c r="AL363" s="1">
        <f>VLOOKUP($E363,'Product Parameters'!$A$2:$E$59,5,FALSE)</f>
        <v>40.65</v>
      </c>
      <c r="AM363" s="1">
        <f>VLOOKUP($E363,'Product Parameters'!$A$2:$F$59,6,FALSE)</f>
        <v>8</v>
      </c>
      <c r="AN363" s="1">
        <f>VLOOKUP($C363,'Substrate Heating'!$A$2:$C$33,3,FALSE)</f>
        <v>209.92000000000002</v>
      </c>
      <c r="AO363" s="1">
        <f>VLOOKUP($C363,'Substrate Heating'!$A$2:$B$33,2,FALSE)</f>
        <v>10.086540906516333</v>
      </c>
      <c r="AP363" s="1">
        <f>VLOOKUP($C363,'Substrate Heating'!$A$2:$M$33,13,FALSE)</f>
        <v>0.8</v>
      </c>
      <c r="AQ363" s="1">
        <f>VLOOKUP($C363,'Substrate Heating'!$A$2:$M$33,8,FALSE)</f>
        <v>0.8</v>
      </c>
      <c r="AR363" s="1">
        <f t="shared" si="5"/>
        <v>0.35658307210031298</v>
      </c>
    </row>
    <row r="364" spans="1:44" x14ac:dyDescent="0.2">
      <c r="A364" s="17" t="s">
        <v>323</v>
      </c>
      <c r="B364" s="18" t="s">
        <v>324</v>
      </c>
      <c r="C364" t="s">
        <v>325</v>
      </c>
      <c r="D364" s="19" t="s">
        <v>326</v>
      </c>
      <c r="E364" t="s">
        <v>308</v>
      </c>
      <c r="F364" t="s">
        <v>309</v>
      </c>
      <c r="G364">
        <v>-10</v>
      </c>
      <c r="H364">
        <v>0</v>
      </c>
      <c r="I364">
        <v>0</v>
      </c>
      <c r="J364">
        <v>0.45</v>
      </c>
      <c r="K364">
        <v>-10</v>
      </c>
      <c r="L364">
        <v>0</v>
      </c>
      <c r="M364">
        <v>0</v>
      </c>
      <c r="N364">
        <v>5</v>
      </c>
      <c r="O364">
        <v>0.30140845070422501</v>
      </c>
      <c r="P364"/>
      <c r="Q364">
        <v>3.0140845070422501E-2</v>
      </c>
      <c r="R364">
        <v>0.18631202357307</v>
      </c>
      <c r="S364" s="1" t="str">
        <f>VLOOKUP($E364,'Product Naming'!$A$1:$P$58,2,FALSE)</f>
        <v>Shikimate</v>
      </c>
      <c r="T364" s="1" t="str">
        <f>VLOOKUP($E364,'Product Naming'!$A$1:$P$58,3,FALSE)</f>
        <v>Shikimate</v>
      </c>
      <c r="U364" s="1" t="str">
        <f>VLOOKUP($E364,'Product Naming'!$A$1:$P$58,4,FALSE)</f>
        <v>E</v>
      </c>
      <c r="V364" s="1" t="str">
        <f>VLOOKUP($E364,'Product Naming'!$A$1:$P$58,5,FALSE)</f>
        <v>C7H9O5</v>
      </c>
      <c r="W364" s="1">
        <f>VLOOKUP($E364,'Product Naming'!$A$1:$P$58,6,FALSE)</f>
        <v>7</v>
      </c>
      <c r="X364" s="1">
        <f>VLOOKUP($E364,'Product Naming'!$A$1:$P$58,7,FALSE)</f>
        <v>9</v>
      </c>
      <c r="Y364" s="1">
        <f>VLOOKUP($E364,'Product Naming'!$A$1:$P$58,8,FALSE)</f>
        <v>5</v>
      </c>
      <c r="Z364" s="1">
        <f>VLOOKUP($E364,'Product Naming'!$A$1:$P$58,9,FALSE)</f>
        <v>0</v>
      </c>
      <c r="AA364" s="1">
        <f>VLOOKUP($E364,'Product Naming'!$A$1:$P$58,10,FALSE)</f>
        <v>-1</v>
      </c>
      <c r="AB364" s="29">
        <f>VLOOKUP($E364,'Product Naming'!$A$1:$P$58,11,FALSE)</f>
        <v>3.8571428571428572</v>
      </c>
      <c r="AC364" s="3">
        <f>VLOOKUP($E364,'Product Naming'!$A$1:$P$58,12,FALSE)</f>
        <v>173.14046000000002</v>
      </c>
      <c r="AD364" s="1">
        <f>VLOOKUP($E364,'Product Naming'!$A$1:$P$58,13,FALSE)</f>
        <v>400.5</v>
      </c>
      <c r="AE364" s="1" t="str">
        <f>VLOOKUP($E364,'Product Naming'!$A$1:$P$58,14,FALSE)</f>
        <v>Aromatic + Alcohol + Carboxylate</v>
      </c>
      <c r="AF364" s="1" t="str">
        <f>VLOOKUP($E364,'Product Naming'!$A$1:$P$58,15,FALSE)</f>
        <v>PEP + E4P (Glyceraldehyde 3-P)</v>
      </c>
      <c r="AG364" s="30" t="str">
        <f>VLOOKUP($E364,'Product Naming'!$A$1:$P$58,16,FALSE)</f>
        <v>Proton symporter</v>
      </c>
      <c r="AH364" s="3" t="str">
        <f>VLOOKUP($E364,'Product Naming'!$A$1:$Q$58,17,FALSE)</f>
        <v>skm_c</v>
      </c>
      <c r="AI364" s="1">
        <f>VLOOKUP($E364,'Product Parameters'!$A$2:$D$59,2,FALSE)</f>
        <v>1</v>
      </c>
      <c r="AJ364" s="1">
        <f>VLOOKUP($E364,'Product Parameters'!$A$2:$D$59,3,FALSE)</f>
        <v>0</v>
      </c>
      <c r="AK364" s="1">
        <f>VLOOKUP($E364,'Product Parameters'!$A$2:$D$59,4,FALSE)</f>
        <v>0.12</v>
      </c>
      <c r="AL364" s="1">
        <f>VLOOKUP($E364,'Product Parameters'!$A$2:$E$59,5,FALSE)</f>
        <v>40.65</v>
      </c>
      <c r="AM364" s="1">
        <f>VLOOKUP($E364,'Product Parameters'!$A$2:$F$59,6,FALSE)</f>
        <v>7</v>
      </c>
      <c r="AN364" s="1">
        <f>VLOOKUP($C364,'Substrate Heating'!$A$2:$C$33,3,FALSE)</f>
        <v>280.09700000000004</v>
      </c>
      <c r="AO364" s="1">
        <f>VLOOKUP($C364,'Substrate Heating'!$A$2:$B$33,2,FALSE)</f>
        <v>10</v>
      </c>
      <c r="AP364" s="1">
        <f>VLOOKUP($C364,'Substrate Heating'!$A$2:$M$33,13,FALSE)</f>
        <v>2</v>
      </c>
      <c r="AQ364" s="1">
        <f>VLOOKUP($C364,'Substrate Heating'!$A$2:$M$33,8,FALSE)</f>
        <v>1</v>
      </c>
      <c r="AR364" s="1">
        <f t="shared" si="5"/>
        <v>0.2109859154929575</v>
      </c>
    </row>
    <row r="365" spans="1:44" x14ac:dyDescent="0.2">
      <c r="A365" s="17" t="s">
        <v>185</v>
      </c>
      <c r="B365" s="9" t="s">
        <v>35</v>
      </c>
      <c r="C365" t="s">
        <v>337</v>
      </c>
      <c r="D365" s="23" t="s">
        <v>338</v>
      </c>
      <c r="E365" t="s">
        <v>318</v>
      </c>
      <c r="F365" t="s">
        <v>319</v>
      </c>
      <c r="G365">
        <v>-10</v>
      </c>
      <c r="H365">
        <v>-20</v>
      </c>
      <c r="I365" s="1" t="s">
        <v>40</v>
      </c>
      <c r="J365">
        <v>3.15</v>
      </c>
      <c r="K365">
        <v>-10</v>
      </c>
      <c r="L365">
        <v>-2.4078124999999999</v>
      </c>
      <c r="M365" s="1" t="s">
        <v>40</v>
      </c>
      <c r="N365">
        <v>7.0374999999999996</v>
      </c>
      <c r="O365">
        <v>0.74062499999999298</v>
      </c>
      <c r="P365"/>
      <c r="Q365">
        <v>7.4062499999999296E-2</v>
      </c>
      <c r="R365">
        <v>0.18675909034620999</v>
      </c>
      <c r="S365" s="1" t="str">
        <f>VLOOKUP($E365,'Product Naming'!$A$1:$P$58,2,FALSE)</f>
        <v>Succinate</v>
      </c>
      <c r="T365" s="1" t="str">
        <f>VLOOKUP($E365,'Product Naming'!$A$1:$P$58,3,FALSE)</f>
        <v>Succinate</v>
      </c>
      <c r="U365" s="1" t="str">
        <f>VLOOKUP($E365,'Product Naming'!$A$1:$P$58,4,FALSE)</f>
        <v>iJO1366</v>
      </c>
      <c r="V365" s="1" t="str">
        <f>VLOOKUP($E365,'Product Naming'!$A$1:$P$58,5,FALSE)</f>
        <v>C4H4O4</v>
      </c>
      <c r="W365" s="1">
        <f>VLOOKUP($E365,'Product Naming'!$A$1:$P$58,6,FALSE)</f>
        <v>4</v>
      </c>
      <c r="X365" s="1">
        <f>VLOOKUP($E365,'Product Naming'!$A$1:$P$58,7,FALSE)</f>
        <v>4</v>
      </c>
      <c r="Y365" s="1">
        <f>VLOOKUP($E365,'Product Naming'!$A$1:$P$58,8,FALSE)</f>
        <v>4</v>
      </c>
      <c r="Z365" s="1">
        <f>VLOOKUP($E365,'Product Naming'!$A$1:$P$58,9,FALSE)</f>
        <v>0</v>
      </c>
      <c r="AA365" s="1">
        <f>VLOOKUP($E365,'Product Naming'!$A$1:$P$58,10,FALSE)</f>
        <v>-2</v>
      </c>
      <c r="AB365" s="29">
        <f>VLOOKUP($E365,'Product Naming'!$A$1:$P$58,11,FALSE)</f>
        <v>3</v>
      </c>
      <c r="AC365" s="3">
        <f>VLOOKUP($E365,'Product Naming'!$A$1:$P$58,12,FALSE)</f>
        <v>116.07016</v>
      </c>
      <c r="AD365" s="1">
        <f>VLOOKUP($E365,'Product Naming'!$A$1:$P$58,13,FALSE)</f>
        <v>235</v>
      </c>
      <c r="AE365" s="1" t="str">
        <f>VLOOKUP($E365,'Product Naming'!$A$1:$P$58,14,FALSE)</f>
        <v>Dicarboxylate</v>
      </c>
      <c r="AF365" s="1" t="str">
        <f>VLOOKUP($E365,'Product Naming'!$A$1:$P$58,15,FALSE)</f>
        <v>Oxaloacetate</v>
      </c>
      <c r="AG365" s="30" t="str">
        <f>VLOOKUP($E365,'Product Naming'!$A$1:$P$58,16,FALSE)</f>
        <v>Proton symporter</v>
      </c>
      <c r="AH365" s="3" t="str">
        <f>VLOOKUP($E365,'Product Naming'!$A$1:$Q$58,17,FALSE)</f>
        <v>succ_c</v>
      </c>
      <c r="AI365" s="1">
        <f>VLOOKUP($E365,'Product Parameters'!$A$2:$D$59,2,FALSE)</f>
        <v>1</v>
      </c>
      <c r="AJ365" s="1">
        <f>VLOOKUP($E365,'Product Parameters'!$A$2:$D$59,3,FALSE)</f>
        <v>0</v>
      </c>
      <c r="AK365" s="1">
        <f>VLOOKUP($E365,'Product Parameters'!$A$2:$D$59,4,FALSE)</f>
        <v>0.12</v>
      </c>
      <c r="AL365" s="1">
        <f>VLOOKUP($E365,'Product Parameters'!$A$2:$E$59,5,FALSE)</f>
        <v>40.65</v>
      </c>
      <c r="AM365" s="1">
        <f>VLOOKUP($E365,'Product Parameters'!$A$2:$F$59,6,FALSE)</f>
        <v>4</v>
      </c>
      <c r="AN365" s="1">
        <f>VLOOKUP($C365,'Substrate Heating'!$A$2:$C$33,3,FALSE)</f>
        <v>247.59097</v>
      </c>
      <c r="AO365" s="1">
        <f>VLOOKUP($C365,'Substrate Heating'!$A$2:$B$33,2,FALSE)</f>
        <v>5.5</v>
      </c>
      <c r="AP365" s="1">
        <f>VLOOKUP($C365,'Substrate Heating'!$A$2:$M$33,13,FALSE)</f>
        <v>1</v>
      </c>
      <c r="AQ365" s="1">
        <f>VLOOKUP($C365,'Substrate Heating'!$A$2:$M$33,8,FALSE)</f>
        <v>1</v>
      </c>
      <c r="AR365" s="1">
        <f t="shared" si="5"/>
        <v>0.29624999999999718</v>
      </c>
    </row>
    <row r="366" spans="1:44" x14ac:dyDescent="0.2">
      <c r="A366" s="17" t="s">
        <v>323</v>
      </c>
      <c r="B366" s="18" t="s">
        <v>324</v>
      </c>
      <c r="C366" t="s">
        <v>334</v>
      </c>
      <c r="D366" s="19" t="s">
        <v>326</v>
      </c>
      <c r="E366" t="s">
        <v>91</v>
      </c>
      <c r="F366" t="s">
        <v>92</v>
      </c>
      <c r="G366">
        <v>-10</v>
      </c>
      <c r="H366">
        <v>0</v>
      </c>
      <c r="I366">
        <v>-5</v>
      </c>
      <c r="J366">
        <v>0.45</v>
      </c>
      <c r="K366">
        <v>-10</v>
      </c>
      <c r="L366">
        <v>0</v>
      </c>
      <c r="M366">
        <v>-5</v>
      </c>
      <c r="N366">
        <v>5</v>
      </c>
      <c r="O366">
        <v>1</v>
      </c>
      <c r="P366"/>
      <c r="Q366">
        <v>0.1</v>
      </c>
      <c r="R366">
        <v>0.18738803051046399</v>
      </c>
      <c r="S366" s="1" t="str">
        <f>VLOOKUP($E366,'Product Naming'!$A$1:$P$58,2,FALSE)</f>
        <v>2-Methyl-1-Butanol</v>
      </c>
      <c r="T366" s="1" t="str">
        <f>VLOOKUP($E366,'Product Naming'!$A$1:$P$58,3,FALSE)</f>
        <v>2-Methyl-1-butanol</v>
      </c>
      <c r="U366" s="1" t="str">
        <f>VLOOKUP($E366,'Product Naming'!$A$1:$P$58,4,FALSE)</f>
        <v>A</v>
      </c>
      <c r="V366" s="1" t="str">
        <f>VLOOKUP($E366,'Product Naming'!$A$1:$P$58,5,FALSE)</f>
        <v>C5H12O</v>
      </c>
      <c r="W366" s="1">
        <f>VLOOKUP($E366,'Product Naming'!$A$1:$P$58,6,FALSE)</f>
        <v>5</v>
      </c>
      <c r="X366" s="1">
        <f>VLOOKUP($E366,'Product Naming'!$A$1:$P$58,7,FALSE)</f>
        <v>12</v>
      </c>
      <c r="Y366" s="1">
        <f>VLOOKUP($E366,'Product Naming'!$A$1:$P$58,8,FALSE)</f>
        <v>1</v>
      </c>
      <c r="Z366" s="1">
        <f>VLOOKUP($E366,'Product Naming'!$A$1:$P$58,9,FALSE)</f>
        <v>0</v>
      </c>
      <c r="AA366" s="1">
        <f>VLOOKUP($E366,'Product Naming'!$A$1:$P$58,10,FALSE)</f>
        <v>0</v>
      </c>
      <c r="AB366" s="29">
        <f>VLOOKUP($E366,'Product Naming'!$A$1:$P$58,11,FALSE)</f>
        <v>6</v>
      </c>
      <c r="AC366" s="3">
        <f>VLOOKUP($E366,'Product Naming'!$A$1:$P$58,12,FALSE)</f>
        <v>88.14658</v>
      </c>
      <c r="AD366" s="1">
        <f>VLOOKUP($E366,'Product Naming'!$A$1:$P$58,13,FALSE)</f>
        <v>129</v>
      </c>
      <c r="AE366" s="1" t="str">
        <f>VLOOKUP($E366,'Product Naming'!$A$1:$P$58,14,FALSE)</f>
        <v>Alcohol</v>
      </c>
      <c r="AF366" s="1" t="str">
        <f>VLOOKUP($E366,'Product Naming'!$A$1:$P$58,15,FALSE)</f>
        <v>PEP</v>
      </c>
      <c r="AG366" s="30" t="str">
        <f>VLOOKUP($E366,'Product Naming'!$A$1:$P$58,16,FALSE)</f>
        <v>Proton symporter</v>
      </c>
      <c r="AH366" s="3" t="str">
        <f>VLOOKUP($E366,'Product Naming'!$A$1:$Q$58,17,FALSE)</f>
        <v>2mbtoh_c</v>
      </c>
      <c r="AI366" s="1">
        <f>VLOOKUP($E366,'Product Parameters'!$A$2:$D$59,2,FALSE)</f>
        <v>1</v>
      </c>
      <c r="AJ366" s="1">
        <f>VLOOKUP($E366,'Product Parameters'!$A$2:$D$59,3,FALSE)</f>
        <v>0</v>
      </c>
      <c r="AK366" s="1">
        <f>VLOOKUP($E366,'Product Parameters'!$A$2:$D$59,4,FALSE)</f>
        <v>0.12</v>
      </c>
      <c r="AL366" s="1">
        <f>VLOOKUP($E366,'Product Parameters'!$A$2:$E$59,5,FALSE)</f>
        <v>54.6</v>
      </c>
      <c r="AM366" s="1">
        <f>VLOOKUP($E366,'Product Parameters'!$A$2:$F$59,6,FALSE)</f>
        <v>5</v>
      </c>
      <c r="AN366" s="1">
        <f>VLOOKUP($C366,'Substrate Heating'!$A$2:$C$33,3,FALSE)</f>
        <v>249.93333333333334</v>
      </c>
      <c r="AO366" s="1">
        <f>VLOOKUP($C366,'Substrate Heating'!$A$2:$B$33,2,FALSE)</f>
        <v>8.1456827881222953</v>
      </c>
      <c r="AP366" s="1">
        <f>VLOOKUP($C366,'Substrate Heating'!$A$2:$M$33,13,FALSE)</f>
        <v>0.66666666666666663</v>
      </c>
      <c r="AQ366" s="1">
        <f>VLOOKUP($C366,'Substrate Heating'!$A$2:$M$33,8,FALSE)</f>
        <v>0.66666666666666663</v>
      </c>
      <c r="AR366" s="1">
        <f t="shared" si="5"/>
        <v>0.75</v>
      </c>
    </row>
    <row r="367" spans="1:44" x14ac:dyDescent="0.2">
      <c r="A367" s="17" t="s">
        <v>323</v>
      </c>
      <c r="B367" s="18" t="s">
        <v>324</v>
      </c>
      <c r="C367" t="s">
        <v>335</v>
      </c>
      <c r="D367" s="19" t="s">
        <v>326</v>
      </c>
      <c r="E367" t="s">
        <v>287</v>
      </c>
      <c r="F367" t="s">
        <v>288</v>
      </c>
      <c r="G367">
        <v>-10</v>
      </c>
      <c r="H367">
        <v>0</v>
      </c>
      <c r="I367">
        <v>-10</v>
      </c>
      <c r="J367">
        <v>0.45</v>
      </c>
      <c r="K367">
        <v>-10</v>
      </c>
      <c r="L367">
        <v>0</v>
      </c>
      <c r="M367">
        <v>-10</v>
      </c>
      <c r="N367">
        <v>3.75</v>
      </c>
      <c r="O367">
        <v>1.25</v>
      </c>
      <c r="P367"/>
      <c r="Q367">
        <v>0.125</v>
      </c>
      <c r="R367">
        <v>0.187690376194599</v>
      </c>
      <c r="S367" s="1" t="str">
        <f>VLOOKUP($E367,'Product Naming'!$A$1:$P$58,2,FALSE)</f>
        <v>Pentane</v>
      </c>
      <c r="T367" s="1" t="str">
        <f>VLOOKUP($E367,'Product Naming'!$A$1:$P$58,3,FALSE)</f>
        <v>Pentane</v>
      </c>
      <c r="U367" s="1" t="str">
        <f>VLOOKUP($E367,'Product Naming'!$A$1:$P$58,4,FALSE)</f>
        <v>E</v>
      </c>
      <c r="V367" s="1" t="str">
        <f>VLOOKUP($E367,'Product Naming'!$A$1:$P$58,5,FALSE)</f>
        <v>C5H12</v>
      </c>
      <c r="W367" s="1">
        <f>VLOOKUP($E367,'Product Naming'!$A$1:$P$58,6,FALSE)</f>
        <v>5</v>
      </c>
      <c r="X367" s="1">
        <f>VLOOKUP($E367,'Product Naming'!$A$1:$P$58,7,FALSE)</f>
        <v>12</v>
      </c>
      <c r="Y367" s="1">
        <f>VLOOKUP($E367,'Product Naming'!$A$1:$P$58,8,FALSE)</f>
        <v>0</v>
      </c>
      <c r="Z367" s="1">
        <f>VLOOKUP($E367,'Product Naming'!$A$1:$P$58,9,FALSE)</f>
        <v>0</v>
      </c>
      <c r="AA367" s="1">
        <f>VLOOKUP($E367,'Product Naming'!$A$1:$P$58,10,FALSE)</f>
        <v>0</v>
      </c>
      <c r="AB367" s="29">
        <f>VLOOKUP($E367,'Product Naming'!$A$1:$P$58,11,FALSE)</f>
        <v>6.4</v>
      </c>
      <c r="AC367" s="3">
        <f>VLOOKUP($E367,'Product Naming'!$A$1:$P$58,12,FALSE)</f>
        <v>72.147580000000005</v>
      </c>
      <c r="AD367" s="1">
        <f>VLOOKUP($E367,'Product Naming'!$A$1:$P$58,13,FALSE)</f>
        <v>36.1</v>
      </c>
      <c r="AE367" s="1" t="str">
        <f>VLOOKUP($E367,'Product Naming'!$A$1:$P$58,14,FALSE)</f>
        <v>Hydrocarbon (alkane)</v>
      </c>
      <c r="AF367" s="1" t="str">
        <f>VLOOKUP($E367,'Product Naming'!$A$1:$P$58,15,FALSE)</f>
        <v>Acetyl-CoA</v>
      </c>
      <c r="AG367" s="30" t="str">
        <f>VLOOKUP($E367,'Product Naming'!$A$1:$P$58,16,FALSE)</f>
        <v>Diffusion</v>
      </c>
      <c r="AH367" s="3" t="str">
        <f>VLOOKUP($E367,'Product Naming'!$A$1:$Q$58,17,FALSE)</f>
        <v>pent_c</v>
      </c>
      <c r="AI367" s="1">
        <f>VLOOKUP($E367,'Product Parameters'!$A$2:$D$59,2,FALSE)</f>
        <v>0</v>
      </c>
      <c r="AJ367" s="1">
        <f>VLOOKUP($E367,'Product Parameters'!$A$2:$D$59,3,FALSE)</f>
        <v>1</v>
      </c>
      <c r="AK367" s="1">
        <f>VLOOKUP($E367,'Product Parameters'!$A$2:$D$59,4,FALSE)</f>
        <v>0.12</v>
      </c>
      <c r="AL367" s="1">
        <f>VLOOKUP($E367,'Product Parameters'!$A$2:$E$59,5,FALSE)</f>
        <v>26.5</v>
      </c>
      <c r="AM367" s="1">
        <f>VLOOKUP($E367,'Product Parameters'!$A$2:$F$59,6,FALSE)</f>
        <v>5</v>
      </c>
      <c r="AN367" s="1">
        <f>VLOOKUP($C367,'Substrate Heating'!$A$2:$C$33,3,FALSE)</f>
        <v>247.9</v>
      </c>
      <c r="AO367" s="1">
        <f>VLOOKUP($C367,'Substrate Heating'!$A$2:$B$33,2,FALSE)</f>
        <v>10.541709491918519</v>
      </c>
      <c r="AP367" s="1">
        <f>VLOOKUP($C367,'Substrate Heating'!$A$2:$M$33,13,FALSE)</f>
        <v>0.5</v>
      </c>
      <c r="AQ367" s="1">
        <f>VLOOKUP($C367,'Substrate Heating'!$A$2:$M$33,8,FALSE)</f>
        <v>0.5</v>
      </c>
      <c r="AR367" s="1">
        <f t="shared" si="5"/>
        <v>1.25</v>
      </c>
    </row>
    <row r="368" spans="1:44" x14ac:dyDescent="0.2">
      <c r="A368" s="17" t="s">
        <v>323</v>
      </c>
      <c r="B368" s="18" t="s">
        <v>324</v>
      </c>
      <c r="C368" t="s">
        <v>335</v>
      </c>
      <c r="D368" s="19" t="s">
        <v>326</v>
      </c>
      <c r="E368" t="s">
        <v>295</v>
      </c>
      <c r="F368" t="s">
        <v>292</v>
      </c>
      <c r="G368">
        <v>-10</v>
      </c>
      <c r="H368">
        <v>0</v>
      </c>
      <c r="I368">
        <v>-10</v>
      </c>
      <c r="J368">
        <v>0.45</v>
      </c>
      <c r="K368">
        <v>-10</v>
      </c>
      <c r="L368">
        <v>0</v>
      </c>
      <c r="M368">
        <v>-10</v>
      </c>
      <c r="N368">
        <v>2.5633802816901401</v>
      </c>
      <c r="O368">
        <v>1.0253521126760601</v>
      </c>
      <c r="P368"/>
      <c r="Q368">
        <v>0.10253521126760599</v>
      </c>
      <c r="R368">
        <v>0.18809996759217301</v>
      </c>
      <c r="S368" s="1" t="str">
        <f>VLOOKUP($E368,'Product Naming'!$A$1:$P$58,2,FALSE)</f>
        <v>Pentanol-PW2</v>
      </c>
      <c r="T368" s="1" t="str">
        <f>VLOOKUP($E368,'Product Naming'!$A$1:$P$58,3,FALSE)</f>
        <v>Pentanol (PW2)</v>
      </c>
      <c r="U368" s="1" t="str">
        <f>VLOOKUP($E368,'Product Naming'!$A$1:$P$58,4,FALSE)</f>
        <v>E</v>
      </c>
      <c r="V368" s="1" t="str">
        <f>VLOOKUP($E368,'Product Naming'!$A$1:$P$58,5,FALSE)</f>
        <v>C5H12O</v>
      </c>
      <c r="W368" s="1">
        <f>VLOOKUP($E368,'Product Naming'!$A$1:$P$58,6,FALSE)</f>
        <v>5</v>
      </c>
      <c r="X368" s="1">
        <f>VLOOKUP($E368,'Product Naming'!$A$1:$P$58,7,FALSE)</f>
        <v>12</v>
      </c>
      <c r="Y368" s="1">
        <f>VLOOKUP($E368,'Product Naming'!$A$1:$P$58,8,FALSE)</f>
        <v>1</v>
      </c>
      <c r="Z368" s="1">
        <f>VLOOKUP($E368,'Product Naming'!$A$1:$P$58,9,FALSE)</f>
        <v>0</v>
      </c>
      <c r="AA368" s="1">
        <f>VLOOKUP($E368,'Product Naming'!$A$1:$P$58,10,FALSE)</f>
        <v>0</v>
      </c>
      <c r="AB368" s="29">
        <f>VLOOKUP($E368,'Product Naming'!$A$1:$P$58,11,FALSE)</f>
        <v>6</v>
      </c>
      <c r="AC368" s="3">
        <f>VLOOKUP($E368,'Product Naming'!$A$1:$P$58,12,FALSE)</f>
        <v>88.14658</v>
      </c>
      <c r="AD368" s="1">
        <f>VLOOKUP($E368,'Product Naming'!$A$1:$P$58,13,FALSE)</f>
        <v>138</v>
      </c>
      <c r="AE368" s="1" t="str">
        <f>VLOOKUP($E368,'Product Naming'!$A$1:$P$58,14,FALSE)</f>
        <v>Alcohol</v>
      </c>
      <c r="AF368" s="1" t="str">
        <f>VLOOKUP($E368,'Product Naming'!$A$1:$P$58,15,FALSE)</f>
        <v>Oxaloacetate</v>
      </c>
      <c r="AG368" s="30" t="str">
        <f>VLOOKUP($E368,'Product Naming'!$A$1:$P$58,16,FALSE)</f>
        <v>Proton symporter</v>
      </c>
      <c r="AH368" s="3" t="str">
        <f>VLOOKUP($E368,'Product Naming'!$A$1:$Q$58,17,FALSE)</f>
        <v>pentoh_c</v>
      </c>
      <c r="AI368" s="1">
        <f>VLOOKUP($E368,'Product Parameters'!$A$2:$D$59,2,FALSE)</f>
        <v>1</v>
      </c>
      <c r="AJ368" s="1">
        <f>VLOOKUP($E368,'Product Parameters'!$A$2:$D$59,3,FALSE)</f>
        <v>0</v>
      </c>
      <c r="AK368" s="1">
        <f>VLOOKUP($E368,'Product Parameters'!$A$2:$D$59,4,FALSE)</f>
        <v>0.12</v>
      </c>
      <c r="AL368" s="1">
        <f>VLOOKUP($E368,'Product Parameters'!$A$2:$E$59,5,FALSE)</f>
        <v>57</v>
      </c>
      <c r="AM368" s="1">
        <f>VLOOKUP($E368,'Product Parameters'!$A$2:$F$59,6,FALSE)</f>
        <v>5</v>
      </c>
      <c r="AN368" s="1">
        <f>VLOOKUP($C368,'Substrate Heating'!$A$2:$C$33,3,FALSE)</f>
        <v>247.9</v>
      </c>
      <c r="AO368" s="1">
        <f>VLOOKUP($C368,'Substrate Heating'!$A$2:$B$33,2,FALSE)</f>
        <v>10.541709491918519</v>
      </c>
      <c r="AP368" s="1">
        <f>VLOOKUP($C368,'Substrate Heating'!$A$2:$M$33,13,FALSE)</f>
        <v>0.5</v>
      </c>
      <c r="AQ368" s="1">
        <f>VLOOKUP($C368,'Substrate Heating'!$A$2:$M$33,8,FALSE)</f>
        <v>0.5</v>
      </c>
      <c r="AR368" s="1">
        <f t="shared" si="5"/>
        <v>1.0253521126760599</v>
      </c>
    </row>
    <row r="369" spans="1:44" x14ac:dyDescent="0.2">
      <c r="A369" s="17" t="s">
        <v>323</v>
      </c>
      <c r="B369" s="18" t="s">
        <v>324</v>
      </c>
      <c r="C369" t="s">
        <v>335</v>
      </c>
      <c r="D369" s="19" t="s">
        <v>326</v>
      </c>
      <c r="E369" t="s">
        <v>291</v>
      </c>
      <c r="F369" t="s">
        <v>292</v>
      </c>
      <c r="G369">
        <v>-10</v>
      </c>
      <c r="H369">
        <v>0</v>
      </c>
      <c r="I369">
        <v>-10</v>
      </c>
      <c r="J369">
        <v>0.45</v>
      </c>
      <c r="K369">
        <v>-10</v>
      </c>
      <c r="L369">
        <v>0</v>
      </c>
      <c r="M369">
        <v>-10</v>
      </c>
      <c r="N369">
        <v>2.5633802816901499</v>
      </c>
      <c r="O369">
        <v>1.0253521126760601</v>
      </c>
      <c r="P369"/>
      <c r="Q369">
        <v>0.10253521126760599</v>
      </c>
      <c r="R369">
        <v>0.18809996759217401</v>
      </c>
      <c r="S369" s="1" t="str">
        <f>VLOOKUP($E369,'Product Naming'!$A$1:$P$58,2,FALSE)</f>
        <v>Pentanol-PW1</v>
      </c>
      <c r="T369" s="1" t="str">
        <f>VLOOKUP($E369,'Product Naming'!$A$1:$P$58,3,FALSE)</f>
        <v>Pentanol (PW1)</v>
      </c>
      <c r="U369" s="1" t="str">
        <f>VLOOKUP($E369,'Product Naming'!$A$1:$P$58,4,FALSE)</f>
        <v>E</v>
      </c>
      <c r="V369" s="1" t="str">
        <f>VLOOKUP($E369,'Product Naming'!$A$1:$P$58,5,FALSE)</f>
        <v>C5H12O</v>
      </c>
      <c r="W369" s="1">
        <f>VLOOKUP($E369,'Product Naming'!$A$1:$P$58,6,FALSE)</f>
        <v>5</v>
      </c>
      <c r="X369" s="1">
        <f>VLOOKUP($E369,'Product Naming'!$A$1:$P$58,7,FALSE)</f>
        <v>12</v>
      </c>
      <c r="Y369" s="1">
        <f>VLOOKUP($E369,'Product Naming'!$A$1:$P$58,8,FALSE)</f>
        <v>1</v>
      </c>
      <c r="Z369" s="1">
        <f>VLOOKUP($E369,'Product Naming'!$A$1:$P$58,9,FALSE)</f>
        <v>0</v>
      </c>
      <c r="AA369" s="1">
        <f>VLOOKUP($E369,'Product Naming'!$A$1:$P$58,10,FALSE)</f>
        <v>0</v>
      </c>
      <c r="AB369" s="29">
        <f>VLOOKUP($E369,'Product Naming'!$A$1:$P$58,11,FALSE)</f>
        <v>6</v>
      </c>
      <c r="AC369" s="3">
        <f>VLOOKUP($E369,'Product Naming'!$A$1:$P$58,12,FALSE)</f>
        <v>88.14658</v>
      </c>
      <c r="AD369" s="1">
        <f>VLOOKUP($E369,'Product Naming'!$A$1:$P$58,13,FALSE)</f>
        <v>138</v>
      </c>
      <c r="AE369" s="1" t="str">
        <f>VLOOKUP($E369,'Product Naming'!$A$1:$P$58,14,FALSE)</f>
        <v>Alcohol</v>
      </c>
      <c r="AF369" s="1" t="str">
        <f>VLOOKUP($E369,'Product Naming'!$A$1:$P$58,15,FALSE)</f>
        <v>Acetyl-CoA + Succinyl-CoA</v>
      </c>
      <c r="AG369" s="30" t="str">
        <f>VLOOKUP($E369,'Product Naming'!$A$1:$P$58,16,FALSE)</f>
        <v>Proton symporter</v>
      </c>
      <c r="AH369" s="3" t="str">
        <f>VLOOKUP($E369,'Product Naming'!$A$1:$Q$58,17,FALSE)</f>
        <v>pentoh_c</v>
      </c>
      <c r="AI369" s="1">
        <f>VLOOKUP($E369,'Product Parameters'!$A$2:$D$59,2,FALSE)</f>
        <v>1</v>
      </c>
      <c r="AJ369" s="1">
        <f>VLOOKUP($E369,'Product Parameters'!$A$2:$D$59,3,FALSE)</f>
        <v>0</v>
      </c>
      <c r="AK369" s="1">
        <f>VLOOKUP($E369,'Product Parameters'!$A$2:$D$59,4,FALSE)</f>
        <v>0.12</v>
      </c>
      <c r="AL369" s="1">
        <f>VLOOKUP($E369,'Product Parameters'!$A$2:$E$59,5,FALSE)</f>
        <v>57</v>
      </c>
      <c r="AM369" s="1">
        <f>VLOOKUP($E369,'Product Parameters'!$A$2:$F$59,6,FALSE)</f>
        <v>5</v>
      </c>
      <c r="AN369" s="1">
        <f>VLOOKUP($C369,'Substrate Heating'!$A$2:$C$33,3,FALSE)</f>
        <v>247.9</v>
      </c>
      <c r="AO369" s="1">
        <f>VLOOKUP($C369,'Substrate Heating'!$A$2:$B$33,2,FALSE)</f>
        <v>10.541709491918519</v>
      </c>
      <c r="AP369" s="1">
        <f>VLOOKUP($C369,'Substrate Heating'!$A$2:$M$33,13,FALSE)</f>
        <v>0.5</v>
      </c>
      <c r="AQ369" s="1">
        <f>VLOOKUP($C369,'Substrate Heating'!$A$2:$M$33,8,FALSE)</f>
        <v>0.5</v>
      </c>
      <c r="AR369" s="1">
        <f t="shared" si="5"/>
        <v>1.0253521126760599</v>
      </c>
    </row>
    <row r="370" spans="1:44" x14ac:dyDescent="0.2">
      <c r="A370" s="8" t="s">
        <v>34</v>
      </c>
      <c r="B370" s="9" t="s">
        <v>35</v>
      </c>
      <c r="C370" s="1" t="s">
        <v>322</v>
      </c>
      <c r="D370" s="10" t="s">
        <v>37</v>
      </c>
      <c r="E370" s="1" t="s">
        <v>306</v>
      </c>
      <c r="F370" s="1" t="s">
        <v>302</v>
      </c>
      <c r="G370" s="1">
        <v>-10</v>
      </c>
      <c r="H370" s="1">
        <v>-20</v>
      </c>
      <c r="I370" s="1" t="s">
        <v>40</v>
      </c>
      <c r="J370" s="1">
        <v>3.15</v>
      </c>
      <c r="K370" s="1">
        <v>-10</v>
      </c>
      <c r="L370" s="1">
        <v>-7.3823529411764701</v>
      </c>
      <c r="M370" s="1" t="s">
        <v>40</v>
      </c>
      <c r="N370" s="1">
        <v>12.4294117647059</v>
      </c>
      <c r="O370" s="1">
        <v>2.5235294117647098</v>
      </c>
      <c r="Q370" s="1">
        <v>0.252352941176471</v>
      </c>
      <c r="R370" s="1">
        <v>0.188463875391784</v>
      </c>
      <c r="S370" s="1" t="str">
        <f>VLOOKUP($E370,'Product Naming'!$A$1:$P$58,2,FALSE)</f>
        <v>Propane-PW2</v>
      </c>
      <c r="T370" s="1" t="str">
        <f>VLOOKUP($E370,'Product Naming'!$A$1:$P$58,3,FALSE)</f>
        <v>Propane (PW2)</v>
      </c>
      <c r="U370" s="1" t="str">
        <f>VLOOKUP($E370,'Product Naming'!$A$1:$P$58,4,FALSE)</f>
        <v>E</v>
      </c>
      <c r="V370" s="1" t="str">
        <f>VLOOKUP($E370,'Product Naming'!$A$1:$P$58,5,FALSE)</f>
        <v>C3H8</v>
      </c>
      <c r="W370" s="1">
        <f>VLOOKUP($E370,'Product Naming'!$A$1:$P$58,6,FALSE)</f>
        <v>3</v>
      </c>
      <c r="X370" s="1">
        <f>VLOOKUP($E370,'Product Naming'!$A$1:$P$58,7,FALSE)</f>
        <v>8</v>
      </c>
      <c r="Y370" s="1">
        <f>VLOOKUP($E370,'Product Naming'!$A$1:$P$58,8,FALSE)</f>
        <v>0</v>
      </c>
      <c r="Z370" s="1">
        <f>VLOOKUP($E370,'Product Naming'!$A$1:$P$58,9,FALSE)</f>
        <v>0</v>
      </c>
      <c r="AA370" s="1">
        <f>VLOOKUP($E370,'Product Naming'!$A$1:$P$58,10,FALSE)</f>
        <v>0</v>
      </c>
      <c r="AB370" s="29">
        <f>VLOOKUP($E370,'Product Naming'!$A$1:$P$58,11,FALSE)</f>
        <v>6.666666666666667</v>
      </c>
      <c r="AC370" s="3">
        <f>VLOOKUP($E370,'Product Naming'!$A$1:$P$58,12,FALSE)</f>
        <v>44.094819999999999</v>
      </c>
      <c r="AD370" s="1">
        <f>VLOOKUP($E370,'Product Naming'!$A$1:$P$58,13,FALSE)</f>
        <v>-42</v>
      </c>
      <c r="AE370" s="1" t="str">
        <f>VLOOKUP($E370,'Product Naming'!$A$1:$P$58,14,FALSE)</f>
        <v>Hydrocarbon</v>
      </c>
      <c r="AF370" s="1" t="str">
        <f>VLOOKUP($E370,'Product Naming'!$A$1:$P$58,15,FALSE)</f>
        <v>Oxaloacetate</v>
      </c>
      <c r="AG370" s="30" t="str">
        <f>VLOOKUP($E370,'Product Naming'!$A$1:$P$58,16,FALSE)</f>
        <v>Diffusion</v>
      </c>
      <c r="AH370" s="3" t="str">
        <f>VLOOKUP($E370,'Product Naming'!$A$1:$Q$58,17,FALSE)</f>
        <v>prop_c</v>
      </c>
      <c r="AI370" s="1">
        <f>VLOOKUP($E370,'Product Parameters'!$A$2:$D$59,2,FALSE)</f>
        <v>0</v>
      </c>
      <c r="AJ370" s="1">
        <f>VLOOKUP($E370,'Product Parameters'!$A$2:$D$59,3,FALSE)</f>
        <v>1</v>
      </c>
      <c r="AK370" s="1">
        <f>VLOOKUP($E370,'Product Parameters'!$A$2:$D$59,4,FALSE)</f>
        <v>0.12</v>
      </c>
      <c r="AL370" s="1">
        <f>VLOOKUP($E370,'Product Parameters'!$A$2:$E$59,5,FALSE)</f>
        <v>0</v>
      </c>
      <c r="AM370" s="1">
        <f>VLOOKUP($E370,'Product Parameters'!$A$2:$F$59,6,FALSE)</f>
        <v>3</v>
      </c>
      <c r="AN370" s="1">
        <f>VLOOKUP($C370,'Substrate Heating'!$A$2:$C$33,3,FALSE)</f>
        <v>876.74109599999997</v>
      </c>
      <c r="AO370" s="1">
        <f>VLOOKUP($C370,'Substrate Heating'!$A$2:$B$33,2,FALSE)</f>
        <v>14.6</v>
      </c>
      <c r="AP370" s="1">
        <f>VLOOKUP($C370,'Substrate Heating'!$A$2:$M$33,13,FALSE)</f>
        <v>3.5</v>
      </c>
      <c r="AQ370" s="1">
        <f>VLOOKUP($C370,'Substrate Heating'!$A$2:$M$33,8,FALSE)</f>
        <v>2</v>
      </c>
      <c r="AR370" s="1">
        <f t="shared" si="5"/>
        <v>0.3785294117647065</v>
      </c>
    </row>
    <row r="371" spans="1:44" x14ac:dyDescent="0.2">
      <c r="A371" s="17" t="s">
        <v>323</v>
      </c>
      <c r="B371" s="18" t="s">
        <v>324</v>
      </c>
      <c r="C371" t="s">
        <v>335</v>
      </c>
      <c r="D371" s="19" t="s">
        <v>326</v>
      </c>
      <c r="E371" t="s">
        <v>236</v>
      </c>
      <c r="F371" t="s">
        <v>237</v>
      </c>
      <c r="G371">
        <v>-10</v>
      </c>
      <c r="H371">
        <v>0</v>
      </c>
      <c r="I371">
        <v>-10</v>
      </c>
      <c r="J371">
        <v>0.45</v>
      </c>
      <c r="K371">
        <v>-10</v>
      </c>
      <c r="L371">
        <v>0</v>
      </c>
      <c r="M371">
        <v>-10</v>
      </c>
      <c r="N371">
        <v>3.6842105263157898</v>
      </c>
      <c r="O371">
        <v>1.0526315789473699</v>
      </c>
      <c r="P371"/>
      <c r="Q371">
        <v>0.105263157894737</v>
      </c>
      <c r="R371">
        <v>0.18878290678579501</v>
      </c>
      <c r="S371" s="1" t="str">
        <f>VLOOKUP($E371,'Product Naming'!$A$1:$P$58,2,FALSE)</f>
        <v>Hexane</v>
      </c>
      <c r="T371" s="1" t="str">
        <f>VLOOKUP($E371,'Product Naming'!$A$1:$P$58,3,FALSE)</f>
        <v>Hexane</v>
      </c>
      <c r="U371" s="1" t="str">
        <f>VLOOKUP($E371,'Product Naming'!$A$1:$P$58,4,FALSE)</f>
        <v>E</v>
      </c>
      <c r="V371" s="1" t="str">
        <f>VLOOKUP($E371,'Product Naming'!$A$1:$P$58,5,FALSE)</f>
        <v>C6H14</v>
      </c>
      <c r="W371" s="1">
        <f>VLOOKUP($E371,'Product Naming'!$A$1:$P$58,6,FALSE)</f>
        <v>6</v>
      </c>
      <c r="X371" s="1">
        <f>VLOOKUP($E371,'Product Naming'!$A$1:$P$58,7,FALSE)</f>
        <v>14</v>
      </c>
      <c r="Y371" s="1">
        <f>VLOOKUP($E371,'Product Naming'!$A$1:$P$58,8,FALSE)</f>
        <v>0</v>
      </c>
      <c r="Z371" s="1">
        <f>VLOOKUP($E371,'Product Naming'!$A$1:$P$58,9,FALSE)</f>
        <v>0</v>
      </c>
      <c r="AA371" s="1">
        <f>VLOOKUP($E371,'Product Naming'!$A$1:$P$58,10,FALSE)</f>
        <v>0</v>
      </c>
      <c r="AB371" s="29">
        <f>VLOOKUP($E371,'Product Naming'!$A$1:$P$58,11,FALSE)</f>
        <v>6.333333333333333</v>
      </c>
      <c r="AC371" s="3">
        <f>VLOOKUP($E371,'Product Naming'!$A$1:$P$58,12,FALSE)</f>
        <v>86.173959999999994</v>
      </c>
      <c r="AD371" s="1">
        <f>VLOOKUP($E371,'Product Naming'!$A$1:$P$58,13,FALSE)</f>
        <v>69</v>
      </c>
      <c r="AE371" s="1" t="str">
        <f>VLOOKUP($E371,'Product Naming'!$A$1:$P$58,14,FALSE)</f>
        <v>Hydrocarbon (alkane)</v>
      </c>
      <c r="AF371" s="1" t="str">
        <f>VLOOKUP($E371,'Product Naming'!$A$1:$P$58,15,FALSE)</f>
        <v>Acetyl-CoA + Succinyl-CoA</v>
      </c>
      <c r="AG371" s="30" t="str">
        <f>VLOOKUP($E371,'Product Naming'!$A$1:$P$58,16,FALSE)</f>
        <v>Proton symporter</v>
      </c>
      <c r="AH371" s="3" t="str">
        <f>VLOOKUP($E371,'Product Naming'!$A$1:$Q$58,17,FALSE)</f>
        <v>hex_c</v>
      </c>
      <c r="AI371" s="1">
        <f>VLOOKUP($E371,'Product Parameters'!$A$2:$D$59,2,FALSE)</f>
        <v>1</v>
      </c>
      <c r="AJ371" s="1">
        <f>VLOOKUP($E371,'Product Parameters'!$A$2:$D$59,3,FALSE)</f>
        <v>0</v>
      </c>
      <c r="AK371" s="1">
        <f>VLOOKUP($E371,'Product Parameters'!$A$2:$D$59,4,FALSE)</f>
        <v>0.12</v>
      </c>
      <c r="AL371" s="1">
        <f>VLOOKUP($E371,'Product Parameters'!$A$2:$E$59,5,FALSE)</f>
        <v>31</v>
      </c>
      <c r="AM371" s="1">
        <f>VLOOKUP($E371,'Product Parameters'!$A$2:$F$59,6,FALSE)</f>
        <v>6</v>
      </c>
      <c r="AN371" s="1">
        <f>VLOOKUP($C371,'Substrate Heating'!$A$2:$C$33,3,FALSE)</f>
        <v>247.9</v>
      </c>
      <c r="AO371" s="1">
        <f>VLOOKUP($C371,'Substrate Heating'!$A$2:$B$33,2,FALSE)</f>
        <v>10.541709491918519</v>
      </c>
      <c r="AP371" s="1">
        <f>VLOOKUP($C371,'Substrate Heating'!$A$2:$M$33,13,FALSE)</f>
        <v>0.5</v>
      </c>
      <c r="AQ371" s="1">
        <f>VLOOKUP($C371,'Substrate Heating'!$A$2:$M$33,8,FALSE)</f>
        <v>0.5</v>
      </c>
      <c r="AR371" s="1">
        <f t="shared" si="5"/>
        <v>1.263157894736844</v>
      </c>
    </row>
    <row r="372" spans="1:44" x14ac:dyDescent="0.2">
      <c r="A372" s="17" t="s">
        <v>323</v>
      </c>
      <c r="B372" s="18" t="s">
        <v>324</v>
      </c>
      <c r="C372" t="s">
        <v>333</v>
      </c>
      <c r="D372" s="19" t="s">
        <v>326</v>
      </c>
      <c r="E372" t="s">
        <v>171</v>
      </c>
      <c r="F372" t="s">
        <v>172</v>
      </c>
      <c r="G372">
        <v>-10</v>
      </c>
      <c r="H372">
        <v>0</v>
      </c>
      <c r="I372">
        <v>0</v>
      </c>
      <c r="J372">
        <v>0.45</v>
      </c>
      <c r="K372">
        <v>-10</v>
      </c>
      <c r="L372">
        <v>0</v>
      </c>
      <c r="M372">
        <v>0</v>
      </c>
      <c r="N372">
        <v>6</v>
      </c>
      <c r="O372">
        <v>1</v>
      </c>
      <c r="P372"/>
      <c r="Q372">
        <v>0.1</v>
      </c>
      <c r="R372">
        <v>0.189216677963745</v>
      </c>
      <c r="S372" s="1" t="str">
        <f>VLOOKUP($E372,'Product Naming'!$A$1:$P$58,2,FALSE)</f>
        <v>Butyrate</v>
      </c>
      <c r="T372" s="1" t="str">
        <f>VLOOKUP($E372,'Product Naming'!$A$1:$P$58,3,FALSE)</f>
        <v>Butyrate</v>
      </c>
      <c r="U372" s="1" t="str">
        <f>VLOOKUP($E372,'Product Naming'!$A$1:$P$58,4,FALSE)</f>
        <v>A</v>
      </c>
      <c r="V372" s="1" t="str">
        <f>VLOOKUP($E372,'Product Naming'!$A$1:$P$58,5,FALSE)</f>
        <v>C4H7O2</v>
      </c>
      <c r="W372" s="1">
        <f>VLOOKUP($E372,'Product Naming'!$A$1:$P$58,6,FALSE)</f>
        <v>4</v>
      </c>
      <c r="X372" s="1">
        <f>VLOOKUP($E372,'Product Naming'!$A$1:$P$58,7,FALSE)</f>
        <v>7</v>
      </c>
      <c r="Y372" s="1">
        <f>VLOOKUP($E372,'Product Naming'!$A$1:$P$58,8,FALSE)</f>
        <v>2</v>
      </c>
      <c r="Z372" s="1">
        <f>VLOOKUP($E372,'Product Naming'!$A$1:$P$58,9,FALSE)</f>
        <v>0</v>
      </c>
      <c r="AA372" s="1">
        <f>VLOOKUP($E372,'Product Naming'!$A$1:$P$58,10,FALSE)</f>
        <v>-1</v>
      </c>
      <c r="AB372" s="29">
        <f>VLOOKUP($E372,'Product Naming'!$A$1:$P$58,11,FALSE)</f>
        <v>4.75</v>
      </c>
      <c r="AC372" s="3">
        <f>VLOOKUP($E372,'Product Naming'!$A$1:$P$58,12,FALSE)</f>
        <v>87.095680000000002</v>
      </c>
      <c r="AD372" s="1">
        <f>VLOOKUP($E372,'Product Naming'!$A$1:$P$58,13,FALSE)</f>
        <v>163.5</v>
      </c>
      <c r="AE372" s="1" t="str">
        <f>VLOOKUP($E372,'Product Naming'!$A$1:$P$58,14,FALSE)</f>
        <v>Carboxylate</v>
      </c>
      <c r="AF372" s="1" t="str">
        <f>VLOOKUP($E372,'Product Naming'!$A$1:$P$58,15,FALSE)</f>
        <v>Acetyl-CoA</v>
      </c>
      <c r="AG372" s="30" t="str">
        <f>VLOOKUP($E372,'Product Naming'!$A$1:$P$58,16,FALSE)</f>
        <v>Proton symporter</v>
      </c>
      <c r="AH372" s="3" t="str">
        <f>VLOOKUP($E372,'Product Naming'!$A$1:$Q$58,17,FALSE)</f>
        <v>but_c</v>
      </c>
      <c r="AI372" s="1">
        <f>VLOOKUP($E372,'Product Parameters'!$A$2:$D$59,2,FALSE)</f>
        <v>1</v>
      </c>
      <c r="AJ372" s="1">
        <f>VLOOKUP($E372,'Product Parameters'!$A$2:$D$59,3,FALSE)</f>
        <v>0</v>
      </c>
      <c r="AK372" s="1">
        <f>VLOOKUP($E372,'Product Parameters'!$A$2:$D$59,4,FALSE)</f>
        <v>0.12</v>
      </c>
      <c r="AL372" s="1">
        <f>VLOOKUP($E372,'Product Parameters'!$A$2:$E$59,5,FALSE)</f>
        <v>42</v>
      </c>
      <c r="AM372" s="1">
        <f>VLOOKUP($E372,'Product Parameters'!$A$2:$F$59,6,FALSE)</f>
        <v>4</v>
      </c>
      <c r="AN372" s="1">
        <f>VLOOKUP($C372,'Substrate Heating'!$A$2:$C$33,3,FALSE)</f>
        <v>247.59097</v>
      </c>
      <c r="AO372" s="1">
        <f>VLOOKUP($C372,'Substrate Heating'!$A$2:$B$33,2,FALSE)</f>
        <v>5.5</v>
      </c>
      <c r="AP372" s="1">
        <f>VLOOKUP($C372,'Substrate Heating'!$A$2:$M$33,13,FALSE)</f>
        <v>1</v>
      </c>
      <c r="AQ372" s="1">
        <f>VLOOKUP($C372,'Substrate Heating'!$A$2:$M$33,8,FALSE)</f>
        <v>1</v>
      </c>
      <c r="AR372" s="1">
        <f t="shared" si="5"/>
        <v>0.4</v>
      </c>
    </row>
    <row r="373" spans="1:44" x14ac:dyDescent="0.2">
      <c r="A373" s="17" t="s">
        <v>323</v>
      </c>
      <c r="B373" s="18" t="s">
        <v>324</v>
      </c>
      <c r="C373" t="s">
        <v>333</v>
      </c>
      <c r="D373" s="19" t="s">
        <v>326</v>
      </c>
      <c r="E373" t="s">
        <v>244</v>
      </c>
      <c r="F373" t="s">
        <v>245</v>
      </c>
      <c r="G373">
        <v>-10</v>
      </c>
      <c r="H373">
        <v>0</v>
      </c>
      <c r="I373">
        <v>0</v>
      </c>
      <c r="J373">
        <v>0.45</v>
      </c>
      <c r="K373">
        <v>-10</v>
      </c>
      <c r="L373">
        <v>0</v>
      </c>
      <c r="M373">
        <v>0</v>
      </c>
      <c r="N373">
        <v>6</v>
      </c>
      <c r="O373">
        <v>1</v>
      </c>
      <c r="P373"/>
      <c r="Q373">
        <v>0.1</v>
      </c>
      <c r="R373">
        <v>0.189216677963745</v>
      </c>
      <c r="S373" s="1" t="str">
        <f>VLOOKUP($E373,'Product Naming'!$A$1:$P$58,2,FALSE)</f>
        <v>Isobutyrate</v>
      </c>
      <c r="T373" s="1" t="str">
        <f>VLOOKUP($E373,'Product Naming'!$A$1:$P$58,3,FALSE)</f>
        <v>Isobutyrate</v>
      </c>
      <c r="U373" s="1" t="str">
        <f>VLOOKUP($E373,'Product Naming'!$A$1:$P$58,4,FALSE)</f>
        <v>A</v>
      </c>
      <c r="V373" s="1" t="str">
        <f>VLOOKUP($E373,'Product Naming'!$A$1:$P$58,5,FALSE)</f>
        <v>C4H7O2</v>
      </c>
      <c r="W373" s="1">
        <f>VLOOKUP($E373,'Product Naming'!$A$1:$P$58,6,FALSE)</f>
        <v>4</v>
      </c>
      <c r="X373" s="1">
        <f>VLOOKUP($E373,'Product Naming'!$A$1:$P$58,7,FALSE)</f>
        <v>7</v>
      </c>
      <c r="Y373" s="1">
        <f>VLOOKUP($E373,'Product Naming'!$A$1:$P$58,8,FALSE)</f>
        <v>2</v>
      </c>
      <c r="Z373" s="1">
        <f>VLOOKUP($E373,'Product Naming'!$A$1:$P$58,9,FALSE)</f>
        <v>0</v>
      </c>
      <c r="AA373" s="1">
        <f>VLOOKUP($E373,'Product Naming'!$A$1:$P$58,10,FALSE)</f>
        <v>-1</v>
      </c>
      <c r="AB373" s="29">
        <f>VLOOKUP($E373,'Product Naming'!$A$1:$P$58,11,FALSE)</f>
        <v>4.75</v>
      </c>
      <c r="AC373" s="3">
        <f>VLOOKUP($E373,'Product Naming'!$A$1:$P$58,12,FALSE)</f>
        <v>87.095680000000002</v>
      </c>
      <c r="AD373" s="1">
        <f>VLOOKUP($E373,'Product Naming'!$A$1:$P$58,13,FALSE)</f>
        <v>155</v>
      </c>
      <c r="AE373" s="1" t="str">
        <f>VLOOKUP($E373,'Product Naming'!$A$1:$P$58,14,FALSE)</f>
        <v>Carboxylate</v>
      </c>
      <c r="AF373" s="1" t="str">
        <f>VLOOKUP($E373,'Product Naming'!$A$1:$P$58,15,FALSE)</f>
        <v>Pyruvate</v>
      </c>
      <c r="AG373" s="30" t="str">
        <f>VLOOKUP($E373,'Product Naming'!$A$1:$P$58,16,FALSE)</f>
        <v>Proton symporter</v>
      </c>
      <c r="AH373" s="3" t="str">
        <f>VLOOKUP($E373,'Product Naming'!$A$1:$Q$58,17,FALSE)</f>
        <v>ibt_c</v>
      </c>
      <c r="AI373" s="1">
        <f>VLOOKUP($E373,'Product Parameters'!$A$2:$D$59,2,FALSE)</f>
        <v>1</v>
      </c>
      <c r="AJ373" s="1">
        <f>VLOOKUP($E373,'Product Parameters'!$A$2:$D$59,3,FALSE)</f>
        <v>0</v>
      </c>
      <c r="AK373" s="1">
        <f>VLOOKUP($E373,'Product Parameters'!$A$2:$D$59,4,FALSE)</f>
        <v>0.12</v>
      </c>
      <c r="AL373" s="1">
        <f>VLOOKUP($E373,'Product Parameters'!$A$2:$E$59,5,FALSE)</f>
        <v>44.5</v>
      </c>
      <c r="AM373" s="1">
        <f>VLOOKUP($E373,'Product Parameters'!$A$2:$F$59,6,FALSE)</f>
        <v>4</v>
      </c>
      <c r="AN373" s="1">
        <f>VLOOKUP($C373,'Substrate Heating'!$A$2:$C$33,3,FALSE)</f>
        <v>247.59097</v>
      </c>
      <c r="AO373" s="1">
        <f>VLOOKUP($C373,'Substrate Heating'!$A$2:$B$33,2,FALSE)</f>
        <v>5.5</v>
      </c>
      <c r="AP373" s="1">
        <f>VLOOKUP($C373,'Substrate Heating'!$A$2:$M$33,13,FALSE)</f>
        <v>1</v>
      </c>
      <c r="AQ373" s="1">
        <f>VLOOKUP($C373,'Substrate Heating'!$A$2:$M$33,8,FALSE)</f>
        <v>1</v>
      </c>
      <c r="AR373" s="1">
        <f t="shared" si="5"/>
        <v>0.4</v>
      </c>
    </row>
    <row r="374" spans="1:44" x14ac:dyDescent="0.2">
      <c r="A374" s="17" t="s">
        <v>323</v>
      </c>
      <c r="B374" s="18" t="s">
        <v>324</v>
      </c>
      <c r="C374" t="s">
        <v>335</v>
      </c>
      <c r="D374" s="19" t="s">
        <v>326</v>
      </c>
      <c r="E374" t="s">
        <v>225</v>
      </c>
      <c r="F374" t="s">
        <v>226</v>
      </c>
      <c r="G374">
        <v>-10</v>
      </c>
      <c r="H374">
        <v>0</v>
      </c>
      <c r="I374">
        <v>-10</v>
      </c>
      <c r="J374">
        <v>0.45</v>
      </c>
      <c r="K374">
        <v>-10</v>
      </c>
      <c r="L374">
        <v>0</v>
      </c>
      <c r="M374">
        <v>-10</v>
      </c>
      <c r="N374">
        <v>0</v>
      </c>
      <c r="O374">
        <v>1.21333333333333</v>
      </c>
      <c r="P374"/>
      <c r="Q374">
        <v>0.121333333333333</v>
      </c>
      <c r="R374">
        <v>0.18949348784034301</v>
      </c>
      <c r="S374" s="1" t="str">
        <f>VLOOKUP($E374,'Product Naming'!$A$1:$P$58,2,FALSE)</f>
        <v>Glycolate</v>
      </c>
      <c r="T374" s="1" t="str">
        <f>VLOOKUP($E374,'Product Naming'!$A$1:$P$58,3,FALSE)</f>
        <v>Glycolate</v>
      </c>
      <c r="U374" s="1" t="str">
        <f>VLOOKUP($E374,'Product Naming'!$A$1:$P$58,4,FALSE)</f>
        <v>iJO1366</v>
      </c>
      <c r="V374" s="1" t="str">
        <f>VLOOKUP($E374,'Product Naming'!$A$1:$P$58,5,FALSE)</f>
        <v>C2H3O3</v>
      </c>
      <c r="W374" s="1">
        <f>VLOOKUP($E374,'Product Naming'!$A$1:$P$58,6,FALSE)</f>
        <v>2</v>
      </c>
      <c r="X374" s="1">
        <f>VLOOKUP($E374,'Product Naming'!$A$1:$P$58,7,FALSE)</f>
        <v>3</v>
      </c>
      <c r="Y374" s="1">
        <f>VLOOKUP($E374,'Product Naming'!$A$1:$P$58,8,FALSE)</f>
        <v>3</v>
      </c>
      <c r="Z374" s="1">
        <f>VLOOKUP($E374,'Product Naming'!$A$1:$P$58,9,FALSE)</f>
        <v>0</v>
      </c>
      <c r="AA374" s="1">
        <f>VLOOKUP($E374,'Product Naming'!$A$1:$P$58,10,FALSE)</f>
        <v>-1</v>
      </c>
      <c r="AB374" s="29">
        <f>VLOOKUP($E374,'Product Naming'!$A$1:$P$58,11,FALSE)</f>
        <v>2.5</v>
      </c>
      <c r="AC374" s="3">
        <f>VLOOKUP($E374,'Product Naming'!$A$1:$P$58,12,FALSE)</f>
        <v>75.041920000000005</v>
      </c>
      <c r="AD374" s="1">
        <f>VLOOKUP($E374,'Product Naming'!$A$1:$P$58,13,FALSE)</f>
        <v>112</v>
      </c>
      <c r="AE374" s="1" t="str">
        <f>VLOOKUP($E374,'Product Naming'!$A$1:$P$58,14,FALSE)</f>
        <v>Carboxylate + Alcohol (hydroxy carboxylate)</v>
      </c>
      <c r="AF374" s="1" t="str">
        <f>VLOOKUP($E374,'Product Naming'!$A$1:$P$58,15,FALSE)</f>
        <v>Glyoxylate (*isocitrate)</v>
      </c>
      <c r="AG374" s="30" t="str">
        <f>VLOOKUP($E374,'Product Naming'!$A$1:$P$58,16,FALSE)</f>
        <v>Proton symporter</v>
      </c>
      <c r="AH374" s="3" t="str">
        <f>VLOOKUP($E374,'Product Naming'!$A$1:$Q$58,17,FALSE)</f>
        <v>glyclt_c</v>
      </c>
      <c r="AI374" s="1">
        <f>VLOOKUP($E374,'Product Parameters'!$A$2:$D$59,2,FALSE)</f>
        <v>1</v>
      </c>
      <c r="AJ374" s="1">
        <f>VLOOKUP($E374,'Product Parameters'!$A$2:$D$59,3,FALSE)</f>
        <v>0</v>
      </c>
      <c r="AK374" s="1">
        <f>VLOOKUP($E374,'Product Parameters'!$A$2:$D$59,4,FALSE)</f>
        <v>0.12</v>
      </c>
      <c r="AL374" s="1">
        <f>VLOOKUP($E374,'Product Parameters'!$A$2:$E$59,5,FALSE)</f>
        <v>40.65</v>
      </c>
      <c r="AM374" s="1">
        <f>VLOOKUP($E374,'Product Parameters'!$A$2:$F$59,6,FALSE)</f>
        <v>2</v>
      </c>
      <c r="AN374" s="1">
        <f>VLOOKUP($C374,'Substrate Heating'!$A$2:$C$33,3,FALSE)</f>
        <v>247.9</v>
      </c>
      <c r="AO374" s="1">
        <f>VLOOKUP($C374,'Substrate Heating'!$A$2:$B$33,2,FALSE)</f>
        <v>10.541709491918519</v>
      </c>
      <c r="AP374" s="1">
        <f>VLOOKUP($C374,'Substrate Heating'!$A$2:$M$33,13,FALSE)</f>
        <v>0.5</v>
      </c>
      <c r="AQ374" s="1">
        <f>VLOOKUP($C374,'Substrate Heating'!$A$2:$M$33,8,FALSE)</f>
        <v>0.5</v>
      </c>
      <c r="AR374" s="1">
        <f t="shared" si="5"/>
        <v>0.48533333333333201</v>
      </c>
    </row>
    <row r="375" spans="1:44" x14ac:dyDescent="0.2">
      <c r="A375" s="17" t="s">
        <v>323</v>
      </c>
      <c r="B375" s="18" t="s">
        <v>324</v>
      </c>
      <c r="C375" t="s">
        <v>335</v>
      </c>
      <c r="D375" s="19" t="s">
        <v>326</v>
      </c>
      <c r="E375" t="s">
        <v>232</v>
      </c>
      <c r="F375" t="s">
        <v>233</v>
      </c>
      <c r="G375">
        <v>-10</v>
      </c>
      <c r="H375">
        <v>0</v>
      </c>
      <c r="I375">
        <v>-10</v>
      </c>
      <c r="J375">
        <v>0.45</v>
      </c>
      <c r="K375">
        <v>-10</v>
      </c>
      <c r="L375">
        <v>0</v>
      </c>
      <c r="M375">
        <v>-10</v>
      </c>
      <c r="N375">
        <v>3.63636363636363</v>
      </c>
      <c r="O375">
        <v>0.90909090909090895</v>
      </c>
      <c r="P375"/>
      <c r="Q375">
        <v>9.0909090909090898E-2</v>
      </c>
      <c r="R375">
        <v>0.189577474488483</v>
      </c>
      <c r="S375" s="1" t="str">
        <f>VLOOKUP($E375,'Product Naming'!$A$1:$P$58,2,FALSE)</f>
        <v>Heptane</v>
      </c>
      <c r="T375" s="1" t="str">
        <f>VLOOKUP($E375,'Product Naming'!$A$1:$P$58,3,FALSE)</f>
        <v>Heptane</v>
      </c>
      <c r="U375" s="1" t="str">
        <f>VLOOKUP($E375,'Product Naming'!$A$1:$P$58,4,FALSE)</f>
        <v>E</v>
      </c>
      <c r="V375" s="1" t="str">
        <f>VLOOKUP($E375,'Product Naming'!$A$1:$P$58,5,FALSE)</f>
        <v>C7H16</v>
      </c>
      <c r="W375" s="1">
        <f>VLOOKUP($E375,'Product Naming'!$A$1:$P$58,6,FALSE)</f>
        <v>7</v>
      </c>
      <c r="X375" s="1">
        <f>VLOOKUP($E375,'Product Naming'!$A$1:$P$58,7,FALSE)</f>
        <v>16</v>
      </c>
      <c r="Y375" s="1">
        <f>VLOOKUP($E375,'Product Naming'!$A$1:$P$58,8,FALSE)</f>
        <v>0</v>
      </c>
      <c r="Z375" s="1">
        <f>VLOOKUP($E375,'Product Naming'!$A$1:$P$58,9,FALSE)</f>
        <v>0</v>
      </c>
      <c r="AA375" s="1">
        <f>VLOOKUP($E375,'Product Naming'!$A$1:$P$58,10,FALSE)</f>
        <v>0</v>
      </c>
      <c r="AB375" s="29">
        <f>VLOOKUP($E375,'Product Naming'!$A$1:$P$58,11,FALSE)</f>
        <v>6.2857142857142856</v>
      </c>
      <c r="AC375" s="3">
        <f>VLOOKUP($E375,'Product Naming'!$A$1:$P$58,12,FALSE)</f>
        <v>100.20034</v>
      </c>
      <c r="AD375" s="1">
        <f>VLOOKUP($E375,'Product Naming'!$A$1:$P$58,13,FALSE)</f>
        <v>98</v>
      </c>
      <c r="AE375" s="1" t="str">
        <f>VLOOKUP($E375,'Product Naming'!$A$1:$P$58,14,FALSE)</f>
        <v>Hydrocarbon (alkane)</v>
      </c>
      <c r="AF375" s="1" t="str">
        <f>VLOOKUP($E375,'Product Naming'!$A$1:$P$58,15,FALSE)</f>
        <v>Acetyl-CoA</v>
      </c>
      <c r="AG375" s="30" t="str">
        <f>VLOOKUP($E375,'Product Naming'!$A$1:$P$58,16,FALSE)</f>
        <v>Proton symporter</v>
      </c>
      <c r="AH375" s="3" t="str">
        <f>VLOOKUP($E375,'Product Naming'!$A$1:$Q$58,17,FALSE)</f>
        <v>hept_c</v>
      </c>
      <c r="AI375" s="1">
        <f>VLOOKUP($E375,'Product Parameters'!$A$2:$D$59,2,FALSE)</f>
        <v>1</v>
      </c>
      <c r="AJ375" s="1">
        <f>VLOOKUP($E375,'Product Parameters'!$A$2:$D$59,3,FALSE)</f>
        <v>0</v>
      </c>
      <c r="AK375" s="1">
        <f>VLOOKUP($E375,'Product Parameters'!$A$2:$D$59,4,FALSE)</f>
        <v>0.12</v>
      </c>
      <c r="AL375" s="1">
        <f>VLOOKUP($E375,'Product Parameters'!$A$2:$E$59,5,FALSE)</f>
        <v>36</v>
      </c>
      <c r="AM375" s="1">
        <f>VLOOKUP($E375,'Product Parameters'!$A$2:$F$59,6,FALSE)</f>
        <v>7</v>
      </c>
      <c r="AN375" s="1">
        <f>VLOOKUP($C375,'Substrate Heating'!$A$2:$C$33,3,FALSE)</f>
        <v>247.9</v>
      </c>
      <c r="AO375" s="1">
        <f>VLOOKUP($C375,'Substrate Heating'!$A$2:$B$33,2,FALSE)</f>
        <v>10.541709491918519</v>
      </c>
      <c r="AP375" s="1">
        <f>VLOOKUP($C375,'Substrate Heating'!$A$2:$M$33,13,FALSE)</f>
        <v>0.5</v>
      </c>
      <c r="AQ375" s="1">
        <f>VLOOKUP($C375,'Substrate Heating'!$A$2:$M$33,8,FALSE)</f>
        <v>0.5</v>
      </c>
      <c r="AR375" s="1">
        <f t="shared" si="5"/>
        <v>1.2727272727272725</v>
      </c>
    </row>
    <row r="376" spans="1:44" x14ac:dyDescent="0.2">
      <c r="A376" s="17" t="s">
        <v>323</v>
      </c>
      <c r="B376" s="18" t="s">
        <v>324</v>
      </c>
      <c r="C376" t="s">
        <v>325</v>
      </c>
      <c r="D376" s="19" t="s">
        <v>326</v>
      </c>
      <c r="E376" t="s">
        <v>291</v>
      </c>
      <c r="F376" t="s">
        <v>292</v>
      </c>
      <c r="G376">
        <v>-10</v>
      </c>
      <c r="H376">
        <v>0</v>
      </c>
      <c r="I376">
        <v>0</v>
      </c>
      <c r="J376">
        <v>0.45</v>
      </c>
      <c r="K376">
        <v>-10</v>
      </c>
      <c r="L376">
        <v>0</v>
      </c>
      <c r="M376">
        <v>0</v>
      </c>
      <c r="N376">
        <v>6.5070422535211296</v>
      </c>
      <c r="O376">
        <v>0.60281690140845101</v>
      </c>
      <c r="P376"/>
      <c r="Q376">
        <v>6.0281690140845098E-2</v>
      </c>
      <c r="R376">
        <v>0.189704563460736</v>
      </c>
      <c r="S376" s="1" t="str">
        <f>VLOOKUP($E376,'Product Naming'!$A$1:$P$58,2,FALSE)</f>
        <v>Pentanol-PW1</v>
      </c>
      <c r="T376" s="1" t="str">
        <f>VLOOKUP($E376,'Product Naming'!$A$1:$P$58,3,FALSE)</f>
        <v>Pentanol (PW1)</v>
      </c>
      <c r="U376" s="1" t="str">
        <f>VLOOKUP($E376,'Product Naming'!$A$1:$P$58,4,FALSE)</f>
        <v>E</v>
      </c>
      <c r="V376" s="1" t="str">
        <f>VLOOKUP($E376,'Product Naming'!$A$1:$P$58,5,FALSE)</f>
        <v>C5H12O</v>
      </c>
      <c r="W376" s="1">
        <f>VLOOKUP($E376,'Product Naming'!$A$1:$P$58,6,FALSE)</f>
        <v>5</v>
      </c>
      <c r="X376" s="1">
        <f>VLOOKUP($E376,'Product Naming'!$A$1:$P$58,7,FALSE)</f>
        <v>12</v>
      </c>
      <c r="Y376" s="1">
        <f>VLOOKUP($E376,'Product Naming'!$A$1:$P$58,8,FALSE)</f>
        <v>1</v>
      </c>
      <c r="Z376" s="1">
        <f>VLOOKUP($E376,'Product Naming'!$A$1:$P$58,9,FALSE)</f>
        <v>0</v>
      </c>
      <c r="AA376" s="1">
        <f>VLOOKUP($E376,'Product Naming'!$A$1:$P$58,10,FALSE)</f>
        <v>0</v>
      </c>
      <c r="AB376" s="29">
        <f>VLOOKUP($E376,'Product Naming'!$A$1:$P$58,11,FALSE)</f>
        <v>6</v>
      </c>
      <c r="AC376" s="3">
        <f>VLOOKUP($E376,'Product Naming'!$A$1:$P$58,12,FALSE)</f>
        <v>88.14658</v>
      </c>
      <c r="AD376" s="1">
        <f>VLOOKUP($E376,'Product Naming'!$A$1:$P$58,13,FALSE)</f>
        <v>138</v>
      </c>
      <c r="AE376" s="1" t="str">
        <f>VLOOKUP($E376,'Product Naming'!$A$1:$P$58,14,FALSE)</f>
        <v>Alcohol</v>
      </c>
      <c r="AF376" s="1" t="str">
        <f>VLOOKUP($E376,'Product Naming'!$A$1:$P$58,15,FALSE)</f>
        <v>Acetyl-CoA + Succinyl-CoA</v>
      </c>
      <c r="AG376" s="30" t="str">
        <f>VLOOKUP($E376,'Product Naming'!$A$1:$P$58,16,FALSE)</f>
        <v>Proton symporter</v>
      </c>
      <c r="AH376" s="3" t="str">
        <f>VLOOKUP($E376,'Product Naming'!$A$1:$Q$58,17,FALSE)</f>
        <v>pentoh_c</v>
      </c>
      <c r="AI376" s="1">
        <f>VLOOKUP($E376,'Product Parameters'!$A$2:$D$59,2,FALSE)</f>
        <v>1</v>
      </c>
      <c r="AJ376" s="1">
        <f>VLOOKUP($E376,'Product Parameters'!$A$2:$D$59,3,FALSE)</f>
        <v>0</v>
      </c>
      <c r="AK376" s="1">
        <f>VLOOKUP($E376,'Product Parameters'!$A$2:$D$59,4,FALSE)</f>
        <v>0.12</v>
      </c>
      <c r="AL376" s="1">
        <f>VLOOKUP($E376,'Product Parameters'!$A$2:$E$59,5,FALSE)</f>
        <v>57</v>
      </c>
      <c r="AM376" s="1">
        <f>VLOOKUP($E376,'Product Parameters'!$A$2:$F$59,6,FALSE)</f>
        <v>5</v>
      </c>
      <c r="AN376" s="1">
        <f>VLOOKUP($C376,'Substrate Heating'!$A$2:$C$33,3,FALSE)</f>
        <v>280.09700000000004</v>
      </c>
      <c r="AO376" s="1">
        <f>VLOOKUP($C376,'Substrate Heating'!$A$2:$B$33,2,FALSE)</f>
        <v>10</v>
      </c>
      <c r="AP376" s="1">
        <f>VLOOKUP($C376,'Substrate Heating'!$A$2:$M$33,13,FALSE)</f>
        <v>2</v>
      </c>
      <c r="AQ376" s="1">
        <f>VLOOKUP($C376,'Substrate Heating'!$A$2:$M$33,8,FALSE)</f>
        <v>1</v>
      </c>
      <c r="AR376" s="1">
        <f t="shared" si="5"/>
        <v>0.30140845070422551</v>
      </c>
    </row>
    <row r="377" spans="1:44" x14ac:dyDescent="0.2">
      <c r="A377" s="17" t="s">
        <v>323</v>
      </c>
      <c r="B377" s="18" t="s">
        <v>324</v>
      </c>
      <c r="C377" t="s">
        <v>325</v>
      </c>
      <c r="D377" s="19" t="s">
        <v>326</v>
      </c>
      <c r="E377" t="s">
        <v>295</v>
      </c>
      <c r="F377" t="s">
        <v>292</v>
      </c>
      <c r="G377">
        <v>-10</v>
      </c>
      <c r="H377">
        <v>0</v>
      </c>
      <c r="I377">
        <v>0</v>
      </c>
      <c r="J377">
        <v>0.45</v>
      </c>
      <c r="K377">
        <v>-10</v>
      </c>
      <c r="L377">
        <v>0</v>
      </c>
      <c r="M377">
        <v>0</v>
      </c>
      <c r="N377">
        <v>6.5070422535211296</v>
      </c>
      <c r="O377">
        <v>0.60281690140845101</v>
      </c>
      <c r="P377"/>
      <c r="Q377">
        <v>6.0281690140845098E-2</v>
      </c>
      <c r="R377">
        <v>0.189704563460736</v>
      </c>
      <c r="S377" s="1" t="str">
        <f>VLOOKUP($E377,'Product Naming'!$A$1:$P$58,2,FALSE)</f>
        <v>Pentanol-PW2</v>
      </c>
      <c r="T377" s="1" t="str">
        <f>VLOOKUP($E377,'Product Naming'!$A$1:$P$58,3,FALSE)</f>
        <v>Pentanol (PW2)</v>
      </c>
      <c r="U377" s="1" t="str">
        <f>VLOOKUP($E377,'Product Naming'!$A$1:$P$58,4,FALSE)</f>
        <v>E</v>
      </c>
      <c r="V377" s="1" t="str">
        <f>VLOOKUP($E377,'Product Naming'!$A$1:$P$58,5,FALSE)</f>
        <v>C5H12O</v>
      </c>
      <c r="W377" s="1">
        <f>VLOOKUP($E377,'Product Naming'!$A$1:$P$58,6,FALSE)</f>
        <v>5</v>
      </c>
      <c r="X377" s="1">
        <f>VLOOKUP($E377,'Product Naming'!$A$1:$P$58,7,FALSE)</f>
        <v>12</v>
      </c>
      <c r="Y377" s="1">
        <f>VLOOKUP($E377,'Product Naming'!$A$1:$P$58,8,FALSE)</f>
        <v>1</v>
      </c>
      <c r="Z377" s="1">
        <f>VLOOKUP($E377,'Product Naming'!$A$1:$P$58,9,FALSE)</f>
        <v>0</v>
      </c>
      <c r="AA377" s="1">
        <f>VLOOKUP($E377,'Product Naming'!$A$1:$P$58,10,FALSE)</f>
        <v>0</v>
      </c>
      <c r="AB377" s="29">
        <f>VLOOKUP($E377,'Product Naming'!$A$1:$P$58,11,FALSE)</f>
        <v>6</v>
      </c>
      <c r="AC377" s="3">
        <f>VLOOKUP($E377,'Product Naming'!$A$1:$P$58,12,FALSE)</f>
        <v>88.14658</v>
      </c>
      <c r="AD377" s="1">
        <f>VLOOKUP($E377,'Product Naming'!$A$1:$P$58,13,FALSE)</f>
        <v>138</v>
      </c>
      <c r="AE377" s="1" t="str">
        <f>VLOOKUP($E377,'Product Naming'!$A$1:$P$58,14,FALSE)</f>
        <v>Alcohol</v>
      </c>
      <c r="AF377" s="1" t="str">
        <f>VLOOKUP($E377,'Product Naming'!$A$1:$P$58,15,FALSE)</f>
        <v>Oxaloacetate</v>
      </c>
      <c r="AG377" s="30" t="str">
        <f>VLOOKUP($E377,'Product Naming'!$A$1:$P$58,16,FALSE)</f>
        <v>Proton symporter</v>
      </c>
      <c r="AH377" s="3" t="str">
        <f>VLOOKUP($E377,'Product Naming'!$A$1:$Q$58,17,FALSE)</f>
        <v>pentoh_c</v>
      </c>
      <c r="AI377" s="1">
        <f>VLOOKUP($E377,'Product Parameters'!$A$2:$D$59,2,FALSE)</f>
        <v>1</v>
      </c>
      <c r="AJ377" s="1">
        <f>VLOOKUP($E377,'Product Parameters'!$A$2:$D$59,3,FALSE)</f>
        <v>0</v>
      </c>
      <c r="AK377" s="1">
        <f>VLOOKUP($E377,'Product Parameters'!$A$2:$D$59,4,FALSE)</f>
        <v>0.12</v>
      </c>
      <c r="AL377" s="1">
        <f>VLOOKUP($E377,'Product Parameters'!$A$2:$E$59,5,FALSE)</f>
        <v>57</v>
      </c>
      <c r="AM377" s="1">
        <f>VLOOKUP($E377,'Product Parameters'!$A$2:$F$59,6,FALSE)</f>
        <v>5</v>
      </c>
      <c r="AN377" s="1">
        <f>VLOOKUP($C377,'Substrate Heating'!$A$2:$C$33,3,FALSE)</f>
        <v>280.09700000000004</v>
      </c>
      <c r="AO377" s="1">
        <f>VLOOKUP($C377,'Substrate Heating'!$A$2:$B$33,2,FALSE)</f>
        <v>10</v>
      </c>
      <c r="AP377" s="1">
        <f>VLOOKUP($C377,'Substrate Heating'!$A$2:$M$33,13,FALSE)</f>
        <v>2</v>
      </c>
      <c r="AQ377" s="1">
        <f>VLOOKUP($C377,'Substrate Heating'!$A$2:$M$33,8,FALSE)</f>
        <v>1</v>
      </c>
      <c r="AR377" s="1">
        <f t="shared" si="5"/>
        <v>0.30140845070422551</v>
      </c>
    </row>
    <row r="378" spans="1:44" x14ac:dyDescent="0.2">
      <c r="A378" s="17" t="s">
        <v>323</v>
      </c>
      <c r="B378" s="18" t="s">
        <v>324</v>
      </c>
      <c r="C378" t="s">
        <v>335</v>
      </c>
      <c r="D378" s="19" t="s">
        <v>326</v>
      </c>
      <c r="E378" t="s">
        <v>283</v>
      </c>
      <c r="F378" t="s">
        <v>284</v>
      </c>
      <c r="G378">
        <v>-10</v>
      </c>
      <c r="H378">
        <v>0</v>
      </c>
      <c r="I378">
        <v>-10</v>
      </c>
      <c r="J378">
        <v>0.45</v>
      </c>
      <c r="K378">
        <v>-10</v>
      </c>
      <c r="L378">
        <v>0</v>
      </c>
      <c r="M378">
        <v>-10</v>
      </c>
      <c r="N378">
        <v>3.5999999999999899</v>
      </c>
      <c r="O378">
        <v>0.79999999999999805</v>
      </c>
      <c r="P378"/>
      <c r="Q378">
        <v>7.9999999999999793E-2</v>
      </c>
      <c r="R378">
        <v>0.190181345942526</v>
      </c>
      <c r="S378" s="1" t="str">
        <f>VLOOKUP($E378,'Product Naming'!$A$1:$P$58,2,FALSE)</f>
        <v>Octane</v>
      </c>
      <c r="T378" s="1" t="str">
        <f>VLOOKUP($E378,'Product Naming'!$A$1:$P$58,3,FALSE)</f>
        <v>Octane</v>
      </c>
      <c r="U378" s="1" t="str">
        <f>VLOOKUP($E378,'Product Naming'!$A$1:$P$58,4,FALSE)</f>
        <v>E</v>
      </c>
      <c r="V378" s="1" t="str">
        <f>VLOOKUP($E378,'Product Naming'!$A$1:$P$58,5,FALSE)</f>
        <v>C8H18</v>
      </c>
      <c r="W378" s="1">
        <f>VLOOKUP($E378,'Product Naming'!$A$1:$P$58,6,FALSE)</f>
        <v>8</v>
      </c>
      <c r="X378" s="1">
        <f>VLOOKUP($E378,'Product Naming'!$A$1:$P$58,7,FALSE)</f>
        <v>18</v>
      </c>
      <c r="Y378" s="1">
        <f>VLOOKUP($E378,'Product Naming'!$A$1:$P$58,8,FALSE)</f>
        <v>0</v>
      </c>
      <c r="Z378" s="1">
        <f>VLOOKUP($E378,'Product Naming'!$A$1:$P$58,9,FALSE)</f>
        <v>0</v>
      </c>
      <c r="AA378" s="1">
        <f>VLOOKUP($E378,'Product Naming'!$A$1:$P$58,10,FALSE)</f>
        <v>0</v>
      </c>
      <c r="AB378" s="29">
        <f>VLOOKUP($E378,'Product Naming'!$A$1:$P$58,11,FALSE)</f>
        <v>6.25</v>
      </c>
      <c r="AC378" s="3">
        <f>VLOOKUP($E378,'Product Naming'!$A$1:$P$58,12,FALSE)</f>
        <v>114.22672</v>
      </c>
      <c r="AD378" s="1">
        <f>VLOOKUP($E378,'Product Naming'!$A$1:$P$58,13,FALSE)</f>
        <v>126</v>
      </c>
      <c r="AE378" s="1" t="str">
        <f>VLOOKUP($E378,'Product Naming'!$A$1:$P$58,14,FALSE)</f>
        <v>Hydrocarbon (alkane)</v>
      </c>
      <c r="AF378" s="1" t="str">
        <f>VLOOKUP($E378,'Product Naming'!$A$1:$P$58,15,FALSE)</f>
        <v>Acetyl-CoA + Succinyl-CoA</v>
      </c>
      <c r="AG378" s="30" t="str">
        <f>VLOOKUP($E378,'Product Naming'!$A$1:$P$58,16,FALSE)</f>
        <v>Proton symporter</v>
      </c>
      <c r="AH378" s="3" t="str">
        <f>VLOOKUP($E378,'Product Naming'!$A$1:$Q$58,17,FALSE)</f>
        <v>octn_c</v>
      </c>
      <c r="AI378" s="1">
        <f>VLOOKUP($E378,'Product Parameters'!$A$2:$D$59,2,FALSE)</f>
        <v>1</v>
      </c>
      <c r="AJ378" s="1">
        <f>VLOOKUP($E378,'Product Parameters'!$A$2:$D$59,3,FALSE)</f>
        <v>0</v>
      </c>
      <c r="AK378" s="1">
        <f>VLOOKUP($E378,'Product Parameters'!$A$2:$D$59,4,FALSE)</f>
        <v>0.12</v>
      </c>
      <c r="AL378" s="1">
        <f>VLOOKUP($E378,'Product Parameters'!$A$2:$E$59,5,FALSE)</f>
        <v>41</v>
      </c>
      <c r="AM378" s="1">
        <f>VLOOKUP($E378,'Product Parameters'!$A$2:$F$59,6,FALSE)</f>
        <v>8</v>
      </c>
      <c r="AN378" s="1">
        <f>VLOOKUP($C378,'Substrate Heating'!$A$2:$C$33,3,FALSE)</f>
        <v>247.9</v>
      </c>
      <c r="AO378" s="1">
        <f>VLOOKUP($C378,'Substrate Heating'!$A$2:$B$33,2,FALSE)</f>
        <v>10.541709491918519</v>
      </c>
      <c r="AP378" s="1">
        <f>VLOOKUP($C378,'Substrate Heating'!$A$2:$M$33,13,FALSE)</f>
        <v>0.5</v>
      </c>
      <c r="AQ378" s="1">
        <f>VLOOKUP($C378,'Substrate Heating'!$A$2:$M$33,8,FALSE)</f>
        <v>0.5</v>
      </c>
      <c r="AR378" s="1">
        <f t="shared" si="5"/>
        <v>1.2799999999999967</v>
      </c>
    </row>
    <row r="379" spans="1:44" x14ac:dyDescent="0.2">
      <c r="A379" s="17" t="s">
        <v>323</v>
      </c>
      <c r="B379" s="18" t="s">
        <v>324</v>
      </c>
      <c r="C379" t="s">
        <v>336</v>
      </c>
      <c r="D379" s="19" t="s">
        <v>326</v>
      </c>
      <c r="E379" t="s">
        <v>225</v>
      </c>
      <c r="F379" t="s">
        <v>226</v>
      </c>
      <c r="G379">
        <v>-10</v>
      </c>
      <c r="H379">
        <v>0</v>
      </c>
      <c r="I379">
        <v>-20</v>
      </c>
      <c r="J379">
        <v>0.45</v>
      </c>
      <c r="K379">
        <v>-10</v>
      </c>
      <c r="L379">
        <v>0</v>
      </c>
      <c r="M379">
        <v>-10.2315789473684</v>
      </c>
      <c r="N379">
        <v>0</v>
      </c>
      <c r="O379">
        <v>1.2210526315789501</v>
      </c>
      <c r="P379"/>
      <c r="Q379">
        <v>0.12210526315789499</v>
      </c>
      <c r="R379" s="20">
        <v>0.190511996645361</v>
      </c>
      <c r="S379" s="1" t="str">
        <f>VLOOKUP($E379,'Product Naming'!$A$1:$P$58,2,FALSE)</f>
        <v>Glycolate</v>
      </c>
      <c r="T379" s="1" t="str">
        <f>VLOOKUP($E379,'Product Naming'!$A$1:$P$58,3,FALSE)</f>
        <v>Glycolate</v>
      </c>
      <c r="U379" s="1" t="str">
        <f>VLOOKUP($E379,'Product Naming'!$A$1:$P$58,4,FALSE)</f>
        <v>iJO1366</v>
      </c>
      <c r="V379" s="1" t="str">
        <f>VLOOKUP($E379,'Product Naming'!$A$1:$P$58,5,FALSE)</f>
        <v>C2H3O3</v>
      </c>
      <c r="W379" s="1">
        <f>VLOOKUP($E379,'Product Naming'!$A$1:$P$58,6,FALSE)</f>
        <v>2</v>
      </c>
      <c r="X379" s="1">
        <f>VLOOKUP($E379,'Product Naming'!$A$1:$P$58,7,FALSE)</f>
        <v>3</v>
      </c>
      <c r="Y379" s="1">
        <f>VLOOKUP($E379,'Product Naming'!$A$1:$P$58,8,FALSE)</f>
        <v>3</v>
      </c>
      <c r="Z379" s="1">
        <f>VLOOKUP($E379,'Product Naming'!$A$1:$P$58,9,FALSE)</f>
        <v>0</v>
      </c>
      <c r="AA379" s="1">
        <f>VLOOKUP($E379,'Product Naming'!$A$1:$P$58,10,FALSE)</f>
        <v>-1</v>
      </c>
      <c r="AB379" s="29">
        <f>VLOOKUP($E379,'Product Naming'!$A$1:$P$58,11,FALSE)</f>
        <v>2.5</v>
      </c>
      <c r="AC379" s="3">
        <f>VLOOKUP($E379,'Product Naming'!$A$1:$P$58,12,FALSE)</f>
        <v>75.041920000000005</v>
      </c>
      <c r="AD379" s="1">
        <f>VLOOKUP($E379,'Product Naming'!$A$1:$P$58,13,FALSE)</f>
        <v>112</v>
      </c>
      <c r="AE379" s="1" t="str">
        <f>VLOOKUP($E379,'Product Naming'!$A$1:$P$58,14,FALSE)</f>
        <v>Carboxylate + Alcohol (hydroxy carboxylate)</v>
      </c>
      <c r="AF379" s="1" t="str">
        <f>VLOOKUP($E379,'Product Naming'!$A$1:$P$58,15,FALSE)</f>
        <v>Glyoxylate (*isocitrate)</v>
      </c>
      <c r="AG379" s="30" t="str">
        <f>VLOOKUP($E379,'Product Naming'!$A$1:$P$58,16,FALSE)</f>
        <v>Proton symporter</v>
      </c>
      <c r="AH379" s="3" t="str">
        <f>VLOOKUP($E379,'Product Naming'!$A$1:$Q$58,17,FALSE)</f>
        <v>glyclt_c</v>
      </c>
      <c r="AI379" s="1">
        <f>VLOOKUP($E379,'Product Parameters'!$A$2:$D$59,2,FALSE)</f>
        <v>1</v>
      </c>
      <c r="AJ379" s="1">
        <f>VLOOKUP($E379,'Product Parameters'!$A$2:$D$59,3,FALSE)</f>
        <v>0</v>
      </c>
      <c r="AK379" s="1">
        <f>VLOOKUP($E379,'Product Parameters'!$A$2:$D$59,4,FALSE)</f>
        <v>0.12</v>
      </c>
      <c r="AL379" s="1">
        <f>VLOOKUP($E379,'Product Parameters'!$A$2:$E$59,5,FALSE)</f>
        <v>40.65</v>
      </c>
      <c r="AM379" s="1">
        <f>VLOOKUP($E379,'Product Parameters'!$A$2:$F$59,6,FALSE)</f>
        <v>2</v>
      </c>
      <c r="AN379" s="1">
        <f>VLOOKUP($C379,'Substrate Heating'!$A$2:$C$33,3,FALSE)</f>
        <v>245.86666666666667</v>
      </c>
      <c r="AO379" s="1">
        <f>VLOOKUP($C379,'Substrate Heating'!$A$2:$B$33,2,FALSE)</f>
        <v>15.038360459876978</v>
      </c>
      <c r="AP379" s="1">
        <f>VLOOKUP($C379,'Substrate Heating'!$A$2:$M$33,13,FALSE)</f>
        <v>0.33333333333333331</v>
      </c>
      <c r="AQ379" s="1">
        <f>VLOOKUP($C379,'Substrate Heating'!$A$2:$M$33,8,FALSE)</f>
        <v>0.33333333333333331</v>
      </c>
      <c r="AR379" s="1">
        <f t="shared" si="5"/>
        <v>0.73263157894736997</v>
      </c>
    </row>
    <row r="380" spans="1:44" x14ac:dyDescent="0.2">
      <c r="A380" s="17" t="s">
        <v>323</v>
      </c>
      <c r="B380" s="18" t="s">
        <v>324</v>
      </c>
      <c r="C380" t="s">
        <v>335</v>
      </c>
      <c r="D380" s="19" t="s">
        <v>326</v>
      </c>
      <c r="E380" t="s">
        <v>279</v>
      </c>
      <c r="F380" t="s">
        <v>280</v>
      </c>
      <c r="G380">
        <v>-10</v>
      </c>
      <c r="H380">
        <v>0</v>
      </c>
      <c r="I380">
        <v>-10</v>
      </c>
      <c r="J380">
        <v>0.45</v>
      </c>
      <c r="K380">
        <v>-10</v>
      </c>
      <c r="L380">
        <v>0</v>
      </c>
      <c r="M380">
        <v>-10</v>
      </c>
      <c r="N380">
        <v>3.5714285714285698</v>
      </c>
      <c r="O380">
        <v>0.71428571428571397</v>
      </c>
      <c r="P380"/>
      <c r="Q380">
        <v>7.1428571428571397E-2</v>
      </c>
      <c r="R380">
        <v>0.190655816370703</v>
      </c>
      <c r="S380" s="1" t="str">
        <f>VLOOKUP($E380,'Product Naming'!$A$1:$P$58,2,FALSE)</f>
        <v>Nonane</v>
      </c>
      <c r="T380" s="1" t="str">
        <f>VLOOKUP($E380,'Product Naming'!$A$1:$P$58,3,FALSE)</f>
        <v>Nonane</v>
      </c>
      <c r="U380" s="1" t="str">
        <f>VLOOKUP($E380,'Product Naming'!$A$1:$P$58,4,FALSE)</f>
        <v>E</v>
      </c>
      <c r="V380" s="1" t="str">
        <f>VLOOKUP($E380,'Product Naming'!$A$1:$P$58,5,FALSE)</f>
        <v>C9H20</v>
      </c>
      <c r="W380" s="1">
        <f>VLOOKUP($E380,'Product Naming'!$A$1:$P$58,6,FALSE)</f>
        <v>9</v>
      </c>
      <c r="X380" s="1">
        <f>VLOOKUP($E380,'Product Naming'!$A$1:$P$58,7,FALSE)</f>
        <v>20</v>
      </c>
      <c r="Y380" s="1">
        <f>VLOOKUP($E380,'Product Naming'!$A$1:$P$58,8,FALSE)</f>
        <v>0</v>
      </c>
      <c r="Z380" s="1">
        <f>VLOOKUP($E380,'Product Naming'!$A$1:$P$58,9,FALSE)</f>
        <v>0</v>
      </c>
      <c r="AA380" s="1">
        <f>VLOOKUP($E380,'Product Naming'!$A$1:$P$58,10,FALSE)</f>
        <v>0</v>
      </c>
      <c r="AB380" s="29">
        <f>VLOOKUP($E380,'Product Naming'!$A$1:$P$58,11,FALSE)</f>
        <v>6.2222222222222223</v>
      </c>
      <c r="AC380" s="3">
        <f>VLOOKUP($E380,'Product Naming'!$A$1:$P$58,12,FALSE)</f>
        <v>128.25309999999999</v>
      </c>
      <c r="AD380" s="1">
        <f>VLOOKUP($E380,'Product Naming'!$A$1:$P$58,13,FALSE)</f>
        <v>151</v>
      </c>
      <c r="AE380" s="1" t="str">
        <f>VLOOKUP($E380,'Product Naming'!$A$1:$P$58,14,FALSE)</f>
        <v>Hydrocarbon (alkane)</v>
      </c>
      <c r="AF380" s="1" t="str">
        <f>VLOOKUP($E380,'Product Naming'!$A$1:$P$58,15,FALSE)</f>
        <v>Acetyl-CoA</v>
      </c>
      <c r="AG380" s="30" t="str">
        <f>VLOOKUP($E380,'Product Naming'!$A$1:$P$58,16,FALSE)</f>
        <v>Proton symporter</v>
      </c>
      <c r="AH380" s="3" t="str">
        <f>VLOOKUP($E380,'Product Naming'!$A$1:$Q$58,17,FALSE)</f>
        <v>nonan_c</v>
      </c>
      <c r="AI380" s="1">
        <f>VLOOKUP($E380,'Product Parameters'!$A$2:$D$59,2,FALSE)</f>
        <v>1</v>
      </c>
      <c r="AJ380" s="1">
        <f>VLOOKUP($E380,'Product Parameters'!$A$2:$D$59,3,FALSE)</f>
        <v>0</v>
      </c>
      <c r="AK380" s="1">
        <f>VLOOKUP($E380,'Product Parameters'!$A$2:$D$59,4,FALSE)</f>
        <v>0.12</v>
      </c>
      <c r="AL380" s="1">
        <f>VLOOKUP($E380,'Product Parameters'!$A$2:$E$59,5,FALSE)</f>
        <v>46.5</v>
      </c>
      <c r="AM380" s="1">
        <f>VLOOKUP($E380,'Product Parameters'!$A$2:$F$59,6,FALSE)</f>
        <v>9</v>
      </c>
      <c r="AN380" s="1">
        <f>VLOOKUP($C380,'Substrate Heating'!$A$2:$C$33,3,FALSE)</f>
        <v>247.9</v>
      </c>
      <c r="AO380" s="1">
        <f>VLOOKUP($C380,'Substrate Heating'!$A$2:$B$33,2,FALSE)</f>
        <v>10.541709491918519</v>
      </c>
      <c r="AP380" s="1">
        <f>VLOOKUP($C380,'Substrate Heating'!$A$2:$M$33,13,FALSE)</f>
        <v>0.5</v>
      </c>
      <c r="AQ380" s="1">
        <f>VLOOKUP($C380,'Substrate Heating'!$A$2:$M$33,8,FALSE)</f>
        <v>0.5</v>
      </c>
      <c r="AR380" s="1">
        <f t="shared" si="5"/>
        <v>1.2857142857142851</v>
      </c>
    </row>
    <row r="381" spans="1:44" x14ac:dyDescent="0.2">
      <c r="A381" s="8" t="s">
        <v>34</v>
      </c>
      <c r="B381" s="9" t="s">
        <v>35</v>
      </c>
      <c r="C381" s="1" t="s">
        <v>339</v>
      </c>
      <c r="D381" s="23" t="s">
        <v>338</v>
      </c>
      <c r="E381" s="1" t="s">
        <v>275</v>
      </c>
      <c r="F381" s="1" t="s">
        <v>276</v>
      </c>
      <c r="G381" s="1">
        <v>-10</v>
      </c>
      <c r="H381" s="1">
        <v>-20</v>
      </c>
      <c r="I381" s="1" t="s">
        <v>40</v>
      </c>
      <c r="J381" s="1">
        <v>3.15</v>
      </c>
      <c r="K381" s="1">
        <v>-10</v>
      </c>
      <c r="L381" s="1">
        <v>-3.2763636363636399</v>
      </c>
      <c r="M381" s="1" t="s">
        <v>40</v>
      </c>
      <c r="N381" s="1">
        <v>7.4145454545454497</v>
      </c>
      <c r="O381" s="1">
        <v>0.86181818181818204</v>
      </c>
      <c r="Q381" s="1">
        <v>8.6181818181818207E-2</v>
      </c>
      <c r="R381" s="1">
        <v>0.191057895235793</v>
      </c>
      <c r="S381" s="1" t="str">
        <f>VLOOKUP($E381,'Product Naming'!$A$1:$P$58,2,FALSE)</f>
        <v>Malonate</v>
      </c>
      <c r="T381" s="1" t="str">
        <f>VLOOKUP($E381,'Product Naming'!$A$1:$P$58,3,FALSE)</f>
        <v>Malonate</v>
      </c>
      <c r="U381" s="1" t="str">
        <f>VLOOKUP($E381,'Product Naming'!$A$1:$P$58,4,FALSE)</f>
        <v>A</v>
      </c>
      <c r="V381" s="1" t="str">
        <f>VLOOKUP($E381,'Product Naming'!$A$1:$P$58,5,FALSE)</f>
        <v>C3H2O4</v>
      </c>
      <c r="W381" s="1">
        <f>VLOOKUP($E381,'Product Naming'!$A$1:$P$58,6,FALSE)</f>
        <v>3</v>
      </c>
      <c r="X381" s="1">
        <f>VLOOKUP($E381,'Product Naming'!$A$1:$P$58,7,FALSE)</f>
        <v>2</v>
      </c>
      <c r="Y381" s="1">
        <f>VLOOKUP($E381,'Product Naming'!$A$1:$P$58,8,FALSE)</f>
        <v>4</v>
      </c>
      <c r="Z381" s="1">
        <f>VLOOKUP($E381,'Product Naming'!$A$1:$P$58,9,FALSE)</f>
        <v>0</v>
      </c>
      <c r="AA381" s="1">
        <f>VLOOKUP($E381,'Product Naming'!$A$1:$P$58,10,FALSE)</f>
        <v>-2</v>
      </c>
      <c r="AB381" s="29">
        <f>VLOOKUP($E381,'Product Naming'!$A$1:$P$58,11,FALSE)</f>
        <v>2</v>
      </c>
      <c r="AC381" s="3">
        <f>VLOOKUP($E381,'Product Naming'!$A$1:$P$58,12,FALSE)</f>
        <v>102.04378</v>
      </c>
      <c r="AD381" s="1">
        <f>VLOOKUP($E381,'Product Naming'!$A$1:$P$58,13,FALSE)</f>
        <v>199</v>
      </c>
      <c r="AE381" s="1" t="str">
        <f>VLOOKUP($E381,'Product Naming'!$A$1:$P$58,14,FALSE)</f>
        <v>Dicarboxylate</v>
      </c>
      <c r="AF381" s="1" t="str">
        <f>VLOOKUP($E381,'Product Naming'!$A$1:$P$58,15,FALSE)</f>
        <v>Oxaloacetate</v>
      </c>
      <c r="AG381" s="30" t="str">
        <f>VLOOKUP($E381,'Product Naming'!$A$1:$P$58,16,FALSE)</f>
        <v>Proton symporter</v>
      </c>
      <c r="AH381" s="3" t="str">
        <f>VLOOKUP($E381,'Product Naming'!$A$1:$Q$58,17,FALSE)</f>
        <v>malon_c</v>
      </c>
      <c r="AI381" s="1">
        <f>VLOOKUP($E381,'Product Parameters'!$A$2:$D$59,2,FALSE)</f>
        <v>1</v>
      </c>
      <c r="AJ381" s="1">
        <f>VLOOKUP($E381,'Product Parameters'!$A$2:$D$59,3,FALSE)</f>
        <v>0</v>
      </c>
      <c r="AK381" s="1">
        <f>VLOOKUP($E381,'Product Parameters'!$A$2:$D$59,4,FALSE)</f>
        <v>0.12</v>
      </c>
      <c r="AL381" s="1">
        <f>VLOOKUP($E381,'Product Parameters'!$A$2:$E$59,5,FALSE)</f>
        <v>40.65</v>
      </c>
      <c r="AM381" s="1">
        <f>VLOOKUP($E381,'Product Parameters'!$A$2:$F$59,6,FALSE)</f>
        <v>3</v>
      </c>
      <c r="AN381" s="1">
        <f>VLOOKUP($C381,'Substrate Heating'!$A$2:$C$33,3,FALSE)</f>
        <v>247.59097</v>
      </c>
      <c r="AO381" s="1">
        <f>VLOOKUP($C381,'Substrate Heating'!$A$2:$B$33,2,FALSE)</f>
        <v>5.5</v>
      </c>
      <c r="AP381" s="1">
        <f>VLOOKUP($C381,'Substrate Heating'!$A$2:$M$33,13,FALSE)</f>
        <v>1</v>
      </c>
      <c r="AQ381" s="1">
        <f>VLOOKUP($C381,'Substrate Heating'!$A$2:$M$33,8,FALSE)</f>
        <v>1</v>
      </c>
      <c r="AR381" s="1">
        <f t="shared" si="5"/>
        <v>0.25854545454545463</v>
      </c>
    </row>
    <row r="382" spans="1:44" x14ac:dyDescent="0.2">
      <c r="A382" s="17" t="s">
        <v>323</v>
      </c>
      <c r="B382" s="18" t="s">
        <v>324</v>
      </c>
      <c r="C382" t="s">
        <v>333</v>
      </c>
      <c r="D382" s="19" t="s">
        <v>326</v>
      </c>
      <c r="E382" t="s">
        <v>198</v>
      </c>
      <c r="F382" t="s">
        <v>199</v>
      </c>
      <c r="G382">
        <v>-10</v>
      </c>
      <c r="H382">
        <v>0</v>
      </c>
      <c r="I382">
        <v>0</v>
      </c>
      <c r="J382">
        <v>0.45</v>
      </c>
      <c r="K382">
        <v>-10</v>
      </c>
      <c r="L382">
        <v>0</v>
      </c>
      <c r="M382">
        <v>0</v>
      </c>
      <c r="N382">
        <v>6</v>
      </c>
      <c r="O382">
        <v>1</v>
      </c>
      <c r="P382"/>
      <c r="Q382">
        <v>0.1</v>
      </c>
      <c r="R382">
        <v>0.191406225559205</v>
      </c>
      <c r="S382" s="1" t="str">
        <f>VLOOKUP($E382,'Product Naming'!$A$1:$P$58,2,FALSE)</f>
        <v>EthylAcetate</v>
      </c>
      <c r="T382" s="1" t="str">
        <f>VLOOKUP($E382,'Product Naming'!$A$1:$P$58,3,FALSE)</f>
        <v>Ethyl acetate</v>
      </c>
      <c r="U382" s="1" t="str">
        <f>VLOOKUP($E382,'Product Naming'!$A$1:$P$58,4,FALSE)</f>
        <v>E</v>
      </c>
      <c r="V382" s="1" t="str">
        <f>VLOOKUP($E382,'Product Naming'!$A$1:$P$58,5,FALSE)</f>
        <v>C4H8O2</v>
      </c>
      <c r="W382" s="1">
        <f>VLOOKUP($E382,'Product Naming'!$A$1:$P$58,6,FALSE)</f>
        <v>4</v>
      </c>
      <c r="X382" s="1">
        <f>VLOOKUP($E382,'Product Naming'!$A$1:$P$58,7,FALSE)</f>
        <v>8</v>
      </c>
      <c r="Y382" s="1">
        <f>VLOOKUP($E382,'Product Naming'!$A$1:$P$58,8,FALSE)</f>
        <v>2</v>
      </c>
      <c r="Z382" s="1">
        <f>VLOOKUP($E382,'Product Naming'!$A$1:$P$58,9,FALSE)</f>
        <v>0</v>
      </c>
      <c r="AA382" s="1">
        <f>VLOOKUP($E382,'Product Naming'!$A$1:$P$58,10,FALSE)</f>
        <v>0</v>
      </c>
      <c r="AB382" s="29">
        <f>VLOOKUP($E382,'Product Naming'!$A$1:$P$58,11,FALSE)</f>
        <v>5</v>
      </c>
      <c r="AC382" s="3">
        <f>VLOOKUP($E382,'Product Naming'!$A$1:$P$58,12,FALSE)</f>
        <v>88.103520000000003</v>
      </c>
      <c r="AD382" s="1">
        <f>VLOOKUP($E382,'Product Naming'!$A$1:$P$58,13,FALSE)</f>
        <v>77.099999999999994</v>
      </c>
      <c r="AE382" s="1" t="str">
        <f>VLOOKUP($E382,'Product Naming'!$A$1:$P$58,14,FALSE)</f>
        <v>Carboxylate Ester</v>
      </c>
      <c r="AF382" s="1" t="str">
        <f>VLOOKUP($E382,'Product Naming'!$A$1:$P$58,15,FALSE)</f>
        <v>Acetyl-CoA</v>
      </c>
      <c r="AG382" s="30" t="str">
        <f>VLOOKUP($E382,'Product Naming'!$A$1:$P$58,16,FALSE)</f>
        <v>Proton symporter</v>
      </c>
      <c r="AH382" s="3" t="str">
        <f>VLOOKUP($E382,'Product Naming'!$A$1:$Q$58,17,FALSE)</f>
        <v>aces_c</v>
      </c>
      <c r="AI382" s="1">
        <f>VLOOKUP($E382,'Product Parameters'!$A$2:$D$59,2,FALSE)</f>
        <v>1</v>
      </c>
      <c r="AJ382" s="1">
        <f>VLOOKUP($E382,'Product Parameters'!$A$2:$D$59,3,FALSE)</f>
        <v>0</v>
      </c>
      <c r="AK382" s="1">
        <f>VLOOKUP($E382,'Product Parameters'!$A$2:$D$59,4,FALSE)</f>
        <v>0.12</v>
      </c>
      <c r="AL382" s="1">
        <f>VLOOKUP($E382,'Product Parameters'!$A$2:$E$59,5,FALSE)</f>
        <v>35</v>
      </c>
      <c r="AM382" s="1">
        <f>VLOOKUP($E382,'Product Parameters'!$A$2:$F$59,6,FALSE)</f>
        <v>4</v>
      </c>
      <c r="AN382" s="1">
        <f>VLOOKUP($C382,'Substrate Heating'!$A$2:$C$33,3,FALSE)</f>
        <v>247.59097</v>
      </c>
      <c r="AO382" s="1">
        <f>VLOOKUP($C382,'Substrate Heating'!$A$2:$B$33,2,FALSE)</f>
        <v>5.5</v>
      </c>
      <c r="AP382" s="1">
        <f>VLOOKUP($C382,'Substrate Heating'!$A$2:$M$33,13,FALSE)</f>
        <v>1</v>
      </c>
      <c r="AQ382" s="1">
        <f>VLOOKUP($C382,'Substrate Heating'!$A$2:$M$33,8,FALSE)</f>
        <v>1</v>
      </c>
      <c r="AR382" s="1">
        <f t="shared" si="5"/>
        <v>0.4</v>
      </c>
    </row>
    <row r="383" spans="1:44" x14ac:dyDescent="0.2">
      <c r="A383" s="17" t="s">
        <v>323</v>
      </c>
      <c r="B383" s="18" t="s">
        <v>324</v>
      </c>
      <c r="C383" t="s">
        <v>328</v>
      </c>
      <c r="D383" s="19" t="s">
        <v>326</v>
      </c>
      <c r="E383" t="s">
        <v>158</v>
      </c>
      <c r="F383" t="s">
        <v>159</v>
      </c>
      <c r="G383">
        <v>-10</v>
      </c>
      <c r="H383">
        <v>0</v>
      </c>
      <c r="I383">
        <v>-10</v>
      </c>
      <c r="J383">
        <v>0.45</v>
      </c>
      <c r="K383">
        <v>-10</v>
      </c>
      <c r="L383">
        <v>0</v>
      </c>
      <c r="M383">
        <v>-10</v>
      </c>
      <c r="N383">
        <v>2.4931506849314999</v>
      </c>
      <c r="O383">
        <v>0.99726027397260197</v>
      </c>
      <c r="P383"/>
      <c r="Q383">
        <v>9.9726027397259998E-2</v>
      </c>
      <c r="R383">
        <v>0.19301353258613499</v>
      </c>
      <c r="S383" s="1" t="str">
        <f>VLOOKUP($E383,'Product Naming'!$A$1:$P$58,2,FALSE)</f>
        <v>Butane</v>
      </c>
      <c r="T383" s="1" t="str">
        <f>VLOOKUP($E383,'Product Naming'!$A$1:$P$58,3,FALSE)</f>
        <v>Butane</v>
      </c>
      <c r="U383" s="1" t="str">
        <f>VLOOKUP($E383,'Product Naming'!$A$1:$P$58,4,FALSE)</f>
        <v>E</v>
      </c>
      <c r="V383" s="1" t="str">
        <f>VLOOKUP($E383,'Product Naming'!$A$1:$P$58,5,FALSE)</f>
        <v>C4H10</v>
      </c>
      <c r="W383" s="1">
        <f>VLOOKUP($E383,'Product Naming'!$A$1:$P$58,6,FALSE)</f>
        <v>4</v>
      </c>
      <c r="X383" s="1">
        <f>VLOOKUP($E383,'Product Naming'!$A$1:$P$58,7,FALSE)</f>
        <v>10</v>
      </c>
      <c r="Y383" s="1">
        <f>VLOOKUP($E383,'Product Naming'!$A$1:$P$58,8,FALSE)</f>
        <v>0</v>
      </c>
      <c r="Z383" s="1">
        <f>VLOOKUP($E383,'Product Naming'!$A$1:$P$58,9,FALSE)</f>
        <v>0</v>
      </c>
      <c r="AA383" s="1">
        <f>VLOOKUP($E383,'Product Naming'!$A$1:$P$58,10,FALSE)</f>
        <v>0</v>
      </c>
      <c r="AB383" s="29">
        <f>VLOOKUP($E383,'Product Naming'!$A$1:$P$58,11,FALSE)</f>
        <v>6.5</v>
      </c>
      <c r="AC383" s="3">
        <f>VLOOKUP($E383,'Product Naming'!$A$1:$P$58,12,FALSE)</f>
        <v>58.121200000000002</v>
      </c>
      <c r="AD383" s="1">
        <f>VLOOKUP($E383,'Product Naming'!$A$1:$P$58,13,FALSE)</f>
        <v>-1</v>
      </c>
      <c r="AE383" s="1" t="str">
        <f>VLOOKUP($E383,'Product Naming'!$A$1:$P$58,14,FALSE)</f>
        <v>Hydrocarbon (alkane)</v>
      </c>
      <c r="AF383" s="1" t="str">
        <f>VLOOKUP($E383,'Product Naming'!$A$1:$P$58,15,FALSE)</f>
        <v>Acetyl-CoA + Succinyl-CoA</v>
      </c>
      <c r="AG383" s="30" t="str">
        <f>VLOOKUP($E383,'Product Naming'!$A$1:$P$58,16,FALSE)</f>
        <v>Diffusion</v>
      </c>
      <c r="AH383" s="3" t="str">
        <f>VLOOKUP($E383,'Product Naming'!$A$1:$Q$58,17,FALSE)</f>
        <v>butn_c</v>
      </c>
      <c r="AI383" s="1">
        <f>VLOOKUP($E383,'Product Parameters'!$A$2:$D$59,2,FALSE)</f>
        <v>0</v>
      </c>
      <c r="AJ383" s="1">
        <f>VLOOKUP($E383,'Product Parameters'!$A$2:$D$59,3,FALSE)</f>
        <v>1</v>
      </c>
      <c r="AK383" s="1">
        <f>VLOOKUP($E383,'Product Parameters'!$A$2:$D$59,4,FALSE)</f>
        <v>0.12</v>
      </c>
      <c r="AL383" s="1">
        <f>VLOOKUP($E383,'Product Parameters'!$A$2:$E$59,5,FALSE)</f>
        <v>0</v>
      </c>
      <c r="AM383" s="1">
        <f>VLOOKUP($E383,'Product Parameters'!$A$2:$F$59,6,FALSE)</f>
        <v>4</v>
      </c>
      <c r="AN383" s="1">
        <f>VLOOKUP($C383,'Substrate Heating'!$A$2:$C$33,3,FALSE)</f>
        <v>262.39999999999998</v>
      </c>
      <c r="AO383" s="1">
        <f>VLOOKUP($C383,'Substrate Heating'!$A$2:$B$33,2,FALSE)</f>
        <v>17.478546483008707</v>
      </c>
      <c r="AP383" s="1">
        <f>VLOOKUP($C383,'Substrate Heating'!$A$2:$M$33,13,FALSE)</f>
        <v>1</v>
      </c>
      <c r="AQ383" s="1">
        <f>VLOOKUP($C383,'Substrate Heating'!$A$2:$M$33,8,FALSE)</f>
        <v>0.5</v>
      </c>
      <c r="AR383" s="1">
        <f t="shared" si="5"/>
        <v>0.79780821917807998</v>
      </c>
    </row>
    <row r="384" spans="1:44" x14ac:dyDescent="0.2">
      <c r="A384" s="17" t="s">
        <v>323</v>
      </c>
      <c r="B384" s="18" t="s">
        <v>324</v>
      </c>
      <c r="C384" t="s">
        <v>333</v>
      </c>
      <c r="D384" s="19" t="s">
        <v>326</v>
      </c>
      <c r="E384" t="s">
        <v>130</v>
      </c>
      <c r="F384" t="s">
        <v>125</v>
      </c>
      <c r="G384">
        <v>-10</v>
      </c>
      <c r="H384">
        <v>0</v>
      </c>
      <c r="I384">
        <v>0</v>
      </c>
      <c r="J384">
        <v>0.45</v>
      </c>
      <c r="K384">
        <v>-10</v>
      </c>
      <c r="L384">
        <v>0</v>
      </c>
      <c r="M384">
        <v>0</v>
      </c>
      <c r="N384">
        <v>5</v>
      </c>
      <c r="O384">
        <v>1.25882352941177</v>
      </c>
      <c r="P384"/>
      <c r="Q384">
        <v>0.125882352941177</v>
      </c>
      <c r="R384">
        <v>0.19431837058302101</v>
      </c>
      <c r="S384" s="1" t="str">
        <f>VLOOKUP($E384,'Product Naming'!$A$1:$P$58,2,FALSE)</f>
        <v>Acrylate-PW2</v>
      </c>
      <c r="T384" s="1" t="str">
        <f>VLOOKUP($E384,'Product Naming'!$A$1:$P$58,3,FALSE)</f>
        <v>Acrylate (PW2)</v>
      </c>
      <c r="U384" s="1" t="str">
        <f>VLOOKUP($E384,'Product Naming'!$A$1:$P$58,4,FALSE)</f>
        <v>A</v>
      </c>
      <c r="V384" s="1" t="str">
        <f>VLOOKUP($E384,'Product Naming'!$A$1:$P$58,5,FALSE)</f>
        <v>C3H3O2</v>
      </c>
      <c r="W384" s="1">
        <f>VLOOKUP($E384,'Product Naming'!$A$1:$P$58,6,FALSE)</f>
        <v>3</v>
      </c>
      <c r="X384" s="1">
        <f>VLOOKUP($E384,'Product Naming'!$A$1:$P$58,7,FALSE)</f>
        <v>3</v>
      </c>
      <c r="Y384" s="1">
        <f>VLOOKUP($E384,'Product Naming'!$A$1:$P$58,8,FALSE)</f>
        <v>2</v>
      </c>
      <c r="Z384" s="1">
        <f>VLOOKUP($E384,'Product Naming'!$A$1:$P$58,9,FALSE)</f>
        <v>0</v>
      </c>
      <c r="AA384" s="1">
        <f>VLOOKUP($E384,'Product Naming'!$A$1:$P$58,10,FALSE)</f>
        <v>-1</v>
      </c>
      <c r="AB384" s="29">
        <f>VLOOKUP($E384,'Product Naming'!$A$1:$P$58,11,FALSE)</f>
        <v>3.6666666666666665</v>
      </c>
      <c r="AC384" s="3">
        <f>VLOOKUP($E384,'Product Naming'!$A$1:$P$58,12,FALSE)</f>
        <v>71.053619999999995</v>
      </c>
      <c r="AD384" s="1">
        <f>VLOOKUP($E384,'Product Naming'!$A$1:$P$58,13,FALSE)</f>
        <v>80</v>
      </c>
      <c r="AE384" s="1" t="str">
        <f>VLOOKUP($E384,'Product Naming'!$A$1:$P$58,14,FALSE)</f>
        <v>Carboxylate</v>
      </c>
      <c r="AF384" s="1" t="str">
        <f>VLOOKUP($E384,'Product Naming'!$A$1:$P$58,15,FALSE)</f>
        <v>Pyruvate</v>
      </c>
      <c r="AG384" s="30" t="str">
        <f>VLOOKUP($E384,'Product Naming'!$A$1:$P$58,16,FALSE)</f>
        <v>Proton symporter</v>
      </c>
      <c r="AH384" s="3" t="str">
        <f>VLOOKUP($E384,'Product Naming'!$A$1:$Q$58,17,FALSE)</f>
        <v>acryl_c</v>
      </c>
      <c r="AI384" s="1">
        <f>VLOOKUP($E384,'Product Parameters'!$A$2:$D$59,2,FALSE)</f>
        <v>1</v>
      </c>
      <c r="AJ384" s="1">
        <f>VLOOKUP($E384,'Product Parameters'!$A$2:$D$59,3,FALSE)</f>
        <v>0</v>
      </c>
      <c r="AK384" s="1">
        <f>VLOOKUP($E384,'Product Parameters'!$A$2:$D$59,4,FALSE)</f>
        <v>0.12</v>
      </c>
      <c r="AL384" s="1">
        <f>VLOOKUP($E384,'Product Parameters'!$A$2:$E$59,5,FALSE)</f>
        <v>53.1</v>
      </c>
      <c r="AM384" s="1">
        <f>VLOOKUP($E384,'Product Parameters'!$A$2:$F$59,6,FALSE)</f>
        <v>3</v>
      </c>
      <c r="AN384" s="1">
        <f>VLOOKUP($C384,'Substrate Heating'!$A$2:$C$33,3,FALSE)</f>
        <v>247.59097</v>
      </c>
      <c r="AO384" s="1">
        <f>VLOOKUP($C384,'Substrate Heating'!$A$2:$B$33,2,FALSE)</f>
        <v>5.5</v>
      </c>
      <c r="AP384" s="1">
        <f>VLOOKUP($C384,'Substrate Heating'!$A$2:$M$33,13,FALSE)</f>
        <v>1</v>
      </c>
      <c r="AQ384" s="1">
        <f>VLOOKUP($C384,'Substrate Heating'!$A$2:$M$33,8,FALSE)</f>
        <v>1</v>
      </c>
      <c r="AR384" s="1">
        <f t="shared" si="5"/>
        <v>0.377647058823531</v>
      </c>
    </row>
    <row r="385" spans="1:44" x14ac:dyDescent="0.2">
      <c r="A385" s="8" t="s">
        <v>792</v>
      </c>
      <c r="B385" s="18" t="s">
        <v>324</v>
      </c>
      <c r="C385" t="s">
        <v>371</v>
      </c>
      <c r="D385" s="23" t="s">
        <v>338</v>
      </c>
      <c r="E385" t="s">
        <v>192</v>
      </c>
      <c r="F385" t="s">
        <v>193</v>
      </c>
      <c r="G385">
        <v>-10</v>
      </c>
      <c r="H385">
        <v>0</v>
      </c>
      <c r="I385">
        <v>0</v>
      </c>
      <c r="J385">
        <v>0.45</v>
      </c>
      <c r="K385">
        <v>-10</v>
      </c>
      <c r="L385">
        <v>0</v>
      </c>
      <c r="M385" s="28" t="s">
        <v>539</v>
      </c>
      <c r="N385">
        <v>0</v>
      </c>
      <c r="O385" s="28" t="s">
        <v>540</v>
      </c>
      <c r="P385"/>
      <c r="Q385">
        <v>3.75108038029386E-2</v>
      </c>
      <c r="R385">
        <v>0.19467498015609799</v>
      </c>
      <c r="S385" s="1" t="str">
        <f>VLOOKUP($E385,'Product Naming'!$A$1:$P$58,2,FALSE)</f>
        <v>Coumaric acid</v>
      </c>
      <c r="T385" s="1" t="str">
        <f>VLOOKUP($E385,'Product Naming'!$A$1:$P$58,3,FALSE)</f>
        <v>Coumaric acid</v>
      </c>
      <c r="U385" s="1" t="str">
        <f>VLOOKUP($E385,'Product Naming'!$A$1:$P$58,4,FALSE)</f>
        <v>E</v>
      </c>
      <c r="V385" s="1" t="str">
        <f>VLOOKUP($E385,'Product Naming'!$A$1:$P$58,5,FALSE)</f>
        <v>C9H7O3</v>
      </c>
      <c r="W385" s="1">
        <f>VLOOKUP($E385,'Product Naming'!$A$1:$P$58,6,FALSE)</f>
        <v>9</v>
      </c>
      <c r="X385" s="1">
        <f>VLOOKUP($E385,'Product Naming'!$A$1:$P$58,7,FALSE)</f>
        <v>7</v>
      </c>
      <c r="Y385" s="1">
        <f>VLOOKUP($E385,'Product Naming'!$A$1:$P$58,8,FALSE)</f>
        <v>3</v>
      </c>
      <c r="Z385" s="1">
        <f>VLOOKUP($E385,'Product Naming'!$A$1:$P$58,9,FALSE)</f>
        <v>0</v>
      </c>
      <c r="AA385" s="1">
        <f>VLOOKUP($E385,'Product Naming'!$A$1:$P$58,10,FALSE)</f>
        <v>-1</v>
      </c>
      <c r="AB385" s="29">
        <f>VLOOKUP($E385,'Product Naming'!$A$1:$P$58,11,FALSE)</f>
        <v>4.1111111111111107</v>
      </c>
      <c r="AC385" s="3">
        <f>VLOOKUP($E385,'Product Naming'!$A$1:$P$58,12,FALSE)</f>
        <v>163.14818</v>
      </c>
      <c r="AD385" s="1">
        <f>VLOOKUP($E385,'Product Naming'!$A$1:$P$58,13,FALSE)</f>
        <v>346</v>
      </c>
      <c r="AE385" s="1" t="str">
        <f>VLOOKUP($E385,'Product Naming'!$A$1:$P$58,14,FALSE)</f>
        <v>Aromatic + Alcohol + Carboxylate</v>
      </c>
      <c r="AF385" s="1" t="str">
        <f>VLOOKUP($E385,'Product Naming'!$A$1:$P$58,15,FALSE)</f>
        <v>E4P + L-glutamate</v>
      </c>
      <c r="AG385" s="30" t="str">
        <f>VLOOKUP($E385,'Product Naming'!$A$1:$P$58,16,FALSE)</f>
        <v>Proton symporter</v>
      </c>
      <c r="AH385" s="3" t="str">
        <f>VLOOKUP($E385,'Product Naming'!$A$1:$Q$58,17,FALSE)</f>
        <v>T4hcinnm_c</v>
      </c>
      <c r="AI385" s="1">
        <f>VLOOKUP($E385,'Product Parameters'!$A$2:$D$59,2,FALSE)</f>
        <v>1</v>
      </c>
      <c r="AJ385" s="1">
        <f>VLOOKUP($E385,'Product Parameters'!$A$2:$D$59,3,FALSE)</f>
        <v>0</v>
      </c>
      <c r="AK385" s="1">
        <f>VLOOKUP($E385,'Product Parameters'!$A$2:$D$59,4,FALSE)</f>
        <v>0.12</v>
      </c>
      <c r="AL385" s="1">
        <f>VLOOKUP($E385,'Product Parameters'!$A$2:$E$59,5,FALSE)</f>
        <v>40.65</v>
      </c>
      <c r="AM385" s="1">
        <f>VLOOKUP($E385,'Product Parameters'!$A$2:$F$59,6,FALSE)</f>
        <v>9</v>
      </c>
      <c r="AN385" s="1">
        <f>VLOOKUP($C385,'Substrate Heating'!$A$2:$C$33,3,FALSE)</f>
        <v>638.57832580000002</v>
      </c>
      <c r="AO385" s="1">
        <f>VLOOKUP($C385,'Substrate Heating'!$A$2:$B$33,2,FALSE)</f>
        <v>19.93</v>
      </c>
      <c r="AP385" s="1">
        <f>VLOOKUP($C385,'Substrate Heating'!$A$2:$M$33,13,FALSE)</f>
        <v>6</v>
      </c>
      <c r="AQ385" s="1">
        <f>VLOOKUP($C385,'Substrate Heating'!$A$2:$M$33,8,FALSE)</f>
        <v>1</v>
      </c>
      <c r="AR385" s="1">
        <f t="shared" si="5"/>
        <v>0.33759723422644738</v>
      </c>
    </row>
    <row r="386" spans="1:44" x14ac:dyDescent="0.2">
      <c r="A386" s="17" t="s">
        <v>323</v>
      </c>
      <c r="B386" s="18" t="s">
        <v>324</v>
      </c>
      <c r="C386" t="s">
        <v>328</v>
      </c>
      <c r="D386" s="19" t="s">
        <v>326</v>
      </c>
      <c r="E386" t="s">
        <v>175</v>
      </c>
      <c r="F386" t="s">
        <v>176</v>
      </c>
      <c r="G386">
        <v>-10</v>
      </c>
      <c r="H386">
        <v>0</v>
      </c>
      <c r="I386">
        <v>-10</v>
      </c>
      <c r="J386">
        <v>0.45</v>
      </c>
      <c r="K386">
        <v>-10</v>
      </c>
      <c r="L386">
        <v>0</v>
      </c>
      <c r="M386">
        <v>-10</v>
      </c>
      <c r="N386">
        <v>0.26569343065693501</v>
      </c>
      <c r="O386">
        <v>0.53138686131386903</v>
      </c>
      <c r="P386"/>
      <c r="Q386">
        <v>5.3138686131386899E-2</v>
      </c>
      <c r="R386">
        <v>0.19484050431320499</v>
      </c>
      <c r="S386" s="1" t="str">
        <f>VLOOKUP($E386,'Product Naming'!$A$1:$P$58,2,FALSE)</f>
        <v>Catechol</v>
      </c>
      <c r="T386" s="1" t="str">
        <f>VLOOKUP($E386,'Product Naming'!$A$1:$P$58,3,FALSE)</f>
        <v>Catechol</v>
      </c>
      <c r="U386" s="1" t="str">
        <f>VLOOKUP($E386,'Product Naming'!$A$1:$P$58,4,FALSE)</f>
        <v>E</v>
      </c>
      <c r="V386" s="1" t="str">
        <f>VLOOKUP($E386,'Product Naming'!$A$1:$P$58,5,FALSE)</f>
        <v>C6H6O2</v>
      </c>
      <c r="W386" s="1">
        <f>VLOOKUP($E386,'Product Naming'!$A$1:$P$58,6,FALSE)</f>
        <v>6</v>
      </c>
      <c r="X386" s="1">
        <f>VLOOKUP($E386,'Product Naming'!$A$1:$P$58,7,FALSE)</f>
        <v>6</v>
      </c>
      <c r="Y386" s="1">
        <f>VLOOKUP($E386,'Product Naming'!$A$1:$P$58,8,FALSE)</f>
        <v>2</v>
      </c>
      <c r="Z386" s="1">
        <f>VLOOKUP($E386,'Product Naming'!$A$1:$P$58,9,FALSE)</f>
        <v>0</v>
      </c>
      <c r="AA386" s="1">
        <f>VLOOKUP($E386,'Product Naming'!$A$1:$P$58,10,FALSE)</f>
        <v>0</v>
      </c>
      <c r="AB386" s="29">
        <f>VLOOKUP($E386,'Product Naming'!$A$1:$P$58,11,FALSE)</f>
        <v>4.333333333333333</v>
      </c>
      <c r="AC386" s="3">
        <f>VLOOKUP($E386,'Product Naming'!$A$1:$P$58,12,FALSE)</f>
        <v>110.10924</v>
      </c>
      <c r="AD386" s="1">
        <f>VLOOKUP($E386,'Product Naming'!$A$1:$P$58,13,FALSE)</f>
        <v>245</v>
      </c>
      <c r="AE386" s="1" t="str">
        <f>VLOOKUP($E386,'Product Naming'!$A$1:$P$58,14,FALSE)</f>
        <v>Aromatic + Diol</v>
      </c>
      <c r="AF386" s="1" t="str">
        <f>VLOOKUP($E386,'Product Naming'!$A$1:$P$58,15,FALSE)</f>
        <v>Glyceraldehyde 3-P</v>
      </c>
      <c r="AG386" s="30" t="str">
        <f>VLOOKUP($E386,'Product Naming'!$A$1:$P$58,16,FALSE)</f>
        <v>Proton symporter</v>
      </c>
      <c r="AH386" s="3" t="str">
        <f>VLOOKUP($E386,'Product Naming'!$A$1:$Q$58,17,FALSE)</f>
        <v>catechol_c</v>
      </c>
      <c r="AI386" s="1">
        <f>VLOOKUP($E386,'Product Parameters'!$A$2:$D$59,2,FALSE)</f>
        <v>1</v>
      </c>
      <c r="AJ386" s="1">
        <f>VLOOKUP($E386,'Product Parameters'!$A$2:$D$59,3,FALSE)</f>
        <v>0</v>
      </c>
      <c r="AK386" s="1">
        <f>VLOOKUP($E386,'Product Parameters'!$A$2:$D$59,4,FALSE)</f>
        <v>0.12</v>
      </c>
      <c r="AL386" s="1">
        <f>VLOOKUP($E386,'Product Parameters'!$A$2:$E$59,5,FALSE)</f>
        <v>40.65</v>
      </c>
      <c r="AM386" s="1">
        <f>VLOOKUP($E386,'Product Parameters'!$A$2:$F$59,6,FALSE)</f>
        <v>6</v>
      </c>
      <c r="AN386" s="1">
        <f>VLOOKUP($C386,'Substrate Heating'!$A$2:$C$33,3,FALSE)</f>
        <v>262.39999999999998</v>
      </c>
      <c r="AO386" s="1">
        <f>VLOOKUP($C386,'Substrate Heating'!$A$2:$B$33,2,FALSE)</f>
        <v>17.478546483008707</v>
      </c>
      <c r="AP386" s="1">
        <f>VLOOKUP($C386,'Substrate Heating'!$A$2:$M$33,13,FALSE)</f>
        <v>1</v>
      </c>
      <c r="AQ386" s="1">
        <f>VLOOKUP($C386,'Substrate Heating'!$A$2:$M$33,8,FALSE)</f>
        <v>0.5</v>
      </c>
      <c r="AR386" s="1">
        <f t="shared" si="5"/>
        <v>0.63766423357664281</v>
      </c>
    </row>
    <row r="387" spans="1:44" x14ac:dyDescent="0.2">
      <c r="A387" s="17" t="s">
        <v>323</v>
      </c>
      <c r="B387" s="18" t="s">
        <v>324</v>
      </c>
      <c r="C387" t="s">
        <v>334</v>
      </c>
      <c r="D387" s="19" t="s">
        <v>326</v>
      </c>
      <c r="E387" t="s">
        <v>164</v>
      </c>
      <c r="F387" t="s">
        <v>165</v>
      </c>
      <c r="G387">
        <v>-10</v>
      </c>
      <c r="H387">
        <v>0</v>
      </c>
      <c r="I387">
        <v>-5</v>
      </c>
      <c r="J387">
        <v>0.45</v>
      </c>
      <c r="K387">
        <v>-10</v>
      </c>
      <c r="L387">
        <v>0</v>
      </c>
      <c r="M387">
        <v>-5</v>
      </c>
      <c r="N387">
        <v>5</v>
      </c>
      <c r="O387">
        <v>1.25</v>
      </c>
      <c r="P387"/>
      <c r="Q387">
        <v>0.125</v>
      </c>
      <c r="R387">
        <v>0.19696224032517301</v>
      </c>
      <c r="S387" s="1" t="str">
        <f>VLOOKUP($E387,'Product Naming'!$A$1:$P$58,2,FALSE)</f>
        <v>Butanol-PW1</v>
      </c>
      <c r="T387" s="1" t="str">
        <f>VLOOKUP($E387,'Product Naming'!$A$1:$P$58,3,FALSE)</f>
        <v>Butanol (PW1)</v>
      </c>
      <c r="U387" s="1" t="str">
        <f>VLOOKUP($E387,'Product Naming'!$A$1:$P$58,4,FALSE)</f>
        <v>E</v>
      </c>
      <c r="V387" s="1" t="str">
        <f>VLOOKUP($E387,'Product Naming'!$A$1:$P$58,5,FALSE)</f>
        <v>C4H10O</v>
      </c>
      <c r="W387" s="1">
        <f>VLOOKUP($E387,'Product Naming'!$A$1:$P$58,6,FALSE)</f>
        <v>4</v>
      </c>
      <c r="X387" s="1">
        <f>VLOOKUP($E387,'Product Naming'!$A$1:$P$58,7,FALSE)</f>
        <v>10</v>
      </c>
      <c r="Y387" s="1">
        <f>VLOOKUP($E387,'Product Naming'!$A$1:$P$58,8,FALSE)</f>
        <v>1</v>
      </c>
      <c r="Z387" s="1">
        <f>VLOOKUP($E387,'Product Naming'!$A$1:$P$58,9,FALSE)</f>
        <v>0</v>
      </c>
      <c r="AA387" s="1">
        <f>VLOOKUP($E387,'Product Naming'!$A$1:$P$58,10,FALSE)</f>
        <v>0</v>
      </c>
      <c r="AB387" s="29">
        <f>VLOOKUP($E387,'Product Naming'!$A$1:$P$58,11,FALSE)</f>
        <v>6</v>
      </c>
      <c r="AC387" s="3">
        <f>VLOOKUP($E387,'Product Naming'!$A$1:$P$58,12,FALSE)</f>
        <v>74.120199999999997</v>
      </c>
      <c r="AD387" s="1">
        <f>VLOOKUP($E387,'Product Naming'!$A$1:$P$58,13,FALSE)</f>
        <v>117.7</v>
      </c>
      <c r="AE387" s="1" t="str">
        <f>VLOOKUP($E387,'Product Naming'!$A$1:$P$58,14,FALSE)</f>
        <v>Alcohol</v>
      </c>
      <c r="AF387" s="1" t="str">
        <f>VLOOKUP($E387,'Product Naming'!$A$1:$P$58,15,FALSE)</f>
        <v>Acetyl-CoA</v>
      </c>
      <c r="AG387" s="30" t="str">
        <f>VLOOKUP($E387,'Product Naming'!$A$1:$P$58,16,FALSE)</f>
        <v>Proton symporter</v>
      </c>
      <c r="AH387" s="3" t="str">
        <f>VLOOKUP($E387,'Product Naming'!$A$1:$Q$58,17,FALSE)</f>
        <v>btoh_c</v>
      </c>
      <c r="AI387" s="1">
        <f>VLOOKUP($E387,'Product Parameters'!$A$2:$D$59,2,FALSE)</f>
        <v>1</v>
      </c>
      <c r="AJ387" s="1">
        <f>VLOOKUP($E387,'Product Parameters'!$A$2:$D$59,3,FALSE)</f>
        <v>0</v>
      </c>
      <c r="AK387" s="1">
        <f>VLOOKUP($E387,'Product Parameters'!$A$2:$D$59,4,FALSE)</f>
        <v>0.12</v>
      </c>
      <c r="AL387" s="1">
        <f>VLOOKUP($E387,'Product Parameters'!$A$2:$E$59,5,FALSE)</f>
        <v>52</v>
      </c>
      <c r="AM387" s="1">
        <f>VLOOKUP($E387,'Product Parameters'!$A$2:$F$59,6,FALSE)</f>
        <v>4</v>
      </c>
      <c r="AN387" s="1">
        <f>VLOOKUP($C387,'Substrate Heating'!$A$2:$C$33,3,FALSE)</f>
        <v>249.93333333333334</v>
      </c>
      <c r="AO387" s="1">
        <f>VLOOKUP($C387,'Substrate Heating'!$A$2:$B$33,2,FALSE)</f>
        <v>8.1456827881222953</v>
      </c>
      <c r="AP387" s="1">
        <f>VLOOKUP($C387,'Substrate Heating'!$A$2:$M$33,13,FALSE)</f>
        <v>0.66666666666666663</v>
      </c>
      <c r="AQ387" s="1">
        <f>VLOOKUP($C387,'Substrate Heating'!$A$2:$M$33,8,FALSE)</f>
        <v>0.66666666666666663</v>
      </c>
      <c r="AR387" s="1">
        <f t="shared" ref="AR387:AR450" si="6">Q387*W387/AQ387</f>
        <v>0.75</v>
      </c>
    </row>
    <row r="388" spans="1:44" x14ac:dyDescent="0.2">
      <c r="A388" s="17" t="s">
        <v>323</v>
      </c>
      <c r="B388" s="18" t="s">
        <v>324</v>
      </c>
      <c r="C388" t="s">
        <v>334</v>
      </c>
      <c r="D388" s="19" t="s">
        <v>326</v>
      </c>
      <c r="E388" t="s">
        <v>169</v>
      </c>
      <c r="F388" t="s">
        <v>165</v>
      </c>
      <c r="G388">
        <v>-10</v>
      </c>
      <c r="H388">
        <v>0</v>
      </c>
      <c r="I388">
        <v>-5</v>
      </c>
      <c r="J388">
        <v>0.45</v>
      </c>
      <c r="K388">
        <v>-10</v>
      </c>
      <c r="L388">
        <v>0</v>
      </c>
      <c r="M388">
        <v>-5</v>
      </c>
      <c r="N388">
        <v>5</v>
      </c>
      <c r="O388">
        <v>1.25</v>
      </c>
      <c r="P388"/>
      <c r="Q388">
        <v>0.125</v>
      </c>
      <c r="R388">
        <v>0.19696224032517301</v>
      </c>
      <c r="S388" s="1" t="str">
        <f>VLOOKUP($E388,'Product Naming'!$A$1:$P$58,2,FALSE)</f>
        <v>Butanol-PW2</v>
      </c>
      <c r="T388" s="1" t="str">
        <f>VLOOKUP($E388,'Product Naming'!$A$1:$P$58,3,FALSE)</f>
        <v>Butanol (PW2)</v>
      </c>
      <c r="U388" s="1" t="str">
        <f>VLOOKUP($E388,'Product Naming'!$A$1:$P$58,4,FALSE)</f>
        <v>E</v>
      </c>
      <c r="V388" s="1" t="str">
        <f>VLOOKUP($E388,'Product Naming'!$A$1:$P$58,5,FALSE)</f>
        <v>C4H10O</v>
      </c>
      <c r="W388" s="1">
        <f>VLOOKUP($E388,'Product Naming'!$A$1:$P$58,6,FALSE)</f>
        <v>4</v>
      </c>
      <c r="X388" s="1">
        <f>VLOOKUP($E388,'Product Naming'!$A$1:$P$58,7,FALSE)</f>
        <v>10</v>
      </c>
      <c r="Y388" s="1">
        <f>VLOOKUP($E388,'Product Naming'!$A$1:$P$58,8,FALSE)</f>
        <v>1</v>
      </c>
      <c r="Z388" s="1">
        <f>VLOOKUP($E388,'Product Naming'!$A$1:$P$58,9,FALSE)</f>
        <v>0</v>
      </c>
      <c r="AA388" s="1">
        <f>VLOOKUP($E388,'Product Naming'!$A$1:$P$58,10,FALSE)</f>
        <v>0</v>
      </c>
      <c r="AB388" s="29">
        <f>VLOOKUP($E388,'Product Naming'!$A$1:$P$58,11,FALSE)</f>
        <v>6</v>
      </c>
      <c r="AC388" s="3">
        <f>VLOOKUP($E388,'Product Naming'!$A$1:$P$58,12,FALSE)</f>
        <v>74.120199999999997</v>
      </c>
      <c r="AD388" s="1">
        <f>VLOOKUP($E388,'Product Naming'!$A$1:$P$58,13,FALSE)</f>
        <v>117.7</v>
      </c>
      <c r="AE388" s="1" t="str">
        <f>VLOOKUP($E388,'Product Naming'!$A$1:$P$58,14,FALSE)</f>
        <v>Alcohol</v>
      </c>
      <c r="AF388" s="1" t="str">
        <f>VLOOKUP($E388,'Product Naming'!$A$1:$P$58,15,FALSE)</f>
        <v>Oxaloacetate</v>
      </c>
      <c r="AG388" s="30" t="str">
        <f>VLOOKUP($E388,'Product Naming'!$A$1:$P$58,16,FALSE)</f>
        <v>Proton symporter</v>
      </c>
      <c r="AH388" s="3" t="str">
        <f>VLOOKUP($E388,'Product Naming'!$A$1:$Q$58,17,FALSE)</f>
        <v>btoh_c</v>
      </c>
      <c r="AI388" s="1">
        <f>VLOOKUP($E388,'Product Parameters'!$A$2:$D$59,2,FALSE)</f>
        <v>1</v>
      </c>
      <c r="AJ388" s="1">
        <f>VLOOKUP($E388,'Product Parameters'!$A$2:$D$59,3,FALSE)</f>
        <v>0</v>
      </c>
      <c r="AK388" s="1">
        <f>VLOOKUP($E388,'Product Parameters'!$A$2:$D$59,4,FALSE)</f>
        <v>0.12</v>
      </c>
      <c r="AL388" s="1">
        <f>VLOOKUP($E388,'Product Parameters'!$A$2:$E$59,5,FALSE)</f>
        <v>52</v>
      </c>
      <c r="AM388" s="1">
        <f>VLOOKUP($E388,'Product Parameters'!$A$2:$F$59,6,FALSE)</f>
        <v>4</v>
      </c>
      <c r="AN388" s="1">
        <f>VLOOKUP($C388,'Substrate Heating'!$A$2:$C$33,3,FALSE)</f>
        <v>249.93333333333334</v>
      </c>
      <c r="AO388" s="1">
        <f>VLOOKUP($C388,'Substrate Heating'!$A$2:$B$33,2,FALSE)</f>
        <v>8.1456827881222953</v>
      </c>
      <c r="AP388" s="1">
        <f>VLOOKUP($C388,'Substrate Heating'!$A$2:$M$33,13,FALSE)</f>
        <v>0.66666666666666663</v>
      </c>
      <c r="AQ388" s="1">
        <f>VLOOKUP($C388,'Substrate Heating'!$A$2:$M$33,8,FALSE)</f>
        <v>0.66666666666666663</v>
      </c>
      <c r="AR388" s="1">
        <f t="shared" si="6"/>
        <v>0.75</v>
      </c>
    </row>
    <row r="389" spans="1:44" x14ac:dyDescent="0.2">
      <c r="A389" s="17" t="s">
        <v>323</v>
      </c>
      <c r="B389" s="18" t="s">
        <v>324</v>
      </c>
      <c r="C389" t="s">
        <v>325</v>
      </c>
      <c r="D389" s="19" t="s">
        <v>326</v>
      </c>
      <c r="E389" t="s">
        <v>225</v>
      </c>
      <c r="F389" t="s">
        <v>226</v>
      </c>
      <c r="G389">
        <v>-10</v>
      </c>
      <c r="H389">
        <v>0</v>
      </c>
      <c r="I389">
        <v>0</v>
      </c>
      <c r="J389">
        <v>0.45</v>
      </c>
      <c r="K389">
        <v>-10</v>
      </c>
      <c r="L389">
        <v>0</v>
      </c>
      <c r="M389">
        <v>0</v>
      </c>
      <c r="N389">
        <v>4.2620689655172397</v>
      </c>
      <c r="O389">
        <v>0.73793103448275899</v>
      </c>
      <c r="P389"/>
      <c r="Q389">
        <v>7.3793103448275901E-2</v>
      </c>
      <c r="R389">
        <v>0.19769997020768501</v>
      </c>
      <c r="S389" s="1" t="str">
        <f>VLOOKUP($E389,'Product Naming'!$A$1:$P$58,2,FALSE)</f>
        <v>Glycolate</v>
      </c>
      <c r="T389" s="1" t="str">
        <f>VLOOKUP($E389,'Product Naming'!$A$1:$P$58,3,FALSE)</f>
        <v>Glycolate</v>
      </c>
      <c r="U389" s="1" t="str">
        <f>VLOOKUP($E389,'Product Naming'!$A$1:$P$58,4,FALSE)</f>
        <v>iJO1366</v>
      </c>
      <c r="V389" s="1" t="str">
        <f>VLOOKUP($E389,'Product Naming'!$A$1:$P$58,5,FALSE)</f>
        <v>C2H3O3</v>
      </c>
      <c r="W389" s="1">
        <f>VLOOKUP($E389,'Product Naming'!$A$1:$P$58,6,FALSE)</f>
        <v>2</v>
      </c>
      <c r="X389" s="1">
        <f>VLOOKUP($E389,'Product Naming'!$A$1:$P$58,7,FALSE)</f>
        <v>3</v>
      </c>
      <c r="Y389" s="1">
        <f>VLOOKUP($E389,'Product Naming'!$A$1:$P$58,8,FALSE)</f>
        <v>3</v>
      </c>
      <c r="Z389" s="1">
        <f>VLOOKUP($E389,'Product Naming'!$A$1:$P$58,9,FALSE)</f>
        <v>0</v>
      </c>
      <c r="AA389" s="1">
        <f>VLOOKUP($E389,'Product Naming'!$A$1:$P$58,10,FALSE)</f>
        <v>-1</v>
      </c>
      <c r="AB389" s="29">
        <f>VLOOKUP($E389,'Product Naming'!$A$1:$P$58,11,FALSE)</f>
        <v>2.5</v>
      </c>
      <c r="AC389" s="3">
        <f>VLOOKUP($E389,'Product Naming'!$A$1:$P$58,12,FALSE)</f>
        <v>75.041920000000005</v>
      </c>
      <c r="AD389" s="1">
        <f>VLOOKUP($E389,'Product Naming'!$A$1:$P$58,13,FALSE)</f>
        <v>112</v>
      </c>
      <c r="AE389" s="1" t="str">
        <f>VLOOKUP($E389,'Product Naming'!$A$1:$P$58,14,FALSE)</f>
        <v>Carboxylate + Alcohol (hydroxy carboxylate)</v>
      </c>
      <c r="AF389" s="1" t="str">
        <f>VLOOKUP($E389,'Product Naming'!$A$1:$P$58,15,FALSE)</f>
        <v>Glyoxylate (*isocitrate)</v>
      </c>
      <c r="AG389" s="30" t="str">
        <f>VLOOKUP($E389,'Product Naming'!$A$1:$P$58,16,FALSE)</f>
        <v>Proton symporter</v>
      </c>
      <c r="AH389" s="3" t="str">
        <f>VLOOKUP($E389,'Product Naming'!$A$1:$Q$58,17,FALSE)</f>
        <v>glyclt_c</v>
      </c>
      <c r="AI389" s="1">
        <f>VLOOKUP($E389,'Product Parameters'!$A$2:$D$59,2,FALSE)</f>
        <v>1</v>
      </c>
      <c r="AJ389" s="1">
        <f>VLOOKUP($E389,'Product Parameters'!$A$2:$D$59,3,FALSE)</f>
        <v>0</v>
      </c>
      <c r="AK389" s="1">
        <f>VLOOKUP($E389,'Product Parameters'!$A$2:$D$59,4,FALSE)</f>
        <v>0.12</v>
      </c>
      <c r="AL389" s="1">
        <f>VLOOKUP($E389,'Product Parameters'!$A$2:$E$59,5,FALSE)</f>
        <v>40.65</v>
      </c>
      <c r="AM389" s="1">
        <f>VLOOKUP($E389,'Product Parameters'!$A$2:$F$59,6,FALSE)</f>
        <v>2</v>
      </c>
      <c r="AN389" s="1">
        <f>VLOOKUP($C389,'Substrate Heating'!$A$2:$C$33,3,FALSE)</f>
        <v>280.09700000000004</v>
      </c>
      <c r="AO389" s="1">
        <f>VLOOKUP($C389,'Substrate Heating'!$A$2:$B$33,2,FALSE)</f>
        <v>10</v>
      </c>
      <c r="AP389" s="1">
        <f>VLOOKUP($C389,'Substrate Heating'!$A$2:$M$33,13,FALSE)</f>
        <v>2</v>
      </c>
      <c r="AQ389" s="1">
        <f>VLOOKUP($C389,'Substrate Heating'!$A$2:$M$33,8,FALSE)</f>
        <v>1</v>
      </c>
      <c r="AR389" s="1">
        <f t="shared" si="6"/>
        <v>0.1475862068965518</v>
      </c>
    </row>
    <row r="390" spans="1:44" x14ac:dyDescent="0.2">
      <c r="A390" s="17" t="s">
        <v>323</v>
      </c>
      <c r="B390" s="18" t="s">
        <v>324</v>
      </c>
      <c r="C390" t="s">
        <v>335</v>
      </c>
      <c r="D390" s="19" t="s">
        <v>326</v>
      </c>
      <c r="E390" t="s">
        <v>103</v>
      </c>
      <c r="F390" t="s">
        <v>104</v>
      </c>
      <c r="G390">
        <v>-10</v>
      </c>
      <c r="H390">
        <v>0</v>
      </c>
      <c r="I390">
        <v>-10</v>
      </c>
      <c r="J390">
        <v>0.45</v>
      </c>
      <c r="K390">
        <v>-10</v>
      </c>
      <c r="L390">
        <v>0</v>
      </c>
      <c r="M390">
        <v>-10</v>
      </c>
      <c r="N390">
        <v>2.8</v>
      </c>
      <c r="O390">
        <v>0.93333333333333302</v>
      </c>
      <c r="P390"/>
      <c r="Q390">
        <v>9.3333333333333005E-2</v>
      </c>
      <c r="R390">
        <v>0.19846456439457</v>
      </c>
      <c r="S390" s="1" t="str">
        <f>VLOOKUP($E390,'Product Naming'!$A$1:$P$58,2,FALSE)</f>
        <v>3-Methyl-1-Pentanol</v>
      </c>
      <c r="T390" s="1" t="str">
        <f>VLOOKUP($E390,'Product Naming'!$A$1:$P$58,3,FALSE)</f>
        <v>3-Methyl-1-pentanol</v>
      </c>
      <c r="U390" s="1" t="str">
        <f>VLOOKUP($E390,'Product Naming'!$A$1:$P$58,4,FALSE)</f>
        <v>A</v>
      </c>
      <c r="V390" s="1" t="str">
        <f>VLOOKUP($E390,'Product Naming'!$A$1:$P$58,5,FALSE)</f>
        <v>C6H14O</v>
      </c>
      <c r="W390" s="1">
        <f>VLOOKUP($E390,'Product Naming'!$A$1:$P$58,6,FALSE)</f>
        <v>6</v>
      </c>
      <c r="X390" s="1">
        <f>VLOOKUP($E390,'Product Naming'!$A$1:$P$58,7,FALSE)</f>
        <v>14</v>
      </c>
      <c r="Y390" s="1">
        <f>VLOOKUP($E390,'Product Naming'!$A$1:$P$58,8,FALSE)</f>
        <v>1</v>
      </c>
      <c r="Z390" s="1">
        <f>VLOOKUP($E390,'Product Naming'!$A$1:$P$58,9,FALSE)</f>
        <v>0</v>
      </c>
      <c r="AA390" s="1">
        <f>VLOOKUP($E390,'Product Naming'!$A$1:$P$58,10,FALSE)</f>
        <v>0</v>
      </c>
      <c r="AB390" s="29">
        <f>VLOOKUP($E390,'Product Naming'!$A$1:$P$58,11,FALSE)</f>
        <v>6</v>
      </c>
      <c r="AC390" s="3">
        <f>VLOOKUP($E390,'Product Naming'!$A$1:$P$58,12,FALSE)</f>
        <v>102.17295999999999</v>
      </c>
      <c r="AD390" s="1">
        <f>VLOOKUP($E390,'Product Naming'!$A$1:$P$58,13,FALSE)</f>
        <v>153</v>
      </c>
      <c r="AE390" s="1" t="str">
        <f>VLOOKUP($E390,'Product Naming'!$A$1:$P$58,14,FALSE)</f>
        <v>Alcohol</v>
      </c>
      <c r="AF390" s="1" t="str">
        <f>VLOOKUP($E390,'Product Naming'!$A$1:$P$58,15,FALSE)</f>
        <v>Oxaloacetate</v>
      </c>
      <c r="AG390" s="30" t="str">
        <f>VLOOKUP($E390,'Product Naming'!$A$1:$P$58,16,FALSE)</f>
        <v>Proton symporter</v>
      </c>
      <c r="AH390" s="3" t="str">
        <f>VLOOKUP($E390,'Product Naming'!$A$1:$Q$58,17,FALSE)</f>
        <v>3mptoh_c</v>
      </c>
      <c r="AI390" s="1">
        <f>VLOOKUP($E390,'Product Parameters'!$A$2:$D$59,2,FALSE)</f>
        <v>1</v>
      </c>
      <c r="AJ390" s="1">
        <f>VLOOKUP($E390,'Product Parameters'!$A$2:$D$59,3,FALSE)</f>
        <v>0</v>
      </c>
      <c r="AK390" s="1">
        <f>VLOOKUP($E390,'Product Parameters'!$A$2:$D$59,4,FALSE)</f>
        <v>0.12</v>
      </c>
      <c r="AL390" s="1">
        <f>VLOOKUP($E390,'Product Parameters'!$A$2:$E$59,5,FALSE)</f>
        <v>61.7</v>
      </c>
      <c r="AM390" s="1">
        <f>VLOOKUP($E390,'Product Parameters'!$A$2:$F$59,6,FALSE)</f>
        <v>6</v>
      </c>
      <c r="AN390" s="1">
        <f>VLOOKUP($C390,'Substrate Heating'!$A$2:$C$33,3,FALSE)</f>
        <v>247.9</v>
      </c>
      <c r="AO390" s="1">
        <f>VLOOKUP($C390,'Substrate Heating'!$A$2:$B$33,2,FALSE)</f>
        <v>10.541709491918519</v>
      </c>
      <c r="AP390" s="1">
        <f>VLOOKUP($C390,'Substrate Heating'!$A$2:$M$33,13,FALSE)</f>
        <v>0.5</v>
      </c>
      <c r="AQ390" s="1">
        <f>VLOOKUP($C390,'Substrate Heating'!$A$2:$M$33,8,FALSE)</f>
        <v>0.5</v>
      </c>
      <c r="AR390" s="1">
        <f t="shared" si="6"/>
        <v>1.1199999999999961</v>
      </c>
    </row>
    <row r="391" spans="1:44" x14ac:dyDescent="0.2">
      <c r="A391" s="8" t="s">
        <v>792</v>
      </c>
      <c r="B391" s="18" t="s">
        <v>324</v>
      </c>
      <c r="C391" t="s">
        <v>371</v>
      </c>
      <c r="D391" s="23" t="s">
        <v>338</v>
      </c>
      <c r="E391" t="s">
        <v>259</v>
      </c>
      <c r="F391" t="s">
        <v>260</v>
      </c>
      <c r="G391">
        <v>-10</v>
      </c>
      <c r="H391">
        <v>0</v>
      </c>
      <c r="I391">
        <v>0</v>
      </c>
      <c r="J391">
        <v>0.45</v>
      </c>
      <c r="K391">
        <v>-10</v>
      </c>
      <c r="L391">
        <v>0</v>
      </c>
      <c r="M391" s="28" t="s">
        <v>736</v>
      </c>
      <c r="N391">
        <v>0</v>
      </c>
      <c r="O391" s="28" t="s">
        <v>737</v>
      </c>
      <c r="P391"/>
      <c r="Q391" s="28" t="s">
        <v>738</v>
      </c>
      <c r="R391">
        <v>0.198729995858166</v>
      </c>
      <c r="S391" s="1" t="str">
        <f>VLOOKUP($E391,'Product Naming'!$A$1:$P$58,2,FALSE)</f>
        <v>Limonene</v>
      </c>
      <c r="T391" s="1" t="str">
        <f>VLOOKUP($E391,'Product Naming'!$A$1:$P$58,3,FALSE)</f>
        <v>Limonene</v>
      </c>
      <c r="U391" s="1" t="str">
        <f>VLOOKUP($E391,'Product Naming'!$A$1:$P$58,4,FALSE)</f>
        <v>E</v>
      </c>
      <c r="V391" s="1" t="str">
        <f>VLOOKUP($E391,'Product Naming'!$A$1:$P$58,5,FALSE)</f>
        <v>C10H16</v>
      </c>
      <c r="W391" s="1">
        <f>VLOOKUP($E391,'Product Naming'!$A$1:$P$58,6,FALSE)</f>
        <v>10</v>
      </c>
      <c r="X391" s="1">
        <f>VLOOKUP($E391,'Product Naming'!$A$1:$P$58,7,FALSE)</f>
        <v>16</v>
      </c>
      <c r="Y391" s="1">
        <f>VLOOKUP($E391,'Product Naming'!$A$1:$P$58,8,FALSE)</f>
        <v>0</v>
      </c>
      <c r="Z391" s="1">
        <f>VLOOKUP($E391,'Product Naming'!$A$1:$P$58,9,FALSE)</f>
        <v>0</v>
      </c>
      <c r="AA391" s="1">
        <f>VLOOKUP($E391,'Product Naming'!$A$1:$P$58,10,FALSE)</f>
        <v>0</v>
      </c>
      <c r="AB391" s="29">
        <f>VLOOKUP($E391,'Product Naming'!$A$1:$P$58,11,FALSE)</f>
        <v>5.6</v>
      </c>
      <c r="AC391" s="3">
        <f>VLOOKUP($E391,'Product Naming'!$A$1:$P$58,12,FALSE)</f>
        <v>136.23244</v>
      </c>
      <c r="AD391" s="1">
        <f>VLOOKUP($E391,'Product Naming'!$A$1:$P$58,13,FALSE)</f>
        <v>176</v>
      </c>
      <c r="AE391" s="1" t="str">
        <f>VLOOKUP($E391,'Product Naming'!$A$1:$P$58,14,FALSE)</f>
        <v>Isoprenoid; Aromatic (Cycloalkane)</v>
      </c>
      <c r="AF391" s="1" t="str">
        <f>VLOOKUP($E391,'Product Naming'!$A$1:$P$58,15,FALSE)</f>
        <v>Acetyl-CoA</v>
      </c>
      <c r="AG391" s="30" t="str">
        <f>VLOOKUP($E391,'Product Naming'!$A$1:$P$58,16,FALSE)</f>
        <v>Proton symporter</v>
      </c>
      <c r="AH391" s="3" t="str">
        <f>VLOOKUP($E391,'Product Naming'!$A$1:$Q$58,17,FALSE)</f>
        <v>limnen_c</v>
      </c>
      <c r="AI391" s="1">
        <f>VLOOKUP($E391,'Product Parameters'!$A$2:$D$59,2,FALSE)</f>
        <v>1</v>
      </c>
      <c r="AJ391" s="1">
        <f>VLOOKUP($E391,'Product Parameters'!$A$2:$D$59,3,FALSE)</f>
        <v>0</v>
      </c>
      <c r="AK391" s="1">
        <f>VLOOKUP($E391,'Product Parameters'!$A$2:$D$59,4,FALSE)</f>
        <v>0.12</v>
      </c>
      <c r="AL391" s="1">
        <f>VLOOKUP($E391,'Product Parameters'!$A$2:$E$59,5,FALSE)</f>
        <v>49.5</v>
      </c>
      <c r="AM391" s="1">
        <f>VLOOKUP($E391,'Product Parameters'!$A$2:$F$59,6,FALSE)</f>
        <v>10</v>
      </c>
      <c r="AN391" s="1">
        <f>VLOOKUP($C391,'Substrate Heating'!$A$2:$C$33,3,FALSE)</f>
        <v>638.57832580000002</v>
      </c>
      <c r="AO391" s="1">
        <f>VLOOKUP($C391,'Substrate Heating'!$A$2:$B$33,2,FALSE)</f>
        <v>19.93</v>
      </c>
      <c r="AP391" s="1">
        <f>VLOOKUP($C391,'Substrate Heating'!$A$2:$M$33,13,FALSE)</f>
        <v>6</v>
      </c>
      <c r="AQ391" s="1">
        <f>VLOOKUP($C391,'Substrate Heating'!$A$2:$M$33,8,FALSE)</f>
        <v>1</v>
      </c>
      <c r="AR391" s="1">
        <f t="shared" si="6"/>
        <v>0.46466809421841498</v>
      </c>
    </row>
    <row r="392" spans="1:44" x14ac:dyDescent="0.2">
      <c r="A392" s="17" t="s">
        <v>323</v>
      </c>
      <c r="B392" s="18" t="s">
        <v>324</v>
      </c>
      <c r="C392" t="s">
        <v>325</v>
      </c>
      <c r="D392" s="19" t="s">
        <v>326</v>
      </c>
      <c r="E392" t="s">
        <v>103</v>
      </c>
      <c r="F392" t="s">
        <v>104</v>
      </c>
      <c r="G392">
        <v>-10</v>
      </c>
      <c r="H392">
        <v>0</v>
      </c>
      <c r="I392">
        <v>0</v>
      </c>
      <c r="J392">
        <v>0.45</v>
      </c>
      <c r="K392">
        <v>-10</v>
      </c>
      <c r="L392">
        <v>0</v>
      </c>
      <c r="M392">
        <v>0</v>
      </c>
      <c r="N392">
        <v>6.6461538461538501</v>
      </c>
      <c r="O392">
        <v>0.54871794871794899</v>
      </c>
      <c r="P392"/>
      <c r="Q392">
        <v>5.4871794871794999E-2</v>
      </c>
      <c r="R392">
        <v>0.20015757595730499</v>
      </c>
      <c r="S392" s="1" t="str">
        <f>VLOOKUP($E392,'Product Naming'!$A$1:$P$58,2,FALSE)</f>
        <v>3-Methyl-1-Pentanol</v>
      </c>
      <c r="T392" s="1" t="str">
        <f>VLOOKUP($E392,'Product Naming'!$A$1:$P$58,3,FALSE)</f>
        <v>3-Methyl-1-pentanol</v>
      </c>
      <c r="U392" s="1" t="str">
        <f>VLOOKUP($E392,'Product Naming'!$A$1:$P$58,4,FALSE)</f>
        <v>A</v>
      </c>
      <c r="V392" s="1" t="str">
        <f>VLOOKUP($E392,'Product Naming'!$A$1:$P$58,5,FALSE)</f>
        <v>C6H14O</v>
      </c>
      <c r="W392" s="1">
        <f>VLOOKUP($E392,'Product Naming'!$A$1:$P$58,6,FALSE)</f>
        <v>6</v>
      </c>
      <c r="X392" s="1">
        <f>VLOOKUP($E392,'Product Naming'!$A$1:$P$58,7,FALSE)</f>
        <v>14</v>
      </c>
      <c r="Y392" s="1">
        <f>VLOOKUP($E392,'Product Naming'!$A$1:$P$58,8,FALSE)</f>
        <v>1</v>
      </c>
      <c r="Z392" s="1">
        <f>VLOOKUP($E392,'Product Naming'!$A$1:$P$58,9,FALSE)</f>
        <v>0</v>
      </c>
      <c r="AA392" s="1">
        <f>VLOOKUP($E392,'Product Naming'!$A$1:$P$58,10,FALSE)</f>
        <v>0</v>
      </c>
      <c r="AB392" s="29">
        <f>VLOOKUP($E392,'Product Naming'!$A$1:$P$58,11,FALSE)</f>
        <v>6</v>
      </c>
      <c r="AC392" s="3">
        <f>VLOOKUP($E392,'Product Naming'!$A$1:$P$58,12,FALSE)</f>
        <v>102.17295999999999</v>
      </c>
      <c r="AD392" s="1">
        <f>VLOOKUP($E392,'Product Naming'!$A$1:$P$58,13,FALSE)</f>
        <v>153</v>
      </c>
      <c r="AE392" s="1" t="str">
        <f>VLOOKUP($E392,'Product Naming'!$A$1:$P$58,14,FALSE)</f>
        <v>Alcohol</v>
      </c>
      <c r="AF392" s="1" t="str">
        <f>VLOOKUP($E392,'Product Naming'!$A$1:$P$58,15,FALSE)</f>
        <v>Oxaloacetate</v>
      </c>
      <c r="AG392" s="30" t="str">
        <f>VLOOKUP($E392,'Product Naming'!$A$1:$P$58,16,FALSE)</f>
        <v>Proton symporter</v>
      </c>
      <c r="AH392" s="3" t="str">
        <f>VLOOKUP($E392,'Product Naming'!$A$1:$Q$58,17,FALSE)</f>
        <v>3mptoh_c</v>
      </c>
      <c r="AI392" s="1">
        <f>VLOOKUP($E392,'Product Parameters'!$A$2:$D$59,2,FALSE)</f>
        <v>1</v>
      </c>
      <c r="AJ392" s="1">
        <f>VLOOKUP($E392,'Product Parameters'!$A$2:$D$59,3,FALSE)</f>
        <v>0</v>
      </c>
      <c r="AK392" s="1">
        <f>VLOOKUP($E392,'Product Parameters'!$A$2:$D$59,4,FALSE)</f>
        <v>0.12</v>
      </c>
      <c r="AL392" s="1">
        <f>VLOOKUP($E392,'Product Parameters'!$A$2:$E$59,5,FALSE)</f>
        <v>61.7</v>
      </c>
      <c r="AM392" s="1">
        <f>VLOOKUP($E392,'Product Parameters'!$A$2:$F$59,6,FALSE)</f>
        <v>6</v>
      </c>
      <c r="AN392" s="1">
        <f>VLOOKUP($C392,'Substrate Heating'!$A$2:$C$33,3,FALSE)</f>
        <v>280.09700000000004</v>
      </c>
      <c r="AO392" s="1">
        <f>VLOOKUP($C392,'Substrate Heating'!$A$2:$B$33,2,FALSE)</f>
        <v>10</v>
      </c>
      <c r="AP392" s="1">
        <f>VLOOKUP($C392,'Substrate Heating'!$A$2:$M$33,13,FALSE)</f>
        <v>2</v>
      </c>
      <c r="AQ392" s="1">
        <f>VLOOKUP($C392,'Substrate Heating'!$A$2:$M$33,8,FALSE)</f>
        <v>1</v>
      </c>
      <c r="AR392" s="1">
        <f t="shared" si="6"/>
        <v>0.32923076923076999</v>
      </c>
    </row>
    <row r="393" spans="1:44" x14ac:dyDescent="0.2">
      <c r="A393" s="17" t="s">
        <v>323</v>
      </c>
      <c r="B393" s="18" t="s">
        <v>324</v>
      </c>
      <c r="C393" t="s">
        <v>328</v>
      </c>
      <c r="D393" s="19" t="s">
        <v>326</v>
      </c>
      <c r="E393" t="s">
        <v>124</v>
      </c>
      <c r="F393" t="s">
        <v>125</v>
      </c>
      <c r="G393">
        <v>-10</v>
      </c>
      <c r="H393">
        <v>0</v>
      </c>
      <c r="I393">
        <v>-10</v>
      </c>
      <c r="J393">
        <v>0.45</v>
      </c>
      <c r="K393">
        <v>-10</v>
      </c>
      <c r="L393">
        <v>0</v>
      </c>
      <c r="M393">
        <v>-10</v>
      </c>
      <c r="N393">
        <v>0</v>
      </c>
      <c r="O393">
        <v>0.84651162790697698</v>
      </c>
      <c r="P393"/>
      <c r="Q393">
        <v>8.4651162790697704E-2</v>
      </c>
      <c r="R393">
        <v>0.20029209302325601</v>
      </c>
      <c r="S393" s="1" t="str">
        <f>VLOOKUP($E393,'Product Naming'!$A$1:$P$58,2,FALSE)</f>
        <v>Acrylate-PW1</v>
      </c>
      <c r="T393" s="1" t="str">
        <f>VLOOKUP($E393,'Product Naming'!$A$1:$P$58,3,FALSE)</f>
        <v>Acrylate (PW1)</v>
      </c>
      <c r="U393" s="1" t="str">
        <f>VLOOKUP($E393,'Product Naming'!$A$1:$P$58,4,FALSE)</f>
        <v>A</v>
      </c>
      <c r="V393" s="1" t="str">
        <f>VLOOKUP($E393,'Product Naming'!$A$1:$P$58,5,FALSE)</f>
        <v>C3H3O2</v>
      </c>
      <c r="W393" s="1">
        <f>VLOOKUP($E393,'Product Naming'!$A$1:$P$58,6,FALSE)</f>
        <v>3</v>
      </c>
      <c r="X393" s="1">
        <f>VLOOKUP($E393,'Product Naming'!$A$1:$P$58,7,FALSE)</f>
        <v>3</v>
      </c>
      <c r="Y393" s="1">
        <f>VLOOKUP($E393,'Product Naming'!$A$1:$P$58,8,FALSE)</f>
        <v>2</v>
      </c>
      <c r="Z393" s="1">
        <f>VLOOKUP($E393,'Product Naming'!$A$1:$P$58,9,FALSE)</f>
        <v>0</v>
      </c>
      <c r="AA393" s="1">
        <f>VLOOKUP($E393,'Product Naming'!$A$1:$P$58,10,FALSE)</f>
        <v>-1</v>
      </c>
      <c r="AB393" s="29">
        <f>VLOOKUP($E393,'Product Naming'!$A$1:$P$58,11,FALSE)</f>
        <v>3.6666666666666665</v>
      </c>
      <c r="AC393" s="3">
        <f>VLOOKUP($E393,'Product Naming'!$A$1:$P$58,12,FALSE)</f>
        <v>71.053619999999995</v>
      </c>
      <c r="AD393" s="1">
        <f>VLOOKUP($E393,'Product Naming'!$A$1:$P$58,13,FALSE)</f>
        <v>80</v>
      </c>
      <c r="AE393" s="1" t="str">
        <f>VLOOKUP($E393,'Product Naming'!$A$1:$P$58,14,FALSE)</f>
        <v>Carboxylate</v>
      </c>
      <c r="AF393" s="1" t="str">
        <f>VLOOKUP($E393,'Product Naming'!$A$1:$P$58,15,FALSE)</f>
        <v>Glyceraldehyde 3-P</v>
      </c>
      <c r="AG393" s="30" t="str">
        <f>VLOOKUP($E393,'Product Naming'!$A$1:$P$58,16,FALSE)</f>
        <v>Proton symporter</v>
      </c>
      <c r="AH393" s="3" t="str">
        <f>VLOOKUP($E393,'Product Naming'!$A$1:$Q$58,17,FALSE)</f>
        <v>acryl_c</v>
      </c>
      <c r="AI393" s="1">
        <f>VLOOKUP($E393,'Product Parameters'!$A$2:$D$59,2,FALSE)</f>
        <v>1</v>
      </c>
      <c r="AJ393" s="1">
        <f>VLOOKUP($E393,'Product Parameters'!$A$2:$D$59,3,FALSE)</f>
        <v>0</v>
      </c>
      <c r="AK393" s="1">
        <f>VLOOKUP($E393,'Product Parameters'!$A$2:$D$59,4,FALSE)</f>
        <v>0.12</v>
      </c>
      <c r="AL393" s="1">
        <f>VLOOKUP($E393,'Product Parameters'!$A$2:$E$59,5,FALSE)</f>
        <v>53.1</v>
      </c>
      <c r="AM393" s="1">
        <f>VLOOKUP($E393,'Product Parameters'!$A$2:$F$59,6,FALSE)</f>
        <v>3</v>
      </c>
      <c r="AN393" s="1">
        <f>VLOOKUP($C393,'Substrate Heating'!$A$2:$C$33,3,FALSE)</f>
        <v>262.39999999999998</v>
      </c>
      <c r="AO393" s="1">
        <f>VLOOKUP($C393,'Substrate Heating'!$A$2:$B$33,2,FALSE)</f>
        <v>17.478546483008707</v>
      </c>
      <c r="AP393" s="1">
        <f>VLOOKUP($C393,'Substrate Heating'!$A$2:$M$33,13,FALSE)</f>
        <v>1</v>
      </c>
      <c r="AQ393" s="1">
        <f>VLOOKUP($C393,'Substrate Heating'!$A$2:$M$33,8,FALSE)</f>
        <v>0.5</v>
      </c>
      <c r="AR393" s="1">
        <f t="shared" si="6"/>
        <v>0.50790697674418617</v>
      </c>
    </row>
    <row r="394" spans="1:44" x14ac:dyDescent="0.2">
      <c r="A394" s="17" t="s">
        <v>323</v>
      </c>
      <c r="B394" s="18" t="s">
        <v>324</v>
      </c>
      <c r="C394" t="s">
        <v>327</v>
      </c>
      <c r="D394" s="19" t="s">
        <v>326</v>
      </c>
      <c r="E394" t="s">
        <v>209</v>
      </c>
      <c r="F394" t="s">
        <v>210</v>
      </c>
      <c r="G394">
        <v>-10</v>
      </c>
      <c r="H394">
        <v>0</v>
      </c>
      <c r="I394">
        <v>-5</v>
      </c>
      <c r="J394">
        <v>0.45</v>
      </c>
      <c r="K394">
        <v>-10</v>
      </c>
      <c r="L394">
        <v>0</v>
      </c>
      <c r="M394">
        <v>-5</v>
      </c>
      <c r="N394">
        <v>2.84</v>
      </c>
      <c r="O394">
        <v>0.68000000000000105</v>
      </c>
      <c r="P394"/>
      <c r="Q394">
        <v>6.8000000000000102E-2</v>
      </c>
      <c r="R394">
        <v>0.20172202343211601</v>
      </c>
      <c r="S394" s="1" t="str">
        <f>VLOOKUP($E394,'Product Naming'!$A$1:$P$58,2,FALSE)</f>
        <v>GammaButyrolactone</v>
      </c>
      <c r="T394" s="1" t="str">
        <f>VLOOKUP($E394,'Product Naming'!$A$1:$P$58,3,FALSE)</f>
        <v>Gamma butyrolactone</v>
      </c>
      <c r="U394" s="1" t="str">
        <f>VLOOKUP($E394,'Product Naming'!$A$1:$P$58,4,FALSE)</f>
        <v>A</v>
      </c>
      <c r="V394" s="1" t="str">
        <f>VLOOKUP($E394,'Product Naming'!$A$1:$P$58,5,FALSE)</f>
        <v>C4H6O2</v>
      </c>
      <c r="W394" s="1">
        <f>VLOOKUP($E394,'Product Naming'!$A$1:$P$58,6,FALSE)</f>
        <v>4</v>
      </c>
      <c r="X394" s="1">
        <f>VLOOKUP($E394,'Product Naming'!$A$1:$P$58,7,FALSE)</f>
        <v>6</v>
      </c>
      <c r="Y394" s="1">
        <f>VLOOKUP($E394,'Product Naming'!$A$1:$P$58,8,FALSE)</f>
        <v>2</v>
      </c>
      <c r="Z394" s="1">
        <f>VLOOKUP($E394,'Product Naming'!$A$1:$P$58,9,FALSE)</f>
        <v>0</v>
      </c>
      <c r="AA394" s="1">
        <f>VLOOKUP($E394,'Product Naming'!$A$1:$P$58,10,FALSE)</f>
        <v>0</v>
      </c>
      <c r="AB394" s="29">
        <f>VLOOKUP($E394,'Product Naming'!$A$1:$P$58,11,FALSE)</f>
        <v>4.5</v>
      </c>
      <c r="AC394" s="3">
        <f>VLOOKUP($E394,'Product Naming'!$A$1:$P$58,12,FALSE)</f>
        <v>86.08784</v>
      </c>
      <c r="AD394" s="1">
        <f>VLOOKUP($E394,'Product Naming'!$A$1:$P$58,13,FALSE)</f>
        <v>204</v>
      </c>
      <c r="AE394" s="1" t="str">
        <f>VLOOKUP($E394,'Product Naming'!$A$1:$P$58,14,FALSE)</f>
        <v>Lactone (cyclic ester)</v>
      </c>
      <c r="AF394" s="1" t="str">
        <f>VLOOKUP($E394,'Product Naming'!$A$1:$P$58,15,FALSE)</f>
        <v>aKG</v>
      </c>
      <c r="AG394" s="30" t="str">
        <f>VLOOKUP($E394,'Product Naming'!$A$1:$P$58,16,FALSE)</f>
        <v>Proton symporter</v>
      </c>
      <c r="AH394" s="3" t="str">
        <f>VLOOKUP($E394,'Product Naming'!$A$1:$Q$58,17,FALSE)</f>
        <v>gblt_c</v>
      </c>
      <c r="AI394" s="1">
        <f>VLOOKUP($E394,'Product Parameters'!$A$2:$D$59,2,FALSE)</f>
        <v>1</v>
      </c>
      <c r="AJ394" s="1">
        <f>VLOOKUP($E394,'Product Parameters'!$A$2:$D$59,3,FALSE)</f>
        <v>0</v>
      </c>
      <c r="AK394" s="1">
        <f>VLOOKUP($E394,'Product Parameters'!$A$2:$D$59,4,FALSE)</f>
        <v>0.12</v>
      </c>
      <c r="AL394" s="1">
        <f>VLOOKUP($E394,'Product Parameters'!$A$2:$E$59,5,FALSE)</f>
        <v>0</v>
      </c>
      <c r="AM394" s="1">
        <f>VLOOKUP($E394,'Product Parameters'!$A$2:$F$59,6,FALSE)</f>
        <v>4</v>
      </c>
      <c r="AN394" s="1">
        <f>VLOOKUP($C394,'Substrate Heating'!$A$2:$C$33,3,FALSE)</f>
        <v>269.26666666666665</v>
      </c>
      <c r="AO394" s="1">
        <f>VLOOKUP($C394,'Substrate Heating'!$A$2:$B$33,2,FALSE)</f>
        <v>13.919167510409219</v>
      </c>
      <c r="AP394" s="1">
        <f>VLOOKUP($C394,'Substrate Heating'!$A$2:$M$33,13,FALSE)</f>
        <v>1.3333333333333333</v>
      </c>
      <c r="AQ394" s="1">
        <f>VLOOKUP($C394,'Substrate Heating'!$A$2:$M$33,8,FALSE)</f>
        <v>0.66666666666666663</v>
      </c>
      <c r="AR394" s="1">
        <f t="shared" si="6"/>
        <v>0.40800000000000064</v>
      </c>
    </row>
    <row r="395" spans="1:44" x14ac:dyDescent="0.2">
      <c r="A395" s="8" t="s">
        <v>816</v>
      </c>
      <c r="B395" s="18" t="s">
        <v>324</v>
      </c>
      <c r="C395" t="s">
        <v>815</v>
      </c>
      <c r="D395" s="19" t="s">
        <v>326</v>
      </c>
      <c r="E395" t="s">
        <v>301</v>
      </c>
      <c r="F395" t="s">
        <v>302</v>
      </c>
      <c r="G395">
        <v>-10</v>
      </c>
      <c r="H395">
        <v>0</v>
      </c>
      <c r="I395">
        <v>0</v>
      </c>
      <c r="J395">
        <v>0.45</v>
      </c>
      <c r="K395">
        <v>28</v>
      </c>
      <c r="L395">
        <v>0</v>
      </c>
      <c r="M395">
        <v>0</v>
      </c>
      <c r="N395">
        <v>28</v>
      </c>
      <c r="O395">
        <v>4</v>
      </c>
      <c r="P395"/>
      <c r="Q395">
        <v>0.14285714299999999</v>
      </c>
      <c r="R395">
        <v>0.20183466799999999</v>
      </c>
      <c r="S395" s="1" t="str">
        <f>VLOOKUP($E395,'Product Naming'!$A$1:$P$58,2,FALSE)</f>
        <v>Propane-PW1</v>
      </c>
      <c r="T395" s="1" t="str">
        <f>VLOOKUP($E395,'Product Naming'!$A$1:$P$58,3,FALSE)</f>
        <v>Propane (PW1)</v>
      </c>
      <c r="U395" s="1" t="str">
        <f>VLOOKUP($E395,'Product Naming'!$A$1:$P$58,4,FALSE)</f>
        <v>E</v>
      </c>
      <c r="V395" s="1" t="str">
        <f>VLOOKUP($E395,'Product Naming'!$A$1:$P$58,5,FALSE)</f>
        <v>C3H8</v>
      </c>
      <c r="W395" s="1">
        <f>VLOOKUP($E395,'Product Naming'!$A$1:$P$58,6,FALSE)</f>
        <v>3</v>
      </c>
      <c r="X395" s="1">
        <f>VLOOKUP($E395,'Product Naming'!$A$1:$P$58,7,FALSE)</f>
        <v>8</v>
      </c>
      <c r="Y395" s="1">
        <f>VLOOKUP($E395,'Product Naming'!$A$1:$P$58,8,FALSE)</f>
        <v>0</v>
      </c>
      <c r="Z395" s="1">
        <f>VLOOKUP($E395,'Product Naming'!$A$1:$P$58,9,FALSE)</f>
        <v>0</v>
      </c>
      <c r="AA395" s="1">
        <f>VLOOKUP($E395,'Product Naming'!$A$1:$P$58,10,FALSE)</f>
        <v>0</v>
      </c>
      <c r="AB395" s="29">
        <f>VLOOKUP($E395,'Product Naming'!$A$1:$P$58,11,FALSE)</f>
        <v>6.666666666666667</v>
      </c>
      <c r="AC395" s="3">
        <f>VLOOKUP($E395,'Product Naming'!$A$1:$P$58,12,FALSE)</f>
        <v>44.094819999999999</v>
      </c>
      <c r="AD395" s="1">
        <f>VLOOKUP($E395,'Product Naming'!$A$1:$P$58,13,FALSE)</f>
        <v>-42</v>
      </c>
      <c r="AE395" s="1" t="str">
        <f>VLOOKUP($E395,'Product Naming'!$A$1:$P$58,14,FALSE)</f>
        <v>Hydrocarbon</v>
      </c>
      <c r="AF395" s="1" t="str">
        <f>VLOOKUP($E395,'Product Naming'!$A$1:$P$58,15,FALSE)</f>
        <v>Acetyl-CoA</v>
      </c>
      <c r="AG395" s="30" t="str">
        <f>VLOOKUP($E395,'Product Naming'!$A$1:$P$58,16,FALSE)</f>
        <v>Diffusion</v>
      </c>
      <c r="AH395" s="3" t="str">
        <f>VLOOKUP($E395,'Product Naming'!$A$1:$Q$58,17,FALSE)</f>
        <v>prop_c</v>
      </c>
      <c r="AI395" s="1">
        <f>VLOOKUP($E395,'Product Parameters'!$A$2:$D$59,2,FALSE)</f>
        <v>0</v>
      </c>
      <c r="AJ395" s="1">
        <f>VLOOKUP($E395,'Product Parameters'!$A$2:$D$59,3,FALSE)</f>
        <v>1</v>
      </c>
      <c r="AK395" s="1">
        <f>VLOOKUP($E395,'Product Parameters'!$A$2:$D$59,4,FALSE)</f>
        <v>0.12</v>
      </c>
      <c r="AL395" s="1">
        <f>VLOOKUP($E395,'Product Parameters'!$A$2:$E$59,5,FALSE)</f>
        <v>0</v>
      </c>
      <c r="AM395" s="1">
        <f>VLOOKUP($E395,'Product Parameters'!$A$2:$F$59,6,FALSE)</f>
        <v>3</v>
      </c>
      <c r="AN395" s="1">
        <f>VLOOKUP($C395,'Substrate Heating'!$A$2:$C$33,3,FALSE)</f>
        <v>226.4</v>
      </c>
      <c r="AO395" s="1">
        <f>VLOOKUP($C395,'Substrate Heating'!$A$2:$B$33,2,FALSE)</f>
        <v>7.2542014450728134</v>
      </c>
      <c r="AP395" s="1">
        <f>VLOOKUP($C395,'Substrate Heating'!$A$2:$M$33,13,FALSE)</f>
        <v>1.6</v>
      </c>
      <c r="AQ395" s="1">
        <f>VLOOKUP($C395,'Substrate Heating'!$A$2:$M$33,8,FALSE)</f>
        <v>1</v>
      </c>
      <c r="AR395" s="1">
        <f t="shared" si="6"/>
        <v>0.428571429</v>
      </c>
    </row>
    <row r="396" spans="1:44" x14ac:dyDescent="0.2">
      <c r="A396" s="8" t="s">
        <v>34</v>
      </c>
      <c r="B396" s="9" t="s">
        <v>35</v>
      </c>
      <c r="C396" s="1" t="s">
        <v>348</v>
      </c>
      <c r="D396" s="23" t="s">
        <v>338</v>
      </c>
      <c r="E396" s="1" t="s">
        <v>306</v>
      </c>
      <c r="F396" s="1" t="s">
        <v>302</v>
      </c>
      <c r="G396" s="1">
        <v>-10</v>
      </c>
      <c r="H396" s="1">
        <v>-20</v>
      </c>
      <c r="I396" s="1" t="s">
        <v>40</v>
      </c>
      <c r="J396" s="1">
        <v>3.15</v>
      </c>
      <c r="K396" s="1">
        <v>-10</v>
      </c>
      <c r="L396" s="1">
        <v>-7.6083333333333396</v>
      </c>
      <c r="M396" s="1" t="s">
        <v>40</v>
      </c>
      <c r="N396" s="1">
        <v>5.5650000000000102</v>
      </c>
      <c r="O396" s="1">
        <v>1.4783333333333399</v>
      </c>
      <c r="Q396" s="1">
        <v>0.14783333333333301</v>
      </c>
      <c r="R396" s="1">
        <v>0.20344783297847599</v>
      </c>
      <c r="S396" s="1" t="str">
        <f>VLOOKUP($E396,'Product Naming'!$A$1:$P$58,2,FALSE)</f>
        <v>Propane-PW2</v>
      </c>
      <c r="T396" s="1" t="str">
        <f>VLOOKUP($E396,'Product Naming'!$A$1:$P$58,3,FALSE)</f>
        <v>Propane (PW2)</v>
      </c>
      <c r="U396" s="1" t="str">
        <f>VLOOKUP($E396,'Product Naming'!$A$1:$P$58,4,FALSE)</f>
        <v>E</v>
      </c>
      <c r="V396" s="1" t="str">
        <f>VLOOKUP($E396,'Product Naming'!$A$1:$P$58,5,FALSE)</f>
        <v>C3H8</v>
      </c>
      <c r="W396" s="1">
        <f>VLOOKUP($E396,'Product Naming'!$A$1:$P$58,6,FALSE)</f>
        <v>3</v>
      </c>
      <c r="X396" s="1">
        <f>VLOOKUP($E396,'Product Naming'!$A$1:$P$58,7,FALSE)</f>
        <v>8</v>
      </c>
      <c r="Y396" s="1">
        <f>VLOOKUP($E396,'Product Naming'!$A$1:$P$58,8,FALSE)</f>
        <v>0</v>
      </c>
      <c r="Z396" s="1">
        <f>VLOOKUP($E396,'Product Naming'!$A$1:$P$58,9,FALSE)</f>
        <v>0</v>
      </c>
      <c r="AA396" s="1">
        <f>VLOOKUP($E396,'Product Naming'!$A$1:$P$58,10,FALSE)</f>
        <v>0</v>
      </c>
      <c r="AB396" s="29">
        <f>VLOOKUP($E396,'Product Naming'!$A$1:$P$58,11,FALSE)</f>
        <v>6.666666666666667</v>
      </c>
      <c r="AC396" s="3">
        <f>VLOOKUP($E396,'Product Naming'!$A$1:$P$58,12,FALSE)</f>
        <v>44.094819999999999</v>
      </c>
      <c r="AD396" s="1">
        <f>VLOOKUP($E396,'Product Naming'!$A$1:$P$58,13,FALSE)</f>
        <v>-42</v>
      </c>
      <c r="AE396" s="1" t="str">
        <f>VLOOKUP($E396,'Product Naming'!$A$1:$P$58,14,FALSE)</f>
        <v>Hydrocarbon</v>
      </c>
      <c r="AF396" s="1" t="str">
        <f>VLOOKUP($E396,'Product Naming'!$A$1:$P$58,15,FALSE)</f>
        <v>Oxaloacetate</v>
      </c>
      <c r="AG396" s="30" t="str">
        <f>VLOOKUP($E396,'Product Naming'!$A$1:$P$58,16,FALSE)</f>
        <v>Diffusion</v>
      </c>
      <c r="AH396" s="3" t="str">
        <f>VLOOKUP($E396,'Product Naming'!$A$1:$Q$58,17,FALSE)</f>
        <v>prop_c</v>
      </c>
      <c r="AI396" s="1">
        <f>VLOOKUP($E396,'Product Parameters'!$A$2:$D$59,2,FALSE)</f>
        <v>0</v>
      </c>
      <c r="AJ396" s="1">
        <f>VLOOKUP($E396,'Product Parameters'!$A$2:$D$59,3,FALSE)</f>
        <v>1</v>
      </c>
      <c r="AK396" s="1">
        <f>VLOOKUP($E396,'Product Parameters'!$A$2:$D$59,4,FALSE)</f>
        <v>0.12</v>
      </c>
      <c r="AL396" s="1">
        <f>VLOOKUP($E396,'Product Parameters'!$A$2:$E$59,5,FALSE)</f>
        <v>0</v>
      </c>
      <c r="AM396" s="1">
        <f>VLOOKUP($E396,'Product Parameters'!$A$2:$F$59,6,FALSE)</f>
        <v>3</v>
      </c>
      <c r="AN396" s="1">
        <f>VLOOKUP($C396,'Substrate Heating'!$A$2:$C$33,3,FALSE)</f>
        <v>638.57832580000002</v>
      </c>
      <c r="AO396" s="1">
        <f>VLOOKUP($C396,'Substrate Heating'!$A$2:$B$33,2,FALSE)</f>
        <v>19.93</v>
      </c>
      <c r="AP396" s="1">
        <f>VLOOKUP($C396,'Substrate Heating'!$A$2:$M$33,13,FALSE)</f>
        <v>6</v>
      </c>
      <c r="AQ396" s="1">
        <f>VLOOKUP($C396,'Substrate Heating'!$A$2:$M$33,8,FALSE)</f>
        <v>1</v>
      </c>
      <c r="AR396" s="1">
        <f t="shared" si="6"/>
        <v>0.44349999999999901</v>
      </c>
    </row>
    <row r="397" spans="1:44" x14ac:dyDescent="0.2">
      <c r="A397" s="8" t="s">
        <v>807</v>
      </c>
      <c r="B397" s="18" t="s">
        <v>324</v>
      </c>
      <c r="C397" t="s">
        <v>365</v>
      </c>
      <c r="D397" s="23" t="s">
        <v>338</v>
      </c>
      <c r="E397" t="s">
        <v>91</v>
      </c>
      <c r="F397" t="s">
        <v>92</v>
      </c>
      <c r="G397">
        <v>-10</v>
      </c>
      <c r="H397">
        <v>0</v>
      </c>
      <c r="I397">
        <v>0</v>
      </c>
      <c r="J397">
        <v>0.45</v>
      </c>
      <c r="K397">
        <v>-10</v>
      </c>
      <c r="L397">
        <v>0</v>
      </c>
      <c r="M397">
        <v>0</v>
      </c>
      <c r="N397">
        <v>0</v>
      </c>
      <c r="O397">
        <v>0.74545454545458301</v>
      </c>
      <c r="P397"/>
      <c r="Q397">
        <v>7.4545454545458301E-2</v>
      </c>
      <c r="R397">
        <v>0.20507832364870601</v>
      </c>
      <c r="S397" s="1" t="str">
        <f>VLOOKUP($E397,'Product Naming'!$A$1:$P$58,2,FALSE)</f>
        <v>2-Methyl-1-Butanol</v>
      </c>
      <c r="T397" s="1" t="str">
        <f>VLOOKUP($E397,'Product Naming'!$A$1:$P$58,3,FALSE)</f>
        <v>2-Methyl-1-butanol</v>
      </c>
      <c r="U397" s="1" t="str">
        <f>VLOOKUP($E397,'Product Naming'!$A$1:$P$58,4,FALSE)</f>
        <v>A</v>
      </c>
      <c r="V397" s="1" t="str">
        <f>VLOOKUP($E397,'Product Naming'!$A$1:$P$58,5,FALSE)</f>
        <v>C5H12O</v>
      </c>
      <c r="W397" s="1">
        <f>VLOOKUP($E397,'Product Naming'!$A$1:$P$58,6,FALSE)</f>
        <v>5</v>
      </c>
      <c r="X397" s="1">
        <f>VLOOKUP($E397,'Product Naming'!$A$1:$P$58,7,FALSE)</f>
        <v>12</v>
      </c>
      <c r="Y397" s="1">
        <f>VLOOKUP($E397,'Product Naming'!$A$1:$P$58,8,FALSE)</f>
        <v>1</v>
      </c>
      <c r="Z397" s="1">
        <f>VLOOKUP($E397,'Product Naming'!$A$1:$P$58,9,FALSE)</f>
        <v>0</v>
      </c>
      <c r="AA397" s="1">
        <f>VLOOKUP($E397,'Product Naming'!$A$1:$P$58,10,FALSE)</f>
        <v>0</v>
      </c>
      <c r="AB397" s="29">
        <f>VLOOKUP($E397,'Product Naming'!$A$1:$P$58,11,FALSE)</f>
        <v>6</v>
      </c>
      <c r="AC397" s="3">
        <f>VLOOKUP($E397,'Product Naming'!$A$1:$P$58,12,FALSE)</f>
        <v>88.14658</v>
      </c>
      <c r="AD397" s="1">
        <f>VLOOKUP($E397,'Product Naming'!$A$1:$P$58,13,FALSE)</f>
        <v>129</v>
      </c>
      <c r="AE397" s="1" t="str">
        <f>VLOOKUP($E397,'Product Naming'!$A$1:$P$58,14,FALSE)</f>
        <v>Alcohol</v>
      </c>
      <c r="AF397" s="1" t="str">
        <f>VLOOKUP($E397,'Product Naming'!$A$1:$P$58,15,FALSE)</f>
        <v>PEP</v>
      </c>
      <c r="AG397" s="30" t="str">
        <f>VLOOKUP($E397,'Product Naming'!$A$1:$P$58,16,FALSE)</f>
        <v>Proton symporter</v>
      </c>
      <c r="AH397" s="3" t="str">
        <f>VLOOKUP($E397,'Product Naming'!$A$1:$Q$58,17,FALSE)</f>
        <v>2mbtoh_c</v>
      </c>
      <c r="AI397" s="1">
        <f>VLOOKUP($E397,'Product Parameters'!$A$2:$D$59,2,FALSE)</f>
        <v>1</v>
      </c>
      <c r="AJ397" s="1">
        <f>VLOOKUP($E397,'Product Parameters'!$A$2:$D$59,3,FALSE)</f>
        <v>0</v>
      </c>
      <c r="AK397" s="1">
        <f>VLOOKUP($E397,'Product Parameters'!$A$2:$D$59,4,FALSE)</f>
        <v>0.12</v>
      </c>
      <c r="AL397" s="1">
        <f>VLOOKUP($E397,'Product Parameters'!$A$2:$E$59,5,FALSE)</f>
        <v>54.6</v>
      </c>
      <c r="AM397" s="1">
        <f>VLOOKUP($E397,'Product Parameters'!$A$2:$F$59,6,FALSE)</f>
        <v>5</v>
      </c>
      <c r="AN397" s="1">
        <f>VLOOKUP($C397,'Substrate Heating'!$A$2:$C$33,3,FALSE)</f>
        <v>638.57832580000002</v>
      </c>
      <c r="AO397" s="1">
        <f>VLOOKUP($C397,'Substrate Heating'!$A$2:$B$33,2,FALSE)</f>
        <v>19.93</v>
      </c>
      <c r="AP397" s="1">
        <f>VLOOKUP($C397,'Substrate Heating'!$A$2:$M$33,13,FALSE)</f>
        <v>6</v>
      </c>
      <c r="AQ397" s="1">
        <f>VLOOKUP($C397,'Substrate Heating'!$A$2:$M$33,8,FALSE)</f>
        <v>1</v>
      </c>
      <c r="AR397" s="1">
        <f t="shared" si="6"/>
        <v>0.3727272727272915</v>
      </c>
    </row>
    <row r="398" spans="1:44" x14ac:dyDescent="0.2">
      <c r="A398" s="17" t="s">
        <v>323</v>
      </c>
      <c r="B398" s="18" t="s">
        <v>324</v>
      </c>
      <c r="C398" t="s">
        <v>333</v>
      </c>
      <c r="D398" s="19" t="s">
        <v>326</v>
      </c>
      <c r="E398" t="s">
        <v>60</v>
      </c>
      <c r="F398" t="s">
        <v>61</v>
      </c>
      <c r="G398">
        <v>-10</v>
      </c>
      <c r="H398">
        <v>0</v>
      </c>
      <c r="I398">
        <v>0</v>
      </c>
      <c r="J398">
        <v>0.45</v>
      </c>
      <c r="K398">
        <v>-10</v>
      </c>
      <c r="L398">
        <v>0</v>
      </c>
      <c r="M398">
        <v>0</v>
      </c>
      <c r="N398">
        <v>6.25</v>
      </c>
      <c r="O398">
        <v>1.25</v>
      </c>
      <c r="P398"/>
      <c r="Q398">
        <v>0.125</v>
      </c>
      <c r="R398">
        <v>0.20664099840102901</v>
      </c>
      <c r="S398" s="1" t="str">
        <f>VLOOKUP($E398,'Product Naming'!$A$1:$P$58,2,FALSE)</f>
        <v>1-3-Propanediol</v>
      </c>
      <c r="T398" s="1" t="str">
        <f>VLOOKUP($E398,'Product Naming'!$A$1:$P$58,3,FALSE)</f>
        <v>1,3-Propanediol</v>
      </c>
      <c r="U398" s="1" t="str">
        <f>VLOOKUP($E398,'Product Naming'!$A$1:$P$58,4,FALSE)</f>
        <v>A</v>
      </c>
      <c r="V398" s="1" t="str">
        <f>VLOOKUP($E398,'Product Naming'!$A$1:$P$58,5,FALSE)</f>
        <v>C3H8O2</v>
      </c>
      <c r="W398" s="1">
        <f>VLOOKUP($E398,'Product Naming'!$A$1:$P$58,6,FALSE)</f>
        <v>3</v>
      </c>
      <c r="X398" s="1">
        <f>VLOOKUP($E398,'Product Naming'!$A$1:$P$58,7,FALSE)</f>
        <v>8</v>
      </c>
      <c r="Y398" s="1">
        <f>VLOOKUP($E398,'Product Naming'!$A$1:$P$58,8,FALSE)</f>
        <v>2</v>
      </c>
      <c r="Z398" s="1">
        <f>VLOOKUP($E398,'Product Naming'!$A$1:$P$58,9,FALSE)</f>
        <v>0</v>
      </c>
      <c r="AA398" s="1">
        <f>VLOOKUP($E398,'Product Naming'!$A$1:$P$58,10,FALSE)</f>
        <v>0</v>
      </c>
      <c r="AB398" s="29">
        <f>VLOOKUP($E398,'Product Naming'!$A$1:$P$58,11,FALSE)</f>
        <v>5.333333333333333</v>
      </c>
      <c r="AC398" s="3">
        <f>VLOOKUP($E398,'Product Naming'!$A$1:$P$58,12,FALSE)</f>
        <v>76.092820000000003</v>
      </c>
      <c r="AD398" s="1">
        <f>VLOOKUP($E398,'Product Naming'!$A$1:$P$58,13,FALSE)</f>
        <v>213</v>
      </c>
      <c r="AE398" s="1" t="str">
        <f>VLOOKUP($E398,'Product Naming'!$A$1:$P$58,14,FALSE)</f>
        <v>Diol</v>
      </c>
      <c r="AF398" s="1" t="str">
        <f>VLOOKUP($E398,'Product Naming'!$A$1:$P$58,15,FALSE)</f>
        <v>Glyceraldehyde 3-P</v>
      </c>
      <c r="AG398" s="30" t="str">
        <f>VLOOKUP($E398,'Product Naming'!$A$1:$P$58,16,FALSE)</f>
        <v>Proton symporter</v>
      </c>
      <c r="AH398" s="3" t="str">
        <f>VLOOKUP($E398,'Product Naming'!$A$1:$Q$58,17,FALSE)</f>
        <v>13ppd_c</v>
      </c>
      <c r="AI398" s="1">
        <f>VLOOKUP($E398,'Product Parameters'!$A$2:$D$59,2,FALSE)</f>
        <v>1</v>
      </c>
      <c r="AJ398" s="1">
        <f>VLOOKUP($E398,'Product Parameters'!$A$2:$D$59,3,FALSE)</f>
        <v>0</v>
      </c>
      <c r="AK398" s="1">
        <f>VLOOKUP($E398,'Product Parameters'!$A$2:$D$59,4,FALSE)</f>
        <v>0.12</v>
      </c>
      <c r="AL398" s="1">
        <f>VLOOKUP($E398,'Product Parameters'!$A$2:$E$59,5,FALSE)</f>
        <v>70</v>
      </c>
      <c r="AM398" s="1">
        <f>VLOOKUP($E398,'Product Parameters'!$A$2:$F$59,6,FALSE)</f>
        <v>3</v>
      </c>
      <c r="AN398" s="1">
        <f>VLOOKUP($C398,'Substrate Heating'!$A$2:$C$33,3,FALSE)</f>
        <v>247.59097</v>
      </c>
      <c r="AO398" s="1">
        <f>VLOOKUP($C398,'Substrate Heating'!$A$2:$B$33,2,FALSE)</f>
        <v>5.5</v>
      </c>
      <c r="AP398" s="1">
        <f>VLOOKUP($C398,'Substrate Heating'!$A$2:$M$33,13,FALSE)</f>
        <v>1</v>
      </c>
      <c r="AQ398" s="1">
        <f>VLOOKUP($C398,'Substrate Heating'!$A$2:$M$33,8,FALSE)</f>
        <v>1</v>
      </c>
      <c r="AR398" s="1">
        <f t="shared" si="6"/>
        <v>0.375</v>
      </c>
    </row>
    <row r="399" spans="1:44" x14ac:dyDescent="0.2">
      <c r="A399" s="17" t="s">
        <v>323</v>
      </c>
      <c r="B399" s="18" t="s">
        <v>324</v>
      </c>
      <c r="C399" t="s">
        <v>329</v>
      </c>
      <c r="D399" s="19" t="s">
        <v>326</v>
      </c>
      <c r="E399" t="s">
        <v>247</v>
      </c>
      <c r="F399" t="s">
        <v>248</v>
      </c>
      <c r="G399">
        <v>-10</v>
      </c>
      <c r="H399">
        <v>0</v>
      </c>
      <c r="I399">
        <v>-20</v>
      </c>
      <c r="J399">
        <v>0.45</v>
      </c>
      <c r="K399">
        <v>-10</v>
      </c>
      <c r="L399">
        <v>0</v>
      </c>
      <c r="M399">
        <v>-19.033333333333299</v>
      </c>
      <c r="N399">
        <v>0</v>
      </c>
      <c r="O399">
        <v>0.96666666666666701</v>
      </c>
      <c r="P399"/>
      <c r="Q399">
        <v>9.6666666666666706E-2</v>
      </c>
      <c r="R399" s="20">
        <v>0.20670610751724999</v>
      </c>
      <c r="S399" s="1" t="str">
        <f>VLOOKUP($E399,'Product Naming'!$A$1:$P$58,2,FALSE)</f>
        <v>Isoprene</v>
      </c>
      <c r="T399" s="1" t="str">
        <f>VLOOKUP($E399,'Product Naming'!$A$1:$P$58,3,FALSE)</f>
        <v>Isoprene</v>
      </c>
      <c r="U399" s="1" t="str">
        <f>VLOOKUP($E399,'Product Naming'!$A$1:$P$58,4,FALSE)</f>
        <v>E</v>
      </c>
      <c r="V399" s="1" t="str">
        <f>VLOOKUP($E399,'Product Naming'!$A$1:$P$58,5,FALSE)</f>
        <v>C5H8</v>
      </c>
      <c r="W399" s="1">
        <f>VLOOKUP($E399,'Product Naming'!$A$1:$P$58,6,FALSE)</f>
        <v>5</v>
      </c>
      <c r="X399" s="1">
        <f>VLOOKUP($E399,'Product Naming'!$A$1:$P$58,7,FALSE)</f>
        <v>8</v>
      </c>
      <c r="Y399" s="1">
        <f>VLOOKUP($E399,'Product Naming'!$A$1:$P$58,8,FALSE)</f>
        <v>0</v>
      </c>
      <c r="Z399" s="1">
        <f>VLOOKUP($E399,'Product Naming'!$A$1:$P$58,9,FALSE)</f>
        <v>0</v>
      </c>
      <c r="AA399" s="1">
        <f>VLOOKUP($E399,'Product Naming'!$A$1:$P$58,10,FALSE)</f>
        <v>0</v>
      </c>
      <c r="AB399" s="29">
        <f>VLOOKUP($E399,'Product Naming'!$A$1:$P$58,11,FALSE)</f>
        <v>5.6</v>
      </c>
      <c r="AC399" s="3">
        <f>VLOOKUP($E399,'Product Naming'!$A$1:$P$58,12,FALSE)</f>
        <v>68.116219999999998</v>
      </c>
      <c r="AD399" s="1">
        <f>VLOOKUP($E399,'Product Naming'!$A$1:$P$58,13,FALSE)</f>
        <v>34.07</v>
      </c>
      <c r="AE399" s="1" t="str">
        <f>VLOOKUP($E399,'Product Naming'!$A$1:$P$58,14,FALSE)</f>
        <v>Hydrocarbon</v>
      </c>
      <c r="AF399" s="1" t="str">
        <f>VLOOKUP($E399,'Product Naming'!$A$1:$P$58,15,FALSE)</f>
        <v>Acetyl-CoA</v>
      </c>
      <c r="AG399" s="30" t="str">
        <f>VLOOKUP($E399,'Product Naming'!$A$1:$P$58,16,FALSE)</f>
        <v>Diffusion</v>
      </c>
      <c r="AH399" s="3" t="str">
        <f>VLOOKUP($E399,'Product Naming'!$A$1:$Q$58,17,FALSE)</f>
        <v>iprene_c</v>
      </c>
      <c r="AI399" s="1">
        <f>VLOOKUP($E399,'Product Parameters'!$A$2:$D$59,2,FALSE)</f>
        <v>0</v>
      </c>
      <c r="AJ399" s="1">
        <f>VLOOKUP($E399,'Product Parameters'!$A$2:$D$59,3,FALSE)</f>
        <v>1</v>
      </c>
      <c r="AK399" s="1">
        <f>VLOOKUP($E399,'Product Parameters'!$A$2:$D$59,4,FALSE)</f>
        <v>0.12</v>
      </c>
      <c r="AL399" s="1">
        <f>VLOOKUP($E399,'Product Parameters'!$A$2:$E$59,5,FALSE)</f>
        <v>26.4</v>
      </c>
      <c r="AM399" s="1">
        <f>VLOOKUP($E399,'Product Parameters'!$A$2:$F$59,6,FALSE)</f>
        <v>5</v>
      </c>
      <c r="AN399" s="1">
        <f>VLOOKUP($C399,'Substrate Heating'!$A$2:$C$33,3,FALSE)</f>
        <v>255.53333333333336</v>
      </c>
      <c r="AO399" s="1">
        <f>VLOOKUP($C399,'Substrate Heating'!$A$2:$B$33,2,FALSE)</f>
        <v>23.925550527978785</v>
      </c>
      <c r="AP399" s="1">
        <f>VLOOKUP($C399,'Substrate Heating'!$A$2:$M$33,13,FALSE)</f>
        <v>0.66666666666666663</v>
      </c>
      <c r="AQ399" s="1">
        <f>VLOOKUP($C399,'Substrate Heating'!$A$2:$M$33,8,FALSE)</f>
        <v>0.33333333333333331</v>
      </c>
      <c r="AR399" s="1">
        <f t="shared" si="6"/>
        <v>1.4500000000000006</v>
      </c>
    </row>
    <row r="400" spans="1:44" x14ac:dyDescent="0.2">
      <c r="A400" s="17" t="s">
        <v>323</v>
      </c>
      <c r="B400" s="18" t="s">
        <v>324</v>
      </c>
      <c r="C400" t="s">
        <v>333</v>
      </c>
      <c r="D400" s="19" t="s">
        <v>326</v>
      </c>
      <c r="E400" t="s">
        <v>254</v>
      </c>
      <c r="F400" t="s">
        <v>255</v>
      </c>
      <c r="G400">
        <v>-10</v>
      </c>
      <c r="H400">
        <v>0</v>
      </c>
      <c r="I400">
        <v>0</v>
      </c>
      <c r="J400">
        <v>0.45</v>
      </c>
      <c r="K400">
        <v>-10</v>
      </c>
      <c r="L400">
        <v>0</v>
      </c>
      <c r="M400">
        <v>0</v>
      </c>
      <c r="N400">
        <v>4.6245614035087703</v>
      </c>
      <c r="O400">
        <v>0.75087719298245603</v>
      </c>
      <c r="P400"/>
      <c r="Q400">
        <v>7.5087719298245606E-2</v>
      </c>
      <c r="R400">
        <v>0.208937285206864</v>
      </c>
      <c r="S400" s="1" t="str">
        <f>VLOOKUP($E400,'Product Naming'!$A$1:$P$58,2,FALSE)</f>
        <v>Itaconate</v>
      </c>
      <c r="T400" s="1" t="str">
        <f>VLOOKUP($E400,'Product Naming'!$A$1:$P$58,3,FALSE)</f>
        <v>Itaconate</v>
      </c>
      <c r="U400" s="1" t="str">
        <f>VLOOKUP($E400,'Product Naming'!$A$1:$P$58,4,FALSE)</f>
        <v>E</v>
      </c>
      <c r="V400" s="1" t="str">
        <f>VLOOKUP($E400,'Product Naming'!$A$1:$P$58,5,FALSE)</f>
        <v>C5H4O4</v>
      </c>
      <c r="W400" s="1">
        <f>VLOOKUP($E400,'Product Naming'!$A$1:$P$58,6,FALSE)</f>
        <v>5</v>
      </c>
      <c r="X400" s="1">
        <f>VLOOKUP($E400,'Product Naming'!$A$1:$P$58,7,FALSE)</f>
        <v>4</v>
      </c>
      <c r="Y400" s="1">
        <f>VLOOKUP($E400,'Product Naming'!$A$1:$P$58,8,FALSE)</f>
        <v>4</v>
      </c>
      <c r="Z400" s="1">
        <f>VLOOKUP($E400,'Product Naming'!$A$1:$P$58,9,FALSE)</f>
        <v>0</v>
      </c>
      <c r="AA400" s="1">
        <f>VLOOKUP($E400,'Product Naming'!$A$1:$P$58,10,FALSE)</f>
        <v>-2</v>
      </c>
      <c r="AB400" s="29">
        <f>VLOOKUP($E400,'Product Naming'!$A$1:$P$58,11,FALSE)</f>
        <v>3.2</v>
      </c>
      <c r="AC400" s="3">
        <f>VLOOKUP($E400,'Product Naming'!$A$1:$P$58,12,FALSE)</f>
        <v>128.08086</v>
      </c>
      <c r="AD400" s="1">
        <f>VLOOKUP($E400,'Product Naming'!$A$1:$P$58,13,FALSE)</f>
        <v>381</v>
      </c>
      <c r="AE400" s="1" t="str">
        <f>VLOOKUP($E400,'Product Naming'!$A$1:$P$58,14,FALSE)</f>
        <v>Dicarboxylate</v>
      </c>
      <c r="AF400" s="1" t="str">
        <f>VLOOKUP($E400,'Product Naming'!$A$1:$P$58,15,FALSE)</f>
        <v>Acetyl-CoA + Oxaloacetate</v>
      </c>
      <c r="AG400" s="30" t="str">
        <f>VLOOKUP($E400,'Product Naming'!$A$1:$P$58,16,FALSE)</f>
        <v>Proton symporter</v>
      </c>
      <c r="AH400" s="3" t="str">
        <f>VLOOKUP($E400,'Product Naming'!$A$1:$Q$58,17,FALSE)</f>
        <v>itacon_c</v>
      </c>
      <c r="AI400" s="1">
        <f>VLOOKUP($E400,'Product Parameters'!$A$2:$D$59,2,FALSE)</f>
        <v>1</v>
      </c>
      <c r="AJ400" s="1">
        <f>VLOOKUP($E400,'Product Parameters'!$A$2:$D$59,3,FALSE)</f>
        <v>0</v>
      </c>
      <c r="AK400" s="1">
        <f>VLOOKUP($E400,'Product Parameters'!$A$2:$D$59,4,FALSE)</f>
        <v>0.12</v>
      </c>
      <c r="AL400" s="1">
        <f>VLOOKUP($E400,'Product Parameters'!$A$2:$E$59,5,FALSE)</f>
        <v>40.65</v>
      </c>
      <c r="AM400" s="1">
        <f>VLOOKUP($E400,'Product Parameters'!$A$2:$F$59,6,FALSE)</f>
        <v>5</v>
      </c>
      <c r="AN400" s="1">
        <f>VLOOKUP($C400,'Substrate Heating'!$A$2:$C$33,3,FALSE)</f>
        <v>247.59097</v>
      </c>
      <c r="AO400" s="1">
        <f>VLOOKUP($C400,'Substrate Heating'!$A$2:$B$33,2,FALSE)</f>
        <v>5.5</v>
      </c>
      <c r="AP400" s="1">
        <f>VLOOKUP($C400,'Substrate Heating'!$A$2:$M$33,13,FALSE)</f>
        <v>1</v>
      </c>
      <c r="AQ400" s="1">
        <f>VLOOKUP($C400,'Substrate Heating'!$A$2:$M$33,8,FALSE)</f>
        <v>1</v>
      </c>
      <c r="AR400" s="1">
        <f t="shared" si="6"/>
        <v>0.37543859649122802</v>
      </c>
    </row>
    <row r="401" spans="1:44" x14ac:dyDescent="0.2">
      <c r="A401" s="17" t="s">
        <v>323</v>
      </c>
      <c r="B401" s="18" t="s">
        <v>324</v>
      </c>
      <c r="C401" t="s">
        <v>336</v>
      </c>
      <c r="D401" s="19" t="s">
        <v>326</v>
      </c>
      <c r="E401" t="s">
        <v>308</v>
      </c>
      <c r="F401" t="s">
        <v>309</v>
      </c>
      <c r="G401">
        <v>-10</v>
      </c>
      <c r="H401">
        <v>0</v>
      </c>
      <c r="I401">
        <v>-20</v>
      </c>
      <c r="J401">
        <v>0.45</v>
      </c>
      <c r="K401">
        <v>-10</v>
      </c>
      <c r="L401">
        <v>0</v>
      </c>
      <c r="M401">
        <v>-15.835897435897399</v>
      </c>
      <c r="N401">
        <v>0</v>
      </c>
      <c r="O401">
        <v>0.59487179487179498</v>
      </c>
      <c r="P401"/>
      <c r="Q401">
        <v>5.9487179487179499E-2</v>
      </c>
      <c r="R401" s="20">
        <v>0.20921954001124601</v>
      </c>
      <c r="S401" s="1" t="str">
        <f>VLOOKUP($E401,'Product Naming'!$A$1:$P$58,2,FALSE)</f>
        <v>Shikimate</v>
      </c>
      <c r="T401" s="1" t="str">
        <f>VLOOKUP($E401,'Product Naming'!$A$1:$P$58,3,FALSE)</f>
        <v>Shikimate</v>
      </c>
      <c r="U401" s="1" t="str">
        <f>VLOOKUP($E401,'Product Naming'!$A$1:$P$58,4,FALSE)</f>
        <v>E</v>
      </c>
      <c r="V401" s="1" t="str">
        <f>VLOOKUP($E401,'Product Naming'!$A$1:$P$58,5,FALSE)</f>
        <v>C7H9O5</v>
      </c>
      <c r="W401" s="1">
        <f>VLOOKUP($E401,'Product Naming'!$A$1:$P$58,6,FALSE)</f>
        <v>7</v>
      </c>
      <c r="X401" s="1">
        <f>VLOOKUP($E401,'Product Naming'!$A$1:$P$58,7,FALSE)</f>
        <v>9</v>
      </c>
      <c r="Y401" s="1">
        <f>VLOOKUP($E401,'Product Naming'!$A$1:$P$58,8,FALSE)</f>
        <v>5</v>
      </c>
      <c r="Z401" s="1">
        <f>VLOOKUP($E401,'Product Naming'!$A$1:$P$58,9,FALSE)</f>
        <v>0</v>
      </c>
      <c r="AA401" s="1">
        <f>VLOOKUP($E401,'Product Naming'!$A$1:$P$58,10,FALSE)</f>
        <v>-1</v>
      </c>
      <c r="AB401" s="29">
        <f>VLOOKUP($E401,'Product Naming'!$A$1:$P$58,11,FALSE)</f>
        <v>3.8571428571428572</v>
      </c>
      <c r="AC401" s="3">
        <f>VLOOKUP($E401,'Product Naming'!$A$1:$P$58,12,FALSE)</f>
        <v>173.14046000000002</v>
      </c>
      <c r="AD401" s="1">
        <f>VLOOKUP($E401,'Product Naming'!$A$1:$P$58,13,FALSE)</f>
        <v>400.5</v>
      </c>
      <c r="AE401" s="1" t="str">
        <f>VLOOKUP($E401,'Product Naming'!$A$1:$P$58,14,FALSE)</f>
        <v>Aromatic + Alcohol + Carboxylate</v>
      </c>
      <c r="AF401" s="1" t="str">
        <f>VLOOKUP($E401,'Product Naming'!$A$1:$P$58,15,FALSE)</f>
        <v>PEP + E4P (Glyceraldehyde 3-P)</v>
      </c>
      <c r="AG401" s="30" t="str">
        <f>VLOOKUP($E401,'Product Naming'!$A$1:$P$58,16,FALSE)</f>
        <v>Proton symporter</v>
      </c>
      <c r="AH401" s="3" t="str">
        <f>VLOOKUP($E401,'Product Naming'!$A$1:$Q$58,17,FALSE)</f>
        <v>skm_c</v>
      </c>
      <c r="AI401" s="1">
        <f>VLOOKUP($E401,'Product Parameters'!$A$2:$D$59,2,FALSE)</f>
        <v>1</v>
      </c>
      <c r="AJ401" s="1">
        <f>VLOOKUP($E401,'Product Parameters'!$A$2:$D$59,3,FALSE)</f>
        <v>0</v>
      </c>
      <c r="AK401" s="1">
        <f>VLOOKUP($E401,'Product Parameters'!$A$2:$D$59,4,FALSE)</f>
        <v>0.12</v>
      </c>
      <c r="AL401" s="1">
        <f>VLOOKUP($E401,'Product Parameters'!$A$2:$E$59,5,FALSE)</f>
        <v>40.65</v>
      </c>
      <c r="AM401" s="1">
        <f>VLOOKUP($E401,'Product Parameters'!$A$2:$F$59,6,FALSE)</f>
        <v>7</v>
      </c>
      <c r="AN401" s="1">
        <f>VLOOKUP($C401,'Substrate Heating'!$A$2:$C$33,3,FALSE)</f>
        <v>245.86666666666667</v>
      </c>
      <c r="AO401" s="1">
        <f>VLOOKUP($C401,'Substrate Heating'!$A$2:$B$33,2,FALSE)</f>
        <v>15.038360459876978</v>
      </c>
      <c r="AP401" s="1">
        <f>VLOOKUP($C401,'Substrate Heating'!$A$2:$M$33,13,FALSE)</f>
        <v>0.33333333333333331</v>
      </c>
      <c r="AQ401" s="1">
        <f>VLOOKUP($C401,'Substrate Heating'!$A$2:$M$33,8,FALSE)</f>
        <v>0.33333333333333331</v>
      </c>
      <c r="AR401" s="1">
        <f t="shared" si="6"/>
        <v>1.2492307692307696</v>
      </c>
    </row>
    <row r="402" spans="1:44" x14ac:dyDescent="0.2">
      <c r="A402" s="8" t="s">
        <v>34</v>
      </c>
      <c r="B402" s="9" t="s">
        <v>35</v>
      </c>
      <c r="C402" s="1" t="s">
        <v>345</v>
      </c>
      <c r="D402" s="10" t="s">
        <v>37</v>
      </c>
      <c r="E402" s="1" t="s">
        <v>306</v>
      </c>
      <c r="F402" s="1" t="s">
        <v>302</v>
      </c>
      <c r="G402" s="1">
        <v>-10</v>
      </c>
      <c r="H402" s="1">
        <v>-20</v>
      </c>
      <c r="I402" s="1" t="s">
        <v>40</v>
      </c>
      <c r="J402" s="1">
        <v>3.15</v>
      </c>
      <c r="K402" s="1">
        <v>-10</v>
      </c>
      <c r="L402" s="1">
        <v>-5.7515923566879001</v>
      </c>
      <c r="M402" s="1" t="s">
        <v>40</v>
      </c>
      <c r="N402" s="1">
        <v>11.4509554140127</v>
      </c>
      <c r="O402" s="1">
        <v>2.84968152866242</v>
      </c>
      <c r="Q402" s="1">
        <v>0.284968152866242</v>
      </c>
      <c r="R402" s="1">
        <v>0.20924564388146</v>
      </c>
      <c r="S402" s="1" t="str">
        <f>VLOOKUP($E402,'Product Naming'!$A$1:$P$58,2,FALSE)</f>
        <v>Propane-PW2</v>
      </c>
      <c r="T402" s="1" t="str">
        <f>VLOOKUP($E402,'Product Naming'!$A$1:$P$58,3,FALSE)</f>
        <v>Propane (PW2)</v>
      </c>
      <c r="U402" s="1" t="str">
        <f>VLOOKUP($E402,'Product Naming'!$A$1:$P$58,4,FALSE)</f>
        <v>E</v>
      </c>
      <c r="V402" s="1" t="str">
        <f>VLOOKUP($E402,'Product Naming'!$A$1:$P$58,5,FALSE)</f>
        <v>C3H8</v>
      </c>
      <c r="W402" s="1">
        <f>VLOOKUP($E402,'Product Naming'!$A$1:$P$58,6,FALSE)</f>
        <v>3</v>
      </c>
      <c r="X402" s="1">
        <f>VLOOKUP($E402,'Product Naming'!$A$1:$P$58,7,FALSE)</f>
        <v>8</v>
      </c>
      <c r="Y402" s="1">
        <f>VLOOKUP($E402,'Product Naming'!$A$1:$P$58,8,FALSE)</f>
        <v>0</v>
      </c>
      <c r="Z402" s="1">
        <f>VLOOKUP($E402,'Product Naming'!$A$1:$P$58,9,FALSE)</f>
        <v>0</v>
      </c>
      <c r="AA402" s="1">
        <f>VLOOKUP($E402,'Product Naming'!$A$1:$P$58,10,FALSE)</f>
        <v>0</v>
      </c>
      <c r="AB402" s="29">
        <f>VLOOKUP($E402,'Product Naming'!$A$1:$P$58,11,FALSE)</f>
        <v>6.666666666666667</v>
      </c>
      <c r="AC402" s="3">
        <f>VLOOKUP($E402,'Product Naming'!$A$1:$P$58,12,FALSE)</f>
        <v>44.094819999999999</v>
      </c>
      <c r="AD402" s="1">
        <f>VLOOKUP($E402,'Product Naming'!$A$1:$P$58,13,FALSE)</f>
        <v>-42</v>
      </c>
      <c r="AE402" s="1" t="str">
        <f>VLOOKUP($E402,'Product Naming'!$A$1:$P$58,14,FALSE)</f>
        <v>Hydrocarbon</v>
      </c>
      <c r="AF402" s="1" t="str">
        <f>VLOOKUP($E402,'Product Naming'!$A$1:$P$58,15,FALSE)</f>
        <v>Oxaloacetate</v>
      </c>
      <c r="AG402" s="30" t="str">
        <f>VLOOKUP($E402,'Product Naming'!$A$1:$P$58,16,FALSE)</f>
        <v>Diffusion</v>
      </c>
      <c r="AH402" s="3" t="str">
        <f>VLOOKUP($E402,'Product Naming'!$A$1:$Q$58,17,FALSE)</f>
        <v>prop_c</v>
      </c>
      <c r="AI402" s="1">
        <f>VLOOKUP($E402,'Product Parameters'!$A$2:$D$59,2,FALSE)</f>
        <v>0</v>
      </c>
      <c r="AJ402" s="1">
        <f>VLOOKUP($E402,'Product Parameters'!$A$2:$D$59,3,FALSE)</f>
        <v>1</v>
      </c>
      <c r="AK402" s="1">
        <f>VLOOKUP($E402,'Product Parameters'!$A$2:$D$59,4,FALSE)</f>
        <v>0.12</v>
      </c>
      <c r="AL402" s="1">
        <f>VLOOKUP($E402,'Product Parameters'!$A$2:$E$59,5,FALSE)</f>
        <v>0</v>
      </c>
      <c r="AM402" s="1">
        <f>VLOOKUP($E402,'Product Parameters'!$A$2:$F$59,6,FALSE)</f>
        <v>3</v>
      </c>
      <c r="AN402" s="1">
        <f>VLOOKUP($C402,'Substrate Heating'!$A$2:$C$33,3,FALSE)</f>
        <v>1020.8629199999999</v>
      </c>
      <c r="AO402" s="1">
        <f>VLOOKUP($C402,'Substrate Heating'!$A$2:$B$33,2,FALSE)</f>
        <v>17</v>
      </c>
      <c r="AP402" s="1">
        <f>VLOOKUP($C402,'Substrate Heating'!$A$2:$M$33,13,FALSE)</f>
        <v>4</v>
      </c>
      <c r="AQ402" s="1">
        <f>VLOOKUP($C402,'Substrate Heating'!$A$2:$M$33,8,FALSE)</f>
        <v>2</v>
      </c>
      <c r="AR402" s="1">
        <f t="shared" si="6"/>
        <v>0.427452229299363</v>
      </c>
    </row>
    <row r="403" spans="1:44" x14ac:dyDescent="0.2">
      <c r="A403" s="17" t="s">
        <v>323</v>
      </c>
      <c r="B403" s="18" t="s">
        <v>324</v>
      </c>
      <c r="C403" t="s">
        <v>329</v>
      </c>
      <c r="D403" s="19" t="s">
        <v>326</v>
      </c>
      <c r="E403" t="s">
        <v>204</v>
      </c>
      <c r="F403" t="s">
        <v>205</v>
      </c>
      <c r="G403">
        <v>-10</v>
      </c>
      <c r="H403">
        <v>0</v>
      </c>
      <c r="I403">
        <v>-20</v>
      </c>
      <c r="J403">
        <v>0.45</v>
      </c>
      <c r="K403">
        <v>-10</v>
      </c>
      <c r="L403">
        <v>0</v>
      </c>
      <c r="M403">
        <v>-19.019718309859101</v>
      </c>
      <c r="N403">
        <v>0</v>
      </c>
      <c r="O403">
        <v>0.32676056338028098</v>
      </c>
      <c r="P403"/>
      <c r="Q403">
        <v>3.2676056338028101E-2</v>
      </c>
      <c r="R403" s="20">
        <v>0.20963556040112999</v>
      </c>
      <c r="S403" s="1" t="str">
        <f>VLOOKUP($E403,'Product Naming'!$A$1:$P$58,2,FALSE)</f>
        <v>Farnesene</v>
      </c>
      <c r="T403" s="1" t="str">
        <f>VLOOKUP($E403,'Product Naming'!$A$1:$P$58,3,FALSE)</f>
        <v>Farnesene</v>
      </c>
      <c r="U403" s="1" t="str">
        <f>VLOOKUP($E403,'Product Naming'!$A$1:$P$58,4,FALSE)</f>
        <v>A</v>
      </c>
      <c r="V403" s="1" t="str">
        <f>VLOOKUP($E403,'Product Naming'!$A$1:$P$58,5,FALSE)</f>
        <v>C15H24</v>
      </c>
      <c r="W403" s="1">
        <f>VLOOKUP($E403,'Product Naming'!$A$1:$P$58,6,FALSE)</f>
        <v>15</v>
      </c>
      <c r="X403" s="1">
        <f>VLOOKUP($E403,'Product Naming'!$A$1:$P$58,7,FALSE)</f>
        <v>24</v>
      </c>
      <c r="Y403" s="1">
        <f>VLOOKUP($E403,'Product Naming'!$A$1:$P$58,8,FALSE)</f>
        <v>0</v>
      </c>
      <c r="Z403" s="1">
        <f>VLOOKUP($E403,'Product Naming'!$A$1:$P$58,9,FALSE)</f>
        <v>0</v>
      </c>
      <c r="AA403" s="1">
        <f>VLOOKUP($E403,'Product Naming'!$A$1:$P$58,10,FALSE)</f>
        <v>0</v>
      </c>
      <c r="AB403" s="29">
        <f>VLOOKUP($E403,'Product Naming'!$A$1:$P$58,11,FALSE)</f>
        <v>5.6</v>
      </c>
      <c r="AC403" s="3">
        <f>VLOOKUP($E403,'Product Naming'!$A$1:$P$58,12,FALSE)</f>
        <v>204.34866000000002</v>
      </c>
      <c r="AD403" s="1" t="str">
        <f>VLOOKUP($E403,'Product Naming'!$A$1:$P$58,13,FALSE)</f>
        <v>260 (A)/272 (B)</v>
      </c>
      <c r="AE403" s="1" t="str">
        <f>VLOOKUP($E403,'Product Naming'!$A$1:$P$58,14,FALSE)</f>
        <v>Hydrocarbon</v>
      </c>
      <c r="AF403" s="1" t="str">
        <f>VLOOKUP($E403,'Product Naming'!$A$1:$P$58,15,FALSE)</f>
        <v>Acetyl-CoA</v>
      </c>
      <c r="AG403" s="30" t="str">
        <f>VLOOKUP($E403,'Product Naming'!$A$1:$P$58,16,FALSE)</f>
        <v>Proton symporter</v>
      </c>
      <c r="AH403" s="3" t="str">
        <f>VLOOKUP($E403,'Product Naming'!$A$1:$Q$58,17,FALSE)</f>
        <v>frene_c</v>
      </c>
      <c r="AI403" s="1">
        <f>VLOOKUP($E403,'Product Parameters'!$A$2:$D$59,2,FALSE)</f>
        <v>1</v>
      </c>
      <c r="AJ403" s="1">
        <f>VLOOKUP($E403,'Product Parameters'!$A$2:$D$59,3,FALSE)</f>
        <v>0</v>
      </c>
      <c r="AK403" s="1">
        <f>VLOOKUP($E403,'Product Parameters'!$A$2:$D$59,4,FALSE)</f>
        <v>0.12</v>
      </c>
      <c r="AL403" s="1">
        <f>VLOOKUP($E403,'Product Parameters'!$A$2:$E$59,5,FALSE)</f>
        <v>0</v>
      </c>
      <c r="AM403" s="1">
        <f>VLOOKUP($E403,'Product Parameters'!$A$2:$F$59,6,FALSE)</f>
        <v>15</v>
      </c>
      <c r="AN403" s="1">
        <f>VLOOKUP($C403,'Substrate Heating'!$A$2:$C$33,3,FALSE)</f>
        <v>255.53333333333336</v>
      </c>
      <c r="AO403" s="1">
        <f>VLOOKUP($C403,'Substrate Heating'!$A$2:$B$33,2,FALSE)</f>
        <v>23.925550527978785</v>
      </c>
      <c r="AP403" s="1">
        <f>VLOOKUP($C403,'Substrate Heating'!$A$2:$M$33,13,FALSE)</f>
        <v>0.66666666666666663</v>
      </c>
      <c r="AQ403" s="1">
        <f>VLOOKUP($C403,'Substrate Heating'!$A$2:$M$33,8,FALSE)</f>
        <v>0.33333333333333331</v>
      </c>
      <c r="AR403" s="1">
        <f t="shared" si="6"/>
        <v>1.4704225352112645</v>
      </c>
    </row>
    <row r="404" spans="1:44" x14ac:dyDescent="0.2">
      <c r="A404" s="17" t="s">
        <v>323</v>
      </c>
      <c r="B404" s="18" t="s">
        <v>324</v>
      </c>
      <c r="C404" t="s">
        <v>329</v>
      </c>
      <c r="D404" s="19" t="s">
        <v>326</v>
      </c>
      <c r="E404" t="s">
        <v>192</v>
      </c>
      <c r="F404" t="s">
        <v>193</v>
      </c>
      <c r="G404">
        <v>-10</v>
      </c>
      <c r="H404">
        <v>0</v>
      </c>
      <c r="I404">
        <v>-20</v>
      </c>
      <c r="J404">
        <v>0.45</v>
      </c>
      <c r="K404">
        <v>-10</v>
      </c>
      <c r="L404">
        <v>0</v>
      </c>
      <c r="M404">
        <v>-16.772173913043499</v>
      </c>
      <c r="N404">
        <v>0</v>
      </c>
      <c r="O404">
        <v>0.40347826086956501</v>
      </c>
      <c r="P404"/>
      <c r="Q404">
        <v>4.0347826086956501E-2</v>
      </c>
      <c r="R404" s="20">
        <v>0.20965280490497301</v>
      </c>
      <c r="S404" s="1" t="str">
        <f>VLOOKUP($E404,'Product Naming'!$A$1:$P$58,2,FALSE)</f>
        <v>Coumaric acid</v>
      </c>
      <c r="T404" s="1" t="str">
        <f>VLOOKUP($E404,'Product Naming'!$A$1:$P$58,3,FALSE)</f>
        <v>Coumaric acid</v>
      </c>
      <c r="U404" s="1" t="str">
        <f>VLOOKUP($E404,'Product Naming'!$A$1:$P$58,4,FALSE)</f>
        <v>E</v>
      </c>
      <c r="V404" s="1" t="str">
        <f>VLOOKUP($E404,'Product Naming'!$A$1:$P$58,5,FALSE)</f>
        <v>C9H7O3</v>
      </c>
      <c r="W404" s="1">
        <f>VLOOKUP($E404,'Product Naming'!$A$1:$P$58,6,FALSE)</f>
        <v>9</v>
      </c>
      <c r="X404" s="1">
        <f>VLOOKUP($E404,'Product Naming'!$A$1:$P$58,7,FALSE)</f>
        <v>7</v>
      </c>
      <c r="Y404" s="1">
        <f>VLOOKUP($E404,'Product Naming'!$A$1:$P$58,8,FALSE)</f>
        <v>3</v>
      </c>
      <c r="Z404" s="1">
        <f>VLOOKUP($E404,'Product Naming'!$A$1:$P$58,9,FALSE)</f>
        <v>0</v>
      </c>
      <c r="AA404" s="1">
        <f>VLOOKUP($E404,'Product Naming'!$A$1:$P$58,10,FALSE)</f>
        <v>-1</v>
      </c>
      <c r="AB404" s="29">
        <f>VLOOKUP($E404,'Product Naming'!$A$1:$P$58,11,FALSE)</f>
        <v>4.1111111111111107</v>
      </c>
      <c r="AC404" s="3">
        <f>VLOOKUP($E404,'Product Naming'!$A$1:$P$58,12,FALSE)</f>
        <v>163.14818</v>
      </c>
      <c r="AD404" s="1">
        <f>VLOOKUP($E404,'Product Naming'!$A$1:$P$58,13,FALSE)</f>
        <v>346</v>
      </c>
      <c r="AE404" s="1" t="str">
        <f>VLOOKUP($E404,'Product Naming'!$A$1:$P$58,14,FALSE)</f>
        <v>Aromatic + Alcohol + Carboxylate</v>
      </c>
      <c r="AF404" s="1" t="str">
        <f>VLOOKUP($E404,'Product Naming'!$A$1:$P$58,15,FALSE)</f>
        <v>E4P + L-glutamate</v>
      </c>
      <c r="AG404" s="30" t="str">
        <f>VLOOKUP($E404,'Product Naming'!$A$1:$P$58,16,FALSE)</f>
        <v>Proton symporter</v>
      </c>
      <c r="AH404" s="3" t="str">
        <f>VLOOKUP($E404,'Product Naming'!$A$1:$Q$58,17,FALSE)</f>
        <v>T4hcinnm_c</v>
      </c>
      <c r="AI404" s="1">
        <f>VLOOKUP($E404,'Product Parameters'!$A$2:$D$59,2,FALSE)</f>
        <v>1</v>
      </c>
      <c r="AJ404" s="1">
        <f>VLOOKUP($E404,'Product Parameters'!$A$2:$D$59,3,FALSE)</f>
        <v>0</v>
      </c>
      <c r="AK404" s="1">
        <f>VLOOKUP($E404,'Product Parameters'!$A$2:$D$59,4,FALSE)</f>
        <v>0.12</v>
      </c>
      <c r="AL404" s="1">
        <f>VLOOKUP($E404,'Product Parameters'!$A$2:$E$59,5,FALSE)</f>
        <v>40.65</v>
      </c>
      <c r="AM404" s="1">
        <f>VLOOKUP($E404,'Product Parameters'!$A$2:$F$59,6,FALSE)</f>
        <v>9</v>
      </c>
      <c r="AN404" s="1">
        <f>VLOOKUP($C404,'Substrate Heating'!$A$2:$C$33,3,FALSE)</f>
        <v>255.53333333333336</v>
      </c>
      <c r="AO404" s="1">
        <f>VLOOKUP($C404,'Substrate Heating'!$A$2:$B$33,2,FALSE)</f>
        <v>23.925550527978785</v>
      </c>
      <c r="AP404" s="1">
        <f>VLOOKUP($C404,'Substrate Heating'!$A$2:$M$33,13,FALSE)</f>
        <v>0.66666666666666663</v>
      </c>
      <c r="AQ404" s="1">
        <f>VLOOKUP($C404,'Substrate Heating'!$A$2:$M$33,8,FALSE)</f>
        <v>0.33333333333333331</v>
      </c>
      <c r="AR404" s="1">
        <f t="shared" si="6"/>
        <v>1.0893913043478256</v>
      </c>
    </row>
    <row r="405" spans="1:44" x14ac:dyDescent="0.2">
      <c r="A405" s="17" t="s">
        <v>323</v>
      </c>
      <c r="B405" s="18" t="s">
        <v>324</v>
      </c>
      <c r="C405" t="s">
        <v>325</v>
      </c>
      <c r="D405" s="19" t="s">
        <v>326</v>
      </c>
      <c r="E405" t="s">
        <v>91</v>
      </c>
      <c r="F405" t="s">
        <v>92</v>
      </c>
      <c r="G405">
        <v>-10</v>
      </c>
      <c r="H405">
        <v>0</v>
      </c>
      <c r="I405">
        <v>0</v>
      </c>
      <c r="J405">
        <v>0.45</v>
      </c>
      <c r="K405">
        <v>-10</v>
      </c>
      <c r="L405">
        <v>0</v>
      </c>
      <c r="M405">
        <v>0</v>
      </c>
      <c r="N405">
        <v>6.6666666666666696</v>
      </c>
      <c r="O405">
        <v>0.66666666666666696</v>
      </c>
      <c r="P405"/>
      <c r="Q405">
        <v>6.6666666666666999E-2</v>
      </c>
      <c r="R405">
        <v>0.209797881708913</v>
      </c>
      <c r="S405" s="1" t="str">
        <f>VLOOKUP($E405,'Product Naming'!$A$1:$P$58,2,FALSE)</f>
        <v>2-Methyl-1-Butanol</v>
      </c>
      <c r="T405" s="1" t="str">
        <f>VLOOKUP($E405,'Product Naming'!$A$1:$P$58,3,FALSE)</f>
        <v>2-Methyl-1-butanol</v>
      </c>
      <c r="U405" s="1" t="str">
        <f>VLOOKUP($E405,'Product Naming'!$A$1:$P$58,4,FALSE)</f>
        <v>A</v>
      </c>
      <c r="V405" s="1" t="str">
        <f>VLOOKUP($E405,'Product Naming'!$A$1:$P$58,5,FALSE)</f>
        <v>C5H12O</v>
      </c>
      <c r="W405" s="1">
        <f>VLOOKUP($E405,'Product Naming'!$A$1:$P$58,6,FALSE)</f>
        <v>5</v>
      </c>
      <c r="X405" s="1">
        <f>VLOOKUP($E405,'Product Naming'!$A$1:$P$58,7,FALSE)</f>
        <v>12</v>
      </c>
      <c r="Y405" s="1">
        <f>VLOOKUP($E405,'Product Naming'!$A$1:$P$58,8,FALSE)</f>
        <v>1</v>
      </c>
      <c r="Z405" s="1">
        <f>VLOOKUP($E405,'Product Naming'!$A$1:$P$58,9,FALSE)</f>
        <v>0</v>
      </c>
      <c r="AA405" s="1">
        <f>VLOOKUP($E405,'Product Naming'!$A$1:$P$58,10,FALSE)</f>
        <v>0</v>
      </c>
      <c r="AB405" s="29">
        <f>VLOOKUP($E405,'Product Naming'!$A$1:$P$58,11,FALSE)</f>
        <v>6</v>
      </c>
      <c r="AC405" s="3">
        <f>VLOOKUP($E405,'Product Naming'!$A$1:$P$58,12,FALSE)</f>
        <v>88.14658</v>
      </c>
      <c r="AD405" s="1">
        <f>VLOOKUP($E405,'Product Naming'!$A$1:$P$58,13,FALSE)</f>
        <v>129</v>
      </c>
      <c r="AE405" s="1" t="str">
        <f>VLOOKUP($E405,'Product Naming'!$A$1:$P$58,14,FALSE)</f>
        <v>Alcohol</v>
      </c>
      <c r="AF405" s="1" t="str">
        <f>VLOOKUP($E405,'Product Naming'!$A$1:$P$58,15,FALSE)</f>
        <v>PEP</v>
      </c>
      <c r="AG405" s="30" t="str">
        <f>VLOOKUP($E405,'Product Naming'!$A$1:$P$58,16,FALSE)</f>
        <v>Proton symporter</v>
      </c>
      <c r="AH405" s="3" t="str">
        <f>VLOOKUP($E405,'Product Naming'!$A$1:$Q$58,17,FALSE)</f>
        <v>2mbtoh_c</v>
      </c>
      <c r="AI405" s="1">
        <f>VLOOKUP($E405,'Product Parameters'!$A$2:$D$59,2,FALSE)</f>
        <v>1</v>
      </c>
      <c r="AJ405" s="1">
        <f>VLOOKUP($E405,'Product Parameters'!$A$2:$D$59,3,FALSE)</f>
        <v>0</v>
      </c>
      <c r="AK405" s="1">
        <f>VLOOKUP($E405,'Product Parameters'!$A$2:$D$59,4,FALSE)</f>
        <v>0.12</v>
      </c>
      <c r="AL405" s="1">
        <f>VLOOKUP($E405,'Product Parameters'!$A$2:$E$59,5,FALSE)</f>
        <v>54.6</v>
      </c>
      <c r="AM405" s="1">
        <f>VLOOKUP($E405,'Product Parameters'!$A$2:$F$59,6,FALSE)</f>
        <v>5</v>
      </c>
      <c r="AN405" s="1">
        <f>VLOOKUP($C405,'Substrate Heating'!$A$2:$C$33,3,FALSE)</f>
        <v>280.09700000000004</v>
      </c>
      <c r="AO405" s="1">
        <f>VLOOKUP($C405,'Substrate Heating'!$A$2:$B$33,2,FALSE)</f>
        <v>10</v>
      </c>
      <c r="AP405" s="1">
        <f>VLOOKUP($C405,'Substrate Heating'!$A$2:$M$33,13,FALSE)</f>
        <v>2</v>
      </c>
      <c r="AQ405" s="1">
        <f>VLOOKUP($C405,'Substrate Heating'!$A$2:$M$33,8,FALSE)</f>
        <v>1</v>
      </c>
      <c r="AR405" s="1">
        <f t="shared" si="6"/>
        <v>0.33333333333333498</v>
      </c>
    </row>
    <row r="406" spans="1:44" x14ac:dyDescent="0.2">
      <c r="A406" s="8" t="s">
        <v>816</v>
      </c>
      <c r="B406" s="18" t="s">
        <v>324</v>
      </c>
      <c r="C406" t="s">
        <v>815</v>
      </c>
      <c r="D406" s="19" t="s">
        <v>326</v>
      </c>
      <c r="E406" t="s">
        <v>287</v>
      </c>
      <c r="F406" t="s">
        <v>288</v>
      </c>
      <c r="G406">
        <v>-10</v>
      </c>
      <c r="H406">
        <v>0</v>
      </c>
      <c r="I406">
        <v>0</v>
      </c>
      <c r="J406">
        <v>0.45</v>
      </c>
      <c r="K406">
        <v>27.5</v>
      </c>
      <c r="L406">
        <v>0</v>
      </c>
      <c r="M406">
        <v>0</v>
      </c>
      <c r="N406">
        <v>27.5</v>
      </c>
      <c r="O406">
        <v>2.5</v>
      </c>
      <c r="P406"/>
      <c r="Q406">
        <v>9.0909090999999997E-2</v>
      </c>
      <c r="R406">
        <v>0.21015286499999999</v>
      </c>
      <c r="S406" s="1" t="str">
        <f>VLOOKUP($E406,'Product Naming'!$A$1:$P$58,2,FALSE)</f>
        <v>Pentane</v>
      </c>
      <c r="T406" s="1" t="str">
        <f>VLOOKUP($E406,'Product Naming'!$A$1:$P$58,3,FALSE)</f>
        <v>Pentane</v>
      </c>
      <c r="U406" s="1" t="str">
        <f>VLOOKUP($E406,'Product Naming'!$A$1:$P$58,4,FALSE)</f>
        <v>E</v>
      </c>
      <c r="V406" s="1" t="str">
        <f>VLOOKUP($E406,'Product Naming'!$A$1:$P$58,5,FALSE)</f>
        <v>C5H12</v>
      </c>
      <c r="W406" s="1">
        <f>VLOOKUP($E406,'Product Naming'!$A$1:$P$58,6,FALSE)</f>
        <v>5</v>
      </c>
      <c r="X406" s="1">
        <f>VLOOKUP($E406,'Product Naming'!$A$1:$P$58,7,FALSE)</f>
        <v>12</v>
      </c>
      <c r="Y406" s="1">
        <f>VLOOKUP($E406,'Product Naming'!$A$1:$P$58,8,FALSE)</f>
        <v>0</v>
      </c>
      <c r="Z406" s="1">
        <f>VLOOKUP($E406,'Product Naming'!$A$1:$P$58,9,FALSE)</f>
        <v>0</v>
      </c>
      <c r="AA406" s="1">
        <f>VLOOKUP($E406,'Product Naming'!$A$1:$P$58,10,FALSE)</f>
        <v>0</v>
      </c>
      <c r="AB406" s="29">
        <f>VLOOKUP($E406,'Product Naming'!$A$1:$P$58,11,FALSE)</f>
        <v>6.4</v>
      </c>
      <c r="AC406" s="3">
        <f>VLOOKUP($E406,'Product Naming'!$A$1:$P$58,12,FALSE)</f>
        <v>72.147580000000005</v>
      </c>
      <c r="AD406" s="1">
        <f>VLOOKUP($E406,'Product Naming'!$A$1:$P$58,13,FALSE)</f>
        <v>36.1</v>
      </c>
      <c r="AE406" s="1" t="str">
        <f>VLOOKUP($E406,'Product Naming'!$A$1:$P$58,14,FALSE)</f>
        <v>Hydrocarbon (alkane)</v>
      </c>
      <c r="AF406" s="1" t="str">
        <f>VLOOKUP($E406,'Product Naming'!$A$1:$P$58,15,FALSE)</f>
        <v>Acetyl-CoA</v>
      </c>
      <c r="AG406" s="30" t="str">
        <f>VLOOKUP($E406,'Product Naming'!$A$1:$P$58,16,FALSE)</f>
        <v>Diffusion</v>
      </c>
      <c r="AH406" s="3" t="str">
        <f>VLOOKUP($E406,'Product Naming'!$A$1:$Q$58,17,FALSE)</f>
        <v>pent_c</v>
      </c>
      <c r="AI406" s="1">
        <f>VLOOKUP($E406,'Product Parameters'!$A$2:$D$59,2,FALSE)</f>
        <v>0</v>
      </c>
      <c r="AJ406" s="1">
        <f>VLOOKUP($E406,'Product Parameters'!$A$2:$D$59,3,FALSE)</f>
        <v>1</v>
      </c>
      <c r="AK406" s="1">
        <f>VLOOKUP($E406,'Product Parameters'!$A$2:$D$59,4,FALSE)</f>
        <v>0.12</v>
      </c>
      <c r="AL406" s="1">
        <f>VLOOKUP($E406,'Product Parameters'!$A$2:$E$59,5,FALSE)</f>
        <v>26.5</v>
      </c>
      <c r="AM406" s="1">
        <f>VLOOKUP($E406,'Product Parameters'!$A$2:$F$59,6,FALSE)</f>
        <v>5</v>
      </c>
      <c r="AN406" s="1">
        <f>VLOOKUP($C406,'Substrate Heating'!$A$2:$C$33,3,FALSE)</f>
        <v>226.4</v>
      </c>
      <c r="AO406" s="1">
        <f>VLOOKUP($C406,'Substrate Heating'!$A$2:$B$33,2,FALSE)</f>
        <v>7.2542014450728134</v>
      </c>
      <c r="AP406" s="1">
        <f>VLOOKUP($C406,'Substrate Heating'!$A$2:$M$33,13,FALSE)</f>
        <v>1.6</v>
      </c>
      <c r="AQ406" s="1">
        <f>VLOOKUP($C406,'Substrate Heating'!$A$2:$M$33,8,FALSE)</f>
        <v>1</v>
      </c>
      <c r="AR406" s="1">
        <f t="shared" si="6"/>
        <v>0.45454545499999999</v>
      </c>
    </row>
    <row r="407" spans="1:44" x14ac:dyDescent="0.2">
      <c r="A407" s="17" t="s">
        <v>323</v>
      </c>
      <c r="B407" s="18" t="s">
        <v>324</v>
      </c>
      <c r="C407" t="s">
        <v>329</v>
      </c>
      <c r="D407" s="19" t="s">
        <v>326</v>
      </c>
      <c r="E407" t="s">
        <v>259</v>
      </c>
      <c r="F407" t="s">
        <v>260</v>
      </c>
      <c r="G407">
        <v>-10</v>
      </c>
      <c r="H407">
        <v>0</v>
      </c>
      <c r="I407">
        <v>-20</v>
      </c>
      <c r="J407">
        <v>0.45</v>
      </c>
      <c r="K407">
        <v>-10</v>
      </c>
      <c r="L407">
        <v>0</v>
      </c>
      <c r="M407">
        <v>-19.012765957446799</v>
      </c>
      <c r="N407">
        <v>0</v>
      </c>
      <c r="O407">
        <v>0.49361702127659401</v>
      </c>
      <c r="P407"/>
      <c r="Q407">
        <v>4.9361702127659397E-2</v>
      </c>
      <c r="R407" s="20">
        <v>0.21113164636041101</v>
      </c>
      <c r="S407" s="1" t="str">
        <f>VLOOKUP($E407,'Product Naming'!$A$1:$P$58,2,FALSE)</f>
        <v>Limonene</v>
      </c>
      <c r="T407" s="1" t="str">
        <f>VLOOKUP($E407,'Product Naming'!$A$1:$P$58,3,FALSE)</f>
        <v>Limonene</v>
      </c>
      <c r="U407" s="1" t="str">
        <f>VLOOKUP($E407,'Product Naming'!$A$1:$P$58,4,FALSE)</f>
        <v>E</v>
      </c>
      <c r="V407" s="1" t="str">
        <f>VLOOKUP($E407,'Product Naming'!$A$1:$P$58,5,FALSE)</f>
        <v>C10H16</v>
      </c>
      <c r="W407" s="1">
        <f>VLOOKUP($E407,'Product Naming'!$A$1:$P$58,6,FALSE)</f>
        <v>10</v>
      </c>
      <c r="X407" s="1">
        <f>VLOOKUP($E407,'Product Naming'!$A$1:$P$58,7,FALSE)</f>
        <v>16</v>
      </c>
      <c r="Y407" s="1">
        <f>VLOOKUP($E407,'Product Naming'!$A$1:$P$58,8,FALSE)</f>
        <v>0</v>
      </c>
      <c r="Z407" s="1">
        <f>VLOOKUP($E407,'Product Naming'!$A$1:$P$58,9,FALSE)</f>
        <v>0</v>
      </c>
      <c r="AA407" s="1">
        <f>VLOOKUP($E407,'Product Naming'!$A$1:$P$58,10,FALSE)</f>
        <v>0</v>
      </c>
      <c r="AB407" s="29">
        <f>VLOOKUP($E407,'Product Naming'!$A$1:$P$58,11,FALSE)</f>
        <v>5.6</v>
      </c>
      <c r="AC407" s="3">
        <f>VLOOKUP($E407,'Product Naming'!$A$1:$P$58,12,FALSE)</f>
        <v>136.23244</v>
      </c>
      <c r="AD407" s="1">
        <f>VLOOKUP($E407,'Product Naming'!$A$1:$P$58,13,FALSE)</f>
        <v>176</v>
      </c>
      <c r="AE407" s="1" t="str">
        <f>VLOOKUP($E407,'Product Naming'!$A$1:$P$58,14,FALSE)</f>
        <v>Isoprenoid; Aromatic (Cycloalkane)</v>
      </c>
      <c r="AF407" s="1" t="str">
        <f>VLOOKUP($E407,'Product Naming'!$A$1:$P$58,15,FALSE)</f>
        <v>Acetyl-CoA</v>
      </c>
      <c r="AG407" s="30" t="str">
        <f>VLOOKUP($E407,'Product Naming'!$A$1:$P$58,16,FALSE)</f>
        <v>Proton symporter</v>
      </c>
      <c r="AH407" s="3" t="str">
        <f>VLOOKUP($E407,'Product Naming'!$A$1:$Q$58,17,FALSE)</f>
        <v>limnen_c</v>
      </c>
      <c r="AI407" s="1">
        <f>VLOOKUP($E407,'Product Parameters'!$A$2:$D$59,2,FALSE)</f>
        <v>1</v>
      </c>
      <c r="AJ407" s="1">
        <f>VLOOKUP($E407,'Product Parameters'!$A$2:$D$59,3,FALSE)</f>
        <v>0</v>
      </c>
      <c r="AK407" s="1">
        <f>VLOOKUP($E407,'Product Parameters'!$A$2:$D$59,4,FALSE)</f>
        <v>0.12</v>
      </c>
      <c r="AL407" s="1">
        <f>VLOOKUP($E407,'Product Parameters'!$A$2:$E$59,5,FALSE)</f>
        <v>49.5</v>
      </c>
      <c r="AM407" s="1">
        <f>VLOOKUP($E407,'Product Parameters'!$A$2:$F$59,6,FALSE)</f>
        <v>10</v>
      </c>
      <c r="AN407" s="1">
        <f>VLOOKUP($C407,'Substrate Heating'!$A$2:$C$33,3,FALSE)</f>
        <v>255.53333333333336</v>
      </c>
      <c r="AO407" s="1">
        <f>VLOOKUP($C407,'Substrate Heating'!$A$2:$B$33,2,FALSE)</f>
        <v>23.925550527978785</v>
      </c>
      <c r="AP407" s="1">
        <f>VLOOKUP($C407,'Substrate Heating'!$A$2:$M$33,13,FALSE)</f>
        <v>0.66666666666666663</v>
      </c>
      <c r="AQ407" s="1">
        <f>VLOOKUP($C407,'Substrate Heating'!$A$2:$M$33,8,FALSE)</f>
        <v>0.33333333333333331</v>
      </c>
      <c r="AR407" s="1">
        <f t="shared" si="6"/>
        <v>1.480851063829782</v>
      </c>
    </row>
    <row r="408" spans="1:44" x14ac:dyDescent="0.2">
      <c r="A408" s="8" t="s">
        <v>34</v>
      </c>
      <c r="B408" s="9" t="s">
        <v>35</v>
      </c>
      <c r="C408" s="1" t="s">
        <v>344</v>
      </c>
      <c r="D408" s="10" t="s">
        <v>37</v>
      </c>
      <c r="E408" s="1" t="s">
        <v>301</v>
      </c>
      <c r="F408" s="1" t="s">
        <v>302</v>
      </c>
      <c r="G408" s="1">
        <v>-10</v>
      </c>
      <c r="H408" s="1">
        <v>-20</v>
      </c>
      <c r="I408" s="1" t="s">
        <v>40</v>
      </c>
      <c r="J408" s="1">
        <v>3.15</v>
      </c>
      <c r="K408" s="1">
        <v>-10</v>
      </c>
      <c r="L408" s="1">
        <v>-5.59765625</v>
      </c>
      <c r="M408" s="1" t="s">
        <v>40</v>
      </c>
      <c r="N408" s="1">
        <v>11.358593750000001</v>
      </c>
      <c r="O408" s="1">
        <v>2.8804687499999999</v>
      </c>
      <c r="Q408" s="1">
        <v>0.28804687499999998</v>
      </c>
      <c r="R408" s="1">
        <v>0.21150627963577401</v>
      </c>
      <c r="S408" s="1" t="str">
        <f>VLOOKUP($E408,'Product Naming'!$A$1:$P$58,2,FALSE)</f>
        <v>Propane-PW1</v>
      </c>
      <c r="T408" s="1" t="str">
        <f>VLOOKUP($E408,'Product Naming'!$A$1:$P$58,3,FALSE)</f>
        <v>Propane (PW1)</v>
      </c>
      <c r="U408" s="1" t="str">
        <f>VLOOKUP($E408,'Product Naming'!$A$1:$P$58,4,FALSE)</f>
        <v>E</v>
      </c>
      <c r="V408" s="1" t="str">
        <f>VLOOKUP($E408,'Product Naming'!$A$1:$P$58,5,FALSE)</f>
        <v>C3H8</v>
      </c>
      <c r="W408" s="1">
        <f>VLOOKUP($E408,'Product Naming'!$A$1:$P$58,6,FALSE)</f>
        <v>3</v>
      </c>
      <c r="X408" s="1">
        <f>VLOOKUP($E408,'Product Naming'!$A$1:$P$58,7,FALSE)</f>
        <v>8</v>
      </c>
      <c r="Y408" s="1">
        <f>VLOOKUP($E408,'Product Naming'!$A$1:$P$58,8,FALSE)</f>
        <v>0</v>
      </c>
      <c r="Z408" s="1">
        <f>VLOOKUP($E408,'Product Naming'!$A$1:$P$58,9,FALSE)</f>
        <v>0</v>
      </c>
      <c r="AA408" s="1">
        <f>VLOOKUP($E408,'Product Naming'!$A$1:$P$58,10,FALSE)</f>
        <v>0</v>
      </c>
      <c r="AB408" s="29">
        <f>VLOOKUP($E408,'Product Naming'!$A$1:$P$58,11,FALSE)</f>
        <v>6.666666666666667</v>
      </c>
      <c r="AC408" s="3">
        <f>VLOOKUP($E408,'Product Naming'!$A$1:$P$58,12,FALSE)</f>
        <v>44.094819999999999</v>
      </c>
      <c r="AD408" s="1">
        <f>VLOOKUP($E408,'Product Naming'!$A$1:$P$58,13,FALSE)</f>
        <v>-42</v>
      </c>
      <c r="AE408" s="1" t="str">
        <f>VLOOKUP($E408,'Product Naming'!$A$1:$P$58,14,FALSE)</f>
        <v>Hydrocarbon</v>
      </c>
      <c r="AF408" s="1" t="str">
        <f>VLOOKUP($E408,'Product Naming'!$A$1:$P$58,15,FALSE)</f>
        <v>Acetyl-CoA</v>
      </c>
      <c r="AG408" s="30" t="str">
        <f>VLOOKUP($E408,'Product Naming'!$A$1:$P$58,16,FALSE)</f>
        <v>Diffusion</v>
      </c>
      <c r="AH408" s="3" t="str">
        <f>VLOOKUP($E408,'Product Naming'!$A$1:$Q$58,17,FALSE)</f>
        <v>prop_c</v>
      </c>
      <c r="AI408" s="1">
        <f>VLOOKUP($E408,'Product Parameters'!$A$2:$D$59,2,FALSE)</f>
        <v>0</v>
      </c>
      <c r="AJ408" s="1">
        <f>VLOOKUP($E408,'Product Parameters'!$A$2:$D$59,3,FALSE)</f>
        <v>1</v>
      </c>
      <c r="AK408" s="1">
        <f>VLOOKUP($E408,'Product Parameters'!$A$2:$D$59,4,FALSE)</f>
        <v>0.12</v>
      </c>
      <c r="AL408" s="1">
        <f>VLOOKUP($E408,'Product Parameters'!$A$2:$E$59,5,FALSE)</f>
        <v>0</v>
      </c>
      <c r="AM408" s="1">
        <f>VLOOKUP($E408,'Product Parameters'!$A$2:$F$59,6,FALSE)</f>
        <v>3</v>
      </c>
      <c r="AN408" s="1">
        <f>VLOOKUP($C408,'Substrate Heating'!$A$2:$C$33,3,FALSE)</f>
        <v>1020.8629199999999</v>
      </c>
      <c r="AO408" s="1">
        <f>VLOOKUP($C408,'Substrate Heating'!$A$2:$B$33,2,FALSE)</f>
        <v>17</v>
      </c>
      <c r="AP408" s="1">
        <f>VLOOKUP($C408,'Substrate Heating'!$A$2:$M$33,13,FALSE)</f>
        <v>4</v>
      </c>
      <c r="AQ408" s="1">
        <f>VLOOKUP($C408,'Substrate Heating'!$A$2:$M$33,8,FALSE)</f>
        <v>2</v>
      </c>
      <c r="AR408" s="1">
        <f t="shared" si="6"/>
        <v>0.43207031249999994</v>
      </c>
    </row>
    <row r="409" spans="1:44" x14ac:dyDescent="0.2">
      <c r="A409" s="8" t="s">
        <v>816</v>
      </c>
      <c r="B409" s="18" t="s">
        <v>324</v>
      </c>
      <c r="C409" t="s">
        <v>815</v>
      </c>
      <c r="D409" s="19" t="s">
        <v>326</v>
      </c>
      <c r="E409" t="s">
        <v>236</v>
      </c>
      <c r="F409" t="s">
        <v>237</v>
      </c>
      <c r="G409">
        <v>-10</v>
      </c>
      <c r="H409">
        <v>0</v>
      </c>
      <c r="I409">
        <v>0</v>
      </c>
      <c r="J409">
        <v>0.45</v>
      </c>
      <c r="K409">
        <v>27.368421049999998</v>
      </c>
      <c r="L409">
        <v>0</v>
      </c>
      <c r="M409">
        <v>0</v>
      </c>
      <c r="N409">
        <v>27.368421049999998</v>
      </c>
      <c r="O409">
        <v>2.1052631580000001</v>
      </c>
      <c r="P409"/>
      <c r="Q409">
        <v>7.6923077000000006E-2</v>
      </c>
      <c r="R409">
        <v>0.21239237899999999</v>
      </c>
      <c r="S409" s="1" t="str">
        <f>VLOOKUP($E409,'Product Naming'!$A$1:$P$58,2,FALSE)</f>
        <v>Hexane</v>
      </c>
      <c r="T409" s="1" t="str">
        <f>VLOOKUP($E409,'Product Naming'!$A$1:$P$58,3,FALSE)</f>
        <v>Hexane</v>
      </c>
      <c r="U409" s="1" t="str">
        <f>VLOOKUP($E409,'Product Naming'!$A$1:$P$58,4,FALSE)</f>
        <v>E</v>
      </c>
      <c r="V409" s="1" t="str">
        <f>VLOOKUP($E409,'Product Naming'!$A$1:$P$58,5,FALSE)</f>
        <v>C6H14</v>
      </c>
      <c r="W409" s="1">
        <f>VLOOKUP($E409,'Product Naming'!$A$1:$P$58,6,FALSE)</f>
        <v>6</v>
      </c>
      <c r="X409" s="1">
        <f>VLOOKUP($E409,'Product Naming'!$A$1:$P$58,7,FALSE)</f>
        <v>14</v>
      </c>
      <c r="Y409" s="1">
        <f>VLOOKUP($E409,'Product Naming'!$A$1:$P$58,8,FALSE)</f>
        <v>0</v>
      </c>
      <c r="Z409" s="1">
        <f>VLOOKUP($E409,'Product Naming'!$A$1:$P$58,9,FALSE)</f>
        <v>0</v>
      </c>
      <c r="AA409" s="1">
        <f>VLOOKUP($E409,'Product Naming'!$A$1:$P$58,10,FALSE)</f>
        <v>0</v>
      </c>
      <c r="AB409" s="29">
        <f>VLOOKUP($E409,'Product Naming'!$A$1:$P$58,11,FALSE)</f>
        <v>6.333333333333333</v>
      </c>
      <c r="AC409" s="3">
        <f>VLOOKUP($E409,'Product Naming'!$A$1:$P$58,12,FALSE)</f>
        <v>86.173959999999994</v>
      </c>
      <c r="AD409" s="1">
        <f>VLOOKUP($E409,'Product Naming'!$A$1:$P$58,13,FALSE)</f>
        <v>69</v>
      </c>
      <c r="AE409" s="1" t="str">
        <f>VLOOKUP($E409,'Product Naming'!$A$1:$P$58,14,FALSE)</f>
        <v>Hydrocarbon (alkane)</v>
      </c>
      <c r="AF409" s="1" t="str">
        <f>VLOOKUP($E409,'Product Naming'!$A$1:$P$58,15,FALSE)</f>
        <v>Acetyl-CoA + Succinyl-CoA</v>
      </c>
      <c r="AG409" s="30" t="str">
        <f>VLOOKUP($E409,'Product Naming'!$A$1:$P$58,16,FALSE)</f>
        <v>Proton symporter</v>
      </c>
      <c r="AH409" s="3" t="str">
        <f>VLOOKUP($E409,'Product Naming'!$A$1:$Q$58,17,FALSE)</f>
        <v>hex_c</v>
      </c>
      <c r="AI409" s="1">
        <f>VLOOKUP($E409,'Product Parameters'!$A$2:$D$59,2,FALSE)</f>
        <v>1</v>
      </c>
      <c r="AJ409" s="1">
        <f>VLOOKUP($E409,'Product Parameters'!$A$2:$D$59,3,FALSE)</f>
        <v>0</v>
      </c>
      <c r="AK409" s="1">
        <f>VLOOKUP($E409,'Product Parameters'!$A$2:$D$59,4,FALSE)</f>
        <v>0.12</v>
      </c>
      <c r="AL409" s="1">
        <f>VLOOKUP($E409,'Product Parameters'!$A$2:$E$59,5,FALSE)</f>
        <v>31</v>
      </c>
      <c r="AM409" s="1">
        <f>VLOOKUP($E409,'Product Parameters'!$A$2:$F$59,6,FALSE)</f>
        <v>6</v>
      </c>
      <c r="AN409" s="1">
        <f>VLOOKUP($C409,'Substrate Heating'!$A$2:$C$33,3,FALSE)</f>
        <v>226.4</v>
      </c>
      <c r="AO409" s="1">
        <f>VLOOKUP($C409,'Substrate Heating'!$A$2:$B$33,2,FALSE)</f>
        <v>7.2542014450728134</v>
      </c>
      <c r="AP409" s="1">
        <f>VLOOKUP($C409,'Substrate Heating'!$A$2:$M$33,13,FALSE)</f>
        <v>1.6</v>
      </c>
      <c r="AQ409" s="1">
        <f>VLOOKUP($C409,'Substrate Heating'!$A$2:$M$33,8,FALSE)</f>
        <v>1</v>
      </c>
      <c r="AR409" s="1">
        <f t="shared" si="6"/>
        <v>0.46153846200000004</v>
      </c>
    </row>
    <row r="410" spans="1:44" x14ac:dyDescent="0.2">
      <c r="A410" s="17" t="s">
        <v>323</v>
      </c>
      <c r="B410" s="18" t="s">
        <v>324</v>
      </c>
      <c r="C410" t="s">
        <v>334</v>
      </c>
      <c r="D410" s="19" t="s">
        <v>326</v>
      </c>
      <c r="E410" t="s">
        <v>81</v>
      </c>
      <c r="F410" t="s">
        <v>73</v>
      </c>
      <c r="G410">
        <v>-10</v>
      </c>
      <c r="H410">
        <v>0</v>
      </c>
      <c r="I410">
        <v>-5</v>
      </c>
      <c r="J410">
        <v>0.45</v>
      </c>
      <c r="K410">
        <v>-10</v>
      </c>
      <c r="L410">
        <v>0</v>
      </c>
      <c r="M410">
        <v>-5</v>
      </c>
      <c r="N410">
        <v>5</v>
      </c>
      <c r="O410">
        <v>1.6666666666666701</v>
      </c>
      <c r="P410"/>
      <c r="Q410">
        <v>0.16666666666666699</v>
      </c>
      <c r="R410">
        <v>0.212919256683022</v>
      </c>
      <c r="S410" s="1" t="str">
        <f>VLOOKUP($E410,'Product Naming'!$A$1:$P$58,2,FALSE)</f>
        <v>1-propanol-PW2</v>
      </c>
      <c r="T410" s="1" t="str">
        <f>VLOOKUP($E410,'Product Naming'!$A$1:$P$58,3,FALSE)</f>
        <v>1-Propanol (PW2)</v>
      </c>
      <c r="U410" s="1" t="str">
        <f>VLOOKUP($E410,'Product Naming'!$A$1:$P$58,4,FALSE)</f>
        <v>E-S</v>
      </c>
      <c r="V410" s="1" t="str">
        <f>VLOOKUP($E410,'Product Naming'!$A$1:$P$58,5,FALSE)</f>
        <v>C3H8O</v>
      </c>
      <c r="W410" s="1">
        <f>VLOOKUP($E410,'Product Naming'!$A$1:$P$58,6,FALSE)</f>
        <v>3</v>
      </c>
      <c r="X410" s="1">
        <f>VLOOKUP($E410,'Product Naming'!$A$1:$P$58,7,FALSE)</f>
        <v>8</v>
      </c>
      <c r="Y410" s="1">
        <f>VLOOKUP($E410,'Product Naming'!$A$1:$P$58,8,FALSE)</f>
        <v>1</v>
      </c>
      <c r="Z410" s="1">
        <f>VLOOKUP($E410,'Product Naming'!$A$1:$P$58,9,FALSE)</f>
        <v>0</v>
      </c>
      <c r="AA410" s="1">
        <f>VLOOKUP($E410,'Product Naming'!$A$1:$P$58,10,FALSE)</f>
        <v>0</v>
      </c>
      <c r="AB410" s="29">
        <f>VLOOKUP($E410,'Product Naming'!$A$1:$P$58,11,FALSE)</f>
        <v>6</v>
      </c>
      <c r="AC410" s="3">
        <f>VLOOKUP($E410,'Product Naming'!$A$1:$P$58,12,FALSE)</f>
        <v>60.093820000000001</v>
      </c>
      <c r="AD410" s="1">
        <f>VLOOKUP($E410,'Product Naming'!$A$1:$P$58,13,FALSE)</f>
        <v>97</v>
      </c>
      <c r="AE410" s="1" t="str">
        <f>VLOOKUP($E410,'Product Naming'!$A$1:$P$58,14,FALSE)</f>
        <v>Alcohol</v>
      </c>
      <c r="AF410" s="1" t="str">
        <f>VLOOKUP($E410,'Product Naming'!$A$1:$P$58,15,FALSE)</f>
        <v>Oxaloacetate</v>
      </c>
      <c r="AG410" s="30" t="str">
        <f>VLOOKUP($E410,'Product Naming'!$A$1:$P$58,16,FALSE)</f>
        <v>Proton symporter</v>
      </c>
      <c r="AH410" s="3" t="str">
        <f>VLOOKUP($E410,'Product Naming'!$A$1:$Q$58,17,FALSE)</f>
        <v>ppoh_c</v>
      </c>
      <c r="AI410" s="1">
        <f>VLOOKUP($E410,'Product Parameters'!$A$2:$D$59,2,FALSE)</f>
        <v>1</v>
      </c>
      <c r="AJ410" s="1">
        <f>VLOOKUP($E410,'Product Parameters'!$A$2:$D$59,3,FALSE)</f>
        <v>0</v>
      </c>
      <c r="AK410" s="1">
        <f>VLOOKUP($E410,'Product Parameters'!$A$2:$D$59,4,FALSE)</f>
        <v>0.12</v>
      </c>
      <c r="AL410" s="1">
        <f>VLOOKUP($E410,'Product Parameters'!$A$2:$E$59,5,FALSE)</f>
        <v>47</v>
      </c>
      <c r="AM410" s="1">
        <f>VLOOKUP($E410,'Product Parameters'!$A$2:$F$59,6,FALSE)</f>
        <v>3</v>
      </c>
      <c r="AN410" s="1">
        <f>VLOOKUP($C410,'Substrate Heating'!$A$2:$C$33,3,FALSE)</f>
        <v>249.93333333333334</v>
      </c>
      <c r="AO410" s="1">
        <f>VLOOKUP($C410,'Substrate Heating'!$A$2:$B$33,2,FALSE)</f>
        <v>8.1456827881222953</v>
      </c>
      <c r="AP410" s="1">
        <f>VLOOKUP($C410,'Substrate Heating'!$A$2:$M$33,13,FALSE)</f>
        <v>0.66666666666666663</v>
      </c>
      <c r="AQ410" s="1">
        <f>VLOOKUP($C410,'Substrate Heating'!$A$2:$M$33,8,FALSE)</f>
        <v>0.66666666666666663</v>
      </c>
      <c r="AR410" s="1">
        <f t="shared" si="6"/>
        <v>0.75000000000000155</v>
      </c>
    </row>
    <row r="411" spans="1:44" x14ac:dyDescent="0.2">
      <c r="A411" s="17" t="s">
        <v>323</v>
      </c>
      <c r="B411" s="18" t="s">
        <v>324</v>
      </c>
      <c r="C411" t="s">
        <v>334</v>
      </c>
      <c r="D411" s="19" t="s">
        <v>326</v>
      </c>
      <c r="E411" t="s">
        <v>251</v>
      </c>
      <c r="F411" t="s">
        <v>252</v>
      </c>
      <c r="G411">
        <v>-10</v>
      </c>
      <c r="H411">
        <v>0</v>
      </c>
      <c r="I411">
        <v>-5</v>
      </c>
      <c r="J411">
        <v>0.45</v>
      </c>
      <c r="K411">
        <v>-10</v>
      </c>
      <c r="L411">
        <v>0</v>
      </c>
      <c r="M411">
        <v>-5</v>
      </c>
      <c r="N411">
        <v>5</v>
      </c>
      <c r="O411">
        <v>1.6666666666666701</v>
      </c>
      <c r="P411"/>
      <c r="Q411">
        <v>0.16666666666666699</v>
      </c>
      <c r="R411">
        <v>0.212919256683022</v>
      </c>
      <c r="S411" s="1" t="str">
        <f>VLOOKUP($E411,'Product Naming'!$A$1:$P$58,2,FALSE)</f>
        <v>Isopropanol</v>
      </c>
      <c r="T411" s="1" t="str">
        <f>VLOOKUP($E411,'Product Naming'!$A$1:$P$58,3,FALSE)</f>
        <v>Isopropanol</v>
      </c>
      <c r="U411" s="1" t="str">
        <f>VLOOKUP($E411,'Product Naming'!$A$1:$P$58,4,FALSE)</f>
        <v>A</v>
      </c>
      <c r="V411" s="1" t="str">
        <f>VLOOKUP($E411,'Product Naming'!$A$1:$P$58,5,FALSE)</f>
        <v>C3H8O</v>
      </c>
      <c r="W411" s="1">
        <f>VLOOKUP($E411,'Product Naming'!$A$1:$P$58,6,FALSE)</f>
        <v>3</v>
      </c>
      <c r="X411" s="1">
        <f>VLOOKUP($E411,'Product Naming'!$A$1:$P$58,7,FALSE)</f>
        <v>8</v>
      </c>
      <c r="Y411" s="1">
        <f>VLOOKUP($E411,'Product Naming'!$A$1:$P$58,8,FALSE)</f>
        <v>1</v>
      </c>
      <c r="Z411" s="1">
        <f>VLOOKUP($E411,'Product Naming'!$A$1:$P$58,9,FALSE)</f>
        <v>0</v>
      </c>
      <c r="AA411" s="1">
        <f>VLOOKUP($E411,'Product Naming'!$A$1:$P$58,10,FALSE)</f>
        <v>0</v>
      </c>
      <c r="AB411" s="29">
        <f>VLOOKUP($E411,'Product Naming'!$A$1:$P$58,11,FALSE)</f>
        <v>6</v>
      </c>
      <c r="AC411" s="3">
        <f>VLOOKUP($E411,'Product Naming'!$A$1:$P$58,12,FALSE)</f>
        <v>60.093820000000001</v>
      </c>
      <c r="AD411" s="1">
        <f>VLOOKUP($E411,'Product Naming'!$A$1:$P$58,13,FALSE)</f>
        <v>82.5</v>
      </c>
      <c r="AE411" s="1" t="str">
        <f>VLOOKUP($E411,'Product Naming'!$A$1:$P$58,14,FALSE)</f>
        <v>Alcohol</v>
      </c>
      <c r="AF411" s="1" t="str">
        <f>VLOOKUP($E411,'Product Naming'!$A$1:$P$58,15,FALSE)</f>
        <v>Acetyl-CoA</v>
      </c>
      <c r="AG411" s="30" t="str">
        <f>VLOOKUP($E411,'Product Naming'!$A$1:$P$58,16,FALSE)</f>
        <v>Proton symporter</v>
      </c>
      <c r="AH411" s="3" t="str">
        <f>VLOOKUP($E411,'Product Naming'!$A$1:$Q$58,17,FALSE)</f>
        <v>2ppoh_c</v>
      </c>
      <c r="AI411" s="1">
        <f>VLOOKUP($E411,'Product Parameters'!$A$2:$D$59,2,FALSE)</f>
        <v>1</v>
      </c>
      <c r="AJ411" s="1">
        <f>VLOOKUP($E411,'Product Parameters'!$A$2:$D$59,3,FALSE)</f>
        <v>0</v>
      </c>
      <c r="AK411" s="1">
        <f>VLOOKUP($E411,'Product Parameters'!$A$2:$D$59,4,FALSE)</f>
        <v>0.12</v>
      </c>
      <c r="AL411" s="1">
        <f>VLOOKUP($E411,'Product Parameters'!$A$2:$E$59,5,FALSE)</f>
        <v>45</v>
      </c>
      <c r="AM411" s="1">
        <f>VLOOKUP($E411,'Product Parameters'!$A$2:$F$59,6,FALSE)</f>
        <v>3</v>
      </c>
      <c r="AN411" s="1">
        <f>VLOOKUP($C411,'Substrate Heating'!$A$2:$C$33,3,FALSE)</f>
        <v>249.93333333333334</v>
      </c>
      <c r="AO411" s="1">
        <f>VLOOKUP($C411,'Substrate Heating'!$A$2:$B$33,2,FALSE)</f>
        <v>8.1456827881222953</v>
      </c>
      <c r="AP411" s="1">
        <f>VLOOKUP($C411,'Substrate Heating'!$A$2:$M$33,13,FALSE)</f>
        <v>0.66666666666666663</v>
      </c>
      <c r="AQ411" s="1">
        <f>VLOOKUP($C411,'Substrate Heating'!$A$2:$M$33,8,FALSE)</f>
        <v>0.66666666666666663</v>
      </c>
      <c r="AR411" s="1">
        <f t="shared" si="6"/>
        <v>0.75000000000000155</v>
      </c>
    </row>
    <row r="412" spans="1:44" x14ac:dyDescent="0.2">
      <c r="A412" s="8" t="s">
        <v>816</v>
      </c>
      <c r="B412" s="18" t="s">
        <v>324</v>
      </c>
      <c r="C412" t="s">
        <v>815</v>
      </c>
      <c r="D412" s="19" t="s">
        <v>326</v>
      </c>
      <c r="E412" t="s">
        <v>232</v>
      </c>
      <c r="F412" t="s">
        <v>233</v>
      </c>
      <c r="G412">
        <v>-10</v>
      </c>
      <c r="H412">
        <v>0</v>
      </c>
      <c r="I412">
        <v>0</v>
      </c>
      <c r="J412">
        <v>0.45</v>
      </c>
      <c r="K412">
        <v>27.272727270000001</v>
      </c>
      <c r="L412">
        <v>0</v>
      </c>
      <c r="M412">
        <v>0</v>
      </c>
      <c r="N412">
        <v>27.272727270000001</v>
      </c>
      <c r="O412">
        <v>1.818181818</v>
      </c>
      <c r="P412"/>
      <c r="Q412">
        <v>6.6666666999999999E-2</v>
      </c>
      <c r="R412">
        <v>0.21403469</v>
      </c>
      <c r="S412" s="1" t="str">
        <f>VLOOKUP($E412,'Product Naming'!$A$1:$P$58,2,FALSE)</f>
        <v>Heptane</v>
      </c>
      <c r="T412" s="1" t="str">
        <f>VLOOKUP($E412,'Product Naming'!$A$1:$P$58,3,FALSE)</f>
        <v>Heptane</v>
      </c>
      <c r="U412" s="1" t="str">
        <f>VLOOKUP($E412,'Product Naming'!$A$1:$P$58,4,FALSE)</f>
        <v>E</v>
      </c>
      <c r="V412" s="1" t="str">
        <f>VLOOKUP($E412,'Product Naming'!$A$1:$P$58,5,FALSE)</f>
        <v>C7H16</v>
      </c>
      <c r="W412" s="1">
        <f>VLOOKUP($E412,'Product Naming'!$A$1:$P$58,6,FALSE)</f>
        <v>7</v>
      </c>
      <c r="X412" s="1">
        <f>VLOOKUP($E412,'Product Naming'!$A$1:$P$58,7,FALSE)</f>
        <v>16</v>
      </c>
      <c r="Y412" s="1">
        <f>VLOOKUP($E412,'Product Naming'!$A$1:$P$58,8,FALSE)</f>
        <v>0</v>
      </c>
      <c r="Z412" s="1">
        <f>VLOOKUP($E412,'Product Naming'!$A$1:$P$58,9,FALSE)</f>
        <v>0</v>
      </c>
      <c r="AA412" s="1">
        <f>VLOOKUP($E412,'Product Naming'!$A$1:$P$58,10,FALSE)</f>
        <v>0</v>
      </c>
      <c r="AB412" s="29">
        <f>VLOOKUP($E412,'Product Naming'!$A$1:$P$58,11,FALSE)</f>
        <v>6.2857142857142856</v>
      </c>
      <c r="AC412" s="3">
        <f>VLOOKUP($E412,'Product Naming'!$A$1:$P$58,12,FALSE)</f>
        <v>100.20034</v>
      </c>
      <c r="AD412" s="1">
        <f>VLOOKUP($E412,'Product Naming'!$A$1:$P$58,13,FALSE)</f>
        <v>98</v>
      </c>
      <c r="AE412" s="1" t="str">
        <f>VLOOKUP($E412,'Product Naming'!$A$1:$P$58,14,FALSE)</f>
        <v>Hydrocarbon (alkane)</v>
      </c>
      <c r="AF412" s="1" t="str">
        <f>VLOOKUP($E412,'Product Naming'!$A$1:$P$58,15,FALSE)</f>
        <v>Acetyl-CoA</v>
      </c>
      <c r="AG412" s="30" t="str">
        <f>VLOOKUP($E412,'Product Naming'!$A$1:$P$58,16,FALSE)</f>
        <v>Proton symporter</v>
      </c>
      <c r="AH412" s="3" t="str">
        <f>VLOOKUP($E412,'Product Naming'!$A$1:$Q$58,17,FALSE)</f>
        <v>hept_c</v>
      </c>
      <c r="AI412" s="1">
        <f>VLOOKUP($E412,'Product Parameters'!$A$2:$D$59,2,FALSE)</f>
        <v>1</v>
      </c>
      <c r="AJ412" s="1">
        <f>VLOOKUP($E412,'Product Parameters'!$A$2:$D$59,3,FALSE)</f>
        <v>0</v>
      </c>
      <c r="AK412" s="1">
        <f>VLOOKUP($E412,'Product Parameters'!$A$2:$D$59,4,FALSE)</f>
        <v>0.12</v>
      </c>
      <c r="AL412" s="1">
        <f>VLOOKUP($E412,'Product Parameters'!$A$2:$E$59,5,FALSE)</f>
        <v>36</v>
      </c>
      <c r="AM412" s="1">
        <f>VLOOKUP($E412,'Product Parameters'!$A$2:$F$59,6,FALSE)</f>
        <v>7</v>
      </c>
      <c r="AN412" s="1">
        <f>VLOOKUP($C412,'Substrate Heating'!$A$2:$C$33,3,FALSE)</f>
        <v>226.4</v>
      </c>
      <c r="AO412" s="1">
        <f>VLOOKUP($C412,'Substrate Heating'!$A$2:$B$33,2,FALSE)</f>
        <v>7.2542014450728134</v>
      </c>
      <c r="AP412" s="1">
        <f>VLOOKUP($C412,'Substrate Heating'!$A$2:$M$33,13,FALSE)</f>
        <v>1.6</v>
      </c>
      <c r="AQ412" s="1">
        <f>VLOOKUP($C412,'Substrate Heating'!$A$2:$M$33,8,FALSE)</f>
        <v>1</v>
      </c>
      <c r="AR412" s="1">
        <f t="shared" si="6"/>
        <v>0.46666666899999998</v>
      </c>
    </row>
    <row r="413" spans="1:44" x14ac:dyDescent="0.2">
      <c r="A413" s="17" t="s">
        <v>323</v>
      </c>
      <c r="B413" s="18" t="s">
        <v>324</v>
      </c>
      <c r="C413" t="s">
        <v>336</v>
      </c>
      <c r="D413" s="19" t="s">
        <v>326</v>
      </c>
      <c r="E413" t="s">
        <v>66</v>
      </c>
      <c r="F413" t="s">
        <v>67</v>
      </c>
      <c r="G413">
        <v>-10</v>
      </c>
      <c r="H413">
        <v>0</v>
      </c>
      <c r="I413">
        <v>-20</v>
      </c>
      <c r="J413">
        <v>0.45</v>
      </c>
      <c r="K413">
        <v>-10</v>
      </c>
      <c r="L413">
        <v>0</v>
      </c>
      <c r="M413">
        <v>-18.8102564102564</v>
      </c>
      <c r="N413">
        <v>0</v>
      </c>
      <c r="O413">
        <v>1.18974358974359</v>
      </c>
      <c r="P413"/>
      <c r="Q413">
        <v>0.118974358974359</v>
      </c>
      <c r="R413" s="20">
        <v>0.21517047303501399</v>
      </c>
      <c r="S413" s="1" t="str">
        <f>VLOOKUP($E413,'Product Naming'!$A$1:$P$58,2,FALSE)</f>
        <v>1-4-butanediol</v>
      </c>
      <c r="T413" s="1" t="str">
        <f>VLOOKUP($E413,'Product Naming'!$A$1:$P$58,3,FALSE)</f>
        <v>1,4-Butanediol</v>
      </c>
      <c r="U413" s="1" t="str">
        <f>VLOOKUP($E413,'Product Naming'!$A$1:$P$58,4,FALSE)</f>
        <v>E</v>
      </c>
      <c r="V413" s="1" t="str">
        <f>VLOOKUP($E413,'Product Naming'!$A$1:$P$58,5,FALSE)</f>
        <v>C4H10O2</v>
      </c>
      <c r="W413" s="1">
        <f>VLOOKUP($E413,'Product Naming'!$A$1:$P$58,6,FALSE)</f>
        <v>4</v>
      </c>
      <c r="X413" s="1">
        <f>VLOOKUP($E413,'Product Naming'!$A$1:$P$58,7,FALSE)</f>
        <v>10</v>
      </c>
      <c r="Y413" s="1">
        <f>VLOOKUP($E413,'Product Naming'!$A$1:$P$58,8,FALSE)</f>
        <v>2</v>
      </c>
      <c r="Z413" s="1">
        <f>VLOOKUP($E413,'Product Naming'!$A$1:$P$58,9,FALSE)</f>
        <v>0</v>
      </c>
      <c r="AA413" s="1">
        <f>VLOOKUP($E413,'Product Naming'!$A$1:$P$58,10,FALSE)</f>
        <v>0</v>
      </c>
      <c r="AB413" s="29">
        <f>VLOOKUP($E413,'Product Naming'!$A$1:$P$58,11,FALSE)</f>
        <v>5.5</v>
      </c>
      <c r="AC413" s="3">
        <f>VLOOKUP($E413,'Product Naming'!$A$1:$P$58,12,FALSE)</f>
        <v>90.119200000000006</v>
      </c>
      <c r="AD413" s="1">
        <f>VLOOKUP($E413,'Product Naming'!$A$1:$P$58,13,FALSE)</f>
        <v>230</v>
      </c>
      <c r="AE413" s="1" t="str">
        <f>VLOOKUP($E413,'Product Naming'!$A$1:$P$58,14,FALSE)</f>
        <v>Diol</v>
      </c>
      <c r="AF413" s="1" t="str">
        <f>VLOOKUP($E413,'Product Naming'!$A$1:$P$58,15,FALSE)</f>
        <v>aKG</v>
      </c>
      <c r="AG413" s="30" t="str">
        <f>VLOOKUP($E413,'Product Naming'!$A$1:$P$58,16,FALSE)</f>
        <v>Proton symporter</v>
      </c>
      <c r="AH413" s="3" t="str">
        <f>VLOOKUP($E413,'Product Naming'!$A$1:$Q$58,17,FALSE)</f>
        <v>14bdo_c</v>
      </c>
      <c r="AI413" s="1">
        <f>VLOOKUP($E413,'Product Parameters'!$A$2:$D$59,2,FALSE)</f>
        <v>1</v>
      </c>
      <c r="AJ413" s="1">
        <f>VLOOKUP($E413,'Product Parameters'!$A$2:$D$59,3,FALSE)</f>
        <v>0</v>
      </c>
      <c r="AK413" s="1">
        <f>VLOOKUP($E413,'Product Parameters'!$A$2:$D$59,4,FALSE)</f>
        <v>0.12</v>
      </c>
      <c r="AL413" s="1">
        <f>VLOOKUP($E413,'Product Parameters'!$A$2:$E$59,5,FALSE)</f>
        <v>78</v>
      </c>
      <c r="AM413" s="1">
        <f>VLOOKUP($E413,'Product Parameters'!$A$2:$F$59,6,FALSE)</f>
        <v>4</v>
      </c>
      <c r="AN413" s="1">
        <f>VLOOKUP($C413,'Substrate Heating'!$A$2:$C$33,3,FALSE)</f>
        <v>245.86666666666667</v>
      </c>
      <c r="AO413" s="1">
        <f>VLOOKUP($C413,'Substrate Heating'!$A$2:$B$33,2,FALSE)</f>
        <v>15.038360459876978</v>
      </c>
      <c r="AP413" s="1">
        <f>VLOOKUP($C413,'Substrate Heating'!$A$2:$M$33,13,FALSE)</f>
        <v>0.33333333333333331</v>
      </c>
      <c r="AQ413" s="1">
        <f>VLOOKUP($C413,'Substrate Heating'!$A$2:$M$33,8,FALSE)</f>
        <v>0.33333333333333331</v>
      </c>
      <c r="AR413" s="1">
        <f t="shared" si="6"/>
        <v>1.427692307692308</v>
      </c>
    </row>
    <row r="414" spans="1:44" x14ac:dyDescent="0.2">
      <c r="A414" s="8" t="s">
        <v>816</v>
      </c>
      <c r="B414" s="18" t="s">
        <v>324</v>
      </c>
      <c r="C414" t="s">
        <v>815</v>
      </c>
      <c r="D414" s="19" t="s">
        <v>326</v>
      </c>
      <c r="E414" t="s">
        <v>283</v>
      </c>
      <c r="F414" t="s">
        <v>284</v>
      </c>
      <c r="G414">
        <v>-10</v>
      </c>
      <c r="H414">
        <v>0</v>
      </c>
      <c r="I414">
        <v>0</v>
      </c>
      <c r="J414">
        <v>0.45</v>
      </c>
      <c r="K414">
        <v>27.2</v>
      </c>
      <c r="L414">
        <v>0</v>
      </c>
      <c r="M414">
        <v>0</v>
      </c>
      <c r="N414">
        <v>27.2</v>
      </c>
      <c r="O414">
        <v>1.6</v>
      </c>
      <c r="P414"/>
      <c r="Q414">
        <v>5.8823528999999999E-2</v>
      </c>
      <c r="R414">
        <v>0.21529057400000001</v>
      </c>
      <c r="S414" s="1" t="str">
        <f>VLOOKUP($E414,'Product Naming'!$A$1:$P$58,2,FALSE)</f>
        <v>Octane</v>
      </c>
      <c r="T414" s="1" t="str">
        <f>VLOOKUP($E414,'Product Naming'!$A$1:$P$58,3,FALSE)</f>
        <v>Octane</v>
      </c>
      <c r="U414" s="1" t="str">
        <f>VLOOKUP($E414,'Product Naming'!$A$1:$P$58,4,FALSE)</f>
        <v>E</v>
      </c>
      <c r="V414" s="1" t="str">
        <f>VLOOKUP($E414,'Product Naming'!$A$1:$P$58,5,FALSE)</f>
        <v>C8H18</v>
      </c>
      <c r="W414" s="1">
        <f>VLOOKUP($E414,'Product Naming'!$A$1:$P$58,6,FALSE)</f>
        <v>8</v>
      </c>
      <c r="X414" s="1">
        <f>VLOOKUP($E414,'Product Naming'!$A$1:$P$58,7,FALSE)</f>
        <v>18</v>
      </c>
      <c r="Y414" s="1">
        <f>VLOOKUP($E414,'Product Naming'!$A$1:$P$58,8,FALSE)</f>
        <v>0</v>
      </c>
      <c r="Z414" s="1">
        <f>VLOOKUP($E414,'Product Naming'!$A$1:$P$58,9,FALSE)</f>
        <v>0</v>
      </c>
      <c r="AA414" s="1">
        <f>VLOOKUP($E414,'Product Naming'!$A$1:$P$58,10,FALSE)</f>
        <v>0</v>
      </c>
      <c r="AB414" s="29">
        <f>VLOOKUP($E414,'Product Naming'!$A$1:$P$58,11,FALSE)</f>
        <v>6.25</v>
      </c>
      <c r="AC414" s="3">
        <f>VLOOKUP($E414,'Product Naming'!$A$1:$P$58,12,FALSE)</f>
        <v>114.22672</v>
      </c>
      <c r="AD414" s="1">
        <f>VLOOKUP($E414,'Product Naming'!$A$1:$P$58,13,FALSE)</f>
        <v>126</v>
      </c>
      <c r="AE414" s="1" t="str">
        <f>VLOOKUP($E414,'Product Naming'!$A$1:$P$58,14,FALSE)</f>
        <v>Hydrocarbon (alkane)</v>
      </c>
      <c r="AF414" s="1" t="str">
        <f>VLOOKUP($E414,'Product Naming'!$A$1:$P$58,15,FALSE)</f>
        <v>Acetyl-CoA + Succinyl-CoA</v>
      </c>
      <c r="AG414" s="30" t="str">
        <f>VLOOKUP($E414,'Product Naming'!$A$1:$P$58,16,FALSE)</f>
        <v>Proton symporter</v>
      </c>
      <c r="AH414" s="3" t="str">
        <f>VLOOKUP($E414,'Product Naming'!$A$1:$Q$58,17,FALSE)</f>
        <v>octn_c</v>
      </c>
      <c r="AI414" s="1">
        <f>VLOOKUP($E414,'Product Parameters'!$A$2:$D$59,2,FALSE)</f>
        <v>1</v>
      </c>
      <c r="AJ414" s="1">
        <f>VLOOKUP($E414,'Product Parameters'!$A$2:$D$59,3,FALSE)</f>
        <v>0</v>
      </c>
      <c r="AK414" s="1">
        <f>VLOOKUP($E414,'Product Parameters'!$A$2:$D$59,4,FALSE)</f>
        <v>0.12</v>
      </c>
      <c r="AL414" s="1">
        <f>VLOOKUP($E414,'Product Parameters'!$A$2:$E$59,5,FALSE)</f>
        <v>41</v>
      </c>
      <c r="AM414" s="1">
        <f>VLOOKUP($E414,'Product Parameters'!$A$2:$F$59,6,FALSE)</f>
        <v>8</v>
      </c>
      <c r="AN414" s="1">
        <f>VLOOKUP($C414,'Substrate Heating'!$A$2:$C$33,3,FALSE)</f>
        <v>226.4</v>
      </c>
      <c r="AO414" s="1">
        <f>VLOOKUP($C414,'Substrate Heating'!$A$2:$B$33,2,FALSE)</f>
        <v>7.2542014450728134</v>
      </c>
      <c r="AP414" s="1">
        <f>VLOOKUP($C414,'Substrate Heating'!$A$2:$M$33,13,FALSE)</f>
        <v>1.6</v>
      </c>
      <c r="AQ414" s="1">
        <f>VLOOKUP($C414,'Substrate Heating'!$A$2:$M$33,8,FALSE)</f>
        <v>1</v>
      </c>
      <c r="AR414" s="1">
        <f t="shared" si="6"/>
        <v>0.470588232</v>
      </c>
    </row>
    <row r="415" spans="1:44" x14ac:dyDescent="0.2">
      <c r="A415" s="8" t="s">
        <v>816</v>
      </c>
      <c r="B415" s="18" t="s">
        <v>324</v>
      </c>
      <c r="C415" t="s">
        <v>815</v>
      </c>
      <c r="D415" s="19" t="s">
        <v>326</v>
      </c>
      <c r="E415" t="s">
        <v>279</v>
      </c>
      <c r="F415" t="s">
        <v>280</v>
      </c>
      <c r="G415">
        <v>-10</v>
      </c>
      <c r="H415">
        <v>0</v>
      </c>
      <c r="I415">
        <v>0</v>
      </c>
      <c r="J415">
        <v>0.45</v>
      </c>
      <c r="K415">
        <v>27.14285714</v>
      </c>
      <c r="L415">
        <v>0</v>
      </c>
      <c r="M415">
        <v>0</v>
      </c>
      <c r="N415">
        <v>27.14285714</v>
      </c>
      <c r="O415">
        <v>1.428571429</v>
      </c>
      <c r="P415"/>
      <c r="Q415">
        <v>5.2631578999999998E-2</v>
      </c>
      <c r="R415">
        <v>0.216282062</v>
      </c>
      <c r="S415" s="1" t="str">
        <f>VLOOKUP($E415,'Product Naming'!$A$1:$P$58,2,FALSE)</f>
        <v>Nonane</v>
      </c>
      <c r="T415" s="1" t="str">
        <f>VLOOKUP($E415,'Product Naming'!$A$1:$P$58,3,FALSE)</f>
        <v>Nonane</v>
      </c>
      <c r="U415" s="1" t="str">
        <f>VLOOKUP($E415,'Product Naming'!$A$1:$P$58,4,FALSE)</f>
        <v>E</v>
      </c>
      <c r="V415" s="1" t="str">
        <f>VLOOKUP($E415,'Product Naming'!$A$1:$P$58,5,FALSE)</f>
        <v>C9H20</v>
      </c>
      <c r="W415" s="1">
        <f>VLOOKUP($E415,'Product Naming'!$A$1:$P$58,6,FALSE)</f>
        <v>9</v>
      </c>
      <c r="X415" s="1">
        <f>VLOOKUP($E415,'Product Naming'!$A$1:$P$58,7,FALSE)</f>
        <v>20</v>
      </c>
      <c r="Y415" s="1">
        <f>VLOOKUP($E415,'Product Naming'!$A$1:$P$58,8,FALSE)</f>
        <v>0</v>
      </c>
      <c r="Z415" s="1">
        <f>VLOOKUP($E415,'Product Naming'!$A$1:$P$58,9,FALSE)</f>
        <v>0</v>
      </c>
      <c r="AA415" s="1">
        <f>VLOOKUP($E415,'Product Naming'!$A$1:$P$58,10,FALSE)</f>
        <v>0</v>
      </c>
      <c r="AB415" s="29">
        <f>VLOOKUP($E415,'Product Naming'!$A$1:$P$58,11,FALSE)</f>
        <v>6.2222222222222223</v>
      </c>
      <c r="AC415" s="3">
        <f>VLOOKUP($E415,'Product Naming'!$A$1:$P$58,12,FALSE)</f>
        <v>128.25309999999999</v>
      </c>
      <c r="AD415" s="1">
        <f>VLOOKUP($E415,'Product Naming'!$A$1:$P$58,13,FALSE)</f>
        <v>151</v>
      </c>
      <c r="AE415" s="1" t="str">
        <f>VLOOKUP($E415,'Product Naming'!$A$1:$P$58,14,FALSE)</f>
        <v>Hydrocarbon (alkane)</v>
      </c>
      <c r="AF415" s="1" t="str">
        <f>VLOOKUP($E415,'Product Naming'!$A$1:$P$58,15,FALSE)</f>
        <v>Acetyl-CoA</v>
      </c>
      <c r="AG415" s="30" t="str">
        <f>VLOOKUP($E415,'Product Naming'!$A$1:$P$58,16,FALSE)</f>
        <v>Proton symporter</v>
      </c>
      <c r="AH415" s="3" t="str">
        <f>VLOOKUP($E415,'Product Naming'!$A$1:$Q$58,17,FALSE)</f>
        <v>nonan_c</v>
      </c>
      <c r="AI415" s="1">
        <f>VLOOKUP($E415,'Product Parameters'!$A$2:$D$59,2,FALSE)</f>
        <v>1</v>
      </c>
      <c r="AJ415" s="1">
        <f>VLOOKUP($E415,'Product Parameters'!$A$2:$D$59,3,FALSE)</f>
        <v>0</v>
      </c>
      <c r="AK415" s="1">
        <f>VLOOKUP($E415,'Product Parameters'!$A$2:$D$59,4,FALSE)</f>
        <v>0.12</v>
      </c>
      <c r="AL415" s="1">
        <f>VLOOKUP($E415,'Product Parameters'!$A$2:$E$59,5,FALSE)</f>
        <v>46.5</v>
      </c>
      <c r="AM415" s="1">
        <f>VLOOKUP($E415,'Product Parameters'!$A$2:$F$59,6,FALSE)</f>
        <v>9</v>
      </c>
      <c r="AN415" s="1">
        <f>VLOOKUP($C415,'Substrate Heating'!$A$2:$C$33,3,FALSE)</f>
        <v>226.4</v>
      </c>
      <c r="AO415" s="1">
        <f>VLOOKUP($C415,'Substrate Heating'!$A$2:$B$33,2,FALSE)</f>
        <v>7.2542014450728134</v>
      </c>
      <c r="AP415" s="1">
        <f>VLOOKUP($C415,'Substrate Heating'!$A$2:$M$33,13,FALSE)</f>
        <v>1.6</v>
      </c>
      <c r="AQ415" s="1">
        <f>VLOOKUP($C415,'Substrate Heating'!$A$2:$M$33,8,FALSE)</f>
        <v>1</v>
      </c>
      <c r="AR415" s="1">
        <f t="shared" si="6"/>
        <v>0.47368421099999997</v>
      </c>
    </row>
    <row r="416" spans="1:44" x14ac:dyDescent="0.2">
      <c r="A416" s="8" t="s">
        <v>34</v>
      </c>
      <c r="B416" s="9" t="s">
        <v>35</v>
      </c>
      <c r="C416" s="1" t="s">
        <v>330</v>
      </c>
      <c r="D416" s="10" t="s">
        <v>37</v>
      </c>
      <c r="E416" s="1" t="s">
        <v>306</v>
      </c>
      <c r="F416" s="1" t="s">
        <v>302</v>
      </c>
      <c r="G416" s="1">
        <v>-10</v>
      </c>
      <c r="H416" s="1">
        <v>-20</v>
      </c>
      <c r="I416" s="1" t="s">
        <v>40</v>
      </c>
      <c r="J416" s="1">
        <v>3.15</v>
      </c>
      <c r="K416" s="1">
        <v>-10</v>
      </c>
      <c r="L416" s="1">
        <v>-9.7357142857142804</v>
      </c>
      <c r="M416" s="1" t="s">
        <v>40</v>
      </c>
      <c r="N416" s="1">
        <v>10.841428571428599</v>
      </c>
      <c r="O416" s="1">
        <v>3.0528571428571398</v>
      </c>
      <c r="Q416" s="1">
        <v>0.30528571428571399</v>
      </c>
      <c r="R416" s="1">
        <v>0.216888986955905</v>
      </c>
      <c r="S416" s="1" t="str">
        <f>VLOOKUP($E416,'Product Naming'!$A$1:$P$58,2,FALSE)</f>
        <v>Propane-PW2</v>
      </c>
      <c r="T416" s="1" t="str">
        <f>VLOOKUP($E416,'Product Naming'!$A$1:$P$58,3,FALSE)</f>
        <v>Propane (PW2)</v>
      </c>
      <c r="U416" s="1" t="str">
        <f>VLOOKUP($E416,'Product Naming'!$A$1:$P$58,4,FALSE)</f>
        <v>E</v>
      </c>
      <c r="V416" s="1" t="str">
        <f>VLOOKUP($E416,'Product Naming'!$A$1:$P$58,5,FALSE)</f>
        <v>C3H8</v>
      </c>
      <c r="W416" s="1">
        <f>VLOOKUP($E416,'Product Naming'!$A$1:$P$58,6,FALSE)</f>
        <v>3</v>
      </c>
      <c r="X416" s="1">
        <f>VLOOKUP($E416,'Product Naming'!$A$1:$P$58,7,FALSE)</f>
        <v>8</v>
      </c>
      <c r="Y416" s="1">
        <f>VLOOKUP($E416,'Product Naming'!$A$1:$P$58,8,FALSE)</f>
        <v>0</v>
      </c>
      <c r="Z416" s="1">
        <f>VLOOKUP($E416,'Product Naming'!$A$1:$P$58,9,FALSE)</f>
        <v>0</v>
      </c>
      <c r="AA416" s="1">
        <f>VLOOKUP($E416,'Product Naming'!$A$1:$P$58,10,FALSE)</f>
        <v>0</v>
      </c>
      <c r="AB416" s="29">
        <f>VLOOKUP($E416,'Product Naming'!$A$1:$P$58,11,FALSE)</f>
        <v>6.666666666666667</v>
      </c>
      <c r="AC416" s="3">
        <f>VLOOKUP($E416,'Product Naming'!$A$1:$P$58,12,FALSE)</f>
        <v>44.094819999999999</v>
      </c>
      <c r="AD416" s="1">
        <f>VLOOKUP($E416,'Product Naming'!$A$1:$P$58,13,FALSE)</f>
        <v>-42</v>
      </c>
      <c r="AE416" s="1" t="str">
        <f>VLOOKUP($E416,'Product Naming'!$A$1:$P$58,14,FALSE)</f>
        <v>Hydrocarbon</v>
      </c>
      <c r="AF416" s="1" t="str">
        <f>VLOOKUP($E416,'Product Naming'!$A$1:$P$58,15,FALSE)</f>
        <v>Oxaloacetate</v>
      </c>
      <c r="AG416" s="30" t="str">
        <f>VLOOKUP($E416,'Product Naming'!$A$1:$P$58,16,FALSE)</f>
        <v>Diffusion</v>
      </c>
      <c r="AH416" s="3" t="str">
        <f>VLOOKUP($E416,'Product Naming'!$A$1:$Q$58,17,FALSE)</f>
        <v>prop_c</v>
      </c>
      <c r="AI416" s="1">
        <f>VLOOKUP($E416,'Product Parameters'!$A$2:$D$59,2,FALSE)</f>
        <v>0</v>
      </c>
      <c r="AJ416" s="1">
        <f>VLOOKUP($E416,'Product Parameters'!$A$2:$D$59,3,FALSE)</f>
        <v>1</v>
      </c>
      <c r="AK416" s="1">
        <f>VLOOKUP($E416,'Product Parameters'!$A$2:$D$59,4,FALSE)</f>
        <v>0.12</v>
      </c>
      <c r="AL416" s="1">
        <f>VLOOKUP($E416,'Product Parameters'!$A$2:$E$59,5,FALSE)</f>
        <v>0</v>
      </c>
      <c r="AM416" s="1">
        <f>VLOOKUP($E416,'Product Parameters'!$A$2:$F$59,6,FALSE)</f>
        <v>3</v>
      </c>
      <c r="AN416" s="1">
        <f>VLOOKUP($C416,'Substrate Heating'!$A$2:$C$33,3,FALSE)</f>
        <v>1055.1294800000001</v>
      </c>
      <c r="AO416" s="1">
        <f>VLOOKUP($C416,'Substrate Heating'!$A$2:$B$33,2,FALSE)</f>
        <v>17</v>
      </c>
      <c r="AP416" s="1">
        <f>VLOOKUP($C416,'Substrate Heating'!$A$2:$M$33,13,FALSE)</f>
        <v>5</v>
      </c>
      <c r="AQ416" s="1">
        <f>VLOOKUP($C416,'Substrate Heating'!$A$2:$M$33,8,FALSE)</f>
        <v>2</v>
      </c>
      <c r="AR416" s="1">
        <f t="shared" si="6"/>
        <v>0.45792857142857102</v>
      </c>
    </row>
    <row r="417" spans="1:44" x14ac:dyDescent="0.2">
      <c r="A417" s="17" t="s">
        <v>323</v>
      </c>
      <c r="B417" s="18" t="s">
        <v>324</v>
      </c>
      <c r="C417" t="s">
        <v>325</v>
      </c>
      <c r="D417" s="19" t="s">
        <v>326</v>
      </c>
      <c r="E417" t="s">
        <v>164</v>
      </c>
      <c r="F417" t="s">
        <v>165</v>
      </c>
      <c r="G417">
        <v>-10</v>
      </c>
      <c r="H417">
        <v>0</v>
      </c>
      <c r="I417">
        <v>0</v>
      </c>
      <c r="J417">
        <v>0.45</v>
      </c>
      <c r="K417">
        <v>-10</v>
      </c>
      <c r="L417">
        <v>0</v>
      </c>
      <c r="M417">
        <v>0</v>
      </c>
      <c r="N417">
        <v>6.6666666666666696</v>
      </c>
      <c r="O417">
        <v>0.83333333333333304</v>
      </c>
      <c r="P417"/>
      <c r="Q417">
        <v>8.3333333333332996E-2</v>
      </c>
      <c r="R417">
        <v>0.22051707723432101</v>
      </c>
      <c r="S417" s="1" t="str">
        <f>VLOOKUP($E417,'Product Naming'!$A$1:$P$58,2,FALSE)</f>
        <v>Butanol-PW1</v>
      </c>
      <c r="T417" s="1" t="str">
        <f>VLOOKUP($E417,'Product Naming'!$A$1:$P$58,3,FALSE)</f>
        <v>Butanol (PW1)</v>
      </c>
      <c r="U417" s="1" t="str">
        <f>VLOOKUP($E417,'Product Naming'!$A$1:$P$58,4,FALSE)</f>
        <v>E</v>
      </c>
      <c r="V417" s="1" t="str">
        <f>VLOOKUP($E417,'Product Naming'!$A$1:$P$58,5,FALSE)</f>
        <v>C4H10O</v>
      </c>
      <c r="W417" s="1">
        <f>VLOOKUP($E417,'Product Naming'!$A$1:$P$58,6,FALSE)</f>
        <v>4</v>
      </c>
      <c r="X417" s="1">
        <f>VLOOKUP($E417,'Product Naming'!$A$1:$P$58,7,FALSE)</f>
        <v>10</v>
      </c>
      <c r="Y417" s="1">
        <f>VLOOKUP($E417,'Product Naming'!$A$1:$P$58,8,FALSE)</f>
        <v>1</v>
      </c>
      <c r="Z417" s="1">
        <f>VLOOKUP($E417,'Product Naming'!$A$1:$P$58,9,FALSE)</f>
        <v>0</v>
      </c>
      <c r="AA417" s="1">
        <f>VLOOKUP($E417,'Product Naming'!$A$1:$P$58,10,FALSE)</f>
        <v>0</v>
      </c>
      <c r="AB417" s="29">
        <f>VLOOKUP($E417,'Product Naming'!$A$1:$P$58,11,FALSE)</f>
        <v>6</v>
      </c>
      <c r="AC417" s="3">
        <f>VLOOKUP($E417,'Product Naming'!$A$1:$P$58,12,FALSE)</f>
        <v>74.120199999999997</v>
      </c>
      <c r="AD417" s="1">
        <f>VLOOKUP($E417,'Product Naming'!$A$1:$P$58,13,FALSE)</f>
        <v>117.7</v>
      </c>
      <c r="AE417" s="1" t="str">
        <f>VLOOKUP($E417,'Product Naming'!$A$1:$P$58,14,FALSE)</f>
        <v>Alcohol</v>
      </c>
      <c r="AF417" s="1" t="str">
        <f>VLOOKUP($E417,'Product Naming'!$A$1:$P$58,15,FALSE)</f>
        <v>Acetyl-CoA</v>
      </c>
      <c r="AG417" s="30" t="str">
        <f>VLOOKUP($E417,'Product Naming'!$A$1:$P$58,16,FALSE)</f>
        <v>Proton symporter</v>
      </c>
      <c r="AH417" s="3" t="str">
        <f>VLOOKUP($E417,'Product Naming'!$A$1:$Q$58,17,FALSE)</f>
        <v>btoh_c</v>
      </c>
      <c r="AI417" s="1">
        <f>VLOOKUP($E417,'Product Parameters'!$A$2:$D$59,2,FALSE)</f>
        <v>1</v>
      </c>
      <c r="AJ417" s="1">
        <f>VLOOKUP($E417,'Product Parameters'!$A$2:$D$59,3,FALSE)</f>
        <v>0</v>
      </c>
      <c r="AK417" s="1">
        <f>VLOOKUP($E417,'Product Parameters'!$A$2:$D$59,4,FALSE)</f>
        <v>0.12</v>
      </c>
      <c r="AL417" s="1">
        <f>VLOOKUP($E417,'Product Parameters'!$A$2:$E$59,5,FALSE)</f>
        <v>52</v>
      </c>
      <c r="AM417" s="1">
        <f>VLOOKUP($E417,'Product Parameters'!$A$2:$F$59,6,FALSE)</f>
        <v>4</v>
      </c>
      <c r="AN417" s="1">
        <f>VLOOKUP($C417,'Substrate Heating'!$A$2:$C$33,3,FALSE)</f>
        <v>280.09700000000004</v>
      </c>
      <c r="AO417" s="1">
        <f>VLOOKUP($C417,'Substrate Heating'!$A$2:$B$33,2,FALSE)</f>
        <v>10</v>
      </c>
      <c r="AP417" s="1">
        <f>VLOOKUP($C417,'Substrate Heating'!$A$2:$M$33,13,FALSE)</f>
        <v>2</v>
      </c>
      <c r="AQ417" s="1">
        <f>VLOOKUP($C417,'Substrate Heating'!$A$2:$M$33,8,FALSE)</f>
        <v>1</v>
      </c>
      <c r="AR417" s="1">
        <f t="shared" si="6"/>
        <v>0.33333333333333198</v>
      </c>
    </row>
    <row r="418" spans="1:44" x14ac:dyDescent="0.2">
      <c r="A418" s="17" t="s">
        <v>323</v>
      </c>
      <c r="B418" s="18" t="s">
        <v>324</v>
      </c>
      <c r="C418" t="s">
        <v>325</v>
      </c>
      <c r="D418" s="19" t="s">
        <v>326</v>
      </c>
      <c r="E418" t="s">
        <v>169</v>
      </c>
      <c r="F418" t="s">
        <v>165</v>
      </c>
      <c r="G418">
        <v>-10</v>
      </c>
      <c r="H418">
        <v>0</v>
      </c>
      <c r="I418">
        <v>0</v>
      </c>
      <c r="J418">
        <v>0.45</v>
      </c>
      <c r="K418">
        <v>-10</v>
      </c>
      <c r="L418">
        <v>0</v>
      </c>
      <c r="M418">
        <v>0</v>
      </c>
      <c r="N418">
        <v>6.6666666666666696</v>
      </c>
      <c r="O418">
        <v>0.83333333333333304</v>
      </c>
      <c r="P418"/>
      <c r="Q418">
        <v>8.3333333333333301E-2</v>
      </c>
      <c r="R418">
        <v>0.22051707723432101</v>
      </c>
      <c r="S418" s="1" t="str">
        <f>VLOOKUP($E418,'Product Naming'!$A$1:$P$58,2,FALSE)</f>
        <v>Butanol-PW2</v>
      </c>
      <c r="T418" s="1" t="str">
        <f>VLOOKUP($E418,'Product Naming'!$A$1:$P$58,3,FALSE)</f>
        <v>Butanol (PW2)</v>
      </c>
      <c r="U418" s="1" t="str">
        <f>VLOOKUP($E418,'Product Naming'!$A$1:$P$58,4,FALSE)</f>
        <v>E</v>
      </c>
      <c r="V418" s="1" t="str">
        <f>VLOOKUP($E418,'Product Naming'!$A$1:$P$58,5,FALSE)</f>
        <v>C4H10O</v>
      </c>
      <c r="W418" s="1">
        <f>VLOOKUP($E418,'Product Naming'!$A$1:$P$58,6,FALSE)</f>
        <v>4</v>
      </c>
      <c r="X418" s="1">
        <f>VLOOKUP($E418,'Product Naming'!$A$1:$P$58,7,FALSE)</f>
        <v>10</v>
      </c>
      <c r="Y418" s="1">
        <f>VLOOKUP($E418,'Product Naming'!$A$1:$P$58,8,FALSE)</f>
        <v>1</v>
      </c>
      <c r="Z418" s="1">
        <f>VLOOKUP($E418,'Product Naming'!$A$1:$P$58,9,FALSE)</f>
        <v>0</v>
      </c>
      <c r="AA418" s="1">
        <f>VLOOKUP($E418,'Product Naming'!$A$1:$P$58,10,FALSE)</f>
        <v>0</v>
      </c>
      <c r="AB418" s="29">
        <f>VLOOKUP($E418,'Product Naming'!$A$1:$P$58,11,FALSE)</f>
        <v>6</v>
      </c>
      <c r="AC418" s="3">
        <f>VLOOKUP($E418,'Product Naming'!$A$1:$P$58,12,FALSE)</f>
        <v>74.120199999999997</v>
      </c>
      <c r="AD418" s="1">
        <f>VLOOKUP($E418,'Product Naming'!$A$1:$P$58,13,FALSE)</f>
        <v>117.7</v>
      </c>
      <c r="AE418" s="1" t="str">
        <f>VLOOKUP($E418,'Product Naming'!$A$1:$P$58,14,FALSE)</f>
        <v>Alcohol</v>
      </c>
      <c r="AF418" s="1" t="str">
        <f>VLOOKUP($E418,'Product Naming'!$A$1:$P$58,15,FALSE)</f>
        <v>Oxaloacetate</v>
      </c>
      <c r="AG418" s="30" t="str">
        <f>VLOOKUP($E418,'Product Naming'!$A$1:$P$58,16,FALSE)</f>
        <v>Proton symporter</v>
      </c>
      <c r="AH418" s="3" t="str">
        <f>VLOOKUP($E418,'Product Naming'!$A$1:$Q$58,17,FALSE)</f>
        <v>btoh_c</v>
      </c>
      <c r="AI418" s="1">
        <f>VLOOKUP($E418,'Product Parameters'!$A$2:$D$59,2,FALSE)</f>
        <v>1</v>
      </c>
      <c r="AJ418" s="1">
        <f>VLOOKUP($E418,'Product Parameters'!$A$2:$D$59,3,FALSE)</f>
        <v>0</v>
      </c>
      <c r="AK418" s="1">
        <f>VLOOKUP($E418,'Product Parameters'!$A$2:$D$59,4,FALSE)</f>
        <v>0.12</v>
      </c>
      <c r="AL418" s="1">
        <f>VLOOKUP($E418,'Product Parameters'!$A$2:$E$59,5,FALSE)</f>
        <v>52</v>
      </c>
      <c r="AM418" s="1">
        <f>VLOOKUP($E418,'Product Parameters'!$A$2:$F$59,6,FALSE)</f>
        <v>4</v>
      </c>
      <c r="AN418" s="1">
        <f>VLOOKUP($C418,'Substrate Heating'!$A$2:$C$33,3,FALSE)</f>
        <v>280.09700000000004</v>
      </c>
      <c r="AO418" s="1">
        <f>VLOOKUP($C418,'Substrate Heating'!$A$2:$B$33,2,FALSE)</f>
        <v>10</v>
      </c>
      <c r="AP418" s="1">
        <f>VLOOKUP($C418,'Substrate Heating'!$A$2:$M$33,13,FALSE)</f>
        <v>2</v>
      </c>
      <c r="AQ418" s="1">
        <f>VLOOKUP($C418,'Substrate Heating'!$A$2:$M$33,8,FALSE)</f>
        <v>1</v>
      </c>
      <c r="AR418" s="1">
        <f t="shared" si="6"/>
        <v>0.3333333333333332</v>
      </c>
    </row>
    <row r="419" spans="1:44" x14ac:dyDescent="0.2">
      <c r="A419" s="17" t="s">
        <v>323</v>
      </c>
      <c r="B419" s="18" t="s">
        <v>324</v>
      </c>
      <c r="C419" t="s">
        <v>335</v>
      </c>
      <c r="D419" s="19" t="s">
        <v>326</v>
      </c>
      <c r="E419" t="s">
        <v>52</v>
      </c>
      <c r="F419" t="s">
        <v>53</v>
      </c>
      <c r="G419">
        <v>-10</v>
      </c>
      <c r="H419">
        <v>0</v>
      </c>
      <c r="I419">
        <v>-10</v>
      </c>
      <c r="J419">
        <v>0.45</v>
      </c>
      <c r="K419">
        <v>-10</v>
      </c>
      <c r="L419">
        <v>0</v>
      </c>
      <c r="M419">
        <v>-10</v>
      </c>
      <c r="N419">
        <v>1.4</v>
      </c>
      <c r="O419">
        <v>1.4</v>
      </c>
      <c r="P419"/>
      <c r="Q419">
        <v>0.14000000000000001</v>
      </c>
      <c r="R419">
        <v>0.221844535646498</v>
      </c>
      <c r="S419" s="1" t="str">
        <f>VLOOKUP($E419,'Product Naming'!$A$1:$P$58,2,FALSE)</f>
        <v>1-3-Diaminopropane</v>
      </c>
      <c r="T419" s="1" t="str">
        <f>VLOOKUP($E419,'Product Naming'!$A$1:$P$58,3,FALSE)</f>
        <v>1,3-Diaminopropane</v>
      </c>
      <c r="U419" s="1" t="str">
        <f>VLOOKUP($E419,'Product Naming'!$A$1:$P$58,4,FALSE)</f>
        <v>A</v>
      </c>
      <c r="V419" s="1" t="str">
        <f>VLOOKUP($E419,'Product Naming'!$A$1:$P$58,5,FALSE)</f>
        <v>C3H12N2</v>
      </c>
      <c r="W419" s="1">
        <f>VLOOKUP($E419,'Product Naming'!$A$1:$P$58,6,FALSE)</f>
        <v>3</v>
      </c>
      <c r="X419" s="1">
        <f>VLOOKUP($E419,'Product Naming'!$A$1:$P$58,7,FALSE)</f>
        <v>12</v>
      </c>
      <c r="Y419" s="1">
        <f>VLOOKUP($E419,'Product Naming'!$A$1:$P$58,8,FALSE)</f>
        <v>0</v>
      </c>
      <c r="Z419" s="1">
        <f>VLOOKUP($E419,'Product Naming'!$A$1:$P$58,9,FALSE)</f>
        <v>2</v>
      </c>
      <c r="AA419" s="1">
        <f>VLOOKUP($E419,'Product Naming'!$A$1:$P$58,10,FALSE)</f>
        <v>2</v>
      </c>
      <c r="AB419" s="29">
        <f>VLOOKUP($E419,'Product Naming'!$A$1:$P$58,11,FALSE)</f>
        <v>6</v>
      </c>
      <c r="AC419" s="3">
        <f>VLOOKUP($E419,'Product Naming'!$A$1:$P$58,12,FALSE)</f>
        <v>76.139580000000009</v>
      </c>
      <c r="AD419" s="1">
        <f>VLOOKUP($E419,'Product Naming'!$A$1:$P$58,13,FALSE)</f>
        <v>139.30000000000001</v>
      </c>
      <c r="AE419" s="1" t="str">
        <f>VLOOKUP($E419,'Product Naming'!$A$1:$P$58,14,FALSE)</f>
        <v>Diamine</v>
      </c>
      <c r="AF419" s="1" t="str">
        <f>VLOOKUP($E419,'Product Naming'!$A$1:$P$58,15,FALSE)</f>
        <v>Oxaloacetate + aKG</v>
      </c>
      <c r="AG419" s="30" t="str">
        <f>VLOOKUP($E419,'Product Naming'!$A$1:$P$58,16,FALSE)</f>
        <v>Proton symporter</v>
      </c>
      <c r="AH419" s="3" t="str">
        <f>VLOOKUP($E419,'Product Naming'!$A$1:$Q$58,17,FALSE)</f>
        <v>13dampp_c</v>
      </c>
      <c r="AI419" s="1">
        <f>VLOOKUP($E419,'Product Parameters'!$A$2:$D$59,2,FALSE)</f>
        <v>1</v>
      </c>
      <c r="AJ419" s="1">
        <f>VLOOKUP($E419,'Product Parameters'!$A$2:$D$59,3,FALSE)</f>
        <v>0</v>
      </c>
      <c r="AK419" s="1">
        <f>VLOOKUP($E419,'Product Parameters'!$A$2:$D$59,4,FALSE)</f>
        <v>0.12</v>
      </c>
      <c r="AL419" s="1">
        <f>VLOOKUP($E419,'Product Parameters'!$A$2:$E$59,5,FALSE)</f>
        <v>50.18</v>
      </c>
      <c r="AM419" s="1">
        <f>VLOOKUP($E419,'Product Parameters'!$A$2:$F$59,6,FALSE)</f>
        <v>3</v>
      </c>
      <c r="AN419" s="1">
        <f>VLOOKUP($C419,'Substrate Heating'!$A$2:$C$33,3,FALSE)</f>
        <v>247.9</v>
      </c>
      <c r="AO419" s="1">
        <f>VLOOKUP($C419,'Substrate Heating'!$A$2:$B$33,2,FALSE)</f>
        <v>10.541709491918519</v>
      </c>
      <c r="AP419" s="1">
        <f>VLOOKUP($C419,'Substrate Heating'!$A$2:$M$33,13,FALSE)</f>
        <v>0.5</v>
      </c>
      <c r="AQ419" s="1">
        <f>VLOOKUP($C419,'Substrate Heating'!$A$2:$M$33,8,FALSE)</f>
        <v>0.5</v>
      </c>
      <c r="AR419" s="1">
        <f t="shared" si="6"/>
        <v>0.84000000000000008</v>
      </c>
    </row>
    <row r="420" spans="1:44" x14ac:dyDescent="0.2">
      <c r="A420" s="8" t="s">
        <v>34</v>
      </c>
      <c r="B420" s="9" t="s">
        <v>35</v>
      </c>
      <c r="C420" s="1" t="s">
        <v>344</v>
      </c>
      <c r="D420" s="10" t="s">
        <v>37</v>
      </c>
      <c r="E420" s="1" t="s">
        <v>287</v>
      </c>
      <c r="F420" s="1" t="s">
        <v>288</v>
      </c>
      <c r="G420" s="1">
        <v>-10</v>
      </c>
      <c r="H420" s="1">
        <v>-20</v>
      </c>
      <c r="I420" s="1" t="s">
        <v>40</v>
      </c>
      <c r="J420" s="1">
        <v>3.15</v>
      </c>
      <c r="K420" s="1">
        <v>-10</v>
      </c>
      <c r="L420" s="1">
        <v>-5.1778894472361801</v>
      </c>
      <c r="M420" s="1" t="s">
        <v>40</v>
      </c>
      <c r="N420" s="1">
        <v>10.7361809045226</v>
      </c>
      <c r="O420" s="1">
        <v>1.85276381909548</v>
      </c>
      <c r="Q420" s="1">
        <v>0.18527638190954801</v>
      </c>
      <c r="R420" s="1">
        <v>0.22259446123242599</v>
      </c>
      <c r="S420" s="1" t="str">
        <f>VLOOKUP($E420,'Product Naming'!$A$1:$P$58,2,FALSE)</f>
        <v>Pentane</v>
      </c>
      <c r="T420" s="1" t="str">
        <f>VLOOKUP($E420,'Product Naming'!$A$1:$P$58,3,FALSE)</f>
        <v>Pentane</v>
      </c>
      <c r="U420" s="1" t="str">
        <f>VLOOKUP($E420,'Product Naming'!$A$1:$P$58,4,FALSE)</f>
        <v>E</v>
      </c>
      <c r="V420" s="1" t="str">
        <f>VLOOKUP($E420,'Product Naming'!$A$1:$P$58,5,FALSE)</f>
        <v>C5H12</v>
      </c>
      <c r="W420" s="1">
        <f>VLOOKUP($E420,'Product Naming'!$A$1:$P$58,6,FALSE)</f>
        <v>5</v>
      </c>
      <c r="X420" s="1">
        <f>VLOOKUP($E420,'Product Naming'!$A$1:$P$58,7,FALSE)</f>
        <v>12</v>
      </c>
      <c r="Y420" s="1">
        <f>VLOOKUP($E420,'Product Naming'!$A$1:$P$58,8,FALSE)</f>
        <v>0</v>
      </c>
      <c r="Z420" s="1">
        <f>VLOOKUP($E420,'Product Naming'!$A$1:$P$58,9,FALSE)</f>
        <v>0</v>
      </c>
      <c r="AA420" s="1">
        <f>VLOOKUP($E420,'Product Naming'!$A$1:$P$58,10,FALSE)</f>
        <v>0</v>
      </c>
      <c r="AB420" s="29">
        <f>VLOOKUP($E420,'Product Naming'!$A$1:$P$58,11,FALSE)</f>
        <v>6.4</v>
      </c>
      <c r="AC420" s="3">
        <f>VLOOKUP($E420,'Product Naming'!$A$1:$P$58,12,FALSE)</f>
        <v>72.147580000000005</v>
      </c>
      <c r="AD420" s="1">
        <f>VLOOKUP($E420,'Product Naming'!$A$1:$P$58,13,FALSE)</f>
        <v>36.1</v>
      </c>
      <c r="AE420" s="1" t="str">
        <f>VLOOKUP($E420,'Product Naming'!$A$1:$P$58,14,FALSE)</f>
        <v>Hydrocarbon (alkane)</v>
      </c>
      <c r="AF420" s="1" t="str">
        <f>VLOOKUP($E420,'Product Naming'!$A$1:$P$58,15,FALSE)</f>
        <v>Acetyl-CoA</v>
      </c>
      <c r="AG420" s="30" t="str">
        <f>VLOOKUP($E420,'Product Naming'!$A$1:$P$58,16,FALSE)</f>
        <v>Diffusion</v>
      </c>
      <c r="AH420" s="3" t="str">
        <f>VLOOKUP($E420,'Product Naming'!$A$1:$Q$58,17,FALSE)</f>
        <v>pent_c</v>
      </c>
      <c r="AI420" s="1">
        <f>VLOOKUP($E420,'Product Parameters'!$A$2:$D$59,2,FALSE)</f>
        <v>0</v>
      </c>
      <c r="AJ420" s="1">
        <f>VLOOKUP($E420,'Product Parameters'!$A$2:$D$59,3,FALSE)</f>
        <v>1</v>
      </c>
      <c r="AK420" s="1">
        <f>VLOOKUP($E420,'Product Parameters'!$A$2:$D$59,4,FALSE)</f>
        <v>0.12</v>
      </c>
      <c r="AL420" s="1">
        <f>VLOOKUP($E420,'Product Parameters'!$A$2:$E$59,5,FALSE)</f>
        <v>26.5</v>
      </c>
      <c r="AM420" s="1">
        <f>VLOOKUP($E420,'Product Parameters'!$A$2:$F$59,6,FALSE)</f>
        <v>5</v>
      </c>
      <c r="AN420" s="1">
        <f>VLOOKUP($C420,'Substrate Heating'!$A$2:$C$33,3,FALSE)</f>
        <v>1020.8629199999999</v>
      </c>
      <c r="AO420" s="1">
        <f>VLOOKUP($C420,'Substrate Heating'!$A$2:$B$33,2,FALSE)</f>
        <v>17</v>
      </c>
      <c r="AP420" s="1">
        <f>VLOOKUP($C420,'Substrate Heating'!$A$2:$M$33,13,FALSE)</f>
        <v>4</v>
      </c>
      <c r="AQ420" s="1">
        <f>VLOOKUP($C420,'Substrate Heating'!$A$2:$M$33,8,FALSE)</f>
        <v>2</v>
      </c>
      <c r="AR420" s="1">
        <f t="shared" si="6"/>
        <v>0.46319095477387001</v>
      </c>
    </row>
    <row r="421" spans="1:44" x14ac:dyDescent="0.2">
      <c r="A421" s="17" t="s">
        <v>323</v>
      </c>
      <c r="B421" s="18" t="s">
        <v>324</v>
      </c>
      <c r="C421" t="s">
        <v>333</v>
      </c>
      <c r="D421" s="19" t="s">
        <v>326</v>
      </c>
      <c r="E421" t="s">
        <v>215</v>
      </c>
      <c r="F421" t="s">
        <v>216</v>
      </c>
      <c r="G421">
        <v>-10</v>
      </c>
      <c r="H421">
        <v>0</v>
      </c>
      <c r="I421">
        <v>0</v>
      </c>
      <c r="J421">
        <v>0.45</v>
      </c>
      <c r="K421">
        <v>-10</v>
      </c>
      <c r="L421">
        <v>0</v>
      </c>
      <c r="M421">
        <v>0</v>
      </c>
      <c r="N421">
        <v>4.6491803278688497</v>
      </c>
      <c r="O421">
        <v>0.70163934426229602</v>
      </c>
      <c r="P421"/>
      <c r="Q421">
        <v>7.0163934426229604E-2</v>
      </c>
      <c r="R421">
        <v>0.2227322922926</v>
      </c>
      <c r="S421" s="1" t="str">
        <f>VLOOKUP($E421,'Product Naming'!$A$1:$P$58,2,FALSE)</f>
        <v>Glutamate_L</v>
      </c>
      <c r="T421" s="1" t="str">
        <f>VLOOKUP($E421,'Product Naming'!$A$1:$P$58,3,FALSE)</f>
        <v>L-Glutamate</v>
      </c>
      <c r="U421" s="1" t="str">
        <f>VLOOKUP($E421,'Product Naming'!$A$1:$P$58,4,FALSE)</f>
        <v>iJO1366</v>
      </c>
      <c r="V421" s="1" t="str">
        <f>VLOOKUP($E421,'Product Naming'!$A$1:$P$58,5,FALSE)</f>
        <v>C5H8NO4</v>
      </c>
      <c r="W421" s="1">
        <f>VLOOKUP($E421,'Product Naming'!$A$1:$P$58,6,FALSE)</f>
        <v>5</v>
      </c>
      <c r="X421" s="1">
        <f>VLOOKUP($E421,'Product Naming'!$A$1:$P$58,7,FALSE)</f>
        <v>8</v>
      </c>
      <c r="Y421" s="1">
        <f>VLOOKUP($E421,'Product Naming'!$A$1:$P$58,8,FALSE)</f>
        <v>4</v>
      </c>
      <c r="Z421" s="1">
        <f>VLOOKUP($E421,'Product Naming'!$A$1:$P$58,9,FALSE)</f>
        <v>1</v>
      </c>
      <c r="AA421" s="1">
        <f>VLOOKUP($E421,'Product Naming'!$A$1:$P$58,10,FALSE)</f>
        <v>-1</v>
      </c>
      <c r="AB421" s="29">
        <f>VLOOKUP($E421,'Product Naming'!$A$1:$P$58,11,FALSE)</f>
        <v>3.4</v>
      </c>
      <c r="AC421" s="3">
        <f>VLOOKUP($E421,'Product Naming'!$A$1:$P$58,12,FALSE)</f>
        <v>146.11892</v>
      </c>
      <c r="AD421" s="1">
        <f>VLOOKUP($E421,'Product Naming'!$A$1:$P$58,13,FALSE)</f>
        <v>333.8</v>
      </c>
      <c r="AE421" s="1" t="str">
        <f>VLOOKUP($E421,'Product Naming'!$A$1:$P$58,14,FALSE)</f>
        <v>Amino acid</v>
      </c>
      <c r="AF421" s="1" t="str">
        <f>VLOOKUP($E421,'Product Naming'!$A$1:$P$58,15,FALSE)</f>
        <v>aKG</v>
      </c>
      <c r="AG421" s="30" t="str">
        <f>VLOOKUP($E421,'Product Naming'!$A$1:$P$58,16,FALSE)</f>
        <v>Proton symporter</v>
      </c>
      <c r="AH421" s="3" t="str">
        <f>VLOOKUP($E421,'Product Naming'!$A$1:$Q$58,17,FALSE)</f>
        <v>glu__L_c</v>
      </c>
      <c r="AI421" s="1">
        <f>VLOOKUP($E421,'Product Parameters'!$A$2:$D$59,2,FALSE)</f>
        <v>1</v>
      </c>
      <c r="AJ421" s="1">
        <f>VLOOKUP($E421,'Product Parameters'!$A$2:$D$59,3,FALSE)</f>
        <v>0</v>
      </c>
      <c r="AK421" s="1">
        <f>VLOOKUP($E421,'Product Parameters'!$A$2:$D$59,4,FALSE)</f>
        <v>0.12</v>
      </c>
      <c r="AL421" s="1">
        <f>VLOOKUP($E421,'Product Parameters'!$A$2:$E$59,5,FALSE)</f>
        <v>40.65</v>
      </c>
      <c r="AM421" s="1">
        <f>VLOOKUP($E421,'Product Parameters'!$A$2:$F$59,6,FALSE)</f>
        <v>5</v>
      </c>
      <c r="AN421" s="1">
        <f>VLOOKUP($C421,'Substrate Heating'!$A$2:$C$33,3,FALSE)</f>
        <v>247.59097</v>
      </c>
      <c r="AO421" s="1">
        <f>VLOOKUP($C421,'Substrate Heating'!$A$2:$B$33,2,FALSE)</f>
        <v>5.5</v>
      </c>
      <c r="AP421" s="1">
        <f>VLOOKUP($C421,'Substrate Heating'!$A$2:$M$33,13,FALSE)</f>
        <v>1</v>
      </c>
      <c r="AQ421" s="1">
        <f>VLOOKUP($C421,'Substrate Heating'!$A$2:$M$33,8,FALSE)</f>
        <v>1</v>
      </c>
      <c r="AR421" s="1">
        <f t="shared" si="6"/>
        <v>0.35081967213114801</v>
      </c>
    </row>
    <row r="422" spans="1:44" x14ac:dyDescent="0.2">
      <c r="A422" s="17" t="s">
        <v>323</v>
      </c>
      <c r="B422" s="18" t="s">
        <v>324</v>
      </c>
      <c r="C422" t="s">
        <v>336</v>
      </c>
      <c r="D422" s="19" t="s">
        <v>326</v>
      </c>
      <c r="E422" t="s">
        <v>72</v>
      </c>
      <c r="F422" t="s">
        <v>73</v>
      </c>
      <c r="G422">
        <v>-10</v>
      </c>
      <c r="H422">
        <v>0</v>
      </c>
      <c r="I422">
        <v>-20</v>
      </c>
      <c r="J422">
        <v>0.45</v>
      </c>
      <c r="K422">
        <v>-10</v>
      </c>
      <c r="L422">
        <v>0</v>
      </c>
      <c r="M422">
        <v>-20</v>
      </c>
      <c r="N422">
        <v>0</v>
      </c>
      <c r="O422">
        <v>1.8560000000000001</v>
      </c>
      <c r="P422"/>
      <c r="Q422">
        <v>0.18559999999999999</v>
      </c>
      <c r="R422" s="20">
        <v>0.22275640087876999</v>
      </c>
      <c r="S422" s="1" t="str">
        <f>VLOOKUP($E422,'Product Naming'!$A$1:$P$58,2,FALSE)</f>
        <v>1-propanol-PW1</v>
      </c>
      <c r="T422" s="1" t="str">
        <f>VLOOKUP($E422,'Product Naming'!$A$1:$P$58,3,FALSE)</f>
        <v>1-Propanol (PW1)</v>
      </c>
      <c r="U422" s="1" t="str">
        <f>VLOOKUP($E422,'Product Naming'!$A$1:$P$58,4,FALSE)</f>
        <v>E-S</v>
      </c>
      <c r="V422" s="1" t="str">
        <f>VLOOKUP($E422,'Product Naming'!$A$1:$P$58,5,FALSE)</f>
        <v>C3H8O</v>
      </c>
      <c r="W422" s="1">
        <f>VLOOKUP($E422,'Product Naming'!$A$1:$P$58,6,FALSE)</f>
        <v>3</v>
      </c>
      <c r="X422" s="1">
        <f>VLOOKUP($E422,'Product Naming'!$A$1:$P$58,7,FALSE)</f>
        <v>8</v>
      </c>
      <c r="Y422" s="1">
        <f>VLOOKUP($E422,'Product Naming'!$A$1:$P$58,8,FALSE)</f>
        <v>1</v>
      </c>
      <c r="Z422" s="1">
        <f>VLOOKUP($E422,'Product Naming'!$A$1:$P$58,9,FALSE)</f>
        <v>0</v>
      </c>
      <c r="AA422" s="1">
        <f>VLOOKUP($E422,'Product Naming'!$A$1:$P$58,10,FALSE)</f>
        <v>0</v>
      </c>
      <c r="AB422" s="29">
        <f>VLOOKUP($E422,'Product Naming'!$A$1:$P$58,11,FALSE)</f>
        <v>6</v>
      </c>
      <c r="AC422" s="3">
        <f>VLOOKUP($E422,'Product Naming'!$A$1:$P$58,12,FALSE)</f>
        <v>60.093820000000001</v>
      </c>
      <c r="AD422" s="1">
        <f>VLOOKUP($E422,'Product Naming'!$A$1:$P$58,13,FALSE)</f>
        <v>97</v>
      </c>
      <c r="AE422" s="1" t="str">
        <f>VLOOKUP($E422,'Product Naming'!$A$1:$P$58,14,FALSE)</f>
        <v>Alcohol</v>
      </c>
      <c r="AF422" s="1" t="str">
        <f>VLOOKUP($E422,'Product Naming'!$A$1:$P$58,15,FALSE)</f>
        <v>Glyceraldehyde 3-P (--&gt;DHAP)</v>
      </c>
      <c r="AG422" s="30" t="str">
        <f>VLOOKUP($E422,'Product Naming'!$A$1:$P$58,16,FALSE)</f>
        <v>Proton symporter</v>
      </c>
      <c r="AH422" s="3" t="str">
        <f>VLOOKUP($E422,'Product Naming'!$A$1:$Q$58,17,FALSE)</f>
        <v>ppoh_c</v>
      </c>
      <c r="AI422" s="1">
        <f>VLOOKUP($E422,'Product Parameters'!$A$2:$D$59,2,FALSE)</f>
        <v>1</v>
      </c>
      <c r="AJ422" s="1">
        <f>VLOOKUP($E422,'Product Parameters'!$A$2:$D$59,3,FALSE)</f>
        <v>0</v>
      </c>
      <c r="AK422" s="1">
        <f>VLOOKUP($E422,'Product Parameters'!$A$2:$D$59,4,FALSE)</f>
        <v>0.12</v>
      </c>
      <c r="AL422" s="1">
        <f>VLOOKUP($E422,'Product Parameters'!$A$2:$E$59,5,FALSE)</f>
        <v>47</v>
      </c>
      <c r="AM422" s="1">
        <f>VLOOKUP($E422,'Product Parameters'!$A$2:$F$59,6,FALSE)</f>
        <v>3</v>
      </c>
      <c r="AN422" s="1">
        <f>VLOOKUP($C422,'Substrate Heating'!$A$2:$C$33,3,FALSE)</f>
        <v>245.86666666666667</v>
      </c>
      <c r="AO422" s="1">
        <f>VLOOKUP($C422,'Substrate Heating'!$A$2:$B$33,2,FALSE)</f>
        <v>15.038360459876978</v>
      </c>
      <c r="AP422" s="1">
        <f>VLOOKUP($C422,'Substrate Heating'!$A$2:$M$33,13,FALSE)</f>
        <v>0.33333333333333331</v>
      </c>
      <c r="AQ422" s="1">
        <f>VLOOKUP($C422,'Substrate Heating'!$A$2:$M$33,8,FALSE)</f>
        <v>0.33333333333333331</v>
      </c>
      <c r="AR422" s="1">
        <f t="shared" si="6"/>
        <v>1.6703999999999999</v>
      </c>
    </row>
    <row r="423" spans="1:44" x14ac:dyDescent="0.2">
      <c r="A423" s="17" t="s">
        <v>323</v>
      </c>
      <c r="B423" s="18" t="s">
        <v>324</v>
      </c>
      <c r="C423" t="s">
        <v>329</v>
      </c>
      <c r="D423" s="19" t="s">
        <v>326</v>
      </c>
      <c r="E423" t="s">
        <v>175</v>
      </c>
      <c r="F423" t="s">
        <v>176</v>
      </c>
      <c r="G423">
        <v>-10</v>
      </c>
      <c r="H423">
        <v>0</v>
      </c>
      <c r="I423">
        <v>-20</v>
      </c>
      <c r="J423">
        <v>0.45</v>
      </c>
      <c r="K423">
        <v>-10</v>
      </c>
      <c r="L423">
        <v>0</v>
      </c>
      <c r="M423">
        <v>-16.821917808219201</v>
      </c>
      <c r="N423">
        <v>0</v>
      </c>
      <c r="O423">
        <v>0.63561643835616399</v>
      </c>
      <c r="P423"/>
      <c r="Q423">
        <v>6.3561643835616397E-2</v>
      </c>
      <c r="R423" s="20">
        <v>0.22283234178854899</v>
      </c>
      <c r="S423" s="1" t="str">
        <f>VLOOKUP($E423,'Product Naming'!$A$1:$P$58,2,FALSE)</f>
        <v>Catechol</v>
      </c>
      <c r="T423" s="1" t="str">
        <f>VLOOKUP($E423,'Product Naming'!$A$1:$P$58,3,FALSE)</f>
        <v>Catechol</v>
      </c>
      <c r="U423" s="1" t="str">
        <f>VLOOKUP($E423,'Product Naming'!$A$1:$P$58,4,FALSE)</f>
        <v>E</v>
      </c>
      <c r="V423" s="1" t="str">
        <f>VLOOKUP($E423,'Product Naming'!$A$1:$P$58,5,FALSE)</f>
        <v>C6H6O2</v>
      </c>
      <c r="W423" s="1">
        <f>VLOOKUP($E423,'Product Naming'!$A$1:$P$58,6,FALSE)</f>
        <v>6</v>
      </c>
      <c r="X423" s="1">
        <f>VLOOKUP($E423,'Product Naming'!$A$1:$P$58,7,FALSE)</f>
        <v>6</v>
      </c>
      <c r="Y423" s="1">
        <f>VLOOKUP($E423,'Product Naming'!$A$1:$P$58,8,FALSE)</f>
        <v>2</v>
      </c>
      <c r="Z423" s="1">
        <f>VLOOKUP($E423,'Product Naming'!$A$1:$P$58,9,FALSE)</f>
        <v>0</v>
      </c>
      <c r="AA423" s="1">
        <f>VLOOKUP($E423,'Product Naming'!$A$1:$P$58,10,FALSE)</f>
        <v>0</v>
      </c>
      <c r="AB423" s="29">
        <f>VLOOKUP($E423,'Product Naming'!$A$1:$P$58,11,FALSE)</f>
        <v>4.333333333333333</v>
      </c>
      <c r="AC423" s="3">
        <f>VLOOKUP($E423,'Product Naming'!$A$1:$P$58,12,FALSE)</f>
        <v>110.10924</v>
      </c>
      <c r="AD423" s="1">
        <f>VLOOKUP($E423,'Product Naming'!$A$1:$P$58,13,FALSE)</f>
        <v>245</v>
      </c>
      <c r="AE423" s="1" t="str">
        <f>VLOOKUP($E423,'Product Naming'!$A$1:$P$58,14,FALSE)</f>
        <v>Aromatic + Diol</v>
      </c>
      <c r="AF423" s="1" t="str">
        <f>VLOOKUP($E423,'Product Naming'!$A$1:$P$58,15,FALSE)</f>
        <v>Glyceraldehyde 3-P</v>
      </c>
      <c r="AG423" s="30" t="str">
        <f>VLOOKUP($E423,'Product Naming'!$A$1:$P$58,16,FALSE)</f>
        <v>Proton symporter</v>
      </c>
      <c r="AH423" s="3" t="str">
        <f>VLOOKUP($E423,'Product Naming'!$A$1:$Q$58,17,FALSE)</f>
        <v>catechol_c</v>
      </c>
      <c r="AI423" s="1">
        <f>VLOOKUP($E423,'Product Parameters'!$A$2:$D$59,2,FALSE)</f>
        <v>1</v>
      </c>
      <c r="AJ423" s="1">
        <f>VLOOKUP($E423,'Product Parameters'!$A$2:$D$59,3,FALSE)</f>
        <v>0</v>
      </c>
      <c r="AK423" s="1">
        <f>VLOOKUP($E423,'Product Parameters'!$A$2:$D$59,4,FALSE)</f>
        <v>0.12</v>
      </c>
      <c r="AL423" s="1">
        <f>VLOOKUP($E423,'Product Parameters'!$A$2:$E$59,5,FALSE)</f>
        <v>40.65</v>
      </c>
      <c r="AM423" s="1">
        <f>VLOOKUP($E423,'Product Parameters'!$A$2:$F$59,6,FALSE)</f>
        <v>6</v>
      </c>
      <c r="AN423" s="1">
        <f>VLOOKUP($C423,'Substrate Heating'!$A$2:$C$33,3,FALSE)</f>
        <v>255.53333333333336</v>
      </c>
      <c r="AO423" s="1">
        <f>VLOOKUP($C423,'Substrate Heating'!$A$2:$B$33,2,FALSE)</f>
        <v>23.925550527978785</v>
      </c>
      <c r="AP423" s="1">
        <f>VLOOKUP($C423,'Substrate Heating'!$A$2:$M$33,13,FALSE)</f>
        <v>0.66666666666666663</v>
      </c>
      <c r="AQ423" s="1">
        <f>VLOOKUP($C423,'Substrate Heating'!$A$2:$M$33,8,FALSE)</f>
        <v>0.33333333333333331</v>
      </c>
      <c r="AR423" s="1">
        <f t="shared" si="6"/>
        <v>1.1441095890410951</v>
      </c>
    </row>
    <row r="424" spans="1:44" x14ac:dyDescent="0.2">
      <c r="A424" s="8" t="s">
        <v>34</v>
      </c>
      <c r="B424" s="9" t="s">
        <v>35</v>
      </c>
      <c r="C424" s="1" t="s">
        <v>344</v>
      </c>
      <c r="D424" s="10" t="s">
        <v>37</v>
      </c>
      <c r="E424" s="1" t="s">
        <v>158</v>
      </c>
      <c r="F424" s="1" t="s">
        <v>159</v>
      </c>
      <c r="G424" s="1">
        <v>-10</v>
      </c>
      <c r="H424" s="1">
        <v>-20</v>
      </c>
      <c r="I424" s="1" t="s">
        <v>40</v>
      </c>
      <c r="J424" s="1">
        <v>3.15</v>
      </c>
      <c r="K424" s="1">
        <v>-10</v>
      </c>
      <c r="L424" s="1">
        <v>-4.9897350993377501</v>
      </c>
      <c r="M424" s="1" t="s">
        <v>40</v>
      </c>
      <c r="N424" s="1">
        <v>10.762913907284799</v>
      </c>
      <c r="O424" s="1">
        <v>2.3092715231788099</v>
      </c>
      <c r="Q424" s="1">
        <v>0.230927152317881</v>
      </c>
      <c r="R424" s="1">
        <v>0.22350235138376801</v>
      </c>
      <c r="S424" s="1" t="str">
        <f>VLOOKUP($E424,'Product Naming'!$A$1:$P$58,2,FALSE)</f>
        <v>Butane</v>
      </c>
      <c r="T424" s="1" t="str">
        <f>VLOOKUP($E424,'Product Naming'!$A$1:$P$58,3,FALSE)</f>
        <v>Butane</v>
      </c>
      <c r="U424" s="1" t="str">
        <f>VLOOKUP($E424,'Product Naming'!$A$1:$P$58,4,FALSE)</f>
        <v>E</v>
      </c>
      <c r="V424" s="1" t="str">
        <f>VLOOKUP($E424,'Product Naming'!$A$1:$P$58,5,FALSE)</f>
        <v>C4H10</v>
      </c>
      <c r="W424" s="1">
        <f>VLOOKUP($E424,'Product Naming'!$A$1:$P$58,6,FALSE)</f>
        <v>4</v>
      </c>
      <c r="X424" s="1">
        <f>VLOOKUP($E424,'Product Naming'!$A$1:$P$58,7,FALSE)</f>
        <v>10</v>
      </c>
      <c r="Y424" s="1">
        <f>VLOOKUP($E424,'Product Naming'!$A$1:$P$58,8,FALSE)</f>
        <v>0</v>
      </c>
      <c r="Z424" s="1">
        <f>VLOOKUP($E424,'Product Naming'!$A$1:$P$58,9,FALSE)</f>
        <v>0</v>
      </c>
      <c r="AA424" s="1">
        <f>VLOOKUP($E424,'Product Naming'!$A$1:$P$58,10,FALSE)</f>
        <v>0</v>
      </c>
      <c r="AB424" s="29">
        <f>VLOOKUP($E424,'Product Naming'!$A$1:$P$58,11,FALSE)</f>
        <v>6.5</v>
      </c>
      <c r="AC424" s="3">
        <f>VLOOKUP($E424,'Product Naming'!$A$1:$P$58,12,FALSE)</f>
        <v>58.121200000000002</v>
      </c>
      <c r="AD424" s="1">
        <f>VLOOKUP($E424,'Product Naming'!$A$1:$P$58,13,FALSE)</f>
        <v>-1</v>
      </c>
      <c r="AE424" s="1" t="str">
        <f>VLOOKUP($E424,'Product Naming'!$A$1:$P$58,14,FALSE)</f>
        <v>Hydrocarbon (alkane)</v>
      </c>
      <c r="AF424" s="1" t="str">
        <f>VLOOKUP($E424,'Product Naming'!$A$1:$P$58,15,FALSE)</f>
        <v>Acetyl-CoA + Succinyl-CoA</v>
      </c>
      <c r="AG424" s="30" t="str">
        <f>VLOOKUP($E424,'Product Naming'!$A$1:$P$58,16,FALSE)</f>
        <v>Diffusion</v>
      </c>
      <c r="AH424" s="3" t="str">
        <f>VLOOKUP($E424,'Product Naming'!$A$1:$Q$58,17,FALSE)</f>
        <v>butn_c</v>
      </c>
      <c r="AI424" s="1">
        <f>VLOOKUP($E424,'Product Parameters'!$A$2:$D$59,2,FALSE)</f>
        <v>0</v>
      </c>
      <c r="AJ424" s="1">
        <f>VLOOKUP($E424,'Product Parameters'!$A$2:$D$59,3,FALSE)</f>
        <v>1</v>
      </c>
      <c r="AK424" s="1">
        <f>VLOOKUP($E424,'Product Parameters'!$A$2:$D$59,4,FALSE)</f>
        <v>0.12</v>
      </c>
      <c r="AL424" s="1">
        <f>VLOOKUP($E424,'Product Parameters'!$A$2:$E$59,5,FALSE)</f>
        <v>0</v>
      </c>
      <c r="AM424" s="1">
        <f>VLOOKUP($E424,'Product Parameters'!$A$2:$F$59,6,FALSE)</f>
        <v>4</v>
      </c>
      <c r="AN424" s="1">
        <f>VLOOKUP($C424,'Substrate Heating'!$A$2:$C$33,3,FALSE)</f>
        <v>1020.8629199999999</v>
      </c>
      <c r="AO424" s="1">
        <f>VLOOKUP($C424,'Substrate Heating'!$A$2:$B$33,2,FALSE)</f>
        <v>17</v>
      </c>
      <c r="AP424" s="1">
        <f>VLOOKUP($C424,'Substrate Heating'!$A$2:$M$33,13,FALSE)</f>
        <v>4</v>
      </c>
      <c r="AQ424" s="1">
        <f>VLOOKUP($C424,'Substrate Heating'!$A$2:$M$33,8,FALSE)</f>
        <v>2</v>
      </c>
      <c r="AR424" s="1">
        <f t="shared" si="6"/>
        <v>0.46185430463576199</v>
      </c>
    </row>
    <row r="425" spans="1:44" x14ac:dyDescent="0.2">
      <c r="A425" s="17" t="s">
        <v>323</v>
      </c>
      <c r="B425" s="18" t="s">
        <v>324</v>
      </c>
      <c r="C425" t="s">
        <v>325</v>
      </c>
      <c r="D425" s="19" t="s">
        <v>326</v>
      </c>
      <c r="E425" t="s">
        <v>52</v>
      </c>
      <c r="F425" t="s">
        <v>53</v>
      </c>
      <c r="G425">
        <v>-10</v>
      </c>
      <c r="H425">
        <v>0</v>
      </c>
      <c r="I425">
        <v>0</v>
      </c>
      <c r="J425">
        <v>0.45</v>
      </c>
      <c r="K425">
        <v>-10</v>
      </c>
      <c r="L425">
        <v>0</v>
      </c>
      <c r="M425">
        <v>0</v>
      </c>
      <c r="N425">
        <v>5.8230769230769202</v>
      </c>
      <c r="O425">
        <v>0.82307692307692304</v>
      </c>
      <c r="P425"/>
      <c r="Q425">
        <v>8.2307692307691999E-2</v>
      </c>
      <c r="R425">
        <v>0.22373699118446699</v>
      </c>
      <c r="S425" s="1" t="str">
        <f>VLOOKUP($E425,'Product Naming'!$A$1:$P$58,2,FALSE)</f>
        <v>1-3-Diaminopropane</v>
      </c>
      <c r="T425" s="1" t="str">
        <f>VLOOKUP($E425,'Product Naming'!$A$1:$P$58,3,FALSE)</f>
        <v>1,3-Diaminopropane</v>
      </c>
      <c r="U425" s="1" t="str">
        <f>VLOOKUP($E425,'Product Naming'!$A$1:$P$58,4,FALSE)</f>
        <v>A</v>
      </c>
      <c r="V425" s="1" t="str">
        <f>VLOOKUP($E425,'Product Naming'!$A$1:$P$58,5,FALSE)</f>
        <v>C3H12N2</v>
      </c>
      <c r="W425" s="1">
        <f>VLOOKUP($E425,'Product Naming'!$A$1:$P$58,6,FALSE)</f>
        <v>3</v>
      </c>
      <c r="X425" s="1">
        <f>VLOOKUP($E425,'Product Naming'!$A$1:$P$58,7,FALSE)</f>
        <v>12</v>
      </c>
      <c r="Y425" s="1">
        <f>VLOOKUP($E425,'Product Naming'!$A$1:$P$58,8,FALSE)</f>
        <v>0</v>
      </c>
      <c r="Z425" s="1">
        <f>VLOOKUP($E425,'Product Naming'!$A$1:$P$58,9,FALSE)</f>
        <v>2</v>
      </c>
      <c r="AA425" s="1">
        <f>VLOOKUP($E425,'Product Naming'!$A$1:$P$58,10,FALSE)</f>
        <v>2</v>
      </c>
      <c r="AB425" s="29">
        <f>VLOOKUP($E425,'Product Naming'!$A$1:$P$58,11,FALSE)</f>
        <v>6</v>
      </c>
      <c r="AC425" s="3">
        <f>VLOOKUP($E425,'Product Naming'!$A$1:$P$58,12,FALSE)</f>
        <v>76.139580000000009</v>
      </c>
      <c r="AD425" s="1">
        <f>VLOOKUP($E425,'Product Naming'!$A$1:$P$58,13,FALSE)</f>
        <v>139.30000000000001</v>
      </c>
      <c r="AE425" s="1" t="str">
        <f>VLOOKUP($E425,'Product Naming'!$A$1:$P$58,14,FALSE)</f>
        <v>Diamine</v>
      </c>
      <c r="AF425" s="1" t="str">
        <f>VLOOKUP($E425,'Product Naming'!$A$1:$P$58,15,FALSE)</f>
        <v>Oxaloacetate + aKG</v>
      </c>
      <c r="AG425" s="30" t="str">
        <f>VLOOKUP($E425,'Product Naming'!$A$1:$P$58,16,FALSE)</f>
        <v>Proton symporter</v>
      </c>
      <c r="AH425" s="3" t="str">
        <f>VLOOKUP($E425,'Product Naming'!$A$1:$Q$58,17,FALSE)</f>
        <v>13dampp_c</v>
      </c>
      <c r="AI425" s="1">
        <f>VLOOKUP($E425,'Product Parameters'!$A$2:$D$59,2,FALSE)</f>
        <v>1</v>
      </c>
      <c r="AJ425" s="1">
        <f>VLOOKUP($E425,'Product Parameters'!$A$2:$D$59,3,FALSE)</f>
        <v>0</v>
      </c>
      <c r="AK425" s="1">
        <f>VLOOKUP($E425,'Product Parameters'!$A$2:$D$59,4,FALSE)</f>
        <v>0.12</v>
      </c>
      <c r="AL425" s="1">
        <f>VLOOKUP($E425,'Product Parameters'!$A$2:$E$59,5,FALSE)</f>
        <v>50.18</v>
      </c>
      <c r="AM425" s="1">
        <f>VLOOKUP($E425,'Product Parameters'!$A$2:$F$59,6,FALSE)</f>
        <v>3</v>
      </c>
      <c r="AN425" s="1">
        <f>VLOOKUP($C425,'Substrate Heating'!$A$2:$C$33,3,FALSE)</f>
        <v>280.09700000000004</v>
      </c>
      <c r="AO425" s="1">
        <f>VLOOKUP($C425,'Substrate Heating'!$A$2:$B$33,2,FALSE)</f>
        <v>10</v>
      </c>
      <c r="AP425" s="1">
        <f>VLOOKUP($C425,'Substrate Heating'!$A$2:$M$33,13,FALSE)</f>
        <v>2</v>
      </c>
      <c r="AQ425" s="1">
        <f>VLOOKUP($C425,'Substrate Heating'!$A$2:$M$33,8,FALSE)</f>
        <v>1</v>
      </c>
      <c r="AR425" s="1">
        <f t="shared" si="6"/>
        <v>0.246923076923076</v>
      </c>
    </row>
    <row r="426" spans="1:44" x14ac:dyDescent="0.2">
      <c r="A426" s="17" t="s">
        <v>185</v>
      </c>
      <c r="B426" s="9" t="s">
        <v>35</v>
      </c>
      <c r="C426" t="s">
        <v>337</v>
      </c>
      <c r="D426" s="23" t="s">
        <v>338</v>
      </c>
      <c r="E426" t="s">
        <v>186</v>
      </c>
      <c r="F426" t="s">
        <v>187</v>
      </c>
      <c r="G426">
        <v>-10</v>
      </c>
      <c r="H426">
        <v>-20</v>
      </c>
      <c r="I426" s="1" t="s">
        <v>40</v>
      </c>
      <c r="J426">
        <v>3.15</v>
      </c>
      <c r="K426">
        <v>-10</v>
      </c>
      <c r="L426">
        <v>-2.5482758620689601</v>
      </c>
      <c r="M426" s="1" t="s">
        <v>40</v>
      </c>
      <c r="N426">
        <v>6.7310344827586199</v>
      </c>
      <c r="O426">
        <v>0.54482758620689697</v>
      </c>
      <c r="P426"/>
      <c r="Q426">
        <v>5.44827586206897E-2</v>
      </c>
      <c r="R426">
        <v>0.22382322499525101</v>
      </c>
      <c r="S426" s="1" t="str">
        <f>VLOOKUP($E426,'Product Naming'!$A$1:$P$58,2,FALSE)</f>
        <v>Citrate</v>
      </c>
      <c r="T426" s="1" t="str">
        <f>VLOOKUP($E426,'Product Naming'!$A$1:$P$58,3,FALSE)</f>
        <v>Citrate</v>
      </c>
      <c r="U426" s="1" t="str">
        <f>VLOOKUP($E426,'Product Naming'!$A$1:$P$58,4,FALSE)</f>
        <v>iJO1366</v>
      </c>
      <c r="V426" s="1" t="str">
        <f>VLOOKUP($E426,'Product Naming'!$A$1:$P$58,5,FALSE)</f>
        <v>C6H5O7</v>
      </c>
      <c r="W426" s="1">
        <f>VLOOKUP($E426,'Product Naming'!$A$1:$P$58,6,FALSE)</f>
        <v>6</v>
      </c>
      <c r="X426" s="1">
        <f>VLOOKUP($E426,'Product Naming'!$A$1:$P$58,7,FALSE)</f>
        <v>5</v>
      </c>
      <c r="Y426" s="1">
        <f>VLOOKUP($E426,'Product Naming'!$A$1:$P$58,8,FALSE)</f>
        <v>7</v>
      </c>
      <c r="Z426" s="1">
        <f>VLOOKUP($E426,'Product Naming'!$A$1:$P$58,9,FALSE)</f>
        <v>0</v>
      </c>
      <c r="AA426" s="1">
        <f>VLOOKUP($E426,'Product Naming'!$A$1:$P$58,10,FALSE)</f>
        <v>-3</v>
      </c>
      <c r="AB426" s="29">
        <f>VLOOKUP($E426,'Product Naming'!$A$1:$P$58,11,FALSE)</f>
        <v>2.5</v>
      </c>
      <c r="AC426" s="3">
        <f>VLOOKUP($E426,'Product Naming'!$A$1:$P$58,12,FALSE)</f>
        <v>189.09640000000002</v>
      </c>
      <c r="AD426" s="1" t="str">
        <f>VLOOKUP($E426,'Product Naming'!$A$1:$P$58,13,FALSE)</f>
        <v>NA</v>
      </c>
      <c r="AE426" s="1" t="str">
        <f>VLOOKUP($E426,'Product Naming'!$A$1:$P$58,14,FALSE)</f>
        <v>Tricarboxylate + Alcohol</v>
      </c>
      <c r="AF426" s="1" t="str">
        <f>VLOOKUP($E426,'Product Naming'!$A$1:$P$58,15,FALSE)</f>
        <v>Acetyl-CoA</v>
      </c>
      <c r="AG426" s="30" t="str">
        <f>VLOOKUP($E426,'Product Naming'!$A$1:$P$58,16,FALSE)</f>
        <v>Proton antiport</v>
      </c>
      <c r="AH426" s="3" t="str">
        <f>VLOOKUP($E426,'Product Naming'!$A$1:$Q$58,17,FALSE)</f>
        <v>cit_c</v>
      </c>
      <c r="AI426" s="1">
        <f>VLOOKUP($E426,'Product Parameters'!$A$2:$D$59,2,FALSE)</f>
        <v>1</v>
      </c>
      <c r="AJ426" s="1">
        <f>VLOOKUP($E426,'Product Parameters'!$A$2:$D$59,3,FALSE)</f>
        <v>0</v>
      </c>
      <c r="AK426" s="1">
        <f>VLOOKUP($E426,'Product Parameters'!$A$2:$D$59,4,FALSE)</f>
        <v>0.12</v>
      </c>
      <c r="AL426" s="1">
        <f>VLOOKUP($E426,'Product Parameters'!$A$2:$E$59,5,FALSE)</f>
        <v>40.65</v>
      </c>
      <c r="AM426" s="1">
        <f>VLOOKUP($E426,'Product Parameters'!$A$2:$F$59,6,FALSE)</f>
        <v>6</v>
      </c>
      <c r="AN426" s="1">
        <f>VLOOKUP($C426,'Substrate Heating'!$A$2:$C$33,3,FALSE)</f>
        <v>247.59097</v>
      </c>
      <c r="AO426" s="1">
        <f>VLOOKUP($C426,'Substrate Heating'!$A$2:$B$33,2,FALSE)</f>
        <v>5.5</v>
      </c>
      <c r="AP426" s="1">
        <f>VLOOKUP($C426,'Substrate Heating'!$A$2:$M$33,13,FALSE)</f>
        <v>1</v>
      </c>
      <c r="AQ426" s="1">
        <f>VLOOKUP($C426,'Substrate Heating'!$A$2:$M$33,8,FALSE)</f>
        <v>1</v>
      </c>
      <c r="AR426" s="1">
        <f t="shared" si="6"/>
        <v>0.32689655172413823</v>
      </c>
    </row>
    <row r="427" spans="1:44" x14ac:dyDescent="0.2">
      <c r="A427" s="8" t="s">
        <v>34</v>
      </c>
      <c r="B427" s="9" t="s">
        <v>35</v>
      </c>
      <c r="C427" s="1" t="s">
        <v>322</v>
      </c>
      <c r="D427" s="10" t="s">
        <v>37</v>
      </c>
      <c r="E427" s="1" t="s">
        <v>158</v>
      </c>
      <c r="F427" s="1" t="s">
        <v>159</v>
      </c>
      <c r="G427" s="1">
        <v>-10</v>
      </c>
      <c r="H427" s="1">
        <v>-20</v>
      </c>
      <c r="I427" s="1" t="s">
        <v>40</v>
      </c>
      <c r="J427" s="1">
        <v>3.15</v>
      </c>
      <c r="K427" s="1">
        <v>-10</v>
      </c>
      <c r="L427" s="1">
        <v>-5.1624999999999996</v>
      </c>
      <c r="M427" s="1" t="s">
        <v>40</v>
      </c>
      <c r="N427" s="1">
        <v>10.8692307692308</v>
      </c>
      <c r="O427" s="1">
        <v>2.2826923076923098</v>
      </c>
      <c r="Q427" s="1">
        <v>0.228269230769231</v>
      </c>
      <c r="R427" s="1">
        <v>0.22470571603478601</v>
      </c>
      <c r="S427" s="1" t="str">
        <f>VLOOKUP($E427,'Product Naming'!$A$1:$P$58,2,FALSE)</f>
        <v>Butane</v>
      </c>
      <c r="T427" s="1" t="str">
        <f>VLOOKUP($E427,'Product Naming'!$A$1:$P$58,3,FALSE)</f>
        <v>Butane</v>
      </c>
      <c r="U427" s="1" t="str">
        <f>VLOOKUP($E427,'Product Naming'!$A$1:$P$58,4,FALSE)</f>
        <v>E</v>
      </c>
      <c r="V427" s="1" t="str">
        <f>VLOOKUP($E427,'Product Naming'!$A$1:$P$58,5,FALSE)</f>
        <v>C4H10</v>
      </c>
      <c r="W427" s="1">
        <f>VLOOKUP($E427,'Product Naming'!$A$1:$P$58,6,FALSE)</f>
        <v>4</v>
      </c>
      <c r="X427" s="1">
        <f>VLOOKUP($E427,'Product Naming'!$A$1:$P$58,7,FALSE)</f>
        <v>10</v>
      </c>
      <c r="Y427" s="1">
        <f>VLOOKUP($E427,'Product Naming'!$A$1:$P$58,8,FALSE)</f>
        <v>0</v>
      </c>
      <c r="Z427" s="1">
        <f>VLOOKUP($E427,'Product Naming'!$A$1:$P$58,9,FALSE)</f>
        <v>0</v>
      </c>
      <c r="AA427" s="1">
        <f>VLOOKUP($E427,'Product Naming'!$A$1:$P$58,10,FALSE)</f>
        <v>0</v>
      </c>
      <c r="AB427" s="29">
        <f>VLOOKUP($E427,'Product Naming'!$A$1:$P$58,11,FALSE)</f>
        <v>6.5</v>
      </c>
      <c r="AC427" s="3">
        <f>VLOOKUP($E427,'Product Naming'!$A$1:$P$58,12,FALSE)</f>
        <v>58.121200000000002</v>
      </c>
      <c r="AD427" s="1">
        <f>VLOOKUP($E427,'Product Naming'!$A$1:$P$58,13,FALSE)</f>
        <v>-1</v>
      </c>
      <c r="AE427" s="1" t="str">
        <f>VLOOKUP($E427,'Product Naming'!$A$1:$P$58,14,FALSE)</f>
        <v>Hydrocarbon (alkane)</v>
      </c>
      <c r="AF427" s="1" t="str">
        <f>VLOOKUP($E427,'Product Naming'!$A$1:$P$58,15,FALSE)</f>
        <v>Acetyl-CoA + Succinyl-CoA</v>
      </c>
      <c r="AG427" s="30" t="str">
        <f>VLOOKUP($E427,'Product Naming'!$A$1:$P$58,16,FALSE)</f>
        <v>Diffusion</v>
      </c>
      <c r="AH427" s="3" t="str">
        <f>VLOOKUP($E427,'Product Naming'!$A$1:$Q$58,17,FALSE)</f>
        <v>butn_c</v>
      </c>
      <c r="AI427" s="1">
        <f>VLOOKUP($E427,'Product Parameters'!$A$2:$D$59,2,FALSE)</f>
        <v>0</v>
      </c>
      <c r="AJ427" s="1">
        <f>VLOOKUP($E427,'Product Parameters'!$A$2:$D$59,3,FALSE)</f>
        <v>1</v>
      </c>
      <c r="AK427" s="1">
        <f>VLOOKUP($E427,'Product Parameters'!$A$2:$D$59,4,FALSE)</f>
        <v>0.12</v>
      </c>
      <c r="AL427" s="1">
        <f>VLOOKUP($E427,'Product Parameters'!$A$2:$E$59,5,FALSE)</f>
        <v>0</v>
      </c>
      <c r="AM427" s="1">
        <f>VLOOKUP($E427,'Product Parameters'!$A$2:$F$59,6,FALSE)</f>
        <v>4</v>
      </c>
      <c r="AN427" s="1">
        <f>VLOOKUP($C427,'Substrate Heating'!$A$2:$C$33,3,FALSE)</f>
        <v>876.74109599999997</v>
      </c>
      <c r="AO427" s="1">
        <f>VLOOKUP($C427,'Substrate Heating'!$A$2:$B$33,2,FALSE)</f>
        <v>14.6</v>
      </c>
      <c r="AP427" s="1">
        <f>VLOOKUP($C427,'Substrate Heating'!$A$2:$M$33,13,FALSE)</f>
        <v>3.5</v>
      </c>
      <c r="AQ427" s="1">
        <f>VLOOKUP($C427,'Substrate Heating'!$A$2:$M$33,8,FALSE)</f>
        <v>2</v>
      </c>
      <c r="AR427" s="1">
        <f t="shared" si="6"/>
        <v>0.456538461538462</v>
      </c>
    </row>
    <row r="428" spans="1:44" x14ac:dyDescent="0.2">
      <c r="A428" s="8" t="s">
        <v>809</v>
      </c>
      <c r="B428" s="18" t="s">
        <v>324</v>
      </c>
      <c r="C428" t="s">
        <v>808</v>
      </c>
      <c r="D428" s="19" t="s">
        <v>326</v>
      </c>
      <c r="E428" t="s">
        <v>91</v>
      </c>
      <c r="F428" t="s">
        <v>92</v>
      </c>
      <c r="G428">
        <v>-10</v>
      </c>
      <c r="H428">
        <v>0</v>
      </c>
      <c r="I428">
        <v>-20</v>
      </c>
      <c r="J428">
        <v>0.45</v>
      </c>
      <c r="K428">
        <v>-7.6</v>
      </c>
      <c r="L428">
        <v>0</v>
      </c>
      <c r="M428">
        <v>-20</v>
      </c>
      <c r="N428">
        <v>-7.6</v>
      </c>
      <c r="O428">
        <v>0.95999999999999797</v>
      </c>
      <c r="P428"/>
      <c r="Q428">
        <v>0.12631578947368399</v>
      </c>
      <c r="R428">
        <v>0.225778068069029</v>
      </c>
      <c r="S428" s="1" t="str">
        <f>VLOOKUP($E428,'Product Naming'!$A$1:$P$58,2,FALSE)</f>
        <v>2-Methyl-1-Butanol</v>
      </c>
      <c r="T428" s="1" t="str">
        <f>VLOOKUP($E428,'Product Naming'!$A$1:$P$58,3,FALSE)</f>
        <v>2-Methyl-1-butanol</v>
      </c>
      <c r="U428" s="1" t="str">
        <f>VLOOKUP($E428,'Product Naming'!$A$1:$P$58,4,FALSE)</f>
        <v>A</v>
      </c>
      <c r="V428" s="1" t="str">
        <f>VLOOKUP($E428,'Product Naming'!$A$1:$P$58,5,FALSE)</f>
        <v>C5H12O</v>
      </c>
      <c r="W428" s="1">
        <f>VLOOKUP($E428,'Product Naming'!$A$1:$P$58,6,FALSE)</f>
        <v>5</v>
      </c>
      <c r="X428" s="1">
        <f>VLOOKUP($E428,'Product Naming'!$A$1:$P$58,7,FALSE)</f>
        <v>12</v>
      </c>
      <c r="Y428" s="1">
        <f>VLOOKUP($E428,'Product Naming'!$A$1:$P$58,8,FALSE)</f>
        <v>1</v>
      </c>
      <c r="Z428" s="1">
        <f>VLOOKUP($E428,'Product Naming'!$A$1:$P$58,9,FALSE)</f>
        <v>0</v>
      </c>
      <c r="AA428" s="1">
        <f>VLOOKUP($E428,'Product Naming'!$A$1:$P$58,10,FALSE)</f>
        <v>0</v>
      </c>
      <c r="AB428" s="29">
        <f>VLOOKUP($E428,'Product Naming'!$A$1:$P$58,11,FALSE)</f>
        <v>6</v>
      </c>
      <c r="AC428" s="3">
        <f>VLOOKUP($E428,'Product Naming'!$A$1:$P$58,12,FALSE)</f>
        <v>88.14658</v>
      </c>
      <c r="AD428" s="1">
        <f>VLOOKUP($E428,'Product Naming'!$A$1:$P$58,13,FALSE)</f>
        <v>129</v>
      </c>
      <c r="AE428" s="1" t="str">
        <f>VLOOKUP($E428,'Product Naming'!$A$1:$P$58,14,FALSE)</f>
        <v>Alcohol</v>
      </c>
      <c r="AF428" s="1" t="str">
        <f>VLOOKUP($E428,'Product Naming'!$A$1:$P$58,15,FALSE)</f>
        <v>PEP</v>
      </c>
      <c r="AG428" s="30" t="str">
        <f>VLOOKUP($E428,'Product Naming'!$A$1:$P$58,16,FALSE)</f>
        <v>Proton symporter</v>
      </c>
      <c r="AH428" s="3" t="str">
        <f>VLOOKUP($E428,'Product Naming'!$A$1:$Q$58,17,FALSE)</f>
        <v>2mbtoh_c</v>
      </c>
      <c r="AI428" s="1">
        <f>VLOOKUP($E428,'Product Parameters'!$A$2:$D$59,2,FALSE)</f>
        <v>1</v>
      </c>
      <c r="AJ428" s="1">
        <f>VLOOKUP($E428,'Product Parameters'!$A$2:$D$59,3,FALSE)</f>
        <v>0</v>
      </c>
      <c r="AK428" s="1">
        <f>VLOOKUP($E428,'Product Parameters'!$A$2:$D$59,4,FALSE)</f>
        <v>0.12</v>
      </c>
      <c r="AL428" s="1">
        <f>VLOOKUP($E428,'Product Parameters'!$A$2:$E$59,5,FALSE)</f>
        <v>54.6</v>
      </c>
      <c r="AM428" s="1">
        <f>VLOOKUP($E428,'Product Parameters'!$A$2:$F$59,6,FALSE)</f>
        <v>5</v>
      </c>
      <c r="AN428" s="1">
        <f>VLOOKUP($C428,'Substrate Heating'!$A$2:$C$33,3,FALSE)</f>
        <v>120.9</v>
      </c>
      <c r="AO428" s="1">
        <f>VLOOKUP($C428,'Substrate Heating'!$A$2:$B$33,2,FALSE)</f>
        <v>5.2537372583834907</v>
      </c>
      <c r="AP428" s="1">
        <f>VLOOKUP($C428,'Substrate Heating'!$A$2:$M$33,13,FALSE)</f>
        <v>0</v>
      </c>
      <c r="AQ428" s="1">
        <f>VLOOKUP($C428,'Substrate Heating'!$A$2:$M$33,8,FALSE)</f>
        <v>0.33333333333333331</v>
      </c>
      <c r="AR428" s="1">
        <f t="shared" si="6"/>
        <v>1.8947368421052597</v>
      </c>
    </row>
    <row r="429" spans="1:44" x14ac:dyDescent="0.2">
      <c r="A429" s="17" t="s">
        <v>323</v>
      </c>
      <c r="B429" s="18" t="s">
        <v>324</v>
      </c>
      <c r="C429" t="s">
        <v>327</v>
      </c>
      <c r="D429" s="19" t="s">
        <v>326</v>
      </c>
      <c r="E429" t="s">
        <v>72</v>
      </c>
      <c r="F429" t="s">
        <v>73</v>
      </c>
      <c r="G429">
        <v>-10</v>
      </c>
      <c r="H429">
        <v>0</v>
      </c>
      <c r="I429">
        <v>-5</v>
      </c>
      <c r="J429">
        <v>0.45</v>
      </c>
      <c r="K429">
        <v>-10</v>
      </c>
      <c r="L429">
        <v>0</v>
      </c>
      <c r="M429">
        <v>-5</v>
      </c>
      <c r="N429">
        <v>4.13584905660377</v>
      </c>
      <c r="O429">
        <v>1.0905660377358499</v>
      </c>
      <c r="P429"/>
      <c r="Q429">
        <v>0.109056603773585</v>
      </c>
      <c r="R429">
        <v>0.22583142374159601</v>
      </c>
      <c r="S429" s="1" t="str">
        <f>VLOOKUP($E429,'Product Naming'!$A$1:$P$58,2,FALSE)</f>
        <v>1-propanol-PW1</v>
      </c>
      <c r="T429" s="1" t="str">
        <f>VLOOKUP($E429,'Product Naming'!$A$1:$P$58,3,FALSE)</f>
        <v>1-Propanol (PW1)</v>
      </c>
      <c r="U429" s="1" t="str">
        <f>VLOOKUP($E429,'Product Naming'!$A$1:$P$58,4,FALSE)</f>
        <v>E-S</v>
      </c>
      <c r="V429" s="1" t="str">
        <f>VLOOKUP($E429,'Product Naming'!$A$1:$P$58,5,FALSE)</f>
        <v>C3H8O</v>
      </c>
      <c r="W429" s="1">
        <f>VLOOKUP($E429,'Product Naming'!$A$1:$P$58,6,FALSE)</f>
        <v>3</v>
      </c>
      <c r="X429" s="1">
        <f>VLOOKUP($E429,'Product Naming'!$A$1:$P$58,7,FALSE)</f>
        <v>8</v>
      </c>
      <c r="Y429" s="1">
        <f>VLOOKUP($E429,'Product Naming'!$A$1:$P$58,8,FALSE)</f>
        <v>1</v>
      </c>
      <c r="Z429" s="1">
        <f>VLOOKUP($E429,'Product Naming'!$A$1:$P$58,9,FALSE)</f>
        <v>0</v>
      </c>
      <c r="AA429" s="1">
        <f>VLOOKUP($E429,'Product Naming'!$A$1:$P$58,10,FALSE)</f>
        <v>0</v>
      </c>
      <c r="AB429" s="29">
        <f>VLOOKUP($E429,'Product Naming'!$A$1:$P$58,11,FALSE)</f>
        <v>6</v>
      </c>
      <c r="AC429" s="3">
        <f>VLOOKUP($E429,'Product Naming'!$A$1:$P$58,12,FALSE)</f>
        <v>60.093820000000001</v>
      </c>
      <c r="AD429" s="1">
        <f>VLOOKUP($E429,'Product Naming'!$A$1:$P$58,13,FALSE)</f>
        <v>97</v>
      </c>
      <c r="AE429" s="1" t="str">
        <f>VLOOKUP($E429,'Product Naming'!$A$1:$P$58,14,FALSE)</f>
        <v>Alcohol</v>
      </c>
      <c r="AF429" s="1" t="str">
        <f>VLOOKUP($E429,'Product Naming'!$A$1:$P$58,15,FALSE)</f>
        <v>Glyceraldehyde 3-P (--&gt;DHAP)</v>
      </c>
      <c r="AG429" s="30" t="str">
        <f>VLOOKUP($E429,'Product Naming'!$A$1:$P$58,16,FALSE)</f>
        <v>Proton symporter</v>
      </c>
      <c r="AH429" s="3" t="str">
        <f>VLOOKUP($E429,'Product Naming'!$A$1:$Q$58,17,FALSE)</f>
        <v>ppoh_c</v>
      </c>
      <c r="AI429" s="1">
        <f>VLOOKUP($E429,'Product Parameters'!$A$2:$D$59,2,FALSE)</f>
        <v>1</v>
      </c>
      <c r="AJ429" s="1">
        <f>VLOOKUP($E429,'Product Parameters'!$A$2:$D$59,3,FALSE)</f>
        <v>0</v>
      </c>
      <c r="AK429" s="1">
        <f>VLOOKUP($E429,'Product Parameters'!$A$2:$D$59,4,FALSE)</f>
        <v>0.12</v>
      </c>
      <c r="AL429" s="1">
        <f>VLOOKUP($E429,'Product Parameters'!$A$2:$E$59,5,FALSE)</f>
        <v>47</v>
      </c>
      <c r="AM429" s="1">
        <f>VLOOKUP($E429,'Product Parameters'!$A$2:$F$59,6,FALSE)</f>
        <v>3</v>
      </c>
      <c r="AN429" s="1">
        <f>VLOOKUP($C429,'Substrate Heating'!$A$2:$C$33,3,FALSE)</f>
        <v>269.26666666666665</v>
      </c>
      <c r="AO429" s="1">
        <f>VLOOKUP($C429,'Substrate Heating'!$A$2:$B$33,2,FALSE)</f>
        <v>13.919167510409219</v>
      </c>
      <c r="AP429" s="1">
        <f>VLOOKUP($C429,'Substrate Heating'!$A$2:$M$33,13,FALSE)</f>
        <v>1.3333333333333333</v>
      </c>
      <c r="AQ429" s="1">
        <f>VLOOKUP($C429,'Substrate Heating'!$A$2:$M$33,8,FALSE)</f>
        <v>0.66666666666666663</v>
      </c>
      <c r="AR429" s="1">
        <f t="shared" si="6"/>
        <v>0.49075471698113254</v>
      </c>
    </row>
    <row r="430" spans="1:44" x14ac:dyDescent="0.2">
      <c r="A430" s="17" t="s">
        <v>185</v>
      </c>
      <c r="B430" s="9" t="s">
        <v>35</v>
      </c>
      <c r="C430" t="s">
        <v>337</v>
      </c>
      <c r="D430" s="23" t="s">
        <v>338</v>
      </c>
      <c r="E430" t="s">
        <v>269</v>
      </c>
      <c r="F430" t="s">
        <v>270</v>
      </c>
      <c r="G430">
        <v>-10</v>
      </c>
      <c r="H430">
        <v>-20</v>
      </c>
      <c r="I430" s="1" t="s">
        <v>40</v>
      </c>
      <c r="J430">
        <v>3.15</v>
      </c>
      <c r="K430">
        <v>-10</v>
      </c>
      <c r="L430">
        <v>-2.63</v>
      </c>
      <c r="M430" s="1" t="s">
        <v>40</v>
      </c>
      <c r="N430">
        <v>6.84</v>
      </c>
      <c r="O430">
        <v>0.79</v>
      </c>
      <c r="P430"/>
      <c r="Q430">
        <v>7.9000000000000001E-2</v>
      </c>
      <c r="R430">
        <v>0.22666857065887999</v>
      </c>
      <c r="S430" s="1" t="str">
        <f>VLOOKUP($E430,'Product Naming'!$A$1:$P$58,2,FALSE)</f>
        <v>Malate_L</v>
      </c>
      <c r="T430" s="1" t="str">
        <f>VLOOKUP($E430,'Product Naming'!$A$1:$P$58,3,FALSE)</f>
        <v>L-Malate</v>
      </c>
      <c r="U430" s="1" t="str">
        <f>VLOOKUP($E430,'Product Naming'!$A$1:$P$58,4,FALSE)</f>
        <v>iJO1366</v>
      </c>
      <c r="V430" s="1" t="str">
        <f>VLOOKUP($E430,'Product Naming'!$A$1:$P$58,5,FALSE)</f>
        <v>C4H4O5</v>
      </c>
      <c r="W430" s="1">
        <f>VLOOKUP($E430,'Product Naming'!$A$1:$P$58,6,FALSE)</f>
        <v>4</v>
      </c>
      <c r="X430" s="1">
        <f>VLOOKUP($E430,'Product Naming'!$A$1:$P$58,7,FALSE)</f>
        <v>4</v>
      </c>
      <c r="Y430" s="1">
        <f>VLOOKUP($E430,'Product Naming'!$A$1:$P$58,8,FALSE)</f>
        <v>5</v>
      </c>
      <c r="Z430" s="1">
        <f>VLOOKUP($E430,'Product Naming'!$A$1:$P$58,9,FALSE)</f>
        <v>0</v>
      </c>
      <c r="AA430" s="1">
        <f>VLOOKUP($E430,'Product Naming'!$A$1:$P$58,10,FALSE)</f>
        <v>-2</v>
      </c>
      <c r="AB430" s="29">
        <f>VLOOKUP($E430,'Product Naming'!$A$1:$P$58,11,FALSE)</f>
        <v>2.5</v>
      </c>
      <c r="AC430" s="3">
        <f>VLOOKUP($E430,'Product Naming'!$A$1:$P$58,12,FALSE)</f>
        <v>132.06916000000001</v>
      </c>
      <c r="AD430" s="1" t="str">
        <f>VLOOKUP($E430,'Product Naming'!$A$1:$P$58,13,FALSE)</f>
        <v>NA</v>
      </c>
      <c r="AE430" s="1" t="str">
        <f>VLOOKUP($E430,'Product Naming'!$A$1:$P$58,14,FALSE)</f>
        <v>Dicarboxylate</v>
      </c>
      <c r="AF430" s="1" t="str">
        <f>VLOOKUP($E430,'Product Naming'!$A$1:$P$58,15,FALSE)</f>
        <v>Oxaloacetate</v>
      </c>
      <c r="AG430" s="30" t="str">
        <f>VLOOKUP($E430,'Product Naming'!$A$1:$P$58,16,FALSE)</f>
        <v>Proton symporter</v>
      </c>
      <c r="AH430" s="3" t="str">
        <f>VLOOKUP($E430,'Product Naming'!$A$1:$Q$58,17,FALSE)</f>
        <v>mal__L_e</v>
      </c>
      <c r="AI430" s="1">
        <f>VLOOKUP($E430,'Product Parameters'!$A$2:$D$59,2,FALSE)</f>
        <v>1</v>
      </c>
      <c r="AJ430" s="1">
        <f>VLOOKUP($E430,'Product Parameters'!$A$2:$D$59,3,FALSE)</f>
        <v>0</v>
      </c>
      <c r="AK430" s="1">
        <f>VLOOKUP($E430,'Product Parameters'!$A$2:$D$59,4,FALSE)</f>
        <v>0.12</v>
      </c>
      <c r="AL430" s="1">
        <f>VLOOKUP($E430,'Product Parameters'!$A$2:$E$59,5,FALSE)</f>
        <v>40.65</v>
      </c>
      <c r="AM430" s="1">
        <f>VLOOKUP($E430,'Product Parameters'!$A$2:$F$59,6,FALSE)</f>
        <v>4</v>
      </c>
      <c r="AN430" s="1">
        <f>VLOOKUP($C430,'Substrate Heating'!$A$2:$C$33,3,FALSE)</f>
        <v>247.59097</v>
      </c>
      <c r="AO430" s="1">
        <f>VLOOKUP($C430,'Substrate Heating'!$A$2:$B$33,2,FALSE)</f>
        <v>5.5</v>
      </c>
      <c r="AP430" s="1">
        <f>VLOOKUP($C430,'Substrate Heating'!$A$2:$M$33,13,FALSE)</f>
        <v>1</v>
      </c>
      <c r="AQ430" s="1">
        <f>VLOOKUP($C430,'Substrate Heating'!$A$2:$M$33,8,FALSE)</f>
        <v>1</v>
      </c>
      <c r="AR430" s="1">
        <f t="shared" si="6"/>
        <v>0.316</v>
      </c>
    </row>
    <row r="431" spans="1:44" x14ac:dyDescent="0.2">
      <c r="A431" s="17" t="s">
        <v>323</v>
      </c>
      <c r="B431" s="18" t="s">
        <v>324</v>
      </c>
      <c r="C431" t="s">
        <v>327</v>
      </c>
      <c r="D431" s="19" t="s">
        <v>326</v>
      </c>
      <c r="E431" t="s">
        <v>66</v>
      </c>
      <c r="F431" t="s">
        <v>67</v>
      </c>
      <c r="G431">
        <v>-10</v>
      </c>
      <c r="H431">
        <v>0</v>
      </c>
      <c r="I431">
        <v>-5</v>
      </c>
      <c r="J431">
        <v>0.45</v>
      </c>
      <c r="K431">
        <v>-10</v>
      </c>
      <c r="L431">
        <v>0</v>
      </c>
      <c r="M431">
        <v>-5</v>
      </c>
      <c r="N431">
        <v>3.5974683544303798</v>
      </c>
      <c r="O431">
        <v>0.73164556962025296</v>
      </c>
      <c r="P431"/>
      <c r="Q431">
        <v>7.3164556962025007E-2</v>
      </c>
      <c r="R431">
        <v>0.22720645560896499</v>
      </c>
      <c r="S431" s="1" t="str">
        <f>VLOOKUP($E431,'Product Naming'!$A$1:$P$58,2,FALSE)</f>
        <v>1-4-butanediol</v>
      </c>
      <c r="T431" s="1" t="str">
        <f>VLOOKUP($E431,'Product Naming'!$A$1:$P$58,3,FALSE)</f>
        <v>1,4-Butanediol</v>
      </c>
      <c r="U431" s="1" t="str">
        <f>VLOOKUP($E431,'Product Naming'!$A$1:$P$58,4,FALSE)</f>
        <v>E</v>
      </c>
      <c r="V431" s="1" t="str">
        <f>VLOOKUP($E431,'Product Naming'!$A$1:$P$58,5,FALSE)</f>
        <v>C4H10O2</v>
      </c>
      <c r="W431" s="1">
        <f>VLOOKUP($E431,'Product Naming'!$A$1:$P$58,6,FALSE)</f>
        <v>4</v>
      </c>
      <c r="X431" s="1">
        <f>VLOOKUP($E431,'Product Naming'!$A$1:$P$58,7,FALSE)</f>
        <v>10</v>
      </c>
      <c r="Y431" s="1">
        <f>VLOOKUP($E431,'Product Naming'!$A$1:$P$58,8,FALSE)</f>
        <v>2</v>
      </c>
      <c r="Z431" s="1">
        <f>VLOOKUP($E431,'Product Naming'!$A$1:$P$58,9,FALSE)</f>
        <v>0</v>
      </c>
      <c r="AA431" s="1">
        <f>VLOOKUP($E431,'Product Naming'!$A$1:$P$58,10,FALSE)</f>
        <v>0</v>
      </c>
      <c r="AB431" s="29">
        <f>VLOOKUP($E431,'Product Naming'!$A$1:$P$58,11,FALSE)</f>
        <v>5.5</v>
      </c>
      <c r="AC431" s="3">
        <f>VLOOKUP($E431,'Product Naming'!$A$1:$P$58,12,FALSE)</f>
        <v>90.119200000000006</v>
      </c>
      <c r="AD431" s="1">
        <f>VLOOKUP($E431,'Product Naming'!$A$1:$P$58,13,FALSE)</f>
        <v>230</v>
      </c>
      <c r="AE431" s="1" t="str">
        <f>VLOOKUP($E431,'Product Naming'!$A$1:$P$58,14,FALSE)</f>
        <v>Diol</v>
      </c>
      <c r="AF431" s="1" t="str">
        <f>VLOOKUP($E431,'Product Naming'!$A$1:$P$58,15,FALSE)</f>
        <v>aKG</v>
      </c>
      <c r="AG431" s="30" t="str">
        <f>VLOOKUP($E431,'Product Naming'!$A$1:$P$58,16,FALSE)</f>
        <v>Proton symporter</v>
      </c>
      <c r="AH431" s="3" t="str">
        <f>VLOOKUP($E431,'Product Naming'!$A$1:$Q$58,17,FALSE)</f>
        <v>14bdo_c</v>
      </c>
      <c r="AI431" s="1">
        <f>VLOOKUP($E431,'Product Parameters'!$A$2:$D$59,2,FALSE)</f>
        <v>1</v>
      </c>
      <c r="AJ431" s="1">
        <f>VLOOKUP($E431,'Product Parameters'!$A$2:$D$59,3,FALSE)</f>
        <v>0</v>
      </c>
      <c r="AK431" s="1">
        <f>VLOOKUP($E431,'Product Parameters'!$A$2:$D$59,4,FALSE)</f>
        <v>0.12</v>
      </c>
      <c r="AL431" s="1">
        <f>VLOOKUP($E431,'Product Parameters'!$A$2:$E$59,5,FALSE)</f>
        <v>78</v>
      </c>
      <c r="AM431" s="1">
        <f>VLOOKUP($E431,'Product Parameters'!$A$2:$F$59,6,FALSE)</f>
        <v>4</v>
      </c>
      <c r="AN431" s="1">
        <f>VLOOKUP($C431,'Substrate Heating'!$A$2:$C$33,3,FALSE)</f>
        <v>269.26666666666665</v>
      </c>
      <c r="AO431" s="1">
        <f>VLOOKUP($C431,'Substrate Heating'!$A$2:$B$33,2,FALSE)</f>
        <v>13.919167510409219</v>
      </c>
      <c r="AP431" s="1">
        <f>VLOOKUP($C431,'Substrate Heating'!$A$2:$M$33,13,FALSE)</f>
        <v>1.3333333333333333</v>
      </c>
      <c r="AQ431" s="1">
        <f>VLOOKUP($C431,'Substrate Heating'!$A$2:$M$33,8,FALSE)</f>
        <v>0.66666666666666663</v>
      </c>
      <c r="AR431" s="1">
        <f t="shared" si="6"/>
        <v>0.43898734177215004</v>
      </c>
    </row>
    <row r="432" spans="1:44" x14ac:dyDescent="0.2">
      <c r="A432" s="17" t="s">
        <v>231</v>
      </c>
      <c r="B432" s="9" t="s">
        <v>35</v>
      </c>
      <c r="C432" t="s">
        <v>344</v>
      </c>
      <c r="D432" s="10" t="s">
        <v>37</v>
      </c>
      <c r="E432" t="s">
        <v>232</v>
      </c>
      <c r="F432" t="s">
        <v>233</v>
      </c>
      <c r="G432">
        <v>-10</v>
      </c>
      <c r="H432">
        <v>-20</v>
      </c>
      <c r="I432" s="1" t="s">
        <v>40</v>
      </c>
      <c r="J432">
        <v>3.15</v>
      </c>
      <c r="K432">
        <v>-10</v>
      </c>
      <c r="L432">
        <v>-5</v>
      </c>
      <c r="M432" s="1" t="s">
        <v>40</v>
      </c>
      <c r="N432">
        <v>10.454545454545499</v>
      </c>
      <c r="O432">
        <v>1.36363636363637</v>
      </c>
      <c r="P432"/>
      <c r="Q432">
        <v>0.13636363636363699</v>
      </c>
      <c r="R432">
        <v>0.22753085204943599</v>
      </c>
      <c r="S432" s="1" t="str">
        <f>VLOOKUP($E432,'Product Naming'!$A$1:$P$58,2,FALSE)</f>
        <v>Heptane</v>
      </c>
      <c r="T432" s="1" t="str">
        <f>VLOOKUP($E432,'Product Naming'!$A$1:$P$58,3,FALSE)</f>
        <v>Heptane</v>
      </c>
      <c r="U432" s="1" t="str">
        <f>VLOOKUP($E432,'Product Naming'!$A$1:$P$58,4,FALSE)</f>
        <v>E</v>
      </c>
      <c r="V432" s="1" t="str">
        <f>VLOOKUP($E432,'Product Naming'!$A$1:$P$58,5,FALSE)</f>
        <v>C7H16</v>
      </c>
      <c r="W432" s="1">
        <f>VLOOKUP($E432,'Product Naming'!$A$1:$P$58,6,FALSE)</f>
        <v>7</v>
      </c>
      <c r="X432" s="1">
        <f>VLOOKUP($E432,'Product Naming'!$A$1:$P$58,7,FALSE)</f>
        <v>16</v>
      </c>
      <c r="Y432" s="1">
        <f>VLOOKUP($E432,'Product Naming'!$A$1:$P$58,8,FALSE)</f>
        <v>0</v>
      </c>
      <c r="Z432" s="1">
        <f>VLOOKUP($E432,'Product Naming'!$A$1:$P$58,9,FALSE)</f>
        <v>0</v>
      </c>
      <c r="AA432" s="1">
        <f>VLOOKUP($E432,'Product Naming'!$A$1:$P$58,10,FALSE)</f>
        <v>0</v>
      </c>
      <c r="AB432" s="29">
        <f>VLOOKUP($E432,'Product Naming'!$A$1:$P$58,11,FALSE)</f>
        <v>6.2857142857142856</v>
      </c>
      <c r="AC432" s="3">
        <f>VLOOKUP($E432,'Product Naming'!$A$1:$P$58,12,FALSE)</f>
        <v>100.20034</v>
      </c>
      <c r="AD432" s="1">
        <f>VLOOKUP($E432,'Product Naming'!$A$1:$P$58,13,FALSE)</f>
        <v>98</v>
      </c>
      <c r="AE432" s="1" t="str">
        <f>VLOOKUP($E432,'Product Naming'!$A$1:$P$58,14,FALSE)</f>
        <v>Hydrocarbon (alkane)</v>
      </c>
      <c r="AF432" s="1" t="str">
        <f>VLOOKUP($E432,'Product Naming'!$A$1:$P$58,15,FALSE)</f>
        <v>Acetyl-CoA</v>
      </c>
      <c r="AG432" s="30" t="str">
        <f>VLOOKUP($E432,'Product Naming'!$A$1:$P$58,16,FALSE)</f>
        <v>Proton symporter</v>
      </c>
      <c r="AH432" s="3" t="str">
        <f>VLOOKUP($E432,'Product Naming'!$A$1:$Q$58,17,FALSE)</f>
        <v>hept_c</v>
      </c>
      <c r="AI432" s="1">
        <f>VLOOKUP($E432,'Product Parameters'!$A$2:$D$59,2,FALSE)</f>
        <v>1</v>
      </c>
      <c r="AJ432" s="1">
        <f>VLOOKUP($E432,'Product Parameters'!$A$2:$D$59,3,FALSE)</f>
        <v>0</v>
      </c>
      <c r="AK432" s="1">
        <f>VLOOKUP($E432,'Product Parameters'!$A$2:$D$59,4,FALSE)</f>
        <v>0.12</v>
      </c>
      <c r="AL432" s="1">
        <f>VLOOKUP($E432,'Product Parameters'!$A$2:$E$59,5,FALSE)</f>
        <v>36</v>
      </c>
      <c r="AM432" s="1">
        <f>VLOOKUP($E432,'Product Parameters'!$A$2:$F$59,6,FALSE)</f>
        <v>7</v>
      </c>
      <c r="AN432" s="1">
        <f>VLOOKUP($C432,'Substrate Heating'!$A$2:$C$33,3,FALSE)</f>
        <v>1020.8629199999999</v>
      </c>
      <c r="AO432" s="1">
        <f>VLOOKUP($C432,'Substrate Heating'!$A$2:$B$33,2,FALSE)</f>
        <v>17</v>
      </c>
      <c r="AP432" s="1">
        <f>VLOOKUP($C432,'Substrate Heating'!$A$2:$M$33,13,FALSE)</f>
        <v>4</v>
      </c>
      <c r="AQ432" s="1">
        <f>VLOOKUP($C432,'Substrate Heating'!$A$2:$M$33,8,FALSE)</f>
        <v>2</v>
      </c>
      <c r="AR432" s="1">
        <f t="shared" si="6"/>
        <v>0.47727272727272946</v>
      </c>
    </row>
    <row r="433" spans="1:44" x14ac:dyDescent="0.2">
      <c r="A433" s="17" t="s">
        <v>323</v>
      </c>
      <c r="B433" s="18" t="s">
        <v>324</v>
      </c>
      <c r="C433" t="s">
        <v>327</v>
      </c>
      <c r="D433" s="19" t="s">
        <v>326</v>
      </c>
      <c r="E433" t="s">
        <v>306</v>
      </c>
      <c r="F433" t="s">
        <v>302</v>
      </c>
      <c r="G433">
        <v>-10</v>
      </c>
      <c r="H433">
        <v>0</v>
      </c>
      <c r="I433">
        <v>-5</v>
      </c>
      <c r="J433">
        <v>0.45</v>
      </c>
      <c r="K433">
        <v>-10</v>
      </c>
      <c r="L433">
        <v>0</v>
      </c>
      <c r="M433">
        <v>-5</v>
      </c>
      <c r="N433">
        <v>5.5</v>
      </c>
      <c r="O433">
        <v>1.5</v>
      </c>
      <c r="P433"/>
      <c r="Q433">
        <v>0.15</v>
      </c>
      <c r="R433">
        <v>0.22791946933149501</v>
      </c>
      <c r="S433" s="1" t="str">
        <f>VLOOKUP($E433,'Product Naming'!$A$1:$P$58,2,FALSE)</f>
        <v>Propane-PW2</v>
      </c>
      <c r="T433" s="1" t="str">
        <f>VLOOKUP($E433,'Product Naming'!$A$1:$P$58,3,FALSE)</f>
        <v>Propane (PW2)</v>
      </c>
      <c r="U433" s="1" t="str">
        <f>VLOOKUP($E433,'Product Naming'!$A$1:$P$58,4,FALSE)</f>
        <v>E</v>
      </c>
      <c r="V433" s="1" t="str">
        <f>VLOOKUP($E433,'Product Naming'!$A$1:$P$58,5,FALSE)</f>
        <v>C3H8</v>
      </c>
      <c r="W433" s="1">
        <f>VLOOKUP($E433,'Product Naming'!$A$1:$P$58,6,FALSE)</f>
        <v>3</v>
      </c>
      <c r="X433" s="1">
        <f>VLOOKUP($E433,'Product Naming'!$A$1:$P$58,7,FALSE)</f>
        <v>8</v>
      </c>
      <c r="Y433" s="1">
        <f>VLOOKUP($E433,'Product Naming'!$A$1:$P$58,8,FALSE)</f>
        <v>0</v>
      </c>
      <c r="Z433" s="1">
        <f>VLOOKUP($E433,'Product Naming'!$A$1:$P$58,9,FALSE)</f>
        <v>0</v>
      </c>
      <c r="AA433" s="1">
        <f>VLOOKUP($E433,'Product Naming'!$A$1:$P$58,10,FALSE)</f>
        <v>0</v>
      </c>
      <c r="AB433" s="29">
        <f>VLOOKUP($E433,'Product Naming'!$A$1:$P$58,11,FALSE)</f>
        <v>6.666666666666667</v>
      </c>
      <c r="AC433" s="3">
        <f>VLOOKUP($E433,'Product Naming'!$A$1:$P$58,12,FALSE)</f>
        <v>44.094819999999999</v>
      </c>
      <c r="AD433" s="1">
        <f>VLOOKUP($E433,'Product Naming'!$A$1:$P$58,13,FALSE)</f>
        <v>-42</v>
      </c>
      <c r="AE433" s="1" t="str">
        <f>VLOOKUP($E433,'Product Naming'!$A$1:$P$58,14,FALSE)</f>
        <v>Hydrocarbon</v>
      </c>
      <c r="AF433" s="1" t="str">
        <f>VLOOKUP($E433,'Product Naming'!$A$1:$P$58,15,FALSE)</f>
        <v>Oxaloacetate</v>
      </c>
      <c r="AG433" s="30" t="str">
        <f>VLOOKUP($E433,'Product Naming'!$A$1:$P$58,16,FALSE)</f>
        <v>Diffusion</v>
      </c>
      <c r="AH433" s="3" t="str">
        <f>VLOOKUP($E433,'Product Naming'!$A$1:$Q$58,17,FALSE)</f>
        <v>prop_c</v>
      </c>
      <c r="AI433" s="1">
        <f>VLOOKUP($E433,'Product Parameters'!$A$2:$D$59,2,FALSE)</f>
        <v>0</v>
      </c>
      <c r="AJ433" s="1">
        <f>VLOOKUP($E433,'Product Parameters'!$A$2:$D$59,3,FALSE)</f>
        <v>1</v>
      </c>
      <c r="AK433" s="1">
        <f>VLOOKUP($E433,'Product Parameters'!$A$2:$D$59,4,FALSE)</f>
        <v>0.12</v>
      </c>
      <c r="AL433" s="1">
        <f>VLOOKUP($E433,'Product Parameters'!$A$2:$E$59,5,FALSE)</f>
        <v>0</v>
      </c>
      <c r="AM433" s="1">
        <f>VLOOKUP($E433,'Product Parameters'!$A$2:$F$59,6,FALSE)</f>
        <v>3</v>
      </c>
      <c r="AN433" s="1">
        <f>VLOOKUP($C433,'Substrate Heating'!$A$2:$C$33,3,FALSE)</f>
        <v>269.26666666666665</v>
      </c>
      <c r="AO433" s="1">
        <f>VLOOKUP($C433,'Substrate Heating'!$A$2:$B$33,2,FALSE)</f>
        <v>13.919167510409219</v>
      </c>
      <c r="AP433" s="1">
        <f>VLOOKUP($C433,'Substrate Heating'!$A$2:$M$33,13,FALSE)</f>
        <v>1.3333333333333333</v>
      </c>
      <c r="AQ433" s="1">
        <f>VLOOKUP($C433,'Substrate Heating'!$A$2:$M$33,8,FALSE)</f>
        <v>0.66666666666666663</v>
      </c>
      <c r="AR433" s="1">
        <f t="shared" si="6"/>
        <v>0.67499999999999993</v>
      </c>
    </row>
    <row r="434" spans="1:44" x14ac:dyDescent="0.2">
      <c r="A434" s="17" t="s">
        <v>323</v>
      </c>
      <c r="B434" s="18" t="s">
        <v>324</v>
      </c>
      <c r="C434" t="s">
        <v>327</v>
      </c>
      <c r="D434" s="19" t="s">
        <v>326</v>
      </c>
      <c r="E434" t="s">
        <v>301</v>
      </c>
      <c r="F434" t="s">
        <v>302</v>
      </c>
      <c r="G434">
        <v>-10</v>
      </c>
      <c r="H434">
        <v>0</v>
      </c>
      <c r="I434">
        <v>-5</v>
      </c>
      <c r="J434">
        <v>0.45</v>
      </c>
      <c r="K434">
        <v>-10</v>
      </c>
      <c r="L434">
        <v>0</v>
      </c>
      <c r="M434">
        <v>-5</v>
      </c>
      <c r="N434">
        <v>5.5</v>
      </c>
      <c r="O434">
        <v>1.5</v>
      </c>
      <c r="P434"/>
      <c r="Q434">
        <v>0.15</v>
      </c>
      <c r="R434">
        <v>0.22791946933149601</v>
      </c>
      <c r="S434" s="1" t="str">
        <f>VLOOKUP($E434,'Product Naming'!$A$1:$P$58,2,FALSE)</f>
        <v>Propane-PW1</v>
      </c>
      <c r="T434" s="1" t="str">
        <f>VLOOKUP($E434,'Product Naming'!$A$1:$P$58,3,FALSE)</f>
        <v>Propane (PW1)</v>
      </c>
      <c r="U434" s="1" t="str">
        <f>VLOOKUP($E434,'Product Naming'!$A$1:$P$58,4,FALSE)</f>
        <v>E</v>
      </c>
      <c r="V434" s="1" t="str">
        <f>VLOOKUP($E434,'Product Naming'!$A$1:$P$58,5,FALSE)</f>
        <v>C3H8</v>
      </c>
      <c r="W434" s="1">
        <f>VLOOKUP($E434,'Product Naming'!$A$1:$P$58,6,FALSE)</f>
        <v>3</v>
      </c>
      <c r="X434" s="1">
        <f>VLOOKUP($E434,'Product Naming'!$A$1:$P$58,7,FALSE)</f>
        <v>8</v>
      </c>
      <c r="Y434" s="1">
        <f>VLOOKUP($E434,'Product Naming'!$A$1:$P$58,8,FALSE)</f>
        <v>0</v>
      </c>
      <c r="Z434" s="1">
        <f>VLOOKUP($E434,'Product Naming'!$A$1:$P$58,9,FALSE)</f>
        <v>0</v>
      </c>
      <c r="AA434" s="1">
        <f>VLOOKUP($E434,'Product Naming'!$A$1:$P$58,10,FALSE)</f>
        <v>0</v>
      </c>
      <c r="AB434" s="29">
        <f>VLOOKUP($E434,'Product Naming'!$A$1:$P$58,11,FALSE)</f>
        <v>6.666666666666667</v>
      </c>
      <c r="AC434" s="3">
        <f>VLOOKUP($E434,'Product Naming'!$A$1:$P$58,12,FALSE)</f>
        <v>44.094819999999999</v>
      </c>
      <c r="AD434" s="1">
        <f>VLOOKUP($E434,'Product Naming'!$A$1:$P$58,13,FALSE)</f>
        <v>-42</v>
      </c>
      <c r="AE434" s="1" t="str">
        <f>VLOOKUP($E434,'Product Naming'!$A$1:$P$58,14,FALSE)</f>
        <v>Hydrocarbon</v>
      </c>
      <c r="AF434" s="1" t="str">
        <f>VLOOKUP($E434,'Product Naming'!$A$1:$P$58,15,FALSE)</f>
        <v>Acetyl-CoA</v>
      </c>
      <c r="AG434" s="30" t="str">
        <f>VLOOKUP($E434,'Product Naming'!$A$1:$P$58,16,FALSE)</f>
        <v>Diffusion</v>
      </c>
      <c r="AH434" s="3" t="str">
        <f>VLOOKUP($E434,'Product Naming'!$A$1:$Q$58,17,FALSE)</f>
        <v>prop_c</v>
      </c>
      <c r="AI434" s="1">
        <f>VLOOKUP($E434,'Product Parameters'!$A$2:$D$59,2,FALSE)</f>
        <v>0</v>
      </c>
      <c r="AJ434" s="1">
        <f>VLOOKUP($E434,'Product Parameters'!$A$2:$D$59,3,FALSE)</f>
        <v>1</v>
      </c>
      <c r="AK434" s="1">
        <f>VLOOKUP($E434,'Product Parameters'!$A$2:$D$59,4,FALSE)</f>
        <v>0.12</v>
      </c>
      <c r="AL434" s="1">
        <f>VLOOKUP($E434,'Product Parameters'!$A$2:$E$59,5,FALSE)</f>
        <v>0</v>
      </c>
      <c r="AM434" s="1">
        <f>VLOOKUP($E434,'Product Parameters'!$A$2:$F$59,6,FALSE)</f>
        <v>3</v>
      </c>
      <c r="AN434" s="1">
        <f>VLOOKUP($C434,'Substrate Heating'!$A$2:$C$33,3,FALSE)</f>
        <v>269.26666666666665</v>
      </c>
      <c r="AO434" s="1">
        <f>VLOOKUP($C434,'Substrate Heating'!$A$2:$B$33,2,FALSE)</f>
        <v>13.919167510409219</v>
      </c>
      <c r="AP434" s="1">
        <f>VLOOKUP($C434,'Substrate Heating'!$A$2:$M$33,13,FALSE)</f>
        <v>1.3333333333333333</v>
      </c>
      <c r="AQ434" s="1">
        <f>VLOOKUP($C434,'Substrate Heating'!$A$2:$M$33,8,FALSE)</f>
        <v>0.66666666666666663</v>
      </c>
      <c r="AR434" s="1">
        <f t="shared" si="6"/>
        <v>0.67499999999999993</v>
      </c>
    </row>
    <row r="435" spans="1:44" x14ac:dyDescent="0.2">
      <c r="A435" s="17" t="s">
        <v>323</v>
      </c>
      <c r="B435" s="18" t="s">
        <v>324</v>
      </c>
      <c r="C435" t="s">
        <v>329</v>
      </c>
      <c r="D435" s="19" t="s">
        <v>326</v>
      </c>
      <c r="E435" t="s">
        <v>124</v>
      </c>
      <c r="F435" t="s">
        <v>125</v>
      </c>
      <c r="G435">
        <v>-10</v>
      </c>
      <c r="H435">
        <v>0</v>
      </c>
      <c r="I435">
        <v>-20</v>
      </c>
      <c r="J435">
        <v>0.45</v>
      </c>
      <c r="K435">
        <v>-10</v>
      </c>
      <c r="L435">
        <v>0</v>
      </c>
      <c r="M435">
        <v>-16.973913043478301</v>
      </c>
      <c r="N435">
        <v>0</v>
      </c>
      <c r="O435">
        <v>1.0086956521739101</v>
      </c>
      <c r="P435"/>
      <c r="Q435">
        <v>0.100869565217391</v>
      </c>
      <c r="R435" s="20">
        <v>0.22797192053888601</v>
      </c>
      <c r="S435" s="1" t="str">
        <f>VLOOKUP($E435,'Product Naming'!$A$1:$P$58,2,FALSE)</f>
        <v>Acrylate-PW1</v>
      </c>
      <c r="T435" s="1" t="str">
        <f>VLOOKUP($E435,'Product Naming'!$A$1:$P$58,3,FALSE)</f>
        <v>Acrylate (PW1)</v>
      </c>
      <c r="U435" s="1" t="str">
        <f>VLOOKUP($E435,'Product Naming'!$A$1:$P$58,4,FALSE)</f>
        <v>A</v>
      </c>
      <c r="V435" s="1" t="str">
        <f>VLOOKUP($E435,'Product Naming'!$A$1:$P$58,5,FALSE)</f>
        <v>C3H3O2</v>
      </c>
      <c r="W435" s="1">
        <f>VLOOKUP($E435,'Product Naming'!$A$1:$P$58,6,FALSE)</f>
        <v>3</v>
      </c>
      <c r="X435" s="1">
        <f>VLOOKUP($E435,'Product Naming'!$A$1:$P$58,7,FALSE)</f>
        <v>3</v>
      </c>
      <c r="Y435" s="1">
        <f>VLOOKUP($E435,'Product Naming'!$A$1:$P$58,8,FALSE)</f>
        <v>2</v>
      </c>
      <c r="Z435" s="1">
        <f>VLOOKUP($E435,'Product Naming'!$A$1:$P$58,9,FALSE)</f>
        <v>0</v>
      </c>
      <c r="AA435" s="1">
        <f>VLOOKUP($E435,'Product Naming'!$A$1:$P$58,10,FALSE)</f>
        <v>-1</v>
      </c>
      <c r="AB435" s="29">
        <f>VLOOKUP($E435,'Product Naming'!$A$1:$P$58,11,FALSE)</f>
        <v>3.6666666666666665</v>
      </c>
      <c r="AC435" s="3">
        <f>VLOOKUP($E435,'Product Naming'!$A$1:$P$58,12,FALSE)</f>
        <v>71.053619999999995</v>
      </c>
      <c r="AD435" s="1">
        <f>VLOOKUP($E435,'Product Naming'!$A$1:$P$58,13,FALSE)</f>
        <v>80</v>
      </c>
      <c r="AE435" s="1" t="str">
        <f>VLOOKUP($E435,'Product Naming'!$A$1:$P$58,14,FALSE)</f>
        <v>Carboxylate</v>
      </c>
      <c r="AF435" s="1" t="str">
        <f>VLOOKUP($E435,'Product Naming'!$A$1:$P$58,15,FALSE)</f>
        <v>Glyceraldehyde 3-P</v>
      </c>
      <c r="AG435" s="30" t="str">
        <f>VLOOKUP($E435,'Product Naming'!$A$1:$P$58,16,FALSE)</f>
        <v>Proton symporter</v>
      </c>
      <c r="AH435" s="3" t="str">
        <f>VLOOKUP($E435,'Product Naming'!$A$1:$Q$58,17,FALSE)</f>
        <v>acryl_c</v>
      </c>
      <c r="AI435" s="1">
        <f>VLOOKUP($E435,'Product Parameters'!$A$2:$D$59,2,FALSE)</f>
        <v>1</v>
      </c>
      <c r="AJ435" s="1">
        <f>VLOOKUP($E435,'Product Parameters'!$A$2:$D$59,3,FALSE)</f>
        <v>0</v>
      </c>
      <c r="AK435" s="1">
        <f>VLOOKUP($E435,'Product Parameters'!$A$2:$D$59,4,FALSE)</f>
        <v>0.12</v>
      </c>
      <c r="AL435" s="1">
        <f>VLOOKUP($E435,'Product Parameters'!$A$2:$E$59,5,FALSE)</f>
        <v>53.1</v>
      </c>
      <c r="AM435" s="1">
        <f>VLOOKUP($E435,'Product Parameters'!$A$2:$F$59,6,FALSE)</f>
        <v>3</v>
      </c>
      <c r="AN435" s="1">
        <f>VLOOKUP($C435,'Substrate Heating'!$A$2:$C$33,3,FALSE)</f>
        <v>255.53333333333336</v>
      </c>
      <c r="AO435" s="1">
        <f>VLOOKUP($C435,'Substrate Heating'!$A$2:$B$33,2,FALSE)</f>
        <v>23.925550527978785</v>
      </c>
      <c r="AP435" s="1">
        <f>VLOOKUP($C435,'Substrate Heating'!$A$2:$M$33,13,FALSE)</f>
        <v>0.66666666666666663</v>
      </c>
      <c r="AQ435" s="1">
        <f>VLOOKUP($C435,'Substrate Heating'!$A$2:$M$33,8,FALSE)</f>
        <v>0.33333333333333331</v>
      </c>
      <c r="AR435" s="1">
        <f t="shared" si="6"/>
        <v>0.90782608695651912</v>
      </c>
    </row>
    <row r="436" spans="1:44" x14ac:dyDescent="0.2">
      <c r="A436" s="17" t="s">
        <v>231</v>
      </c>
      <c r="B436" s="9" t="s">
        <v>35</v>
      </c>
      <c r="C436" t="s">
        <v>344</v>
      </c>
      <c r="D436" s="10" t="s">
        <v>37</v>
      </c>
      <c r="E436" t="s">
        <v>279</v>
      </c>
      <c r="F436" t="s">
        <v>280</v>
      </c>
      <c r="G436">
        <v>-10</v>
      </c>
      <c r="H436">
        <v>-20</v>
      </c>
      <c r="I436" s="1" t="s">
        <v>40</v>
      </c>
      <c r="J436">
        <v>3.15</v>
      </c>
      <c r="K436">
        <v>-10</v>
      </c>
      <c r="L436">
        <v>-5</v>
      </c>
      <c r="M436" s="1" t="s">
        <v>40</v>
      </c>
      <c r="N436">
        <v>10.3571428571429</v>
      </c>
      <c r="O436">
        <v>1.0714285714285701</v>
      </c>
      <c r="P436"/>
      <c r="Q436">
        <v>0.107142857142857</v>
      </c>
      <c r="R436">
        <v>0.228825077789725</v>
      </c>
      <c r="S436" s="1" t="str">
        <f>VLOOKUP($E436,'Product Naming'!$A$1:$P$58,2,FALSE)</f>
        <v>Nonane</v>
      </c>
      <c r="T436" s="1" t="str">
        <f>VLOOKUP($E436,'Product Naming'!$A$1:$P$58,3,FALSE)</f>
        <v>Nonane</v>
      </c>
      <c r="U436" s="1" t="str">
        <f>VLOOKUP($E436,'Product Naming'!$A$1:$P$58,4,FALSE)</f>
        <v>E</v>
      </c>
      <c r="V436" s="1" t="str">
        <f>VLOOKUP($E436,'Product Naming'!$A$1:$P$58,5,FALSE)</f>
        <v>C9H20</v>
      </c>
      <c r="W436" s="1">
        <f>VLOOKUP($E436,'Product Naming'!$A$1:$P$58,6,FALSE)</f>
        <v>9</v>
      </c>
      <c r="X436" s="1">
        <f>VLOOKUP($E436,'Product Naming'!$A$1:$P$58,7,FALSE)</f>
        <v>20</v>
      </c>
      <c r="Y436" s="1">
        <f>VLOOKUP($E436,'Product Naming'!$A$1:$P$58,8,FALSE)</f>
        <v>0</v>
      </c>
      <c r="Z436" s="1">
        <f>VLOOKUP($E436,'Product Naming'!$A$1:$P$58,9,FALSE)</f>
        <v>0</v>
      </c>
      <c r="AA436" s="1">
        <f>VLOOKUP($E436,'Product Naming'!$A$1:$P$58,10,FALSE)</f>
        <v>0</v>
      </c>
      <c r="AB436" s="29">
        <f>VLOOKUP($E436,'Product Naming'!$A$1:$P$58,11,FALSE)</f>
        <v>6.2222222222222223</v>
      </c>
      <c r="AC436" s="3">
        <f>VLOOKUP($E436,'Product Naming'!$A$1:$P$58,12,FALSE)</f>
        <v>128.25309999999999</v>
      </c>
      <c r="AD436" s="1">
        <f>VLOOKUP($E436,'Product Naming'!$A$1:$P$58,13,FALSE)</f>
        <v>151</v>
      </c>
      <c r="AE436" s="1" t="str">
        <f>VLOOKUP($E436,'Product Naming'!$A$1:$P$58,14,FALSE)</f>
        <v>Hydrocarbon (alkane)</v>
      </c>
      <c r="AF436" s="1" t="str">
        <f>VLOOKUP($E436,'Product Naming'!$A$1:$P$58,15,FALSE)</f>
        <v>Acetyl-CoA</v>
      </c>
      <c r="AG436" s="30" t="str">
        <f>VLOOKUP($E436,'Product Naming'!$A$1:$P$58,16,FALSE)</f>
        <v>Proton symporter</v>
      </c>
      <c r="AH436" s="3" t="str">
        <f>VLOOKUP($E436,'Product Naming'!$A$1:$Q$58,17,FALSE)</f>
        <v>nonan_c</v>
      </c>
      <c r="AI436" s="1">
        <f>VLOOKUP($E436,'Product Parameters'!$A$2:$D$59,2,FALSE)</f>
        <v>1</v>
      </c>
      <c r="AJ436" s="1">
        <f>VLOOKUP($E436,'Product Parameters'!$A$2:$D$59,3,FALSE)</f>
        <v>0</v>
      </c>
      <c r="AK436" s="1">
        <f>VLOOKUP($E436,'Product Parameters'!$A$2:$D$59,4,FALSE)</f>
        <v>0.12</v>
      </c>
      <c r="AL436" s="1">
        <f>VLOOKUP($E436,'Product Parameters'!$A$2:$E$59,5,FALSE)</f>
        <v>46.5</v>
      </c>
      <c r="AM436" s="1">
        <f>VLOOKUP($E436,'Product Parameters'!$A$2:$F$59,6,FALSE)</f>
        <v>9</v>
      </c>
      <c r="AN436" s="1">
        <f>VLOOKUP($C436,'Substrate Heating'!$A$2:$C$33,3,FALSE)</f>
        <v>1020.8629199999999</v>
      </c>
      <c r="AO436" s="1">
        <f>VLOOKUP($C436,'Substrate Heating'!$A$2:$B$33,2,FALSE)</f>
        <v>17</v>
      </c>
      <c r="AP436" s="1">
        <f>VLOOKUP($C436,'Substrate Heating'!$A$2:$M$33,13,FALSE)</f>
        <v>4</v>
      </c>
      <c r="AQ436" s="1">
        <f>VLOOKUP($C436,'Substrate Heating'!$A$2:$M$33,8,FALSE)</f>
        <v>2</v>
      </c>
      <c r="AR436" s="1">
        <f t="shared" si="6"/>
        <v>0.48214285714285648</v>
      </c>
    </row>
    <row r="437" spans="1:44" x14ac:dyDescent="0.2">
      <c r="A437" s="17" t="s">
        <v>323</v>
      </c>
      <c r="B437" s="18" t="s">
        <v>324</v>
      </c>
      <c r="C437" t="s">
        <v>334</v>
      </c>
      <c r="D437" s="19" t="s">
        <v>326</v>
      </c>
      <c r="E437" t="s">
        <v>240</v>
      </c>
      <c r="F437" t="s">
        <v>241</v>
      </c>
      <c r="G437">
        <v>-10</v>
      </c>
      <c r="H437">
        <v>0</v>
      </c>
      <c r="I437">
        <v>-5</v>
      </c>
      <c r="J437">
        <v>0.45</v>
      </c>
      <c r="K437">
        <v>-10</v>
      </c>
      <c r="L437">
        <v>0</v>
      </c>
      <c r="M437">
        <v>-5</v>
      </c>
      <c r="N437">
        <v>5</v>
      </c>
      <c r="O437">
        <v>1.25</v>
      </c>
      <c r="P437"/>
      <c r="Q437">
        <v>0.125</v>
      </c>
      <c r="R437">
        <v>0.22887870007398001</v>
      </c>
      <c r="S437" s="1" t="str">
        <f>VLOOKUP($E437,'Product Naming'!$A$1:$P$58,2,FALSE)</f>
        <v>Isobutanol</v>
      </c>
      <c r="T437" s="1" t="str">
        <f>VLOOKUP($E437,'Product Naming'!$A$1:$P$58,3,FALSE)</f>
        <v>Isobutanol</v>
      </c>
      <c r="U437" s="1" t="str">
        <f>VLOOKUP($E437,'Product Naming'!$A$1:$P$58,4,FALSE)</f>
        <v>E</v>
      </c>
      <c r="V437" s="1" t="str">
        <f>VLOOKUP($E437,'Product Naming'!$A$1:$P$58,5,FALSE)</f>
        <v>C5H10O</v>
      </c>
      <c r="W437" s="1">
        <f>VLOOKUP($E437,'Product Naming'!$A$1:$P$58,6,FALSE)</f>
        <v>5</v>
      </c>
      <c r="X437" s="1">
        <f>VLOOKUP($E437,'Product Naming'!$A$1:$P$58,7,FALSE)</f>
        <v>10</v>
      </c>
      <c r="Y437" s="1">
        <f>VLOOKUP($E437,'Product Naming'!$A$1:$P$58,8,FALSE)</f>
        <v>1</v>
      </c>
      <c r="Z437" s="1">
        <f>VLOOKUP($E437,'Product Naming'!$A$1:$P$58,9,FALSE)</f>
        <v>0</v>
      </c>
      <c r="AA437" s="1">
        <f>VLOOKUP($E437,'Product Naming'!$A$1:$P$58,10,FALSE)</f>
        <v>0</v>
      </c>
      <c r="AB437" s="29">
        <f>VLOOKUP($E437,'Product Naming'!$A$1:$P$58,11,FALSE)</f>
        <v>5.6</v>
      </c>
      <c r="AC437" s="3">
        <f>VLOOKUP($E437,'Product Naming'!$A$1:$P$58,12,FALSE)</f>
        <v>86.130899999999997</v>
      </c>
      <c r="AD437" s="1">
        <f>VLOOKUP($E437,'Product Naming'!$A$1:$P$58,13,FALSE)</f>
        <v>108</v>
      </c>
      <c r="AE437" s="1" t="str">
        <f>VLOOKUP($E437,'Product Naming'!$A$1:$P$58,14,FALSE)</f>
        <v>Alcohol</v>
      </c>
      <c r="AF437" s="1" t="str">
        <f>VLOOKUP($E437,'Product Naming'!$A$1:$P$58,15,FALSE)</f>
        <v>Pyruvate</v>
      </c>
      <c r="AG437" s="30" t="str">
        <f>VLOOKUP($E437,'Product Naming'!$A$1:$P$58,16,FALSE)</f>
        <v>Proton symporter</v>
      </c>
      <c r="AH437" s="3" t="str">
        <f>VLOOKUP($E437,'Product Naming'!$A$1:$Q$58,17,FALSE)</f>
        <v>ibutoh_c</v>
      </c>
      <c r="AI437" s="1">
        <f>VLOOKUP($E437,'Product Parameters'!$A$2:$D$59,2,FALSE)</f>
        <v>1</v>
      </c>
      <c r="AJ437" s="1">
        <f>VLOOKUP($E437,'Product Parameters'!$A$2:$D$59,3,FALSE)</f>
        <v>0</v>
      </c>
      <c r="AK437" s="1">
        <f>VLOOKUP($E437,'Product Parameters'!$A$2:$D$59,4,FALSE)</f>
        <v>0.12</v>
      </c>
      <c r="AL437" s="1">
        <f>VLOOKUP($E437,'Product Parameters'!$A$2:$E$59,5,FALSE)</f>
        <v>51</v>
      </c>
      <c r="AM437" s="1">
        <f>VLOOKUP($E437,'Product Parameters'!$A$2:$F$59,6,FALSE)</f>
        <v>5</v>
      </c>
      <c r="AN437" s="1">
        <f>VLOOKUP($C437,'Substrate Heating'!$A$2:$C$33,3,FALSE)</f>
        <v>249.93333333333334</v>
      </c>
      <c r="AO437" s="1">
        <f>VLOOKUP($C437,'Substrate Heating'!$A$2:$B$33,2,FALSE)</f>
        <v>8.1456827881222953</v>
      </c>
      <c r="AP437" s="1">
        <f>VLOOKUP($C437,'Substrate Heating'!$A$2:$M$33,13,FALSE)</f>
        <v>0.66666666666666663</v>
      </c>
      <c r="AQ437" s="1">
        <f>VLOOKUP($C437,'Substrate Heating'!$A$2:$M$33,8,FALSE)</f>
        <v>0.66666666666666663</v>
      </c>
      <c r="AR437" s="1">
        <f t="shared" si="6"/>
        <v>0.9375</v>
      </c>
    </row>
    <row r="438" spans="1:44" x14ac:dyDescent="0.2">
      <c r="A438" s="8" t="s">
        <v>816</v>
      </c>
      <c r="B438" s="18" t="s">
        <v>324</v>
      </c>
      <c r="C438" t="s">
        <v>815</v>
      </c>
      <c r="D438" s="19" t="s">
        <v>326</v>
      </c>
      <c r="E438" t="s">
        <v>192</v>
      </c>
      <c r="F438" t="s">
        <v>193</v>
      </c>
      <c r="G438">
        <v>-10</v>
      </c>
      <c r="H438">
        <v>0</v>
      </c>
      <c r="I438">
        <v>0</v>
      </c>
      <c r="J438">
        <v>0.45</v>
      </c>
      <c r="K438">
        <v>20.448372089999999</v>
      </c>
      <c r="L438">
        <v>0</v>
      </c>
      <c r="M438">
        <v>0</v>
      </c>
      <c r="N438">
        <v>20.448372089999999</v>
      </c>
      <c r="O438">
        <v>0.89674418600000005</v>
      </c>
      <c r="P438"/>
      <c r="Q438">
        <v>4.3854061999999999E-2</v>
      </c>
      <c r="R438">
        <v>0.229244168</v>
      </c>
      <c r="S438" s="1" t="str">
        <f>VLOOKUP($E438,'Product Naming'!$A$1:$P$58,2,FALSE)</f>
        <v>Coumaric acid</v>
      </c>
      <c r="T438" s="1" t="str">
        <f>VLOOKUP($E438,'Product Naming'!$A$1:$P$58,3,FALSE)</f>
        <v>Coumaric acid</v>
      </c>
      <c r="U438" s="1" t="str">
        <f>VLOOKUP($E438,'Product Naming'!$A$1:$P$58,4,FALSE)</f>
        <v>E</v>
      </c>
      <c r="V438" s="1" t="str">
        <f>VLOOKUP($E438,'Product Naming'!$A$1:$P$58,5,FALSE)</f>
        <v>C9H7O3</v>
      </c>
      <c r="W438" s="1">
        <f>VLOOKUP($E438,'Product Naming'!$A$1:$P$58,6,FALSE)</f>
        <v>9</v>
      </c>
      <c r="X438" s="1">
        <f>VLOOKUP($E438,'Product Naming'!$A$1:$P$58,7,FALSE)</f>
        <v>7</v>
      </c>
      <c r="Y438" s="1">
        <f>VLOOKUP($E438,'Product Naming'!$A$1:$P$58,8,FALSE)</f>
        <v>3</v>
      </c>
      <c r="Z438" s="1">
        <f>VLOOKUP($E438,'Product Naming'!$A$1:$P$58,9,FALSE)</f>
        <v>0</v>
      </c>
      <c r="AA438" s="1">
        <f>VLOOKUP($E438,'Product Naming'!$A$1:$P$58,10,FALSE)</f>
        <v>-1</v>
      </c>
      <c r="AB438" s="29">
        <f>VLOOKUP($E438,'Product Naming'!$A$1:$P$58,11,FALSE)</f>
        <v>4.1111111111111107</v>
      </c>
      <c r="AC438" s="3">
        <f>VLOOKUP($E438,'Product Naming'!$A$1:$P$58,12,FALSE)</f>
        <v>163.14818</v>
      </c>
      <c r="AD438" s="1">
        <f>VLOOKUP($E438,'Product Naming'!$A$1:$P$58,13,FALSE)</f>
        <v>346</v>
      </c>
      <c r="AE438" s="1" t="str">
        <f>VLOOKUP($E438,'Product Naming'!$A$1:$P$58,14,FALSE)</f>
        <v>Aromatic + Alcohol + Carboxylate</v>
      </c>
      <c r="AF438" s="1" t="str">
        <f>VLOOKUP($E438,'Product Naming'!$A$1:$P$58,15,FALSE)</f>
        <v>E4P + L-glutamate</v>
      </c>
      <c r="AG438" s="30" t="str">
        <f>VLOOKUP($E438,'Product Naming'!$A$1:$P$58,16,FALSE)</f>
        <v>Proton symporter</v>
      </c>
      <c r="AH438" s="3" t="str">
        <f>VLOOKUP($E438,'Product Naming'!$A$1:$Q$58,17,FALSE)</f>
        <v>T4hcinnm_c</v>
      </c>
      <c r="AI438" s="1">
        <f>VLOOKUP($E438,'Product Parameters'!$A$2:$D$59,2,FALSE)</f>
        <v>1</v>
      </c>
      <c r="AJ438" s="1">
        <f>VLOOKUP($E438,'Product Parameters'!$A$2:$D$59,3,FALSE)</f>
        <v>0</v>
      </c>
      <c r="AK438" s="1">
        <f>VLOOKUP($E438,'Product Parameters'!$A$2:$D$59,4,FALSE)</f>
        <v>0.12</v>
      </c>
      <c r="AL438" s="1">
        <f>VLOOKUP($E438,'Product Parameters'!$A$2:$E$59,5,FALSE)</f>
        <v>40.65</v>
      </c>
      <c r="AM438" s="1">
        <f>VLOOKUP($E438,'Product Parameters'!$A$2:$F$59,6,FALSE)</f>
        <v>9</v>
      </c>
      <c r="AN438" s="1">
        <f>VLOOKUP($C438,'Substrate Heating'!$A$2:$C$33,3,FALSE)</f>
        <v>226.4</v>
      </c>
      <c r="AO438" s="1">
        <f>VLOOKUP($C438,'Substrate Heating'!$A$2:$B$33,2,FALSE)</f>
        <v>7.2542014450728134</v>
      </c>
      <c r="AP438" s="1">
        <f>VLOOKUP($C438,'Substrate Heating'!$A$2:$M$33,13,FALSE)</f>
        <v>1.6</v>
      </c>
      <c r="AQ438" s="1">
        <f>VLOOKUP($C438,'Substrate Heating'!$A$2:$M$33,8,FALSE)</f>
        <v>1</v>
      </c>
      <c r="AR438" s="1">
        <f t="shared" si="6"/>
        <v>0.39468655799999997</v>
      </c>
    </row>
    <row r="439" spans="1:44" x14ac:dyDescent="0.2">
      <c r="A439" s="8" t="s">
        <v>809</v>
      </c>
      <c r="B439" s="18" t="s">
        <v>324</v>
      </c>
      <c r="C439" t="s">
        <v>808</v>
      </c>
      <c r="D439" s="19" t="s">
        <v>326</v>
      </c>
      <c r="E439" t="s">
        <v>130</v>
      </c>
      <c r="F439" t="s">
        <v>125</v>
      </c>
      <c r="G439">
        <v>-10</v>
      </c>
      <c r="H439">
        <v>0</v>
      </c>
      <c r="I439">
        <v>-20</v>
      </c>
      <c r="J439">
        <v>0.45</v>
      </c>
      <c r="K439">
        <v>-10</v>
      </c>
      <c r="L439">
        <v>0</v>
      </c>
      <c r="M439">
        <v>-20</v>
      </c>
      <c r="N439">
        <v>-10</v>
      </c>
      <c r="O439">
        <v>1.55294117647059</v>
      </c>
      <c r="P439"/>
      <c r="Q439">
        <v>0.155294117647059</v>
      </c>
      <c r="R439">
        <v>0.22967839023207701</v>
      </c>
      <c r="S439" s="1" t="str">
        <f>VLOOKUP($E439,'Product Naming'!$A$1:$P$58,2,FALSE)</f>
        <v>Acrylate-PW2</v>
      </c>
      <c r="T439" s="1" t="str">
        <f>VLOOKUP($E439,'Product Naming'!$A$1:$P$58,3,FALSE)</f>
        <v>Acrylate (PW2)</v>
      </c>
      <c r="U439" s="1" t="str">
        <f>VLOOKUP($E439,'Product Naming'!$A$1:$P$58,4,FALSE)</f>
        <v>A</v>
      </c>
      <c r="V439" s="1" t="str">
        <f>VLOOKUP($E439,'Product Naming'!$A$1:$P$58,5,FALSE)</f>
        <v>C3H3O2</v>
      </c>
      <c r="W439" s="1">
        <f>VLOOKUP($E439,'Product Naming'!$A$1:$P$58,6,FALSE)</f>
        <v>3</v>
      </c>
      <c r="X439" s="1">
        <f>VLOOKUP($E439,'Product Naming'!$A$1:$P$58,7,FALSE)</f>
        <v>3</v>
      </c>
      <c r="Y439" s="1">
        <f>VLOOKUP($E439,'Product Naming'!$A$1:$P$58,8,FALSE)</f>
        <v>2</v>
      </c>
      <c r="Z439" s="1">
        <f>VLOOKUP($E439,'Product Naming'!$A$1:$P$58,9,FALSE)</f>
        <v>0</v>
      </c>
      <c r="AA439" s="1">
        <f>VLOOKUP($E439,'Product Naming'!$A$1:$P$58,10,FALSE)</f>
        <v>-1</v>
      </c>
      <c r="AB439" s="29">
        <f>VLOOKUP($E439,'Product Naming'!$A$1:$P$58,11,FALSE)</f>
        <v>3.6666666666666665</v>
      </c>
      <c r="AC439" s="3">
        <f>VLOOKUP($E439,'Product Naming'!$A$1:$P$58,12,FALSE)</f>
        <v>71.053619999999995</v>
      </c>
      <c r="AD439" s="1">
        <f>VLOOKUP($E439,'Product Naming'!$A$1:$P$58,13,FALSE)</f>
        <v>80</v>
      </c>
      <c r="AE439" s="1" t="str">
        <f>VLOOKUP($E439,'Product Naming'!$A$1:$P$58,14,FALSE)</f>
        <v>Carboxylate</v>
      </c>
      <c r="AF439" s="1" t="str">
        <f>VLOOKUP($E439,'Product Naming'!$A$1:$P$58,15,FALSE)</f>
        <v>Pyruvate</v>
      </c>
      <c r="AG439" s="30" t="str">
        <f>VLOOKUP($E439,'Product Naming'!$A$1:$P$58,16,FALSE)</f>
        <v>Proton symporter</v>
      </c>
      <c r="AH439" s="3" t="str">
        <f>VLOOKUP($E439,'Product Naming'!$A$1:$Q$58,17,FALSE)</f>
        <v>acryl_c</v>
      </c>
      <c r="AI439" s="1">
        <f>VLOOKUP($E439,'Product Parameters'!$A$2:$D$59,2,FALSE)</f>
        <v>1</v>
      </c>
      <c r="AJ439" s="1">
        <f>VLOOKUP($E439,'Product Parameters'!$A$2:$D$59,3,FALSE)</f>
        <v>0</v>
      </c>
      <c r="AK439" s="1">
        <f>VLOOKUP($E439,'Product Parameters'!$A$2:$D$59,4,FALSE)</f>
        <v>0.12</v>
      </c>
      <c r="AL439" s="1">
        <f>VLOOKUP($E439,'Product Parameters'!$A$2:$E$59,5,FALSE)</f>
        <v>53.1</v>
      </c>
      <c r="AM439" s="1">
        <f>VLOOKUP($E439,'Product Parameters'!$A$2:$F$59,6,FALSE)</f>
        <v>3</v>
      </c>
      <c r="AN439" s="1">
        <f>VLOOKUP($C439,'Substrate Heating'!$A$2:$C$33,3,FALSE)</f>
        <v>120.9</v>
      </c>
      <c r="AO439" s="1">
        <f>VLOOKUP($C439,'Substrate Heating'!$A$2:$B$33,2,FALSE)</f>
        <v>5.2537372583834907</v>
      </c>
      <c r="AP439" s="1">
        <f>VLOOKUP($C439,'Substrate Heating'!$A$2:$M$33,13,FALSE)</f>
        <v>0</v>
      </c>
      <c r="AQ439" s="1">
        <f>VLOOKUP($C439,'Substrate Heating'!$A$2:$M$33,8,FALSE)</f>
        <v>0.33333333333333331</v>
      </c>
      <c r="AR439" s="1">
        <f t="shared" si="6"/>
        <v>1.397647058823531</v>
      </c>
    </row>
    <row r="440" spans="1:44" x14ac:dyDescent="0.2">
      <c r="A440" s="8" t="s">
        <v>34</v>
      </c>
      <c r="B440" s="9" t="s">
        <v>35</v>
      </c>
      <c r="C440" s="1" t="s">
        <v>349</v>
      </c>
      <c r="D440" s="25" t="s">
        <v>342</v>
      </c>
      <c r="E440" s="1" t="s">
        <v>306</v>
      </c>
      <c r="F440" s="1" t="s">
        <v>302</v>
      </c>
      <c r="G440" s="1">
        <v>-10</v>
      </c>
      <c r="H440" s="1">
        <v>-20</v>
      </c>
      <c r="I440" s="1" t="s">
        <v>40</v>
      </c>
      <c r="J440" s="1">
        <v>3.15</v>
      </c>
      <c r="K440" s="1">
        <v>-10</v>
      </c>
      <c r="L440" s="1">
        <v>-10.8006329113924</v>
      </c>
      <c r="M440" s="1" t="s">
        <v>40</v>
      </c>
      <c r="N440" s="1">
        <v>26.4803797468354</v>
      </c>
      <c r="O440" s="1">
        <v>7.8398734177215204</v>
      </c>
      <c r="Q440" s="1">
        <v>0.78398734177215201</v>
      </c>
      <c r="R440" s="1">
        <v>0.230265641229078</v>
      </c>
      <c r="S440" s="1" t="str">
        <f>VLOOKUP($E440,'Product Naming'!$A$1:$P$58,2,FALSE)</f>
        <v>Propane-PW2</v>
      </c>
      <c r="T440" s="1" t="str">
        <f>VLOOKUP($E440,'Product Naming'!$A$1:$P$58,3,FALSE)</f>
        <v>Propane (PW2)</v>
      </c>
      <c r="U440" s="1" t="str">
        <f>VLOOKUP($E440,'Product Naming'!$A$1:$P$58,4,FALSE)</f>
        <v>E</v>
      </c>
      <c r="V440" s="1" t="str">
        <f>VLOOKUP($E440,'Product Naming'!$A$1:$P$58,5,FALSE)</f>
        <v>C3H8</v>
      </c>
      <c r="W440" s="1">
        <f>VLOOKUP($E440,'Product Naming'!$A$1:$P$58,6,FALSE)</f>
        <v>3</v>
      </c>
      <c r="X440" s="1">
        <f>VLOOKUP($E440,'Product Naming'!$A$1:$P$58,7,FALSE)</f>
        <v>8</v>
      </c>
      <c r="Y440" s="1">
        <f>VLOOKUP($E440,'Product Naming'!$A$1:$P$58,8,FALSE)</f>
        <v>0</v>
      </c>
      <c r="Z440" s="1">
        <f>VLOOKUP($E440,'Product Naming'!$A$1:$P$58,9,FALSE)</f>
        <v>0</v>
      </c>
      <c r="AA440" s="1">
        <f>VLOOKUP($E440,'Product Naming'!$A$1:$P$58,10,FALSE)</f>
        <v>0</v>
      </c>
      <c r="AB440" s="29">
        <f>VLOOKUP($E440,'Product Naming'!$A$1:$P$58,11,FALSE)</f>
        <v>6.666666666666667</v>
      </c>
      <c r="AC440" s="3">
        <f>VLOOKUP($E440,'Product Naming'!$A$1:$P$58,12,FALSE)</f>
        <v>44.094819999999999</v>
      </c>
      <c r="AD440" s="1">
        <f>VLOOKUP($E440,'Product Naming'!$A$1:$P$58,13,FALSE)</f>
        <v>-42</v>
      </c>
      <c r="AE440" s="1" t="str">
        <f>VLOOKUP($E440,'Product Naming'!$A$1:$P$58,14,FALSE)</f>
        <v>Hydrocarbon</v>
      </c>
      <c r="AF440" s="1" t="str">
        <f>VLOOKUP($E440,'Product Naming'!$A$1:$P$58,15,FALSE)</f>
        <v>Oxaloacetate</v>
      </c>
      <c r="AG440" s="30" t="str">
        <f>VLOOKUP($E440,'Product Naming'!$A$1:$P$58,16,FALSE)</f>
        <v>Diffusion</v>
      </c>
      <c r="AH440" s="3" t="str">
        <f>VLOOKUP($E440,'Product Naming'!$A$1:$Q$58,17,FALSE)</f>
        <v>prop_c</v>
      </c>
      <c r="AI440" s="1">
        <f>VLOOKUP($E440,'Product Parameters'!$A$2:$D$59,2,FALSE)</f>
        <v>0</v>
      </c>
      <c r="AJ440" s="1">
        <f>VLOOKUP($E440,'Product Parameters'!$A$2:$D$59,3,FALSE)</f>
        <v>1</v>
      </c>
      <c r="AK440" s="1">
        <f>VLOOKUP($E440,'Product Parameters'!$A$2:$D$59,4,FALSE)</f>
        <v>0.12</v>
      </c>
      <c r="AL440" s="1">
        <f>VLOOKUP($E440,'Product Parameters'!$A$2:$E$59,5,FALSE)</f>
        <v>0</v>
      </c>
      <c r="AM440" s="1">
        <f>VLOOKUP($E440,'Product Parameters'!$A$2:$F$59,6,FALSE)</f>
        <v>3</v>
      </c>
      <c r="AN440" s="1">
        <f>VLOOKUP($C440,'Substrate Heating'!$A$2:$C$33,3,FALSE)</f>
        <v>2342.0279999999998</v>
      </c>
      <c r="AO440" s="1">
        <f>VLOOKUP($C440,'Substrate Heating'!$A$2:$B$33,2,FALSE)</f>
        <v>15.6</v>
      </c>
      <c r="AP440" s="1">
        <f>VLOOKUP($C440,'Substrate Heating'!$A$2:$M$33,13,FALSE)</f>
        <v>4</v>
      </c>
      <c r="AQ440" s="1">
        <f>VLOOKUP($C440,'Substrate Heating'!$A$2:$M$33,8,FALSE)</f>
        <v>5</v>
      </c>
      <c r="AR440" s="1">
        <f t="shared" si="6"/>
        <v>0.47039240506329116</v>
      </c>
    </row>
    <row r="441" spans="1:44" x14ac:dyDescent="0.2">
      <c r="A441" s="8" t="s">
        <v>34</v>
      </c>
      <c r="B441" s="9" t="s">
        <v>35</v>
      </c>
      <c r="C441" s="1" t="s">
        <v>341</v>
      </c>
      <c r="D441" s="24" t="s">
        <v>342</v>
      </c>
      <c r="E441" s="1" t="s">
        <v>306</v>
      </c>
      <c r="F441" s="1" t="s">
        <v>302</v>
      </c>
      <c r="G441" s="1">
        <v>-10</v>
      </c>
      <c r="H441" s="1">
        <v>-20</v>
      </c>
      <c r="I441" s="1" t="s">
        <v>40</v>
      </c>
      <c r="J441" s="1">
        <v>3.15</v>
      </c>
      <c r="K441" s="1">
        <v>-10</v>
      </c>
      <c r="L441" s="1">
        <v>-12.731012658227799</v>
      </c>
      <c r="M441" s="1" t="s">
        <v>40</v>
      </c>
      <c r="N441" s="1">
        <v>31.638607594936801</v>
      </c>
      <c r="O441" s="1">
        <v>9.4537974683544501</v>
      </c>
      <c r="Q441" s="1">
        <v>0.94537974683544501</v>
      </c>
      <c r="R441" s="1">
        <v>0.23139507181565799</v>
      </c>
      <c r="S441" s="1" t="str">
        <f>VLOOKUP($E441,'Product Naming'!$A$1:$P$58,2,FALSE)</f>
        <v>Propane-PW2</v>
      </c>
      <c r="T441" s="1" t="str">
        <f>VLOOKUP($E441,'Product Naming'!$A$1:$P$58,3,FALSE)</f>
        <v>Propane (PW2)</v>
      </c>
      <c r="U441" s="1" t="str">
        <f>VLOOKUP($E441,'Product Naming'!$A$1:$P$58,4,FALSE)</f>
        <v>E</v>
      </c>
      <c r="V441" s="1" t="str">
        <f>VLOOKUP($E441,'Product Naming'!$A$1:$P$58,5,FALSE)</f>
        <v>C3H8</v>
      </c>
      <c r="W441" s="1">
        <f>VLOOKUP($E441,'Product Naming'!$A$1:$P$58,6,FALSE)</f>
        <v>3</v>
      </c>
      <c r="X441" s="1">
        <f>VLOOKUP($E441,'Product Naming'!$A$1:$P$58,7,FALSE)</f>
        <v>8</v>
      </c>
      <c r="Y441" s="1">
        <f>VLOOKUP($E441,'Product Naming'!$A$1:$P$58,8,FALSE)</f>
        <v>0</v>
      </c>
      <c r="Z441" s="1">
        <f>VLOOKUP($E441,'Product Naming'!$A$1:$P$58,9,FALSE)</f>
        <v>0</v>
      </c>
      <c r="AA441" s="1">
        <f>VLOOKUP($E441,'Product Naming'!$A$1:$P$58,10,FALSE)</f>
        <v>0</v>
      </c>
      <c r="AB441" s="29">
        <f>VLOOKUP($E441,'Product Naming'!$A$1:$P$58,11,FALSE)</f>
        <v>6.666666666666667</v>
      </c>
      <c r="AC441" s="3">
        <f>VLOOKUP($E441,'Product Naming'!$A$1:$P$58,12,FALSE)</f>
        <v>44.094819999999999</v>
      </c>
      <c r="AD441" s="1">
        <f>VLOOKUP($E441,'Product Naming'!$A$1:$P$58,13,FALSE)</f>
        <v>-42</v>
      </c>
      <c r="AE441" s="1" t="str">
        <f>VLOOKUP($E441,'Product Naming'!$A$1:$P$58,14,FALSE)</f>
        <v>Hydrocarbon</v>
      </c>
      <c r="AF441" s="1" t="str">
        <f>VLOOKUP($E441,'Product Naming'!$A$1:$P$58,15,FALSE)</f>
        <v>Oxaloacetate</v>
      </c>
      <c r="AG441" s="30" t="str">
        <f>VLOOKUP($E441,'Product Naming'!$A$1:$P$58,16,FALSE)</f>
        <v>Diffusion</v>
      </c>
      <c r="AH441" s="3" t="str">
        <f>VLOOKUP($E441,'Product Naming'!$A$1:$Q$58,17,FALSE)</f>
        <v>prop_c</v>
      </c>
      <c r="AI441" s="1">
        <f>VLOOKUP($E441,'Product Parameters'!$A$2:$D$59,2,FALSE)</f>
        <v>0</v>
      </c>
      <c r="AJ441" s="1">
        <f>VLOOKUP($E441,'Product Parameters'!$A$2:$D$59,3,FALSE)</f>
        <v>1</v>
      </c>
      <c r="AK441" s="1">
        <f>VLOOKUP($E441,'Product Parameters'!$A$2:$D$59,4,FALSE)</f>
        <v>0.12</v>
      </c>
      <c r="AL441" s="1">
        <f>VLOOKUP($E441,'Product Parameters'!$A$2:$E$59,5,FALSE)</f>
        <v>0</v>
      </c>
      <c r="AM441" s="1">
        <f>VLOOKUP($E441,'Product Parameters'!$A$2:$F$59,6,FALSE)</f>
        <v>3</v>
      </c>
      <c r="AN441" s="1">
        <f>VLOOKUP($C441,'Substrate Heating'!$A$2:$C$33,3,FALSE)</f>
        <v>2828.4492</v>
      </c>
      <c r="AO441" s="1">
        <f>VLOOKUP($C441,'Substrate Heating'!$A$2:$B$33,2,FALSE)</f>
        <v>15.7</v>
      </c>
      <c r="AP441" s="1">
        <f>VLOOKUP($C441,'Substrate Heating'!$A$2:$M$33,13,FALSE)</f>
        <v>4</v>
      </c>
      <c r="AQ441" s="1">
        <f>VLOOKUP($C441,'Substrate Heating'!$A$2:$M$33,8,FALSE)</f>
        <v>6</v>
      </c>
      <c r="AR441" s="1">
        <f t="shared" si="6"/>
        <v>0.47268987341772251</v>
      </c>
    </row>
    <row r="442" spans="1:44" x14ac:dyDescent="0.2">
      <c r="A442" s="17" t="s">
        <v>323</v>
      </c>
      <c r="B442" s="18" t="s">
        <v>324</v>
      </c>
      <c r="C442" t="s">
        <v>334</v>
      </c>
      <c r="D442" s="19" t="s">
        <v>326</v>
      </c>
      <c r="E442" t="s">
        <v>119</v>
      </c>
      <c r="F442" t="s">
        <v>120</v>
      </c>
      <c r="G442">
        <v>-10</v>
      </c>
      <c r="H442">
        <v>0</v>
      </c>
      <c r="I442">
        <v>-5</v>
      </c>
      <c r="J442">
        <v>0.45</v>
      </c>
      <c r="K442">
        <v>-10</v>
      </c>
      <c r="L442">
        <v>0</v>
      </c>
      <c r="M442">
        <v>-5</v>
      </c>
      <c r="N442">
        <v>4.375</v>
      </c>
      <c r="O442">
        <v>1.875</v>
      </c>
      <c r="P442"/>
      <c r="Q442">
        <v>0.1875</v>
      </c>
      <c r="R442">
        <v>0.231499656672251</v>
      </c>
      <c r="S442" s="1" t="str">
        <f>VLOOKUP($E442,'Product Naming'!$A$1:$P$58,2,FALSE)</f>
        <v>Acetone</v>
      </c>
      <c r="T442" s="1" t="str">
        <f>VLOOKUP($E442,'Product Naming'!$A$1:$P$58,3,FALSE)</f>
        <v>Acetone</v>
      </c>
      <c r="U442" s="1" t="str">
        <f>VLOOKUP($E442,'Product Naming'!$A$1:$P$58,4,FALSE)</f>
        <v>A</v>
      </c>
      <c r="V442" s="1" t="str">
        <f>VLOOKUP($E442,'Product Naming'!$A$1:$P$58,5,FALSE)</f>
        <v>C3H6O</v>
      </c>
      <c r="W442" s="1">
        <f>VLOOKUP($E442,'Product Naming'!$A$1:$P$58,6,FALSE)</f>
        <v>3</v>
      </c>
      <c r="X442" s="1">
        <f>VLOOKUP($E442,'Product Naming'!$A$1:$P$58,7,FALSE)</f>
        <v>6</v>
      </c>
      <c r="Y442" s="1">
        <f>VLOOKUP($E442,'Product Naming'!$A$1:$P$58,8,FALSE)</f>
        <v>1</v>
      </c>
      <c r="Z442" s="1">
        <f>VLOOKUP($E442,'Product Naming'!$A$1:$P$58,9,FALSE)</f>
        <v>0</v>
      </c>
      <c r="AA442" s="1">
        <f>VLOOKUP($E442,'Product Naming'!$A$1:$P$58,10,FALSE)</f>
        <v>0</v>
      </c>
      <c r="AB442" s="29">
        <f>VLOOKUP($E442,'Product Naming'!$A$1:$P$58,11,FALSE)</f>
        <v>5.333333333333333</v>
      </c>
      <c r="AC442" s="3">
        <f>VLOOKUP($E442,'Product Naming'!$A$1:$P$58,12,FALSE)</f>
        <v>58.078140000000005</v>
      </c>
      <c r="AD442" s="1">
        <f>VLOOKUP($E442,'Product Naming'!$A$1:$P$58,13,FALSE)</f>
        <v>56</v>
      </c>
      <c r="AE442" s="1" t="str">
        <f>VLOOKUP($E442,'Product Naming'!$A$1:$P$58,14,FALSE)</f>
        <v>Ketone</v>
      </c>
      <c r="AF442" s="1" t="str">
        <f>VLOOKUP($E442,'Product Naming'!$A$1:$P$58,15,FALSE)</f>
        <v>Acetyl-CoA</v>
      </c>
      <c r="AG442" s="30" t="str">
        <f>VLOOKUP($E442,'Product Naming'!$A$1:$P$58,16,FALSE)</f>
        <v>Proton symporter</v>
      </c>
      <c r="AH442" s="3" t="str">
        <f>VLOOKUP($E442,'Product Naming'!$A$1:$Q$58,17,FALSE)</f>
        <v>acetone_c</v>
      </c>
      <c r="AI442" s="1">
        <f>VLOOKUP($E442,'Product Parameters'!$A$2:$D$59,2,FALSE)</f>
        <v>1</v>
      </c>
      <c r="AJ442" s="1">
        <f>VLOOKUP($E442,'Product Parameters'!$A$2:$D$59,3,FALSE)</f>
        <v>0</v>
      </c>
      <c r="AK442" s="1">
        <f>VLOOKUP($E442,'Product Parameters'!$A$2:$D$59,4,FALSE)</f>
        <v>0.12</v>
      </c>
      <c r="AL442" s="1">
        <f>VLOOKUP($E442,'Product Parameters'!$A$2:$E$59,5,FALSE)</f>
        <v>31.3</v>
      </c>
      <c r="AM442" s="1">
        <f>VLOOKUP($E442,'Product Parameters'!$A$2:$F$59,6,FALSE)</f>
        <v>3</v>
      </c>
      <c r="AN442" s="1">
        <f>VLOOKUP($C442,'Substrate Heating'!$A$2:$C$33,3,FALSE)</f>
        <v>249.93333333333334</v>
      </c>
      <c r="AO442" s="1">
        <f>VLOOKUP($C442,'Substrate Heating'!$A$2:$B$33,2,FALSE)</f>
        <v>8.1456827881222953</v>
      </c>
      <c r="AP442" s="1">
        <f>VLOOKUP($C442,'Substrate Heating'!$A$2:$M$33,13,FALSE)</f>
        <v>0.66666666666666663</v>
      </c>
      <c r="AQ442" s="1">
        <f>VLOOKUP($C442,'Substrate Heating'!$A$2:$M$33,8,FALSE)</f>
        <v>0.66666666666666663</v>
      </c>
      <c r="AR442" s="1">
        <f t="shared" si="6"/>
        <v>0.84375</v>
      </c>
    </row>
    <row r="443" spans="1:44" x14ac:dyDescent="0.2">
      <c r="A443" s="17" t="s">
        <v>323</v>
      </c>
      <c r="B443" s="18" t="s">
        <v>324</v>
      </c>
      <c r="C443" t="s">
        <v>334</v>
      </c>
      <c r="D443" s="19" t="s">
        <v>326</v>
      </c>
      <c r="E443" t="s">
        <v>264</v>
      </c>
      <c r="F443" t="s">
        <v>265</v>
      </c>
      <c r="G443">
        <v>-10</v>
      </c>
      <c r="H443">
        <v>0</v>
      </c>
      <c r="I443">
        <v>-5</v>
      </c>
      <c r="J443">
        <v>0.45</v>
      </c>
      <c r="K443">
        <v>-10</v>
      </c>
      <c r="L443">
        <v>0</v>
      </c>
      <c r="M443">
        <v>-5</v>
      </c>
      <c r="N443">
        <v>3.2410256410256402</v>
      </c>
      <c r="O443">
        <v>0.74102564102564095</v>
      </c>
      <c r="P443"/>
      <c r="Q443">
        <v>7.4102564102564106E-2</v>
      </c>
      <c r="R443">
        <v>0.23187683437915199</v>
      </c>
      <c r="S443" s="1" t="str">
        <f>VLOOKUP($E443,'Product Naming'!$A$1:$P$58,2,FALSE)</f>
        <v>Lysine_L</v>
      </c>
      <c r="T443" s="1" t="str">
        <f>VLOOKUP($E443,'Product Naming'!$A$1:$P$58,3,FALSE)</f>
        <v>L-Lysine</v>
      </c>
      <c r="U443" s="1" t="str">
        <f>VLOOKUP($E443,'Product Naming'!$A$1:$P$58,4,FALSE)</f>
        <v>iJO1366</v>
      </c>
      <c r="V443" s="1" t="str">
        <f>VLOOKUP($E443,'Product Naming'!$A$1:$P$58,5,FALSE)</f>
        <v>C6H15N2O2</v>
      </c>
      <c r="W443" s="1">
        <f>VLOOKUP($E443,'Product Naming'!$A$1:$P$58,6,FALSE)</f>
        <v>6</v>
      </c>
      <c r="X443" s="1">
        <f>VLOOKUP($E443,'Product Naming'!$A$1:$P$58,7,FALSE)</f>
        <v>15</v>
      </c>
      <c r="Y443" s="1">
        <f>VLOOKUP($E443,'Product Naming'!$A$1:$P$58,8,FALSE)</f>
        <v>2</v>
      </c>
      <c r="Z443" s="1">
        <f>VLOOKUP($E443,'Product Naming'!$A$1:$P$58,9,FALSE)</f>
        <v>2</v>
      </c>
      <c r="AA443" s="1">
        <f>VLOOKUP($E443,'Product Naming'!$A$1:$P$58,10,FALSE)</f>
        <v>1</v>
      </c>
      <c r="AB443" s="29">
        <f>VLOOKUP($E443,'Product Naming'!$A$1:$P$58,11,FALSE)</f>
        <v>4.833333333333333</v>
      </c>
      <c r="AC443" s="3">
        <f>VLOOKUP($E443,'Product Naming'!$A$1:$P$58,12,FALSE)</f>
        <v>147.19319999999999</v>
      </c>
      <c r="AD443" s="1" t="str">
        <f>VLOOKUP($E443,'Product Naming'!$A$1:$P$58,13,FALSE)</f>
        <v>NA</v>
      </c>
      <c r="AE443" s="1" t="str">
        <f>VLOOKUP($E443,'Product Naming'!$A$1:$P$58,14,FALSE)</f>
        <v>Amino acid</v>
      </c>
      <c r="AF443" s="1" t="str">
        <f>VLOOKUP($E443,'Product Naming'!$A$1:$P$58,15,FALSE)</f>
        <v>Oxaloacetate</v>
      </c>
      <c r="AG443" s="30" t="str">
        <f>VLOOKUP($E443,'Product Naming'!$A$1:$P$58,16,FALSE)</f>
        <v>Proton antiport</v>
      </c>
      <c r="AH443" s="3" t="str">
        <f>VLOOKUP($E443,'Product Naming'!$A$1:$Q$58,17,FALSE)</f>
        <v>lys__L_</v>
      </c>
      <c r="AI443" s="1">
        <f>VLOOKUP($E443,'Product Parameters'!$A$2:$D$59,2,FALSE)</f>
        <v>1</v>
      </c>
      <c r="AJ443" s="1">
        <f>VLOOKUP($E443,'Product Parameters'!$A$2:$D$59,3,FALSE)</f>
        <v>0</v>
      </c>
      <c r="AK443" s="1">
        <f>VLOOKUP($E443,'Product Parameters'!$A$2:$D$59,4,FALSE)</f>
        <v>0.12</v>
      </c>
      <c r="AL443" s="1">
        <f>VLOOKUP($E443,'Product Parameters'!$A$2:$E$59,5,FALSE)</f>
        <v>40.65</v>
      </c>
      <c r="AM443" s="1">
        <f>VLOOKUP($E443,'Product Parameters'!$A$2:$F$59,6,FALSE)</f>
        <v>6</v>
      </c>
      <c r="AN443" s="1">
        <f>VLOOKUP($C443,'Substrate Heating'!$A$2:$C$33,3,FALSE)</f>
        <v>249.93333333333334</v>
      </c>
      <c r="AO443" s="1">
        <f>VLOOKUP($C443,'Substrate Heating'!$A$2:$B$33,2,FALSE)</f>
        <v>8.1456827881222953</v>
      </c>
      <c r="AP443" s="1">
        <f>VLOOKUP($C443,'Substrate Heating'!$A$2:$M$33,13,FALSE)</f>
        <v>0.66666666666666663</v>
      </c>
      <c r="AQ443" s="1">
        <f>VLOOKUP($C443,'Substrate Heating'!$A$2:$M$33,8,FALSE)</f>
        <v>0.66666666666666663</v>
      </c>
      <c r="AR443" s="1">
        <f t="shared" si="6"/>
        <v>0.66692307692307695</v>
      </c>
    </row>
    <row r="444" spans="1:44" x14ac:dyDescent="0.2">
      <c r="A444" s="8" t="s">
        <v>34</v>
      </c>
      <c r="B444" s="9" t="s">
        <v>35</v>
      </c>
      <c r="C444" s="1" t="s">
        <v>322</v>
      </c>
      <c r="D444" s="10" t="s">
        <v>37</v>
      </c>
      <c r="E444" s="1" t="s">
        <v>313</v>
      </c>
      <c r="F444" s="1" t="s">
        <v>314</v>
      </c>
      <c r="G444" s="1">
        <v>-10</v>
      </c>
      <c r="H444" s="1">
        <v>-20</v>
      </c>
      <c r="I444" s="1" t="s">
        <v>40</v>
      </c>
      <c r="J444" s="1">
        <v>3.15</v>
      </c>
      <c r="K444" s="1">
        <v>-10</v>
      </c>
      <c r="L444" s="1">
        <v>-6.8449744463373099</v>
      </c>
      <c r="M444" s="1" t="s">
        <v>40</v>
      </c>
      <c r="N444" s="1">
        <v>9.4759795570698397</v>
      </c>
      <c r="O444" s="1">
        <v>1.31550255536627</v>
      </c>
      <c r="Q444" s="1">
        <v>0.131550255536627</v>
      </c>
      <c r="R444" s="1">
        <v>0.23204709573494001</v>
      </c>
      <c r="S444" s="1" t="str">
        <f>VLOOKUP($E444,'Product Naming'!$A$1:$P$58,2,FALSE)</f>
        <v>Styrene</v>
      </c>
      <c r="T444" s="1" t="str">
        <f>VLOOKUP($E444,'Product Naming'!$A$1:$P$58,3,FALSE)</f>
        <v>Styrene</v>
      </c>
      <c r="U444" s="1" t="str">
        <f>VLOOKUP($E444,'Product Naming'!$A$1:$P$58,4,FALSE)</f>
        <v>E-S</v>
      </c>
      <c r="V444" s="1" t="str">
        <f>VLOOKUP($E444,'Product Naming'!$A$1:$P$58,5,FALSE)</f>
        <v>C8H8</v>
      </c>
      <c r="W444" s="1">
        <f>VLOOKUP($E444,'Product Naming'!$A$1:$P$58,6,FALSE)</f>
        <v>8</v>
      </c>
      <c r="X444" s="1">
        <f>VLOOKUP($E444,'Product Naming'!$A$1:$P$58,7,FALSE)</f>
        <v>8</v>
      </c>
      <c r="Y444" s="1">
        <f>VLOOKUP($E444,'Product Naming'!$A$1:$P$58,8,FALSE)</f>
        <v>0</v>
      </c>
      <c r="Z444" s="1">
        <f>VLOOKUP($E444,'Product Naming'!$A$1:$P$58,9,FALSE)</f>
        <v>0</v>
      </c>
      <c r="AA444" s="1">
        <f>VLOOKUP($E444,'Product Naming'!$A$1:$P$58,10,FALSE)</f>
        <v>0</v>
      </c>
      <c r="AB444" s="29">
        <f>VLOOKUP($E444,'Product Naming'!$A$1:$P$58,11,FALSE)</f>
        <v>5</v>
      </c>
      <c r="AC444" s="3">
        <f>VLOOKUP($E444,'Product Naming'!$A$1:$P$58,12,FALSE)</f>
        <v>104.14832</v>
      </c>
      <c r="AD444" s="1">
        <f>VLOOKUP($E444,'Product Naming'!$A$1:$P$58,13,FALSE)</f>
        <v>145</v>
      </c>
      <c r="AE444" s="1" t="str">
        <f>VLOOKUP($E444,'Product Naming'!$A$1:$P$58,14,FALSE)</f>
        <v>Cycloalkane</v>
      </c>
      <c r="AF444" s="1" t="str">
        <f>VLOOKUP($E444,'Product Naming'!$A$1:$P$58,15,FALSE)</f>
        <v>E4P</v>
      </c>
      <c r="AG444" s="30" t="str">
        <f>VLOOKUP($E444,'Product Naming'!$A$1:$P$58,16,FALSE)</f>
        <v>Proton symporter</v>
      </c>
      <c r="AH444" s="3" t="str">
        <f>VLOOKUP($E444,'Product Naming'!$A$1:$Q$58,17,FALSE)</f>
        <v>styr_c</v>
      </c>
      <c r="AI444" s="1">
        <f>VLOOKUP($E444,'Product Parameters'!$A$2:$D$59,2,FALSE)</f>
        <v>1</v>
      </c>
      <c r="AJ444" s="1">
        <f>VLOOKUP($E444,'Product Parameters'!$A$2:$D$59,3,FALSE)</f>
        <v>0</v>
      </c>
      <c r="AK444" s="1">
        <f>VLOOKUP($E444,'Product Parameters'!$A$2:$D$59,4,FALSE)</f>
        <v>0.12</v>
      </c>
      <c r="AL444" s="1">
        <f>VLOOKUP($E444,'Product Parameters'!$A$2:$E$59,5,FALSE)</f>
        <v>43.9</v>
      </c>
      <c r="AM444" s="1">
        <f>VLOOKUP($E444,'Product Parameters'!$A$2:$F$59,6,FALSE)</f>
        <v>8</v>
      </c>
      <c r="AN444" s="1">
        <f>VLOOKUP($C444,'Substrate Heating'!$A$2:$C$33,3,FALSE)</f>
        <v>876.74109599999997</v>
      </c>
      <c r="AO444" s="1">
        <f>VLOOKUP($C444,'Substrate Heating'!$A$2:$B$33,2,FALSE)</f>
        <v>14.6</v>
      </c>
      <c r="AP444" s="1">
        <f>VLOOKUP($C444,'Substrate Heating'!$A$2:$M$33,13,FALSE)</f>
        <v>3.5</v>
      </c>
      <c r="AQ444" s="1">
        <f>VLOOKUP($C444,'Substrate Heating'!$A$2:$M$33,8,FALSE)</f>
        <v>2</v>
      </c>
      <c r="AR444" s="1">
        <f t="shared" si="6"/>
        <v>0.52620102214650799</v>
      </c>
    </row>
    <row r="445" spans="1:44" x14ac:dyDescent="0.2">
      <c r="A445" s="17" t="s">
        <v>323</v>
      </c>
      <c r="B445" s="18" t="s">
        <v>324</v>
      </c>
      <c r="C445" t="s">
        <v>327</v>
      </c>
      <c r="D445" s="19" t="s">
        <v>326</v>
      </c>
      <c r="E445" t="s">
        <v>287</v>
      </c>
      <c r="F445" t="s">
        <v>288</v>
      </c>
      <c r="G445">
        <v>-10</v>
      </c>
      <c r="H445">
        <v>0</v>
      </c>
      <c r="I445">
        <v>-5</v>
      </c>
      <c r="J445">
        <v>0.45</v>
      </c>
      <c r="K445">
        <v>-10</v>
      </c>
      <c r="L445">
        <v>0</v>
      </c>
      <c r="M445">
        <v>-5</v>
      </c>
      <c r="N445">
        <v>5.3125</v>
      </c>
      <c r="O445">
        <v>0.9375</v>
      </c>
      <c r="P445"/>
      <c r="Q445">
        <v>9.375E-2</v>
      </c>
      <c r="R445">
        <v>0.23307496984838</v>
      </c>
      <c r="S445" s="1" t="str">
        <f>VLOOKUP($E445,'Product Naming'!$A$1:$P$58,2,FALSE)</f>
        <v>Pentane</v>
      </c>
      <c r="T445" s="1" t="str">
        <f>VLOOKUP($E445,'Product Naming'!$A$1:$P$58,3,FALSE)</f>
        <v>Pentane</v>
      </c>
      <c r="U445" s="1" t="str">
        <f>VLOOKUP($E445,'Product Naming'!$A$1:$P$58,4,FALSE)</f>
        <v>E</v>
      </c>
      <c r="V445" s="1" t="str">
        <f>VLOOKUP($E445,'Product Naming'!$A$1:$P$58,5,FALSE)</f>
        <v>C5H12</v>
      </c>
      <c r="W445" s="1">
        <f>VLOOKUP($E445,'Product Naming'!$A$1:$P$58,6,FALSE)</f>
        <v>5</v>
      </c>
      <c r="X445" s="1">
        <f>VLOOKUP($E445,'Product Naming'!$A$1:$P$58,7,FALSE)</f>
        <v>12</v>
      </c>
      <c r="Y445" s="1">
        <f>VLOOKUP($E445,'Product Naming'!$A$1:$P$58,8,FALSE)</f>
        <v>0</v>
      </c>
      <c r="Z445" s="1">
        <f>VLOOKUP($E445,'Product Naming'!$A$1:$P$58,9,FALSE)</f>
        <v>0</v>
      </c>
      <c r="AA445" s="1">
        <f>VLOOKUP($E445,'Product Naming'!$A$1:$P$58,10,FALSE)</f>
        <v>0</v>
      </c>
      <c r="AB445" s="29">
        <f>VLOOKUP($E445,'Product Naming'!$A$1:$P$58,11,FALSE)</f>
        <v>6.4</v>
      </c>
      <c r="AC445" s="3">
        <f>VLOOKUP($E445,'Product Naming'!$A$1:$P$58,12,FALSE)</f>
        <v>72.147580000000005</v>
      </c>
      <c r="AD445" s="1">
        <f>VLOOKUP($E445,'Product Naming'!$A$1:$P$58,13,FALSE)</f>
        <v>36.1</v>
      </c>
      <c r="AE445" s="1" t="str">
        <f>VLOOKUP($E445,'Product Naming'!$A$1:$P$58,14,FALSE)</f>
        <v>Hydrocarbon (alkane)</v>
      </c>
      <c r="AF445" s="1" t="str">
        <f>VLOOKUP($E445,'Product Naming'!$A$1:$P$58,15,FALSE)</f>
        <v>Acetyl-CoA</v>
      </c>
      <c r="AG445" s="30" t="str">
        <f>VLOOKUP($E445,'Product Naming'!$A$1:$P$58,16,FALSE)</f>
        <v>Diffusion</v>
      </c>
      <c r="AH445" s="3" t="str">
        <f>VLOOKUP($E445,'Product Naming'!$A$1:$Q$58,17,FALSE)</f>
        <v>pent_c</v>
      </c>
      <c r="AI445" s="1">
        <f>VLOOKUP($E445,'Product Parameters'!$A$2:$D$59,2,FALSE)</f>
        <v>0</v>
      </c>
      <c r="AJ445" s="1">
        <f>VLOOKUP($E445,'Product Parameters'!$A$2:$D$59,3,FALSE)</f>
        <v>1</v>
      </c>
      <c r="AK445" s="1">
        <f>VLOOKUP($E445,'Product Parameters'!$A$2:$D$59,4,FALSE)</f>
        <v>0.12</v>
      </c>
      <c r="AL445" s="1">
        <f>VLOOKUP($E445,'Product Parameters'!$A$2:$E$59,5,FALSE)</f>
        <v>26.5</v>
      </c>
      <c r="AM445" s="1">
        <f>VLOOKUP($E445,'Product Parameters'!$A$2:$F$59,6,FALSE)</f>
        <v>5</v>
      </c>
      <c r="AN445" s="1">
        <f>VLOOKUP($C445,'Substrate Heating'!$A$2:$C$33,3,FALSE)</f>
        <v>269.26666666666665</v>
      </c>
      <c r="AO445" s="1">
        <f>VLOOKUP($C445,'Substrate Heating'!$A$2:$B$33,2,FALSE)</f>
        <v>13.919167510409219</v>
      </c>
      <c r="AP445" s="1">
        <f>VLOOKUP($C445,'Substrate Heating'!$A$2:$M$33,13,FALSE)</f>
        <v>1.3333333333333333</v>
      </c>
      <c r="AQ445" s="1">
        <f>VLOOKUP($C445,'Substrate Heating'!$A$2:$M$33,8,FALSE)</f>
        <v>0.66666666666666663</v>
      </c>
      <c r="AR445" s="1">
        <f t="shared" si="6"/>
        <v>0.703125</v>
      </c>
    </row>
    <row r="446" spans="1:44" x14ac:dyDescent="0.2">
      <c r="A446" s="17" t="s">
        <v>231</v>
      </c>
      <c r="B446" s="9" t="s">
        <v>35</v>
      </c>
      <c r="C446" t="s">
        <v>344</v>
      </c>
      <c r="D446" s="10" t="s">
        <v>37</v>
      </c>
      <c r="E446" t="s">
        <v>236</v>
      </c>
      <c r="F446" t="s">
        <v>237</v>
      </c>
      <c r="G446">
        <v>-10</v>
      </c>
      <c r="H446">
        <v>-20</v>
      </c>
      <c r="I446" s="1" t="s">
        <v>40</v>
      </c>
      <c r="J446">
        <v>3.15</v>
      </c>
      <c r="K446">
        <v>-10</v>
      </c>
      <c r="L446">
        <v>-4.55641025641025</v>
      </c>
      <c r="M446" s="1" t="s">
        <v>40</v>
      </c>
      <c r="N446">
        <v>10.246153846153801</v>
      </c>
      <c r="O446">
        <v>1.6256410256410201</v>
      </c>
      <c r="P446"/>
      <c r="Q446">
        <v>0.162564102564102</v>
      </c>
      <c r="R446">
        <v>0.23327770052279401</v>
      </c>
      <c r="S446" s="1" t="str">
        <f>VLOOKUP($E446,'Product Naming'!$A$1:$P$58,2,FALSE)</f>
        <v>Hexane</v>
      </c>
      <c r="T446" s="1" t="str">
        <f>VLOOKUP($E446,'Product Naming'!$A$1:$P$58,3,FALSE)</f>
        <v>Hexane</v>
      </c>
      <c r="U446" s="1" t="str">
        <f>VLOOKUP($E446,'Product Naming'!$A$1:$P$58,4,FALSE)</f>
        <v>E</v>
      </c>
      <c r="V446" s="1" t="str">
        <f>VLOOKUP($E446,'Product Naming'!$A$1:$P$58,5,FALSE)</f>
        <v>C6H14</v>
      </c>
      <c r="W446" s="1">
        <f>VLOOKUP($E446,'Product Naming'!$A$1:$P$58,6,FALSE)</f>
        <v>6</v>
      </c>
      <c r="X446" s="1">
        <f>VLOOKUP($E446,'Product Naming'!$A$1:$P$58,7,FALSE)</f>
        <v>14</v>
      </c>
      <c r="Y446" s="1">
        <f>VLOOKUP($E446,'Product Naming'!$A$1:$P$58,8,FALSE)</f>
        <v>0</v>
      </c>
      <c r="Z446" s="1">
        <f>VLOOKUP($E446,'Product Naming'!$A$1:$P$58,9,FALSE)</f>
        <v>0</v>
      </c>
      <c r="AA446" s="1">
        <f>VLOOKUP($E446,'Product Naming'!$A$1:$P$58,10,FALSE)</f>
        <v>0</v>
      </c>
      <c r="AB446" s="29">
        <f>VLOOKUP($E446,'Product Naming'!$A$1:$P$58,11,FALSE)</f>
        <v>6.333333333333333</v>
      </c>
      <c r="AC446" s="3">
        <f>VLOOKUP($E446,'Product Naming'!$A$1:$P$58,12,FALSE)</f>
        <v>86.173959999999994</v>
      </c>
      <c r="AD446" s="1">
        <f>VLOOKUP($E446,'Product Naming'!$A$1:$P$58,13,FALSE)</f>
        <v>69</v>
      </c>
      <c r="AE446" s="1" t="str">
        <f>VLOOKUP($E446,'Product Naming'!$A$1:$P$58,14,FALSE)</f>
        <v>Hydrocarbon (alkane)</v>
      </c>
      <c r="AF446" s="1" t="str">
        <f>VLOOKUP($E446,'Product Naming'!$A$1:$P$58,15,FALSE)</f>
        <v>Acetyl-CoA + Succinyl-CoA</v>
      </c>
      <c r="AG446" s="30" t="str">
        <f>VLOOKUP($E446,'Product Naming'!$A$1:$P$58,16,FALSE)</f>
        <v>Proton symporter</v>
      </c>
      <c r="AH446" s="3" t="str">
        <f>VLOOKUP($E446,'Product Naming'!$A$1:$Q$58,17,FALSE)</f>
        <v>hex_c</v>
      </c>
      <c r="AI446" s="1">
        <f>VLOOKUP($E446,'Product Parameters'!$A$2:$D$59,2,FALSE)</f>
        <v>1</v>
      </c>
      <c r="AJ446" s="1">
        <f>VLOOKUP($E446,'Product Parameters'!$A$2:$D$59,3,FALSE)</f>
        <v>0</v>
      </c>
      <c r="AK446" s="1">
        <f>VLOOKUP($E446,'Product Parameters'!$A$2:$D$59,4,FALSE)</f>
        <v>0.12</v>
      </c>
      <c r="AL446" s="1">
        <f>VLOOKUP($E446,'Product Parameters'!$A$2:$E$59,5,FALSE)</f>
        <v>31</v>
      </c>
      <c r="AM446" s="1">
        <f>VLOOKUP($E446,'Product Parameters'!$A$2:$F$59,6,FALSE)</f>
        <v>6</v>
      </c>
      <c r="AN446" s="1">
        <f>VLOOKUP($C446,'Substrate Heating'!$A$2:$C$33,3,FALSE)</f>
        <v>1020.8629199999999</v>
      </c>
      <c r="AO446" s="1">
        <f>VLOOKUP($C446,'Substrate Heating'!$A$2:$B$33,2,FALSE)</f>
        <v>17</v>
      </c>
      <c r="AP446" s="1">
        <f>VLOOKUP($C446,'Substrate Heating'!$A$2:$M$33,13,FALSE)</f>
        <v>4</v>
      </c>
      <c r="AQ446" s="1">
        <f>VLOOKUP($C446,'Substrate Heating'!$A$2:$M$33,8,FALSE)</f>
        <v>2</v>
      </c>
      <c r="AR446" s="1">
        <f t="shared" si="6"/>
        <v>0.48769230769230598</v>
      </c>
    </row>
    <row r="447" spans="1:44" x14ac:dyDescent="0.2">
      <c r="A447" s="8" t="s">
        <v>34</v>
      </c>
      <c r="B447" s="9" t="s">
        <v>35</v>
      </c>
      <c r="C447" s="1" t="s">
        <v>344</v>
      </c>
      <c r="D447" s="10" t="s">
        <v>37</v>
      </c>
      <c r="E447" s="1" t="s">
        <v>151</v>
      </c>
      <c r="F447" s="1" t="s">
        <v>152</v>
      </c>
      <c r="G447" s="1">
        <v>-10</v>
      </c>
      <c r="H447" s="1">
        <v>-20</v>
      </c>
      <c r="I447" s="1" t="s">
        <v>40</v>
      </c>
      <c r="J447" s="1">
        <v>3.15</v>
      </c>
      <c r="K447" s="1">
        <v>-10</v>
      </c>
      <c r="L447" s="1">
        <v>-5.8774436090225501</v>
      </c>
      <c r="M447" s="1" t="s">
        <v>40</v>
      </c>
      <c r="N447" s="1">
        <v>9.5388471177944805</v>
      </c>
      <c r="O447" s="1">
        <v>0.261528822055138</v>
      </c>
      <c r="Q447" s="1">
        <v>2.6152882205513799E-2</v>
      </c>
      <c r="R447" s="1">
        <v>0.23380770760578901</v>
      </c>
      <c r="S447" s="1" t="str">
        <f>VLOOKUP($E447,'Product Naming'!$A$1:$P$58,2,FALSE)</f>
        <v>BetaCarotene</v>
      </c>
      <c r="T447" s="1" t="str">
        <f>VLOOKUP($E447,'Product Naming'!$A$1:$P$58,3,FALSE)</f>
        <v>Beta carotene</v>
      </c>
      <c r="U447" s="1" t="str">
        <f>VLOOKUP($E447,'Product Naming'!$A$1:$P$58,4,FALSE)</f>
        <v>A</v>
      </c>
      <c r="V447" s="1" t="str">
        <f>VLOOKUP($E447,'Product Naming'!$A$1:$P$58,5,FALSE)</f>
        <v>C40H56</v>
      </c>
      <c r="W447" s="1">
        <f>VLOOKUP($E447,'Product Naming'!$A$1:$P$58,6,FALSE)</f>
        <v>40</v>
      </c>
      <c r="X447" s="1">
        <f>VLOOKUP($E447,'Product Naming'!$A$1:$P$58,7,FALSE)</f>
        <v>56</v>
      </c>
      <c r="Y447" s="1">
        <f>VLOOKUP($E447,'Product Naming'!$A$1:$P$58,8,FALSE)</f>
        <v>0</v>
      </c>
      <c r="Z447" s="1">
        <f>VLOOKUP($E447,'Product Naming'!$A$1:$P$58,9,FALSE)</f>
        <v>0</v>
      </c>
      <c r="AA447" s="1">
        <f>VLOOKUP($E447,'Product Naming'!$A$1:$P$58,10,FALSE)</f>
        <v>0</v>
      </c>
      <c r="AB447" s="29">
        <f>VLOOKUP($E447,'Product Naming'!$A$1:$P$58,11,FALSE)</f>
        <v>5.4</v>
      </c>
      <c r="AC447" s="3">
        <f>VLOOKUP($E447,'Product Naming'!$A$1:$P$58,12,FALSE)</f>
        <v>536.86703999999997</v>
      </c>
      <c r="AD447" s="1">
        <f>VLOOKUP($E447,'Product Naming'!$A$1:$P$58,13,FALSE)</f>
        <v>633</v>
      </c>
      <c r="AE447" s="1" t="str">
        <f>VLOOKUP($E447,'Product Naming'!$A$1:$P$58,14,FALSE)</f>
        <v>Hydrocarbon</v>
      </c>
      <c r="AF447" s="1" t="str">
        <f>VLOOKUP($E447,'Product Naming'!$A$1:$P$58,15,FALSE)</f>
        <v>Acetyl-CoA</v>
      </c>
      <c r="AG447" s="30" t="str">
        <f>VLOOKUP($E447,'Product Naming'!$A$1:$P$58,16,FALSE)</f>
        <v>ABC Transporter</v>
      </c>
      <c r="AH447" s="3" t="str">
        <f>VLOOKUP($E447,'Product Naming'!$A$1:$Q$58,17,FALSE)</f>
        <v>caro_c</v>
      </c>
      <c r="AI447" s="1">
        <f>VLOOKUP($E447,'Product Parameters'!$A$2:$D$59,2,FALSE)</f>
        <v>1</v>
      </c>
      <c r="AJ447" s="1">
        <f>VLOOKUP($E447,'Product Parameters'!$A$2:$D$59,3,FALSE)</f>
        <v>0</v>
      </c>
      <c r="AK447" s="1">
        <f>VLOOKUP($E447,'Product Parameters'!$A$2:$D$59,4,FALSE)</f>
        <v>0.12</v>
      </c>
      <c r="AL447" s="1">
        <f>VLOOKUP($E447,'Product Parameters'!$A$2:$E$59,5,FALSE)</f>
        <v>40.65</v>
      </c>
      <c r="AM447" s="1">
        <f>VLOOKUP($E447,'Product Parameters'!$A$2:$F$59,6,FALSE)</f>
        <v>40</v>
      </c>
      <c r="AN447" s="1">
        <f>VLOOKUP($C447,'Substrate Heating'!$A$2:$C$33,3,FALSE)</f>
        <v>1020.8629199999999</v>
      </c>
      <c r="AO447" s="1">
        <f>VLOOKUP($C447,'Substrate Heating'!$A$2:$B$33,2,FALSE)</f>
        <v>17</v>
      </c>
      <c r="AP447" s="1">
        <f>VLOOKUP($C447,'Substrate Heating'!$A$2:$M$33,13,FALSE)</f>
        <v>4</v>
      </c>
      <c r="AQ447" s="1">
        <f>VLOOKUP($C447,'Substrate Heating'!$A$2:$M$33,8,FALSE)</f>
        <v>2</v>
      </c>
      <c r="AR447" s="1">
        <f t="shared" si="6"/>
        <v>0.523057644110276</v>
      </c>
    </row>
    <row r="448" spans="1:44" x14ac:dyDescent="0.2">
      <c r="A448" s="17" t="s">
        <v>323</v>
      </c>
      <c r="B448" s="18" t="s">
        <v>324</v>
      </c>
      <c r="C448" t="s">
        <v>327</v>
      </c>
      <c r="D448" s="19" t="s">
        <v>326</v>
      </c>
      <c r="E448" t="s">
        <v>236</v>
      </c>
      <c r="F448" t="s">
        <v>237</v>
      </c>
      <c r="G448">
        <v>-10</v>
      </c>
      <c r="H448">
        <v>0</v>
      </c>
      <c r="I448">
        <v>-5</v>
      </c>
      <c r="J448">
        <v>0.45</v>
      </c>
      <c r="K448">
        <v>-10</v>
      </c>
      <c r="L448">
        <v>0</v>
      </c>
      <c r="M448">
        <v>-5</v>
      </c>
      <c r="N448">
        <v>5.2631578947368398</v>
      </c>
      <c r="O448">
        <v>0.78947368421052599</v>
      </c>
      <c r="P448"/>
      <c r="Q448">
        <v>7.8947368421052599E-2</v>
      </c>
      <c r="R448">
        <v>0.234431680510718</v>
      </c>
      <c r="S448" s="1" t="str">
        <f>VLOOKUP($E448,'Product Naming'!$A$1:$P$58,2,FALSE)</f>
        <v>Hexane</v>
      </c>
      <c r="T448" s="1" t="str">
        <f>VLOOKUP($E448,'Product Naming'!$A$1:$P$58,3,FALSE)</f>
        <v>Hexane</v>
      </c>
      <c r="U448" s="1" t="str">
        <f>VLOOKUP($E448,'Product Naming'!$A$1:$P$58,4,FALSE)</f>
        <v>E</v>
      </c>
      <c r="V448" s="1" t="str">
        <f>VLOOKUP($E448,'Product Naming'!$A$1:$P$58,5,FALSE)</f>
        <v>C6H14</v>
      </c>
      <c r="W448" s="1">
        <f>VLOOKUP($E448,'Product Naming'!$A$1:$P$58,6,FALSE)</f>
        <v>6</v>
      </c>
      <c r="X448" s="1">
        <f>VLOOKUP($E448,'Product Naming'!$A$1:$P$58,7,FALSE)</f>
        <v>14</v>
      </c>
      <c r="Y448" s="1">
        <f>VLOOKUP($E448,'Product Naming'!$A$1:$P$58,8,FALSE)</f>
        <v>0</v>
      </c>
      <c r="Z448" s="1">
        <f>VLOOKUP($E448,'Product Naming'!$A$1:$P$58,9,FALSE)</f>
        <v>0</v>
      </c>
      <c r="AA448" s="1">
        <f>VLOOKUP($E448,'Product Naming'!$A$1:$P$58,10,FALSE)</f>
        <v>0</v>
      </c>
      <c r="AB448" s="29">
        <f>VLOOKUP($E448,'Product Naming'!$A$1:$P$58,11,FALSE)</f>
        <v>6.333333333333333</v>
      </c>
      <c r="AC448" s="3">
        <f>VLOOKUP($E448,'Product Naming'!$A$1:$P$58,12,FALSE)</f>
        <v>86.173959999999994</v>
      </c>
      <c r="AD448" s="1">
        <f>VLOOKUP($E448,'Product Naming'!$A$1:$P$58,13,FALSE)</f>
        <v>69</v>
      </c>
      <c r="AE448" s="1" t="str">
        <f>VLOOKUP($E448,'Product Naming'!$A$1:$P$58,14,FALSE)</f>
        <v>Hydrocarbon (alkane)</v>
      </c>
      <c r="AF448" s="1" t="str">
        <f>VLOOKUP($E448,'Product Naming'!$A$1:$P$58,15,FALSE)</f>
        <v>Acetyl-CoA + Succinyl-CoA</v>
      </c>
      <c r="AG448" s="30" t="str">
        <f>VLOOKUP($E448,'Product Naming'!$A$1:$P$58,16,FALSE)</f>
        <v>Proton symporter</v>
      </c>
      <c r="AH448" s="3" t="str">
        <f>VLOOKUP($E448,'Product Naming'!$A$1:$Q$58,17,FALSE)</f>
        <v>hex_c</v>
      </c>
      <c r="AI448" s="1">
        <f>VLOOKUP($E448,'Product Parameters'!$A$2:$D$59,2,FALSE)</f>
        <v>1</v>
      </c>
      <c r="AJ448" s="1">
        <f>VLOOKUP($E448,'Product Parameters'!$A$2:$D$59,3,FALSE)</f>
        <v>0</v>
      </c>
      <c r="AK448" s="1">
        <f>VLOOKUP($E448,'Product Parameters'!$A$2:$D$59,4,FALSE)</f>
        <v>0.12</v>
      </c>
      <c r="AL448" s="1">
        <f>VLOOKUP($E448,'Product Parameters'!$A$2:$E$59,5,FALSE)</f>
        <v>31</v>
      </c>
      <c r="AM448" s="1">
        <f>VLOOKUP($E448,'Product Parameters'!$A$2:$F$59,6,FALSE)</f>
        <v>6</v>
      </c>
      <c r="AN448" s="1">
        <f>VLOOKUP($C448,'Substrate Heating'!$A$2:$C$33,3,FALSE)</f>
        <v>269.26666666666665</v>
      </c>
      <c r="AO448" s="1">
        <f>VLOOKUP($C448,'Substrate Heating'!$A$2:$B$33,2,FALSE)</f>
        <v>13.919167510409219</v>
      </c>
      <c r="AP448" s="1">
        <f>VLOOKUP($C448,'Substrate Heating'!$A$2:$M$33,13,FALSE)</f>
        <v>1.3333333333333333</v>
      </c>
      <c r="AQ448" s="1">
        <f>VLOOKUP($C448,'Substrate Heating'!$A$2:$M$33,8,FALSE)</f>
        <v>0.66666666666666663</v>
      </c>
      <c r="AR448" s="1">
        <f t="shared" si="6"/>
        <v>0.71052631578947345</v>
      </c>
    </row>
    <row r="449" spans="1:44" x14ac:dyDescent="0.2">
      <c r="A449" s="17" t="s">
        <v>323</v>
      </c>
      <c r="B449" s="18" t="s">
        <v>324</v>
      </c>
      <c r="C449" t="s">
        <v>327</v>
      </c>
      <c r="D449" s="19" t="s">
        <v>326</v>
      </c>
      <c r="E449" t="s">
        <v>232</v>
      </c>
      <c r="F449" t="s">
        <v>233</v>
      </c>
      <c r="G449">
        <v>-10</v>
      </c>
      <c r="H449">
        <v>0</v>
      </c>
      <c r="I449">
        <v>-5</v>
      </c>
      <c r="J449">
        <v>0.45</v>
      </c>
      <c r="K449">
        <v>-10</v>
      </c>
      <c r="L449">
        <v>0</v>
      </c>
      <c r="M449">
        <v>-5</v>
      </c>
      <c r="N449">
        <v>5.2272727272727302</v>
      </c>
      <c r="O449">
        <v>0.68181818181818199</v>
      </c>
      <c r="P449"/>
      <c r="Q449">
        <v>6.8181818181818205E-2</v>
      </c>
      <c r="R449">
        <v>0.235418379174237</v>
      </c>
      <c r="S449" s="1" t="str">
        <f>VLOOKUP($E449,'Product Naming'!$A$1:$P$58,2,FALSE)</f>
        <v>Heptane</v>
      </c>
      <c r="T449" s="1" t="str">
        <f>VLOOKUP($E449,'Product Naming'!$A$1:$P$58,3,FALSE)</f>
        <v>Heptane</v>
      </c>
      <c r="U449" s="1" t="str">
        <f>VLOOKUP($E449,'Product Naming'!$A$1:$P$58,4,FALSE)</f>
        <v>E</v>
      </c>
      <c r="V449" s="1" t="str">
        <f>VLOOKUP($E449,'Product Naming'!$A$1:$P$58,5,FALSE)</f>
        <v>C7H16</v>
      </c>
      <c r="W449" s="1">
        <f>VLOOKUP($E449,'Product Naming'!$A$1:$P$58,6,FALSE)</f>
        <v>7</v>
      </c>
      <c r="X449" s="1">
        <f>VLOOKUP($E449,'Product Naming'!$A$1:$P$58,7,FALSE)</f>
        <v>16</v>
      </c>
      <c r="Y449" s="1">
        <f>VLOOKUP($E449,'Product Naming'!$A$1:$P$58,8,FALSE)</f>
        <v>0</v>
      </c>
      <c r="Z449" s="1">
        <f>VLOOKUP($E449,'Product Naming'!$A$1:$P$58,9,FALSE)</f>
        <v>0</v>
      </c>
      <c r="AA449" s="1">
        <f>VLOOKUP($E449,'Product Naming'!$A$1:$P$58,10,FALSE)</f>
        <v>0</v>
      </c>
      <c r="AB449" s="29">
        <f>VLOOKUP($E449,'Product Naming'!$A$1:$P$58,11,FALSE)</f>
        <v>6.2857142857142856</v>
      </c>
      <c r="AC449" s="3">
        <f>VLOOKUP($E449,'Product Naming'!$A$1:$P$58,12,FALSE)</f>
        <v>100.20034</v>
      </c>
      <c r="AD449" s="1">
        <f>VLOOKUP($E449,'Product Naming'!$A$1:$P$58,13,FALSE)</f>
        <v>98</v>
      </c>
      <c r="AE449" s="1" t="str">
        <f>VLOOKUP($E449,'Product Naming'!$A$1:$P$58,14,FALSE)</f>
        <v>Hydrocarbon (alkane)</v>
      </c>
      <c r="AF449" s="1" t="str">
        <f>VLOOKUP($E449,'Product Naming'!$A$1:$P$58,15,FALSE)</f>
        <v>Acetyl-CoA</v>
      </c>
      <c r="AG449" s="30" t="str">
        <f>VLOOKUP($E449,'Product Naming'!$A$1:$P$58,16,FALSE)</f>
        <v>Proton symporter</v>
      </c>
      <c r="AH449" s="3" t="str">
        <f>VLOOKUP($E449,'Product Naming'!$A$1:$Q$58,17,FALSE)</f>
        <v>hept_c</v>
      </c>
      <c r="AI449" s="1">
        <f>VLOOKUP($E449,'Product Parameters'!$A$2:$D$59,2,FALSE)</f>
        <v>1</v>
      </c>
      <c r="AJ449" s="1">
        <f>VLOOKUP($E449,'Product Parameters'!$A$2:$D$59,3,FALSE)</f>
        <v>0</v>
      </c>
      <c r="AK449" s="1">
        <f>VLOOKUP($E449,'Product Parameters'!$A$2:$D$59,4,FALSE)</f>
        <v>0.12</v>
      </c>
      <c r="AL449" s="1">
        <f>VLOOKUP($E449,'Product Parameters'!$A$2:$E$59,5,FALSE)</f>
        <v>36</v>
      </c>
      <c r="AM449" s="1">
        <f>VLOOKUP($E449,'Product Parameters'!$A$2:$F$59,6,FALSE)</f>
        <v>7</v>
      </c>
      <c r="AN449" s="1">
        <f>VLOOKUP($C449,'Substrate Heating'!$A$2:$C$33,3,FALSE)</f>
        <v>269.26666666666665</v>
      </c>
      <c r="AO449" s="1">
        <f>VLOOKUP($C449,'Substrate Heating'!$A$2:$B$33,2,FALSE)</f>
        <v>13.919167510409219</v>
      </c>
      <c r="AP449" s="1">
        <f>VLOOKUP($C449,'Substrate Heating'!$A$2:$M$33,13,FALSE)</f>
        <v>1.3333333333333333</v>
      </c>
      <c r="AQ449" s="1">
        <f>VLOOKUP($C449,'Substrate Heating'!$A$2:$M$33,8,FALSE)</f>
        <v>0.66666666666666663</v>
      </c>
      <c r="AR449" s="1">
        <f t="shared" si="6"/>
        <v>0.71590909090909116</v>
      </c>
    </row>
    <row r="450" spans="1:44" x14ac:dyDescent="0.2">
      <c r="A450" s="17" t="s">
        <v>231</v>
      </c>
      <c r="B450" s="9" t="s">
        <v>35</v>
      </c>
      <c r="C450" t="s">
        <v>344</v>
      </c>
      <c r="D450" s="10" t="s">
        <v>37</v>
      </c>
      <c r="E450" t="s">
        <v>283</v>
      </c>
      <c r="F450" t="s">
        <v>284</v>
      </c>
      <c r="G450">
        <v>-10</v>
      </c>
      <c r="H450">
        <v>-20</v>
      </c>
      <c r="I450" s="1" t="s">
        <v>40</v>
      </c>
      <c r="J450">
        <v>3.15</v>
      </c>
      <c r="K450">
        <v>-10</v>
      </c>
      <c r="L450">
        <v>-4.5159857904085303</v>
      </c>
      <c r="M450" s="1" t="s">
        <v>40</v>
      </c>
      <c r="N450">
        <v>10.0902309058614</v>
      </c>
      <c r="O450">
        <v>1.2387211367673101</v>
      </c>
      <c r="P450"/>
      <c r="Q450">
        <v>0.123872113676731</v>
      </c>
      <c r="R450">
        <v>0.235620882647707</v>
      </c>
      <c r="S450" s="1" t="str">
        <f>VLOOKUP($E450,'Product Naming'!$A$1:$P$58,2,FALSE)</f>
        <v>Octane</v>
      </c>
      <c r="T450" s="1" t="str">
        <f>VLOOKUP($E450,'Product Naming'!$A$1:$P$58,3,FALSE)</f>
        <v>Octane</v>
      </c>
      <c r="U450" s="1" t="str">
        <f>VLOOKUP($E450,'Product Naming'!$A$1:$P$58,4,FALSE)</f>
        <v>E</v>
      </c>
      <c r="V450" s="1" t="str">
        <f>VLOOKUP($E450,'Product Naming'!$A$1:$P$58,5,FALSE)</f>
        <v>C8H18</v>
      </c>
      <c r="W450" s="1">
        <f>VLOOKUP($E450,'Product Naming'!$A$1:$P$58,6,FALSE)</f>
        <v>8</v>
      </c>
      <c r="X450" s="1">
        <f>VLOOKUP($E450,'Product Naming'!$A$1:$P$58,7,FALSE)</f>
        <v>18</v>
      </c>
      <c r="Y450" s="1">
        <f>VLOOKUP($E450,'Product Naming'!$A$1:$P$58,8,FALSE)</f>
        <v>0</v>
      </c>
      <c r="Z450" s="1">
        <f>VLOOKUP($E450,'Product Naming'!$A$1:$P$58,9,FALSE)</f>
        <v>0</v>
      </c>
      <c r="AA450" s="1">
        <f>VLOOKUP($E450,'Product Naming'!$A$1:$P$58,10,FALSE)</f>
        <v>0</v>
      </c>
      <c r="AB450" s="29">
        <f>VLOOKUP($E450,'Product Naming'!$A$1:$P$58,11,FALSE)</f>
        <v>6.25</v>
      </c>
      <c r="AC450" s="3">
        <f>VLOOKUP($E450,'Product Naming'!$A$1:$P$58,12,FALSE)</f>
        <v>114.22672</v>
      </c>
      <c r="AD450" s="1">
        <f>VLOOKUP($E450,'Product Naming'!$A$1:$P$58,13,FALSE)</f>
        <v>126</v>
      </c>
      <c r="AE450" s="1" t="str">
        <f>VLOOKUP($E450,'Product Naming'!$A$1:$P$58,14,FALSE)</f>
        <v>Hydrocarbon (alkane)</v>
      </c>
      <c r="AF450" s="1" t="str">
        <f>VLOOKUP($E450,'Product Naming'!$A$1:$P$58,15,FALSE)</f>
        <v>Acetyl-CoA + Succinyl-CoA</v>
      </c>
      <c r="AG450" s="30" t="str">
        <f>VLOOKUP($E450,'Product Naming'!$A$1:$P$58,16,FALSE)</f>
        <v>Proton symporter</v>
      </c>
      <c r="AH450" s="3" t="str">
        <f>VLOOKUP($E450,'Product Naming'!$A$1:$Q$58,17,FALSE)</f>
        <v>octn_c</v>
      </c>
      <c r="AI450" s="1">
        <f>VLOOKUP($E450,'Product Parameters'!$A$2:$D$59,2,FALSE)</f>
        <v>1</v>
      </c>
      <c r="AJ450" s="1">
        <f>VLOOKUP($E450,'Product Parameters'!$A$2:$D$59,3,FALSE)</f>
        <v>0</v>
      </c>
      <c r="AK450" s="1">
        <f>VLOOKUP($E450,'Product Parameters'!$A$2:$D$59,4,FALSE)</f>
        <v>0.12</v>
      </c>
      <c r="AL450" s="1">
        <f>VLOOKUP($E450,'Product Parameters'!$A$2:$E$59,5,FALSE)</f>
        <v>41</v>
      </c>
      <c r="AM450" s="1">
        <f>VLOOKUP($E450,'Product Parameters'!$A$2:$F$59,6,FALSE)</f>
        <v>8</v>
      </c>
      <c r="AN450" s="1">
        <f>VLOOKUP($C450,'Substrate Heating'!$A$2:$C$33,3,FALSE)</f>
        <v>1020.8629199999999</v>
      </c>
      <c r="AO450" s="1">
        <f>VLOOKUP($C450,'Substrate Heating'!$A$2:$B$33,2,FALSE)</f>
        <v>17</v>
      </c>
      <c r="AP450" s="1">
        <f>VLOOKUP($C450,'Substrate Heating'!$A$2:$M$33,13,FALSE)</f>
        <v>4</v>
      </c>
      <c r="AQ450" s="1">
        <f>VLOOKUP($C450,'Substrate Heating'!$A$2:$M$33,8,FALSE)</f>
        <v>2</v>
      </c>
      <c r="AR450" s="1">
        <f t="shared" si="6"/>
        <v>0.49548845470692399</v>
      </c>
    </row>
    <row r="451" spans="1:44" x14ac:dyDescent="0.2">
      <c r="A451" s="17" t="s">
        <v>323</v>
      </c>
      <c r="B451" s="18" t="s">
        <v>324</v>
      </c>
      <c r="C451" t="s">
        <v>327</v>
      </c>
      <c r="D451" s="19" t="s">
        <v>326</v>
      </c>
      <c r="E451" t="s">
        <v>283</v>
      </c>
      <c r="F451" t="s">
        <v>284</v>
      </c>
      <c r="G451">
        <v>-10</v>
      </c>
      <c r="H451">
        <v>0</v>
      </c>
      <c r="I451">
        <v>-5</v>
      </c>
      <c r="J451">
        <v>0.45</v>
      </c>
      <c r="K451">
        <v>-10</v>
      </c>
      <c r="L451">
        <v>0</v>
      </c>
      <c r="M451">
        <v>-5</v>
      </c>
      <c r="N451">
        <v>5.2</v>
      </c>
      <c r="O451">
        <v>0.6</v>
      </c>
      <c r="P451"/>
      <c r="Q451">
        <v>0.06</v>
      </c>
      <c r="R451">
        <v>0.236168270158511</v>
      </c>
      <c r="S451" s="1" t="str">
        <f>VLOOKUP($E451,'Product Naming'!$A$1:$P$58,2,FALSE)</f>
        <v>Octane</v>
      </c>
      <c r="T451" s="1" t="str">
        <f>VLOOKUP($E451,'Product Naming'!$A$1:$P$58,3,FALSE)</f>
        <v>Octane</v>
      </c>
      <c r="U451" s="1" t="str">
        <f>VLOOKUP($E451,'Product Naming'!$A$1:$P$58,4,FALSE)</f>
        <v>E</v>
      </c>
      <c r="V451" s="1" t="str">
        <f>VLOOKUP($E451,'Product Naming'!$A$1:$P$58,5,FALSE)</f>
        <v>C8H18</v>
      </c>
      <c r="W451" s="1">
        <f>VLOOKUP($E451,'Product Naming'!$A$1:$P$58,6,FALSE)</f>
        <v>8</v>
      </c>
      <c r="X451" s="1">
        <f>VLOOKUP($E451,'Product Naming'!$A$1:$P$58,7,FALSE)</f>
        <v>18</v>
      </c>
      <c r="Y451" s="1">
        <f>VLOOKUP($E451,'Product Naming'!$A$1:$P$58,8,FALSE)</f>
        <v>0</v>
      </c>
      <c r="Z451" s="1">
        <f>VLOOKUP($E451,'Product Naming'!$A$1:$P$58,9,FALSE)</f>
        <v>0</v>
      </c>
      <c r="AA451" s="1">
        <f>VLOOKUP($E451,'Product Naming'!$A$1:$P$58,10,FALSE)</f>
        <v>0</v>
      </c>
      <c r="AB451" s="29">
        <f>VLOOKUP($E451,'Product Naming'!$A$1:$P$58,11,FALSE)</f>
        <v>6.25</v>
      </c>
      <c r="AC451" s="3">
        <f>VLOOKUP($E451,'Product Naming'!$A$1:$P$58,12,FALSE)</f>
        <v>114.22672</v>
      </c>
      <c r="AD451" s="1">
        <f>VLOOKUP($E451,'Product Naming'!$A$1:$P$58,13,FALSE)</f>
        <v>126</v>
      </c>
      <c r="AE451" s="1" t="str">
        <f>VLOOKUP($E451,'Product Naming'!$A$1:$P$58,14,FALSE)</f>
        <v>Hydrocarbon (alkane)</v>
      </c>
      <c r="AF451" s="1" t="str">
        <f>VLOOKUP($E451,'Product Naming'!$A$1:$P$58,15,FALSE)</f>
        <v>Acetyl-CoA + Succinyl-CoA</v>
      </c>
      <c r="AG451" s="30" t="str">
        <f>VLOOKUP($E451,'Product Naming'!$A$1:$P$58,16,FALSE)</f>
        <v>Proton symporter</v>
      </c>
      <c r="AH451" s="3" t="str">
        <f>VLOOKUP($E451,'Product Naming'!$A$1:$Q$58,17,FALSE)</f>
        <v>octn_c</v>
      </c>
      <c r="AI451" s="1">
        <f>VLOOKUP($E451,'Product Parameters'!$A$2:$D$59,2,FALSE)</f>
        <v>1</v>
      </c>
      <c r="AJ451" s="1">
        <f>VLOOKUP($E451,'Product Parameters'!$A$2:$D$59,3,FALSE)</f>
        <v>0</v>
      </c>
      <c r="AK451" s="1">
        <f>VLOOKUP($E451,'Product Parameters'!$A$2:$D$59,4,FALSE)</f>
        <v>0.12</v>
      </c>
      <c r="AL451" s="1">
        <f>VLOOKUP($E451,'Product Parameters'!$A$2:$E$59,5,FALSE)</f>
        <v>41</v>
      </c>
      <c r="AM451" s="1">
        <f>VLOOKUP($E451,'Product Parameters'!$A$2:$F$59,6,FALSE)</f>
        <v>8</v>
      </c>
      <c r="AN451" s="1">
        <f>VLOOKUP($C451,'Substrate Heating'!$A$2:$C$33,3,FALSE)</f>
        <v>269.26666666666665</v>
      </c>
      <c r="AO451" s="1">
        <f>VLOOKUP($C451,'Substrate Heating'!$A$2:$B$33,2,FALSE)</f>
        <v>13.919167510409219</v>
      </c>
      <c r="AP451" s="1">
        <f>VLOOKUP($C451,'Substrate Heating'!$A$2:$M$33,13,FALSE)</f>
        <v>1.3333333333333333</v>
      </c>
      <c r="AQ451" s="1">
        <f>VLOOKUP($C451,'Substrate Heating'!$A$2:$M$33,8,FALSE)</f>
        <v>0.66666666666666663</v>
      </c>
      <c r="AR451" s="1">
        <f t="shared" ref="AR451:AR514" si="7">Q451*W451/AQ451</f>
        <v>0.72</v>
      </c>
    </row>
    <row r="452" spans="1:44" x14ac:dyDescent="0.2">
      <c r="A452" s="17" t="s">
        <v>323</v>
      </c>
      <c r="B452" s="18" t="s">
        <v>324</v>
      </c>
      <c r="C452" t="s">
        <v>327</v>
      </c>
      <c r="D452" s="19" t="s">
        <v>326</v>
      </c>
      <c r="E452" t="s">
        <v>279</v>
      </c>
      <c r="F452" t="s">
        <v>280</v>
      </c>
      <c r="G452">
        <v>-10</v>
      </c>
      <c r="H452">
        <v>0</v>
      </c>
      <c r="I452">
        <v>-5</v>
      </c>
      <c r="J452">
        <v>0.45</v>
      </c>
      <c r="K452">
        <v>-10</v>
      </c>
      <c r="L452">
        <v>0</v>
      </c>
      <c r="M452">
        <v>-5</v>
      </c>
      <c r="N452">
        <v>5.1785714285714297</v>
      </c>
      <c r="O452">
        <v>0.53571428571428603</v>
      </c>
      <c r="P452"/>
      <c r="Q452">
        <v>5.3571428571428603E-2</v>
      </c>
      <c r="R452">
        <v>0.236757470217584</v>
      </c>
      <c r="S452" s="1" t="str">
        <f>VLOOKUP($E452,'Product Naming'!$A$1:$P$58,2,FALSE)</f>
        <v>Nonane</v>
      </c>
      <c r="T452" s="1" t="str">
        <f>VLOOKUP($E452,'Product Naming'!$A$1:$P$58,3,FALSE)</f>
        <v>Nonane</v>
      </c>
      <c r="U452" s="1" t="str">
        <f>VLOOKUP($E452,'Product Naming'!$A$1:$P$58,4,FALSE)</f>
        <v>E</v>
      </c>
      <c r="V452" s="1" t="str">
        <f>VLOOKUP($E452,'Product Naming'!$A$1:$P$58,5,FALSE)</f>
        <v>C9H20</v>
      </c>
      <c r="W452" s="1">
        <f>VLOOKUP($E452,'Product Naming'!$A$1:$P$58,6,FALSE)</f>
        <v>9</v>
      </c>
      <c r="X452" s="1">
        <f>VLOOKUP($E452,'Product Naming'!$A$1:$P$58,7,FALSE)</f>
        <v>20</v>
      </c>
      <c r="Y452" s="1">
        <f>VLOOKUP($E452,'Product Naming'!$A$1:$P$58,8,FALSE)</f>
        <v>0</v>
      </c>
      <c r="Z452" s="1">
        <f>VLOOKUP($E452,'Product Naming'!$A$1:$P$58,9,FALSE)</f>
        <v>0</v>
      </c>
      <c r="AA452" s="1">
        <f>VLOOKUP($E452,'Product Naming'!$A$1:$P$58,10,FALSE)</f>
        <v>0</v>
      </c>
      <c r="AB452" s="29">
        <f>VLOOKUP($E452,'Product Naming'!$A$1:$P$58,11,FALSE)</f>
        <v>6.2222222222222223</v>
      </c>
      <c r="AC452" s="3">
        <f>VLOOKUP($E452,'Product Naming'!$A$1:$P$58,12,FALSE)</f>
        <v>128.25309999999999</v>
      </c>
      <c r="AD452" s="1">
        <f>VLOOKUP($E452,'Product Naming'!$A$1:$P$58,13,FALSE)</f>
        <v>151</v>
      </c>
      <c r="AE452" s="1" t="str">
        <f>VLOOKUP($E452,'Product Naming'!$A$1:$P$58,14,FALSE)</f>
        <v>Hydrocarbon (alkane)</v>
      </c>
      <c r="AF452" s="1" t="str">
        <f>VLOOKUP($E452,'Product Naming'!$A$1:$P$58,15,FALSE)</f>
        <v>Acetyl-CoA</v>
      </c>
      <c r="AG452" s="30" t="str">
        <f>VLOOKUP($E452,'Product Naming'!$A$1:$P$58,16,FALSE)</f>
        <v>Proton symporter</v>
      </c>
      <c r="AH452" s="3" t="str">
        <f>VLOOKUP($E452,'Product Naming'!$A$1:$Q$58,17,FALSE)</f>
        <v>nonan_c</v>
      </c>
      <c r="AI452" s="1">
        <f>VLOOKUP($E452,'Product Parameters'!$A$2:$D$59,2,FALSE)</f>
        <v>1</v>
      </c>
      <c r="AJ452" s="1">
        <f>VLOOKUP($E452,'Product Parameters'!$A$2:$D$59,3,FALSE)</f>
        <v>0</v>
      </c>
      <c r="AK452" s="1">
        <f>VLOOKUP($E452,'Product Parameters'!$A$2:$D$59,4,FALSE)</f>
        <v>0.12</v>
      </c>
      <c r="AL452" s="1">
        <f>VLOOKUP($E452,'Product Parameters'!$A$2:$E$59,5,FALSE)</f>
        <v>46.5</v>
      </c>
      <c r="AM452" s="1">
        <f>VLOOKUP($E452,'Product Parameters'!$A$2:$F$59,6,FALSE)</f>
        <v>9</v>
      </c>
      <c r="AN452" s="1">
        <f>VLOOKUP($C452,'Substrate Heating'!$A$2:$C$33,3,FALSE)</f>
        <v>269.26666666666665</v>
      </c>
      <c r="AO452" s="1">
        <f>VLOOKUP($C452,'Substrate Heating'!$A$2:$B$33,2,FALSE)</f>
        <v>13.919167510409219</v>
      </c>
      <c r="AP452" s="1">
        <f>VLOOKUP($C452,'Substrate Heating'!$A$2:$M$33,13,FALSE)</f>
        <v>1.3333333333333333</v>
      </c>
      <c r="AQ452" s="1">
        <f>VLOOKUP($C452,'Substrate Heating'!$A$2:$M$33,8,FALSE)</f>
        <v>0.66666666666666663</v>
      </c>
      <c r="AR452" s="1">
        <f t="shared" si="7"/>
        <v>0.72321428571428614</v>
      </c>
    </row>
    <row r="453" spans="1:44" x14ac:dyDescent="0.2">
      <c r="A453" s="17" t="s">
        <v>323</v>
      </c>
      <c r="B453" s="18" t="s">
        <v>324</v>
      </c>
      <c r="C453" t="s">
        <v>333</v>
      </c>
      <c r="D453" s="19" t="s">
        <v>326</v>
      </c>
      <c r="E453" t="s">
        <v>275</v>
      </c>
      <c r="F453" t="s">
        <v>276</v>
      </c>
      <c r="G453">
        <v>-10</v>
      </c>
      <c r="H453">
        <v>0</v>
      </c>
      <c r="I453">
        <v>0</v>
      </c>
      <c r="J453">
        <v>0.45</v>
      </c>
      <c r="K453">
        <v>-10</v>
      </c>
      <c r="L453">
        <v>0</v>
      </c>
      <c r="M453">
        <v>0</v>
      </c>
      <c r="N453">
        <v>3.93</v>
      </c>
      <c r="O453">
        <v>1.07</v>
      </c>
      <c r="P453"/>
      <c r="Q453">
        <v>0.107</v>
      </c>
      <c r="R453">
        <v>0.237210066131359</v>
      </c>
      <c r="S453" s="1" t="str">
        <f>VLOOKUP($E453,'Product Naming'!$A$1:$P$58,2,FALSE)</f>
        <v>Malonate</v>
      </c>
      <c r="T453" s="1" t="str">
        <f>VLOOKUP($E453,'Product Naming'!$A$1:$P$58,3,FALSE)</f>
        <v>Malonate</v>
      </c>
      <c r="U453" s="1" t="str">
        <f>VLOOKUP($E453,'Product Naming'!$A$1:$P$58,4,FALSE)</f>
        <v>A</v>
      </c>
      <c r="V453" s="1" t="str">
        <f>VLOOKUP($E453,'Product Naming'!$A$1:$P$58,5,FALSE)</f>
        <v>C3H2O4</v>
      </c>
      <c r="W453" s="1">
        <f>VLOOKUP($E453,'Product Naming'!$A$1:$P$58,6,FALSE)</f>
        <v>3</v>
      </c>
      <c r="X453" s="1">
        <f>VLOOKUP($E453,'Product Naming'!$A$1:$P$58,7,FALSE)</f>
        <v>2</v>
      </c>
      <c r="Y453" s="1">
        <f>VLOOKUP($E453,'Product Naming'!$A$1:$P$58,8,FALSE)</f>
        <v>4</v>
      </c>
      <c r="Z453" s="1">
        <f>VLOOKUP($E453,'Product Naming'!$A$1:$P$58,9,FALSE)</f>
        <v>0</v>
      </c>
      <c r="AA453" s="1">
        <f>VLOOKUP($E453,'Product Naming'!$A$1:$P$58,10,FALSE)</f>
        <v>-2</v>
      </c>
      <c r="AB453" s="29">
        <f>VLOOKUP($E453,'Product Naming'!$A$1:$P$58,11,FALSE)</f>
        <v>2</v>
      </c>
      <c r="AC453" s="3">
        <f>VLOOKUP($E453,'Product Naming'!$A$1:$P$58,12,FALSE)</f>
        <v>102.04378</v>
      </c>
      <c r="AD453" s="1">
        <f>VLOOKUP($E453,'Product Naming'!$A$1:$P$58,13,FALSE)</f>
        <v>199</v>
      </c>
      <c r="AE453" s="1" t="str">
        <f>VLOOKUP($E453,'Product Naming'!$A$1:$P$58,14,FALSE)</f>
        <v>Dicarboxylate</v>
      </c>
      <c r="AF453" s="1" t="str">
        <f>VLOOKUP($E453,'Product Naming'!$A$1:$P$58,15,FALSE)</f>
        <v>Oxaloacetate</v>
      </c>
      <c r="AG453" s="30" t="str">
        <f>VLOOKUP($E453,'Product Naming'!$A$1:$P$58,16,FALSE)</f>
        <v>Proton symporter</v>
      </c>
      <c r="AH453" s="3" t="str">
        <f>VLOOKUP($E453,'Product Naming'!$A$1:$Q$58,17,FALSE)</f>
        <v>malon_c</v>
      </c>
      <c r="AI453" s="1">
        <f>VLOOKUP($E453,'Product Parameters'!$A$2:$D$59,2,FALSE)</f>
        <v>1</v>
      </c>
      <c r="AJ453" s="1">
        <f>VLOOKUP($E453,'Product Parameters'!$A$2:$D$59,3,FALSE)</f>
        <v>0</v>
      </c>
      <c r="AK453" s="1">
        <f>VLOOKUP($E453,'Product Parameters'!$A$2:$D$59,4,FALSE)</f>
        <v>0.12</v>
      </c>
      <c r="AL453" s="1">
        <f>VLOOKUP($E453,'Product Parameters'!$A$2:$E$59,5,FALSE)</f>
        <v>40.65</v>
      </c>
      <c r="AM453" s="1">
        <f>VLOOKUP($E453,'Product Parameters'!$A$2:$F$59,6,FALSE)</f>
        <v>3</v>
      </c>
      <c r="AN453" s="1">
        <f>VLOOKUP($C453,'Substrate Heating'!$A$2:$C$33,3,FALSE)</f>
        <v>247.59097</v>
      </c>
      <c r="AO453" s="1">
        <f>VLOOKUP($C453,'Substrate Heating'!$A$2:$B$33,2,FALSE)</f>
        <v>5.5</v>
      </c>
      <c r="AP453" s="1">
        <f>VLOOKUP($C453,'Substrate Heating'!$A$2:$M$33,13,FALSE)</f>
        <v>1</v>
      </c>
      <c r="AQ453" s="1">
        <f>VLOOKUP($C453,'Substrate Heating'!$A$2:$M$33,8,FALSE)</f>
        <v>1</v>
      </c>
      <c r="AR453" s="1">
        <f t="shared" si="7"/>
        <v>0.32100000000000001</v>
      </c>
    </row>
    <row r="454" spans="1:44" x14ac:dyDescent="0.2">
      <c r="A454" s="8" t="s">
        <v>812</v>
      </c>
      <c r="B454" s="18" t="s">
        <v>324</v>
      </c>
      <c r="C454" t="s">
        <v>814</v>
      </c>
      <c r="E454" t="s">
        <v>247</v>
      </c>
      <c r="F454" t="s">
        <v>248</v>
      </c>
      <c r="G454">
        <v>-10</v>
      </c>
      <c r="H454">
        <v>0</v>
      </c>
      <c r="I454">
        <v>-10</v>
      </c>
      <c r="J454">
        <v>0.45</v>
      </c>
      <c r="K454">
        <v>-7.5322033898305003</v>
      </c>
      <c r="L454">
        <v>0</v>
      </c>
      <c r="M454">
        <v>-10</v>
      </c>
      <c r="N454">
        <v>0</v>
      </c>
      <c r="O454">
        <v>0.61694915254237304</v>
      </c>
      <c r="P454"/>
      <c r="Q454">
        <v>8.1908190819082002E-2</v>
      </c>
      <c r="R454">
        <v>0.23752813151584901</v>
      </c>
      <c r="S454" s="1" t="str">
        <f>VLOOKUP($E454,'Product Naming'!$A$1:$P$58,2,FALSE)</f>
        <v>Isoprene</v>
      </c>
      <c r="T454" s="1" t="str">
        <f>VLOOKUP($E454,'Product Naming'!$A$1:$P$58,3,FALSE)</f>
        <v>Isoprene</v>
      </c>
      <c r="U454" s="1" t="str">
        <f>VLOOKUP($E454,'Product Naming'!$A$1:$P$58,4,FALSE)</f>
        <v>E</v>
      </c>
      <c r="V454" s="1" t="str">
        <f>VLOOKUP($E454,'Product Naming'!$A$1:$P$58,5,FALSE)</f>
        <v>C5H8</v>
      </c>
      <c r="W454" s="1">
        <f>VLOOKUP($E454,'Product Naming'!$A$1:$P$58,6,FALSE)</f>
        <v>5</v>
      </c>
      <c r="X454" s="1">
        <f>VLOOKUP($E454,'Product Naming'!$A$1:$P$58,7,FALSE)</f>
        <v>8</v>
      </c>
      <c r="Y454" s="1">
        <f>VLOOKUP($E454,'Product Naming'!$A$1:$P$58,8,FALSE)</f>
        <v>0</v>
      </c>
      <c r="Z454" s="1">
        <f>VLOOKUP($E454,'Product Naming'!$A$1:$P$58,9,FALSE)</f>
        <v>0</v>
      </c>
      <c r="AA454" s="1">
        <f>VLOOKUP($E454,'Product Naming'!$A$1:$P$58,10,FALSE)</f>
        <v>0</v>
      </c>
      <c r="AB454" s="29">
        <f>VLOOKUP($E454,'Product Naming'!$A$1:$P$58,11,FALSE)</f>
        <v>5.6</v>
      </c>
      <c r="AC454" s="3">
        <f>VLOOKUP($E454,'Product Naming'!$A$1:$P$58,12,FALSE)</f>
        <v>68.116219999999998</v>
      </c>
      <c r="AD454" s="1">
        <f>VLOOKUP($E454,'Product Naming'!$A$1:$P$58,13,FALSE)</f>
        <v>34.07</v>
      </c>
      <c r="AE454" s="1" t="str">
        <f>VLOOKUP($E454,'Product Naming'!$A$1:$P$58,14,FALSE)</f>
        <v>Hydrocarbon</v>
      </c>
      <c r="AF454" s="1" t="str">
        <f>VLOOKUP($E454,'Product Naming'!$A$1:$P$58,15,FALSE)</f>
        <v>Acetyl-CoA</v>
      </c>
      <c r="AG454" s="30" t="str">
        <f>VLOOKUP($E454,'Product Naming'!$A$1:$P$58,16,FALSE)</f>
        <v>Diffusion</v>
      </c>
      <c r="AH454" s="3" t="str">
        <f>VLOOKUP($E454,'Product Naming'!$A$1:$Q$58,17,FALSE)</f>
        <v>iprene_c</v>
      </c>
      <c r="AI454" s="1">
        <f>VLOOKUP($E454,'Product Parameters'!$A$2:$D$59,2,FALSE)</f>
        <v>0</v>
      </c>
      <c r="AJ454" s="1">
        <f>VLOOKUP($E454,'Product Parameters'!$A$2:$D$59,3,FALSE)</f>
        <v>1</v>
      </c>
      <c r="AK454" s="1">
        <f>VLOOKUP($E454,'Product Parameters'!$A$2:$D$59,4,FALSE)</f>
        <v>0.12</v>
      </c>
      <c r="AL454" s="1">
        <f>VLOOKUP($E454,'Product Parameters'!$A$2:$E$59,5,FALSE)</f>
        <v>26.4</v>
      </c>
      <c r="AM454" s="1">
        <f>VLOOKUP($E454,'Product Parameters'!$A$2:$F$59,6,FALSE)</f>
        <v>5</v>
      </c>
      <c r="AN454" s="1">
        <f>VLOOKUP($C454,'Substrate Heating'!$A$2:$C$33,3,FALSE)</f>
        <v>209.92000000000002</v>
      </c>
      <c r="AO454" s="1">
        <f>VLOOKUP($C454,'Substrate Heating'!$A$2:$B$33,2,FALSE)</f>
        <v>10.086540906516333</v>
      </c>
      <c r="AP454" s="1">
        <f>VLOOKUP($C454,'Substrate Heating'!$A$2:$M$33,13,FALSE)</f>
        <v>0.8</v>
      </c>
      <c r="AQ454" s="1">
        <f>VLOOKUP($C454,'Substrate Heating'!$A$2:$M$33,8,FALSE)</f>
        <v>0.8</v>
      </c>
      <c r="AR454" s="1">
        <f t="shared" si="7"/>
        <v>0.51192619261926253</v>
      </c>
    </row>
    <row r="455" spans="1:44" x14ac:dyDescent="0.2">
      <c r="A455" s="17" t="s">
        <v>323</v>
      </c>
      <c r="B455" s="18" t="s">
        <v>324</v>
      </c>
      <c r="C455" t="s">
        <v>336</v>
      </c>
      <c r="D455" s="19" t="s">
        <v>326</v>
      </c>
      <c r="E455" t="s">
        <v>306</v>
      </c>
      <c r="F455" t="s">
        <v>302</v>
      </c>
      <c r="G455">
        <v>-10</v>
      </c>
      <c r="H455">
        <v>0</v>
      </c>
      <c r="I455">
        <v>-20</v>
      </c>
      <c r="J455">
        <v>0.45</v>
      </c>
      <c r="K455">
        <v>-10</v>
      </c>
      <c r="L455">
        <v>0</v>
      </c>
      <c r="M455">
        <v>-20</v>
      </c>
      <c r="N455">
        <v>0.41052631578947202</v>
      </c>
      <c r="O455">
        <v>2.7052631578947302</v>
      </c>
      <c r="P455"/>
      <c r="Q455">
        <v>0.270526315789473</v>
      </c>
      <c r="R455" s="20">
        <v>0.238242644297982</v>
      </c>
      <c r="S455" s="1" t="str">
        <f>VLOOKUP($E455,'Product Naming'!$A$1:$P$58,2,FALSE)</f>
        <v>Propane-PW2</v>
      </c>
      <c r="T455" s="1" t="str">
        <f>VLOOKUP($E455,'Product Naming'!$A$1:$P$58,3,FALSE)</f>
        <v>Propane (PW2)</v>
      </c>
      <c r="U455" s="1" t="str">
        <f>VLOOKUP($E455,'Product Naming'!$A$1:$P$58,4,FALSE)</f>
        <v>E</v>
      </c>
      <c r="V455" s="1" t="str">
        <f>VLOOKUP($E455,'Product Naming'!$A$1:$P$58,5,FALSE)</f>
        <v>C3H8</v>
      </c>
      <c r="W455" s="1">
        <f>VLOOKUP($E455,'Product Naming'!$A$1:$P$58,6,FALSE)</f>
        <v>3</v>
      </c>
      <c r="X455" s="1">
        <f>VLOOKUP($E455,'Product Naming'!$A$1:$P$58,7,FALSE)</f>
        <v>8</v>
      </c>
      <c r="Y455" s="1">
        <f>VLOOKUP($E455,'Product Naming'!$A$1:$P$58,8,FALSE)</f>
        <v>0</v>
      </c>
      <c r="Z455" s="1">
        <f>VLOOKUP($E455,'Product Naming'!$A$1:$P$58,9,FALSE)</f>
        <v>0</v>
      </c>
      <c r="AA455" s="1">
        <f>VLOOKUP($E455,'Product Naming'!$A$1:$P$58,10,FALSE)</f>
        <v>0</v>
      </c>
      <c r="AB455" s="29">
        <f>VLOOKUP($E455,'Product Naming'!$A$1:$P$58,11,FALSE)</f>
        <v>6.666666666666667</v>
      </c>
      <c r="AC455" s="3">
        <f>VLOOKUP($E455,'Product Naming'!$A$1:$P$58,12,FALSE)</f>
        <v>44.094819999999999</v>
      </c>
      <c r="AD455" s="1">
        <f>VLOOKUP($E455,'Product Naming'!$A$1:$P$58,13,FALSE)</f>
        <v>-42</v>
      </c>
      <c r="AE455" s="1" t="str">
        <f>VLOOKUP($E455,'Product Naming'!$A$1:$P$58,14,FALSE)</f>
        <v>Hydrocarbon</v>
      </c>
      <c r="AF455" s="1" t="str">
        <f>VLOOKUP($E455,'Product Naming'!$A$1:$P$58,15,FALSE)</f>
        <v>Oxaloacetate</v>
      </c>
      <c r="AG455" s="30" t="str">
        <f>VLOOKUP($E455,'Product Naming'!$A$1:$P$58,16,FALSE)</f>
        <v>Diffusion</v>
      </c>
      <c r="AH455" s="3" t="str">
        <f>VLOOKUP($E455,'Product Naming'!$A$1:$Q$58,17,FALSE)</f>
        <v>prop_c</v>
      </c>
      <c r="AI455" s="1">
        <f>VLOOKUP($E455,'Product Parameters'!$A$2:$D$59,2,FALSE)</f>
        <v>0</v>
      </c>
      <c r="AJ455" s="1">
        <f>VLOOKUP($E455,'Product Parameters'!$A$2:$D$59,3,FALSE)</f>
        <v>1</v>
      </c>
      <c r="AK455" s="1">
        <f>VLOOKUP($E455,'Product Parameters'!$A$2:$D$59,4,FALSE)</f>
        <v>0.12</v>
      </c>
      <c r="AL455" s="1">
        <f>VLOOKUP($E455,'Product Parameters'!$A$2:$E$59,5,FALSE)</f>
        <v>0</v>
      </c>
      <c r="AM455" s="1">
        <f>VLOOKUP($E455,'Product Parameters'!$A$2:$F$59,6,FALSE)</f>
        <v>3</v>
      </c>
      <c r="AN455" s="1">
        <f>VLOOKUP($C455,'Substrate Heating'!$A$2:$C$33,3,FALSE)</f>
        <v>245.86666666666667</v>
      </c>
      <c r="AO455" s="1">
        <f>VLOOKUP($C455,'Substrate Heating'!$A$2:$B$33,2,FALSE)</f>
        <v>15.038360459876978</v>
      </c>
      <c r="AP455" s="1">
        <f>VLOOKUP($C455,'Substrate Heating'!$A$2:$M$33,13,FALSE)</f>
        <v>0.33333333333333331</v>
      </c>
      <c r="AQ455" s="1">
        <f>VLOOKUP($C455,'Substrate Heating'!$A$2:$M$33,8,FALSE)</f>
        <v>0.33333333333333331</v>
      </c>
      <c r="AR455" s="1">
        <f t="shared" si="7"/>
        <v>2.4347368421052571</v>
      </c>
    </row>
    <row r="456" spans="1:44" x14ac:dyDescent="0.2">
      <c r="A456" s="17" t="s">
        <v>323</v>
      </c>
      <c r="B456" s="18" t="s">
        <v>324</v>
      </c>
      <c r="C456" t="s">
        <v>325</v>
      </c>
      <c r="D456" s="19" t="s">
        <v>326</v>
      </c>
      <c r="E456" t="s">
        <v>81</v>
      </c>
      <c r="F456" t="s">
        <v>73</v>
      </c>
      <c r="G456">
        <v>-10</v>
      </c>
      <c r="H456">
        <v>0</v>
      </c>
      <c r="I456">
        <v>0</v>
      </c>
      <c r="J456">
        <v>0.45</v>
      </c>
      <c r="K456">
        <v>-10</v>
      </c>
      <c r="L456">
        <v>0</v>
      </c>
      <c r="M456">
        <v>0</v>
      </c>
      <c r="N456">
        <v>6.6666666666666696</v>
      </c>
      <c r="O456">
        <v>1.1111111111111101</v>
      </c>
      <c r="P456"/>
      <c r="Q456">
        <v>0.11111111111111099</v>
      </c>
      <c r="R456">
        <v>0.23838240311</v>
      </c>
      <c r="S456" s="1" t="str">
        <f>VLOOKUP($E456,'Product Naming'!$A$1:$P$58,2,FALSE)</f>
        <v>1-propanol-PW2</v>
      </c>
      <c r="T456" s="1" t="str">
        <f>VLOOKUP($E456,'Product Naming'!$A$1:$P$58,3,FALSE)</f>
        <v>1-Propanol (PW2)</v>
      </c>
      <c r="U456" s="1" t="str">
        <f>VLOOKUP($E456,'Product Naming'!$A$1:$P$58,4,FALSE)</f>
        <v>E-S</v>
      </c>
      <c r="V456" s="1" t="str">
        <f>VLOOKUP($E456,'Product Naming'!$A$1:$P$58,5,FALSE)</f>
        <v>C3H8O</v>
      </c>
      <c r="W456" s="1">
        <f>VLOOKUP($E456,'Product Naming'!$A$1:$P$58,6,FALSE)</f>
        <v>3</v>
      </c>
      <c r="X456" s="1">
        <f>VLOOKUP($E456,'Product Naming'!$A$1:$P$58,7,FALSE)</f>
        <v>8</v>
      </c>
      <c r="Y456" s="1">
        <f>VLOOKUP($E456,'Product Naming'!$A$1:$P$58,8,FALSE)</f>
        <v>1</v>
      </c>
      <c r="Z456" s="1">
        <f>VLOOKUP($E456,'Product Naming'!$A$1:$P$58,9,FALSE)</f>
        <v>0</v>
      </c>
      <c r="AA456" s="1">
        <f>VLOOKUP($E456,'Product Naming'!$A$1:$P$58,10,FALSE)</f>
        <v>0</v>
      </c>
      <c r="AB456" s="29">
        <f>VLOOKUP($E456,'Product Naming'!$A$1:$P$58,11,FALSE)</f>
        <v>6</v>
      </c>
      <c r="AC456" s="3">
        <f>VLOOKUP($E456,'Product Naming'!$A$1:$P$58,12,FALSE)</f>
        <v>60.093820000000001</v>
      </c>
      <c r="AD456" s="1">
        <f>VLOOKUP($E456,'Product Naming'!$A$1:$P$58,13,FALSE)</f>
        <v>97</v>
      </c>
      <c r="AE456" s="1" t="str">
        <f>VLOOKUP($E456,'Product Naming'!$A$1:$P$58,14,FALSE)</f>
        <v>Alcohol</v>
      </c>
      <c r="AF456" s="1" t="str">
        <f>VLOOKUP($E456,'Product Naming'!$A$1:$P$58,15,FALSE)</f>
        <v>Oxaloacetate</v>
      </c>
      <c r="AG456" s="30" t="str">
        <f>VLOOKUP($E456,'Product Naming'!$A$1:$P$58,16,FALSE)</f>
        <v>Proton symporter</v>
      </c>
      <c r="AH456" s="3" t="str">
        <f>VLOOKUP($E456,'Product Naming'!$A$1:$Q$58,17,FALSE)</f>
        <v>ppoh_c</v>
      </c>
      <c r="AI456" s="1">
        <f>VLOOKUP($E456,'Product Parameters'!$A$2:$D$59,2,FALSE)</f>
        <v>1</v>
      </c>
      <c r="AJ456" s="1">
        <f>VLOOKUP($E456,'Product Parameters'!$A$2:$D$59,3,FALSE)</f>
        <v>0</v>
      </c>
      <c r="AK456" s="1">
        <f>VLOOKUP($E456,'Product Parameters'!$A$2:$D$59,4,FALSE)</f>
        <v>0.12</v>
      </c>
      <c r="AL456" s="1">
        <f>VLOOKUP($E456,'Product Parameters'!$A$2:$E$59,5,FALSE)</f>
        <v>47</v>
      </c>
      <c r="AM456" s="1">
        <f>VLOOKUP($E456,'Product Parameters'!$A$2:$F$59,6,FALSE)</f>
        <v>3</v>
      </c>
      <c r="AN456" s="1">
        <f>VLOOKUP($C456,'Substrate Heating'!$A$2:$C$33,3,FALSE)</f>
        <v>280.09700000000004</v>
      </c>
      <c r="AO456" s="1">
        <f>VLOOKUP($C456,'Substrate Heating'!$A$2:$B$33,2,FALSE)</f>
        <v>10</v>
      </c>
      <c r="AP456" s="1">
        <f>VLOOKUP($C456,'Substrate Heating'!$A$2:$M$33,13,FALSE)</f>
        <v>2</v>
      </c>
      <c r="AQ456" s="1">
        <f>VLOOKUP($C456,'Substrate Heating'!$A$2:$M$33,8,FALSE)</f>
        <v>1</v>
      </c>
      <c r="AR456" s="1">
        <f t="shared" si="7"/>
        <v>0.33333333333333298</v>
      </c>
    </row>
    <row r="457" spans="1:44" x14ac:dyDescent="0.2">
      <c r="A457" s="17" t="s">
        <v>323</v>
      </c>
      <c r="B457" s="18" t="s">
        <v>324</v>
      </c>
      <c r="C457" t="s">
        <v>325</v>
      </c>
      <c r="D457" s="19" t="s">
        <v>326</v>
      </c>
      <c r="E457" t="s">
        <v>251</v>
      </c>
      <c r="F457" t="s">
        <v>252</v>
      </c>
      <c r="G457">
        <v>-10</v>
      </c>
      <c r="H457">
        <v>0</v>
      </c>
      <c r="I457">
        <v>0</v>
      </c>
      <c r="J457">
        <v>0.45</v>
      </c>
      <c r="K457">
        <v>-10</v>
      </c>
      <c r="L457">
        <v>0</v>
      </c>
      <c r="M457">
        <v>0</v>
      </c>
      <c r="N457">
        <v>6.6666666666666696</v>
      </c>
      <c r="O457">
        <v>1.1111111111111101</v>
      </c>
      <c r="P457"/>
      <c r="Q457">
        <v>0.11111111111111099</v>
      </c>
      <c r="R457">
        <v>0.238382403110001</v>
      </c>
      <c r="S457" s="1" t="str">
        <f>VLOOKUP($E457,'Product Naming'!$A$1:$P$58,2,FALSE)</f>
        <v>Isopropanol</v>
      </c>
      <c r="T457" s="1" t="str">
        <f>VLOOKUP($E457,'Product Naming'!$A$1:$P$58,3,FALSE)</f>
        <v>Isopropanol</v>
      </c>
      <c r="U457" s="1" t="str">
        <f>VLOOKUP($E457,'Product Naming'!$A$1:$P$58,4,FALSE)</f>
        <v>A</v>
      </c>
      <c r="V457" s="1" t="str">
        <f>VLOOKUP($E457,'Product Naming'!$A$1:$P$58,5,FALSE)</f>
        <v>C3H8O</v>
      </c>
      <c r="W457" s="1">
        <f>VLOOKUP($E457,'Product Naming'!$A$1:$P$58,6,FALSE)</f>
        <v>3</v>
      </c>
      <c r="X457" s="1">
        <f>VLOOKUP($E457,'Product Naming'!$A$1:$P$58,7,FALSE)</f>
        <v>8</v>
      </c>
      <c r="Y457" s="1">
        <f>VLOOKUP($E457,'Product Naming'!$A$1:$P$58,8,FALSE)</f>
        <v>1</v>
      </c>
      <c r="Z457" s="1">
        <f>VLOOKUP($E457,'Product Naming'!$A$1:$P$58,9,FALSE)</f>
        <v>0</v>
      </c>
      <c r="AA457" s="1">
        <f>VLOOKUP($E457,'Product Naming'!$A$1:$P$58,10,FALSE)</f>
        <v>0</v>
      </c>
      <c r="AB457" s="29">
        <f>VLOOKUP($E457,'Product Naming'!$A$1:$P$58,11,FALSE)</f>
        <v>6</v>
      </c>
      <c r="AC457" s="3">
        <f>VLOOKUP($E457,'Product Naming'!$A$1:$P$58,12,FALSE)</f>
        <v>60.093820000000001</v>
      </c>
      <c r="AD457" s="1">
        <f>VLOOKUP($E457,'Product Naming'!$A$1:$P$58,13,FALSE)</f>
        <v>82.5</v>
      </c>
      <c r="AE457" s="1" t="str">
        <f>VLOOKUP($E457,'Product Naming'!$A$1:$P$58,14,FALSE)</f>
        <v>Alcohol</v>
      </c>
      <c r="AF457" s="1" t="str">
        <f>VLOOKUP($E457,'Product Naming'!$A$1:$P$58,15,FALSE)</f>
        <v>Acetyl-CoA</v>
      </c>
      <c r="AG457" s="30" t="str">
        <f>VLOOKUP($E457,'Product Naming'!$A$1:$P$58,16,FALSE)</f>
        <v>Proton symporter</v>
      </c>
      <c r="AH457" s="3" t="str">
        <f>VLOOKUP($E457,'Product Naming'!$A$1:$Q$58,17,FALSE)</f>
        <v>2ppoh_c</v>
      </c>
      <c r="AI457" s="1">
        <f>VLOOKUP($E457,'Product Parameters'!$A$2:$D$59,2,FALSE)</f>
        <v>1</v>
      </c>
      <c r="AJ457" s="1">
        <f>VLOOKUP($E457,'Product Parameters'!$A$2:$D$59,3,FALSE)</f>
        <v>0</v>
      </c>
      <c r="AK457" s="1">
        <f>VLOOKUP($E457,'Product Parameters'!$A$2:$D$59,4,FALSE)</f>
        <v>0.12</v>
      </c>
      <c r="AL457" s="1">
        <f>VLOOKUP($E457,'Product Parameters'!$A$2:$E$59,5,FALSE)</f>
        <v>45</v>
      </c>
      <c r="AM457" s="1">
        <f>VLOOKUP($E457,'Product Parameters'!$A$2:$F$59,6,FALSE)</f>
        <v>3</v>
      </c>
      <c r="AN457" s="1">
        <f>VLOOKUP($C457,'Substrate Heating'!$A$2:$C$33,3,FALSE)</f>
        <v>280.09700000000004</v>
      </c>
      <c r="AO457" s="1">
        <f>VLOOKUP($C457,'Substrate Heating'!$A$2:$B$33,2,FALSE)</f>
        <v>10</v>
      </c>
      <c r="AP457" s="1">
        <f>VLOOKUP($C457,'Substrate Heating'!$A$2:$M$33,13,FALSE)</f>
        <v>2</v>
      </c>
      <c r="AQ457" s="1">
        <f>VLOOKUP($C457,'Substrate Heating'!$A$2:$M$33,8,FALSE)</f>
        <v>1</v>
      </c>
      <c r="AR457" s="1">
        <f t="shared" si="7"/>
        <v>0.33333333333333298</v>
      </c>
    </row>
    <row r="458" spans="1:44" x14ac:dyDescent="0.2">
      <c r="A458" s="8" t="s">
        <v>34</v>
      </c>
      <c r="B458" s="9" t="s">
        <v>35</v>
      </c>
      <c r="C458" s="1" t="s">
        <v>322</v>
      </c>
      <c r="D458" s="10" t="s">
        <v>37</v>
      </c>
      <c r="E458" s="1" t="s">
        <v>301</v>
      </c>
      <c r="F458" s="1" t="s">
        <v>302</v>
      </c>
      <c r="G458" s="1">
        <v>-10</v>
      </c>
      <c r="H458" s="1">
        <v>-20</v>
      </c>
      <c r="I458" s="1" t="s">
        <v>40</v>
      </c>
      <c r="J458" s="1">
        <v>3.15</v>
      </c>
      <c r="K458" s="1">
        <v>-10</v>
      </c>
      <c r="L458" s="1">
        <v>-3.9594594594594601</v>
      </c>
      <c r="M458" s="1" t="s">
        <v>40</v>
      </c>
      <c r="N458" s="1">
        <v>10.3756756756757</v>
      </c>
      <c r="O458" s="1">
        <v>3.2081081081081102</v>
      </c>
      <c r="Q458" s="1">
        <v>0.32081081081081098</v>
      </c>
      <c r="R458" s="1">
        <v>0.23959002970647</v>
      </c>
      <c r="S458" s="1" t="str">
        <f>VLOOKUP($E458,'Product Naming'!$A$1:$P$58,2,FALSE)</f>
        <v>Propane-PW1</v>
      </c>
      <c r="T458" s="1" t="str">
        <f>VLOOKUP($E458,'Product Naming'!$A$1:$P$58,3,FALSE)</f>
        <v>Propane (PW1)</v>
      </c>
      <c r="U458" s="1" t="str">
        <f>VLOOKUP($E458,'Product Naming'!$A$1:$P$58,4,FALSE)</f>
        <v>E</v>
      </c>
      <c r="V458" s="1" t="str">
        <f>VLOOKUP($E458,'Product Naming'!$A$1:$P$58,5,FALSE)</f>
        <v>C3H8</v>
      </c>
      <c r="W458" s="1">
        <f>VLOOKUP($E458,'Product Naming'!$A$1:$P$58,6,FALSE)</f>
        <v>3</v>
      </c>
      <c r="X458" s="1">
        <f>VLOOKUP($E458,'Product Naming'!$A$1:$P$58,7,FALSE)</f>
        <v>8</v>
      </c>
      <c r="Y458" s="1">
        <f>VLOOKUP($E458,'Product Naming'!$A$1:$P$58,8,FALSE)</f>
        <v>0</v>
      </c>
      <c r="Z458" s="1">
        <f>VLOOKUP($E458,'Product Naming'!$A$1:$P$58,9,FALSE)</f>
        <v>0</v>
      </c>
      <c r="AA458" s="1">
        <f>VLOOKUP($E458,'Product Naming'!$A$1:$P$58,10,FALSE)</f>
        <v>0</v>
      </c>
      <c r="AB458" s="29">
        <f>VLOOKUP($E458,'Product Naming'!$A$1:$P$58,11,FALSE)</f>
        <v>6.666666666666667</v>
      </c>
      <c r="AC458" s="3">
        <f>VLOOKUP($E458,'Product Naming'!$A$1:$P$58,12,FALSE)</f>
        <v>44.094819999999999</v>
      </c>
      <c r="AD458" s="1">
        <f>VLOOKUP($E458,'Product Naming'!$A$1:$P$58,13,FALSE)</f>
        <v>-42</v>
      </c>
      <c r="AE458" s="1" t="str">
        <f>VLOOKUP($E458,'Product Naming'!$A$1:$P$58,14,FALSE)</f>
        <v>Hydrocarbon</v>
      </c>
      <c r="AF458" s="1" t="str">
        <f>VLOOKUP($E458,'Product Naming'!$A$1:$P$58,15,FALSE)</f>
        <v>Acetyl-CoA</v>
      </c>
      <c r="AG458" s="30" t="str">
        <f>VLOOKUP($E458,'Product Naming'!$A$1:$P$58,16,FALSE)</f>
        <v>Diffusion</v>
      </c>
      <c r="AH458" s="3" t="str">
        <f>VLOOKUP($E458,'Product Naming'!$A$1:$Q$58,17,FALSE)</f>
        <v>prop_c</v>
      </c>
      <c r="AI458" s="1">
        <f>VLOOKUP($E458,'Product Parameters'!$A$2:$D$59,2,FALSE)</f>
        <v>0</v>
      </c>
      <c r="AJ458" s="1">
        <f>VLOOKUP($E458,'Product Parameters'!$A$2:$D$59,3,FALSE)</f>
        <v>1</v>
      </c>
      <c r="AK458" s="1">
        <f>VLOOKUP($E458,'Product Parameters'!$A$2:$D$59,4,FALSE)</f>
        <v>0.12</v>
      </c>
      <c r="AL458" s="1">
        <f>VLOOKUP($E458,'Product Parameters'!$A$2:$E$59,5,FALSE)</f>
        <v>0</v>
      </c>
      <c r="AM458" s="1">
        <f>VLOOKUP($E458,'Product Parameters'!$A$2:$F$59,6,FALSE)</f>
        <v>3</v>
      </c>
      <c r="AN458" s="1">
        <f>VLOOKUP($C458,'Substrate Heating'!$A$2:$C$33,3,FALSE)</f>
        <v>876.74109599999997</v>
      </c>
      <c r="AO458" s="1">
        <f>VLOOKUP($C458,'Substrate Heating'!$A$2:$B$33,2,FALSE)</f>
        <v>14.6</v>
      </c>
      <c r="AP458" s="1">
        <f>VLOOKUP($C458,'Substrate Heating'!$A$2:$M$33,13,FALSE)</f>
        <v>3.5</v>
      </c>
      <c r="AQ458" s="1">
        <f>VLOOKUP($C458,'Substrate Heating'!$A$2:$M$33,8,FALSE)</f>
        <v>2</v>
      </c>
      <c r="AR458" s="1">
        <f t="shared" si="7"/>
        <v>0.48121621621621646</v>
      </c>
    </row>
    <row r="459" spans="1:44" x14ac:dyDescent="0.2">
      <c r="A459" s="8" t="s">
        <v>816</v>
      </c>
      <c r="B459" s="18" t="s">
        <v>324</v>
      </c>
      <c r="C459" t="s">
        <v>815</v>
      </c>
      <c r="D459" s="19" t="s">
        <v>326</v>
      </c>
      <c r="E459" t="s">
        <v>175</v>
      </c>
      <c r="F459" t="s">
        <v>176</v>
      </c>
      <c r="G459">
        <v>-10</v>
      </c>
      <c r="H459">
        <v>0</v>
      </c>
      <c r="I459">
        <v>0</v>
      </c>
      <c r="J459">
        <v>0.45</v>
      </c>
      <c r="K459">
        <v>20.703649639999998</v>
      </c>
      <c r="L459">
        <v>0</v>
      </c>
      <c r="M459">
        <v>0</v>
      </c>
      <c r="N459">
        <v>20.703649639999998</v>
      </c>
      <c r="O459">
        <v>1.40729927</v>
      </c>
      <c r="P459"/>
      <c r="Q459">
        <v>6.7973487999999999E-2</v>
      </c>
      <c r="R459">
        <v>0.239811248</v>
      </c>
      <c r="S459" s="1" t="str">
        <f>VLOOKUP($E459,'Product Naming'!$A$1:$P$58,2,FALSE)</f>
        <v>Catechol</v>
      </c>
      <c r="T459" s="1" t="str">
        <f>VLOOKUP($E459,'Product Naming'!$A$1:$P$58,3,FALSE)</f>
        <v>Catechol</v>
      </c>
      <c r="U459" s="1" t="str">
        <f>VLOOKUP($E459,'Product Naming'!$A$1:$P$58,4,FALSE)</f>
        <v>E</v>
      </c>
      <c r="V459" s="1" t="str">
        <f>VLOOKUP($E459,'Product Naming'!$A$1:$P$58,5,FALSE)</f>
        <v>C6H6O2</v>
      </c>
      <c r="W459" s="1">
        <f>VLOOKUP($E459,'Product Naming'!$A$1:$P$58,6,FALSE)</f>
        <v>6</v>
      </c>
      <c r="X459" s="1">
        <f>VLOOKUP($E459,'Product Naming'!$A$1:$P$58,7,FALSE)</f>
        <v>6</v>
      </c>
      <c r="Y459" s="1">
        <f>VLOOKUP($E459,'Product Naming'!$A$1:$P$58,8,FALSE)</f>
        <v>2</v>
      </c>
      <c r="Z459" s="1">
        <f>VLOOKUP($E459,'Product Naming'!$A$1:$P$58,9,FALSE)</f>
        <v>0</v>
      </c>
      <c r="AA459" s="1">
        <f>VLOOKUP($E459,'Product Naming'!$A$1:$P$58,10,FALSE)</f>
        <v>0</v>
      </c>
      <c r="AB459" s="29">
        <f>VLOOKUP($E459,'Product Naming'!$A$1:$P$58,11,FALSE)</f>
        <v>4.333333333333333</v>
      </c>
      <c r="AC459" s="3">
        <f>VLOOKUP($E459,'Product Naming'!$A$1:$P$58,12,FALSE)</f>
        <v>110.10924</v>
      </c>
      <c r="AD459" s="1">
        <f>VLOOKUP($E459,'Product Naming'!$A$1:$P$58,13,FALSE)</f>
        <v>245</v>
      </c>
      <c r="AE459" s="1" t="str">
        <f>VLOOKUP($E459,'Product Naming'!$A$1:$P$58,14,FALSE)</f>
        <v>Aromatic + Diol</v>
      </c>
      <c r="AF459" s="1" t="str">
        <f>VLOOKUP($E459,'Product Naming'!$A$1:$P$58,15,FALSE)</f>
        <v>Glyceraldehyde 3-P</v>
      </c>
      <c r="AG459" s="30" t="str">
        <f>VLOOKUP($E459,'Product Naming'!$A$1:$P$58,16,FALSE)</f>
        <v>Proton symporter</v>
      </c>
      <c r="AH459" s="3" t="str">
        <f>VLOOKUP($E459,'Product Naming'!$A$1:$Q$58,17,FALSE)</f>
        <v>catechol_c</v>
      </c>
      <c r="AI459" s="1">
        <f>VLOOKUP($E459,'Product Parameters'!$A$2:$D$59,2,FALSE)</f>
        <v>1</v>
      </c>
      <c r="AJ459" s="1">
        <f>VLOOKUP($E459,'Product Parameters'!$A$2:$D$59,3,FALSE)</f>
        <v>0</v>
      </c>
      <c r="AK459" s="1">
        <f>VLOOKUP($E459,'Product Parameters'!$A$2:$D$59,4,FALSE)</f>
        <v>0.12</v>
      </c>
      <c r="AL459" s="1">
        <f>VLOOKUP($E459,'Product Parameters'!$A$2:$E$59,5,FALSE)</f>
        <v>40.65</v>
      </c>
      <c r="AM459" s="1">
        <f>VLOOKUP($E459,'Product Parameters'!$A$2:$F$59,6,FALSE)</f>
        <v>6</v>
      </c>
      <c r="AN459" s="1">
        <f>VLOOKUP($C459,'Substrate Heating'!$A$2:$C$33,3,FALSE)</f>
        <v>226.4</v>
      </c>
      <c r="AO459" s="1">
        <f>VLOOKUP($C459,'Substrate Heating'!$A$2:$B$33,2,FALSE)</f>
        <v>7.2542014450728134</v>
      </c>
      <c r="AP459" s="1">
        <f>VLOOKUP($C459,'Substrate Heating'!$A$2:$M$33,13,FALSE)</f>
        <v>1.6</v>
      </c>
      <c r="AQ459" s="1">
        <f>VLOOKUP($C459,'Substrate Heating'!$A$2:$M$33,8,FALSE)</f>
        <v>1</v>
      </c>
      <c r="AR459" s="1">
        <f t="shared" si="7"/>
        <v>0.40784092799999999</v>
      </c>
    </row>
    <row r="460" spans="1:44" x14ac:dyDescent="0.2">
      <c r="A460" s="8" t="s">
        <v>34</v>
      </c>
      <c r="B460" s="9" t="s">
        <v>35</v>
      </c>
      <c r="C460" s="1" t="s">
        <v>348</v>
      </c>
      <c r="D460" s="23" t="s">
        <v>338</v>
      </c>
      <c r="E460" s="1" t="s">
        <v>158</v>
      </c>
      <c r="F460" s="1" t="s">
        <v>159</v>
      </c>
      <c r="G460" s="1">
        <v>-10</v>
      </c>
      <c r="H460" s="1">
        <v>-20</v>
      </c>
      <c r="I460" s="1" t="s">
        <v>40</v>
      </c>
      <c r="J460" s="1">
        <v>3.15</v>
      </c>
      <c r="K460" s="1">
        <v>-10</v>
      </c>
      <c r="L460" s="1">
        <v>-6.3947761194029997</v>
      </c>
      <c r="M460" s="1" t="s">
        <v>40</v>
      </c>
      <c r="N460" s="1">
        <v>4.7044776119403098</v>
      </c>
      <c r="O460" s="1">
        <v>1.3238805970149301</v>
      </c>
      <c r="Q460" s="1">
        <v>0.132388059701493</v>
      </c>
      <c r="R460" s="1">
        <v>0.24014663982784601</v>
      </c>
      <c r="S460" s="1" t="str">
        <f>VLOOKUP($E460,'Product Naming'!$A$1:$P$58,2,FALSE)</f>
        <v>Butane</v>
      </c>
      <c r="T460" s="1" t="str">
        <f>VLOOKUP($E460,'Product Naming'!$A$1:$P$58,3,FALSE)</f>
        <v>Butane</v>
      </c>
      <c r="U460" s="1" t="str">
        <f>VLOOKUP($E460,'Product Naming'!$A$1:$P$58,4,FALSE)</f>
        <v>E</v>
      </c>
      <c r="V460" s="1" t="str">
        <f>VLOOKUP($E460,'Product Naming'!$A$1:$P$58,5,FALSE)</f>
        <v>C4H10</v>
      </c>
      <c r="W460" s="1">
        <f>VLOOKUP($E460,'Product Naming'!$A$1:$P$58,6,FALSE)</f>
        <v>4</v>
      </c>
      <c r="X460" s="1">
        <f>VLOOKUP($E460,'Product Naming'!$A$1:$P$58,7,FALSE)</f>
        <v>10</v>
      </c>
      <c r="Y460" s="1">
        <f>VLOOKUP($E460,'Product Naming'!$A$1:$P$58,8,FALSE)</f>
        <v>0</v>
      </c>
      <c r="Z460" s="1">
        <f>VLOOKUP($E460,'Product Naming'!$A$1:$P$58,9,FALSE)</f>
        <v>0</v>
      </c>
      <c r="AA460" s="1">
        <f>VLOOKUP($E460,'Product Naming'!$A$1:$P$58,10,FALSE)</f>
        <v>0</v>
      </c>
      <c r="AB460" s="29">
        <f>VLOOKUP($E460,'Product Naming'!$A$1:$P$58,11,FALSE)</f>
        <v>6.5</v>
      </c>
      <c r="AC460" s="3">
        <f>VLOOKUP($E460,'Product Naming'!$A$1:$P$58,12,FALSE)</f>
        <v>58.121200000000002</v>
      </c>
      <c r="AD460" s="1">
        <f>VLOOKUP($E460,'Product Naming'!$A$1:$P$58,13,FALSE)</f>
        <v>-1</v>
      </c>
      <c r="AE460" s="1" t="str">
        <f>VLOOKUP($E460,'Product Naming'!$A$1:$P$58,14,FALSE)</f>
        <v>Hydrocarbon (alkane)</v>
      </c>
      <c r="AF460" s="1" t="str">
        <f>VLOOKUP($E460,'Product Naming'!$A$1:$P$58,15,FALSE)</f>
        <v>Acetyl-CoA + Succinyl-CoA</v>
      </c>
      <c r="AG460" s="30" t="str">
        <f>VLOOKUP($E460,'Product Naming'!$A$1:$P$58,16,FALSE)</f>
        <v>Diffusion</v>
      </c>
      <c r="AH460" s="3" t="str">
        <f>VLOOKUP($E460,'Product Naming'!$A$1:$Q$58,17,FALSE)</f>
        <v>butn_c</v>
      </c>
      <c r="AI460" s="1">
        <f>VLOOKUP($E460,'Product Parameters'!$A$2:$D$59,2,FALSE)</f>
        <v>0</v>
      </c>
      <c r="AJ460" s="1">
        <f>VLOOKUP($E460,'Product Parameters'!$A$2:$D$59,3,FALSE)</f>
        <v>1</v>
      </c>
      <c r="AK460" s="1">
        <f>VLOOKUP($E460,'Product Parameters'!$A$2:$D$59,4,FALSE)</f>
        <v>0.12</v>
      </c>
      <c r="AL460" s="1">
        <f>VLOOKUP($E460,'Product Parameters'!$A$2:$E$59,5,FALSE)</f>
        <v>0</v>
      </c>
      <c r="AM460" s="1">
        <f>VLOOKUP($E460,'Product Parameters'!$A$2:$F$59,6,FALSE)</f>
        <v>4</v>
      </c>
      <c r="AN460" s="1">
        <f>VLOOKUP($C460,'Substrate Heating'!$A$2:$C$33,3,FALSE)</f>
        <v>638.57832580000002</v>
      </c>
      <c r="AO460" s="1">
        <f>VLOOKUP($C460,'Substrate Heating'!$A$2:$B$33,2,FALSE)</f>
        <v>19.93</v>
      </c>
      <c r="AP460" s="1">
        <f>VLOOKUP($C460,'Substrate Heating'!$A$2:$M$33,13,FALSE)</f>
        <v>6</v>
      </c>
      <c r="AQ460" s="1">
        <f>VLOOKUP($C460,'Substrate Heating'!$A$2:$M$33,8,FALSE)</f>
        <v>1</v>
      </c>
      <c r="AR460" s="1">
        <f t="shared" si="7"/>
        <v>0.52955223880597202</v>
      </c>
    </row>
    <row r="461" spans="1:44" x14ac:dyDescent="0.2">
      <c r="A461" s="8" t="s">
        <v>34</v>
      </c>
      <c r="B461" s="9" t="s">
        <v>35</v>
      </c>
      <c r="C461" s="1" t="s">
        <v>322</v>
      </c>
      <c r="D461" s="10" t="s">
        <v>37</v>
      </c>
      <c r="E461" s="1" t="s">
        <v>151</v>
      </c>
      <c r="F461" s="1" t="s">
        <v>152</v>
      </c>
      <c r="G461" s="1">
        <v>-10</v>
      </c>
      <c r="H461" s="1">
        <v>-20</v>
      </c>
      <c r="I461" s="1" t="s">
        <v>40</v>
      </c>
      <c r="J461" s="1">
        <v>3.15</v>
      </c>
      <c r="K461" s="1">
        <v>-10</v>
      </c>
      <c r="L461" s="1">
        <v>-5.6924107142857103</v>
      </c>
      <c r="M461" s="1" t="s">
        <v>40</v>
      </c>
      <c r="N461" s="1">
        <v>9.40178571428571</v>
      </c>
      <c r="O461" s="1">
        <v>0.26495535714285701</v>
      </c>
      <c r="Q461" s="1">
        <v>2.6495535714285701E-2</v>
      </c>
      <c r="R461" s="1">
        <v>0.24091931483305401</v>
      </c>
      <c r="S461" s="1" t="str">
        <f>VLOOKUP($E461,'Product Naming'!$A$1:$P$58,2,FALSE)</f>
        <v>BetaCarotene</v>
      </c>
      <c r="T461" s="1" t="str">
        <f>VLOOKUP($E461,'Product Naming'!$A$1:$P$58,3,FALSE)</f>
        <v>Beta carotene</v>
      </c>
      <c r="U461" s="1" t="str">
        <f>VLOOKUP($E461,'Product Naming'!$A$1:$P$58,4,FALSE)</f>
        <v>A</v>
      </c>
      <c r="V461" s="1" t="str">
        <f>VLOOKUP($E461,'Product Naming'!$A$1:$P$58,5,FALSE)</f>
        <v>C40H56</v>
      </c>
      <c r="W461" s="1">
        <f>VLOOKUP($E461,'Product Naming'!$A$1:$P$58,6,FALSE)</f>
        <v>40</v>
      </c>
      <c r="X461" s="1">
        <f>VLOOKUP($E461,'Product Naming'!$A$1:$P$58,7,FALSE)</f>
        <v>56</v>
      </c>
      <c r="Y461" s="1">
        <f>VLOOKUP($E461,'Product Naming'!$A$1:$P$58,8,FALSE)</f>
        <v>0</v>
      </c>
      <c r="Z461" s="1">
        <f>VLOOKUP($E461,'Product Naming'!$A$1:$P$58,9,FALSE)</f>
        <v>0</v>
      </c>
      <c r="AA461" s="1">
        <f>VLOOKUP($E461,'Product Naming'!$A$1:$P$58,10,FALSE)</f>
        <v>0</v>
      </c>
      <c r="AB461" s="29">
        <f>VLOOKUP($E461,'Product Naming'!$A$1:$P$58,11,FALSE)</f>
        <v>5.4</v>
      </c>
      <c r="AC461" s="3">
        <f>VLOOKUP($E461,'Product Naming'!$A$1:$P$58,12,FALSE)</f>
        <v>536.86703999999997</v>
      </c>
      <c r="AD461" s="1">
        <f>VLOOKUP($E461,'Product Naming'!$A$1:$P$58,13,FALSE)</f>
        <v>633</v>
      </c>
      <c r="AE461" s="1" t="str">
        <f>VLOOKUP($E461,'Product Naming'!$A$1:$P$58,14,FALSE)</f>
        <v>Hydrocarbon</v>
      </c>
      <c r="AF461" s="1" t="str">
        <f>VLOOKUP($E461,'Product Naming'!$A$1:$P$58,15,FALSE)</f>
        <v>Acetyl-CoA</v>
      </c>
      <c r="AG461" s="30" t="str">
        <f>VLOOKUP($E461,'Product Naming'!$A$1:$P$58,16,FALSE)</f>
        <v>ABC Transporter</v>
      </c>
      <c r="AH461" s="3" t="str">
        <f>VLOOKUP($E461,'Product Naming'!$A$1:$Q$58,17,FALSE)</f>
        <v>caro_c</v>
      </c>
      <c r="AI461" s="1">
        <f>VLOOKUP($E461,'Product Parameters'!$A$2:$D$59,2,FALSE)</f>
        <v>1</v>
      </c>
      <c r="AJ461" s="1">
        <f>VLOOKUP($E461,'Product Parameters'!$A$2:$D$59,3,FALSE)</f>
        <v>0</v>
      </c>
      <c r="AK461" s="1">
        <f>VLOOKUP($E461,'Product Parameters'!$A$2:$D$59,4,FALSE)</f>
        <v>0.12</v>
      </c>
      <c r="AL461" s="1">
        <f>VLOOKUP($E461,'Product Parameters'!$A$2:$E$59,5,FALSE)</f>
        <v>40.65</v>
      </c>
      <c r="AM461" s="1">
        <f>VLOOKUP($E461,'Product Parameters'!$A$2:$F$59,6,FALSE)</f>
        <v>40</v>
      </c>
      <c r="AN461" s="1">
        <f>VLOOKUP($C461,'Substrate Heating'!$A$2:$C$33,3,FALSE)</f>
        <v>876.74109599999997</v>
      </c>
      <c r="AO461" s="1">
        <f>VLOOKUP($C461,'Substrate Heating'!$A$2:$B$33,2,FALSE)</f>
        <v>14.6</v>
      </c>
      <c r="AP461" s="1">
        <f>VLOOKUP($C461,'Substrate Heating'!$A$2:$M$33,13,FALSE)</f>
        <v>3.5</v>
      </c>
      <c r="AQ461" s="1">
        <f>VLOOKUP($C461,'Substrate Heating'!$A$2:$M$33,8,FALSE)</f>
        <v>2</v>
      </c>
      <c r="AR461" s="1">
        <f t="shared" si="7"/>
        <v>0.52991071428571401</v>
      </c>
    </row>
    <row r="462" spans="1:44" x14ac:dyDescent="0.2">
      <c r="A462" s="8" t="s">
        <v>812</v>
      </c>
      <c r="B462" s="18" t="s">
        <v>324</v>
      </c>
      <c r="C462" t="s">
        <v>814</v>
      </c>
      <c r="E462" t="s">
        <v>204</v>
      </c>
      <c r="F462" t="s">
        <v>205</v>
      </c>
      <c r="G462">
        <v>-10</v>
      </c>
      <c r="H462">
        <v>0</v>
      </c>
      <c r="I462">
        <v>-10</v>
      </c>
      <c r="J462">
        <v>0.45</v>
      </c>
      <c r="K462">
        <v>-7.5039999999999996</v>
      </c>
      <c r="L462">
        <v>0</v>
      </c>
      <c r="M462">
        <v>-10</v>
      </c>
      <c r="N462">
        <v>0</v>
      </c>
      <c r="O462">
        <v>0.20799999999999999</v>
      </c>
      <c r="P462"/>
      <c r="Q462">
        <v>2.7718550106609799E-2</v>
      </c>
      <c r="R462">
        <v>0.241042448029925</v>
      </c>
      <c r="S462" s="1" t="str">
        <f>VLOOKUP($E462,'Product Naming'!$A$1:$P$58,2,FALSE)</f>
        <v>Farnesene</v>
      </c>
      <c r="T462" s="1" t="str">
        <f>VLOOKUP($E462,'Product Naming'!$A$1:$P$58,3,FALSE)</f>
        <v>Farnesene</v>
      </c>
      <c r="U462" s="1" t="str">
        <f>VLOOKUP($E462,'Product Naming'!$A$1:$P$58,4,FALSE)</f>
        <v>A</v>
      </c>
      <c r="V462" s="1" t="str">
        <f>VLOOKUP($E462,'Product Naming'!$A$1:$P$58,5,FALSE)</f>
        <v>C15H24</v>
      </c>
      <c r="W462" s="1">
        <f>VLOOKUP($E462,'Product Naming'!$A$1:$P$58,6,FALSE)</f>
        <v>15</v>
      </c>
      <c r="X462" s="1">
        <f>VLOOKUP($E462,'Product Naming'!$A$1:$P$58,7,FALSE)</f>
        <v>24</v>
      </c>
      <c r="Y462" s="1">
        <f>VLOOKUP($E462,'Product Naming'!$A$1:$P$58,8,FALSE)</f>
        <v>0</v>
      </c>
      <c r="Z462" s="1">
        <f>VLOOKUP($E462,'Product Naming'!$A$1:$P$58,9,FALSE)</f>
        <v>0</v>
      </c>
      <c r="AA462" s="1">
        <f>VLOOKUP($E462,'Product Naming'!$A$1:$P$58,10,FALSE)</f>
        <v>0</v>
      </c>
      <c r="AB462" s="29">
        <f>VLOOKUP($E462,'Product Naming'!$A$1:$P$58,11,FALSE)</f>
        <v>5.6</v>
      </c>
      <c r="AC462" s="3">
        <f>VLOOKUP($E462,'Product Naming'!$A$1:$P$58,12,FALSE)</f>
        <v>204.34866000000002</v>
      </c>
      <c r="AD462" s="1" t="str">
        <f>VLOOKUP($E462,'Product Naming'!$A$1:$P$58,13,FALSE)</f>
        <v>260 (A)/272 (B)</v>
      </c>
      <c r="AE462" s="1" t="str">
        <f>VLOOKUP($E462,'Product Naming'!$A$1:$P$58,14,FALSE)</f>
        <v>Hydrocarbon</v>
      </c>
      <c r="AF462" s="1" t="str">
        <f>VLOOKUP($E462,'Product Naming'!$A$1:$P$58,15,FALSE)</f>
        <v>Acetyl-CoA</v>
      </c>
      <c r="AG462" s="30" t="str">
        <f>VLOOKUP($E462,'Product Naming'!$A$1:$P$58,16,FALSE)</f>
        <v>Proton symporter</v>
      </c>
      <c r="AH462" s="3" t="str">
        <f>VLOOKUP($E462,'Product Naming'!$A$1:$Q$58,17,FALSE)</f>
        <v>frene_c</v>
      </c>
      <c r="AI462" s="1">
        <f>VLOOKUP($E462,'Product Parameters'!$A$2:$D$59,2,FALSE)</f>
        <v>1</v>
      </c>
      <c r="AJ462" s="1">
        <f>VLOOKUP($E462,'Product Parameters'!$A$2:$D$59,3,FALSE)</f>
        <v>0</v>
      </c>
      <c r="AK462" s="1">
        <f>VLOOKUP($E462,'Product Parameters'!$A$2:$D$59,4,FALSE)</f>
        <v>0.12</v>
      </c>
      <c r="AL462" s="1">
        <f>VLOOKUP($E462,'Product Parameters'!$A$2:$E$59,5,FALSE)</f>
        <v>0</v>
      </c>
      <c r="AM462" s="1">
        <f>VLOOKUP($E462,'Product Parameters'!$A$2:$F$59,6,FALSE)</f>
        <v>15</v>
      </c>
      <c r="AN462" s="1">
        <f>VLOOKUP($C462,'Substrate Heating'!$A$2:$C$33,3,FALSE)</f>
        <v>209.92000000000002</v>
      </c>
      <c r="AO462" s="1">
        <f>VLOOKUP($C462,'Substrate Heating'!$A$2:$B$33,2,FALSE)</f>
        <v>10.086540906516333</v>
      </c>
      <c r="AP462" s="1">
        <f>VLOOKUP($C462,'Substrate Heating'!$A$2:$M$33,13,FALSE)</f>
        <v>0.8</v>
      </c>
      <c r="AQ462" s="1">
        <f>VLOOKUP($C462,'Substrate Heating'!$A$2:$M$33,8,FALSE)</f>
        <v>0.8</v>
      </c>
      <c r="AR462" s="1">
        <f t="shared" si="7"/>
        <v>0.51972281449893376</v>
      </c>
    </row>
    <row r="463" spans="1:44" x14ac:dyDescent="0.2">
      <c r="A463" s="8" t="s">
        <v>34</v>
      </c>
      <c r="B463" s="9" t="s">
        <v>35</v>
      </c>
      <c r="C463" s="1" t="s">
        <v>344</v>
      </c>
      <c r="D463" s="10" t="s">
        <v>37</v>
      </c>
      <c r="E463" s="1" t="s">
        <v>247</v>
      </c>
      <c r="F463" s="1" t="s">
        <v>248</v>
      </c>
      <c r="G463" s="1">
        <v>-10</v>
      </c>
      <c r="H463" s="1">
        <v>-20</v>
      </c>
      <c r="I463" s="1" t="s">
        <v>40</v>
      </c>
      <c r="J463" s="1">
        <v>3.15</v>
      </c>
      <c r="K463" s="1">
        <v>-10</v>
      </c>
      <c r="L463" s="1">
        <v>-5.0255999999999998</v>
      </c>
      <c r="M463" s="1" t="s">
        <v>40</v>
      </c>
      <c r="N463" s="1">
        <v>9.3040000000000003</v>
      </c>
      <c r="O463" s="1">
        <v>2.1392000000000002</v>
      </c>
      <c r="Q463" s="1">
        <v>0.21392</v>
      </c>
      <c r="R463" s="1">
        <v>0.242646735868914</v>
      </c>
      <c r="S463" s="1" t="str">
        <f>VLOOKUP($E463,'Product Naming'!$A$1:$P$58,2,FALSE)</f>
        <v>Isoprene</v>
      </c>
      <c r="T463" s="1" t="str">
        <f>VLOOKUP($E463,'Product Naming'!$A$1:$P$58,3,FALSE)</f>
        <v>Isoprene</v>
      </c>
      <c r="U463" s="1" t="str">
        <f>VLOOKUP($E463,'Product Naming'!$A$1:$P$58,4,FALSE)</f>
        <v>E</v>
      </c>
      <c r="V463" s="1" t="str">
        <f>VLOOKUP($E463,'Product Naming'!$A$1:$P$58,5,FALSE)</f>
        <v>C5H8</v>
      </c>
      <c r="W463" s="1">
        <f>VLOOKUP($E463,'Product Naming'!$A$1:$P$58,6,FALSE)</f>
        <v>5</v>
      </c>
      <c r="X463" s="1">
        <f>VLOOKUP($E463,'Product Naming'!$A$1:$P$58,7,FALSE)</f>
        <v>8</v>
      </c>
      <c r="Y463" s="1">
        <f>VLOOKUP($E463,'Product Naming'!$A$1:$P$58,8,FALSE)</f>
        <v>0</v>
      </c>
      <c r="Z463" s="1">
        <f>VLOOKUP($E463,'Product Naming'!$A$1:$P$58,9,FALSE)</f>
        <v>0</v>
      </c>
      <c r="AA463" s="1">
        <f>VLOOKUP($E463,'Product Naming'!$A$1:$P$58,10,FALSE)</f>
        <v>0</v>
      </c>
      <c r="AB463" s="29">
        <f>VLOOKUP($E463,'Product Naming'!$A$1:$P$58,11,FALSE)</f>
        <v>5.6</v>
      </c>
      <c r="AC463" s="3">
        <f>VLOOKUP($E463,'Product Naming'!$A$1:$P$58,12,FALSE)</f>
        <v>68.116219999999998</v>
      </c>
      <c r="AD463" s="1">
        <f>VLOOKUP($E463,'Product Naming'!$A$1:$P$58,13,FALSE)</f>
        <v>34.07</v>
      </c>
      <c r="AE463" s="1" t="str">
        <f>VLOOKUP($E463,'Product Naming'!$A$1:$P$58,14,FALSE)</f>
        <v>Hydrocarbon</v>
      </c>
      <c r="AF463" s="1" t="str">
        <f>VLOOKUP($E463,'Product Naming'!$A$1:$P$58,15,FALSE)</f>
        <v>Acetyl-CoA</v>
      </c>
      <c r="AG463" s="30" t="str">
        <f>VLOOKUP($E463,'Product Naming'!$A$1:$P$58,16,FALSE)</f>
        <v>Diffusion</v>
      </c>
      <c r="AH463" s="3" t="str">
        <f>VLOOKUP($E463,'Product Naming'!$A$1:$Q$58,17,FALSE)</f>
        <v>iprene_c</v>
      </c>
      <c r="AI463" s="1">
        <f>VLOOKUP($E463,'Product Parameters'!$A$2:$D$59,2,FALSE)</f>
        <v>0</v>
      </c>
      <c r="AJ463" s="1">
        <f>VLOOKUP($E463,'Product Parameters'!$A$2:$D$59,3,FALSE)</f>
        <v>1</v>
      </c>
      <c r="AK463" s="1">
        <f>VLOOKUP($E463,'Product Parameters'!$A$2:$D$59,4,FALSE)</f>
        <v>0.12</v>
      </c>
      <c r="AL463" s="1">
        <f>VLOOKUP($E463,'Product Parameters'!$A$2:$E$59,5,FALSE)</f>
        <v>26.4</v>
      </c>
      <c r="AM463" s="1">
        <f>VLOOKUP($E463,'Product Parameters'!$A$2:$F$59,6,FALSE)</f>
        <v>5</v>
      </c>
      <c r="AN463" s="1">
        <f>VLOOKUP($C463,'Substrate Heating'!$A$2:$C$33,3,FALSE)</f>
        <v>1020.8629199999999</v>
      </c>
      <c r="AO463" s="1">
        <f>VLOOKUP($C463,'Substrate Heating'!$A$2:$B$33,2,FALSE)</f>
        <v>17</v>
      </c>
      <c r="AP463" s="1">
        <f>VLOOKUP($C463,'Substrate Heating'!$A$2:$M$33,13,FALSE)</f>
        <v>4</v>
      </c>
      <c r="AQ463" s="1">
        <f>VLOOKUP($C463,'Substrate Heating'!$A$2:$M$33,8,FALSE)</f>
        <v>2</v>
      </c>
      <c r="AR463" s="1">
        <f t="shared" si="7"/>
        <v>0.53479999999999994</v>
      </c>
    </row>
    <row r="464" spans="1:44" x14ac:dyDescent="0.2">
      <c r="A464" s="8" t="s">
        <v>809</v>
      </c>
      <c r="B464" s="18" t="s">
        <v>324</v>
      </c>
      <c r="C464" t="s">
        <v>808</v>
      </c>
      <c r="D464" s="19" t="s">
        <v>326</v>
      </c>
      <c r="E464" t="s">
        <v>254</v>
      </c>
      <c r="F464" t="s">
        <v>255</v>
      </c>
      <c r="G464">
        <v>-10</v>
      </c>
      <c r="H464">
        <v>0</v>
      </c>
      <c r="I464">
        <v>-20</v>
      </c>
      <c r="J464">
        <v>0.45</v>
      </c>
      <c r="K464">
        <v>-10</v>
      </c>
      <c r="L464">
        <v>0</v>
      </c>
      <c r="M464">
        <v>-20</v>
      </c>
      <c r="N464">
        <v>-10</v>
      </c>
      <c r="O464">
        <v>0.91034482758620605</v>
      </c>
      <c r="P464"/>
      <c r="Q464">
        <v>9.1034482758620597E-2</v>
      </c>
      <c r="R464">
        <v>0.242699613700081</v>
      </c>
      <c r="S464" s="1" t="str">
        <f>VLOOKUP($E464,'Product Naming'!$A$1:$P$58,2,FALSE)</f>
        <v>Itaconate</v>
      </c>
      <c r="T464" s="1" t="str">
        <f>VLOOKUP($E464,'Product Naming'!$A$1:$P$58,3,FALSE)</f>
        <v>Itaconate</v>
      </c>
      <c r="U464" s="1" t="str">
        <f>VLOOKUP($E464,'Product Naming'!$A$1:$P$58,4,FALSE)</f>
        <v>E</v>
      </c>
      <c r="V464" s="1" t="str">
        <f>VLOOKUP($E464,'Product Naming'!$A$1:$P$58,5,FALSE)</f>
        <v>C5H4O4</v>
      </c>
      <c r="W464" s="1">
        <f>VLOOKUP($E464,'Product Naming'!$A$1:$P$58,6,FALSE)</f>
        <v>5</v>
      </c>
      <c r="X464" s="1">
        <f>VLOOKUP($E464,'Product Naming'!$A$1:$P$58,7,FALSE)</f>
        <v>4</v>
      </c>
      <c r="Y464" s="1">
        <f>VLOOKUP($E464,'Product Naming'!$A$1:$P$58,8,FALSE)</f>
        <v>4</v>
      </c>
      <c r="Z464" s="1">
        <f>VLOOKUP($E464,'Product Naming'!$A$1:$P$58,9,FALSE)</f>
        <v>0</v>
      </c>
      <c r="AA464" s="1">
        <f>VLOOKUP($E464,'Product Naming'!$A$1:$P$58,10,FALSE)</f>
        <v>-2</v>
      </c>
      <c r="AB464" s="29">
        <f>VLOOKUP($E464,'Product Naming'!$A$1:$P$58,11,FALSE)</f>
        <v>3.2</v>
      </c>
      <c r="AC464" s="3">
        <f>VLOOKUP($E464,'Product Naming'!$A$1:$P$58,12,FALSE)</f>
        <v>128.08086</v>
      </c>
      <c r="AD464" s="1">
        <f>VLOOKUP($E464,'Product Naming'!$A$1:$P$58,13,FALSE)</f>
        <v>381</v>
      </c>
      <c r="AE464" s="1" t="str">
        <f>VLOOKUP($E464,'Product Naming'!$A$1:$P$58,14,FALSE)</f>
        <v>Dicarboxylate</v>
      </c>
      <c r="AF464" s="1" t="str">
        <f>VLOOKUP($E464,'Product Naming'!$A$1:$P$58,15,FALSE)</f>
        <v>Acetyl-CoA + Oxaloacetate</v>
      </c>
      <c r="AG464" s="30" t="str">
        <f>VLOOKUP($E464,'Product Naming'!$A$1:$P$58,16,FALSE)</f>
        <v>Proton symporter</v>
      </c>
      <c r="AH464" s="3" t="str">
        <f>VLOOKUP($E464,'Product Naming'!$A$1:$Q$58,17,FALSE)</f>
        <v>itacon_c</v>
      </c>
      <c r="AI464" s="1">
        <f>VLOOKUP($E464,'Product Parameters'!$A$2:$D$59,2,FALSE)</f>
        <v>1</v>
      </c>
      <c r="AJ464" s="1">
        <f>VLOOKUP($E464,'Product Parameters'!$A$2:$D$59,3,FALSE)</f>
        <v>0</v>
      </c>
      <c r="AK464" s="1">
        <f>VLOOKUP($E464,'Product Parameters'!$A$2:$D$59,4,FALSE)</f>
        <v>0.12</v>
      </c>
      <c r="AL464" s="1">
        <f>VLOOKUP($E464,'Product Parameters'!$A$2:$E$59,5,FALSE)</f>
        <v>40.65</v>
      </c>
      <c r="AM464" s="1">
        <f>VLOOKUP($E464,'Product Parameters'!$A$2:$F$59,6,FALSE)</f>
        <v>5</v>
      </c>
      <c r="AN464" s="1">
        <f>VLOOKUP($C464,'Substrate Heating'!$A$2:$C$33,3,FALSE)</f>
        <v>120.9</v>
      </c>
      <c r="AO464" s="1">
        <f>VLOOKUP($C464,'Substrate Heating'!$A$2:$B$33,2,FALSE)</f>
        <v>5.2537372583834907</v>
      </c>
      <c r="AP464" s="1">
        <f>VLOOKUP($C464,'Substrate Heating'!$A$2:$M$33,13,FALSE)</f>
        <v>0</v>
      </c>
      <c r="AQ464" s="1">
        <f>VLOOKUP($C464,'Substrate Heating'!$A$2:$M$33,8,FALSE)</f>
        <v>0.33333333333333331</v>
      </c>
      <c r="AR464" s="1">
        <f t="shared" si="7"/>
        <v>1.3655172413793091</v>
      </c>
    </row>
    <row r="465" spans="1:44" x14ac:dyDescent="0.2">
      <c r="A465" s="17" t="s">
        <v>323</v>
      </c>
      <c r="B465" s="18" t="s">
        <v>324</v>
      </c>
      <c r="C465" t="s">
        <v>335</v>
      </c>
      <c r="D465" s="19" t="s">
        <v>326</v>
      </c>
      <c r="E465" t="s">
        <v>91</v>
      </c>
      <c r="F465" t="s">
        <v>92</v>
      </c>
      <c r="G465">
        <v>-10</v>
      </c>
      <c r="H465">
        <v>0</v>
      </c>
      <c r="I465">
        <v>-10</v>
      </c>
      <c r="J465">
        <v>0.45</v>
      </c>
      <c r="K465">
        <v>-10</v>
      </c>
      <c r="L465">
        <v>0</v>
      </c>
      <c r="M465">
        <v>-10</v>
      </c>
      <c r="N465">
        <v>3.3090909090909002</v>
      </c>
      <c r="O465">
        <v>1.3236363636363599</v>
      </c>
      <c r="P465"/>
      <c r="Q465">
        <v>0.13236363636363599</v>
      </c>
      <c r="R465">
        <v>0.24281995816444199</v>
      </c>
      <c r="S465" s="1" t="str">
        <f>VLOOKUP($E465,'Product Naming'!$A$1:$P$58,2,FALSE)</f>
        <v>2-Methyl-1-Butanol</v>
      </c>
      <c r="T465" s="1" t="str">
        <f>VLOOKUP($E465,'Product Naming'!$A$1:$P$58,3,FALSE)</f>
        <v>2-Methyl-1-butanol</v>
      </c>
      <c r="U465" s="1" t="str">
        <f>VLOOKUP($E465,'Product Naming'!$A$1:$P$58,4,FALSE)</f>
        <v>A</v>
      </c>
      <c r="V465" s="1" t="str">
        <f>VLOOKUP($E465,'Product Naming'!$A$1:$P$58,5,FALSE)</f>
        <v>C5H12O</v>
      </c>
      <c r="W465" s="1">
        <f>VLOOKUP($E465,'Product Naming'!$A$1:$P$58,6,FALSE)</f>
        <v>5</v>
      </c>
      <c r="X465" s="1">
        <f>VLOOKUP($E465,'Product Naming'!$A$1:$P$58,7,FALSE)</f>
        <v>12</v>
      </c>
      <c r="Y465" s="1">
        <f>VLOOKUP($E465,'Product Naming'!$A$1:$P$58,8,FALSE)</f>
        <v>1</v>
      </c>
      <c r="Z465" s="1">
        <f>VLOOKUP($E465,'Product Naming'!$A$1:$P$58,9,FALSE)</f>
        <v>0</v>
      </c>
      <c r="AA465" s="1">
        <f>VLOOKUP($E465,'Product Naming'!$A$1:$P$58,10,FALSE)</f>
        <v>0</v>
      </c>
      <c r="AB465" s="29">
        <f>VLOOKUP($E465,'Product Naming'!$A$1:$P$58,11,FALSE)</f>
        <v>6</v>
      </c>
      <c r="AC465" s="3">
        <f>VLOOKUP($E465,'Product Naming'!$A$1:$P$58,12,FALSE)</f>
        <v>88.14658</v>
      </c>
      <c r="AD465" s="1">
        <f>VLOOKUP($E465,'Product Naming'!$A$1:$P$58,13,FALSE)</f>
        <v>129</v>
      </c>
      <c r="AE465" s="1" t="str">
        <f>VLOOKUP($E465,'Product Naming'!$A$1:$P$58,14,FALSE)</f>
        <v>Alcohol</v>
      </c>
      <c r="AF465" s="1" t="str">
        <f>VLOOKUP($E465,'Product Naming'!$A$1:$P$58,15,FALSE)</f>
        <v>PEP</v>
      </c>
      <c r="AG465" s="30" t="str">
        <f>VLOOKUP($E465,'Product Naming'!$A$1:$P$58,16,FALSE)</f>
        <v>Proton symporter</v>
      </c>
      <c r="AH465" s="3" t="str">
        <f>VLOOKUP($E465,'Product Naming'!$A$1:$Q$58,17,FALSE)</f>
        <v>2mbtoh_c</v>
      </c>
      <c r="AI465" s="1">
        <f>VLOOKUP($E465,'Product Parameters'!$A$2:$D$59,2,FALSE)</f>
        <v>1</v>
      </c>
      <c r="AJ465" s="1">
        <f>VLOOKUP($E465,'Product Parameters'!$A$2:$D$59,3,FALSE)</f>
        <v>0</v>
      </c>
      <c r="AK465" s="1">
        <f>VLOOKUP($E465,'Product Parameters'!$A$2:$D$59,4,FALSE)</f>
        <v>0.12</v>
      </c>
      <c r="AL465" s="1">
        <f>VLOOKUP($E465,'Product Parameters'!$A$2:$E$59,5,FALSE)</f>
        <v>54.6</v>
      </c>
      <c r="AM465" s="1">
        <f>VLOOKUP($E465,'Product Parameters'!$A$2:$F$59,6,FALSE)</f>
        <v>5</v>
      </c>
      <c r="AN465" s="1">
        <f>VLOOKUP($C465,'Substrate Heating'!$A$2:$C$33,3,FALSE)</f>
        <v>247.9</v>
      </c>
      <c r="AO465" s="1">
        <f>VLOOKUP($C465,'Substrate Heating'!$A$2:$B$33,2,FALSE)</f>
        <v>10.541709491918519</v>
      </c>
      <c r="AP465" s="1">
        <f>VLOOKUP($C465,'Substrate Heating'!$A$2:$M$33,13,FALSE)</f>
        <v>0.5</v>
      </c>
      <c r="AQ465" s="1">
        <f>VLOOKUP($C465,'Substrate Heating'!$A$2:$M$33,8,FALSE)</f>
        <v>0.5</v>
      </c>
      <c r="AR465" s="1">
        <f t="shared" si="7"/>
        <v>1.3236363636363599</v>
      </c>
    </row>
    <row r="466" spans="1:44" x14ac:dyDescent="0.2">
      <c r="A466" s="8" t="s">
        <v>812</v>
      </c>
      <c r="B466" s="18" t="s">
        <v>324</v>
      </c>
      <c r="C466" t="s">
        <v>814</v>
      </c>
      <c r="E466" t="s">
        <v>259</v>
      </c>
      <c r="F466" t="s">
        <v>260</v>
      </c>
      <c r="G466">
        <v>-10</v>
      </c>
      <c r="H466">
        <v>0</v>
      </c>
      <c r="I466">
        <v>-10</v>
      </c>
      <c r="J466">
        <v>0.45</v>
      </c>
      <c r="K466">
        <v>-7.4896551724137899</v>
      </c>
      <c r="L466">
        <v>0</v>
      </c>
      <c r="M466">
        <v>-10</v>
      </c>
      <c r="N466">
        <v>0</v>
      </c>
      <c r="O466">
        <v>0.31379310344827499</v>
      </c>
      <c r="P466"/>
      <c r="Q466">
        <v>4.1896869244935402E-2</v>
      </c>
      <c r="R466">
        <v>0.24283889363134101</v>
      </c>
      <c r="S466" s="1" t="str">
        <f>VLOOKUP($E466,'Product Naming'!$A$1:$P$58,2,FALSE)</f>
        <v>Limonene</v>
      </c>
      <c r="T466" s="1" t="str">
        <f>VLOOKUP($E466,'Product Naming'!$A$1:$P$58,3,FALSE)</f>
        <v>Limonene</v>
      </c>
      <c r="U466" s="1" t="str">
        <f>VLOOKUP($E466,'Product Naming'!$A$1:$P$58,4,FALSE)</f>
        <v>E</v>
      </c>
      <c r="V466" s="1" t="str">
        <f>VLOOKUP($E466,'Product Naming'!$A$1:$P$58,5,FALSE)</f>
        <v>C10H16</v>
      </c>
      <c r="W466" s="1">
        <f>VLOOKUP($E466,'Product Naming'!$A$1:$P$58,6,FALSE)</f>
        <v>10</v>
      </c>
      <c r="X466" s="1">
        <f>VLOOKUP($E466,'Product Naming'!$A$1:$P$58,7,FALSE)</f>
        <v>16</v>
      </c>
      <c r="Y466" s="1">
        <f>VLOOKUP($E466,'Product Naming'!$A$1:$P$58,8,FALSE)</f>
        <v>0</v>
      </c>
      <c r="Z466" s="1">
        <f>VLOOKUP($E466,'Product Naming'!$A$1:$P$58,9,FALSE)</f>
        <v>0</v>
      </c>
      <c r="AA466" s="1">
        <f>VLOOKUP($E466,'Product Naming'!$A$1:$P$58,10,FALSE)</f>
        <v>0</v>
      </c>
      <c r="AB466" s="29">
        <f>VLOOKUP($E466,'Product Naming'!$A$1:$P$58,11,FALSE)</f>
        <v>5.6</v>
      </c>
      <c r="AC466" s="3">
        <f>VLOOKUP($E466,'Product Naming'!$A$1:$P$58,12,FALSE)</f>
        <v>136.23244</v>
      </c>
      <c r="AD466" s="1">
        <f>VLOOKUP($E466,'Product Naming'!$A$1:$P$58,13,FALSE)</f>
        <v>176</v>
      </c>
      <c r="AE466" s="1" t="str">
        <f>VLOOKUP($E466,'Product Naming'!$A$1:$P$58,14,FALSE)</f>
        <v>Isoprenoid; Aromatic (Cycloalkane)</v>
      </c>
      <c r="AF466" s="1" t="str">
        <f>VLOOKUP($E466,'Product Naming'!$A$1:$P$58,15,FALSE)</f>
        <v>Acetyl-CoA</v>
      </c>
      <c r="AG466" s="30" t="str">
        <f>VLOOKUP($E466,'Product Naming'!$A$1:$P$58,16,FALSE)</f>
        <v>Proton symporter</v>
      </c>
      <c r="AH466" s="3" t="str">
        <f>VLOOKUP($E466,'Product Naming'!$A$1:$Q$58,17,FALSE)</f>
        <v>limnen_c</v>
      </c>
      <c r="AI466" s="1">
        <f>VLOOKUP($E466,'Product Parameters'!$A$2:$D$59,2,FALSE)</f>
        <v>1</v>
      </c>
      <c r="AJ466" s="1">
        <f>VLOOKUP($E466,'Product Parameters'!$A$2:$D$59,3,FALSE)</f>
        <v>0</v>
      </c>
      <c r="AK466" s="1">
        <f>VLOOKUP($E466,'Product Parameters'!$A$2:$D$59,4,FALSE)</f>
        <v>0.12</v>
      </c>
      <c r="AL466" s="1">
        <f>VLOOKUP($E466,'Product Parameters'!$A$2:$E$59,5,FALSE)</f>
        <v>49.5</v>
      </c>
      <c r="AM466" s="1">
        <f>VLOOKUP($E466,'Product Parameters'!$A$2:$F$59,6,FALSE)</f>
        <v>10</v>
      </c>
      <c r="AN466" s="1">
        <f>VLOOKUP($C466,'Substrate Heating'!$A$2:$C$33,3,FALSE)</f>
        <v>209.92000000000002</v>
      </c>
      <c r="AO466" s="1">
        <f>VLOOKUP($C466,'Substrate Heating'!$A$2:$B$33,2,FALSE)</f>
        <v>10.086540906516333</v>
      </c>
      <c r="AP466" s="1">
        <f>VLOOKUP($C466,'Substrate Heating'!$A$2:$M$33,13,FALSE)</f>
        <v>0.8</v>
      </c>
      <c r="AQ466" s="1">
        <f>VLOOKUP($C466,'Substrate Heating'!$A$2:$M$33,8,FALSE)</f>
        <v>0.8</v>
      </c>
      <c r="AR466" s="1">
        <f t="shared" si="7"/>
        <v>0.52371086556169255</v>
      </c>
    </row>
    <row r="467" spans="1:44" x14ac:dyDescent="0.2">
      <c r="A467" s="17" t="s">
        <v>323</v>
      </c>
      <c r="B467" s="18" t="s">
        <v>324</v>
      </c>
      <c r="C467" t="s">
        <v>327</v>
      </c>
      <c r="D467" s="19" t="s">
        <v>326</v>
      </c>
      <c r="E467" t="s">
        <v>308</v>
      </c>
      <c r="F467" t="s">
        <v>309</v>
      </c>
      <c r="G467">
        <v>-10</v>
      </c>
      <c r="H467">
        <v>0</v>
      </c>
      <c r="I467">
        <v>-5</v>
      </c>
      <c r="J467">
        <v>0.45</v>
      </c>
      <c r="K467">
        <v>-10</v>
      </c>
      <c r="L467">
        <v>0</v>
      </c>
      <c r="M467">
        <v>-5</v>
      </c>
      <c r="N467">
        <v>2.5</v>
      </c>
      <c r="O467">
        <v>0.407042253521127</v>
      </c>
      <c r="P467"/>
      <c r="Q467">
        <v>4.0704225352112697E-2</v>
      </c>
      <c r="R467">
        <v>0.24285142320497799</v>
      </c>
      <c r="S467" s="1" t="str">
        <f>VLOOKUP($E467,'Product Naming'!$A$1:$P$58,2,FALSE)</f>
        <v>Shikimate</v>
      </c>
      <c r="T467" s="1" t="str">
        <f>VLOOKUP($E467,'Product Naming'!$A$1:$P$58,3,FALSE)</f>
        <v>Shikimate</v>
      </c>
      <c r="U467" s="1" t="str">
        <f>VLOOKUP($E467,'Product Naming'!$A$1:$P$58,4,FALSE)</f>
        <v>E</v>
      </c>
      <c r="V467" s="1" t="str">
        <f>VLOOKUP($E467,'Product Naming'!$A$1:$P$58,5,FALSE)</f>
        <v>C7H9O5</v>
      </c>
      <c r="W467" s="1">
        <f>VLOOKUP($E467,'Product Naming'!$A$1:$P$58,6,FALSE)</f>
        <v>7</v>
      </c>
      <c r="X467" s="1">
        <f>VLOOKUP($E467,'Product Naming'!$A$1:$P$58,7,FALSE)</f>
        <v>9</v>
      </c>
      <c r="Y467" s="1">
        <f>VLOOKUP($E467,'Product Naming'!$A$1:$P$58,8,FALSE)</f>
        <v>5</v>
      </c>
      <c r="Z467" s="1">
        <f>VLOOKUP($E467,'Product Naming'!$A$1:$P$58,9,FALSE)</f>
        <v>0</v>
      </c>
      <c r="AA467" s="1">
        <f>VLOOKUP($E467,'Product Naming'!$A$1:$P$58,10,FALSE)</f>
        <v>-1</v>
      </c>
      <c r="AB467" s="29">
        <f>VLOOKUP($E467,'Product Naming'!$A$1:$P$58,11,FALSE)</f>
        <v>3.8571428571428572</v>
      </c>
      <c r="AC467" s="3">
        <f>VLOOKUP($E467,'Product Naming'!$A$1:$P$58,12,FALSE)</f>
        <v>173.14046000000002</v>
      </c>
      <c r="AD467" s="1">
        <f>VLOOKUP($E467,'Product Naming'!$A$1:$P$58,13,FALSE)</f>
        <v>400.5</v>
      </c>
      <c r="AE467" s="1" t="str">
        <f>VLOOKUP($E467,'Product Naming'!$A$1:$P$58,14,FALSE)</f>
        <v>Aromatic + Alcohol + Carboxylate</v>
      </c>
      <c r="AF467" s="1" t="str">
        <f>VLOOKUP($E467,'Product Naming'!$A$1:$P$58,15,FALSE)</f>
        <v>PEP + E4P (Glyceraldehyde 3-P)</v>
      </c>
      <c r="AG467" s="30" t="str">
        <f>VLOOKUP($E467,'Product Naming'!$A$1:$P$58,16,FALSE)</f>
        <v>Proton symporter</v>
      </c>
      <c r="AH467" s="3" t="str">
        <f>VLOOKUP($E467,'Product Naming'!$A$1:$Q$58,17,FALSE)</f>
        <v>skm_c</v>
      </c>
      <c r="AI467" s="1">
        <f>VLOOKUP($E467,'Product Parameters'!$A$2:$D$59,2,FALSE)</f>
        <v>1</v>
      </c>
      <c r="AJ467" s="1">
        <f>VLOOKUP($E467,'Product Parameters'!$A$2:$D$59,3,FALSE)</f>
        <v>0</v>
      </c>
      <c r="AK467" s="1">
        <f>VLOOKUP($E467,'Product Parameters'!$A$2:$D$59,4,FALSE)</f>
        <v>0.12</v>
      </c>
      <c r="AL467" s="1">
        <f>VLOOKUP($E467,'Product Parameters'!$A$2:$E$59,5,FALSE)</f>
        <v>40.65</v>
      </c>
      <c r="AM467" s="1">
        <f>VLOOKUP($E467,'Product Parameters'!$A$2:$F$59,6,FALSE)</f>
        <v>7</v>
      </c>
      <c r="AN467" s="1">
        <f>VLOOKUP($C467,'Substrate Heating'!$A$2:$C$33,3,FALSE)</f>
        <v>269.26666666666665</v>
      </c>
      <c r="AO467" s="1">
        <f>VLOOKUP($C467,'Substrate Heating'!$A$2:$B$33,2,FALSE)</f>
        <v>13.919167510409219</v>
      </c>
      <c r="AP467" s="1">
        <f>VLOOKUP($C467,'Substrate Heating'!$A$2:$M$33,13,FALSE)</f>
        <v>1.3333333333333333</v>
      </c>
      <c r="AQ467" s="1">
        <f>VLOOKUP($C467,'Substrate Heating'!$A$2:$M$33,8,FALSE)</f>
        <v>0.66666666666666663</v>
      </c>
      <c r="AR467" s="1">
        <f t="shared" si="7"/>
        <v>0.4273943661971833</v>
      </c>
    </row>
    <row r="468" spans="1:44" x14ac:dyDescent="0.2">
      <c r="A468" s="8" t="s">
        <v>34</v>
      </c>
      <c r="B468" s="9" t="s">
        <v>35</v>
      </c>
      <c r="C468" s="1" t="s">
        <v>344</v>
      </c>
      <c r="D468" s="10" t="s">
        <v>37</v>
      </c>
      <c r="E468" s="1" t="s">
        <v>204</v>
      </c>
      <c r="F468" s="1" t="s">
        <v>205</v>
      </c>
      <c r="G468" s="1">
        <v>-10</v>
      </c>
      <c r="H468" s="1">
        <v>-20</v>
      </c>
      <c r="I468" s="1" t="s">
        <v>40</v>
      </c>
      <c r="J468" s="1">
        <v>3.15</v>
      </c>
      <c r="K468" s="1">
        <v>-10</v>
      </c>
      <c r="L468" s="1">
        <v>-5</v>
      </c>
      <c r="M468" s="1" t="s">
        <v>40</v>
      </c>
      <c r="N468" s="1">
        <v>9.2857142857142705</v>
      </c>
      <c r="O468" s="1">
        <v>0.71428571428571397</v>
      </c>
      <c r="Q468" s="1">
        <v>7.1428571428571397E-2</v>
      </c>
      <c r="R468" s="1">
        <v>0.24306156093290601</v>
      </c>
      <c r="S468" s="1" t="str">
        <f>VLOOKUP($E468,'Product Naming'!$A$1:$P$58,2,FALSE)</f>
        <v>Farnesene</v>
      </c>
      <c r="T468" s="1" t="str">
        <f>VLOOKUP($E468,'Product Naming'!$A$1:$P$58,3,FALSE)</f>
        <v>Farnesene</v>
      </c>
      <c r="U468" s="1" t="str">
        <f>VLOOKUP($E468,'Product Naming'!$A$1:$P$58,4,FALSE)</f>
        <v>A</v>
      </c>
      <c r="V468" s="1" t="str">
        <f>VLOOKUP($E468,'Product Naming'!$A$1:$P$58,5,FALSE)</f>
        <v>C15H24</v>
      </c>
      <c r="W468" s="1">
        <f>VLOOKUP($E468,'Product Naming'!$A$1:$P$58,6,FALSE)</f>
        <v>15</v>
      </c>
      <c r="X468" s="1">
        <f>VLOOKUP($E468,'Product Naming'!$A$1:$P$58,7,FALSE)</f>
        <v>24</v>
      </c>
      <c r="Y468" s="1">
        <f>VLOOKUP($E468,'Product Naming'!$A$1:$P$58,8,FALSE)</f>
        <v>0</v>
      </c>
      <c r="Z468" s="1">
        <f>VLOOKUP($E468,'Product Naming'!$A$1:$P$58,9,FALSE)</f>
        <v>0</v>
      </c>
      <c r="AA468" s="1">
        <f>VLOOKUP($E468,'Product Naming'!$A$1:$P$58,10,FALSE)</f>
        <v>0</v>
      </c>
      <c r="AB468" s="29">
        <f>VLOOKUP($E468,'Product Naming'!$A$1:$P$58,11,FALSE)</f>
        <v>5.6</v>
      </c>
      <c r="AC468" s="3">
        <f>VLOOKUP($E468,'Product Naming'!$A$1:$P$58,12,FALSE)</f>
        <v>204.34866000000002</v>
      </c>
      <c r="AD468" s="1" t="str">
        <f>VLOOKUP($E468,'Product Naming'!$A$1:$P$58,13,FALSE)</f>
        <v>260 (A)/272 (B)</v>
      </c>
      <c r="AE468" s="1" t="str">
        <f>VLOOKUP($E468,'Product Naming'!$A$1:$P$58,14,FALSE)</f>
        <v>Hydrocarbon</v>
      </c>
      <c r="AF468" s="1" t="str">
        <f>VLOOKUP($E468,'Product Naming'!$A$1:$P$58,15,FALSE)</f>
        <v>Acetyl-CoA</v>
      </c>
      <c r="AG468" s="30" t="str">
        <f>VLOOKUP($E468,'Product Naming'!$A$1:$P$58,16,FALSE)</f>
        <v>Proton symporter</v>
      </c>
      <c r="AH468" s="3" t="str">
        <f>VLOOKUP($E468,'Product Naming'!$A$1:$Q$58,17,FALSE)</f>
        <v>frene_c</v>
      </c>
      <c r="AI468" s="1">
        <f>VLOOKUP($E468,'Product Parameters'!$A$2:$D$59,2,FALSE)</f>
        <v>1</v>
      </c>
      <c r="AJ468" s="1">
        <f>VLOOKUP($E468,'Product Parameters'!$A$2:$D$59,3,FALSE)</f>
        <v>0</v>
      </c>
      <c r="AK468" s="1">
        <f>VLOOKUP($E468,'Product Parameters'!$A$2:$D$59,4,FALSE)</f>
        <v>0.12</v>
      </c>
      <c r="AL468" s="1">
        <f>VLOOKUP($E468,'Product Parameters'!$A$2:$E$59,5,FALSE)</f>
        <v>0</v>
      </c>
      <c r="AM468" s="1">
        <f>VLOOKUP($E468,'Product Parameters'!$A$2:$F$59,6,FALSE)</f>
        <v>15</v>
      </c>
      <c r="AN468" s="1">
        <f>VLOOKUP($C468,'Substrate Heating'!$A$2:$C$33,3,FALSE)</f>
        <v>1020.8629199999999</v>
      </c>
      <c r="AO468" s="1">
        <f>VLOOKUP($C468,'Substrate Heating'!$A$2:$B$33,2,FALSE)</f>
        <v>17</v>
      </c>
      <c r="AP468" s="1">
        <f>VLOOKUP($C468,'Substrate Heating'!$A$2:$M$33,13,FALSE)</f>
        <v>4</v>
      </c>
      <c r="AQ468" s="1">
        <f>VLOOKUP($C468,'Substrate Heating'!$A$2:$M$33,8,FALSE)</f>
        <v>2</v>
      </c>
      <c r="AR468" s="1">
        <f t="shared" si="7"/>
        <v>0.53571428571428548</v>
      </c>
    </row>
    <row r="469" spans="1:44" x14ac:dyDescent="0.2">
      <c r="A469" s="17" t="s">
        <v>185</v>
      </c>
      <c r="B469" s="9" t="s">
        <v>35</v>
      </c>
      <c r="C469" t="s">
        <v>344</v>
      </c>
      <c r="D469" s="10" t="s">
        <v>37</v>
      </c>
      <c r="E469" t="s">
        <v>259</v>
      </c>
      <c r="F469" t="s">
        <v>260</v>
      </c>
      <c r="G469">
        <v>-10</v>
      </c>
      <c r="H469">
        <v>-20</v>
      </c>
      <c r="I469" s="1" t="s">
        <v>40</v>
      </c>
      <c r="J469">
        <v>3.15</v>
      </c>
      <c r="K469">
        <v>-10</v>
      </c>
      <c r="L469">
        <v>-5</v>
      </c>
      <c r="M469" s="1" t="s">
        <v>40</v>
      </c>
      <c r="N469">
        <v>9.2857142857142794</v>
      </c>
      <c r="O469">
        <v>1.0714285714285701</v>
      </c>
      <c r="P469"/>
      <c r="Q469">
        <v>0.107142857142857</v>
      </c>
      <c r="R469">
        <v>0.24306156093290601</v>
      </c>
      <c r="S469" s="1" t="str">
        <f>VLOOKUP($E469,'Product Naming'!$A$1:$P$58,2,FALSE)</f>
        <v>Limonene</v>
      </c>
      <c r="T469" s="1" t="str">
        <f>VLOOKUP($E469,'Product Naming'!$A$1:$P$58,3,FALSE)</f>
        <v>Limonene</v>
      </c>
      <c r="U469" s="1" t="str">
        <f>VLOOKUP($E469,'Product Naming'!$A$1:$P$58,4,FALSE)</f>
        <v>E</v>
      </c>
      <c r="V469" s="1" t="str">
        <f>VLOOKUP($E469,'Product Naming'!$A$1:$P$58,5,FALSE)</f>
        <v>C10H16</v>
      </c>
      <c r="W469" s="1">
        <f>VLOOKUP($E469,'Product Naming'!$A$1:$P$58,6,FALSE)</f>
        <v>10</v>
      </c>
      <c r="X469" s="1">
        <f>VLOOKUP($E469,'Product Naming'!$A$1:$P$58,7,FALSE)</f>
        <v>16</v>
      </c>
      <c r="Y469" s="1">
        <f>VLOOKUP($E469,'Product Naming'!$A$1:$P$58,8,FALSE)</f>
        <v>0</v>
      </c>
      <c r="Z469" s="1">
        <f>VLOOKUP($E469,'Product Naming'!$A$1:$P$58,9,FALSE)</f>
        <v>0</v>
      </c>
      <c r="AA469" s="1">
        <f>VLOOKUP($E469,'Product Naming'!$A$1:$P$58,10,FALSE)</f>
        <v>0</v>
      </c>
      <c r="AB469" s="29">
        <f>VLOOKUP($E469,'Product Naming'!$A$1:$P$58,11,FALSE)</f>
        <v>5.6</v>
      </c>
      <c r="AC469" s="3">
        <f>VLOOKUP($E469,'Product Naming'!$A$1:$P$58,12,FALSE)</f>
        <v>136.23244</v>
      </c>
      <c r="AD469" s="1">
        <f>VLOOKUP($E469,'Product Naming'!$A$1:$P$58,13,FALSE)</f>
        <v>176</v>
      </c>
      <c r="AE469" s="1" t="str">
        <f>VLOOKUP($E469,'Product Naming'!$A$1:$P$58,14,FALSE)</f>
        <v>Isoprenoid; Aromatic (Cycloalkane)</v>
      </c>
      <c r="AF469" s="1" t="str">
        <f>VLOOKUP($E469,'Product Naming'!$A$1:$P$58,15,FALSE)</f>
        <v>Acetyl-CoA</v>
      </c>
      <c r="AG469" s="30" t="str">
        <f>VLOOKUP($E469,'Product Naming'!$A$1:$P$58,16,FALSE)</f>
        <v>Proton symporter</v>
      </c>
      <c r="AH469" s="3" t="str">
        <f>VLOOKUP($E469,'Product Naming'!$A$1:$Q$58,17,FALSE)</f>
        <v>limnen_c</v>
      </c>
      <c r="AI469" s="1">
        <f>VLOOKUP($E469,'Product Parameters'!$A$2:$D$59,2,FALSE)</f>
        <v>1</v>
      </c>
      <c r="AJ469" s="1">
        <f>VLOOKUP($E469,'Product Parameters'!$A$2:$D$59,3,FALSE)</f>
        <v>0</v>
      </c>
      <c r="AK469" s="1">
        <f>VLOOKUP($E469,'Product Parameters'!$A$2:$D$59,4,FALSE)</f>
        <v>0.12</v>
      </c>
      <c r="AL469" s="1">
        <f>VLOOKUP($E469,'Product Parameters'!$A$2:$E$59,5,FALSE)</f>
        <v>49.5</v>
      </c>
      <c r="AM469" s="1">
        <f>VLOOKUP($E469,'Product Parameters'!$A$2:$F$59,6,FALSE)</f>
        <v>10</v>
      </c>
      <c r="AN469" s="1">
        <f>VLOOKUP($C469,'Substrate Heating'!$A$2:$C$33,3,FALSE)</f>
        <v>1020.8629199999999</v>
      </c>
      <c r="AO469" s="1">
        <f>VLOOKUP($C469,'Substrate Heating'!$A$2:$B$33,2,FALSE)</f>
        <v>17</v>
      </c>
      <c r="AP469" s="1">
        <f>VLOOKUP($C469,'Substrate Heating'!$A$2:$M$33,13,FALSE)</f>
        <v>4</v>
      </c>
      <c r="AQ469" s="1">
        <f>VLOOKUP($C469,'Substrate Heating'!$A$2:$M$33,8,FALSE)</f>
        <v>2</v>
      </c>
      <c r="AR469" s="1">
        <f t="shared" si="7"/>
        <v>0.53571428571428503</v>
      </c>
    </row>
    <row r="470" spans="1:44" x14ac:dyDescent="0.2">
      <c r="A470" s="8" t="s">
        <v>812</v>
      </c>
      <c r="B470" s="18" t="s">
        <v>324</v>
      </c>
      <c r="C470" t="s">
        <v>814</v>
      </c>
      <c r="E470" t="s">
        <v>192</v>
      </c>
      <c r="F470" t="s">
        <v>193</v>
      </c>
      <c r="G470">
        <v>-10</v>
      </c>
      <c r="H470">
        <v>0</v>
      </c>
      <c r="I470">
        <v>-10</v>
      </c>
      <c r="J470">
        <v>0.45</v>
      </c>
      <c r="K470">
        <v>-9.6690909090908992</v>
      </c>
      <c r="L470">
        <v>0</v>
      </c>
      <c r="M470">
        <v>-10</v>
      </c>
      <c r="N470">
        <v>0</v>
      </c>
      <c r="O470">
        <v>0.33090909090908999</v>
      </c>
      <c r="P470"/>
      <c r="Q470">
        <v>3.4223392252726498E-2</v>
      </c>
      <c r="R470">
        <v>0.243848014842662</v>
      </c>
      <c r="S470" s="1" t="str">
        <f>VLOOKUP($E470,'Product Naming'!$A$1:$P$58,2,FALSE)</f>
        <v>Coumaric acid</v>
      </c>
      <c r="T470" s="1" t="str">
        <f>VLOOKUP($E470,'Product Naming'!$A$1:$P$58,3,FALSE)</f>
        <v>Coumaric acid</v>
      </c>
      <c r="U470" s="1" t="str">
        <f>VLOOKUP($E470,'Product Naming'!$A$1:$P$58,4,FALSE)</f>
        <v>E</v>
      </c>
      <c r="V470" s="1" t="str">
        <f>VLOOKUP($E470,'Product Naming'!$A$1:$P$58,5,FALSE)</f>
        <v>C9H7O3</v>
      </c>
      <c r="W470" s="1">
        <f>VLOOKUP($E470,'Product Naming'!$A$1:$P$58,6,FALSE)</f>
        <v>9</v>
      </c>
      <c r="X470" s="1">
        <f>VLOOKUP($E470,'Product Naming'!$A$1:$P$58,7,FALSE)</f>
        <v>7</v>
      </c>
      <c r="Y470" s="1">
        <f>VLOOKUP($E470,'Product Naming'!$A$1:$P$58,8,FALSE)</f>
        <v>3</v>
      </c>
      <c r="Z470" s="1">
        <f>VLOOKUP($E470,'Product Naming'!$A$1:$P$58,9,FALSE)</f>
        <v>0</v>
      </c>
      <c r="AA470" s="1">
        <f>VLOOKUP($E470,'Product Naming'!$A$1:$P$58,10,FALSE)</f>
        <v>-1</v>
      </c>
      <c r="AB470" s="29">
        <f>VLOOKUP($E470,'Product Naming'!$A$1:$P$58,11,FALSE)</f>
        <v>4.1111111111111107</v>
      </c>
      <c r="AC470" s="3">
        <f>VLOOKUP($E470,'Product Naming'!$A$1:$P$58,12,FALSE)</f>
        <v>163.14818</v>
      </c>
      <c r="AD470" s="1">
        <f>VLOOKUP($E470,'Product Naming'!$A$1:$P$58,13,FALSE)</f>
        <v>346</v>
      </c>
      <c r="AE470" s="1" t="str">
        <f>VLOOKUP($E470,'Product Naming'!$A$1:$P$58,14,FALSE)</f>
        <v>Aromatic + Alcohol + Carboxylate</v>
      </c>
      <c r="AF470" s="1" t="str">
        <f>VLOOKUP($E470,'Product Naming'!$A$1:$P$58,15,FALSE)</f>
        <v>E4P + L-glutamate</v>
      </c>
      <c r="AG470" s="30" t="str">
        <f>VLOOKUP($E470,'Product Naming'!$A$1:$P$58,16,FALSE)</f>
        <v>Proton symporter</v>
      </c>
      <c r="AH470" s="3" t="str">
        <f>VLOOKUP($E470,'Product Naming'!$A$1:$Q$58,17,FALSE)</f>
        <v>T4hcinnm_c</v>
      </c>
      <c r="AI470" s="1">
        <f>VLOOKUP($E470,'Product Parameters'!$A$2:$D$59,2,FALSE)</f>
        <v>1</v>
      </c>
      <c r="AJ470" s="1">
        <f>VLOOKUP($E470,'Product Parameters'!$A$2:$D$59,3,FALSE)</f>
        <v>0</v>
      </c>
      <c r="AK470" s="1">
        <f>VLOOKUP($E470,'Product Parameters'!$A$2:$D$59,4,FALSE)</f>
        <v>0.12</v>
      </c>
      <c r="AL470" s="1">
        <f>VLOOKUP($E470,'Product Parameters'!$A$2:$E$59,5,FALSE)</f>
        <v>40.65</v>
      </c>
      <c r="AM470" s="1">
        <f>VLOOKUP($E470,'Product Parameters'!$A$2:$F$59,6,FALSE)</f>
        <v>9</v>
      </c>
      <c r="AN470" s="1">
        <f>VLOOKUP($C470,'Substrate Heating'!$A$2:$C$33,3,FALSE)</f>
        <v>209.92000000000002</v>
      </c>
      <c r="AO470" s="1">
        <f>VLOOKUP($C470,'Substrate Heating'!$A$2:$B$33,2,FALSE)</f>
        <v>10.086540906516333</v>
      </c>
      <c r="AP470" s="1">
        <f>VLOOKUP($C470,'Substrate Heating'!$A$2:$M$33,13,FALSE)</f>
        <v>0.8</v>
      </c>
      <c r="AQ470" s="1">
        <f>VLOOKUP($C470,'Substrate Heating'!$A$2:$M$33,8,FALSE)</f>
        <v>0.8</v>
      </c>
      <c r="AR470" s="1">
        <f t="shared" si="7"/>
        <v>0.38501316284317311</v>
      </c>
    </row>
    <row r="471" spans="1:44" x14ac:dyDescent="0.2">
      <c r="A471" s="17" t="s">
        <v>231</v>
      </c>
      <c r="B471" s="9" t="s">
        <v>35</v>
      </c>
      <c r="C471" t="s">
        <v>322</v>
      </c>
      <c r="D471" s="10" t="s">
        <v>37</v>
      </c>
      <c r="E471" t="s">
        <v>236</v>
      </c>
      <c r="F471" t="s">
        <v>237</v>
      </c>
      <c r="G471">
        <v>-10</v>
      </c>
      <c r="H471">
        <v>-20</v>
      </c>
      <c r="I471" s="1" t="s">
        <v>40</v>
      </c>
      <c r="J471">
        <v>3.15</v>
      </c>
      <c r="K471">
        <v>-10</v>
      </c>
      <c r="L471">
        <v>-4.1176056338028104</v>
      </c>
      <c r="M471" s="1" t="s">
        <v>40</v>
      </c>
      <c r="N471">
        <v>9.9690140845070392</v>
      </c>
      <c r="O471">
        <v>1.6718309859154901</v>
      </c>
      <c r="P471"/>
      <c r="Q471">
        <v>0.16718309859154901</v>
      </c>
      <c r="R471">
        <v>0.244006049340111</v>
      </c>
      <c r="S471" s="1" t="str">
        <f>VLOOKUP($E471,'Product Naming'!$A$1:$P$58,2,FALSE)</f>
        <v>Hexane</v>
      </c>
      <c r="T471" s="1" t="str">
        <f>VLOOKUP($E471,'Product Naming'!$A$1:$P$58,3,FALSE)</f>
        <v>Hexane</v>
      </c>
      <c r="U471" s="1" t="str">
        <f>VLOOKUP($E471,'Product Naming'!$A$1:$P$58,4,FALSE)</f>
        <v>E</v>
      </c>
      <c r="V471" s="1" t="str">
        <f>VLOOKUP($E471,'Product Naming'!$A$1:$P$58,5,FALSE)</f>
        <v>C6H14</v>
      </c>
      <c r="W471" s="1">
        <f>VLOOKUP($E471,'Product Naming'!$A$1:$P$58,6,FALSE)</f>
        <v>6</v>
      </c>
      <c r="X471" s="1">
        <f>VLOOKUP($E471,'Product Naming'!$A$1:$P$58,7,FALSE)</f>
        <v>14</v>
      </c>
      <c r="Y471" s="1">
        <f>VLOOKUP($E471,'Product Naming'!$A$1:$P$58,8,FALSE)</f>
        <v>0</v>
      </c>
      <c r="Z471" s="1">
        <f>VLOOKUP($E471,'Product Naming'!$A$1:$P$58,9,FALSE)</f>
        <v>0</v>
      </c>
      <c r="AA471" s="1">
        <f>VLOOKUP($E471,'Product Naming'!$A$1:$P$58,10,FALSE)</f>
        <v>0</v>
      </c>
      <c r="AB471" s="29">
        <f>VLOOKUP($E471,'Product Naming'!$A$1:$P$58,11,FALSE)</f>
        <v>6.333333333333333</v>
      </c>
      <c r="AC471" s="3">
        <f>VLOOKUP($E471,'Product Naming'!$A$1:$P$58,12,FALSE)</f>
        <v>86.173959999999994</v>
      </c>
      <c r="AD471" s="1">
        <f>VLOOKUP($E471,'Product Naming'!$A$1:$P$58,13,FALSE)</f>
        <v>69</v>
      </c>
      <c r="AE471" s="1" t="str">
        <f>VLOOKUP($E471,'Product Naming'!$A$1:$P$58,14,FALSE)</f>
        <v>Hydrocarbon (alkane)</v>
      </c>
      <c r="AF471" s="1" t="str">
        <f>VLOOKUP($E471,'Product Naming'!$A$1:$P$58,15,FALSE)</f>
        <v>Acetyl-CoA + Succinyl-CoA</v>
      </c>
      <c r="AG471" s="30" t="str">
        <f>VLOOKUP($E471,'Product Naming'!$A$1:$P$58,16,FALSE)</f>
        <v>Proton symporter</v>
      </c>
      <c r="AH471" s="3" t="str">
        <f>VLOOKUP($E471,'Product Naming'!$A$1:$Q$58,17,FALSE)</f>
        <v>hex_c</v>
      </c>
      <c r="AI471" s="1">
        <f>VLOOKUP($E471,'Product Parameters'!$A$2:$D$59,2,FALSE)</f>
        <v>1</v>
      </c>
      <c r="AJ471" s="1">
        <f>VLOOKUP($E471,'Product Parameters'!$A$2:$D$59,3,FALSE)</f>
        <v>0</v>
      </c>
      <c r="AK471" s="1">
        <f>VLOOKUP($E471,'Product Parameters'!$A$2:$D$59,4,FALSE)</f>
        <v>0.12</v>
      </c>
      <c r="AL471" s="1">
        <f>VLOOKUP($E471,'Product Parameters'!$A$2:$E$59,5,FALSE)</f>
        <v>31</v>
      </c>
      <c r="AM471" s="1">
        <f>VLOOKUP($E471,'Product Parameters'!$A$2:$F$59,6,FALSE)</f>
        <v>6</v>
      </c>
      <c r="AN471" s="1">
        <f>VLOOKUP($C471,'Substrate Heating'!$A$2:$C$33,3,FALSE)</f>
        <v>876.74109599999997</v>
      </c>
      <c r="AO471" s="1">
        <f>VLOOKUP($C471,'Substrate Heating'!$A$2:$B$33,2,FALSE)</f>
        <v>14.6</v>
      </c>
      <c r="AP471" s="1">
        <f>VLOOKUP($C471,'Substrate Heating'!$A$2:$M$33,13,FALSE)</f>
        <v>3.5</v>
      </c>
      <c r="AQ471" s="1">
        <f>VLOOKUP($C471,'Substrate Heating'!$A$2:$M$33,8,FALSE)</f>
        <v>2</v>
      </c>
      <c r="AR471" s="1">
        <f t="shared" si="7"/>
        <v>0.50154929577464702</v>
      </c>
    </row>
    <row r="472" spans="1:44" x14ac:dyDescent="0.2">
      <c r="A472" s="17" t="s">
        <v>323</v>
      </c>
      <c r="B472" s="18" t="s">
        <v>324</v>
      </c>
      <c r="C472" t="s">
        <v>328</v>
      </c>
      <c r="D472" s="19" t="s">
        <v>326</v>
      </c>
      <c r="E472" t="s">
        <v>209</v>
      </c>
      <c r="F472" t="s">
        <v>210</v>
      </c>
      <c r="G472">
        <v>-10</v>
      </c>
      <c r="H472">
        <v>0</v>
      </c>
      <c r="I472">
        <v>-10</v>
      </c>
      <c r="J472">
        <v>0.45</v>
      </c>
      <c r="K472">
        <v>-10</v>
      </c>
      <c r="L472">
        <v>0</v>
      </c>
      <c r="M472">
        <v>-10</v>
      </c>
      <c r="N472">
        <v>0.42823529411764699</v>
      </c>
      <c r="O472">
        <v>0.85647058823529298</v>
      </c>
      <c r="P472"/>
      <c r="Q472">
        <v>8.5647058823529298E-2</v>
      </c>
      <c r="R472">
        <v>0.245526816399287</v>
      </c>
      <c r="S472" s="1" t="str">
        <f>VLOOKUP($E472,'Product Naming'!$A$1:$P$58,2,FALSE)</f>
        <v>GammaButyrolactone</v>
      </c>
      <c r="T472" s="1" t="str">
        <f>VLOOKUP($E472,'Product Naming'!$A$1:$P$58,3,FALSE)</f>
        <v>Gamma butyrolactone</v>
      </c>
      <c r="U472" s="1" t="str">
        <f>VLOOKUP($E472,'Product Naming'!$A$1:$P$58,4,FALSE)</f>
        <v>A</v>
      </c>
      <c r="V472" s="1" t="str">
        <f>VLOOKUP($E472,'Product Naming'!$A$1:$P$58,5,FALSE)</f>
        <v>C4H6O2</v>
      </c>
      <c r="W472" s="1">
        <f>VLOOKUP($E472,'Product Naming'!$A$1:$P$58,6,FALSE)</f>
        <v>4</v>
      </c>
      <c r="X472" s="1">
        <f>VLOOKUP($E472,'Product Naming'!$A$1:$P$58,7,FALSE)</f>
        <v>6</v>
      </c>
      <c r="Y472" s="1">
        <f>VLOOKUP($E472,'Product Naming'!$A$1:$P$58,8,FALSE)</f>
        <v>2</v>
      </c>
      <c r="Z472" s="1">
        <f>VLOOKUP($E472,'Product Naming'!$A$1:$P$58,9,FALSE)</f>
        <v>0</v>
      </c>
      <c r="AA472" s="1">
        <f>VLOOKUP($E472,'Product Naming'!$A$1:$P$58,10,FALSE)</f>
        <v>0</v>
      </c>
      <c r="AB472" s="29">
        <f>VLOOKUP($E472,'Product Naming'!$A$1:$P$58,11,FALSE)</f>
        <v>4.5</v>
      </c>
      <c r="AC472" s="3">
        <f>VLOOKUP($E472,'Product Naming'!$A$1:$P$58,12,FALSE)</f>
        <v>86.08784</v>
      </c>
      <c r="AD472" s="1">
        <f>VLOOKUP($E472,'Product Naming'!$A$1:$P$58,13,FALSE)</f>
        <v>204</v>
      </c>
      <c r="AE472" s="1" t="str">
        <f>VLOOKUP($E472,'Product Naming'!$A$1:$P$58,14,FALSE)</f>
        <v>Lactone (cyclic ester)</v>
      </c>
      <c r="AF472" s="1" t="str">
        <f>VLOOKUP($E472,'Product Naming'!$A$1:$P$58,15,FALSE)</f>
        <v>aKG</v>
      </c>
      <c r="AG472" s="30" t="str">
        <f>VLOOKUP($E472,'Product Naming'!$A$1:$P$58,16,FALSE)</f>
        <v>Proton symporter</v>
      </c>
      <c r="AH472" s="3" t="str">
        <f>VLOOKUP($E472,'Product Naming'!$A$1:$Q$58,17,FALSE)</f>
        <v>gblt_c</v>
      </c>
      <c r="AI472" s="1">
        <f>VLOOKUP($E472,'Product Parameters'!$A$2:$D$59,2,FALSE)</f>
        <v>1</v>
      </c>
      <c r="AJ472" s="1">
        <f>VLOOKUP($E472,'Product Parameters'!$A$2:$D$59,3,FALSE)</f>
        <v>0</v>
      </c>
      <c r="AK472" s="1">
        <f>VLOOKUP($E472,'Product Parameters'!$A$2:$D$59,4,FALSE)</f>
        <v>0.12</v>
      </c>
      <c r="AL472" s="1">
        <f>VLOOKUP($E472,'Product Parameters'!$A$2:$E$59,5,FALSE)</f>
        <v>0</v>
      </c>
      <c r="AM472" s="1">
        <f>VLOOKUP($E472,'Product Parameters'!$A$2:$F$59,6,FALSE)</f>
        <v>4</v>
      </c>
      <c r="AN472" s="1">
        <f>VLOOKUP($C472,'Substrate Heating'!$A$2:$C$33,3,FALSE)</f>
        <v>262.39999999999998</v>
      </c>
      <c r="AO472" s="1">
        <f>VLOOKUP($C472,'Substrate Heating'!$A$2:$B$33,2,FALSE)</f>
        <v>17.478546483008707</v>
      </c>
      <c r="AP472" s="1">
        <f>VLOOKUP($C472,'Substrate Heating'!$A$2:$M$33,13,FALSE)</f>
        <v>1</v>
      </c>
      <c r="AQ472" s="1">
        <f>VLOOKUP($C472,'Substrate Heating'!$A$2:$M$33,8,FALSE)</f>
        <v>0.5</v>
      </c>
      <c r="AR472" s="1">
        <f t="shared" si="7"/>
        <v>0.68517647058823439</v>
      </c>
    </row>
    <row r="473" spans="1:44" x14ac:dyDescent="0.2">
      <c r="A473" s="17" t="s">
        <v>323</v>
      </c>
      <c r="B473" s="18" t="s">
        <v>324</v>
      </c>
      <c r="C473" t="s">
        <v>327</v>
      </c>
      <c r="D473" s="19" t="s">
        <v>326</v>
      </c>
      <c r="E473" t="s">
        <v>291</v>
      </c>
      <c r="F473" t="s">
        <v>292</v>
      </c>
      <c r="G473">
        <v>-10</v>
      </c>
      <c r="H473">
        <v>0</v>
      </c>
      <c r="I473">
        <v>-5</v>
      </c>
      <c r="J473">
        <v>0.45</v>
      </c>
      <c r="K473">
        <v>-10</v>
      </c>
      <c r="L473">
        <v>0</v>
      </c>
      <c r="M473">
        <v>-5</v>
      </c>
      <c r="N473">
        <v>4.5352112676056402</v>
      </c>
      <c r="O473">
        <v>0.81408450704225299</v>
      </c>
      <c r="P473"/>
      <c r="Q473">
        <v>8.1408450704225296E-2</v>
      </c>
      <c r="R473">
        <v>0.24727348424107701</v>
      </c>
      <c r="S473" s="1" t="str">
        <f>VLOOKUP($E473,'Product Naming'!$A$1:$P$58,2,FALSE)</f>
        <v>Pentanol-PW1</v>
      </c>
      <c r="T473" s="1" t="str">
        <f>VLOOKUP($E473,'Product Naming'!$A$1:$P$58,3,FALSE)</f>
        <v>Pentanol (PW1)</v>
      </c>
      <c r="U473" s="1" t="str">
        <f>VLOOKUP($E473,'Product Naming'!$A$1:$P$58,4,FALSE)</f>
        <v>E</v>
      </c>
      <c r="V473" s="1" t="str">
        <f>VLOOKUP($E473,'Product Naming'!$A$1:$P$58,5,FALSE)</f>
        <v>C5H12O</v>
      </c>
      <c r="W473" s="1">
        <f>VLOOKUP($E473,'Product Naming'!$A$1:$P$58,6,FALSE)</f>
        <v>5</v>
      </c>
      <c r="X473" s="1">
        <f>VLOOKUP($E473,'Product Naming'!$A$1:$P$58,7,FALSE)</f>
        <v>12</v>
      </c>
      <c r="Y473" s="1">
        <f>VLOOKUP($E473,'Product Naming'!$A$1:$P$58,8,FALSE)</f>
        <v>1</v>
      </c>
      <c r="Z473" s="1">
        <f>VLOOKUP($E473,'Product Naming'!$A$1:$P$58,9,FALSE)</f>
        <v>0</v>
      </c>
      <c r="AA473" s="1">
        <f>VLOOKUP($E473,'Product Naming'!$A$1:$P$58,10,FALSE)</f>
        <v>0</v>
      </c>
      <c r="AB473" s="29">
        <f>VLOOKUP($E473,'Product Naming'!$A$1:$P$58,11,FALSE)</f>
        <v>6</v>
      </c>
      <c r="AC473" s="3">
        <f>VLOOKUP($E473,'Product Naming'!$A$1:$P$58,12,FALSE)</f>
        <v>88.14658</v>
      </c>
      <c r="AD473" s="1">
        <f>VLOOKUP($E473,'Product Naming'!$A$1:$P$58,13,FALSE)</f>
        <v>138</v>
      </c>
      <c r="AE473" s="1" t="str">
        <f>VLOOKUP($E473,'Product Naming'!$A$1:$P$58,14,FALSE)</f>
        <v>Alcohol</v>
      </c>
      <c r="AF473" s="1" t="str">
        <f>VLOOKUP($E473,'Product Naming'!$A$1:$P$58,15,FALSE)</f>
        <v>Acetyl-CoA + Succinyl-CoA</v>
      </c>
      <c r="AG473" s="30" t="str">
        <f>VLOOKUP($E473,'Product Naming'!$A$1:$P$58,16,FALSE)</f>
        <v>Proton symporter</v>
      </c>
      <c r="AH473" s="3" t="str">
        <f>VLOOKUP($E473,'Product Naming'!$A$1:$Q$58,17,FALSE)</f>
        <v>pentoh_c</v>
      </c>
      <c r="AI473" s="1">
        <f>VLOOKUP($E473,'Product Parameters'!$A$2:$D$59,2,FALSE)</f>
        <v>1</v>
      </c>
      <c r="AJ473" s="1">
        <f>VLOOKUP($E473,'Product Parameters'!$A$2:$D$59,3,FALSE)</f>
        <v>0</v>
      </c>
      <c r="AK473" s="1">
        <f>VLOOKUP($E473,'Product Parameters'!$A$2:$D$59,4,FALSE)</f>
        <v>0.12</v>
      </c>
      <c r="AL473" s="1">
        <f>VLOOKUP($E473,'Product Parameters'!$A$2:$E$59,5,FALSE)</f>
        <v>57</v>
      </c>
      <c r="AM473" s="1">
        <f>VLOOKUP($E473,'Product Parameters'!$A$2:$F$59,6,FALSE)</f>
        <v>5</v>
      </c>
      <c r="AN473" s="1">
        <f>VLOOKUP($C473,'Substrate Heating'!$A$2:$C$33,3,FALSE)</f>
        <v>269.26666666666665</v>
      </c>
      <c r="AO473" s="1">
        <f>VLOOKUP($C473,'Substrate Heating'!$A$2:$B$33,2,FALSE)</f>
        <v>13.919167510409219</v>
      </c>
      <c r="AP473" s="1">
        <f>VLOOKUP($C473,'Substrate Heating'!$A$2:$M$33,13,FALSE)</f>
        <v>1.3333333333333333</v>
      </c>
      <c r="AQ473" s="1">
        <f>VLOOKUP($C473,'Substrate Heating'!$A$2:$M$33,8,FALSE)</f>
        <v>0.66666666666666663</v>
      </c>
      <c r="AR473" s="1">
        <f t="shared" si="7"/>
        <v>0.61056338028168977</v>
      </c>
    </row>
    <row r="474" spans="1:44" x14ac:dyDescent="0.2">
      <c r="A474" s="17" t="s">
        <v>323</v>
      </c>
      <c r="B474" s="18" t="s">
        <v>324</v>
      </c>
      <c r="C474" t="s">
        <v>327</v>
      </c>
      <c r="D474" s="19" t="s">
        <v>326</v>
      </c>
      <c r="E474" t="s">
        <v>295</v>
      </c>
      <c r="F474" t="s">
        <v>292</v>
      </c>
      <c r="G474">
        <v>-10</v>
      </c>
      <c r="H474">
        <v>0</v>
      </c>
      <c r="I474">
        <v>-5</v>
      </c>
      <c r="J474">
        <v>0.45</v>
      </c>
      <c r="K474">
        <v>-10</v>
      </c>
      <c r="L474">
        <v>0</v>
      </c>
      <c r="M474">
        <v>-5</v>
      </c>
      <c r="N474">
        <v>4.5352112676056304</v>
      </c>
      <c r="O474">
        <v>0.81408450704225299</v>
      </c>
      <c r="P474"/>
      <c r="Q474">
        <v>8.1408450704225296E-2</v>
      </c>
      <c r="R474">
        <v>0.24727348424107701</v>
      </c>
      <c r="S474" s="1" t="str">
        <f>VLOOKUP($E474,'Product Naming'!$A$1:$P$58,2,FALSE)</f>
        <v>Pentanol-PW2</v>
      </c>
      <c r="T474" s="1" t="str">
        <f>VLOOKUP($E474,'Product Naming'!$A$1:$P$58,3,FALSE)</f>
        <v>Pentanol (PW2)</v>
      </c>
      <c r="U474" s="1" t="str">
        <f>VLOOKUP($E474,'Product Naming'!$A$1:$P$58,4,FALSE)</f>
        <v>E</v>
      </c>
      <c r="V474" s="1" t="str">
        <f>VLOOKUP($E474,'Product Naming'!$A$1:$P$58,5,FALSE)</f>
        <v>C5H12O</v>
      </c>
      <c r="W474" s="1">
        <f>VLOOKUP($E474,'Product Naming'!$A$1:$P$58,6,FALSE)</f>
        <v>5</v>
      </c>
      <c r="X474" s="1">
        <f>VLOOKUP($E474,'Product Naming'!$A$1:$P$58,7,FALSE)</f>
        <v>12</v>
      </c>
      <c r="Y474" s="1">
        <f>VLOOKUP($E474,'Product Naming'!$A$1:$P$58,8,FALSE)</f>
        <v>1</v>
      </c>
      <c r="Z474" s="1">
        <f>VLOOKUP($E474,'Product Naming'!$A$1:$P$58,9,FALSE)</f>
        <v>0</v>
      </c>
      <c r="AA474" s="1">
        <f>VLOOKUP($E474,'Product Naming'!$A$1:$P$58,10,FALSE)</f>
        <v>0</v>
      </c>
      <c r="AB474" s="29">
        <f>VLOOKUP($E474,'Product Naming'!$A$1:$P$58,11,FALSE)</f>
        <v>6</v>
      </c>
      <c r="AC474" s="3">
        <f>VLOOKUP($E474,'Product Naming'!$A$1:$P$58,12,FALSE)</f>
        <v>88.14658</v>
      </c>
      <c r="AD474" s="1">
        <f>VLOOKUP($E474,'Product Naming'!$A$1:$P$58,13,FALSE)</f>
        <v>138</v>
      </c>
      <c r="AE474" s="1" t="str">
        <f>VLOOKUP($E474,'Product Naming'!$A$1:$P$58,14,FALSE)</f>
        <v>Alcohol</v>
      </c>
      <c r="AF474" s="1" t="str">
        <f>VLOOKUP($E474,'Product Naming'!$A$1:$P$58,15,FALSE)</f>
        <v>Oxaloacetate</v>
      </c>
      <c r="AG474" s="30" t="str">
        <f>VLOOKUP($E474,'Product Naming'!$A$1:$P$58,16,FALSE)</f>
        <v>Proton symporter</v>
      </c>
      <c r="AH474" s="3" t="str">
        <f>VLOOKUP($E474,'Product Naming'!$A$1:$Q$58,17,FALSE)</f>
        <v>pentoh_c</v>
      </c>
      <c r="AI474" s="1">
        <f>VLOOKUP($E474,'Product Parameters'!$A$2:$D$59,2,FALSE)</f>
        <v>1</v>
      </c>
      <c r="AJ474" s="1">
        <f>VLOOKUP($E474,'Product Parameters'!$A$2:$D$59,3,FALSE)</f>
        <v>0</v>
      </c>
      <c r="AK474" s="1">
        <f>VLOOKUP($E474,'Product Parameters'!$A$2:$D$59,4,FALSE)</f>
        <v>0.12</v>
      </c>
      <c r="AL474" s="1">
        <f>VLOOKUP($E474,'Product Parameters'!$A$2:$E$59,5,FALSE)</f>
        <v>57</v>
      </c>
      <c r="AM474" s="1">
        <f>VLOOKUP($E474,'Product Parameters'!$A$2:$F$59,6,FALSE)</f>
        <v>5</v>
      </c>
      <c r="AN474" s="1">
        <f>VLOOKUP($C474,'Substrate Heating'!$A$2:$C$33,3,FALSE)</f>
        <v>269.26666666666665</v>
      </c>
      <c r="AO474" s="1">
        <f>VLOOKUP($C474,'Substrate Heating'!$A$2:$B$33,2,FALSE)</f>
        <v>13.919167510409219</v>
      </c>
      <c r="AP474" s="1">
        <f>VLOOKUP($C474,'Substrate Heating'!$A$2:$M$33,13,FALSE)</f>
        <v>1.3333333333333333</v>
      </c>
      <c r="AQ474" s="1">
        <f>VLOOKUP($C474,'Substrate Heating'!$A$2:$M$33,8,FALSE)</f>
        <v>0.66666666666666663</v>
      </c>
      <c r="AR474" s="1">
        <f t="shared" si="7"/>
        <v>0.61056338028168977</v>
      </c>
    </row>
    <row r="475" spans="1:44" x14ac:dyDescent="0.2">
      <c r="A475" s="17" t="s">
        <v>323</v>
      </c>
      <c r="B475" s="18" t="s">
        <v>324</v>
      </c>
      <c r="C475" t="s">
        <v>329</v>
      </c>
      <c r="D475" s="19" t="s">
        <v>326</v>
      </c>
      <c r="E475" t="s">
        <v>158</v>
      </c>
      <c r="F475" t="s">
        <v>159</v>
      </c>
      <c r="G475">
        <v>-10</v>
      </c>
      <c r="H475">
        <v>0</v>
      </c>
      <c r="I475">
        <v>-20</v>
      </c>
      <c r="J475">
        <v>0.45</v>
      </c>
      <c r="K475">
        <v>-10</v>
      </c>
      <c r="L475">
        <v>0</v>
      </c>
      <c r="M475">
        <v>-20</v>
      </c>
      <c r="N475">
        <v>0</v>
      </c>
      <c r="O475">
        <v>1.3647058823529401</v>
      </c>
      <c r="P475"/>
      <c r="Q475">
        <v>0.13647058823529401</v>
      </c>
      <c r="R475" s="20">
        <v>0.24748313113701001</v>
      </c>
      <c r="S475" s="1" t="str">
        <f>VLOOKUP($E475,'Product Naming'!$A$1:$P$58,2,FALSE)</f>
        <v>Butane</v>
      </c>
      <c r="T475" s="1" t="str">
        <f>VLOOKUP($E475,'Product Naming'!$A$1:$P$58,3,FALSE)</f>
        <v>Butane</v>
      </c>
      <c r="U475" s="1" t="str">
        <f>VLOOKUP($E475,'Product Naming'!$A$1:$P$58,4,FALSE)</f>
        <v>E</v>
      </c>
      <c r="V475" s="1" t="str">
        <f>VLOOKUP($E475,'Product Naming'!$A$1:$P$58,5,FALSE)</f>
        <v>C4H10</v>
      </c>
      <c r="W475" s="1">
        <f>VLOOKUP($E475,'Product Naming'!$A$1:$P$58,6,FALSE)</f>
        <v>4</v>
      </c>
      <c r="X475" s="1">
        <f>VLOOKUP($E475,'Product Naming'!$A$1:$P$58,7,FALSE)</f>
        <v>10</v>
      </c>
      <c r="Y475" s="1">
        <f>VLOOKUP($E475,'Product Naming'!$A$1:$P$58,8,FALSE)</f>
        <v>0</v>
      </c>
      <c r="Z475" s="1">
        <f>VLOOKUP($E475,'Product Naming'!$A$1:$P$58,9,FALSE)</f>
        <v>0</v>
      </c>
      <c r="AA475" s="1">
        <f>VLOOKUP($E475,'Product Naming'!$A$1:$P$58,10,FALSE)</f>
        <v>0</v>
      </c>
      <c r="AB475" s="29">
        <f>VLOOKUP($E475,'Product Naming'!$A$1:$P$58,11,FALSE)</f>
        <v>6.5</v>
      </c>
      <c r="AC475" s="3">
        <f>VLOOKUP($E475,'Product Naming'!$A$1:$P$58,12,FALSE)</f>
        <v>58.121200000000002</v>
      </c>
      <c r="AD475" s="1">
        <f>VLOOKUP($E475,'Product Naming'!$A$1:$P$58,13,FALSE)</f>
        <v>-1</v>
      </c>
      <c r="AE475" s="1" t="str">
        <f>VLOOKUP($E475,'Product Naming'!$A$1:$P$58,14,FALSE)</f>
        <v>Hydrocarbon (alkane)</v>
      </c>
      <c r="AF475" s="1" t="str">
        <f>VLOOKUP($E475,'Product Naming'!$A$1:$P$58,15,FALSE)</f>
        <v>Acetyl-CoA + Succinyl-CoA</v>
      </c>
      <c r="AG475" s="30" t="str">
        <f>VLOOKUP($E475,'Product Naming'!$A$1:$P$58,16,FALSE)</f>
        <v>Diffusion</v>
      </c>
      <c r="AH475" s="3" t="str">
        <f>VLOOKUP($E475,'Product Naming'!$A$1:$Q$58,17,FALSE)</f>
        <v>butn_c</v>
      </c>
      <c r="AI475" s="1">
        <f>VLOOKUP($E475,'Product Parameters'!$A$2:$D$59,2,FALSE)</f>
        <v>0</v>
      </c>
      <c r="AJ475" s="1">
        <f>VLOOKUP($E475,'Product Parameters'!$A$2:$D$59,3,FALSE)</f>
        <v>1</v>
      </c>
      <c r="AK475" s="1">
        <f>VLOOKUP($E475,'Product Parameters'!$A$2:$D$59,4,FALSE)</f>
        <v>0.12</v>
      </c>
      <c r="AL475" s="1">
        <f>VLOOKUP($E475,'Product Parameters'!$A$2:$E$59,5,FALSE)</f>
        <v>0</v>
      </c>
      <c r="AM475" s="1">
        <f>VLOOKUP($E475,'Product Parameters'!$A$2:$F$59,6,FALSE)</f>
        <v>4</v>
      </c>
      <c r="AN475" s="1">
        <f>VLOOKUP($C475,'Substrate Heating'!$A$2:$C$33,3,FALSE)</f>
        <v>255.53333333333336</v>
      </c>
      <c r="AO475" s="1">
        <f>VLOOKUP($C475,'Substrate Heating'!$A$2:$B$33,2,FALSE)</f>
        <v>23.925550527978785</v>
      </c>
      <c r="AP475" s="1">
        <f>VLOOKUP($C475,'Substrate Heating'!$A$2:$M$33,13,FALSE)</f>
        <v>0.66666666666666663</v>
      </c>
      <c r="AQ475" s="1">
        <f>VLOOKUP($C475,'Substrate Heating'!$A$2:$M$33,8,FALSE)</f>
        <v>0.33333333333333331</v>
      </c>
      <c r="AR475" s="1">
        <f t="shared" si="7"/>
        <v>1.6376470588235281</v>
      </c>
    </row>
    <row r="476" spans="1:44" x14ac:dyDescent="0.2">
      <c r="A476" s="17" t="s">
        <v>323</v>
      </c>
      <c r="B476" s="18" t="s">
        <v>324</v>
      </c>
      <c r="C476" t="s">
        <v>336</v>
      </c>
      <c r="D476" s="19" t="s">
        <v>326</v>
      </c>
      <c r="E476" t="s">
        <v>291</v>
      </c>
      <c r="F476" t="s">
        <v>292</v>
      </c>
      <c r="G476">
        <v>-10</v>
      </c>
      <c r="H476">
        <v>0</v>
      </c>
      <c r="I476">
        <v>-20</v>
      </c>
      <c r="J476">
        <v>0.45</v>
      </c>
      <c r="K476">
        <v>-10</v>
      </c>
      <c r="L476">
        <v>0</v>
      </c>
      <c r="M476">
        <v>-20</v>
      </c>
      <c r="N476">
        <v>0</v>
      </c>
      <c r="O476">
        <v>1.40606060606061</v>
      </c>
      <c r="P476"/>
      <c r="Q476">
        <v>0.14060606060606101</v>
      </c>
      <c r="R476" s="20">
        <v>0.24753232214293999</v>
      </c>
      <c r="S476" s="1" t="str">
        <f>VLOOKUP($E476,'Product Naming'!$A$1:$P$58,2,FALSE)</f>
        <v>Pentanol-PW1</v>
      </c>
      <c r="T476" s="1" t="str">
        <f>VLOOKUP($E476,'Product Naming'!$A$1:$P$58,3,FALSE)</f>
        <v>Pentanol (PW1)</v>
      </c>
      <c r="U476" s="1" t="str">
        <f>VLOOKUP($E476,'Product Naming'!$A$1:$P$58,4,FALSE)</f>
        <v>E</v>
      </c>
      <c r="V476" s="1" t="str">
        <f>VLOOKUP($E476,'Product Naming'!$A$1:$P$58,5,FALSE)</f>
        <v>C5H12O</v>
      </c>
      <c r="W476" s="1">
        <f>VLOOKUP($E476,'Product Naming'!$A$1:$P$58,6,FALSE)</f>
        <v>5</v>
      </c>
      <c r="X476" s="1">
        <f>VLOOKUP($E476,'Product Naming'!$A$1:$P$58,7,FALSE)</f>
        <v>12</v>
      </c>
      <c r="Y476" s="1">
        <f>VLOOKUP($E476,'Product Naming'!$A$1:$P$58,8,FALSE)</f>
        <v>1</v>
      </c>
      <c r="Z476" s="1">
        <f>VLOOKUP($E476,'Product Naming'!$A$1:$P$58,9,FALSE)</f>
        <v>0</v>
      </c>
      <c r="AA476" s="1">
        <f>VLOOKUP($E476,'Product Naming'!$A$1:$P$58,10,FALSE)</f>
        <v>0</v>
      </c>
      <c r="AB476" s="29">
        <f>VLOOKUP($E476,'Product Naming'!$A$1:$P$58,11,FALSE)</f>
        <v>6</v>
      </c>
      <c r="AC476" s="3">
        <f>VLOOKUP($E476,'Product Naming'!$A$1:$P$58,12,FALSE)</f>
        <v>88.14658</v>
      </c>
      <c r="AD476" s="1">
        <f>VLOOKUP($E476,'Product Naming'!$A$1:$P$58,13,FALSE)</f>
        <v>138</v>
      </c>
      <c r="AE476" s="1" t="str">
        <f>VLOOKUP($E476,'Product Naming'!$A$1:$P$58,14,FALSE)</f>
        <v>Alcohol</v>
      </c>
      <c r="AF476" s="1" t="str">
        <f>VLOOKUP($E476,'Product Naming'!$A$1:$P$58,15,FALSE)</f>
        <v>Acetyl-CoA + Succinyl-CoA</v>
      </c>
      <c r="AG476" s="30" t="str">
        <f>VLOOKUP($E476,'Product Naming'!$A$1:$P$58,16,FALSE)</f>
        <v>Proton symporter</v>
      </c>
      <c r="AH476" s="3" t="str">
        <f>VLOOKUP($E476,'Product Naming'!$A$1:$Q$58,17,FALSE)</f>
        <v>pentoh_c</v>
      </c>
      <c r="AI476" s="1">
        <f>VLOOKUP($E476,'Product Parameters'!$A$2:$D$59,2,FALSE)</f>
        <v>1</v>
      </c>
      <c r="AJ476" s="1">
        <f>VLOOKUP($E476,'Product Parameters'!$A$2:$D$59,3,FALSE)</f>
        <v>0</v>
      </c>
      <c r="AK476" s="1">
        <f>VLOOKUP($E476,'Product Parameters'!$A$2:$D$59,4,FALSE)</f>
        <v>0.12</v>
      </c>
      <c r="AL476" s="1">
        <f>VLOOKUP($E476,'Product Parameters'!$A$2:$E$59,5,FALSE)</f>
        <v>57</v>
      </c>
      <c r="AM476" s="1">
        <f>VLOOKUP($E476,'Product Parameters'!$A$2:$F$59,6,FALSE)</f>
        <v>5</v>
      </c>
      <c r="AN476" s="1">
        <f>VLOOKUP($C476,'Substrate Heating'!$A$2:$C$33,3,FALSE)</f>
        <v>245.86666666666667</v>
      </c>
      <c r="AO476" s="1">
        <f>VLOOKUP($C476,'Substrate Heating'!$A$2:$B$33,2,FALSE)</f>
        <v>15.038360459876978</v>
      </c>
      <c r="AP476" s="1">
        <f>VLOOKUP($C476,'Substrate Heating'!$A$2:$M$33,13,FALSE)</f>
        <v>0.33333333333333331</v>
      </c>
      <c r="AQ476" s="1">
        <f>VLOOKUP($C476,'Substrate Heating'!$A$2:$M$33,8,FALSE)</f>
        <v>0.33333333333333331</v>
      </c>
      <c r="AR476" s="1">
        <f t="shared" si="7"/>
        <v>2.1090909090909156</v>
      </c>
    </row>
    <row r="477" spans="1:44" x14ac:dyDescent="0.2">
      <c r="A477" s="17" t="s">
        <v>323</v>
      </c>
      <c r="B477" s="18" t="s">
        <v>324</v>
      </c>
      <c r="C477" t="s">
        <v>336</v>
      </c>
      <c r="D477" s="19" t="s">
        <v>326</v>
      </c>
      <c r="E477" t="s">
        <v>295</v>
      </c>
      <c r="F477" t="s">
        <v>292</v>
      </c>
      <c r="G477">
        <v>-10</v>
      </c>
      <c r="H477">
        <v>0</v>
      </c>
      <c r="I477">
        <v>-20</v>
      </c>
      <c r="J477">
        <v>0.45</v>
      </c>
      <c r="K477">
        <v>-10</v>
      </c>
      <c r="L477">
        <v>0</v>
      </c>
      <c r="M477">
        <v>-20</v>
      </c>
      <c r="N477">
        <v>0</v>
      </c>
      <c r="O477">
        <v>1.40606060606061</v>
      </c>
      <c r="P477"/>
      <c r="Q477">
        <v>0.14060606060606101</v>
      </c>
      <c r="R477" s="20">
        <v>0.24753232214293999</v>
      </c>
      <c r="S477" s="1" t="str">
        <f>VLOOKUP($E477,'Product Naming'!$A$1:$P$58,2,FALSE)</f>
        <v>Pentanol-PW2</v>
      </c>
      <c r="T477" s="1" t="str">
        <f>VLOOKUP($E477,'Product Naming'!$A$1:$P$58,3,FALSE)</f>
        <v>Pentanol (PW2)</v>
      </c>
      <c r="U477" s="1" t="str">
        <f>VLOOKUP($E477,'Product Naming'!$A$1:$P$58,4,FALSE)</f>
        <v>E</v>
      </c>
      <c r="V477" s="1" t="str">
        <f>VLOOKUP($E477,'Product Naming'!$A$1:$P$58,5,FALSE)</f>
        <v>C5H12O</v>
      </c>
      <c r="W477" s="1">
        <f>VLOOKUP($E477,'Product Naming'!$A$1:$P$58,6,FALSE)</f>
        <v>5</v>
      </c>
      <c r="X477" s="1">
        <f>VLOOKUP($E477,'Product Naming'!$A$1:$P$58,7,FALSE)</f>
        <v>12</v>
      </c>
      <c r="Y477" s="1">
        <f>VLOOKUP($E477,'Product Naming'!$A$1:$P$58,8,FALSE)</f>
        <v>1</v>
      </c>
      <c r="Z477" s="1">
        <f>VLOOKUP($E477,'Product Naming'!$A$1:$P$58,9,FALSE)</f>
        <v>0</v>
      </c>
      <c r="AA477" s="1">
        <f>VLOOKUP($E477,'Product Naming'!$A$1:$P$58,10,FALSE)</f>
        <v>0</v>
      </c>
      <c r="AB477" s="29">
        <f>VLOOKUP($E477,'Product Naming'!$A$1:$P$58,11,FALSE)</f>
        <v>6</v>
      </c>
      <c r="AC477" s="3">
        <f>VLOOKUP($E477,'Product Naming'!$A$1:$P$58,12,FALSE)</f>
        <v>88.14658</v>
      </c>
      <c r="AD477" s="1">
        <f>VLOOKUP($E477,'Product Naming'!$A$1:$P$58,13,FALSE)</f>
        <v>138</v>
      </c>
      <c r="AE477" s="1" t="str">
        <f>VLOOKUP($E477,'Product Naming'!$A$1:$P$58,14,FALSE)</f>
        <v>Alcohol</v>
      </c>
      <c r="AF477" s="1" t="str">
        <f>VLOOKUP($E477,'Product Naming'!$A$1:$P$58,15,FALSE)</f>
        <v>Oxaloacetate</v>
      </c>
      <c r="AG477" s="30" t="str">
        <f>VLOOKUP($E477,'Product Naming'!$A$1:$P$58,16,FALSE)</f>
        <v>Proton symporter</v>
      </c>
      <c r="AH477" s="3" t="str">
        <f>VLOOKUP($E477,'Product Naming'!$A$1:$Q$58,17,FALSE)</f>
        <v>pentoh_c</v>
      </c>
      <c r="AI477" s="1">
        <f>VLOOKUP($E477,'Product Parameters'!$A$2:$D$59,2,FALSE)</f>
        <v>1</v>
      </c>
      <c r="AJ477" s="1">
        <f>VLOOKUP($E477,'Product Parameters'!$A$2:$D$59,3,FALSE)</f>
        <v>0</v>
      </c>
      <c r="AK477" s="1">
        <f>VLOOKUP($E477,'Product Parameters'!$A$2:$D$59,4,FALSE)</f>
        <v>0.12</v>
      </c>
      <c r="AL477" s="1">
        <f>VLOOKUP($E477,'Product Parameters'!$A$2:$E$59,5,FALSE)</f>
        <v>57</v>
      </c>
      <c r="AM477" s="1">
        <f>VLOOKUP($E477,'Product Parameters'!$A$2:$F$59,6,FALSE)</f>
        <v>5</v>
      </c>
      <c r="AN477" s="1">
        <f>VLOOKUP($C477,'Substrate Heating'!$A$2:$C$33,3,FALSE)</f>
        <v>245.86666666666667</v>
      </c>
      <c r="AO477" s="1">
        <f>VLOOKUP($C477,'Substrate Heating'!$A$2:$B$33,2,FALSE)</f>
        <v>15.038360459876978</v>
      </c>
      <c r="AP477" s="1">
        <f>VLOOKUP($C477,'Substrate Heating'!$A$2:$M$33,13,FALSE)</f>
        <v>0.33333333333333331</v>
      </c>
      <c r="AQ477" s="1">
        <f>VLOOKUP($C477,'Substrate Heating'!$A$2:$M$33,8,FALSE)</f>
        <v>0.33333333333333331</v>
      </c>
      <c r="AR477" s="1">
        <f t="shared" si="7"/>
        <v>2.1090909090909156</v>
      </c>
    </row>
    <row r="478" spans="1:44" x14ac:dyDescent="0.2">
      <c r="A478" s="8" t="s">
        <v>34</v>
      </c>
      <c r="B478" s="9" t="s">
        <v>35</v>
      </c>
      <c r="C478" s="1" t="s">
        <v>322</v>
      </c>
      <c r="D478" s="10" t="s">
        <v>37</v>
      </c>
      <c r="E478" s="1" t="s">
        <v>287</v>
      </c>
      <c r="F478" s="1" t="s">
        <v>288</v>
      </c>
      <c r="G478" s="1">
        <v>-10</v>
      </c>
      <c r="H478" s="1">
        <v>-20</v>
      </c>
      <c r="I478" s="1" t="s">
        <v>40</v>
      </c>
      <c r="J478" s="1">
        <v>3.15</v>
      </c>
      <c r="K478" s="1">
        <v>-10</v>
      </c>
      <c r="L478" s="1">
        <v>-3.7675213675213701</v>
      </c>
      <c r="M478" s="1" t="s">
        <v>40</v>
      </c>
      <c r="N478" s="1">
        <v>9.8547008547008694</v>
      </c>
      <c r="O478" s="1">
        <v>2.0290598290598298</v>
      </c>
      <c r="Q478" s="1">
        <v>0.202905982905983</v>
      </c>
      <c r="R478" s="1">
        <v>0.24794125416202401</v>
      </c>
      <c r="S478" s="1" t="str">
        <f>VLOOKUP($E478,'Product Naming'!$A$1:$P$58,2,FALSE)</f>
        <v>Pentane</v>
      </c>
      <c r="T478" s="1" t="str">
        <f>VLOOKUP($E478,'Product Naming'!$A$1:$P$58,3,FALSE)</f>
        <v>Pentane</v>
      </c>
      <c r="U478" s="1" t="str">
        <f>VLOOKUP($E478,'Product Naming'!$A$1:$P$58,4,FALSE)</f>
        <v>E</v>
      </c>
      <c r="V478" s="1" t="str">
        <f>VLOOKUP($E478,'Product Naming'!$A$1:$P$58,5,FALSE)</f>
        <v>C5H12</v>
      </c>
      <c r="W478" s="1">
        <f>VLOOKUP($E478,'Product Naming'!$A$1:$P$58,6,FALSE)</f>
        <v>5</v>
      </c>
      <c r="X478" s="1">
        <f>VLOOKUP($E478,'Product Naming'!$A$1:$P$58,7,FALSE)</f>
        <v>12</v>
      </c>
      <c r="Y478" s="1">
        <f>VLOOKUP($E478,'Product Naming'!$A$1:$P$58,8,FALSE)</f>
        <v>0</v>
      </c>
      <c r="Z478" s="1">
        <f>VLOOKUP($E478,'Product Naming'!$A$1:$P$58,9,FALSE)</f>
        <v>0</v>
      </c>
      <c r="AA478" s="1">
        <f>VLOOKUP($E478,'Product Naming'!$A$1:$P$58,10,FALSE)</f>
        <v>0</v>
      </c>
      <c r="AB478" s="29">
        <f>VLOOKUP($E478,'Product Naming'!$A$1:$P$58,11,FALSE)</f>
        <v>6.4</v>
      </c>
      <c r="AC478" s="3">
        <f>VLOOKUP($E478,'Product Naming'!$A$1:$P$58,12,FALSE)</f>
        <v>72.147580000000005</v>
      </c>
      <c r="AD478" s="1">
        <f>VLOOKUP($E478,'Product Naming'!$A$1:$P$58,13,FALSE)</f>
        <v>36.1</v>
      </c>
      <c r="AE478" s="1" t="str">
        <f>VLOOKUP($E478,'Product Naming'!$A$1:$P$58,14,FALSE)</f>
        <v>Hydrocarbon (alkane)</v>
      </c>
      <c r="AF478" s="1" t="str">
        <f>VLOOKUP($E478,'Product Naming'!$A$1:$P$58,15,FALSE)</f>
        <v>Acetyl-CoA</v>
      </c>
      <c r="AG478" s="30" t="str">
        <f>VLOOKUP($E478,'Product Naming'!$A$1:$P$58,16,FALSE)</f>
        <v>Diffusion</v>
      </c>
      <c r="AH478" s="3" t="str">
        <f>VLOOKUP($E478,'Product Naming'!$A$1:$Q$58,17,FALSE)</f>
        <v>pent_c</v>
      </c>
      <c r="AI478" s="1">
        <f>VLOOKUP($E478,'Product Parameters'!$A$2:$D$59,2,FALSE)</f>
        <v>0</v>
      </c>
      <c r="AJ478" s="1">
        <f>VLOOKUP($E478,'Product Parameters'!$A$2:$D$59,3,FALSE)</f>
        <v>1</v>
      </c>
      <c r="AK478" s="1">
        <f>VLOOKUP($E478,'Product Parameters'!$A$2:$D$59,4,FALSE)</f>
        <v>0.12</v>
      </c>
      <c r="AL478" s="1">
        <f>VLOOKUP($E478,'Product Parameters'!$A$2:$E$59,5,FALSE)</f>
        <v>26.5</v>
      </c>
      <c r="AM478" s="1">
        <f>VLOOKUP($E478,'Product Parameters'!$A$2:$F$59,6,FALSE)</f>
        <v>5</v>
      </c>
      <c r="AN478" s="1">
        <f>VLOOKUP($C478,'Substrate Heating'!$A$2:$C$33,3,FALSE)</f>
        <v>876.74109599999997</v>
      </c>
      <c r="AO478" s="1">
        <f>VLOOKUP($C478,'Substrate Heating'!$A$2:$B$33,2,FALSE)</f>
        <v>14.6</v>
      </c>
      <c r="AP478" s="1">
        <f>VLOOKUP($C478,'Substrate Heating'!$A$2:$M$33,13,FALSE)</f>
        <v>3.5</v>
      </c>
      <c r="AQ478" s="1">
        <f>VLOOKUP($C478,'Substrate Heating'!$A$2:$M$33,8,FALSE)</f>
        <v>2</v>
      </c>
      <c r="AR478" s="1">
        <f t="shared" si="7"/>
        <v>0.50726495726495746</v>
      </c>
    </row>
    <row r="479" spans="1:44" x14ac:dyDescent="0.2">
      <c r="A479" s="17" t="s">
        <v>231</v>
      </c>
      <c r="B479" s="9" t="s">
        <v>35</v>
      </c>
      <c r="C479" t="s">
        <v>322</v>
      </c>
      <c r="D479" s="10" t="s">
        <v>37</v>
      </c>
      <c r="E479" t="s">
        <v>283</v>
      </c>
      <c r="F479" t="s">
        <v>284</v>
      </c>
      <c r="G479">
        <v>-10</v>
      </c>
      <c r="H479">
        <v>-20</v>
      </c>
      <c r="I479" s="1" t="s">
        <v>40</v>
      </c>
      <c r="J479">
        <v>3.15</v>
      </c>
      <c r="K479">
        <v>-10</v>
      </c>
      <c r="L479">
        <v>-3.9594594594594601</v>
      </c>
      <c r="M479" s="1" t="s">
        <v>40</v>
      </c>
      <c r="N479">
        <v>9.7340540540540594</v>
      </c>
      <c r="O479">
        <v>1.2832432432432399</v>
      </c>
      <c r="P479"/>
      <c r="Q479">
        <v>0.128324324324324</v>
      </c>
      <c r="R479">
        <v>0.24826120835120899</v>
      </c>
      <c r="S479" s="1" t="str">
        <f>VLOOKUP($E479,'Product Naming'!$A$1:$P$58,2,FALSE)</f>
        <v>Octane</v>
      </c>
      <c r="T479" s="1" t="str">
        <f>VLOOKUP($E479,'Product Naming'!$A$1:$P$58,3,FALSE)</f>
        <v>Octane</v>
      </c>
      <c r="U479" s="1" t="str">
        <f>VLOOKUP($E479,'Product Naming'!$A$1:$P$58,4,FALSE)</f>
        <v>E</v>
      </c>
      <c r="V479" s="1" t="str">
        <f>VLOOKUP($E479,'Product Naming'!$A$1:$P$58,5,FALSE)</f>
        <v>C8H18</v>
      </c>
      <c r="W479" s="1">
        <f>VLOOKUP($E479,'Product Naming'!$A$1:$P$58,6,FALSE)</f>
        <v>8</v>
      </c>
      <c r="X479" s="1">
        <f>VLOOKUP($E479,'Product Naming'!$A$1:$P$58,7,FALSE)</f>
        <v>18</v>
      </c>
      <c r="Y479" s="1">
        <f>VLOOKUP($E479,'Product Naming'!$A$1:$P$58,8,FALSE)</f>
        <v>0</v>
      </c>
      <c r="Z479" s="1">
        <f>VLOOKUP($E479,'Product Naming'!$A$1:$P$58,9,FALSE)</f>
        <v>0</v>
      </c>
      <c r="AA479" s="1">
        <f>VLOOKUP($E479,'Product Naming'!$A$1:$P$58,10,FALSE)</f>
        <v>0</v>
      </c>
      <c r="AB479" s="29">
        <f>VLOOKUP($E479,'Product Naming'!$A$1:$P$58,11,FALSE)</f>
        <v>6.25</v>
      </c>
      <c r="AC479" s="3">
        <f>VLOOKUP($E479,'Product Naming'!$A$1:$P$58,12,FALSE)</f>
        <v>114.22672</v>
      </c>
      <c r="AD479" s="1">
        <f>VLOOKUP($E479,'Product Naming'!$A$1:$P$58,13,FALSE)</f>
        <v>126</v>
      </c>
      <c r="AE479" s="1" t="str">
        <f>VLOOKUP($E479,'Product Naming'!$A$1:$P$58,14,FALSE)</f>
        <v>Hydrocarbon (alkane)</v>
      </c>
      <c r="AF479" s="1" t="str">
        <f>VLOOKUP($E479,'Product Naming'!$A$1:$P$58,15,FALSE)</f>
        <v>Acetyl-CoA + Succinyl-CoA</v>
      </c>
      <c r="AG479" s="30" t="str">
        <f>VLOOKUP($E479,'Product Naming'!$A$1:$P$58,16,FALSE)</f>
        <v>Proton symporter</v>
      </c>
      <c r="AH479" s="3" t="str">
        <f>VLOOKUP($E479,'Product Naming'!$A$1:$Q$58,17,FALSE)</f>
        <v>octn_c</v>
      </c>
      <c r="AI479" s="1">
        <f>VLOOKUP($E479,'Product Parameters'!$A$2:$D$59,2,FALSE)</f>
        <v>1</v>
      </c>
      <c r="AJ479" s="1">
        <f>VLOOKUP($E479,'Product Parameters'!$A$2:$D$59,3,FALSE)</f>
        <v>0</v>
      </c>
      <c r="AK479" s="1">
        <f>VLOOKUP($E479,'Product Parameters'!$A$2:$D$59,4,FALSE)</f>
        <v>0.12</v>
      </c>
      <c r="AL479" s="1">
        <f>VLOOKUP($E479,'Product Parameters'!$A$2:$E$59,5,FALSE)</f>
        <v>41</v>
      </c>
      <c r="AM479" s="1">
        <f>VLOOKUP($E479,'Product Parameters'!$A$2:$F$59,6,FALSE)</f>
        <v>8</v>
      </c>
      <c r="AN479" s="1">
        <f>VLOOKUP($C479,'Substrate Heating'!$A$2:$C$33,3,FALSE)</f>
        <v>876.74109599999997</v>
      </c>
      <c r="AO479" s="1">
        <f>VLOOKUP($C479,'Substrate Heating'!$A$2:$B$33,2,FALSE)</f>
        <v>14.6</v>
      </c>
      <c r="AP479" s="1">
        <f>VLOOKUP($C479,'Substrate Heating'!$A$2:$M$33,13,FALSE)</f>
        <v>3.5</v>
      </c>
      <c r="AQ479" s="1">
        <f>VLOOKUP($C479,'Substrate Heating'!$A$2:$M$33,8,FALSE)</f>
        <v>2</v>
      </c>
      <c r="AR479" s="1">
        <f t="shared" si="7"/>
        <v>0.51329729729729601</v>
      </c>
    </row>
    <row r="480" spans="1:44" x14ac:dyDescent="0.2">
      <c r="A480" s="8" t="s">
        <v>34</v>
      </c>
      <c r="B480" s="9" t="s">
        <v>35</v>
      </c>
      <c r="C480" s="1" t="s">
        <v>344</v>
      </c>
      <c r="D480" s="10" t="s">
        <v>37</v>
      </c>
      <c r="E480" s="1" t="s">
        <v>313</v>
      </c>
      <c r="F480" s="1" t="s">
        <v>314</v>
      </c>
      <c r="G480" s="1">
        <v>-10</v>
      </c>
      <c r="H480" s="1">
        <v>-20</v>
      </c>
      <c r="I480" s="1" t="s">
        <v>40</v>
      </c>
      <c r="J480" s="1">
        <v>3.15</v>
      </c>
      <c r="K480" s="1">
        <v>-10</v>
      </c>
      <c r="L480" s="1">
        <v>-5.62011173184358</v>
      </c>
      <c r="M480" s="1" t="s">
        <v>40</v>
      </c>
      <c r="N480" s="1">
        <v>8.4960893854748605</v>
      </c>
      <c r="O480" s="1">
        <v>1.43798882681564</v>
      </c>
      <c r="Q480" s="1">
        <v>0.14379888268156399</v>
      </c>
      <c r="R480" s="1">
        <v>0.24939072885436001</v>
      </c>
      <c r="S480" s="1" t="str">
        <f>VLOOKUP($E480,'Product Naming'!$A$1:$P$58,2,FALSE)</f>
        <v>Styrene</v>
      </c>
      <c r="T480" s="1" t="str">
        <f>VLOOKUP($E480,'Product Naming'!$A$1:$P$58,3,FALSE)</f>
        <v>Styrene</v>
      </c>
      <c r="U480" s="1" t="str">
        <f>VLOOKUP($E480,'Product Naming'!$A$1:$P$58,4,FALSE)</f>
        <v>E-S</v>
      </c>
      <c r="V480" s="1" t="str">
        <f>VLOOKUP($E480,'Product Naming'!$A$1:$P$58,5,FALSE)</f>
        <v>C8H8</v>
      </c>
      <c r="W480" s="1">
        <f>VLOOKUP($E480,'Product Naming'!$A$1:$P$58,6,FALSE)</f>
        <v>8</v>
      </c>
      <c r="X480" s="1">
        <f>VLOOKUP($E480,'Product Naming'!$A$1:$P$58,7,FALSE)</f>
        <v>8</v>
      </c>
      <c r="Y480" s="1">
        <f>VLOOKUP($E480,'Product Naming'!$A$1:$P$58,8,FALSE)</f>
        <v>0</v>
      </c>
      <c r="Z480" s="1">
        <f>VLOOKUP($E480,'Product Naming'!$A$1:$P$58,9,FALSE)</f>
        <v>0</v>
      </c>
      <c r="AA480" s="1">
        <f>VLOOKUP($E480,'Product Naming'!$A$1:$P$58,10,FALSE)</f>
        <v>0</v>
      </c>
      <c r="AB480" s="29">
        <f>VLOOKUP($E480,'Product Naming'!$A$1:$P$58,11,FALSE)</f>
        <v>5</v>
      </c>
      <c r="AC480" s="3">
        <f>VLOOKUP($E480,'Product Naming'!$A$1:$P$58,12,FALSE)</f>
        <v>104.14832</v>
      </c>
      <c r="AD480" s="1">
        <f>VLOOKUP($E480,'Product Naming'!$A$1:$P$58,13,FALSE)</f>
        <v>145</v>
      </c>
      <c r="AE480" s="1" t="str">
        <f>VLOOKUP($E480,'Product Naming'!$A$1:$P$58,14,FALSE)</f>
        <v>Cycloalkane</v>
      </c>
      <c r="AF480" s="1" t="str">
        <f>VLOOKUP($E480,'Product Naming'!$A$1:$P$58,15,FALSE)</f>
        <v>E4P</v>
      </c>
      <c r="AG480" s="30" t="str">
        <f>VLOOKUP($E480,'Product Naming'!$A$1:$P$58,16,FALSE)</f>
        <v>Proton symporter</v>
      </c>
      <c r="AH480" s="3" t="str">
        <f>VLOOKUP($E480,'Product Naming'!$A$1:$Q$58,17,FALSE)</f>
        <v>styr_c</v>
      </c>
      <c r="AI480" s="1">
        <f>VLOOKUP($E480,'Product Parameters'!$A$2:$D$59,2,FALSE)</f>
        <v>1</v>
      </c>
      <c r="AJ480" s="1">
        <f>VLOOKUP($E480,'Product Parameters'!$A$2:$D$59,3,FALSE)</f>
        <v>0</v>
      </c>
      <c r="AK480" s="1">
        <f>VLOOKUP($E480,'Product Parameters'!$A$2:$D$59,4,FALSE)</f>
        <v>0.12</v>
      </c>
      <c r="AL480" s="1">
        <f>VLOOKUP($E480,'Product Parameters'!$A$2:$E$59,5,FALSE)</f>
        <v>43.9</v>
      </c>
      <c r="AM480" s="1">
        <f>VLOOKUP($E480,'Product Parameters'!$A$2:$F$59,6,FALSE)</f>
        <v>8</v>
      </c>
      <c r="AN480" s="1">
        <f>VLOOKUP($C480,'Substrate Heating'!$A$2:$C$33,3,FALSE)</f>
        <v>1020.8629199999999</v>
      </c>
      <c r="AO480" s="1">
        <f>VLOOKUP($C480,'Substrate Heating'!$A$2:$B$33,2,FALSE)</f>
        <v>17</v>
      </c>
      <c r="AP480" s="1">
        <f>VLOOKUP($C480,'Substrate Heating'!$A$2:$M$33,13,FALSE)</f>
        <v>4</v>
      </c>
      <c r="AQ480" s="1">
        <f>VLOOKUP($C480,'Substrate Heating'!$A$2:$M$33,8,FALSE)</f>
        <v>2</v>
      </c>
      <c r="AR480" s="1">
        <f t="shared" si="7"/>
        <v>0.57519553072625595</v>
      </c>
    </row>
    <row r="481" spans="1:44" x14ac:dyDescent="0.2">
      <c r="A481" s="8" t="s">
        <v>34</v>
      </c>
      <c r="B481" s="9" t="s">
        <v>35</v>
      </c>
      <c r="C481" s="1" t="s">
        <v>322</v>
      </c>
      <c r="D481" s="10" t="s">
        <v>37</v>
      </c>
      <c r="E481" s="1" t="s">
        <v>247</v>
      </c>
      <c r="F481" s="1" t="s">
        <v>248</v>
      </c>
      <c r="G481" s="1">
        <v>-10</v>
      </c>
      <c r="H481" s="1">
        <v>-20</v>
      </c>
      <c r="I481" s="1" t="s">
        <v>40</v>
      </c>
      <c r="J481" s="1">
        <v>3.15</v>
      </c>
      <c r="K481" s="1">
        <v>-10</v>
      </c>
      <c r="L481" s="1">
        <v>-4.8588235294117696</v>
      </c>
      <c r="M481" s="1" t="s">
        <v>40</v>
      </c>
      <c r="N481" s="1">
        <v>9.1848739495798295</v>
      </c>
      <c r="O481" s="1">
        <v>2.1630252100840299</v>
      </c>
      <c r="Q481" s="1">
        <v>0.216302521008403</v>
      </c>
      <c r="R481" s="1">
        <v>0.249542368628838</v>
      </c>
      <c r="S481" s="1" t="str">
        <f>VLOOKUP($E481,'Product Naming'!$A$1:$P$58,2,FALSE)</f>
        <v>Isoprene</v>
      </c>
      <c r="T481" s="1" t="str">
        <f>VLOOKUP($E481,'Product Naming'!$A$1:$P$58,3,FALSE)</f>
        <v>Isoprene</v>
      </c>
      <c r="U481" s="1" t="str">
        <f>VLOOKUP($E481,'Product Naming'!$A$1:$P$58,4,FALSE)</f>
        <v>E</v>
      </c>
      <c r="V481" s="1" t="str">
        <f>VLOOKUP($E481,'Product Naming'!$A$1:$P$58,5,FALSE)</f>
        <v>C5H8</v>
      </c>
      <c r="W481" s="1">
        <f>VLOOKUP($E481,'Product Naming'!$A$1:$P$58,6,FALSE)</f>
        <v>5</v>
      </c>
      <c r="X481" s="1">
        <f>VLOOKUP($E481,'Product Naming'!$A$1:$P$58,7,FALSE)</f>
        <v>8</v>
      </c>
      <c r="Y481" s="1">
        <f>VLOOKUP($E481,'Product Naming'!$A$1:$P$58,8,FALSE)</f>
        <v>0</v>
      </c>
      <c r="Z481" s="1">
        <f>VLOOKUP($E481,'Product Naming'!$A$1:$P$58,9,FALSE)</f>
        <v>0</v>
      </c>
      <c r="AA481" s="1">
        <f>VLOOKUP($E481,'Product Naming'!$A$1:$P$58,10,FALSE)</f>
        <v>0</v>
      </c>
      <c r="AB481" s="29">
        <f>VLOOKUP($E481,'Product Naming'!$A$1:$P$58,11,FALSE)</f>
        <v>5.6</v>
      </c>
      <c r="AC481" s="3">
        <f>VLOOKUP($E481,'Product Naming'!$A$1:$P$58,12,FALSE)</f>
        <v>68.116219999999998</v>
      </c>
      <c r="AD481" s="1">
        <f>VLOOKUP($E481,'Product Naming'!$A$1:$P$58,13,FALSE)</f>
        <v>34.07</v>
      </c>
      <c r="AE481" s="1" t="str">
        <f>VLOOKUP($E481,'Product Naming'!$A$1:$P$58,14,FALSE)</f>
        <v>Hydrocarbon</v>
      </c>
      <c r="AF481" s="1" t="str">
        <f>VLOOKUP($E481,'Product Naming'!$A$1:$P$58,15,FALSE)</f>
        <v>Acetyl-CoA</v>
      </c>
      <c r="AG481" s="30" t="str">
        <f>VLOOKUP($E481,'Product Naming'!$A$1:$P$58,16,FALSE)</f>
        <v>Diffusion</v>
      </c>
      <c r="AH481" s="3" t="str">
        <f>VLOOKUP($E481,'Product Naming'!$A$1:$Q$58,17,FALSE)</f>
        <v>iprene_c</v>
      </c>
      <c r="AI481" s="1">
        <f>VLOOKUP($E481,'Product Parameters'!$A$2:$D$59,2,FALSE)</f>
        <v>0</v>
      </c>
      <c r="AJ481" s="1">
        <f>VLOOKUP($E481,'Product Parameters'!$A$2:$D$59,3,FALSE)</f>
        <v>1</v>
      </c>
      <c r="AK481" s="1">
        <f>VLOOKUP($E481,'Product Parameters'!$A$2:$D$59,4,FALSE)</f>
        <v>0.12</v>
      </c>
      <c r="AL481" s="1">
        <f>VLOOKUP($E481,'Product Parameters'!$A$2:$E$59,5,FALSE)</f>
        <v>26.4</v>
      </c>
      <c r="AM481" s="1">
        <f>VLOOKUP($E481,'Product Parameters'!$A$2:$F$59,6,FALSE)</f>
        <v>5</v>
      </c>
      <c r="AN481" s="1">
        <f>VLOOKUP($C481,'Substrate Heating'!$A$2:$C$33,3,FALSE)</f>
        <v>876.74109599999997</v>
      </c>
      <c r="AO481" s="1">
        <f>VLOOKUP($C481,'Substrate Heating'!$A$2:$B$33,2,FALSE)</f>
        <v>14.6</v>
      </c>
      <c r="AP481" s="1">
        <f>VLOOKUP($C481,'Substrate Heating'!$A$2:$M$33,13,FALSE)</f>
        <v>3.5</v>
      </c>
      <c r="AQ481" s="1">
        <f>VLOOKUP($C481,'Substrate Heating'!$A$2:$M$33,8,FALSE)</f>
        <v>2</v>
      </c>
      <c r="AR481" s="1">
        <f t="shared" si="7"/>
        <v>0.54075630252100748</v>
      </c>
    </row>
    <row r="482" spans="1:44" x14ac:dyDescent="0.2">
      <c r="A482" s="8" t="s">
        <v>34</v>
      </c>
      <c r="B482" s="9" t="s">
        <v>35</v>
      </c>
      <c r="C482" s="1" t="s">
        <v>322</v>
      </c>
      <c r="D482" s="10" t="s">
        <v>37</v>
      </c>
      <c r="E482" s="1" t="s">
        <v>204</v>
      </c>
      <c r="F482" s="1" t="s">
        <v>205</v>
      </c>
      <c r="G482" s="1">
        <v>-10</v>
      </c>
      <c r="H482" s="1">
        <v>-20</v>
      </c>
      <c r="I482" s="1" t="s">
        <v>40</v>
      </c>
      <c r="J482" s="1">
        <v>3.15</v>
      </c>
      <c r="K482" s="1">
        <v>-10</v>
      </c>
      <c r="L482" s="1">
        <v>-4.8162921348314898</v>
      </c>
      <c r="M482" s="1" t="s">
        <v>40</v>
      </c>
      <c r="N482" s="1">
        <v>9.1544943820225004</v>
      </c>
      <c r="O482" s="1">
        <v>0.72303370786517096</v>
      </c>
      <c r="Q482" s="1">
        <v>7.2303370786517093E-2</v>
      </c>
      <c r="R482" s="1">
        <v>0.25024333033847102</v>
      </c>
      <c r="S482" s="1" t="str">
        <f>VLOOKUP($E482,'Product Naming'!$A$1:$P$58,2,FALSE)</f>
        <v>Farnesene</v>
      </c>
      <c r="T482" s="1" t="str">
        <f>VLOOKUP($E482,'Product Naming'!$A$1:$P$58,3,FALSE)</f>
        <v>Farnesene</v>
      </c>
      <c r="U482" s="1" t="str">
        <f>VLOOKUP($E482,'Product Naming'!$A$1:$P$58,4,FALSE)</f>
        <v>A</v>
      </c>
      <c r="V482" s="1" t="str">
        <f>VLOOKUP($E482,'Product Naming'!$A$1:$P$58,5,FALSE)</f>
        <v>C15H24</v>
      </c>
      <c r="W482" s="1">
        <f>VLOOKUP($E482,'Product Naming'!$A$1:$P$58,6,FALSE)</f>
        <v>15</v>
      </c>
      <c r="X482" s="1">
        <f>VLOOKUP($E482,'Product Naming'!$A$1:$P$58,7,FALSE)</f>
        <v>24</v>
      </c>
      <c r="Y482" s="1">
        <f>VLOOKUP($E482,'Product Naming'!$A$1:$P$58,8,FALSE)</f>
        <v>0</v>
      </c>
      <c r="Z482" s="1">
        <f>VLOOKUP($E482,'Product Naming'!$A$1:$P$58,9,FALSE)</f>
        <v>0</v>
      </c>
      <c r="AA482" s="1">
        <f>VLOOKUP($E482,'Product Naming'!$A$1:$P$58,10,FALSE)</f>
        <v>0</v>
      </c>
      <c r="AB482" s="29">
        <f>VLOOKUP($E482,'Product Naming'!$A$1:$P$58,11,FALSE)</f>
        <v>5.6</v>
      </c>
      <c r="AC482" s="3">
        <f>VLOOKUP($E482,'Product Naming'!$A$1:$P$58,12,FALSE)</f>
        <v>204.34866000000002</v>
      </c>
      <c r="AD482" s="1" t="str">
        <f>VLOOKUP($E482,'Product Naming'!$A$1:$P$58,13,FALSE)</f>
        <v>260 (A)/272 (B)</v>
      </c>
      <c r="AE482" s="1" t="str">
        <f>VLOOKUP($E482,'Product Naming'!$A$1:$P$58,14,FALSE)</f>
        <v>Hydrocarbon</v>
      </c>
      <c r="AF482" s="1" t="str">
        <f>VLOOKUP($E482,'Product Naming'!$A$1:$P$58,15,FALSE)</f>
        <v>Acetyl-CoA</v>
      </c>
      <c r="AG482" s="30" t="str">
        <f>VLOOKUP($E482,'Product Naming'!$A$1:$P$58,16,FALSE)</f>
        <v>Proton symporter</v>
      </c>
      <c r="AH482" s="3" t="str">
        <f>VLOOKUP($E482,'Product Naming'!$A$1:$Q$58,17,FALSE)</f>
        <v>frene_c</v>
      </c>
      <c r="AI482" s="1">
        <f>VLOOKUP($E482,'Product Parameters'!$A$2:$D$59,2,FALSE)</f>
        <v>1</v>
      </c>
      <c r="AJ482" s="1">
        <f>VLOOKUP($E482,'Product Parameters'!$A$2:$D$59,3,FALSE)</f>
        <v>0</v>
      </c>
      <c r="AK482" s="1">
        <f>VLOOKUP($E482,'Product Parameters'!$A$2:$D$59,4,FALSE)</f>
        <v>0.12</v>
      </c>
      <c r="AL482" s="1">
        <f>VLOOKUP($E482,'Product Parameters'!$A$2:$E$59,5,FALSE)</f>
        <v>0</v>
      </c>
      <c r="AM482" s="1">
        <f>VLOOKUP($E482,'Product Parameters'!$A$2:$F$59,6,FALSE)</f>
        <v>15</v>
      </c>
      <c r="AN482" s="1">
        <f>VLOOKUP($C482,'Substrate Heating'!$A$2:$C$33,3,FALSE)</f>
        <v>876.74109599999997</v>
      </c>
      <c r="AO482" s="1">
        <f>VLOOKUP($C482,'Substrate Heating'!$A$2:$B$33,2,FALSE)</f>
        <v>14.6</v>
      </c>
      <c r="AP482" s="1">
        <f>VLOOKUP($C482,'Substrate Heating'!$A$2:$M$33,13,FALSE)</f>
        <v>3.5</v>
      </c>
      <c r="AQ482" s="1">
        <f>VLOOKUP($C482,'Substrate Heating'!$A$2:$M$33,8,FALSE)</f>
        <v>2</v>
      </c>
      <c r="AR482" s="1">
        <f t="shared" si="7"/>
        <v>0.54227528089887822</v>
      </c>
    </row>
    <row r="483" spans="1:44" x14ac:dyDescent="0.2">
      <c r="A483" s="17" t="s">
        <v>185</v>
      </c>
      <c r="B483" s="9" t="s">
        <v>35</v>
      </c>
      <c r="C483" t="s">
        <v>322</v>
      </c>
      <c r="D483" s="10" t="s">
        <v>37</v>
      </c>
      <c r="E483" t="s">
        <v>259</v>
      </c>
      <c r="F483" t="s">
        <v>260</v>
      </c>
      <c r="G483">
        <v>-10</v>
      </c>
      <c r="H483">
        <v>-20</v>
      </c>
      <c r="I483" s="1" t="s">
        <v>40</v>
      </c>
      <c r="J483">
        <v>3.15</v>
      </c>
      <c r="K483">
        <v>-10</v>
      </c>
      <c r="L483">
        <v>-4.7949367088607602</v>
      </c>
      <c r="M483" s="1" t="s">
        <v>40</v>
      </c>
      <c r="N483">
        <v>9.1392405063291093</v>
      </c>
      <c r="O483">
        <v>1.08607594936709</v>
      </c>
      <c r="P483"/>
      <c r="Q483">
        <v>0.108607594936709</v>
      </c>
      <c r="R483">
        <v>0.25059529001545799</v>
      </c>
      <c r="S483" s="1" t="str">
        <f>VLOOKUP($E483,'Product Naming'!$A$1:$P$58,2,FALSE)</f>
        <v>Limonene</v>
      </c>
      <c r="T483" s="1" t="str">
        <f>VLOOKUP($E483,'Product Naming'!$A$1:$P$58,3,FALSE)</f>
        <v>Limonene</v>
      </c>
      <c r="U483" s="1" t="str">
        <f>VLOOKUP($E483,'Product Naming'!$A$1:$P$58,4,FALSE)</f>
        <v>E</v>
      </c>
      <c r="V483" s="1" t="str">
        <f>VLOOKUP($E483,'Product Naming'!$A$1:$P$58,5,FALSE)</f>
        <v>C10H16</v>
      </c>
      <c r="W483" s="1">
        <f>VLOOKUP($E483,'Product Naming'!$A$1:$P$58,6,FALSE)</f>
        <v>10</v>
      </c>
      <c r="X483" s="1">
        <f>VLOOKUP($E483,'Product Naming'!$A$1:$P$58,7,FALSE)</f>
        <v>16</v>
      </c>
      <c r="Y483" s="1">
        <f>VLOOKUP($E483,'Product Naming'!$A$1:$P$58,8,FALSE)</f>
        <v>0</v>
      </c>
      <c r="Z483" s="1">
        <f>VLOOKUP($E483,'Product Naming'!$A$1:$P$58,9,FALSE)</f>
        <v>0</v>
      </c>
      <c r="AA483" s="1">
        <f>VLOOKUP($E483,'Product Naming'!$A$1:$P$58,10,FALSE)</f>
        <v>0</v>
      </c>
      <c r="AB483" s="29">
        <f>VLOOKUP($E483,'Product Naming'!$A$1:$P$58,11,FALSE)</f>
        <v>5.6</v>
      </c>
      <c r="AC483" s="3">
        <f>VLOOKUP($E483,'Product Naming'!$A$1:$P$58,12,FALSE)</f>
        <v>136.23244</v>
      </c>
      <c r="AD483" s="1">
        <f>VLOOKUP($E483,'Product Naming'!$A$1:$P$58,13,FALSE)</f>
        <v>176</v>
      </c>
      <c r="AE483" s="1" t="str">
        <f>VLOOKUP($E483,'Product Naming'!$A$1:$P$58,14,FALSE)</f>
        <v>Isoprenoid; Aromatic (Cycloalkane)</v>
      </c>
      <c r="AF483" s="1" t="str">
        <f>VLOOKUP($E483,'Product Naming'!$A$1:$P$58,15,FALSE)</f>
        <v>Acetyl-CoA</v>
      </c>
      <c r="AG483" s="30" t="str">
        <f>VLOOKUP($E483,'Product Naming'!$A$1:$P$58,16,FALSE)</f>
        <v>Proton symporter</v>
      </c>
      <c r="AH483" s="3" t="str">
        <f>VLOOKUP($E483,'Product Naming'!$A$1:$Q$58,17,FALSE)</f>
        <v>limnen_c</v>
      </c>
      <c r="AI483" s="1">
        <f>VLOOKUP($E483,'Product Parameters'!$A$2:$D$59,2,FALSE)</f>
        <v>1</v>
      </c>
      <c r="AJ483" s="1">
        <f>VLOOKUP($E483,'Product Parameters'!$A$2:$D$59,3,FALSE)</f>
        <v>0</v>
      </c>
      <c r="AK483" s="1">
        <f>VLOOKUP($E483,'Product Parameters'!$A$2:$D$59,4,FALSE)</f>
        <v>0.12</v>
      </c>
      <c r="AL483" s="1">
        <f>VLOOKUP($E483,'Product Parameters'!$A$2:$E$59,5,FALSE)</f>
        <v>49.5</v>
      </c>
      <c r="AM483" s="1">
        <f>VLOOKUP($E483,'Product Parameters'!$A$2:$F$59,6,FALSE)</f>
        <v>10</v>
      </c>
      <c r="AN483" s="1">
        <f>VLOOKUP($C483,'Substrate Heating'!$A$2:$C$33,3,FALSE)</f>
        <v>876.74109599999997</v>
      </c>
      <c r="AO483" s="1">
        <f>VLOOKUP($C483,'Substrate Heating'!$A$2:$B$33,2,FALSE)</f>
        <v>14.6</v>
      </c>
      <c r="AP483" s="1">
        <f>VLOOKUP($C483,'Substrate Heating'!$A$2:$M$33,13,FALSE)</f>
        <v>3.5</v>
      </c>
      <c r="AQ483" s="1">
        <f>VLOOKUP($C483,'Substrate Heating'!$A$2:$M$33,8,FALSE)</f>
        <v>2</v>
      </c>
      <c r="AR483" s="1">
        <f t="shared" si="7"/>
        <v>0.54303797468354498</v>
      </c>
    </row>
    <row r="484" spans="1:44" x14ac:dyDescent="0.2">
      <c r="A484" s="8" t="s">
        <v>34</v>
      </c>
      <c r="B484" s="9" t="s">
        <v>35</v>
      </c>
      <c r="C484" s="1" t="s">
        <v>322</v>
      </c>
      <c r="D484" s="10" t="s">
        <v>37</v>
      </c>
      <c r="E484" s="1" t="s">
        <v>145</v>
      </c>
      <c r="F484" s="1" t="s">
        <v>146</v>
      </c>
      <c r="G484" s="1">
        <v>-10</v>
      </c>
      <c r="H484" s="1">
        <v>-20</v>
      </c>
      <c r="I484" s="1" t="s">
        <v>40</v>
      </c>
      <c r="J484" s="1">
        <v>3.15</v>
      </c>
      <c r="K484" s="1">
        <v>-10</v>
      </c>
      <c r="L484" s="1">
        <v>-8.2791071428571392</v>
      </c>
      <c r="M484" s="1" t="s">
        <v>40</v>
      </c>
      <c r="N484" s="1">
        <v>10.3475</v>
      </c>
      <c r="O484" s="1">
        <v>1.3789285714285699</v>
      </c>
      <c r="Q484" s="1">
        <v>0.13789285714285701</v>
      </c>
      <c r="R484" s="1">
        <v>0.25254962819541099</v>
      </c>
      <c r="S484" s="1" t="str">
        <f>VLOOKUP($E484,'Product Naming'!$A$1:$P$58,2,FALSE)</f>
        <v>Benzyl alcohol</v>
      </c>
      <c r="T484" s="1" t="str">
        <f>VLOOKUP($E484,'Product Naming'!$A$1:$P$58,3,FALSE)</f>
        <v>Benzyl alcohol</v>
      </c>
      <c r="U484" s="1" t="str">
        <f>VLOOKUP($E484,'Product Naming'!$A$1:$P$58,4,FALSE)</f>
        <v>E</v>
      </c>
      <c r="V484" s="1" t="str">
        <f>VLOOKUP($E484,'Product Naming'!$A$1:$P$58,5,FALSE)</f>
        <v>C7H8O</v>
      </c>
      <c r="W484" s="1">
        <f>VLOOKUP($E484,'Product Naming'!$A$1:$P$58,6,FALSE)</f>
        <v>7</v>
      </c>
      <c r="X484" s="1">
        <f>VLOOKUP($E484,'Product Naming'!$A$1:$P$58,7,FALSE)</f>
        <v>8</v>
      </c>
      <c r="Y484" s="1">
        <f>VLOOKUP($E484,'Product Naming'!$A$1:$P$58,8,FALSE)</f>
        <v>1</v>
      </c>
      <c r="Z484" s="1">
        <f>VLOOKUP($E484,'Product Naming'!$A$1:$P$58,9,FALSE)</f>
        <v>0</v>
      </c>
      <c r="AA484" s="1">
        <f>VLOOKUP($E484,'Product Naming'!$A$1:$P$58,10,FALSE)</f>
        <v>0</v>
      </c>
      <c r="AB484" s="29">
        <f>VLOOKUP($E484,'Product Naming'!$A$1:$P$58,11,FALSE)</f>
        <v>4.8571428571428568</v>
      </c>
      <c r="AC484" s="3">
        <f>VLOOKUP($E484,'Product Naming'!$A$1:$P$58,12,FALSE)</f>
        <v>108.13661999999999</v>
      </c>
      <c r="AD484" s="1">
        <f>VLOOKUP($E484,'Product Naming'!$A$1:$P$58,13,FALSE)</f>
        <v>205</v>
      </c>
      <c r="AE484" s="1" t="str">
        <f>VLOOKUP($E484,'Product Naming'!$A$1:$P$58,14,FALSE)</f>
        <v>Aromatic + Alcohol</v>
      </c>
      <c r="AF484" s="1" t="str">
        <f>VLOOKUP($E484,'Product Naming'!$A$1:$P$58,15,FALSE)</f>
        <v>E4P</v>
      </c>
      <c r="AG484" s="30" t="str">
        <f>VLOOKUP($E484,'Product Naming'!$A$1:$P$58,16,FALSE)</f>
        <v>Proton symporter</v>
      </c>
      <c r="AH484" s="3" t="str">
        <f>VLOOKUP($E484,'Product Naming'!$A$1:$Q$58,17,FALSE)</f>
        <v>bzalc_c</v>
      </c>
      <c r="AI484" s="1">
        <f>VLOOKUP($E484,'Product Parameters'!$A$2:$D$59,2,FALSE)</f>
        <v>1</v>
      </c>
      <c r="AJ484" s="1">
        <f>VLOOKUP($E484,'Product Parameters'!$A$2:$D$59,3,FALSE)</f>
        <v>0</v>
      </c>
      <c r="AK484" s="1">
        <f>VLOOKUP($E484,'Product Parameters'!$A$2:$D$59,4,FALSE)</f>
        <v>0.12</v>
      </c>
      <c r="AL484" s="1">
        <f>VLOOKUP($E484,'Product Parameters'!$A$2:$E$59,5,FALSE)</f>
        <v>63</v>
      </c>
      <c r="AM484" s="1">
        <f>VLOOKUP($E484,'Product Parameters'!$A$2:$F$59,6,FALSE)</f>
        <v>7</v>
      </c>
      <c r="AN484" s="1">
        <f>VLOOKUP($C484,'Substrate Heating'!$A$2:$C$33,3,FALSE)</f>
        <v>876.74109599999997</v>
      </c>
      <c r="AO484" s="1">
        <f>VLOOKUP($C484,'Substrate Heating'!$A$2:$B$33,2,FALSE)</f>
        <v>14.6</v>
      </c>
      <c r="AP484" s="1">
        <f>VLOOKUP($C484,'Substrate Heating'!$A$2:$M$33,13,FALSE)</f>
        <v>3.5</v>
      </c>
      <c r="AQ484" s="1">
        <f>VLOOKUP($C484,'Substrate Heating'!$A$2:$M$33,8,FALSE)</f>
        <v>2</v>
      </c>
      <c r="AR484" s="1">
        <f t="shared" si="7"/>
        <v>0.48262499999999953</v>
      </c>
    </row>
    <row r="485" spans="1:44" x14ac:dyDescent="0.2">
      <c r="A485" s="17" t="s">
        <v>231</v>
      </c>
      <c r="B485" s="9" t="s">
        <v>35</v>
      </c>
      <c r="C485" t="s">
        <v>322</v>
      </c>
      <c r="D485" s="10" t="s">
        <v>37</v>
      </c>
      <c r="E485" t="s">
        <v>232</v>
      </c>
      <c r="F485" t="s">
        <v>233</v>
      </c>
      <c r="G485">
        <v>-10</v>
      </c>
      <c r="H485">
        <v>-20</v>
      </c>
      <c r="I485" s="1" t="s">
        <v>40</v>
      </c>
      <c r="J485">
        <v>3.15</v>
      </c>
      <c r="K485">
        <v>-10</v>
      </c>
      <c r="L485">
        <v>-3.5761006289308201</v>
      </c>
      <c r="M485" s="1" t="s">
        <v>40</v>
      </c>
      <c r="N485">
        <v>9.5484276729559703</v>
      </c>
      <c r="O485">
        <v>1.4930817610062901</v>
      </c>
      <c r="P485"/>
      <c r="Q485">
        <v>0.14930817610062899</v>
      </c>
      <c r="R485">
        <v>0.25338736651342603</v>
      </c>
      <c r="S485" s="1" t="str">
        <f>VLOOKUP($E485,'Product Naming'!$A$1:$P$58,2,FALSE)</f>
        <v>Heptane</v>
      </c>
      <c r="T485" s="1" t="str">
        <f>VLOOKUP($E485,'Product Naming'!$A$1:$P$58,3,FALSE)</f>
        <v>Heptane</v>
      </c>
      <c r="U485" s="1" t="str">
        <f>VLOOKUP($E485,'Product Naming'!$A$1:$P$58,4,FALSE)</f>
        <v>E</v>
      </c>
      <c r="V485" s="1" t="str">
        <f>VLOOKUP($E485,'Product Naming'!$A$1:$P$58,5,FALSE)</f>
        <v>C7H16</v>
      </c>
      <c r="W485" s="1">
        <f>VLOOKUP($E485,'Product Naming'!$A$1:$P$58,6,FALSE)</f>
        <v>7</v>
      </c>
      <c r="X485" s="1">
        <f>VLOOKUP($E485,'Product Naming'!$A$1:$P$58,7,FALSE)</f>
        <v>16</v>
      </c>
      <c r="Y485" s="1">
        <f>VLOOKUP($E485,'Product Naming'!$A$1:$P$58,8,FALSE)</f>
        <v>0</v>
      </c>
      <c r="Z485" s="1">
        <f>VLOOKUP($E485,'Product Naming'!$A$1:$P$58,9,FALSE)</f>
        <v>0</v>
      </c>
      <c r="AA485" s="1">
        <f>VLOOKUP($E485,'Product Naming'!$A$1:$P$58,10,FALSE)</f>
        <v>0</v>
      </c>
      <c r="AB485" s="29">
        <f>VLOOKUP($E485,'Product Naming'!$A$1:$P$58,11,FALSE)</f>
        <v>6.2857142857142856</v>
      </c>
      <c r="AC485" s="3">
        <f>VLOOKUP($E485,'Product Naming'!$A$1:$P$58,12,FALSE)</f>
        <v>100.20034</v>
      </c>
      <c r="AD485" s="1">
        <f>VLOOKUP($E485,'Product Naming'!$A$1:$P$58,13,FALSE)</f>
        <v>98</v>
      </c>
      <c r="AE485" s="1" t="str">
        <f>VLOOKUP($E485,'Product Naming'!$A$1:$P$58,14,FALSE)</f>
        <v>Hydrocarbon (alkane)</v>
      </c>
      <c r="AF485" s="1" t="str">
        <f>VLOOKUP($E485,'Product Naming'!$A$1:$P$58,15,FALSE)</f>
        <v>Acetyl-CoA</v>
      </c>
      <c r="AG485" s="30" t="str">
        <f>VLOOKUP($E485,'Product Naming'!$A$1:$P$58,16,FALSE)</f>
        <v>Proton symporter</v>
      </c>
      <c r="AH485" s="3" t="str">
        <f>VLOOKUP($E485,'Product Naming'!$A$1:$Q$58,17,FALSE)</f>
        <v>hept_c</v>
      </c>
      <c r="AI485" s="1">
        <f>VLOOKUP($E485,'Product Parameters'!$A$2:$D$59,2,FALSE)</f>
        <v>1</v>
      </c>
      <c r="AJ485" s="1">
        <f>VLOOKUP($E485,'Product Parameters'!$A$2:$D$59,3,FALSE)</f>
        <v>0</v>
      </c>
      <c r="AK485" s="1">
        <f>VLOOKUP($E485,'Product Parameters'!$A$2:$D$59,4,FALSE)</f>
        <v>0.12</v>
      </c>
      <c r="AL485" s="1">
        <f>VLOOKUP($E485,'Product Parameters'!$A$2:$E$59,5,FALSE)</f>
        <v>36</v>
      </c>
      <c r="AM485" s="1">
        <f>VLOOKUP($E485,'Product Parameters'!$A$2:$F$59,6,FALSE)</f>
        <v>7</v>
      </c>
      <c r="AN485" s="1">
        <f>VLOOKUP($C485,'Substrate Heating'!$A$2:$C$33,3,FALSE)</f>
        <v>876.74109599999997</v>
      </c>
      <c r="AO485" s="1">
        <f>VLOOKUP($C485,'Substrate Heating'!$A$2:$B$33,2,FALSE)</f>
        <v>14.6</v>
      </c>
      <c r="AP485" s="1">
        <f>VLOOKUP($C485,'Substrate Heating'!$A$2:$M$33,13,FALSE)</f>
        <v>3.5</v>
      </c>
      <c r="AQ485" s="1">
        <f>VLOOKUP($C485,'Substrate Heating'!$A$2:$M$33,8,FALSE)</f>
        <v>2</v>
      </c>
      <c r="AR485" s="1">
        <f t="shared" si="7"/>
        <v>0.52257861635220149</v>
      </c>
    </row>
    <row r="486" spans="1:44" x14ac:dyDescent="0.2">
      <c r="A486" s="8" t="s">
        <v>34</v>
      </c>
      <c r="B486" s="9" t="s">
        <v>35</v>
      </c>
      <c r="C486" s="1" t="s">
        <v>348</v>
      </c>
      <c r="D486" s="23" t="s">
        <v>338</v>
      </c>
      <c r="E486" s="1" t="s">
        <v>301</v>
      </c>
      <c r="F486" s="1" t="s">
        <v>302</v>
      </c>
      <c r="G486" s="1">
        <v>-10</v>
      </c>
      <c r="H486" s="1">
        <v>-20</v>
      </c>
      <c r="I486" s="1" t="s">
        <v>40</v>
      </c>
      <c r="J486" s="1">
        <v>3.15</v>
      </c>
      <c r="K486" s="1">
        <v>-10</v>
      </c>
      <c r="L486" s="1">
        <v>-5.7604166666666696</v>
      </c>
      <c r="M486" s="1" t="s">
        <v>40</v>
      </c>
      <c r="N486" s="1">
        <v>4.4562499999999998</v>
      </c>
      <c r="O486" s="1">
        <v>1.84791666666667</v>
      </c>
      <c r="Q486" s="1">
        <v>0.18479166666666699</v>
      </c>
      <c r="R486" s="1">
        <v>0.25430979122309499</v>
      </c>
      <c r="S486" s="1" t="str">
        <f>VLOOKUP($E486,'Product Naming'!$A$1:$P$58,2,FALSE)</f>
        <v>Propane-PW1</v>
      </c>
      <c r="T486" s="1" t="str">
        <f>VLOOKUP($E486,'Product Naming'!$A$1:$P$58,3,FALSE)</f>
        <v>Propane (PW1)</v>
      </c>
      <c r="U486" s="1" t="str">
        <f>VLOOKUP($E486,'Product Naming'!$A$1:$P$58,4,FALSE)</f>
        <v>E</v>
      </c>
      <c r="V486" s="1" t="str">
        <f>VLOOKUP($E486,'Product Naming'!$A$1:$P$58,5,FALSE)</f>
        <v>C3H8</v>
      </c>
      <c r="W486" s="1">
        <f>VLOOKUP($E486,'Product Naming'!$A$1:$P$58,6,FALSE)</f>
        <v>3</v>
      </c>
      <c r="X486" s="1">
        <f>VLOOKUP($E486,'Product Naming'!$A$1:$P$58,7,FALSE)</f>
        <v>8</v>
      </c>
      <c r="Y486" s="1">
        <f>VLOOKUP($E486,'Product Naming'!$A$1:$P$58,8,FALSE)</f>
        <v>0</v>
      </c>
      <c r="Z486" s="1">
        <f>VLOOKUP($E486,'Product Naming'!$A$1:$P$58,9,FALSE)</f>
        <v>0</v>
      </c>
      <c r="AA486" s="1">
        <f>VLOOKUP($E486,'Product Naming'!$A$1:$P$58,10,FALSE)</f>
        <v>0</v>
      </c>
      <c r="AB486" s="29">
        <f>VLOOKUP($E486,'Product Naming'!$A$1:$P$58,11,FALSE)</f>
        <v>6.666666666666667</v>
      </c>
      <c r="AC486" s="3">
        <f>VLOOKUP($E486,'Product Naming'!$A$1:$P$58,12,FALSE)</f>
        <v>44.094819999999999</v>
      </c>
      <c r="AD486" s="1">
        <f>VLOOKUP($E486,'Product Naming'!$A$1:$P$58,13,FALSE)</f>
        <v>-42</v>
      </c>
      <c r="AE486" s="1" t="str">
        <f>VLOOKUP($E486,'Product Naming'!$A$1:$P$58,14,FALSE)</f>
        <v>Hydrocarbon</v>
      </c>
      <c r="AF486" s="1" t="str">
        <f>VLOOKUP($E486,'Product Naming'!$A$1:$P$58,15,FALSE)</f>
        <v>Acetyl-CoA</v>
      </c>
      <c r="AG486" s="30" t="str">
        <f>VLOOKUP($E486,'Product Naming'!$A$1:$P$58,16,FALSE)</f>
        <v>Diffusion</v>
      </c>
      <c r="AH486" s="3" t="str">
        <f>VLOOKUP($E486,'Product Naming'!$A$1:$Q$58,17,FALSE)</f>
        <v>prop_c</v>
      </c>
      <c r="AI486" s="1">
        <f>VLOOKUP($E486,'Product Parameters'!$A$2:$D$59,2,FALSE)</f>
        <v>0</v>
      </c>
      <c r="AJ486" s="1">
        <f>VLOOKUP($E486,'Product Parameters'!$A$2:$D$59,3,FALSE)</f>
        <v>1</v>
      </c>
      <c r="AK486" s="1">
        <f>VLOOKUP($E486,'Product Parameters'!$A$2:$D$59,4,FALSE)</f>
        <v>0.12</v>
      </c>
      <c r="AL486" s="1">
        <f>VLOOKUP($E486,'Product Parameters'!$A$2:$E$59,5,FALSE)</f>
        <v>0</v>
      </c>
      <c r="AM486" s="1">
        <f>VLOOKUP($E486,'Product Parameters'!$A$2:$F$59,6,FALSE)</f>
        <v>3</v>
      </c>
      <c r="AN486" s="1">
        <f>VLOOKUP($C486,'Substrate Heating'!$A$2:$C$33,3,FALSE)</f>
        <v>638.57832580000002</v>
      </c>
      <c r="AO486" s="1">
        <f>VLOOKUP($C486,'Substrate Heating'!$A$2:$B$33,2,FALSE)</f>
        <v>19.93</v>
      </c>
      <c r="AP486" s="1">
        <f>VLOOKUP($C486,'Substrate Heating'!$A$2:$M$33,13,FALSE)</f>
        <v>6</v>
      </c>
      <c r="AQ486" s="1">
        <f>VLOOKUP($C486,'Substrate Heating'!$A$2:$M$33,8,FALSE)</f>
        <v>1</v>
      </c>
      <c r="AR486" s="1">
        <f t="shared" si="7"/>
        <v>0.55437500000000095</v>
      </c>
    </row>
    <row r="487" spans="1:44" x14ac:dyDescent="0.2">
      <c r="A487" s="17" t="s">
        <v>323</v>
      </c>
      <c r="B487" s="18" t="s">
        <v>324</v>
      </c>
      <c r="C487" t="s">
        <v>333</v>
      </c>
      <c r="D487" s="19" t="s">
        <v>326</v>
      </c>
      <c r="E487" t="s">
        <v>186</v>
      </c>
      <c r="F487" t="s">
        <v>187</v>
      </c>
      <c r="G487">
        <v>-10</v>
      </c>
      <c r="H487">
        <v>0</v>
      </c>
      <c r="I487">
        <v>0</v>
      </c>
      <c r="J487">
        <v>0.45</v>
      </c>
      <c r="K487">
        <v>-10</v>
      </c>
      <c r="L487">
        <v>0</v>
      </c>
      <c r="M487">
        <v>0</v>
      </c>
      <c r="N487">
        <v>4.0695652173913004</v>
      </c>
      <c r="O487">
        <v>0.62028985507246404</v>
      </c>
      <c r="P487"/>
      <c r="Q487">
        <v>6.2028985507246399E-2</v>
      </c>
      <c r="R487">
        <v>0.254824240381678</v>
      </c>
      <c r="S487" s="1" t="str">
        <f>VLOOKUP($E487,'Product Naming'!$A$1:$P$58,2,FALSE)</f>
        <v>Citrate</v>
      </c>
      <c r="T487" s="1" t="str">
        <f>VLOOKUP($E487,'Product Naming'!$A$1:$P$58,3,FALSE)</f>
        <v>Citrate</v>
      </c>
      <c r="U487" s="1" t="str">
        <f>VLOOKUP($E487,'Product Naming'!$A$1:$P$58,4,FALSE)</f>
        <v>iJO1366</v>
      </c>
      <c r="V487" s="1" t="str">
        <f>VLOOKUP($E487,'Product Naming'!$A$1:$P$58,5,FALSE)</f>
        <v>C6H5O7</v>
      </c>
      <c r="W487" s="1">
        <f>VLOOKUP($E487,'Product Naming'!$A$1:$P$58,6,FALSE)</f>
        <v>6</v>
      </c>
      <c r="X487" s="1">
        <f>VLOOKUP($E487,'Product Naming'!$A$1:$P$58,7,FALSE)</f>
        <v>5</v>
      </c>
      <c r="Y487" s="1">
        <f>VLOOKUP($E487,'Product Naming'!$A$1:$P$58,8,FALSE)</f>
        <v>7</v>
      </c>
      <c r="Z487" s="1">
        <f>VLOOKUP($E487,'Product Naming'!$A$1:$P$58,9,FALSE)</f>
        <v>0</v>
      </c>
      <c r="AA487" s="1">
        <f>VLOOKUP($E487,'Product Naming'!$A$1:$P$58,10,FALSE)</f>
        <v>-3</v>
      </c>
      <c r="AB487" s="29">
        <f>VLOOKUP($E487,'Product Naming'!$A$1:$P$58,11,FALSE)</f>
        <v>2.5</v>
      </c>
      <c r="AC487" s="3">
        <f>VLOOKUP($E487,'Product Naming'!$A$1:$P$58,12,FALSE)</f>
        <v>189.09640000000002</v>
      </c>
      <c r="AD487" s="1" t="str">
        <f>VLOOKUP($E487,'Product Naming'!$A$1:$P$58,13,FALSE)</f>
        <v>NA</v>
      </c>
      <c r="AE487" s="1" t="str">
        <f>VLOOKUP($E487,'Product Naming'!$A$1:$P$58,14,FALSE)</f>
        <v>Tricarboxylate + Alcohol</v>
      </c>
      <c r="AF487" s="1" t="str">
        <f>VLOOKUP($E487,'Product Naming'!$A$1:$P$58,15,FALSE)</f>
        <v>Acetyl-CoA</v>
      </c>
      <c r="AG487" s="30" t="str">
        <f>VLOOKUP($E487,'Product Naming'!$A$1:$P$58,16,FALSE)</f>
        <v>Proton antiport</v>
      </c>
      <c r="AH487" s="3" t="str">
        <f>VLOOKUP($E487,'Product Naming'!$A$1:$Q$58,17,FALSE)</f>
        <v>cit_c</v>
      </c>
      <c r="AI487" s="1">
        <f>VLOOKUP($E487,'Product Parameters'!$A$2:$D$59,2,FALSE)</f>
        <v>1</v>
      </c>
      <c r="AJ487" s="1">
        <f>VLOOKUP($E487,'Product Parameters'!$A$2:$D$59,3,FALSE)</f>
        <v>0</v>
      </c>
      <c r="AK487" s="1">
        <f>VLOOKUP($E487,'Product Parameters'!$A$2:$D$59,4,FALSE)</f>
        <v>0.12</v>
      </c>
      <c r="AL487" s="1">
        <f>VLOOKUP($E487,'Product Parameters'!$A$2:$E$59,5,FALSE)</f>
        <v>40.65</v>
      </c>
      <c r="AM487" s="1">
        <f>VLOOKUP($E487,'Product Parameters'!$A$2:$F$59,6,FALSE)</f>
        <v>6</v>
      </c>
      <c r="AN487" s="1">
        <f>VLOOKUP($C487,'Substrate Heating'!$A$2:$C$33,3,FALSE)</f>
        <v>247.59097</v>
      </c>
      <c r="AO487" s="1">
        <f>VLOOKUP($C487,'Substrate Heating'!$A$2:$B$33,2,FALSE)</f>
        <v>5.5</v>
      </c>
      <c r="AP487" s="1">
        <f>VLOOKUP($C487,'Substrate Heating'!$A$2:$M$33,13,FALSE)</f>
        <v>1</v>
      </c>
      <c r="AQ487" s="1">
        <f>VLOOKUP($C487,'Substrate Heating'!$A$2:$M$33,8,FALSE)</f>
        <v>1</v>
      </c>
      <c r="AR487" s="1">
        <f t="shared" si="7"/>
        <v>0.37217391304347841</v>
      </c>
    </row>
    <row r="488" spans="1:44" x14ac:dyDescent="0.2">
      <c r="A488" s="8" t="s">
        <v>816</v>
      </c>
      <c r="B488" s="18" t="s">
        <v>324</v>
      </c>
      <c r="C488" t="s">
        <v>815</v>
      </c>
      <c r="D488" s="19" t="s">
        <v>326</v>
      </c>
      <c r="E488" t="s">
        <v>124</v>
      </c>
      <c r="F488" t="s">
        <v>125</v>
      </c>
      <c r="G488">
        <v>-10</v>
      </c>
      <c r="H488">
        <v>0</v>
      </c>
      <c r="I488">
        <v>0</v>
      </c>
      <c r="J488">
        <v>0.45</v>
      </c>
      <c r="K488">
        <v>20</v>
      </c>
      <c r="L488">
        <v>0</v>
      </c>
      <c r="M488">
        <v>0</v>
      </c>
      <c r="N488">
        <v>20</v>
      </c>
      <c r="O488">
        <v>2.2418604649999998</v>
      </c>
      <c r="P488"/>
      <c r="Q488">
        <v>0.112093023</v>
      </c>
      <c r="R488">
        <v>0.255194331</v>
      </c>
      <c r="S488" s="1" t="str">
        <f>VLOOKUP($E488,'Product Naming'!$A$1:$P$58,2,FALSE)</f>
        <v>Acrylate-PW1</v>
      </c>
      <c r="T488" s="1" t="str">
        <f>VLOOKUP($E488,'Product Naming'!$A$1:$P$58,3,FALSE)</f>
        <v>Acrylate (PW1)</v>
      </c>
      <c r="U488" s="1" t="str">
        <f>VLOOKUP($E488,'Product Naming'!$A$1:$P$58,4,FALSE)</f>
        <v>A</v>
      </c>
      <c r="V488" s="1" t="str">
        <f>VLOOKUP($E488,'Product Naming'!$A$1:$P$58,5,FALSE)</f>
        <v>C3H3O2</v>
      </c>
      <c r="W488" s="1">
        <f>VLOOKUP($E488,'Product Naming'!$A$1:$P$58,6,FALSE)</f>
        <v>3</v>
      </c>
      <c r="X488" s="1">
        <f>VLOOKUP($E488,'Product Naming'!$A$1:$P$58,7,FALSE)</f>
        <v>3</v>
      </c>
      <c r="Y488" s="1">
        <f>VLOOKUP($E488,'Product Naming'!$A$1:$P$58,8,FALSE)</f>
        <v>2</v>
      </c>
      <c r="Z488" s="1">
        <f>VLOOKUP($E488,'Product Naming'!$A$1:$P$58,9,FALSE)</f>
        <v>0</v>
      </c>
      <c r="AA488" s="1">
        <f>VLOOKUP($E488,'Product Naming'!$A$1:$P$58,10,FALSE)</f>
        <v>-1</v>
      </c>
      <c r="AB488" s="29">
        <f>VLOOKUP($E488,'Product Naming'!$A$1:$P$58,11,FALSE)</f>
        <v>3.6666666666666665</v>
      </c>
      <c r="AC488" s="3">
        <f>VLOOKUP($E488,'Product Naming'!$A$1:$P$58,12,FALSE)</f>
        <v>71.053619999999995</v>
      </c>
      <c r="AD488" s="1">
        <f>VLOOKUP($E488,'Product Naming'!$A$1:$P$58,13,FALSE)</f>
        <v>80</v>
      </c>
      <c r="AE488" s="1" t="str">
        <f>VLOOKUP($E488,'Product Naming'!$A$1:$P$58,14,FALSE)</f>
        <v>Carboxylate</v>
      </c>
      <c r="AF488" s="1" t="str">
        <f>VLOOKUP($E488,'Product Naming'!$A$1:$P$58,15,FALSE)</f>
        <v>Glyceraldehyde 3-P</v>
      </c>
      <c r="AG488" s="30" t="str">
        <f>VLOOKUP($E488,'Product Naming'!$A$1:$P$58,16,FALSE)</f>
        <v>Proton symporter</v>
      </c>
      <c r="AH488" s="3" t="str">
        <f>VLOOKUP($E488,'Product Naming'!$A$1:$Q$58,17,FALSE)</f>
        <v>acryl_c</v>
      </c>
      <c r="AI488" s="1">
        <f>VLOOKUP($E488,'Product Parameters'!$A$2:$D$59,2,FALSE)</f>
        <v>1</v>
      </c>
      <c r="AJ488" s="1">
        <f>VLOOKUP($E488,'Product Parameters'!$A$2:$D$59,3,FALSE)</f>
        <v>0</v>
      </c>
      <c r="AK488" s="1">
        <f>VLOOKUP($E488,'Product Parameters'!$A$2:$D$59,4,FALSE)</f>
        <v>0.12</v>
      </c>
      <c r="AL488" s="1">
        <f>VLOOKUP($E488,'Product Parameters'!$A$2:$E$59,5,FALSE)</f>
        <v>53.1</v>
      </c>
      <c r="AM488" s="1">
        <f>VLOOKUP($E488,'Product Parameters'!$A$2:$F$59,6,FALSE)</f>
        <v>3</v>
      </c>
      <c r="AN488" s="1">
        <f>VLOOKUP($C488,'Substrate Heating'!$A$2:$C$33,3,FALSE)</f>
        <v>226.4</v>
      </c>
      <c r="AO488" s="1">
        <f>VLOOKUP($C488,'Substrate Heating'!$A$2:$B$33,2,FALSE)</f>
        <v>7.2542014450728134</v>
      </c>
      <c r="AP488" s="1">
        <f>VLOOKUP($C488,'Substrate Heating'!$A$2:$M$33,13,FALSE)</f>
        <v>1.6</v>
      </c>
      <c r="AQ488" s="1">
        <f>VLOOKUP($C488,'Substrate Heating'!$A$2:$M$33,8,FALSE)</f>
        <v>1</v>
      </c>
      <c r="AR488" s="1">
        <f t="shared" si="7"/>
        <v>0.33627906899999999</v>
      </c>
    </row>
    <row r="489" spans="1:44" x14ac:dyDescent="0.2">
      <c r="A489" s="17" t="s">
        <v>231</v>
      </c>
      <c r="B489" s="9" t="s">
        <v>35</v>
      </c>
      <c r="C489" t="s">
        <v>322</v>
      </c>
      <c r="D489" s="10" t="s">
        <v>37</v>
      </c>
      <c r="E489" t="s">
        <v>279</v>
      </c>
      <c r="F489" t="s">
        <v>280</v>
      </c>
      <c r="G489">
        <v>-10</v>
      </c>
      <c r="H489">
        <v>-20</v>
      </c>
      <c r="I489" s="1" t="s">
        <v>40</v>
      </c>
      <c r="J489">
        <v>3.15</v>
      </c>
      <c r="K489">
        <v>-10</v>
      </c>
      <c r="L489">
        <v>-3.5465346534653501</v>
      </c>
      <c r="M489" s="1" t="s">
        <v>40</v>
      </c>
      <c r="N489">
        <v>9.42277227722772</v>
      </c>
      <c r="O489">
        <v>1.1752475247524801</v>
      </c>
      <c r="P489"/>
      <c r="Q489">
        <v>0.117524752475248</v>
      </c>
      <c r="R489">
        <v>0.25528740502135</v>
      </c>
      <c r="S489" s="1" t="str">
        <f>VLOOKUP($E489,'Product Naming'!$A$1:$P$58,2,FALSE)</f>
        <v>Nonane</v>
      </c>
      <c r="T489" s="1" t="str">
        <f>VLOOKUP($E489,'Product Naming'!$A$1:$P$58,3,FALSE)</f>
        <v>Nonane</v>
      </c>
      <c r="U489" s="1" t="str">
        <f>VLOOKUP($E489,'Product Naming'!$A$1:$P$58,4,FALSE)</f>
        <v>E</v>
      </c>
      <c r="V489" s="1" t="str">
        <f>VLOOKUP($E489,'Product Naming'!$A$1:$P$58,5,FALSE)</f>
        <v>C9H20</v>
      </c>
      <c r="W489" s="1">
        <f>VLOOKUP($E489,'Product Naming'!$A$1:$P$58,6,FALSE)</f>
        <v>9</v>
      </c>
      <c r="X489" s="1">
        <f>VLOOKUP($E489,'Product Naming'!$A$1:$P$58,7,FALSE)</f>
        <v>20</v>
      </c>
      <c r="Y489" s="1">
        <f>VLOOKUP($E489,'Product Naming'!$A$1:$P$58,8,FALSE)</f>
        <v>0</v>
      </c>
      <c r="Z489" s="1">
        <f>VLOOKUP($E489,'Product Naming'!$A$1:$P$58,9,FALSE)</f>
        <v>0</v>
      </c>
      <c r="AA489" s="1">
        <f>VLOOKUP($E489,'Product Naming'!$A$1:$P$58,10,FALSE)</f>
        <v>0</v>
      </c>
      <c r="AB489" s="29">
        <f>VLOOKUP($E489,'Product Naming'!$A$1:$P$58,11,FALSE)</f>
        <v>6.2222222222222223</v>
      </c>
      <c r="AC489" s="3">
        <f>VLOOKUP($E489,'Product Naming'!$A$1:$P$58,12,FALSE)</f>
        <v>128.25309999999999</v>
      </c>
      <c r="AD489" s="1">
        <f>VLOOKUP($E489,'Product Naming'!$A$1:$P$58,13,FALSE)</f>
        <v>151</v>
      </c>
      <c r="AE489" s="1" t="str">
        <f>VLOOKUP($E489,'Product Naming'!$A$1:$P$58,14,FALSE)</f>
        <v>Hydrocarbon (alkane)</v>
      </c>
      <c r="AF489" s="1" t="str">
        <f>VLOOKUP($E489,'Product Naming'!$A$1:$P$58,15,FALSE)</f>
        <v>Acetyl-CoA</v>
      </c>
      <c r="AG489" s="30" t="str">
        <f>VLOOKUP($E489,'Product Naming'!$A$1:$P$58,16,FALSE)</f>
        <v>Proton symporter</v>
      </c>
      <c r="AH489" s="3" t="str">
        <f>VLOOKUP($E489,'Product Naming'!$A$1:$Q$58,17,FALSE)</f>
        <v>nonan_c</v>
      </c>
      <c r="AI489" s="1">
        <f>VLOOKUP($E489,'Product Parameters'!$A$2:$D$59,2,FALSE)</f>
        <v>1</v>
      </c>
      <c r="AJ489" s="1">
        <f>VLOOKUP($E489,'Product Parameters'!$A$2:$D$59,3,FALSE)</f>
        <v>0</v>
      </c>
      <c r="AK489" s="1">
        <f>VLOOKUP($E489,'Product Parameters'!$A$2:$D$59,4,FALSE)</f>
        <v>0.12</v>
      </c>
      <c r="AL489" s="1">
        <f>VLOOKUP($E489,'Product Parameters'!$A$2:$E$59,5,FALSE)</f>
        <v>46.5</v>
      </c>
      <c r="AM489" s="1">
        <f>VLOOKUP($E489,'Product Parameters'!$A$2:$F$59,6,FALSE)</f>
        <v>9</v>
      </c>
      <c r="AN489" s="1">
        <f>VLOOKUP($C489,'Substrate Heating'!$A$2:$C$33,3,FALSE)</f>
        <v>876.74109599999997</v>
      </c>
      <c r="AO489" s="1">
        <f>VLOOKUP($C489,'Substrate Heating'!$A$2:$B$33,2,FALSE)</f>
        <v>14.6</v>
      </c>
      <c r="AP489" s="1">
        <f>VLOOKUP($C489,'Substrate Heating'!$A$2:$M$33,13,FALSE)</f>
        <v>3.5</v>
      </c>
      <c r="AQ489" s="1">
        <f>VLOOKUP($C489,'Substrate Heating'!$A$2:$M$33,8,FALSE)</f>
        <v>2</v>
      </c>
      <c r="AR489" s="1">
        <f t="shared" si="7"/>
        <v>0.528861386138616</v>
      </c>
    </row>
    <row r="490" spans="1:44" x14ac:dyDescent="0.2">
      <c r="A490" s="8" t="s">
        <v>34</v>
      </c>
      <c r="B490" s="9" t="s">
        <v>35</v>
      </c>
      <c r="C490" s="1" t="s">
        <v>348</v>
      </c>
      <c r="D490" s="23" t="s">
        <v>338</v>
      </c>
      <c r="E490" s="1" t="s">
        <v>313</v>
      </c>
      <c r="F490" s="1" t="s">
        <v>314</v>
      </c>
      <c r="G490" s="1">
        <v>-10</v>
      </c>
      <c r="H490" s="1">
        <v>-20</v>
      </c>
      <c r="I490" s="1" t="s">
        <v>40</v>
      </c>
      <c r="J490" s="1">
        <v>3.15</v>
      </c>
      <c r="K490" s="1">
        <v>-10</v>
      </c>
      <c r="L490" s="1">
        <v>-7.1388478581979404</v>
      </c>
      <c r="M490" s="1" t="s">
        <v>40</v>
      </c>
      <c r="N490" s="1">
        <v>3.71107828655835</v>
      </c>
      <c r="O490" s="1">
        <v>0.78611521418020802</v>
      </c>
      <c r="Q490" s="1">
        <v>7.8611521418020802E-2</v>
      </c>
      <c r="R490" s="1">
        <v>0.25552393985501398</v>
      </c>
      <c r="S490" s="1" t="str">
        <f>VLOOKUP($E490,'Product Naming'!$A$1:$P$58,2,FALSE)</f>
        <v>Styrene</v>
      </c>
      <c r="T490" s="1" t="str">
        <f>VLOOKUP($E490,'Product Naming'!$A$1:$P$58,3,FALSE)</f>
        <v>Styrene</v>
      </c>
      <c r="U490" s="1" t="str">
        <f>VLOOKUP($E490,'Product Naming'!$A$1:$P$58,4,FALSE)</f>
        <v>E-S</v>
      </c>
      <c r="V490" s="1" t="str">
        <f>VLOOKUP($E490,'Product Naming'!$A$1:$P$58,5,FALSE)</f>
        <v>C8H8</v>
      </c>
      <c r="W490" s="1">
        <f>VLOOKUP($E490,'Product Naming'!$A$1:$P$58,6,FALSE)</f>
        <v>8</v>
      </c>
      <c r="X490" s="1">
        <f>VLOOKUP($E490,'Product Naming'!$A$1:$P$58,7,FALSE)</f>
        <v>8</v>
      </c>
      <c r="Y490" s="1">
        <f>VLOOKUP($E490,'Product Naming'!$A$1:$P$58,8,FALSE)</f>
        <v>0</v>
      </c>
      <c r="Z490" s="1">
        <f>VLOOKUP($E490,'Product Naming'!$A$1:$P$58,9,FALSE)</f>
        <v>0</v>
      </c>
      <c r="AA490" s="1">
        <f>VLOOKUP($E490,'Product Naming'!$A$1:$P$58,10,FALSE)</f>
        <v>0</v>
      </c>
      <c r="AB490" s="29">
        <f>VLOOKUP($E490,'Product Naming'!$A$1:$P$58,11,FALSE)</f>
        <v>5</v>
      </c>
      <c r="AC490" s="3">
        <f>VLOOKUP($E490,'Product Naming'!$A$1:$P$58,12,FALSE)</f>
        <v>104.14832</v>
      </c>
      <c r="AD490" s="1">
        <f>VLOOKUP($E490,'Product Naming'!$A$1:$P$58,13,FALSE)</f>
        <v>145</v>
      </c>
      <c r="AE490" s="1" t="str">
        <f>VLOOKUP($E490,'Product Naming'!$A$1:$P$58,14,FALSE)</f>
        <v>Cycloalkane</v>
      </c>
      <c r="AF490" s="1" t="str">
        <f>VLOOKUP($E490,'Product Naming'!$A$1:$P$58,15,FALSE)</f>
        <v>E4P</v>
      </c>
      <c r="AG490" s="30" t="str">
        <f>VLOOKUP($E490,'Product Naming'!$A$1:$P$58,16,FALSE)</f>
        <v>Proton symporter</v>
      </c>
      <c r="AH490" s="3" t="str">
        <f>VLOOKUP($E490,'Product Naming'!$A$1:$Q$58,17,FALSE)</f>
        <v>styr_c</v>
      </c>
      <c r="AI490" s="1">
        <f>VLOOKUP($E490,'Product Parameters'!$A$2:$D$59,2,FALSE)</f>
        <v>1</v>
      </c>
      <c r="AJ490" s="1">
        <f>VLOOKUP($E490,'Product Parameters'!$A$2:$D$59,3,FALSE)</f>
        <v>0</v>
      </c>
      <c r="AK490" s="1">
        <f>VLOOKUP($E490,'Product Parameters'!$A$2:$D$59,4,FALSE)</f>
        <v>0.12</v>
      </c>
      <c r="AL490" s="1">
        <f>VLOOKUP($E490,'Product Parameters'!$A$2:$E$59,5,FALSE)</f>
        <v>43.9</v>
      </c>
      <c r="AM490" s="1">
        <f>VLOOKUP($E490,'Product Parameters'!$A$2:$F$59,6,FALSE)</f>
        <v>8</v>
      </c>
      <c r="AN490" s="1">
        <f>VLOOKUP($C490,'Substrate Heating'!$A$2:$C$33,3,FALSE)</f>
        <v>638.57832580000002</v>
      </c>
      <c r="AO490" s="1">
        <f>VLOOKUP($C490,'Substrate Heating'!$A$2:$B$33,2,FALSE)</f>
        <v>19.93</v>
      </c>
      <c r="AP490" s="1">
        <f>VLOOKUP($C490,'Substrate Heating'!$A$2:$M$33,13,FALSE)</f>
        <v>6</v>
      </c>
      <c r="AQ490" s="1">
        <f>VLOOKUP($C490,'Substrate Heating'!$A$2:$M$33,8,FALSE)</f>
        <v>1</v>
      </c>
      <c r="AR490" s="1">
        <f t="shared" si="7"/>
        <v>0.62889217134416642</v>
      </c>
    </row>
    <row r="491" spans="1:44" x14ac:dyDescent="0.2">
      <c r="A491" s="8" t="s">
        <v>34</v>
      </c>
      <c r="B491" s="9" t="s">
        <v>35</v>
      </c>
      <c r="C491" s="1" t="s">
        <v>330</v>
      </c>
      <c r="D491" s="10" t="s">
        <v>37</v>
      </c>
      <c r="E491" s="1" t="s">
        <v>301</v>
      </c>
      <c r="F491" s="1" t="s">
        <v>302</v>
      </c>
      <c r="G491" s="1">
        <v>-10</v>
      </c>
      <c r="H491" s="1">
        <v>-20</v>
      </c>
      <c r="I491" s="1" t="s">
        <v>40</v>
      </c>
      <c r="J491" s="1">
        <v>3.15</v>
      </c>
      <c r="K491" s="1">
        <v>-10</v>
      </c>
      <c r="L491" s="1">
        <v>-7.0086206896551797</v>
      </c>
      <c r="M491" s="1" t="s">
        <v>40</v>
      </c>
      <c r="N491" s="1">
        <v>9.2051724137931306</v>
      </c>
      <c r="O491" s="1">
        <v>3.5982758620689701</v>
      </c>
      <c r="Q491" s="1">
        <v>0.35982758620689698</v>
      </c>
      <c r="R491" s="1">
        <v>0.25563803676107499</v>
      </c>
      <c r="S491" s="1" t="str">
        <f>VLOOKUP($E491,'Product Naming'!$A$1:$P$58,2,FALSE)</f>
        <v>Propane-PW1</v>
      </c>
      <c r="T491" s="1" t="str">
        <f>VLOOKUP($E491,'Product Naming'!$A$1:$P$58,3,FALSE)</f>
        <v>Propane (PW1)</v>
      </c>
      <c r="U491" s="1" t="str">
        <f>VLOOKUP($E491,'Product Naming'!$A$1:$P$58,4,FALSE)</f>
        <v>E</v>
      </c>
      <c r="V491" s="1" t="str">
        <f>VLOOKUP($E491,'Product Naming'!$A$1:$P$58,5,FALSE)</f>
        <v>C3H8</v>
      </c>
      <c r="W491" s="1">
        <f>VLOOKUP($E491,'Product Naming'!$A$1:$P$58,6,FALSE)</f>
        <v>3</v>
      </c>
      <c r="X491" s="1">
        <f>VLOOKUP($E491,'Product Naming'!$A$1:$P$58,7,FALSE)</f>
        <v>8</v>
      </c>
      <c r="Y491" s="1">
        <f>VLOOKUP($E491,'Product Naming'!$A$1:$P$58,8,FALSE)</f>
        <v>0</v>
      </c>
      <c r="Z491" s="1">
        <f>VLOOKUP($E491,'Product Naming'!$A$1:$P$58,9,FALSE)</f>
        <v>0</v>
      </c>
      <c r="AA491" s="1">
        <f>VLOOKUP($E491,'Product Naming'!$A$1:$P$58,10,FALSE)</f>
        <v>0</v>
      </c>
      <c r="AB491" s="29">
        <f>VLOOKUP($E491,'Product Naming'!$A$1:$P$58,11,FALSE)</f>
        <v>6.666666666666667</v>
      </c>
      <c r="AC491" s="3">
        <f>VLOOKUP($E491,'Product Naming'!$A$1:$P$58,12,FALSE)</f>
        <v>44.094819999999999</v>
      </c>
      <c r="AD491" s="1">
        <f>VLOOKUP($E491,'Product Naming'!$A$1:$P$58,13,FALSE)</f>
        <v>-42</v>
      </c>
      <c r="AE491" s="1" t="str">
        <f>VLOOKUP($E491,'Product Naming'!$A$1:$P$58,14,FALSE)</f>
        <v>Hydrocarbon</v>
      </c>
      <c r="AF491" s="1" t="str">
        <f>VLOOKUP($E491,'Product Naming'!$A$1:$P$58,15,FALSE)</f>
        <v>Acetyl-CoA</v>
      </c>
      <c r="AG491" s="30" t="str">
        <f>VLOOKUP($E491,'Product Naming'!$A$1:$P$58,16,FALSE)</f>
        <v>Diffusion</v>
      </c>
      <c r="AH491" s="3" t="str">
        <f>VLOOKUP($E491,'Product Naming'!$A$1:$Q$58,17,FALSE)</f>
        <v>prop_c</v>
      </c>
      <c r="AI491" s="1">
        <f>VLOOKUP($E491,'Product Parameters'!$A$2:$D$59,2,FALSE)</f>
        <v>0</v>
      </c>
      <c r="AJ491" s="1">
        <f>VLOOKUP($E491,'Product Parameters'!$A$2:$D$59,3,FALSE)</f>
        <v>1</v>
      </c>
      <c r="AK491" s="1">
        <f>VLOOKUP($E491,'Product Parameters'!$A$2:$D$59,4,FALSE)</f>
        <v>0.12</v>
      </c>
      <c r="AL491" s="1">
        <f>VLOOKUP($E491,'Product Parameters'!$A$2:$E$59,5,FALSE)</f>
        <v>0</v>
      </c>
      <c r="AM491" s="1">
        <f>VLOOKUP($E491,'Product Parameters'!$A$2:$F$59,6,FALSE)</f>
        <v>3</v>
      </c>
      <c r="AN491" s="1">
        <f>VLOOKUP($C491,'Substrate Heating'!$A$2:$C$33,3,FALSE)</f>
        <v>1055.1294800000001</v>
      </c>
      <c r="AO491" s="1">
        <f>VLOOKUP($C491,'Substrate Heating'!$A$2:$B$33,2,FALSE)</f>
        <v>17</v>
      </c>
      <c r="AP491" s="1">
        <f>VLOOKUP($C491,'Substrate Heating'!$A$2:$M$33,13,FALSE)</f>
        <v>5</v>
      </c>
      <c r="AQ491" s="1">
        <f>VLOOKUP($C491,'Substrate Heating'!$A$2:$M$33,8,FALSE)</f>
        <v>2</v>
      </c>
      <c r="AR491" s="1">
        <f t="shared" si="7"/>
        <v>0.53974137931034549</v>
      </c>
    </row>
    <row r="492" spans="1:44" x14ac:dyDescent="0.2">
      <c r="A492" s="8" t="s">
        <v>34</v>
      </c>
      <c r="B492" s="9" t="s">
        <v>35</v>
      </c>
      <c r="C492" s="1" t="s">
        <v>331</v>
      </c>
      <c r="D492" s="10" t="s">
        <v>37</v>
      </c>
      <c r="E492" s="1" t="s">
        <v>306</v>
      </c>
      <c r="F492" s="1" t="s">
        <v>302</v>
      </c>
      <c r="G492" s="1">
        <v>-10</v>
      </c>
      <c r="H492" s="1">
        <v>-20</v>
      </c>
      <c r="I492" s="1" t="s">
        <v>40</v>
      </c>
      <c r="J492" s="1">
        <v>3.15</v>
      </c>
      <c r="K492" s="1">
        <v>-10</v>
      </c>
      <c r="L492" s="1">
        <v>-6.9901960784313699</v>
      </c>
      <c r="M492" s="1" t="s">
        <v>40</v>
      </c>
      <c r="N492" s="1">
        <v>9.1941176470588299</v>
      </c>
      <c r="O492" s="1">
        <v>3.60196078431373</v>
      </c>
      <c r="Q492" s="1">
        <v>0.36019607843137302</v>
      </c>
      <c r="R492" s="1">
        <v>0.25589983055465199</v>
      </c>
      <c r="S492" s="1" t="str">
        <f>VLOOKUP($E492,'Product Naming'!$A$1:$P$58,2,FALSE)</f>
        <v>Propane-PW2</v>
      </c>
      <c r="T492" s="1" t="str">
        <f>VLOOKUP($E492,'Product Naming'!$A$1:$P$58,3,FALSE)</f>
        <v>Propane (PW2)</v>
      </c>
      <c r="U492" s="1" t="str">
        <f>VLOOKUP($E492,'Product Naming'!$A$1:$P$58,4,FALSE)</f>
        <v>E</v>
      </c>
      <c r="V492" s="1" t="str">
        <f>VLOOKUP($E492,'Product Naming'!$A$1:$P$58,5,FALSE)</f>
        <v>C3H8</v>
      </c>
      <c r="W492" s="1">
        <f>VLOOKUP($E492,'Product Naming'!$A$1:$P$58,6,FALSE)</f>
        <v>3</v>
      </c>
      <c r="X492" s="1">
        <f>VLOOKUP($E492,'Product Naming'!$A$1:$P$58,7,FALSE)</f>
        <v>8</v>
      </c>
      <c r="Y492" s="1">
        <f>VLOOKUP($E492,'Product Naming'!$A$1:$P$58,8,FALSE)</f>
        <v>0</v>
      </c>
      <c r="Z492" s="1">
        <f>VLOOKUP($E492,'Product Naming'!$A$1:$P$58,9,FALSE)</f>
        <v>0</v>
      </c>
      <c r="AA492" s="1">
        <f>VLOOKUP($E492,'Product Naming'!$A$1:$P$58,10,FALSE)</f>
        <v>0</v>
      </c>
      <c r="AB492" s="29">
        <f>VLOOKUP($E492,'Product Naming'!$A$1:$P$58,11,FALSE)</f>
        <v>6.666666666666667</v>
      </c>
      <c r="AC492" s="3">
        <f>VLOOKUP($E492,'Product Naming'!$A$1:$P$58,12,FALSE)</f>
        <v>44.094819999999999</v>
      </c>
      <c r="AD492" s="1">
        <f>VLOOKUP($E492,'Product Naming'!$A$1:$P$58,13,FALSE)</f>
        <v>-42</v>
      </c>
      <c r="AE492" s="1" t="str">
        <f>VLOOKUP($E492,'Product Naming'!$A$1:$P$58,14,FALSE)</f>
        <v>Hydrocarbon</v>
      </c>
      <c r="AF492" s="1" t="str">
        <f>VLOOKUP($E492,'Product Naming'!$A$1:$P$58,15,FALSE)</f>
        <v>Oxaloacetate</v>
      </c>
      <c r="AG492" s="30" t="str">
        <f>VLOOKUP($E492,'Product Naming'!$A$1:$P$58,16,FALSE)</f>
        <v>Diffusion</v>
      </c>
      <c r="AH492" s="3" t="str">
        <f>VLOOKUP($E492,'Product Naming'!$A$1:$Q$58,17,FALSE)</f>
        <v>prop_c</v>
      </c>
      <c r="AI492" s="1">
        <f>VLOOKUP($E492,'Product Parameters'!$A$2:$D$59,2,FALSE)</f>
        <v>0</v>
      </c>
      <c r="AJ492" s="1">
        <f>VLOOKUP($E492,'Product Parameters'!$A$2:$D$59,3,FALSE)</f>
        <v>1</v>
      </c>
      <c r="AK492" s="1">
        <f>VLOOKUP($E492,'Product Parameters'!$A$2:$D$59,4,FALSE)</f>
        <v>0.12</v>
      </c>
      <c r="AL492" s="1">
        <f>VLOOKUP($E492,'Product Parameters'!$A$2:$E$59,5,FALSE)</f>
        <v>0</v>
      </c>
      <c r="AM492" s="1">
        <f>VLOOKUP($E492,'Product Parameters'!$A$2:$F$59,6,FALSE)</f>
        <v>3</v>
      </c>
      <c r="AN492" s="1">
        <f>VLOOKUP($C492,'Substrate Heating'!$A$2:$C$33,3,FALSE)</f>
        <v>1055.1294800000001</v>
      </c>
      <c r="AO492" s="1">
        <f>VLOOKUP($C492,'Substrate Heating'!$A$2:$B$33,2,FALSE)</f>
        <v>17</v>
      </c>
      <c r="AP492" s="1">
        <f>VLOOKUP($C492,'Substrate Heating'!$A$2:$M$33,13,FALSE)</f>
        <v>5</v>
      </c>
      <c r="AQ492" s="1">
        <f>VLOOKUP($C492,'Substrate Heating'!$A$2:$M$33,8,FALSE)</f>
        <v>2</v>
      </c>
      <c r="AR492" s="1">
        <f t="shared" si="7"/>
        <v>0.54029411764705948</v>
      </c>
    </row>
    <row r="493" spans="1:44" x14ac:dyDescent="0.2">
      <c r="A493" s="8" t="s">
        <v>34</v>
      </c>
      <c r="B493" s="9" t="s">
        <v>35</v>
      </c>
      <c r="C493" s="1" t="s">
        <v>348</v>
      </c>
      <c r="D493" s="23" t="s">
        <v>338</v>
      </c>
      <c r="E493" s="1" t="s">
        <v>151</v>
      </c>
      <c r="F493" s="1" t="s">
        <v>152</v>
      </c>
      <c r="G493" s="1">
        <v>-10</v>
      </c>
      <c r="H493" s="1">
        <v>-20</v>
      </c>
      <c r="I493" s="1" t="s">
        <v>40</v>
      </c>
      <c r="J493" s="1">
        <v>3.15</v>
      </c>
      <c r="K493" s="1">
        <v>-10</v>
      </c>
      <c r="L493" s="1">
        <v>-6.7417241379310404</v>
      </c>
      <c r="M493" s="1" t="s">
        <v>40</v>
      </c>
      <c r="N493" s="1">
        <v>3.8827586206896698</v>
      </c>
      <c r="O493" s="1">
        <v>0.15293103448275899</v>
      </c>
      <c r="Q493" s="1">
        <v>1.52931034482759E-2</v>
      </c>
      <c r="R493" s="1">
        <v>0.256245054960406</v>
      </c>
      <c r="S493" s="1" t="str">
        <f>VLOOKUP($E493,'Product Naming'!$A$1:$P$58,2,FALSE)</f>
        <v>BetaCarotene</v>
      </c>
      <c r="T493" s="1" t="str">
        <f>VLOOKUP($E493,'Product Naming'!$A$1:$P$58,3,FALSE)</f>
        <v>Beta carotene</v>
      </c>
      <c r="U493" s="1" t="str">
        <f>VLOOKUP($E493,'Product Naming'!$A$1:$P$58,4,FALSE)</f>
        <v>A</v>
      </c>
      <c r="V493" s="1" t="str">
        <f>VLOOKUP($E493,'Product Naming'!$A$1:$P$58,5,FALSE)</f>
        <v>C40H56</v>
      </c>
      <c r="W493" s="1">
        <f>VLOOKUP($E493,'Product Naming'!$A$1:$P$58,6,FALSE)</f>
        <v>40</v>
      </c>
      <c r="X493" s="1">
        <f>VLOOKUP($E493,'Product Naming'!$A$1:$P$58,7,FALSE)</f>
        <v>56</v>
      </c>
      <c r="Y493" s="1">
        <f>VLOOKUP($E493,'Product Naming'!$A$1:$P$58,8,FALSE)</f>
        <v>0</v>
      </c>
      <c r="Z493" s="1">
        <f>VLOOKUP($E493,'Product Naming'!$A$1:$P$58,9,FALSE)</f>
        <v>0</v>
      </c>
      <c r="AA493" s="1">
        <f>VLOOKUP($E493,'Product Naming'!$A$1:$P$58,10,FALSE)</f>
        <v>0</v>
      </c>
      <c r="AB493" s="29">
        <f>VLOOKUP($E493,'Product Naming'!$A$1:$P$58,11,FALSE)</f>
        <v>5.4</v>
      </c>
      <c r="AC493" s="3">
        <f>VLOOKUP($E493,'Product Naming'!$A$1:$P$58,12,FALSE)</f>
        <v>536.86703999999997</v>
      </c>
      <c r="AD493" s="1">
        <f>VLOOKUP($E493,'Product Naming'!$A$1:$P$58,13,FALSE)</f>
        <v>633</v>
      </c>
      <c r="AE493" s="1" t="str">
        <f>VLOOKUP($E493,'Product Naming'!$A$1:$P$58,14,FALSE)</f>
        <v>Hydrocarbon</v>
      </c>
      <c r="AF493" s="1" t="str">
        <f>VLOOKUP($E493,'Product Naming'!$A$1:$P$58,15,FALSE)</f>
        <v>Acetyl-CoA</v>
      </c>
      <c r="AG493" s="30" t="str">
        <f>VLOOKUP($E493,'Product Naming'!$A$1:$P$58,16,FALSE)</f>
        <v>ABC Transporter</v>
      </c>
      <c r="AH493" s="3" t="str">
        <f>VLOOKUP($E493,'Product Naming'!$A$1:$Q$58,17,FALSE)</f>
        <v>caro_c</v>
      </c>
      <c r="AI493" s="1">
        <f>VLOOKUP($E493,'Product Parameters'!$A$2:$D$59,2,FALSE)</f>
        <v>1</v>
      </c>
      <c r="AJ493" s="1">
        <f>VLOOKUP($E493,'Product Parameters'!$A$2:$D$59,3,FALSE)</f>
        <v>0</v>
      </c>
      <c r="AK493" s="1">
        <f>VLOOKUP($E493,'Product Parameters'!$A$2:$D$59,4,FALSE)</f>
        <v>0.12</v>
      </c>
      <c r="AL493" s="1">
        <f>VLOOKUP($E493,'Product Parameters'!$A$2:$E$59,5,FALSE)</f>
        <v>40.65</v>
      </c>
      <c r="AM493" s="1">
        <f>VLOOKUP($E493,'Product Parameters'!$A$2:$F$59,6,FALSE)</f>
        <v>40</v>
      </c>
      <c r="AN493" s="1">
        <f>VLOOKUP($C493,'Substrate Heating'!$A$2:$C$33,3,FALSE)</f>
        <v>638.57832580000002</v>
      </c>
      <c r="AO493" s="1">
        <f>VLOOKUP($C493,'Substrate Heating'!$A$2:$B$33,2,FALSE)</f>
        <v>19.93</v>
      </c>
      <c r="AP493" s="1">
        <f>VLOOKUP($C493,'Substrate Heating'!$A$2:$M$33,13,FALSE)</f>
        <v>6</v>
      </c>
      <c r="AQ493" s="1">
        <f>VLOOKUP($C493,'Substrate Heating'!$A$2:$M$33,8,FALSE)</f>
        <v>1</v>
      </c>
      <c r="AR493" s="1">
        <f t="shared" si="7"/>
        <v>0.61172413793103597</v>
      </c>
    </row>
    <row r="494" spans="1:44" x14ac:dyDescent="0.2">
      <c r="A494" s="17" t="s">
        <v>323</v>
      </c>
      <c r="B494" s="18" t="s">
        <v>324</v>
      </c>
      <c r="C494" t="s">
        <v>325</v>
      </c>
      <c r="D494" s="19" t="s">
        <v>326</v>
      </c>
      <c r="E494" t="s">
        <v>240</v>
      </c>
      <c r="F494" t="s">
        <v>241</v>
      </c>
      <c r="G494">
        <v>-10</v>
      </c>
      <c r="H494">
        <v>0</v>
      </c>
      <c r="I494">
        <v>0</v>
      </c>
      <c r="J494">
        <v>0.45</v>
      </c>
      <c r="K494">
        <v>-10</v>
      </c>
      <c r="L494">
        <v>0</v>
      </c>
      <c r="M494">
        <v>0</v>
      </c>
      <c r="N494">
        <v>6.6666666666666696</v>
      </c>
      <c r="O494">
        <v>0.83333333333333304</v>
      </c>
      <c r="P494"/>
      <c r="Q494">
        <v>8.3333333333333301E-2</v>
      </c>
      <c r="R494">
        <v>0.25625044626918903</v>
      </c>
      <c r="S494" s="1" t="str">
        <f>VLOOKUP($E494,'Product Naming'!$A$1:$P$58,2,FALSE)</f>
        <v>Isobutanol</v>
      </c>
      <c r="T494" s="1" t="str">
        <f>VLOOKUP($E494,'Product Naming'!$A$1:$P$58,3,FALSE)</f>
        <v>Isobutanol</v>
      </c>
      <c r="U494" s="1" t="str">
        <f>VLOOKUP($E494,'Product Naming'!$A$1:$P$58,4,FALSE)</f>
        <v>E</v>
      </c>
      <c r="V494" s="1" t="str">
        <f>VLOOKUP($E494,'Product Naming'!$A$1:$P$58,5,FALSE)</f>
        <v>C5H10O</v>
      </c>
      <c r="W494" s="1">
        <f>VLOOKUP($E494,'Product Naming'!$A$1:$P$58,6,FALSE)</f>
        <v>5</v>
      </c>
      <c r="X494" s="1">
        <f>VLOOKUP($E494,'Product Naming'!$A$1:$P$58,7,FALSE)</f>
        <v>10</v>
      </c>
      <c r="Y494" s="1">
        <f>VLOOKUP($E494,'Product Naming'!$A$1:$P$58,8,FALSE)</f>
        <v>1</v>
      </c>
      <c r="Z494" s="1">
        <f>VLOOKUP($E494,'Product Naming'!$A$1:$P$58,9,FALSE)</f>
        <v>0</v>
      </c>
      <c r="AA494" s="1">
        <f>VLOOKUP($E494,'Product Naming'!$A$1:$P$58,10,FALSE)</f>
        <v>0</v>
      </c>
      <c r="AB494" s="29">
        <f>VLOOKUP($E494,'Product Naming'!$A$1:$P$58,11,FALSE)</f>
        <v>5.6</v>
      </c>
      <c r="AC494" s="3">
        <f>VLOOKUP($E494,'Product Naming'!$A$1:$P$58,12,FALSE)</f>
        <v>86.130899999999997</v>
      </c>
      <c r="AD494" s="1">
        <f>VLOOKUP($E494,'Product Naming'!$A$1:$P$58,13,FALSE)</f>
        <v>108</v>
      </c>
      <c r="AE494" s="1" t="str">
        <f>VLOOKUP($E494,'Product Naming'!$A$1:$P$58,14,FALSE)</f>
        <v>Alcohol</v>
      </c>
      <c r="AF494" s="1" t="str">
        <f>VLOOKUP($E494,'Product Naming'!$A$1:$P$58,15,FALSE)</f>
        <v>Pyruvate</v>
      </c>
      <c r="AG494" s="30" t="str">
        <f>VLOOKUP($E494,'Product Naming'!$A$1:$P$58,16,FALSE)</f>
        <v>Proton symporter</v>
      </c>
      <c r="AH494" s="3" t="str">
        <f>VLOOKUP($E494,'Product Naming'!$A$1:$Q$58,17,FALSE)</f>
        <v>ibutoh_c</v>
      </c>
      <c r="AI494" s="1">
        <f>VLOOKUP($E494,'Product Parameters'!$A$2:$D$59,2,FALSE)</f>
        <v>1</v>
      </c>
      <c r="AJ494" s="1">
        <f>VLOOKUP($E494,'Product Parameters'!$A$2:$D$59,3,FALSE)</f>
        <v>0</v>
      </c>
      <c r="AK494" s="1">
        <f>VLOOKUP($E494,'Product Parameters'!$A$2:$D$59,4,FALSE)</f>
        <v>0.12</v>
      </c>
      <c r="AL494" s="1">
        <f>VLOOKUP($E494,'Product Parameters'!$A$2:$E$59,5,FALSE)</f>
        <v>51</v>
      </c>
      <c r="AM494" s="1">
        <f>VLOOKUP($E494,'Product Parameters'!$A$2:$F$59,6,FALSE)</f>
        <v>5</v>
      </c>
      <c r="AN494" s="1">
        <f>VLOOKUP($C494,'Substrate Heating'!$A$2:$C$33,3,FALSE)</f>
        <v>280.09700000000004</v>
      </c>
      <c r="AO494" s="1">
        <f>VLOOKUP($C494,'Substrate Heating'!$A$2:$B$33,2,FALSE)</f>
        <v>10</v>
      </c>
      <c r="AP494" s="1">
        <f>VLOOKUP($C494,'Substrate Heating'!$A$2:$M$33,13,FALSE)</f>
        <v>2</v>
      </c>
      <c r="AQ494" s="1">
        <f>VLOOKUP($C494,'Substrate Heating'!$A$2:$M$33,8,FALSE)</f>
        <v>1</v>
      </c>
      <c r="AR494" s="1">
        <f t="shared" si="7"/>
        <v>0.41666666666666652</v>
      </c>
    </row>
    <row r="495" spans="1:44" x14ac:dyDescent="0.2">
      <c r="A495" s="8" t="s">
        <v>792</v>
      </c>
      <c r="B495" s="18" t="s">
        <v>324</v>
      </c>
      <c r="C495" t="s">
        <v>365</v>
      </c>
      <c r="D495" s="23" t="s">
        <v>338</v>
      </c>
      <c r="E495" t="s">
        <v>81</v>
      </c>
      <c r="F495" t="s">
        <v>73</v>
      </c>
      <c r="G495">
        <v>-10</v>
      </c>
      <c r="H495">
        <v>0</v>
      </c>
      <c r="I495">
        <v>0</v>
      </c>
      <c r="J495">
        <v>0.45</v>
      </c>
      <c r="K495">
        <v>-10</v>
      </c>
      <c r="L495">
        <v>0</v>
      </c>
      <c r="M495">
        <v>0</v>
      </c>
      <c r="N495">
        <v>0</v>
      </c>
      <c r="O495" s="28" t="s">
        <v>426</v>
      </c>
      <c r="P495"/>
      <c r="Q495" s="28" t="s">
        <v>427</v>
      </c>
      <c r="R495">
        <v>0.256321796677972</v>
      </c>
      <c r="S495" s="1" t="str">
        <f>VLOOKUP($E495,'Product Naming'!$A$1:$P$58,2,FALSE)</f>
        <v>1-propanol-PW2</v>
      </c>
      <c r="T495" s="1" t="str">
        <f>VLOOKUP($E495,'Product Naming'!$A$1:$P$58,3,FALSE)</f>
        <v>1-Propanol (PW2)</v>
      </c>
      <c r="U495" s="1" t="str">
        <f>VLOOKUP($E495,'Product Naming'!$A$1:$P$58,4,FALSE)</f>
        <v>E-S</v>
      </c>
      <c r="V495" s="1" t="str">
        <f>VLOOKUP($E495,'Product Naming'!$A$1:$P$58,5,FALSE)</f>
        <v>C3H8O</v>
      </c>
      <c r="W495" s="1">
        <f>VLOOKUP($E495,'Product Naming'!$A$1:$P$58,6,FALSE)</f>
        <v>3</v>
      </c>
      <c r="X495" s="1">
        <f>VLOOKUP($E495,'Product Naming'!$A$1:$P$58,7,FALSE)</f>
        <v>8</v>
      </c>
      <c r="Y495" s="1">
        <f>VLOOKUP($E495,'Product Naming'!$A$1:$P$58,8,FALSE)</f>
        <v>1</v>
      </c>
      <c r="Z495" s="1">
        <f>VLOOKUP($E495,'Product Naming'!$A$1:$P$58,9,FALSE)</f>
        <v>0</v>
      </c>
      <c r="AA495" s="1">
        <f>VLOOKUP($E495,'Product Naming'!$A$1:$P$58,10,FALSE)</f>
        <v>0</v>
      </c>
      <c r="AB495" s="29">
        <f>VLOOKUP($E495,'Product Naming'!$A$1:$P$58,11,FALSE)</f>
        <v>6</v>
      </c>
      <c r="AC495" s="3">
        <f>VLOOKUP($E495,'Product Naming'!$A$1:$P$58,12,FALSE)</f>
        <v>60.093820000000001</v>
      </c>
      <c r="AD495" s="1">
        <f>VLOOKUP($E495,'Product Naming'!$A$1:$P$58,13,FALSE)</f>
        <v>97</v>
      </c>
      <c r="AE495" s="1" t="str">
        <f>VLOOKUP($E495,'Product Naming'!$A$1:$P$58,14,FALSE)</f>
        <v>Alcohol</v>
      </c>
      <c r="AF495" s="1" t="str">
        <f>VLOOKUP($E495,'Product Naming'!$A$1:$P$58,15,FALSE)</f>
        <v>Oxaloacetate</v>
      </c>
      <c r="AG495" s="30" t="str">
        <f>VLOOKUP($E495,'Product Naming'!$A$1:$P$58,16,FALSE)</f>
        <v>Proton symporter</v>
      </c>
      <c r="AH495" s="3" t="str">
        <f>VLOOKUP($E495,'Product Naming'!$A$1:$Q$58,17,FALSE)</f>
        <v>ppoh_c</v>
      </c>
      <c r="AI495" s="1">
        <f>VLOOKUP($E495,'Product Parameters'!$A$2:$D$59,2,FALSE)</f>
        <v>1</v>
      </c>
      <c r="AJ495" s="1">
        <f>VLOOKUP($E495,'Product Parameters'!$A$2:$D$59,3,FALSE)</f>
        <v>0</v>
      </c>
      <c r="AK495" s="1">
        <f>VLOOKUP($E495,'Product Parameters'!$A$2:$D$59,4,FALSE)</f>
        <v>0.12</v>
      </c>
      <c r="AL495" s="1">
        <f>VLOOKUP($E495,'Product Parameters'!$A$2:$E$59,5,FALSE)</f>
        <v>47</v>
      </c>
      <c r="AM495" s="1">
        <f>VLOOKUP($E495,'Product Parameters'!$A$2:$F$59,6,FALSE)</f>
        <v>3</v>
      </c>
      <c r="AN495" s="1">
        <f>VLOOKUP($C495,'Substrate Heating'!$A$2:$C$33,3,FALSE)</f>
        <v>638.57832580000002</v>
      </c>
      <c r="AO495" s="1">
        <f>VLOOKUP($C495,'Substrate Heating'!$A$2:$B$33,2,FALSE)</f>
        <v>19.93</v>
      </c>
      <c r="AP495" s="1">
        <f>VLOOKUP($C495,'Substrate Heating'!$A$2:$M$33,13,FALSE)</f>
        <v>6</v>
      </c>
      <c r="AQ495" s="1">
        <f>VLOOKUP($C495,'Substrate Heating'!$A$2:$M$33,8,FALSE)</f>
        <v>1</v>
      </c>
      <c r="AR495" s="1">
        <f t="shared" si="7"/>
        <v>0.41000000000000097</v>
      </c>
    </row>
    <row r="496" spans="1:44" x14ac:dyDescent="0.2">
      <c r="A496" s="8" t="s">
        <v>809</v>
      </c>
      <c r="B496" s="18" t="s">
        <v>324</v>
      </c>
      <c r="C496" t="s">
        <v>808</v>
      </c>
      <c r="D496" s="19" t="s">
        <v>326</v>
      </c>
      <c r="E496" t="s">
        <v>81</v>
      </c>
      <c r="F496" t="s">
        <v>73</v>
      </c>
      <c r="G496">
        <v>-10</v>
      </c>
      <c r="H496">
        <v>0</v>
      </c>
      <c r="I496">
        <v>-20</v>
      </c>
      <c r="J496">
        <v>0.45</v>
      </c>
      <c r="K496">
        <v>-7.5999999999999899</v>
      </c>
      <c r="L496">
        <v>0</v>
      </c>
      <c r="M496">
        <v>-20</v>
      </c>
      <c r="N496">
        <v>-7.5999999999999899</v>
      </c>
      <c r="O496">
        <v>1.6</v>
      </c>
      <c r="P496"/>
      <c r="Q496">
        <v>0.21052631578947301</v>
      </c>
      <c r="R496">
        <v>0.25653985634852</v>
      </c>
      <c r="S496" s="1" t="str">
        <f>VLOOKUP($E496,'Product Naming'!$A$1:$P$58,2,FALSE)</f>
        <v>1-propanol-PW2</v>
      </c>
      <c r="T496" s="1" t="str">
        <f>VLOOKUP($E496,'Product Naming'!$A$1:$P$58,3,FALSE)</f>
        <v>1-Propanol (PW2)</v>
      </c>
      <c r="U496" s="1" t="str">
        <f>VLOOKUP($E496,'Product Naming'!$A$1:$P$58,4,FALSE)</f>
        <v>E-S</v>
      </c>
      <c r="V496" s="1" t="str">
        <f>VLOOKUP($E496,'Product Naming'!$A$1:$P$58,5,FALSE)</f>
        <v>C3H8O</v>
      </c>
      <c r="W496" s="1">
        <f>VLOOKUP($E496,'Product Naming'!$A$1:$P$58,6,FALSE)</f>
        <v>3</v>
      </c>
      <c r="X496" s="1">
        <f>VLOOKUP($E496,'Product Naming'!$A$1:$P$58,7,FALSE)</f>
        <v>8</v>
      </c>
      <c r="Y496" s="1">
        <f>VLOOKUP($E496,'Product Naming'!$A$1:$P$58,8,FALSE)</f>
        <v>1</v>
      </c>
      <c r="Z496" s="1">
        <f>VLOOKUP($E496,'Product Naming'!$A$1:$P$58,9,FALSE)</f>
        <v>0</v>
      </c>
      <c r="AA496" s="1">
        <f>VLOOKUP($E496,'Product Naming'!$A$1:$P$58,10,FALSE)</f>
        <v>0</v>
      </c>
      <c r="AB496" s="29">
        <f>VLOOKUP($E496,'Product Naming'!$A$1:$P$58,11,FALSE)</f>
        <v>6</v>
      </c>
      <c r="AC496" s="3">
        <f>VLOOKUP($E496,'Product Naming'!$A$1:$P$58,12,FALSE)</f>
        <v>60.093820000000001</v>
      </c>
      <c r="AD496" s="1">
        <f>VLOOKUP($E496,'Product Naming'!$A$1:$P$58,13,FALSE)</f>
        <v>97</v>
      </c>
      <c r="AE496" s="1" t="str">
        <f>VLOOKUP($E496,'Product Naming'!$A$1:$P$58,14,FALSE)</f>
        <v>Alcohol</v>
      </c>
      <c r="AF496" s="1" t="str">
        <f>VLOOKUP($E496,'Product Naming'!$A$1:$P$58,15,FALSE)</f>
        <v>Oxaloacetate</v>
      </c>
      <c r="AG496" s="30" t="str">
        <f>VLOOKUP($E496,'Product Naming'!$A$1:$P$58,16,FALSE)</f>
        <v>Proton symporter</v>
      </c>
      <c r="AH496" s="3" t="str">
        <f>VLOOKUP($E496,'Product Naming'!$A$1:$Q$58,17,FALSE)</f>
        <v>ppoh_c</v>
      </c>
      <c r="AI496" s="1">
        <f>VLOOKUP($E496,'Product Parameters'!$A$2:$D$59,2,FALSE)</f>
        <v>1</v>
      </c>
      <c r="AJ496" s="1">
        <f>VLOOKUP($E496,'Product Parameters'!$A$2:$D$59,3,FALSE)</f>
        <v>0</v>
      </c>
      <c r="AK496" s="1">
        <f>VLOOKUP($E496,'Product Parameters'!$A$2:$D$59,4,FALSE)</f>
        <v>0.12</v>
      </c>
      <c r="AL496" s="1">
        <f>VLOOKUP($E496,'Product Parameters'!$A$2:$E$59,5,FALSE)</f>
        <v>47</v>
      </c>
      <c r="AM496" s="1">
        <f>VLOOKUP($E496,'Product Parameters'!$A$2:$F$59,6,FALSE)</f>
        <v>3</v>
      </c>
      <c r="AN496" s="1">
        <f>VLOOKUP($C496,'Substrate Heating'!$A$2:$C$33,3,FALSE)</f>
        <v>120.9</v>
      </c>
      <c r="AO496" s="1">
        <f>VLOOKUP($C496,'Substrate Heating'!$A$2:$B$33,2,FALSE)</f>
        <v>5.2537372583834907</v>
      </c>
      <c r="AP496" s="1">
        <f>VLOOKUP($C496,'Substrate Heating'!$A$2:$M$33,13,FALSE)</f>
        <v>0</v>
      </c>
      <c r="AQ496" s="1">
        <f>VLOOKUP($C496,'Substrate Heating'!$A$2:$M$33,8,FALSE)</f>
        <v>0.33333333333333331</v>
      </c>
      <c r="AR496" s="1">
        <f t="shared" si="7"/>
        <v>1.8947368421052571</v>
      </c>
    </row>
    <row r="497" spans="1:44" x14ac:dyDescent="0.2">
      <c r="A497" s="8" t="s">
        <v>34</v>
      </c>
      <c r="B497" s="9" t="s">
        <v>35</v>
      </c>
      <c r="C497" s="1" t="s">
        <v>345</v>
      </c>
      <c r="D497" s="10" t="s">
        <v>37</v>
      </c>
      <c r="E497" s="1" t="s">
        <v>301</v>
      </c>
      <c r="F497" s="1" t="s">
        <v>302</v>
      </c>
      <c r="G497" s="1">
        <v>-10</v>
      </c>
      <c r="H497" s="1">
        <v>-20</v>
      </c>
      <c r="I497" s="1" t="s">
        <v>40</v>
      </c>
      <c r="J497" s="1">
        <v>3.15</v>
      </c>
      <c r="K497" s="1">
        <v>-10</v>
      </c>
      <c r="L497" s="1">
        <v>-2.52879581151833</v>
      </c>
      <c r="M497" s="1" t="s">
        <v>40</v>
      </c>
      <c r="N497" s="1">
        <v>9.5172774869109897</v>
      </c>
      <c r="O497" s="1">
        <v>3.4942408376963301</v>
      </c>
      <c r="Q497" s="1">
        <v>0.34942408376963302</v>
      </c>
      <c r="R497" s="1">
        <v>0.25657417034381702</v>
      </c>
      <c r="S497" s="1" t="str">
        <f>VLOOKUP($E497,'Product Naming'!$A$1:$P$58,2,FALSE)</f>
        <v>Propane-PW1</v>
      </c>
      <c r="T497" s="1" t="str">
        <f>VLOOKUP($E497,'Product Naming'!$A$1:$P$58,3,FALSE)</f>
        <v>Propane (PW1)</v>
      </c>
      <c r="U497" s="1" t="str">
        <f>VLOOKUP($E497,'Product Naming'!$A$1:$P$58,4,FALSE)</f>
        <v>E</v>
      </c>
      <c r="V497" s="1" t="str">
        <f>VLOOKUP($E497,'Product Naming'!$A$1:$P$58,5,FALSE)</f>
        <v>C3H8</v>
      </c>
      <c r="W497" s="1">
        <f>VLOOKUP($E497,'Product Naming'!$A$1:$P$58,6,FALSE)</f>
        <v>3</v>
      </c>
      <c r="X497" s="1">
        <f>VLOOKUP($E497,'Product Naming'!$A$1:$P$58,7,FALSE)</f>
        <v>8</v>
      </c>
      <c r="Y497" s="1">
        <f>VLOOKUP($E497,'Product Naming'!$A$1:$P$58,8,FALSE)</f>
        <v>0</v>
      </c>
      <c r="Z497" s="1">
        <f>VLOOKUP($E497,'Product Naming'!$A$1:$P$58,9,FALSE)</f>
        <v>0</v>
      </c>
      <c r="AA497" s="1">
        <f>VLOOKUP($E497,'Product Naming'!$A$1:$P$58,10,FALSE)</f>
        <v>0</v>
      </c>
      <c r="AB497" s="29">
        <f>VLOOKUP($E497,'Product Naming'!$A$1:$P$58,11,FALSE)</f>
        <v>6.666666666666667</v>
      </c>
      <c r="AC497" s="3">
        <f>VLOOKUP($E497,'Product Naming'!$A$1:$P$58,12,FALSE)</f>
        <v>44.094819999999999</v>
      </c>
      <c r="AD497" s="1">
        <f>VLOOKUP($E497,'Product Naming'!$A$1:$P$58,13,FALSE)</f>
        <v>-42</v>
      </c>
      <c r="AE497" s="1" t="str">
        <f>VLOOKUP($E497,'Product Naming'!$A$1:$P$58,14,FALSE)</f>
        <v>Hydrocarbon</v>
      </c>
      <c r="AF497" s="1" t="str">
        <f>VLOOKUP($E497,'Product Naming'!$A$1:$P$58,15,FALSE)</f>
        <v>Acetyl-CoA</v>
      </c>
      <c r="AG497" s="30" t="str">
        <f>VLOOKUP($E497,'Product Naming'!$A$1:$P$58,16,FALSE)</f>
        <v>Diffusion</v>
      </c>
      <c r="AH497" s="3" t="str">
        <f>VLOOKUP($E497,'Product Naming'!$A$1:$Q$58,17,FALSE)</f>
        <v>prop_c</v>
      </c>
      <c r="AI497" s="1">
        <f>VLOOKUP($E497,'Product Parameters'!$A$2:$D$59,2,FALSE)</f>
        <v>0</v>
      </c>
      <c r="AJ497" s="1">
        <f>VLOOKUP($E497,'Product Parameters'!$A$2:$D$59,3,FALSE)</f>
        <v>1</v>
      </c>
      <c r="AK497" s="1">
        <f>VLOOKUP($E497,'Product Parameters'!$A$2:$D$59,4,FALSE)</f>
        <v>0.12</v>
      </c>
      <c r="AL497" s="1">
        <f>VLOOKUP($E497,'Product Parameters'!$A$2:$E$59,5,FALSE)</f>
        <v>0</v>
      </c>
      <c r="AM497" s="1">
        <f>VLOOKUP($E497,'Product Parameters'!$A$2:$F$59,6,FALSE)</f>
        <v>3</v>
      </c>
      <c r="AN497" s="1">
        <f>VLOOKUP($C497,'Substrate Heating'!$A$2:$C$33,3,FALSE)</f>
        <v>1020.8629199999999</v>
      </c>
      <c r="AO497" s="1">
        <f>VLOOKUP($C497,'Substrate Heating'!$A$2:$B$33,2,FALSE)</f>
        <v>17</v>
      </c>
      <c r="AP497" s="1">
        <f>VLOOKUP($C497,'Substrate Heating'!$A$2:$M$33,13,FALSE)</f>
        <v>4</v>
      </c>
      <c r="AQ497" s="1">
        <f>VLOOKUP($C497,'Substrate Heating'!$A$2:$M$33,8,FALSE)</f>
        <v>2</v>
      </c>
      <c r="AR497" s="1">
        <f t="shared" si="7"/>
        <v>0.52413612565444956</v>
      </c>
    </row>
    <row r="498" spans="1:44" x14ac:dyDescent="0.2">
      <c r="A498" s="17" t="s">
        <v>323</v>
      </c>
      <c r="B498" s="18" t="s">
        <v>324</v>
      </c>
      <c r="C498" t="s">
        <v>334</v>
      </c>
      <c r="D498" s="19" t="s">
        <v>326</v>
      </c>
      <c r="E498" t="s">
        <v>130</v>
      </c>
      <c r="F498" t="s">
        <v>125</v>
      </c>
      <c r="G498">
        <v>-10</v>
      </c>
      <c r="H498">
        <v>0</v>
      </c>
      <c r="I498">
        <v>-5</v>
      </c>
      <c r="J498">
        <v>0.45</v>
      </c>
      <c r="K498">
        <v>-10</v>
      </c>
      <c r="L498">
        <v>0</v>
      </c>
      <c r="M498">
        <v>-5</v>
      </c>
      <c r="N498">
        <v>2.5</v>
      </c>
      <c r="O498">
        <v>1.7</v>
      </c>
      <c r="P498"/>
      <c r="Q498">
        <v>0.17</v>
      </c>
      <c r="R498">
        <v>0.25678609937159302</v>
      </c>
      <c r="S498" s="1" t="str">
        <f>VLOOKUP($E498,'Product Naming'!$A$1:$P$58,2,FALSE)</f>
        <v>Acrylate-PW2</v>
      </c>
      <c r="T498" s="1" t="str">
        <f>VLOOKUP($E498,'Product Naming'!$A$1:$P$58,3,FALSE)</f>
        <v>Acrylate (PW2)</v>
      </c>
      <c r="U498" s="1" t="str">
        <f>VLOOKUP($E498,'Product Naming'!$A$1:$P$58,4,FALSE)</f>
        <v>A</v>
      </c>
      <c r="V498" s="1" t="str">
        <f>VLOOKUP($E498,'Product Naming'!$A$1:$P$58,5,FALSE)</f>
        <v>C3H3O2</v>
      </c>
      <c r="W498" s="1">
        <f>VLOOKUP($E498,'Product Naming'!$A$1:$P$58,6,FALSE)</f>
        <v>3</v>
      </c>
      <c r="X498" s="1">
        <f>VLOOKUP($E498,'Product Naming'!$A$1:$P$58,7,FALSE)</f>
        <v>3</v>
      </c>
      <c r="Y498" s="1">
        <f>VLOOKUP($E498,'Product Naming'!$A$1:$P$58,8,FALSE)</f>
        <v>2</v>
      </c>
      <c r="Z498" s="1">
        <f>VLOOKUP($E498,'Product Naming'!$A$1:$P$58,9,FALSE)</f>
        <v>0</v>
      </c>
      <c r="AA498" s="1">
        <f>VLOOKUP($E498,'Product Naming'!$A$1:$P$58,10,FALSE)</f>
        <v>-1</v>
      </c>
      <c r="AB498" s="29">
        <f>VLOOKUP($E498,'Product Naming'!$A$1:$P$58,11,FALSE)</f>
        <v>3.6666666666666665</v>
      </c>
      <c r="AC498" s="3">
        <f>VLOOKUP($E498,'Product Naming'!$A$1:$P$58,12,FALSE)</f>
        <v>71.053619999999995</v>
      </c>
      <c r="AD498" s="1">
        <f>VLOOKUP($E498,'Product Naming'!$A$1:$P$58,13,FALSE)</f>
        <v>80</v>
      </c>
      <c r="AE498" s="1" t="str">
        <f>VLOOKUP($E498,'Product Naming'!$A$1:$P$58,14,FALSE)</f>
        <v>Carboxylate</v>
      </c>
      <c r="AF498" s="1" t="str">
        <f>VLOOKUP($E498,'Product Naming'!$A$1:$P$58,15,FALSE)</f>
        <v>Pyruvate</v>
      </c>
      <c r="AG498" s="30" t="str">
        <f>VLOOKUP($E498,'Product Naming'!$A$1:$P$58,16,FALSE)</f>
        <v>Proton symporter</v>
      </c>
      <c r="AH498" s="3" t="str">
        <f>VLOOKUP($E498,'Product Naming'!$A$1:$Q$58,17,FALSE)</f>
        <v>acryl_c</v>
      </c>
      <c r="AI498" s="1">
        <f>VLOOKUP($E498,'Product Parameters'!$A$2:$D$59,2,FALSE)</f>
        <v>1</v>
      </c>
      <c r="AJ498" s="1">
        <f>VLOOKUP($E498,'Product Parameters'!$A$2:$D$59,3,FALSE)</f>
        <v>0</v>
      </c>
      <c r="AK498" s="1">
        <f>VLOOKUP($E498,'Product Parameters'!$A$2:$D$59,4,FALSE)</f>
        <v>0.12</v>
      </c>
      <c r="AL498" s="1">
        <f>VLOOKUP($E498,'Product Parameters'!$A$2:$E$59,5,FALSE)</f>
        <v>53.1</v>
      </c>
      <c r="AM498" s="1">
        <f>VLOOKUP($E498,'Product Parameters'!$A$2:$F$59,6,FALSE)</f>
        <v>3</v>
      </c>
      <c r="AN498" s="1">
        <f>VLOOKUP($C498,'Substrate Heating'!$A$2:$C$33,3,FALSE)</f>
        <v>249.93333333333334</v>
      </c>
      <c r="AO498" s="1">
        <f>VLOOKUP($C498,'Substrate Heating'!$A$2:$B$33,2,FALSE)</f>
        <v>8.1456827881222953</v>
      </c>
      <c r="AP498" s="1">
        <f>VLOOKUP($C498,'Substrate Heating'!$A$2:$M$33,13,FALSE)</f>
        <v>0.66666666666666663</v>
      </c>
      <c r="AQ498" s="1">
        <f>VLOOKUP($C498,'Substrate Heating'!$A$2:$M$33,8,FALSE)</f>
        <v>0.66666666666666663</v>
      </c>
      <c r="AR498" s="1">
        <f t="shared" si="7"/>
        <v>0.76500000000000001</v>
      </c>
    </row>
    <row r="499" spans="1:44" x14ac:dyDescent="0.2">
      <c r="A499" s="8" t="s">
        <v>34</v>
      </c>
      <c r="B499" s="9" t="s">
        <v>35</v>
      </c>
      <c r="C499" s="1" t="s">
        <v>345</v>
      </c>
      <c r="D499" s="10" t="s">
        <v>37</v>
      </c>
      <c r="E499" s="1" t="s">
        <v>158</v>
      </c>
      <c r="F499" s="1" t="s">
        <v>159</v>
      </c>
      <c r="G499" s="1">
        <v>-10</v>
      </c>
      <c r="H499" s="1">
        <v>-20</v>
      </c>
      <c r="I499" s="1" t="s">
        <v>40</v>
      </c>
      <c r="J499" s="1">
        <v>3.15</v>
      </c>
      <c r="K499" s="1">
        <v>-10</v>
      </c>
      <c r="L499" s="1">
        <v>-2.74017857142857</v>
      </c>
      <c r="M499" s="1" t="s">
        <v>40</v>
      </c>
      <c r="N499" s="1">
        <v>9.3785714285714299</v>
      </c>
      <c r="O499" s="1">
        <v>2.6553571428571399</v>
      </c>
      <c r="Q499" s="1">
        <v>0.26553571428571399</v>
      </c>
      <c r="R499" s="1">
        <v>0.25699817420140603</v>
      </c>
      <c r="S499" s="1" t="str">
        <f>VLOOKUP($E499,'Product Naming'!$A$1:$P$58,2,FALSE)</f>
        <v>Butane</v>
      </c>
      <c r="T499" s="1" t="str">
        <f>VLOOKUP($E499,'Product Naming'!$A$1:$P$58,3,FALSE)</f>
        <v>Butane</v>
      </c>
      <c r="U499" s="1" t="str">
        <f>VLOOKUP($E499,'Product Naming'!$A$1:$P$58,4,FALSE)</f>
        <v>E</v>
      </c>
      <c r="V499" s="1" t="str">
        <f>VLOOKUP($E499,'Product Naming'!$A$1:$P$58,5,FALSE)</f>
        <v>C4H10</v>
      </c>
      <c r="W499" s="1">
        <f>VLOOKUP($E499,'Product Naming'!$A$1:$P$58,6,FALSE)</f>
        <v>4</v>
      </c>
      <c r="X499" s="1">
        <f>VLOOKUP($E499,'Product Naming'!$A$1:$P$58,7,FALSE)</f>
        <v>10</v>
      </c>
      <c r="Y499" s="1">
        <f>VLOOKUP($E499,'Product Naming'!$A$1:$P$58,8,FALSE)</f>
        <v>0</v>
      </c>
      <c r="Z499" s="1">
        <f>VLOOKUP($E499,'Product Naming'!$A$1:$P$58,9,FALSE)</f>
        <v>0</v>
      </c>
      <c r="AA499" s="1">
        <f>VLOOKUP($E499,'Product Naming'!$A$1:$P$58,10,FALSE)</f>
        <v>0</v>
      </c>
      <c r="AB499" s="29">
        <f>VLOOKUP($E499,'Product Naming'!$A$1:$P$58,11,FALSE)</f>
        <v>6.5</v>
      </c>
      <c r="AC499" s="3">
        <f>VLOOKUP($E499,'Product Naming'!$A$1:$P$58,12,FALSE)</f>
        <v>58.121200000000002</v>
      </c>
      <c r="AD499" s="1">
        <f>VLOOKUP($E499,'Product Naming'!$A$1:$P$58,13,FALSE)</f>
        <v>-1</v>
      </c>
      <c r="AE499" s="1" t="str">
        <f>VLOOKUP($E499,'Product Naming'!$A$1:$P$58,14,FALSE)</f>
        <v>Hydrocarbon (alkane)</v>
      </c>
      <c r="AF499" s="1" t="str">
        <f>VLOOKUP($E499,'Product Naming'!$A$1:$P$58,15,FALSE)</f>
        <v>Acetyl-CoA + Succinyl-CoA</v>
      </c>
      <c r="AG499" s="30" t="str">
        <f>VLOOKUP($E499,'Product Naming'!$A$1:$P$58,16,FALSE)</f>
        <v>Diffusion</v>
      </c>
      <c r="AH499" s="3" t="str">
        <f>VLOOKUP($E499,'Product Naming'!$A$1:$Q$58,17,FALSE)</f>
        <v>butn_c</v>
      </c>
      <c r="AI499" s="1">
        <f>VLOOKUP($E499,'Product Parameters'!$A$2:$D$59,2,FALSE)</f>
        <v>0</v>
      </c>
      <c r="AJ499" s="1">
        <f>VLOOKUP($E499,'Product Parameters'!$A$2:$D$59,3,FALSE)</f>
        <v>1</v>
      </c>
      <c r="AK499" s="1">
        <f>VLOOKUP($E499,'Product Parameters'!$A$2:$D$59,4,FALSE)</f>
        <v>0.12</v>
      </c>
      <c r="AL499" s="1">
        <f>VLOOKUP($E499,'Product Parameters'!$A$2:$E$59,5,FALSE)</f>
        <v>0</v>
      </c>
      <c r="AM499" s="1">
        <f>VLOOKUP($E499,'Product Parameters'!$A$2:$F$59,6,FALSE)</f>
        <v>4</v>
      </c>
      <c r="AN499" s="1">
        <f>VLOOKUP($C499,'Substrate Heating'!$A$2:$C$33,3,FALSE)</f>
        <v>1020.8629199999999</v>
      </c>
      <c r="AO499" s="1">
        <f>VLOOKUP($C499,'Substrate Heating'!$A$2:$B$33,2,FALSE)</f>
        <v>17</v>
      </c>
      <c r="AP499" s="1">
        <f>VLOOKUP($C499,'Substrate Heating'!$A$2:$M$33,13,FALSE)</f>
        <v>4</v>
      </c>
      <c r="AQ499" s="1">
        <f>VLOOKUP($C499,'Substrate Heating'!$A$2:$M$33,8,FALSE)</f>
        <v>2</v>
      </c>
      <c r="AR499" s="1">
        <f t="shared" si="7"/>
        <v>0.53107142857142797</v>
      </c>
    </row>
    <row r="500" spans="1:44" x14ac:dyDescent="0.2">
      <c r="A500" s="17" t="s">
        <v>323</v>
      </c>
      <c r="B500" s="18" t="s">
        <v>324</v>
      </c>
      <c r="C500" t="s">
        <v>335</v>
      </c>
      <c r="D500" s="19" t="s">
        <v>326</v>
      </c>
      <c r="E500" t="s">
        <v>164</v>
      </c>
      <c r="F500" t="s">
        <v>165</v>
      </c>
      <c r="G500">
        <v>-10</v>
      </c>
      <c r="H500">
        <v>0</v>
      </c>
      <c r="I500">
        <v>-10</v>
      </c>
      <c r="J500">
        <v>0.45</v>
      </c>
      <c r="K500">
        <v>-10</v>
      </c>
      <c r="L500">
        <v>0</v>
      </c>
      <c r="M500">
        <v>-10</v>
      </c>
      <c r="N500">
        <v>3.3333333333333299</v>
      </c>
      <c r="O500">
        <v>1.6666666666666701</v>
      </c>
      <c r="P500"/>
      <c r="Q500">
        <v>0.16666666666666699</v>
      </c>
      <c r="R500">
        <v>0.25709613954469301</v>
      </c>
      <c r="S500" s="1" t="str">
        <f>VLOOKUP($E500,'Product Naming'!$A$1:$P$58,2,FALSE)</f>
        <v>Butanol-PW1</v>
      </c>
      <c r="T500" s="1" t="str">
        <f>VLOOKUP($E500,'Product Naming'!$A$1:$P$58,3,FALSE)</f>
        <v>Butanol (PW1)</v>
      </c>
      <c r="U500" s="1" t="str">
        <f>VLOOKUP($E500,'Product Naming'!$A$1:$P$58,4,FALSE)</f>
        <v>E</v>
      </c>
      <c r="V500" s="1" t="str">
        <f>VLOOKUP($E500,'Product Naming'!$A$1:$P$58,5,FALSE)</f>
        <v>C4H10O</v>
      </c>
      <c r="W500" s="1">
        <f>VLOOKUP($E500,'Product Naming'!$A$1:$P$58,6,FALSE)</f>
        <v>4</v>
      </c>
      <c r="X500" s="1">
        <f>VLOOKUP($E500,'Product Naming'!$A$1:$P$58,7,FALSE)</f>
        <v>10</v>
      </c>
      <c r="Y500" s="1">
        <f>VLOOKUP($E500,'Product Naming'!$A$1:$P$58,8,FALSE)</f>
        <v>1</v>
      </c>
      <c r="Z500" s="1">
        <f>VLOOKUP($E500,'Product Naming'!$A$1:$P$58,9,FALSE)</f>
        <v>0</v>
      </c>
      <c r="AA500" s="1">
        <f>VLOOKUP($E500,'Product Naming'!$A$1:$P$58,10,FALSE)</f>
        <v>0</v>
      </c>
      <c r="AB500" s="29">
        <f>VLOOKUP($E500,'Product Naming'!$A$1:$P$58,11,FALSE)</f>
        <v>6</v>
      </c>
      <c r="AC500" s="3">
        <f>VLOOKUP($E500,'Product Naming'!$A$1:$P$58,12,FALSE)</f>
        <v>74.120199999999997</v>
      </c>
      <c r="AD500" s="1">
        <f>VLOOKUP($E500,'Product Naming'!$A$1:$P$58,13,FALSE)</f>
        <v>117.7</v>
      </c>
      <c r="AE500" s="1" t="str">
        <f>VLOOKUP($E500,'Product Naming'!$A$1:$P$58,14,FALSE)</f>
        <v>Alcohol</v>
      </c>
      <c r="AF500" s="1" t="str">
        <f>VLOOKUP($E500,'Product Naming'!$A$1:$P$58,15,FALSE)</f>
        <v>Acetyl-CoA</v>
      </c>
      <c r="AG500" s="30" t="str">
        <f>VLOOKUP($E500,'Product Naming'!$A$1:$P$58,16,FALSE)</f>
        <v>Proton symporter</v>
      </c>
      <c r="AH500" s="3" t="str">
        <f>VLOOKUP($E500,'Product Naming'!$A$1:$Q$58,17,FALSE)</f>
        <v>btoh_c</v>
      </c>
      <c r="AI500" s="1">
        <f>VLOOKUP($E500,'Product Parameters'!$A$2:$D$59,2,FALSE)</f>
        <v>1</v>
      </c>
      <c r="AJ500" s="1">
        <f>VLOOKUP($E500,'Product Parameters'!$A$2:$D$59,3,FALSE)</f>
        <v>0</v>
      </c>
      <c r="AK500" s="1">
        <f>VLOOKUP($E500,'Product Parameters'!$A$2:$D$59,4,FALSE)</f>
        <v>0.12</v>
      </c>
      <c r="AL500" s="1">
        <f>VLOOKUP($E500,'Product Parameters'!$A$2:$E$59,5,FALSE)</f>
        <v>52</v>
      </c>
      <c r="AM500" s="1">
        <f>VLOOKUP($E500,'Product Parameters'!$A$2:$F$59,6,FALSE)</f>
        <v>4</v>
      </c>
      <c r="AN500" s="1">
        <f>VLOOKUP($C500,'Substrate Heating'!$A$2:$C$33,3,FALSE)</f>
        <v>247.9</v>
      </c>
      <c r="AO500" s="1">
        <f>VLOOKUP($C500,'Substrate Heating'!$A$2:$B$33,2,FALSE)</f>
        <v>10.541709491918519</v>
      </c>
      <c r="AP500" s="1">
        <f>VLOOKUP($C500,'Substrate Heating'!$A$2:$M$33,13,FALSE)</f>
        <v>0.5</v>
      </c>
      <c r="AQ500" s="1">
        <f>VLOOKUP($C500,'Substrate Heating'!$A$2:$M$33,8,FALSE)</f>
        <v>0.5</v>
      </c>
      <c r="AR500" s="1">
        <f t="shared" si="7"/>
        <v>1.3333333333333359</v>
      </c>
    </row>
    <row r="501" spans="1:44" x14ac:dyDescent="0.2">
      <c r="A501" s="17" t="s">
        <v>323</v>
      </c>
      <c r="B501" s="18" t="s">
        <v>324</v>
      </c>
      <c r="C501" t="s">
        <v>335</v>
      </c>
      <c r="D501" s="19" t="s">
        <v>326</v>
      </c>
      <c r="E501" t="s">
        <v>169</v>
      </c>
      <c r="F501" t="s">
        <v>165</v>
      </c>
      <c r="G501">
        <v>-10</v>
      </c>
      <c r="H501">
        <v>0</v>
      </c>
      <c r="I501">
        <v>-10</v>
      </c>
      <c r="J501">
        <v>0.45</v>
      </c>
      <c r="K501">
        <v>-10</v>
      </c>
      <c r="L501">
        <v>0</v>
      </c>
      <c r="M501">
        <v>-10</v>
      </c>
      <c r="N501">
        <v>3.3333333333333299</v>
      </c>
      <c r="O501">
        <v>1.6666666666666701</v>
      </c>
      <c r="P501"/>
      <c r="Q501">
        <v>0.16666666666666699</v>
      </c>
      <c r="R501">
        <v>0.25709613954469301</v>
      </c>
      <c r="S501" s="1" t="str">
        <f>VLOOKUP($E501,'Product Naming'!$A$1:$P$58,2,FALSE)</f>
        <v>Butanol-PW2</v>
      </c>
      <c r="T501" s="1" t="str">
        <f>VLOOKUP($E501,'Product Naming'!$A$1:$P$58,3,FALSE)</f>
        <v>Butanol (PW2)</v>
      </c>
      <c r="U501" s="1" t="str">
        <f>VLOOKUP($E501,'Product Naming'!$A$1:$P$58,4,FALSE)</f>
        <v>E</v>
      </c>
      <c r="V501" s="1" t="str">
        <f>VLOOKUP($E501,'Product Naming'!$A$1:$P$58,5,FALSE)</f>
        <v>C4H10O</v>
      </c>
      <c r="W501" s="1">
        <f>VLOOKUP($E501,'Product Naming'!$A$1:$P$58,6,FALSE)</f>
        <v>4</v>
      </c>
      <c r="X501" s="1">
        <f>VLOOKUP($E501,'Product Naming'!$A$1:$P$58,7,FALSE)</f>
        <v>10</v>
      </c>
      <c r="Y501" s="1">
        <f>VLOOKUP($E501,'Product Naming'!$A$1:$P$58,8,FALSE)</f>
        <v>1</v>
      </c>
      <c r="Z501" s="1">
        <f>VLOOKUP($E501,'Product Naming'!$A$1:$P$58,9,FALSE)</f>
        <v>0</v>
      </c>
      <c r="AA501" s="1">
        <f>VLOOKUP($E501,'Product Naming'!$A$1:$P$58,10,FALSE)</f>
        <v>0</v>
      </c>
      <c r="AB501" s="29">
        <f>VLOOKUP($E501,'Product Naming'!$A$1:$P$58,11,FALSE)</f>
        <v>6</v>
      </c>
      <c r="AC501" s="3">
        <f>VLOOKUP($E501,'Product Naming'!$A$1:$P$58,12,FALSE)</f>
        <v>74.120199999999997</v>
      </c>
      <c r="AD501" s="1">
        <f>VLOOKUP($E501,'Product Naming'!$A$1:$P$58,13,FALSE)</f>
        <v>117.7</v>
      </c>
      <c r="AE501" s="1" t="str">
        <f>VLOOKUP($E501,'Product Naming'!$A$1:$P$58,14,FALSE)</f>
        <v>Alcohol</v>
      </c>
      <c r="AF501" s="1" t="str">
        <f>VLOOKUP($E501,'Product Naming'!$A$1:$P$58,15,FALSE)</f>
        <v>Oxaloacetate</v>
      </c>
      <c r="AG501" s="30" t="str">
        <f>VLOOKUP($E501,'Product Naming'!$A$1:$P$58,16,FALSE)</f>
        <v>Proton symporter</v>
      </c>
      <c r="AH501" s="3" t="str">
        <f>VLOOKUP($E501,'Product Naming'!$A$1:$Q$58,17,FALSE)</f>
        <v>btoh_c</v>
      </c>
      <c r="AI501" s="1">
        <f>VLOOKUP($E501,'Product Parameters'!$A$2:$D$59,2,FALSE)</f>
        <v>1</v>
      </c>
      <c r="AJ501" s="1">
        <f>VLOOKUP($E501,'Product Parameters'!$A$2:$D$59,3,FALSE)</f>
        <v>0</v>
      </c>
      <c r="AK501" s="1">
        <f>VLOOKUP($E501,'Product Parameters'!$A$2:$D$59,4,FALSE)</f>
        <v>0.12</v>
      </c>
      <c r="AL501" s="1">
        <f>VLOOKUP($E501,'Product Parameters'!$A$2:$E$59,5,FALSE)</f>
        <v>52</v>
      </c>
      <c r="AM501" s="1">
        <f>VLOOKUP($E501,'Product Parameters'!$A$2:$F$59,6,FALSE)</f>
        <v>4</v>
      </c>
      <c r="AN501" s="1">
        <f>VLOOKUP($C501,'Substrate Heating'!$A$2:$C$33,3,FALSE)</f>
        <v>247.9</v>
      </c>
      <c r="AO501" s="1">
        <f>VLOOKUP($C501,'Substrate Heating'!$A$2:$B$33,2,FALSE)</f>
        <v>10.541709491918519</v>
      </c>
      <c r="AP501" s="1">
        <f>VLOOKUP($C501,'Substrate Heating'!$A$2:$M$33,13,FALSE)</f>
        <v>0.5</v>
      </c>
      <c r="AQ501" s="1">
        <f>VLOOKUP($C501,'Substrate Heating'!$A$2:$M$33,8,FALSE)</f>
        <v>0.5</v>
      </c>
      <c r="AR501" s="1">
        <f t="shared" si="7"/>
        <v>1.3333333333333359</v>
      </c>
    </row>
    <row r="502" spans="1:44" x14ac:dyDescent="0.2">
      <c r="A502" s="17" t="s">
        <v>323</v>
      </c>
      <c r="B502" s="18" t="s">
        <v>324</v>
      </c>
      <c r="C502" t="s">
        <v>327</v>
      </c>
      <c r="D502" s="19" t="s">
        <v>326</v>
      </c>
      <c r="E502" t="s">
        <v>225</v>
      </c>
      <c r="F502" t="s">
        <v>226</v>
      </c>
      <c r="G502">
        <v>-10</v>
      </c>
      <c r="H502">
        <v>0</v>
      </c>
      <c r="I502">
        <v>-5</v>
      </c>
      <c r="J502">
        <v>0.45</v>
      </c>
      <c r="K502">
        <v>-10</v>
      </c>
      <c r="L502">
        <v>0</v>
      </c>
      <c r="M502">
        <v>-5</v>
      </c>
      <c r="N502">
        <v>1.50344827586207</v>
      </c>
      <c r="O502">
        <v>0.99655172413793103</v>
      </c>
      <c r="P502"/>
      <c r="Q502">
        <v>9.9655172413793097E-2</v>
      </c>
      <c r="R502">
        <v>0.25769522659758998</v>
      </c>
      <c r="S502" s="1" t="str">
        <f>VLOOKUP($E502,'Product Naming'!$A$1:$P$58,2,FALSE)</f>
        <v>Glycolate</v>
      </c>
      <c r="T502" s="1" t="str">
        <f>VLOOKUP($E502,'Product Naming'!$A$1:$P$58,3,FALSE)</f>
        <v>Glycolate</v>
      </c>
      <c r="U502" s="1" t="str">
        <f>VLOOKUP($E502,'Product Naming'!$A$1:$P$58,4,FALSE)</f>
        <v>iJO1366</v>
      </c>
      <c r="V502" s="1" t="str">
        <f>VLOOKUP($E502,'Product Naming'!$A$1:$P$58,5,FALSE)</f>
        <v>C2H3O3</v>
      </c>
      <c r="W502" s="1">
        <f>VLOOKUP($E502,'Product Naming'!$A$1:$P$58,6,FALSE)</f>
        <v>2</v>
      </c>
      <c r="X502" s="1">
        <f>VLOOKUP($E502,'Product Naming'!$A$1:$P$58,7,FALSE)</f>
        <v>3</v>
      </c>
      <c r="Y502" s="1">
        <f>VLOOKUP($E502,'Product Naming'!$A$1:$P$58,8,FALSE)</f>
        <v>3</v>
      </c>
      <c r="Z502" s="1">
        <f>VLOOKUP($E502,'Product Naming'!$A$1:$P$58,9,FALSE)</f>
        <v>0</v>
      </c>
      <c r="AA502" s="1">
        <f>VLOOKUP($E502,'Product Naming'!$A$1:$P$58,10,FALSE)</f>
        <v>-1</v>
      </c>
      <c r="AB502" s="29">
        <f>VLOOKUP($E502,'Product Naming'!$A$1:$P$58,11,FALSE)</f>
        <v>2.5</v>
      </c>
      <c r="AC502" s="3">
        <f>VLOOKUP($E502,'Product Naming'!$A$1:$P$58,12,FALSE)</f>
        <v>75.041920000000005</v>
      </c>
      <c r="AD502" s="1">
        <f>VLOOKUP($E502,'Product Naming'!$A$1:$P$58,13,FALSE)</f>
        <v>112</v>
      </c>
      <c r="AE502" s="1" t="str">
        <f>VLOOKUP($E502,'Product Naming'!$A$1:$P$58,14,FALSE)</f>
        <v>Carboxylate + Alcohol (hydroxy carboxylate)</v>
      </c>
      <c r="AF502" s="1" t="str">
        <f>VLOOKUP($E502,'Product Naming'!$A$1:$P$58,15,FALSE)</f>
        <v>Glyoxylate (*isocitrate)</v>
      </c>
      <c r="AG502" s="30" t="str">
        <f>VLOOKUP($E502,'Product Naming'!$A$1:$P$58,16,FALSE)</f>
        <v>Proton symporter</v>
      </c>
      <c r="AH502" s="3" t="str">
        <f>VLOOKUP($E502,'Product Naming'!$A$1:$Q$58,17,FALSE)</f>
        <v>glyclt_c</v>
      </c>
      <c r="AI502" s="1">
        <f>VLOOKUP($E502,'Product Parameters'!$A$2:$D$59,2,FALSE)</f>
        <v>1</v>
      </c>
      <c r="AJ502" s="1">
        <f>VLOOKUP($E502,'Product Parameters'!$A$2:$D$59,3,FALSE)</f>
        <v>0</v>
      </c>
      <c r="AK502" s="1">
        <f>VLOOKUP($E502,'Product Parameters'!$A$2:$D$59,4,FALSE)</f>
        <v>0.12</v>
      </c>
      <c r="AL502" s="1">
        <f>VLOOKUP($E502,'Product Parameters'!$A$2:$E$59,5,FALSE)</f>
        <v>40.65</v>
      </c>
      <c r="AM502" s="1">
        <f>VLOOKUP($E502,'Product Parameters'!$A$2:$F$59,6,FALSE)</f>
        <v>2</v>
      </c>
      <c r="AN502" s="1">
        <f>VLOOKUP($C502,'Substrate Heating'!$A$2:$C$33,3,FALSE)</f>
        <v>269.26666666666665</v>
      </c>
      <c r="AO502" s="1">
        <f>VLOOKUP($C502,'Substrate Heating'!$A$2:$B$33,2,FALSE)</f>
        <v>13.919167510409219</v>
      </c>
      <c r="AP502" s="1">
        <f>VLOOKUP($C502,'Substrate Heating'!$A$2:$M$33,13,FALSE)</f>
        <v>1.3333333333333333</v>
      </c>
      <c r="AQ502" s="1">
        <f>VLOOKUP($C502,'Substrate Heating'!$A$2:$M$33,8,FALSE)</f>
        <v>0.66666666666666663</v>
      </c>
      <c r="AR502" s="1">
        <f t="shared" si="7"/>
        <v>0.29896551724137932</v>
      </c>
    </row>
    <row r="503" spans="1:44" x14ac:dyDescent="0.2">
      <c r="A503" s="8" t="s">
        <v>34</v>
      </c>
      <c r="B503" s="9" t="s">
        <v>35</v>
      </c>
      <c r="C503" s="1" t="s">
        <v>348</v>
      </c>
      <c r="D503" s="23" t="s">
        <v>338</v>
      </c>
      <c r="E503" s="1" t="s">
        <v>247</v>
      </c>
      <c r="F503" s="1" t="s">
        <v>248</v>
      </c>
      <c r="G503" s="1">
        <v>-10</v>
      </c>
      <c r="H503" s="1">
        <v>-20</v>
      </c>
      <c r="I503" s="1" t="s">
        <v>40</v>
      </c>
      <c r="J503" s="1">
        <v>3.15</v>
      </c>
      <c r="K503" s="1">
        <v>-10</v>
      </c>
      <c r="L503" s="1">
        <v>-6.4945205479452097</v>
      </c>
      <c r="M503" s="1" t="s">
        <v>40</v>
      </c>
      <c r="N503" s="1">
        <v>3.9246575342465699</v>
      </c>
      <c r="O503" s="1">
        <v>1.2150684931506801</v>
      </c>
      <c r="Q503" s="1">
        <v>0.121506849315068</v>
      </c>
      <c r="R503" s="1">
        <v>0.25831190601846699</v>
      </c>
      <c r="S503" s="1" t="str">
        <f>VLOOKUP($E503,'Product Naming'!$A$1:$P$58,2,FALSE)</f>
        <v>Isoprene</v>
      </c>
      <c r="T503" s="1" t="str">
        <f>VLOOKUP($E503,'Product Naming'!$A$1:$P$58,3,FALSE)</f>
        <v>Isoprene</v>
      </c>
      <c r="U503" s="1" t="str">
        <f>VLOOKUP($E503,'Product Naming'!$A$1:$P$58,4,FALSE)</f>
        <v>E</v>
      </c>
      <c r="V503" s="1" t="str">
        <f>VLOOKUP($E503,'Product Naming'!$A$1:$P$58,5,FALSE)</f>
        <v>C5H8</v>
      </c>
      <c r="W503" s="1">
        <f>VLOOKUP($E503,'Product Naming'!$A$1:$P$58,6,FALSE)</f>
        <v>5</v>
      </c>
      <c r="X503" s="1">
        <f>VLOOKUP($E503,'Product Naming'!$A$1:$P$58,7,FALSE)</f>
        <v>8</v>
      </c>
      <c r="Y503" s="1">
        <f>VLOOKUP($E503,'Product Naming'!$A$1:$P$58,8,FALSE)</f>
        <v>0</v>
      </c>
      <c r="Z503" s="1">
        <f>VLOOKUP($E503,'Product Naming'!$A$1:$P$58,9,FALSE)</f>
        <v>0</v>
      </c>
      <c r="AA503" s="1">
        <f>VLOOKUP($E503,'Product Naming'!$A$1:$P$58,10,FALSE)</f>
        <v>0</v>
      </c>
      <c r="AB503" s="29">
        <f>VLOOKUP($E503,'Product Naming'!$A$1:$P$58,11,FALSE)</f>
        <v>5.6</v>
      </c>
      <c r="AC503" s="3">
        <f>VLOOKUP($E503,'Product Naming'!$A$1:$P$58,12,FALSE)</f>
        <v>68.116219999999998</v>
      </c>
      <c r="AD503" s="1">
        <f>VLOOKUP($E503,'Product Naming'!$A$1:$P$58,13,FALSE)</f>
        <v>34.07</v>
      </c>
      <c r="AE503" s="1" t="str">
        <f>VLOOKUP($E503,'Product Naming'!$A$1:$P$58,14,FALSE)</f>
        <v>Hydrocarbon</v>
      </c>
      <c r="AF503" s="1" t="str">
        <f>VLOOKUP($E503,'Product Naming'!$A$1:$P$58,15,FALSE)</f>
        <v>Acetyl-CoA</v>
      </c>
      <c r="AG503" s="30" t="str">
        <f>VLOOKUP($E503,'Product Naming'!$A$1:$P$58,16,FALSE)</f>
        <v>Diffusion</v>
      </c>
      <c r="AH503" s="3" t="str">
        <f>VLOOKUP($E503,'Product Naming'!$A$1:$Q$58,17,FALSE)</f>
        <v>iprene_c</v>
      </c>
      <c r="AI503" s="1">
        <f>VLOOKUP($E503,'Product Parameters'!$A$2:$D$59,2,FALSE)</f>
        <v>0</v>
      </c>
      <c r="AJ503" s="1">
        <f>VLOOKUP($E503,'Product Parameters'!$A$2:$D$59,3,FALSE)</f>
        <v>1</v>
      </c>
      <c r="AK503" s="1">
        <f>VLOOKUP($E503,'Product Parameters'!$A$2:$D$59,4,FALSE)</f>
        <v>0.12</v>
      </c>
      <c r="AL503" s="1">
        <f>VLOOKUP($E503,'Product Parameters'!$A$2:$E$59,5,FALSE)</f>
        <v>26.4</v>
      </c>
      <c r="AM503" s="1">
        <f>VLOOKUP($E503,'Product Parameters'!$A$2:$F$59,6,FALSE)</f>
        <v>5</v>
      </c>
      <c r="AN503" s="1">
        <f>VLOOKUP($C503,'Substrate Heating'!$A$2:$C$33,3,FALSE)</f>
        <v>638.57832580000002</v>
      </c>
      <c r="AO503" s="1">
        <f>VLOOKUP($C503,'Substrate Heating'!$A$2:$B$33,2,FALSE)</f>
        <v>19.93</v>
      </c>
      <c r="AP503" s="1">
        <f>VLOOKUP($C503,'Substrate Heating'!$A$2:$M$33,13,FALSE)</f>
        <v>6</v>
      </c>
      <c r="AQ503" s="1">
        <f>VLOOKUP($C503,'Substrate Heating'!$A$2:$M$33,8,FALSE)</f>
        <v>1</v>
      </c>
      <c r="AR503" s="1">
        <f t="shared" si="7"/>
        <v>0.60753424657533994</v>
      </c>
    </row>
    <row r="504" spans="1:44" x14ac:dyDescent="0.2">
      <c r="A504" s="8" t="s">
        <v>34</v>
      </c>
      <c r="B504" s="9" t="s">
        <v>35</v>
      </c>
      <c r="C504" s="1" t="s">
        <v>348</v>
      </c>
      <c r="D504" s="23" t="s">
        <v>338</v>
      </c>
      <c r="E504" s="1" t="s">
        <v>204</v>
      </c>
      <c r="F504" s="1" t="s">
        <v>205</v>
      </c>
      <c r="G504" s="1">
        <v>-10</v>
      </c>
      <c r="H504" s="1">
        <v>-20</v>
      </c>
      <c r="I504" s="1" t="s">
        <v>40</v>
      </c>
      <c r="J504" s="1">
        <v>3.15</v>
      </c>
      <c r="K504" s="1">
        <v>-10</v>
      </c>
      <c r="L504" s="1">
        <v>-6.4750572082379803</v>
      </c>
      <c r="M504" s="1" t="s">
        <v>40</v>
      </c>
      <c r="N504" s="1">
        <v>3.9107551487414098</v>
      </c>
      <c r="O504" s="1">
        <v>0.40594965675057099</v>
      </c>
      <c r="Q504" s="1">
        <v>4.0594965675057097E-2</v>
      </c>
      <c r="R504" s="1">
        <v>0.25890300877823402</v>
      </c>
      <c r="S504" s="1" t="str">
        <f>VLOOKUP($E504,'Product Naming'!$A$1:$P$58,2,FALSE)</f>
        <v>Farnesene</v>
      </c>
      <c r="T504" s="1" t="str">
        <f>VLOOKUP($E504,'Product Naming'!$A$1:$P$58,3,FALSE)</f>
        <v>Farnesene</v>
      </c>
      <c r="U504" s="1" t="str">
        <f>VLOOKUP($E504,'Product Naming'!$A$1:$P$58,4,FALSE)</f>
        <v>A</v>
      </c>
      <c r="V504" s="1" t="str">
        <f>VLOOKUP($E504,'Product Naming'!$A$1:$P$58,5,FALSE)</f>
        <v>C15H24</v>
      </c>
      <c r="W504" s="1">
        <f>VLOOKUP($E504,'Product Naming'!$A$1:$P$58,6,FALSE)</f>
        <v>15</v>
      </c>
      <c r="X504" s="1">
        <f>VLOOKUP($E504,'Product Naming'!$A$1:$P$58,7,FALSE)</f>
        <v>24</v>
      </c>
      <c r="Y504" s="1">
        <f>VLOOKUP($E504,'Product Naming'!$A$1:$P$58,8,FALSE)</f>
        <v>0</v>
      </c>
      <c r="Z504" s="1">
        <f>VLOOKUP($E504,'Product Naming'!$A$1:$P$58,9,FALSE)</f>
        <v>0</v>
      </c>
      <c r="AA504" s="1">
        <f>VLOOKUP($E504,'Product Naming'!$A$1:$P$58,10,FALSE)</f>
        <v>0</v>
      </c>
      <c r="AB504" s="29">
        <f>VLOOKUP($E504,'Product Naming'!$A$1:$P$58,11,FALSE)</f>
        <v>5.6</v>
      </c>
      <c r="AC504" s="3">
        <f>VLOOKUP($E504,'Product Naming'!$A$1:$P$58,12,FALSE)</f>
        <v>204.34866000000002</v>
      </c>
      <c r="AD504" s="1" t="str">
        <f>VLOOKUP($E504,'Product Naming'!$A$1:$P$58,13,FALSE)</f>
        <v>260 (A)/272 (B)</v>
      </c>
      <c r="AE504" s="1" t="str">
        <f>VLOOKUP($E504,'Product Naming'!$A$1:$P$58,14,FALSE)</f>
        <v>Hydrocarbon</v>
      </c>
      <c r="AF504" s="1" t="str">
        <f>VLOOKUP($E504,'Product Naming'!$A$1:$P$58,15,FALSE)</f>
        <v>Acetyl-CoA</v>
      </c>
      <c r="AG504" s="30" t="str">
        <f>VLOOKUP($E504,'Product Naming'!$A$1:$P$58,16,FALSE)</f>
        <v>Proton symporter</v>
      </c>
      <c r="AH504" s="3" t="str">
        <f>VLOOKUP($E504,'Product Naming'!$A$1:$Q$58,17,FALSE)</f>
        <v>frene_c</v>
      </c>
      <c r="AI504" s="1">
        <f>VLOOKUP($E504,'Product Parameters'!$A$2:$D$59,2,FALSE)</f>
        <v>1</v>
      </c>
      <c r="AJ504" s="1">
        <f>VLOOKUP($E504,'Product Parameters'!$A$2:$D$59,3,FALSE)</f>
        <v>0</v>
      </c>
      <c r="AK504" s="1">
        <f>VLOOKUP($E504,'Product Parameters'!$A$2:$D$59,4,FALSE)</f>
        <v>0.12</v>
      </c>
      <c r="AL504" s="1">
        <f>VLOOKUP($E504,'Product Parameters'!$A$2:$E$59,5,FALSE)</f>
        <v>0</v>
      </c>
      <c r="AM504" s="1">
        <f>VLOOKUP($E504,'Product Parameters'!$A$2:$F$59,6,FALSE)</f>
        <v>15</v>
      </c>
      <c r="AN504" s="1">
        <f>VLOOKUP($C504,'Substrate Heating'!$A$2:$C$33,3,FALSE)</f>
        <v>638.57832580000002</v>
      </c>
      <c r="AO504" s="1">
        <f>VLOOKUP($C504,'Substrate Heating'!$A$2:$B$33,2,FALSE)</f>
        <v>19.93</v>
      </c>
      <c r="AP504" s="1">
        <f>VLOOKUP($C504,'Substrate Heating'!$A$2:$M$33,13,FALSE)</f>
        <v>6</v>
      </c>
      <c r="AQ504" s="1">
        <f>VLOOKUP($C504,'Substrate Heating'!$A$2:$M$33,8,FALSE)</f>
        <v>1</v>
      </c>
      <c r="AR504" s="1">
        <f t="shared" si="7"/>
        <v>0.60892448512585651</v>
      </c>
    </row>
    <row r="505" spans="1:44" x14ac:dyDescent="0.2">
      <c r="A505" s="17" t="s">
        <v>323</v>
      </c>
      <c r="B505" s="18" t="s">
        <v>324</v>
      </c>
      <c r="C505" t="s">
        <v>325</v>
      </c>
      <c r="D505" s="19" t="s">
        <v>326</v>
      </c>
      <c r="E505" t="s">
        <v>119</v>
      </c>
      <c r="F505" t="s">
        <v>120</v>
      </c>
      <c r="G505">
        <v>-10</v>
      </c>
      <c r="H505">
        <v>0</v>
      </c>
      <c r="I505">
        <v>0</v>
      </c>
      <c r="J505">
        <v>0.45</v>
      </c>
      <c r="K505">
        <v>-10</v>
      </c>
      <c r="L505">
        <v>0</v>
      </c>
      <c r="M505">
        <v>0</v>
      </c>
      <c r="N505">
        <v>6.25</v>
      </c>
      <c r="O505">
        <v>1.25</v>
      </c>
      <c r="P505"/>
      <c r="Q505">
        <v>0.125</v>
      </c>
      <c r="R505">
        <v>0.25918484469832198</v>
      </c>
      <c r="S505" s="1" t="str">
        <f>VLOOKUP($E505,'Product Naming'!$A$1:$P$58,2,FALSE)</f>
        <v>Acetone</v>
      </c>
      <c r="T505" s="1" t="str">
        <f>VLOOKUP($E505,'Product Naming'!$A$1:$P$58,3,FALSE)</f>
        <v>Acetone</v>
      </c>
      <c r="U505" s="1" t="str">
        <f>VLOOKUP($E505,'Product Naming'!$A$1:$P$58,4,FALSE)</f>
        <v>A</v>
      </c>
      <c r="V505" s="1" t="str">
        <f>VLOOKUP($E505,'Product Naming'!$A$1:$P$58,5,FALSE)</f>
        <v>C3H6O</v>
      </c>
      <c r="W505" s="1">
        <f>VLOOKUP($E505,'Product Naming'!$A$1:$P$58,6,FALSE)</f>
        <v>3</v>
      </c>
      <c r="X505" s="1">
        <f>VLOOKUP($E505,'Product Naming'!$A$1:$P$58,7,FALSE)</f>
        <v>6</v>
      </c>
      <c r="Y505" s="1">
        <f>VLOOKUP($E505,'Product Naming'!$A$1:$P$58,8,FALSE)</f>
        <v>1</v>
      </c>
      <c r="Z505" s="1">
        <f>VLOOKUP($E505,'Product Naming'!$A$1:$P$58,9,FALSE)</f>
        <v>0</v>
      </c>
      <c r="AA505" s="1">
        <f>VLOOKUP($E505,'Product Naming'!$A$1:$P$58,10,FALSE)</f>
        <v>0</v>
      </c>
      <c r="AB505" s="29">
        <f>VLOOKUP($E505,'Product Naming'!$A$1:$P$58,11,FALSE)</f>
        <v>5.333333333333333</v>
      </c>
      <c r="AC505" s="3">
        <f>VLOOKUP($E505,'Product Naming'!$A$1:$P$58,12,FALSE)</f>
        <v>58.078140000000005</v>
      </c>
      <c r="AD505" s="1">
        <f>VLOOKUP($E505,'Product Naming'!$A$1:$P$58,13,FALSE)</f>
        <v>56</v>
      </c>
      <c r="AE505" s="1" t="str">
        <f>VLOOKUP($E505,'Product Naming'!$A$1:$P$58,14,FALSE)</f>
        <v>Ketone</v>
      </c>
      <c r="AF505" s="1" t="str">
        <f>VLOOKUP($E505,'Product Naming'!$A$1:$P$58,15,FALSE)</f>
        <v>Acetyl-CoA</v>
      </c>
      <c r="AG505" s="30" t="str">
        <f>VLOOKUP($E505,'Product Naming'!$A$1:$P$58,16,FALSE)</f>
        <v>Proton symporter</v>
      </c>
      <c r="AH505" s="3" t="str">
        <f>VLOOKUP($E505,'Product Naming'!$A$1:$Q$58,17,FALSE)</f>
        <v>acetone_c</v>
      </c>
      <c r="AI505" s="1">
        <f>VLOOKUP($E505,'Product Parameters'!$A$2:$D$59,2,FALSE)</f>
        <v>1</v>
      </c>
      <c r="AJ505" s="1">
        <f>VLOOKUP($E505,'Product Parameters'!$A$2:$D$59,3,FALSE)</f>
        <v>0</v>
      </c>
      <c r="AK505" s="1">
        <f>VLOOKUP($E505,'Product Parameters'!$A$2:$D$59,4,FALSE)</f>
        <v>0.12</v>
      </c>
      <c r="AL505" s="1">
        <f>VLOOKUP($E505,'Product Parameters'!$A$2:$E$59,5,FALSE)</f>
        <v>31.3</v>
      </c>
      <c r="AM505" s="1">
        <f>VLOOKUP($E505,'Product Parameters'!$A$2:$F$59,6,FALSE)</f>
        <v>3</v>
      </c>
      <c r="AN505" s="1">
        <f>VLOOKUP($C505,'Substrate Heating'!$A$2:$C$33,3,FALSE)</f>
        <v>280.09700000000004</v>
      </c>
      <c r="AO505" s="1">
        <f>VLOOKUP($C505,'Substrate Heating'!$A$2:$B$33,2,FALSE)</f>
        <v>10</v>
      </c>
      <c r="AP505" s="1">
        <f>VLOOKUP($C505,'Substrate Heating'!$A$2:$M$33,13,FALSE)</f>
        <v>2</v>
      </c>
      <c r="AQ505" s="1">
        <f>VLOOKUP($C505,'Substrate Heating'!$A$2:$M$33,8,FALSE)</f>
        <v>1</v>
      </c>
      <c r="AR505" s="1">
        <f t="shared" si="7"/>
        <v>0.375</v>
      </c>
    </row>
    <row r="506" spans="1:44" x14ac:dyDescent="0.2">
      <c r="A506" s="17" t="s">
        <v>185</v>
      </c>
      <c r="B506" s="9" t="s">
        <v>35</v>
      </c>
      <c r="C506" t="s">
        <v>348</v>
      </c>
      <c r="D506" s="23" t="s">
        <v>338</v>
      </c>
      <c r="E506" t="s">
        <v>259</v>
      </c>
      <c r="F506" t="s">
        <v>260</v>
      </c>
      <c r="G506">
        <v>-10</v>
      </c>
      <c r="H506">
        <v>-20</v>
      </c>
      <c r="I506" s="1" t="s">
        <v>40</v>
      </c>
      <c r="J506">
        <v>3.15</v>
      </c>
      <c r="K506">
        <v>-10</v>
      </c>
      <c r="L506">
        <v>-6.4652920962199296</v>
      </c>
      <c r="M506" s="1" t="s">
        <v>40</v>
      </c>
      <c r="N506">
        <v>3.9037800687285098</v>
      </c>
      <c r="O506">
        <v>0.60962199312714604</v>
      </c>
      <c r="P506"/>
      <c r="Q506">
        <v>6.0962199312714599E-2</v>
      </c>
      <c r="R506">
        <v>0.25919957579859798</v>
      </c>
      <c r="S506" s="1" t="str">
        <f>VLOOKUP($E506,'Product Naming'!$A$1:$P$58,2,FALSE)</f>
        <v>Limonene</v>
      </c>
      <c r="T506" s="1" t="str">
        <f>VLOOKUP($E506,'Product Naming'!$A$1:$P$58,3,FALSE)</f>
        <v>Limonene</v>
      </c>
      <c r="U506" s="1" t="str">
        <f>VLOOKUP($E506,'Product Naming'!$A$1:$P$58,4,FALSE)</f>
        <v>E</v>
      </c>
      <c r="V506" s="1" t="str">
        <f>VLOOKUP($E506,'Product Naming'!$A$1:$P$58,5,FALSE)</f>
        <v>C10H16</v>
      </c>
      <c r="W506" s="1">
        <f>VLOOKUP($E506,'Product Naming'!$A$1:$P$58,6,FALSE)</f>
        <v>10</v>
      </c>
      <c r="X506" s="1">
        <f>VLOOKUP($E506,'Product Naming'!$A$1:$P$58,7,FALSE)</f>
        <v>16</v>
      </c>
      <c r="Y506" s="1">
        <f>VLOOKUP($E506,'Product Naming'!$A$1:$P$58,8,FALSE)</f>
        <v>0</v>
      </c>
      <c r="Z506" s="1">
        <f>VLOOKUP($E506,'Product Naming'!$A$1:$P$58,9,FALSE)</f>
        <v>0</v>
      </c>
      <c r="AA506" s="1">
        <f>VLOOKUP($E506,'Product Naming'!$A$1:$P$58,10,FALSE)</f>
        <v>0</v>
      </c>
      <c r="AB506" s="29">
        <f>VLOOKUP($E506,'Product Naming'!$A$1:$P$58,11,FALSE)</f>
        <v>5.6</v>
      </c>
      <c r="AC506" s="3">
        <f>VLOOKUP($E506,'Product Naming'!$A$1:$P$58,12,FALSE)</f>
        <v>136.23244</v>
      </c>
      <c r="AD506" s="1">
        <f>VLOOKUP($E506,'Product Naming'!$A$1:$P$58,13,FALSE)</f>
        <v>176</v>
      </c>
      <c r="AE506" s="1" t="str">
        <f>VLOOKUP($E506,'Product Naming'!$A$1:$P$58,14,FALSE)</f>
        <v>Isoprenoid; Aromatic (Cycloalkane)</v>
      </c>
      <c r="AF506" s="1" t="str">
        <f>VLOOKUP($E506,'Product Naming'!$A$1:$P$58,15,FALSE)</f>
        <v>Acetyl-CoA</v>
      </c>
      <c r="AG506" s="30" t="str">
        <f>VLOOKUP($E506,'Product Naming'!$A$1:$P$58,16,FALSE)</f>
        <v>Proton symporter</v>
      </c>
      <c r="AH506" s="3" t="str">
        <f>VLOOKUP($E506,'Product Naming'!$A$1:$Q$58,17,FALSE)</f>
        <v>limnen_c</v>
      </c>
      <c r="AI506" s="1">
        <f>VLOOKUP($E506,'Product Parameters'!$A$2:$D$59,2,FALSE)</f>
        <v>1</v>
      </c>
      <c r="AJ506" s="1">
        <f>VLOOKUP($E506,'Product Parameters'!$A$2:$D$59,3,FALSE)</f>
        <v>0</v>
      </c>
      <c r="AK506" s="1">
        <f>VLOOKUP($E506,'Product Parameters'!$A$2:$D$59,4,FALSE)</f>
        <v>0.12</v>
      </c>
      <c r="AL506" s="1">
        <f>VLOOKUP($E506,'Product Parameters'!$A$2:$E$59,5,FALSE)</f>
        <v>49.5</v>
      </c>
      <c r="AM506" s="1">
        <f>VLOOKUP($E506,'Product Parameters'!$A$2:$F$59,6,FALSE)</f>
        <v>10</v>
      </c>
      <c r="AN506" s="1">
        <f>VLOOKUP($C506,'Substrate Heating'!$A$2:$C$33,3,FALSE)</f>
        <v>638.57832580000002</v>
      </c>
      <c r="AO506" s="1">
        <f>VLOOKUP($C506,'Substrate Heating'!$A$2:$B$33,2,FALSE)</f>
        <v>19.93</v>
      </c>
      <c r="AP506" s="1">
        <f>VLOOKUP($C506,'Substrate Heating'!$A$2:$M$33,13,FALSE)</f>
        <v>6</v>
      </c>
      <c r="AQ506" s="1">
        <f>VLOOKUP($C506,'Substrate Heating'!$A$2:$M$33,8,FALSE)</f>
        <v>1</v>
      </c>
      <c r="AR506" s="1">
        <f t="shared" si="7"/>
        <v>0.60962199312714604</v>
      </c>
    </row>
    <row r="507" spans="1:44" x14ac:dyDescent="0.2">
      <c r="A507" s="8" t="s">
        <v>812</v>
      </c>
      <c r="B507" s="18" t="s">
        <v>324</v>
      </c>
      <c r="C507" t="s">
        <v>814</v>
      </c>
      <c r="E507" t="s">
        <v>175</v>
      </c>
      <c r="F507" t="s">
        <v>176</v>
      </c>
      <c r="G507">
        <v>-10</v>
      </c>
      <c r="H507">
        <v>0</v>
      </c>
      <c r="I507">
        <v>-10</v>
      </c>
      <c r="J507">
        <v>0.45</v>
      </c>
      <c r="K507">
        <v>-9.4873239436619698</v>
      </c>
      <c r="L507">
        <v>0</v>
      </c>
      <c r="M507">
        <v>-10</v>
      </c>
      <c r="N507">
        <v>0</v>
      </c>
      <c r="O507">
        <v>0.51267605633802804</v>
      </c>
      <c r="P507"/>
      <c r="Q507">
        <v>5.4038004750593803E-2</v>
      </c>
      <c r="R507">
        <v>0.25940599363313399</v>
      </c>
      <c r="S507" s="1" t="str">
        <f>VLOOKUP($E507,'Product Naming'!$A$1:$P$58,2,FALSE)</f>
        <v>Catechol</v>
      </c>
      <c r="T507" s="1" t="str">
        <f>VLOOKUP($E507,'Product Naming'!$A$1:$P$58,3,FALSE)</f>
        <v>Catechol</v>
      </c>
      <c r="U507" s="1" t="str">
        <f>VLOOKUP($E507,'Product Naming'!$A$1:$P$58,4,FALSE)</f>
        <v>E</v>
      </c>
      <c r="V507" s="1" t="str">
        <f>VLOOKUP($E507,'Product Naming'!$A$1:$P$58,5,FALSE)</f>
        <v>C6H6O2</v>
      </c>
      <c r="W507" s="1">
        <f>VLOOKUP($E507,'Product Naming'!$A$1:$P$58,6,FALSE)</f>
        <v>6</v>
      </c>
      <c r="X507" s="1">
        <f>VLOOKUP($E507,'Product Naming'!$A$1:$P$58,7,FALSE)</f>
        <v>6</v>
      </c>
      <c r="Y507" s="1">
        <f>VLOOKUP($E507,'Product Naming'!$A$1:$P$58,8,FALSE)</f>
        <v>2</v>
      </c>
      <c r="Z507" s="1">
        <f>VLOOKUP($E507,'Product Naming'!$A$1:$P$58,9,FALSE)</f>
        <v>0</v>
      </c>
      <c r="AA507" s="1">
        <f>VLOOKUP($E507,'Product Naming'!$A$1:$P$58,10,FALSE)</f>
        <v>0</v>
      </c>
      <c r="AB507" s="29">
        <f>VLOOKUP($E507,'Product Naming'!$A$1:$P$58,11,FALSE)</f>
        <v>4.333333333333333</v>
      </c>
      <c r="AC507" s="3">
        <f>VLOOKUP($E507,'Product Naming'!$A$1:$P$58,12,FALSE)</f>
        <v>110.10924</v>
      </c>
      <c r="AD507" s="1">
        <f>VLOOKUP($E507,'Product Naming'!$A$1:$P$58,13,FALSE)</f>
        <v>245</v>
      </c>
      <c r="AE507" s="1" t="str">
        <f>VLOOKUP($E507,'Product Naming'!$A$1:$P$58,14,FALSE)</f>
        <v>Aromatic + Diol</v>
      </c>
      <c r="AF507" s="1" t="str">
        <f>VLOOKUP($E507,'Product Naming'!$A$1:$P$58,15,FALSE)</f>
        <v>Glyceraldehyde 3-P</v>
      </c>
      <c r="AG507" s="30" t="str">
        <f>VLOOKUP($E507,'Product Naming'!$A$1:$P$58,16,FALSE)</f>
        <v>Proton symporter</v>
      </c>
      <c r="AH507" s="3" t="str">
        <f>VLOOKUP($E507,'Product Naming'!$A$1:$Q$58,17,FALSE)</f>
        <v>catechol_c</v>
      </c>
      <c r="AI507" s="1">
        <f>VLOOKUP($E507,'Product Parameters'!$A$2:$D$59,2,FALSE)</f>
        <v>1</v>
      </c>
      <c r="AJ507" s="1">
        <f>VLOOKUP($E507,'Product Parameters'!$A$2:$D$59,3,FALSE)</f>
        <v>0</v>
      </c>
      <c r="AK507" s="1">
        <f>VLOOKUP($E507,'Product Parameters'!$A$2:$D$59,4,FALSE)</f>
        <v>0.12</v>
      </c>
      <c r="AL507" s="1">
        <f>VLOOKUP($E507,'Product Parameters'!$A$2:$E$59,5,FALSE)</f>
        <v>40.65</v>
      </c>
      <c r="AM507" s="1">
        <f>VLOOKUP($E507,'Product Parameters'!$A$2:$F$59,6,FALSE)</f>
        <v>6</v>
      </c>
      <c r="AN507" s="1">
        <f>VLOOKUP($C507,'Substrate Heating'!$A$2:$C$33,3,FALSE)</f>
        <v>209.92000000000002</v>
      </c>
      <c r="AO507" s="1">
        <f>VLOOKUP($C507,'Substrate Heating'!$A$2:$B$33,2,FALSE)</f>
        <v>10.086540906516333</v>
      </c>
      <c r="AP507" s="1">
        <f>VLOOKUP($C507,'Substrate Heating'!$A$2:$M$33,13,FALSE)</f>
        <v>0.8</v>
      </c>
      <c r="AQ507" s="1">
        <f>VLOOKUP($C507,'Substrate Heating'!$A$2:$M$33,8,FALSE)</f>
        <v>0.8</v>
      </c>
      <c r="AR507" s="1">
        <f t="shared" si="7"/>
        <v>0.40528503562945351</v>
      </c>
    </row>
    <row r="508" spans="1:44" x14ac:dyDescent="0.2">
      <c r="A508" s="17" t="s">
        <v>323</v>
      </c>
      <c r="B508" s="18" t="s">
        <v>324</v>
      </c>
      <c r="C508" t="s">
        <v>327</v>
      </c>
      <c r="D508" s="19" t="s">
        <v>326</v>
      </c>
      <c r="E508" t="s">
        <v>103</v>
      </c>
      <c r="F508" t="s">
        <v>104</v>
      </c>
      <c r="G508">
        <v>-10</v>
      </c>
      <c r="H508">
        <v>0</v>
      </c>
      <c r="I508">
        <v>-5</v>
      </c>
      <c r="J508">
        <v>0.45</v>
      </c>
      <c r="K508">
        <v>-10</v>
      </c>
      <c r="L508">
        <v>0</v>
      </c>
      <c r="M508">
        <v>-5</v>
      </c>
      <c r="N508">
        <v>4.7230769230769303</v>
      </c>
      <c r="O508">
        <v>0.74102564102564095</v>
      </c>
      <c r="P508"/>
      <c r="Q508">
        <v>7.4102564102563995E-2</v>
      </c>
      <c r="R508">
        <v>0.26089863259644103</v>
      </c>
      <c r="S508" s="1" t="str">
        <f>VLOOKUP($E508,'Product Naming'!$A$1:$P$58,2,FALSE)</f>
        <v>3-Methyl-1-Pentanol</v>
      </c>
      <c r="T508" s="1" t="str">
        <f>VLOOKUP($E508,'Product Naming'!$A$1:$P$58,3,FALSE)</f>
        <v>3-Methyl-1-pentanol</v>
      </c>
      <c r="U508" s="1" t="str">
        <f>VLOOKUP($E508,'Product Naming'!$A$1:$P$58,4,FALSE)</f>
        <v>A</v>
      </c>
      <c r="V508" s="1" t="str">
        <f>VLOOKUP($E508,'Product Naming'!$A$1:$P$58,5,FALSE)</f>
        <v>C6H14O</v>
      </c>
      <c r="W508" s="1">
        <f>VLOOKUP($E508,'Product Naming'!$A$1:$P$58,6,FALSE)</f>
        <v>6</v>
      </c>
      <c r="X508" s="1">
        <f>VLOOKUP($E508,'Product Naming'!$A$1:$P$58,7,FALSE)</f>
        <v>14</v>
      </c>
      <c r="Y508" s="1">
        <f>VLOOKUP($E508,'Product Naming'!$A$1:$P$58,8,FALSE)</f>
        <v>1</v>
      </c>
      <c r="Z508" s="1">
        <f>VLOOKUP($E508,'Product Naming'!$A$1:$P$58,9,FALSE)</f>
        <v>0</v>
      </c>
      <c r="AA508" s="1">
        <f>VLOOKUP($E508,'Product Naming'!$A$1:$P$58,10,FALSE)</f>
        <v>0</v>
      </c>
      <c r="AB508" s="29">
        <f>VLOOKUP($E508,'Product Naming'!$A$1:$P$58,11,FALSE)</f>
        <v>6</v>
      </c>
      <c r="AC508" s="3">
        <f>VLOOKUP($E508,'Product Naming'!$A$1:$P$58,12,FALSE)</f>
        <v>102.17295999999999</v>
      </c>
      <c r="AD508" s="1">
        <f>VLOOKUP($E508,'Product Naming'!$A$1:$P$58,13,FALSE)</f>
        <v>153</v>
      </c>
      <c r="AE508" s="1" t="str">
        <f>VLOOKUP($E508,'Product Naming'!$A$1:$P$58,14,FALSE)</f>
        <v>Alcohol</v>
      </c>
      <c r="AF508" s="1" t="str">
        <f>VLOOKUP($E508,'Product Naming'!$A$1:$P$58,15,FALSE)</f>
        <v>Oxaloacetate</v>
      </c>
      <c r="AG508" s="30" t="str">
        <f>VLOOKUP($E508,'Product Naming'!$A$1:$P$58,16,FALSE)</f>
        <v>Proton symporter</v>
      </c>
      <c r="AH508" s="3" t="str">
        <f>VLOOKUP($E508,'Product Naming'!$A$1:$Q$58,17,FALSE)</f>
        <v>3mptoh_c</v>
      </c>
      <c r="AI508" s="1">
        <f>VLOOKUP($E508,'Product Parameters'!$A$2:$D$59,2,FALSE)</f>
        <v>1</v>
      </c>
      <c r="AJ508" s="1">
        <f>VLOOKUP($E508,'Product Parameters'!$A$2:$D$59,3,FALSE)</f>
        <v>0</v>
      </c>
      <c r="AK508" s="1">
        <f>VLOOKUP($E508,'Product Parameters'!$A$2:$D$59,4,FALSE)</f>
        <v>0.12</v>
      </c>
      <c r="AL508" s="1">
        <f>VLOOKUP($E508,'Product Parameters'!$A$2:$E$59,5,FALSE)</f>
        <v>61.7</v>
      </c>
      <c r="AM508" s="1">
        <f>VLOOKUP($E508,'Product Parameters'!$A$2:$F$59,6,FALSE)</f>
        <v>6</v>
      </c>
      <c r="AN508" s="1">
        <f>VLOOKUP($C508,'Substrate Heating'!$A$2:$C$33,3,FALSE)</f>
        <v>269.26666666666665</v>
      </c>
      <c r="AO508" s="1">
        <f>VLOOKUP($C508,'Substrate Heating'!$A$2:$B$33,2,FALSE)</f>
        <v>13.919167510409219</v>
      </c>
      <c r="AP508" s="1">
        <f>VLOOKUP($C508,'Substrate Heating'!$A$2:$M$33,13,FALSE)</f>
        <v>1.3333333333333333</v>
      </c>
      <c r="AQ508" s="1">
        <f>VLOOKUP($C508,'Substrate Heating'!$A$2:$M$33,8,FALSE)</f>
        <v>0.66666666666666663</v>
      </c>
      <c r="AR508" s="1">
        <f t="shared" si="7"/>
        <v>0.66692307692307595</v>
      </c>
    </row>
    <row r="509" spans="1:44" x14ac:dyDescent="0.2">
      <c r="A509" s="17" t="s">
        <v>323</v>
      </c>
      <c r="B509" s="18" t="s">
        <v>324</v>
      </c>
      <c r="C509" t="s">
        <v>334</v>
      </c>
      <c r="D509" s="19" t="s">
        <v>326</v>
      </c>
      <c r="E509" t="s">
        <v>38</v>
      </c>
      <c r="F509" t="s">
        <v>39</v>
      </c>
      <c r="G509">
        <v>-10</v>
      </c>
      <c r="H509">
        <v>0</v>
      </c>
      <c r="I509">
        <v>-5</v>
      </c>
      <c r="J509">
        <v>0.45</v>
      </c>
      <c r="K509">
        <v>-10</v>
      </c>
      <c r="L509">
        <v>0</v>
      </c>
      <c r="M509">
        <v>-5</v>
      </c>
      <c r="N509">
        <v>4.5454545454545503</v>
      </c>
      <c r="O509">
        <v>1.36363636363636</v>
      </c>
      <c r="P509"/>
      <c r="Q509">
        <v>0.13636363636363599</v>
      </c>
      <c r="R509">
        <v>0.26124536178107499</v>
      </c>
      <c r="S509" s="1" t="str">
        <f>VLOOKUP($E509,'Product Naming'!$A$1:$P$58,2,FALSE)</f>
        <v>1-3-butanediol-PW1</v>
      </c>
      <c r="T509" s="1" t="str">
        <f>VLOOKUP($E509,'Product Naming'!$A$1:$P$58,3,FALSE)</f>
        <v>1,3-Butanediol (PW1)</v>
      </c>
      <c r="U509" s="1" t="str">
        <f>VLOOKUP($E509,'Product Naming'!$A$1:$P$58,4,FALSE)</f>
        <v>E</v>
      </c>
      <c r="V509" s="1" t="str">
        <f>VLOOKUP($E509,'Product Naming'!$A$1:$P$58,5,FALSE)</f>
        <v>C4H10O2</v>
      </c>
      <c r="W509" s="1">
        <f>VLOOKUP($E509,'Product Naming'!$A$1:$P$58,6,FALSE)</f>
        <v>4</v>
      </c>
      <c r="X509" s="1">
        <f>VLOOKUP($E509,'Product Naming'!$A$1:$P$58,7,FALSE)</f>
        <v>10</v>
      </c>
      <c r="Y509" s="1">
        <f>VLOOKUP($E509,'Product Naming'!$A$1:$P$58,8,FALSE)</f>
        <v>2</v>
      </c>
      <c r="Z509" s="1">
        <f>VLOOKUP($E509,'Product Naming'!$A$1:$P$58,9,FALSE)</f>
        <v>0</v>
      </c>
      <c r="AA509" s="1">
        <f>VLOOKUP($E509,'Product Naming'!$A$1:$P$58,10,FALSE)</f>
        <v>0</v>
      </c>
      <c r="AB509" s="29">
        <f>VLOOKUP($E509,'Product Naming'!$A$1:$P$58,11,FALSE)</f>
        <v>5.5</v>
      </c>
      <c r="AC509" s="3">
        <f>VLOOKUP($E509,'Product Naming'!$A$1:$P$58,12,FALSE)</f>
        <v>90.119200000000006</v>
      </c>
      <c r="AD509" s="1">
        <f>VLOOKUP($E509,'Product Naming'!$A$1:$P$58,13,FALSE)</f>
        <v>207</v>
      </c>
      <c r="AE509" s="1" t="str">
        <f>VLOOKUP($E509,'Product Naming'!$A$1:$P$58,14,FALSE)</f>
        <v>Diol</v>
      </c>
      <c r="AF509" s="1" t="str">
        <f>VLOOKUP($E509,'Product Naming'!$A$1:$P$58,15,FALSE)</f>
        <v>Acetyl-CoA</v>
      </c>
      <c r="AG509" s="30" t="str">
        <f>VLOOKUP($E509,'Product Naming'!$A$1:$P$58,16,FALSE)</f>
        <v>Proton symporter</v>
      </c>
      <c r="AH509" s="3" t="str">
        <f>VLOOKUP($E509,'Product Naming'!$A$1:$Q$58,17,FALSE)</f>
        <v>13bdo__R_c</v>
      </c>
      <c r="AI509" s="1">
        <f>VLOOKUP($E509,'Product Parameters'!$A$2:$D$59,2,FALSE)</f>
        <v>1</v>
      </c>
      <c r="AJ509" s="1">
        <f>VLOOKUP($E509,'Product Parameters'!$A$2:$D$59,3,FALSE)</f>
        <v>0</v>
      </c>
      <c r="AK509" s="1">
        <f>VLOOKUP($E509,'Product Parameters'!$A$2:$D$59,4,FALSE)</f>
        <v>0.12</v>
      </c>
      <c r="AL509" s="1">
        <f>VLOOKUP($E509,'Product Parameters'!$A$2:$E$59,5,FALSE)</f>
        <v>72.599999999999994</v>
      </c>
      <c r="AM509" s="1">
        <f>VLOOKUP($E509,'Product Parameters'!$A$2:$F$59,6,FALSE)</f>
        <v>4</v>
      </c>
      <c r="AN509" s="1">
        <f>VLOOKUP($C509,'Substrate Heating'!$A$2:$C$33,3,FALSE)</f>
        <v>249.93333333333334</v>
      </c>
      <c r="AO509" s="1">
        <f>VLOOKUP($C509,'Substrate Heating'!$A$2:$B$33,2,FALSE)</f>
        <v>8.1456827881222953</v>
      </c>
      <c r="AP509" s="1">
        <f>VLOOKUP($C509,'Substrate Heating'!$A$2:$M$33,13,FALSE)</f>
        <v>0.66666666666666663</v>
      </c>
      <c r="AQ509" s="1">
        <f>VLOOKUP($C509,'Substrate Heating'!$A$2:$M$33,8,FALSE)</f>
        <v>0.66666666666666663</v>
      </c>
      <c r="AR509" s="1">
        <f t="shared" si="7"/>
        <v>0.81818181818181601</v>
      </c>
    </row>
    <row r="510" spans="1:44" x14ac:dyDescent="0.2">
      <c r="A510" s="17" t="s">
        <v>323</v>
      </c>
      <c r="B510" s="18" t="s">
        <v>324</v>
      </c>
      <c r="C510" t="s">
        <v>334</v>
      </c>
      <c r="D510" s="19" t="s">
        <v>326</v>
      </c>
      <c r="E510" t="s">
        <v>48</v>
      </c>
      <c r="F510" t="s">
        <v>39</v>
      </c>
      <c r="G510">
        <v>-10</v>
      </c>
      <c r="H510">
        <v>0</v>
      </c>
      <c r="I510">
        <v>-5</v>
      </c>
      <c r="J510">
        <v>0.45</v>
      </c>
      <c r="K510">
        <v>-10</v>
      </c>
      <c r="L510">
        <v>0</v>
      </c>
      <c r="M510">
        <v>-5</v>
      </c>
      <c r="N510">
        <v>4.5454545454545503</v>
      </c>
      <c r="O510">
        <v>1.36363636363636</v>
      </c>
      <c r="P510"/>
      <c r="Q510">
        <v>0.13636363636363599</v>
      </c>
      <c r="R510">
        <v>0.261247583274131</v>
      </c>
      <c r="S510" s="1" t="str">
        <f>VLOOKUP($E510,'Product Naming'!$A$1:$P$58,2,FALSE)</f>
        <v>1-3-butanediol-PW2</v>
      </c>
      <c r="T510" s="1" t="str">
        <f>VLOOKUP($E510,'Product Naming'!$A$1:$P$58,3,FALSE)</f>
        <v>1,3-Butanediol (PW2)</v>
      </c>
      <c r="U510" s="1" t="str">
        <f>VLOOKUP($E510,'Product Naming'!$A$1:$P$58,4,FALSE)</f>
        <v>E</v>
      </c>
      <c r="V510" s="1" t="str">
        <f>VLOOKUP($E510,'Product Naming'!$A$1:$P$58,5,FALSE)</f>
        <v>C4H10O2</v>
      </c>
      <c r="W510" s="1">
        <f>VLOOKUP($E510,'Product Naming'!$A$1:$P$58,6,FALSE)</f>
        <v>4</v>
      </c>
      <c r="X510" s="1">
        <f>VLOOKUP($E510,'Product Naming'!$A$1:$P$58,7,FALSE)</f>
        <v>10</v>
      </c>
      <c r="Y510" s="1">
        <f>VLOOKUP($E510,'Product Naming'!$A$1:$P$58,8,FALSE)</f>
        <v>2</v>
      </c>
      <c r="Z510" s="1">
        <f>VLOOKUP($E510,'Product Naming'!$A$1:$P$58,9,FALSE)</f>
        <v>0</v>
      </c>
      <c r="AA510" s="1">
        <f>VLOOKUP($E510,'Product Naming'!$A$1:$P$58,10,FALSE)</f>
        <v>0</v>
      </c>
      <c r="AB510" s="29">
        <f>VLOOKUP($E510,'Product Naming'!$A$1:$P$58,11,FALSE)</f>
        <v>5.5</v>
      </c>
      <c r="AC510" s="3">
        <f>VLOOKUP($E510,'Product Naming'!$A$1:$P$58,12,FALSE)</f>
        <v>90.119200000000006</v>
      </c>
      <c r="AD510" s="1">
        <f>VLOOKUP($E510,'Product Naming'!$A$1:$P$58,13,FALSE)</f>
        <v>207</v>
      </c>
      <c r="AE510" s="1" t="str">
        <f>VLOOKUP($E510,'Product Naming'!$A$1:$P$58,14,FALSE)</f>
        <v>Diol</v>
      </c>
      <c r="AF510" s="1" t="str">
        <f>VLOOKUP($E510,'Product Naming'!$A$1:$P$58,15,FALSE)</f>
        <v>Pyruvate (acetalehyde)</v>
      </c>
      <c r="AG510" s="30" t="str">
        <f>VLOOKUP($E510,'Product Naming'!$A$1:$P$58,16,FALSE)</f>
        <v>Proton symporter</v>
      </c>
      <c r="AH510" s="3" t="str">
        <f>VLOOKUP($E510,'Product Naming'!$A$1:$Q$58,17,FALSE)</f>
        <v>13bdo__R_c</v>
      </c>
      <c r="AI510" s="1">
        <f>VLOOKUP($E510,'Product Parameters'!$A$2:$D$59,2,FALSE)</f>
        <v>1</v>
      </c>
      <c r="AJ510" s="1">
        <f>VLOOKUP($E510,'Product Parameters'!$A$2:$D$59,3,FALSE)</f>
        <v>0</v>
      </c>
      <c r="AK510" s="1">
        <f>VLOOKUP($E510,'Product Parameters'!$A$2:$D$59,4,FALSE)</f>
        <v>0.12</v>
      </c>
      <c r="AL510" s="1">
        <f>VLOOKUP($E510,'Product Parameters'!$A$2:$E$59,5,FALSE)</f>
        <v>72.599999999999994</v>
      </c>
      <c r="AM510" s="1">
        <f>VLOOKUP($E510,'Product Parameters'!$A$2:$F$59,6,FALSE)</f>
        <v>4</v>
      </c>
      <c r="AN510" s="1">
        <f>VLOOKUP($C510,'Substrate Heating'!$A$2:$C$33,3,FALSE)</f>
        <v>249.93333333333334</v>
      </c>
      <c r="AO510" s="1">
        <f>VLOOKUP($C510,'Substrate Heating'!$A$2:$B$33,2,FALSE)</f>
        <v>8.1456827881222953</v>
      </c>
      <c r="AP510" s="1">
        <f>VLOOKUP($C510,'Substrate Heating'!$A$2:$M$33,13,FALSE)</f>
        <v>0.66666666666666663</v>
      </c>
      <c r="AQ510" s="1">
        <f>VLOOKUP($C510,'Substrate Heating'!$A$2:$M$33,8,FALSE)</f>
        <v>0.66666666666666663</v>
      </c>
      <c r="AR510" s="1">
        <f t="shared" si="7"/>
        <v>0.81818181818181601</v>
      </c>
    </row>
    <row r="511" spans="1:44" x14ac:dyDescent="0.2">
      <c r="A511" s="17" t="s">
        <v>323</v>
      </c>
      <c r="B511" s="18" t="s">
        <v>324</v>
      </c>
      <c r="C511" t="s">
        <v>334</v>
      </c>
      <c r="D511" s="19" t="s">
        <v>326</v>
      </c>
      <c r="E511" t="s">
        <v>85</v>
      </c>
      <c r="F511" t="s">
        <v>86</v>
      </c>
      <c r="G511">
        <v>-10</v>
      </c>
      <c r="H511">
        <v>0</v>
      </c>
      <c r="I511">
        <v>-5</v>
      </c>
      <c r="J511">
        <v>0.45</v>
      </c>
      <c r="K511">
        <v>-10</v>
      </c>
      <c r="L511">
        <v>0</v>
      </c>
      <c r="M511">
        <v>-5</v>
      </c>
      <c r="N511">
        <v>4.5454545454545503</v>
      </c>
      <c r="O511">
        <v>1.36363636363636</v>
      </c>
      <c r="P511"/>
      <c r="Q511">
        <v>0.13636363636363599</v>
      </c>
      <c r="R511">
        <v>0.261247583274131</v>
      </c>
      <c r="S511" s="1" t="str">
        <f>VLOOKUP($E511,'Product Naming'!$A$1:$P$58,2,FALSE)</f>
        <v>2-3-butanediol</v>
      </c>
      <c r="T511" s="1" t="str">
        <f>VLOOKUP($E511,'Product Naming'!$A$1:$P$58,3,FALSE)</f>
        <v>2,3-Butanediol</v>
      </c>
      <c r="U511" s="1" t="str">
        <f>VLOOKUP($E511,'Product Naming'!$A$1:$P$58,4,FALSE)</f>
        <v>E</v>
      </c>
      <c r="V511" s="1" t="str">
        <f>VLOOKUP($E511,'Product Naming'!$A$1:$P$58,5,FALSE)</f>
        <v>C4H10O2</v>
      </c>
      <c r="W511" s="1">
        <f>VLOOKUP($E511,'Product Naming'!$A$1:$P$58,6,FALSE)</f>
        <v>4</v>
      </c>
      <c r="X511" s="1">
        <f>VLOOKUP($E511,'Product Naming'!$A$1:$P$58,7,FALSE)</f>
        <v>10</v>
      </c>
      <c r="Y511" s="1">
        <f>VLOOKUP($E511,'Product Naming'!$A$1:$P$58,8,FALSE)</f>
        <v>2</v>
      </c>
      <c r="Z511" s="1">
        <f>VLOOKUP($E511,'Product Naming'!$A$1:$P$58,9,FALSE)</f>
        <v>0</v>
      </c>
      <c r="AA511" s="1">
        <f>VLOOKUP($E511,'Product Naming'!$A$1:$P$58,10,FALSE)</f>
        <v>0</v>
      </c>
      <c r="AB511" s="29">
        <f>VLOOKUP($E511,'Product Naming'!$A$1:$P$58,11,FALSE)</f>
        <v>5.5</v>
      </c>
      <c r="AC511" s="3">
        <f>VLOOKUP($E511,'Product Naming'!$A$1:$P$58,12,FALSE)</f>
        <v>90.119200000000006</v>
      </c>
      <c r="AD511" s="1">
        <f>VLOOKUP($E511,'Product Naming'!$A$1:$P$58,13,FALSE)</f>
        <v>177</v>
      </c>
      <c r="AE511" s="1" t="str">
        <f>VLOOKUP($E511,'Product Naming'!$A$1:$P$58,14,FALSE)</f>
        <v>Diol</v>
      </c>
      <c r="AF511" s="1" t="str">
        <f>VLOOKUP($E511,'Product Naming'!$A$1:$P$58,15,FALSE)</f>
        <v>Pyruvate</v>
      </c>
      <c r="AG511" s="30" t="str">
        <f>VLOOKUP($E511,'Product Naming'!$A$1:$P$58,16,FALSE)</f>
        <v>Proton symporter</v>
      </c>
      <c r="AH511" s="3" t="str">
        <f>VLOOKUP($E511,'Product Naming'!$A$1:$Q$58,17,FALSE)</f>
        <v>btd_RR_c</v>
      </c>
      <c r="AI511" s="1">
        <f>VLOOKUP($E511,'Product Parameters'!$A$2:$D$59,2,FALSE)</f>
        <v>1</v>
      </c>
      <c r="AJ511" s="1">
        <f>VLOOKUP($E511,'Product Parameters'!$A$2:$D$59,3,FALSE)</f>
        <v>0</v>
      </c>
      <c r="AK511" s="1">
        <f>VLOOKUP($E511,'Product Parameters'!$A$2:$D$59,4,FALSE)</f>
        <v>0.12</v>
      </c>
      <c r="AL511" s="1">
        <f>VLOOKUP($E511,'Product Parameters'!$A$2:$E$59,5,FALSE)</f>
        <v>63</v>
      </c>
      <c r="AM511" s="1">
        <f>VLOOKUP($E511,'Product Parameters'!$A$2:$F$59,6,FALSE)</f>
        <v>4</v>
      </c>
      <c r="AN511" s="1">
        <f>VLOOKUP($C511,'Substrate Heating'!$A$2:$C$33,3,FALSE)</f>
        <v>249.93333333333334</v>
      </c>
      <c r="AO511" s="1">
        <f>VLOOKUP($C511,'Substrate Heating'!$A$2:$B$33,2,FALSE)</f>
        <v>8.1456827881222953</v>
      </c>
      <c r="AP511" s="1">
        <f>VLOOKUP($C511,'Substrate Heating'!$A$2:$M$33,13,FALSE)</f>
        <v>0.66666666666666663</v>
      </c>
      <c r="AQ511" s="1">
        <f>VLOOKUP($C511,'Substrate Heating'!$A$2:$M$33,8,FALSE)</f>
        <v>0.66666666666666663</v>
      </c>
      <c r="AR511" s="1">
        <f t="shared" si="7"/>
        <v>0.81818181818181601</v>
      </c>
    </row>
    <row r="512" spans="1:44" x14ac:dyDescent="0.2">
      <c r="A512" s="8" t="s">
        <v>34</v>
      </c>
      <c r="B512" s="9" t="s">
        <v>35</v>
      </c>
      <c r="C512" s="1" t="s">
        <v>337</v>
      </c>
      <c r="D512" s="23" t="s">
        <v>338</v>
      </c>
      <c r="E512" s="1" t="s">
        <v>275</v>
      </c>
      <c r="F512" s="1" t="s">
        <v>276</v>
      </c>
      <c r="G512" s="1">
        <v>-10</v>
      </c>
      <c r="H512" s="1">
        <v>-20</v>
      </c>
      <c r="I512" s="1" t="s">
        <v>40</v>
      </c>
      <c r="J512" s="1">
        <v>3.15</v>
      </c>
      <c r="K512" s="1">
        <v>-10</v>
      </c>
      <c r="L512" s="1">
        <v>-2.63</v>
      </c>
      <c r="M512" s="1" t="s">
        <v>40</v>
      </c>
      <c r="N512" s="1">
        <v>6.4450000000000003</v>
      </c>
      <c r="O512" s="1">
        <v>1.1850000000000001</v>
      </c>
      <c r="Q512" s="1">
        <v>0.11849999999999999</v>
      </c>
      <c r="R512" s="1">
        <v>0.26270460594921502</v>
      </c>
      <c r="S512" s="1" t="str">
        <f>VLOOKUP($E512,'Product Naming'!$A$1:$P$58,2,FALSE)</f>
        <v>Malonate</v>
      </c>
      <c r="T512" s="1" t="str">
        <f>VLOOKUP($E512,'Product Naming'!$A$1:$P$58,3,FALSE)</f>
        <v>Malonate</v>
      </c>
      <c r="U512" s="1" t="str">
        <f>VLOOKUP($E512,'Product Naming'!$A$1:$P$58,4,FALSE)</f>
        <v>A</v>
      </c>
      <c r="V512" s="1" t="str">
        <f>VLOOKUP($E512,'Product Naming'!$A$1:$P$58,5,FALSE)</f>
        <v>C3H2O4</v>
      </c>
      <c r="W512" s="1">
        <f>VLOOKUP($E512,'Product Naming'!$A$1:$P$58,6,FALSE)</f>
        <v>3</v>
      </c>
      <c r="X512" s="1">
        <f>VLOOKUP($E512,'Product Naming'!$A$1:$P$58,7,FALSE)</f>
        <v>2</v>
      </c>
      <c r="Y512" s="1">
        <f>VLOOKUP($E512,'Product Naming'!$A$1:$P$58,8,FALSE)</f>
        <v>4</v>
      </c>
      <c r="Z512" s="1">
        <f>VLOOKUP($E512,'Product Naming'!$A$1:$P$58,9,FALSE)</f>
        <v>0</v>
      </c>
      <c r="AA512" s="1">
        <f>VLOOKUP($E512,'Product Naming'!$A$1:$P$58,10,FALSE)</f>
        <v>-2</v>
      </c>
      <c r="AB512" s="29">
        <f>VLOOKUP($E512,'Product Naming'!$A$1:$P$58,11,FALSE)</f>
        <v>2</v>
      </c>
      <c r="AC512" s="3">
        <f>VLOOKUP($E512,'Product Naming'!$A$1:$P$58,12,FALSE)</f>
        <v>102.04378</v>
      </c>
      <c r="AD512" s="1">
        <f>VLOOKUP($E512,'Product Naming'!$A$1:$P$58,13,FALSE)</f>
        <v>199</v>
      </c>
      <c r="AE512" s="1" t="str">
        <f>VLOOKUP($E512,'Product Naming'!$A$1:$P$58,14,FALSE)</f>
        <v>Dicarboxylate</v>
      </c>
      <c r="AF512" s="1" t="str">
        <f>VLOOKUP($E512,'Product Naming'!$A$1:$P$58,15,FALSE)</f>
        <v>Oxaloacetate</v>
      </c>
      <c r="AG512" s="30" t="str">
        <f>VLOOKUP($E512,'Product Naming'!$A$1:$P$58,16,FALSE)</f>
        <v>Proton symporter</v>
      </c>
      <c r="AH512" s="3" t="str">
        <f>VLOOKUP($E512,'Product Naming'!$A$1:$Q$58,17,FALSE)</f>
        <v>malon_c</v>
      </c>
      <c r="AI512" s="1">
        <f>VLOOKUP($E512,'Product Parameters'!$A$2:$D$59,2,FALSE)</f>
        <v>1</v>
      </c>
      <c r="AJ512" s="1">
        <f>VLOOKUP($E512,'Product Parameters'!$A$2:$D$59,3,FALSE)</f>
        <v>0</v>
      </c>
      <c r="AK512" s="1">
        <f>VLOOKUP($E512,'Product Parameters'!$A$2:$D$59,4,FALSE)</f>
        <v>0.12</v>
      </c>
      <c r="AL512" s="1">
        <f>VLOOKUP($E512,'Product Parameters'!$A$2:$E$59,5,FALSE)</f>
        <v>40.65</v>
      </c>
      <c r="AM512" s="1">
        <f>VLOOKUP($E512,'Product Parameters'!$A$2:$F$59,6,FALSE)</f>
        <v>3</v>
      </c>
      <c r="AN512" s="1">
        <f>VLOOKUP($C512,'Substrate Heating'!$A$2:$C$33,3,FALSE)</f>
        <v>247.59097</v>
      </c>
      <c r="AO512" s="1">
        <f>VLOOKUP($C512,'Substrate Heating'!$A$2:$B$33,2,FALSE)</f>
        <v>5.5</v>
      </c>
      <c r="AP512" s="1">
        <f>VLOOKUP($C512,'Substrate Heating'!$A$2:$M$33,13,FALSE)</f>
        <v>1</v>
      </c>
      <c r="AQ512" s="1">
        <f>VLOOKUP($C512,'Substrate Heating'!$A$2:$M$33,8,FALSE)</f>
        <v>1</v>
      </c>
      <c r="AR512" s="1">
        <f t="shared" si="7"/>
        <v>0.35549999999999998</v>
      </c>
    </row>
    <row r="513" spans="1:44" x14ac:dyDescent="0.2">
      <c r="A513" s="17" t="s">
        <v>323</v>
      </c>
      <c r="B513" s="18" t="s">
        <v>324</v>
      </c>
      <c r="C513" t="s">
        <v>336</v>
      </c>
      <c r="D513" s="19" t="s">
        <v>326</v>
      </c>
      <c r="E513" t="s">
        <v>103</v>
      </c>
      <c r="F513" t="s">
        <v>104</v>
      </c>
      <c r="G513">
        <v>-10</v>
      </c>
      <c r="H513">
        <v>0</v>
      </c>
      <c r="I513">
        <v>-20</v>
      </c>
      <c r="J513">
        <v>0.45</v>
      </c>
      <c r="K513">
        <v>-10</v>
      </c>
      <c r="L513">
        <v>0</v>
      </c>
      <c r="M513">
        <v>-20</v>
      </c>
      <c r="N513">
        <v>0</v>
      </c>
      <c r="O513">
        <v>1.2888888888888901</v>
      </c>
      <c r="P513"/>
      <c r="Q513">
        <v>0.128888888888889</v>
      </c>
      <c r="R513" s="20">
        <v>0.26301097041919103</v>
      </c>
      <c r="S513" s="1" t="str">
        <f>VLOOKUP($E513,'Product Naming'!$A$1:$P$58,2,FALSE)</f>
        <v>3-Methyl-1-Pentanol</v>
      </c>
      <c r="T513" s="1" t="str">
        <f>VLOOKUP($E513,'Product Naming'!$A$1:$P$58,3,FALSE)</f>
        <v>3-Methyl-1-pentanol</v>
      </c>
      <c r="U513" s="1" t="str">
        <f>VLOOKUP($E513,'Product Naming'!$A$1:$P$58,4,FALSE)</f>
        <v>A</v>
      </c>
      <c r="V513" s="1" t="str">
        <f>VLOOKUP($E513,'Product Naming'!$A$1:$P$58,5,FALSE)</f>
        <v>C6H14O</v>
      </c>
      <c r="W513" s="1">
        <f>VLOOKUP($E513,'Product Naming'!$A$1:$P$58,6,FALSE)</f>
        <v>6</v>
      </c>
      <c r="X513" s="1">
        <f>VLOOKUP($E513,'Product Naming'!$A$1:$P$58,7,FALSE)</f>
        <v>14</v>
      </c>
      <c r="Y513" s="1">
        <f>VLOOKUP($E513,'Product Naming'!$A$1:$P$58,8,FALSE)</f>
        <v>1</v>
      </c>
      <c r="Z513" s="1">
        <f>VLOOKUP($E513,'Product Naming'!$A$1:$P$58,9,FALSE)</f>
        <v>0</v>
      </c>
      <c r="AA513" s="1">
        <f>VLOOKUP($E513,'Product Naming'!$A$1:$P$58,10,FALSE)</f>
        <v>0</v>
      </c>
      <c r="AB513" s="29">
        <f>VLOOKUP($E513,'Product Naming'!$A$1:$P$58,11,FALSE)</f>
        <v>6</v>
      </c>
      <c r="AC513" s="3">
        <f>VLOOKUP($E513,'Product Naming'!$A$1:$P$58,12,FALSE)</f>
        <v>102.17295999999999</v>
      </c>
      <c r="AD513" s="1">
        <f>VLOOKUP($E513,'Product Naming'!$A$1:$P$58,13,FALSE)</f>
        <v>153</v>
      </c>
      <c r="AE513" s="1" t="str">
        <f>VLOOKUP($E513,'Product Naming'!$A$1:$P$58,14,FALSE)</f>
        <v>Alcohol</v>
      </c>
      <c r="AF513" s="1" t="str">
        <f>VLOOKUP($E513,'Product Naming'!$A$1:$P$58,15,FALSE)</f>
        <v>Oxaloacetate</v>
      </c>
      <c r="AG513" s="30" t="str">
        <f>VLOOKUP($E513,'Product Naming'!$A$1:$P$58,16,FALSE)</f>
        <v>Proton symporter</v>
      </c>
      <c r="AH513" s="3" t="str">
        <f>VLOOKUP($E513,'Product Naming'!$A$1:$Q$58,17,FALSE)</f>
        <v>3mptoh_c</v>
      </c>
      <c r="AI513" s="1">
        <f>VLOOKUP($E513,'Product Parameters'!$A$2:$D$59,2,FALSE)</f>
        <v>1</v>
      </c>
      <c r="AJ513" s="1">
        <f>VLOOKUP($E513,'Product Parameters'!$A$2:$D$59,3,FALSE)</f>
        <v>0</v>
      </c>
      <c r="AK513" s="1">
        <f>VLOOKUP($E513,'Product Parameters'!$A$2:$D$59,4,FALSE)</f>
        <v>0.12</v>
      </c>
      <c r="AL513" s="1">
        <f>VLOOKUP($E513,'Product Parameters'!$A$2:$E$59,5,FALSE)</f>
        <v>61.7</v>
      </c>
      <c r="AM513" s="1">
        <f>VLOOKUP($E513,'Product Parameters'!$A$2:$F$59,6,FALSE)</f>
        <v>6</v>
      </c>
      <c r="AN513" s="1">
        <f>VLOOKUP($C513,'Substrate Heating'!$A$2:$C$33,3,FALSE)</f>
        <v>245.86666666666667</v>
      </c>
      <c r="AO513" s="1">
        <f>VLOOKUP($C513,'Substrate Heating'!$A$2:$B$33,2,FALSE)</f>
        <v>15.038360459876978</v>
      </c>
      <c r="AP513" s="1">
        <f>VLOOKUP($C513,'Substrate Heating'!$A$2:$M$33,13,FALSE)</f>
        <v>0.33333333333333331</v>
      </c>
      <c r="AQ513" s="1">
        <f>VLOOKUP($C513,'Substrate Heating'!$A$2:$M$33,8,FALSE)</f>
        <v>0.33333333333333331</v>
      </c>
      <c r="AR513" s="1">
        <f t="shared" si="7"/>
        <v>2.3200000000000021</v>
      </c>
    </row>
    <row r="514" spans="1:44" x14ac:dyDescent="0.2">
      <c r="A514" s="8" t="s">
        <v>34</v>
      </c>
      <c r="B514" s="9" t="s">
        <v>35</v>
      </c>
      <c r="C514" s="1" t="s">
        <v>343</v>
      </c>
      <c r="D514" s="24" t="s">
        <v>342</v>
      </c>
      <c r="E514" s="1" t="s">
        <v>306</v>
      </c>
      <c r="F514" s="1" t="s">
        <v>302</v>
      </c>
      <c r="G514" s="1">
        <v>-10</v>
      </c>
      <c r="H514" s="1">
        <v>-20</v>
      </c>
      <c r="I514" s="1" t="s">
        <v>40</v>
      </c>
      <c r="J514" s="1">
        <v>3.15</v>
      </c>
      <c r="K514" s="1">
        <v>-10</v>
      </c>
      <c r="L514" s="1">
        <v>-7.5236686390532297</v>
      </c>
      <c r="M514" s="1" t="s">
        <v>40</v>
      </c>
      <c r="N514" s="1">
        <v>13.514201183432</v>
      </c>
      <c r="O514" s="1">
        <v>5.4952662721893502</v>
      </c>
      <c r="Q514" s="1">
        <v>0.54952662721893497</v>
      </c>
      <c r="R514" s="1">
        <v>0.26311513315905499</v>
      </c>
      <c r="S514" s="1" t="str">
        <f>VLOOKUP($E514,'Product Naming'!$A$1:$P$58,2,FALSE)</f>
        <v>Propane-PW2</v>
      </c>
      <c r="T514" s="1" t="str">
        <f>VLOOKUP($E514,'Product Naming'!$A$1:$P$58,3,FALSE)</f>
        <v>Propane (PW2)</v>
      </c>
      <c r="U514" s="1" t="str">
        <f>VLOOKUP($E514,'Product Naming'!$A$1:$P$58,4,FALSE)</f>
        <v>E</v>
      </c>
      <c r="V514" s="1" t="str">
        <f>VLOOKUP($E514,'Product Naming'!$A$1:$P$58,5,FALSE)</f>
        <v>C3H8</v>
      </c>
      <c r="W514" s="1">
        <f>VLOOKUP($E514,'Product Naming'!$A$1:$P$58,6,FALSE)</f>
        <v>3</v>
      </c>
      <c r="X514" s="1">
        <f>VLOOKUP($E514,'Product Naming'!$A$1:$P$58,7,FALSE)</f>
        <v>8</v>
      </c>
      <c r="Y514" s="1">
        <f>VLOOKUP($E514,'Product Naming'!$A$1:$P$58,8,FALSE)</f>
        <v>0</v>
      </c>
      <c r="Z514" s="1">
        <f>VLOOKUP($E514,'Product Naming'!$A$1:$P$58,9,FALSE)</f>
        <v>0</v>
      </c>
      <c r="AA514" s="1">
        <f>VLOOKUP($E514,'Product Naming'!$A$1:$P$58,10,FALSE)</f>
        <v>0</v>
      </c>
      <c r="AB514" s="29">
        <f>VLOOKUP($E514,'Product Naming'!$A$1:$P$58,11,FALSE)</f>
        <v>6.666666666666667</v>
      </c>
      <c r="AC514" s="3">
        <f>VLOOKUP($E514,'Product Naming'!$A$1:$P$58,12,FALSE)</f>
        <v>44.094819999999999</v>
      </c>
      <c r="AD514" s="1">
        <f>VLOOKUP($E514,'Product Naming'!$A$1:$P$58,13,FALSE)</f>
        <v>-42</v>
      </c>
      <c r="AE514" s="1" t="str">
        <f>VLOOKUP($E514,'Product Naming'!$A$1:$P$58,14,FALSE)</f>
        <v>Hydrocarbon</v>
      </c>
      <c r="AF514" s="1" t="str">
        <f>VLOOKUP($E514,'Product Naming'!$A$1:$P$58,15,FALSE)</f>
        <v>Oxaloacetate</v>
      </c>
      <c r="AG514" s="30" t="str">
        <f>VLOOKUP($E514,'Product Naming'!$A$1:$P$58,16,FALSE)</f>
        <v>Diffusion</v>
      </c>
      <c r="AH514" s="3" t="str">
        <f>VLOOKUP($E514,'Product Naming'!$A$1:$Q$58,17,FALSE)</f>
        <v>prop_c</v>
      </c>
      <c r="AI514" s="1">
        <f>VLOOKUP($E514,'Product Parameters'!$A$2:$D$59,2,FALSE)</f>
        <v>0</v>
      </c>
      <c r="AJ514" s="1">
        <f>VLOOKUP($E514,'Product Parameters'!$A$2:$D$59,3,FALSE)</f>
        <v>1</v>
      </c>
      <c r="AK514" s="1">
        <f>VLOOKUP($E514,'Product Parameters'!$A$2:$D$59,4,FALSE)</f>
        <v>0.12</v>
      </c>
      <c r="AL514" s="1">
        <f>VLOOKUP($E514,'Product Parameters'!$A$2:$E$59,5,FALSE)</f>
        <v>0</v>
      </c>
      <c r="AM514" s="1">
        <f>VLOOKUP($E514,'Product Parameters'!$A$2:$F$59,6,FALSE)</f>
        <v>3</v>
      </c>
      <c r="AN514" s="1">
        <f>VLOOKUP($C514,'Substrate Heating'!$A$2:$C$33,3,FALSE)</f>
        <v>1648.4793779999998</v>
      </c>
      <c r="AO514" s="1">
        <f>VLOOKUP($C514,'Substrate Heating'!$A$2:$B$33,2,FALSE)</f>
        <v>17.899999999999999</v>
      </c>
      <c r="AP514" s="1">
        <f>VLOOKUP($C514,'Substrate Heating'!$A$2:$M$33,13,FALSE)</f>
        <v>4.666666666666667</v>
      </c>
      <c r="AQ514" s="1">
        <f>VLOOKUP($C514,'Substrate Heating'!$A$2:$M$33,8,FALSE)</f>
        <v>3</v>
      </c>
      <c r="AR514" s="1">
        <f t="shared" si="7"/>
        <v>0.54952662721893497</v>
      </c>
    </row>
    <row r="515" spans="1:44" x14ac:dyDescent="0.2">
      <c r="A515" s="17" t="s">
        <v>323</v>
      </c>
      <c r="B515" s="18" t="s">
        <v>324</v>
      </c>
      <c r="C515" t="s">
        <v>333</v>
      </c>
      <c r="D515" s="19" t="s">
        <v>326</v>
      </c>
      <c r="E515" t="s">
        <v>318</v>
      </c>
      <c r="F515" t="s">
        <v>319</v>
      </c>
      <c r="G515">
        <v>-10</v>
      </c>
      <c r="H515">
        <v>0</v>
      </c>
      <c r="I515">
        <v>0</v>
      </c>
      <c r="J515">
        <v>0.45</v>
      </c>
      <c r="K515">
        <v>-10</v>
      </c>
      <c r="L515">
        <v>0</v>
      </c>
      <c r="M515">
        <v>0</v>
      </c>
      <c r="N515">
        <v>4.4780487804878</v>
      </c>
      <c r="O515">
        <v>1.0439024390243901</v>
      </c>
      <c r="P515"/>
      <c r="Q515">
        <v>0.10439024390243901</v>
      </c>
      <c r="R515">
        <v>0.26323479483191498</v>
      </c>
      <c r="S515" s="1" t="str">
        <f>VLOOKUP($E515,'Product Naming'!$A$1:$P$58,2,FALSE)</f>
        <v>Succinate</v>
      </c>
      <c r="T515" s="1" t="str">
        <f>VLOOKUP($E515,'Product Naming'!$A$1:$P$58,3,FALSE)</f>
        <v>Succinate</v>
      </c>
      <c r="U515" s="1" t="str">
        <f>VLOOKUP($E515,'Product Naming'!$A$1:$P$58,4,FALSE)</f>
        <v>iJO1366</v>
      </c>
      <c r="V515" s="1" t="str">
        <f>VLOOKUP($E515,'Product Naming'!$A$1:$P$58,5,FALSE)</f>
        <v>C4H4O4</v>
      </c>
      <c r="W515" s="1">
        <f>VLOOKUP($E515,'Product Naming'!$A$1:$P$58,6,FALSE)</f>
        <v>4</v>
      </c>
      <c r="X515" s="1">
        <f>VLOOKUP($E515,'Product Naming'!$A$1:$P$58,7,FALSE)</f>
        <v>4</v>
      </c>
      <c r="Y515" s="1">
        <f>VLOOKUP($E515,'Product Naming'!$A$1:$P$58,8,FALSE)</f>
        <v>4</v>
      </c>
      <c r="Z515" s="1">
        <f>VLOOKUP($E515,'Product Naming'!$A$1:$P$58,9,FALSE)</f>
        <v>0</v>
      </c>
      <c r="AA515" s="1">
        <f>VLOOKUP($E515,'Product Naming'!$A$1:$P$58,10,FALSE)</f>
        <v>-2</v>
      </c>
      <c r="AB515" s="29">
        <f>VLOOKUP($E515,'Product Naming'!$A$1:$P$58,11,FALSE)</f>
        <v>3</v>
      </c>
      <c r="AC515" s="3">
        <f>VLOOKUP($E515,'Product Naming'!$A$1:$P$58,12,FALSE)</f>
        <v>116.07016</v>
      </c>
      <c r="AD515" s="1">
        <f>VLOOKUP($E515,'Product Naming'!$A$1:$P$58,13,FALSE)</f>
        <v>235</v>
      </c>
      <c r="AE515" s="1" t="str">
        <f>VLOOKUP($E515,'Product Naming'!$A$1:$P$58,14,FALSE)</f>
        <v>Dicarboxylate</v>
      </c>
      <c r="AF515" s="1" t="str">
        <f>VLOOKUP($E515,'Product Naming'!$A$1:$P$58,15,FALSE)</f>
        <v>Oxaloacetate</v>
      </c>
      <c r="AG515" s="30" t="str">
        <f>VLOOKUP($E515,'Product Naming'!$A$1:$P$58,16,FALSE)</f>
        <v>Proton symporter</v>
      </c>
      <c r="AH515" s="3" t="str">
        <f>VLOOKUP($E515,'Product Naming'!$A$1:$Q$58,17,FALSE)</f>
        <v>succ_c</v>
      </c>
      <c r="AI515" s="1">
        <f>VLOOKUP($E515,'Product Parameters'!$A$2:$D$59,2,FALSE)</f>
        <v>1</v>
      </c>
      <c r="AJ515" s="1">
        <f>VLOOKUP($E515,'Product Parameters'!$A$2:$D$59,3,FALSE)</f>
        <v>0</v>
      </c>
      <c r="AK515" s="1">
        <f>VLOOKUP($E515,'Product Parameters'!$A$2:$D$59,4,FALSE)</f>
        <v>0.12</v>
      </c>
      <c r="AL515" s="1">
        <f>VLOOKUP($E515,'Product Parameters'!$A$2:$E$59,5,FALSE)</f>
        <v>40.65</v>
      </c>
      <c r="AM515" s="1">
        <f>VLOOKUP($E515,'Product Parameters'!$A$2:$F$59,6,FALSE)</f>
        <v>4</v>
      </c>
      <c r="AN515" s="1">
        <f>VLOOKUP($C515,'Substrate Heating'!$A$2:$C$33,3,FALSE)</f>
        <v>247.59097</v>
      </c>
      <c r="AO515" s="1">
        <f>VLOOKUP($C515,'Substrate Heating'!$A$2:$B$33,2,FALSE)</f>
        <v>5.5</v>
      </c>
      <c r="AP515" s="1">
        <f>VLOOKUP($C515,'Substrate Heating'!$A$2:$M$33,13,FALSE)</f>
        <v>1</v>
      </c>
      <c r="AQ515" s="1">
        <f>VLOOKUP($C515,'Substrate Heating'!$A$2:$M$33,8,FALSE)</f>
        <v>1</v>
      </c>
      <c r="AR515" s="1">
        <f t="shared" ref="AR515:AR578" si="8">Q515*W515/AQ515</f>
        <v>0.41756097560975602</v>
      </c>
    </row>
    <row r="516" spans="1:44" x14ac:dyDescent="0.2">
      <c r="A516" s="8" t="s">
        <v>812</v>
      </c>
      <c r="B516" s="18" t="s">
        <v>324</v>
      </c>
      <c r="C516" t="s">
        <v>814</v>
      </c>
      <c r="E516" t="s">
        <v>124</v>
      </c>
      <c r="F516" t="s">
        <v>125</v>
      </c>
      <c r="G516">
        <v>-10</v>
      </c>
      <c r="H516">
        <v>0</v>
      </c>
      <c r="I516">
        <v>-10</v>
      </c>
      <c r="J516">
        <v>0.45</v>
      </c>
      <c r="K516">
        <v>-10</v>
      </c>
      <c r="L516">
        <v>0</v>
      </c>
      <c r="M516">
        <v>-10</v>
      </c>
      <c r="N516">
        <v>0</v>
      </c>
      <c r="O516">
        <v>0.84651162790698398</v>
      </c>
      <c r="P516"/>
      <c r="Q516">
        <v>8.4651162790698398E-2</v>
      </c>
      <c r="R516">
        <v>0.263477578520107</v>
      </c>
      <c r="S516" s="1" t="str">
        <f>VLOOKUP($E516,'Product Naming'!$A$1:$P$58,2,FALSE)</f>
        <v>Acrylate-PW1</v>
      </c>
      <c r="T516" s="1" t="str">
        <f>VLOOKUP($E516,'Product Naming'!$A$1:$P$58,3,FALSE)</f>
        <v>Acrylate (PW1)</v>
      </c>
      <c r="U516" s="1" t="str">
        <f>VLOOKUP($E516,'Product Naming'!$A$1:$P$58,4,FALSE)</f>
        <v>A</v>
      </c>
      <c r="V516" s="1" t="str">
        <f>VLOOKUP($E516,'Product Naming'!$A$1:$P$58,5,FALSE)</f>
        <v>C3H3O2</v>
      </c>
      <c r="W516" s="1">
        <f>VLOOKUP($E516,'Product Naming'!$A$1:$P$58,6,FALSE)</f>
        <v>3</v>
      </c>
      <c r="X516" s="1">
        <f>VLOOKUP($E516,'Product Naming'!$A$1:$P$58,7,FALSE)</f>
        <v>3</v>
      </c>
      <c r="Y516" s="1">
        <f>VLOOKUP($E516,'Product Naming'!$A$1:$P$58,8,FALSE)</f>
        <v>2</v>
      </c>
      <c r="Z516" s="1">
        <f>VLOOKUP($E516,'Product Naming'!$A$1:$P$58,9,FALSE)</f>
        <v>0</v>
      </c>
      <c r="AA516" s="1">
        <f>VLOOKUP($E516,'Product Naming'!$A$1:$P$58,10,FALSE)</f>
        <v>-1</v>
      </c>
      <c r="AB516" s="29">
        <f>VLOOKUP($E516,'Product Naming'!$A$1:$P$58,11,FALSE)</f>
        <v>3.6666666666666665</v>
      </c>
      <c r="AC516" s="3">
        <f>VLOOKUP($E516,'Product Naming'!$A$1:$P$58,12,FALSE)</f>
        <v>71.053619999999995</v>
      </c>
      <c r="AD516" s="1">
        <f>VLOOKUP($E516,'Product Naming'!$A$1:$P$58,13,FALSE)</f>
        <v>80</v>
      </c>
      <c r="AE516" s="1" t="str">
        <f>VLOOKUP($E516,'Product Naming'!$A$1:$P$58,14,FALSE)</f>
        <v>Carboxylate</v>
      </c>
      <c r="AF516" s="1" t="str">
        <f>VLOOKUP($E516,'Product Naming'!$A$1:$P$58,15,FALSE)</f>
        <v>Glyceraldehyde 3-P</v>
      </c>
      <c r="AG516" s="30" t="str">
        <f>VLOOKUP($E516,'Product Naming'!$A$1:$P$58,16,FALSE)</f>
        <v>Proton symporter</v>
      </c>
      <c r="AH516" s="3" t="str">
        <f>VLOOKUP($E516,'Product Naming'!$A$1:$Q$58,17,FALSE)</f>
        <v>acryl_c</v>
      </c>
      <c r="AI516" s="1">
        <f>VLOOKUP($E516,'Product Parameters'!$A$2:$D$59,2,FALSE)</f>
        <v>1</v>
      </c>
      <c r="AJ516" s="1">
        <f>VLOOKUP($E516,'Product Parameters'!$A$2:$D$59,3,FALSE)</f>
        <v>0</v>
      </c>
      <c r="AK516" s="1">
        <f>VLOOKUP($E516,'Product Parameters'!$A$2:$D$59,4,FALSE)</f>
        <v>0.12</v>
      </c>
      <c r="AL516" s="1">
        <f>VLOOKUP($E516,'Product Parameters'!$A$2:$E$59,5,FALSE)</f>
        <v>53.1</v>
      </c>
      <c r="AM516" s="1">
        <f>VLOOKUP($E516,'Product Parameters'!$A$2:$F$59,6,FALSE)</f>
        <v>3</v>
      </c>
      <c r="AN516" s="1">
        <f>VLOOKUP($C516,'Substrate Heating'!$A$2:$C$33,3,FALSE)</f>
        <v>209.92000000000002</v>
      </c>
      <c r="AO516" s="1">
        <f>VLOOKUP($C516,'Substrate Heating'!$A$2:$B$33,2,FALSE)</f>
        <v>10.086540906516333</v>
      </c>
      <c r="AP516" s="1">
        <f>VLOOKUP($C516,'Substrate Heating'!$A$2:$M$33,13,FALSE)</f>
        <v>0.8</v>
      </c>
      <c r="AQ516" s="1">
        <f>VLOOKUP($C516,'Substrate Heating'!$A$2:$M$33,8,FALSE)</f>
        <v>0.8</v>
      </c>
      <c r="AR516" s="1">
        <f t="shared" si="8"/>
        <v>0.31744186046511896</v>
      </c>
    </row>
    <row r="517" spans="1:44" x14ac:dyDescent="0.2">
      <c r="A517" s="17" t="s">
        <v>231</v>
      </c>
      <c r="B517" s="9" t="s">
        <v>35</v>
      </c>
      <c r="C517" t="s">
        <v>348</v>
      </c>
      <c r="D517" s="23" t="s">
        <v>338</v>
      </c>
      <c r="E517" t="s">
        <v>236</v>
      </c>
      <c r="F517" t="s">
        <v>237</v>
      </c>
      <c r="G517">
        <v>-10</v>
      </c>
      <c r="H517">
        <v>-20</v>
      </c>
      <c r="I517" s="1" t="s">
        <v>40</v>
      </c>
      <c r="J517">
        <v>3.15</v>
      </c>
      <c r="K517">
        <v>-10</v>
      </c>
      <c r="L517">
        <v>-5.6889502762430997</v>
      </c>
      <c r="M517" s="1" t="s">
        <v>40</v>
      </c>
      <c r="N517">
        <v>4.1193370165745797</v>
      </c>
      <c r="O517">
        <v>0.98011049723757004</v>
      </c>
      <c r="P517"/>
      <c r="Q517">
        <v>9.8011049723757002E-2</v>
      </c>
      <c r="R517">
        <v>0.26359927787823001</v>
      </c>
      <c r="S517" s="1" t="str">
        <f>VLOOKUP($E517,'Product Naming'!$A$1:$P$58,2,FALSE)</f>
        <v>Hexane</v>
      </c>
      <c r="T517" s="1" t="str">
        <f>VLOOKUP($E517,'Product Naming'!$A$1:$P$58,3,FALSE)</f>
        <v>Hexane</v>
      </c>
      <c r="U517" s="1" t="str">
        <f>VLOOKUP($E517,'Product Naming'!$A$1:$P$58,4,FALSE)</f>
        <v>E</v>
      </c>
      <c r="V517" s="1" t="str">
        <f>VLOOKUP($E517,'Product Naming'!$A$1:$P$58,5,FALSE)</f>
        <v>C6H14</v>
      </c>
      <c r="W517" s="1">
        <f>VLOOKUP($E517,'Product Naming'!$A$1:$P$58,6,FALSE)</f>
        <v>6</v>
      </c>
      <c r="X517" s="1">
        <f>VLOOKUP($E517,'Product Naming'!$A$1:$P$58,7,FALSE)</f>
        <v>14</v>
      </c>
      <c r="Y517" s="1">
        <f>VLOOKUP($E517,'Product Naming'!$A$1:$P$58,8,FALSE)</f>
        <v>0</v>
      </c>
      <c r="Z517" s="1">
        <f>VLOOKUP($E517,'Product Naming'!$A$1:$P$58,9,FALSE)</f>
        <v>0</v>
      </c>
      <c r="AA517" s="1">
        <f>VLOOKUP($E517,'Product Naming'!$A$1:$P$58,10,FALSE)</f>
        <v>0</v>
      </c>
      <c r="AB517" s="29">
        <f>VLOOKUP($E517,'Product Naming'!$A$1:$P$58,11,FALSE)</f>
        <v>6.333333333333333</v>
      </c>
      <c r="AC517" s="3">
        <f>VLOOKUP($E517,'Product Naming'!$A$1:$P$58,12,FALSE)</f>
        <v>86.173959999999994</v>
      </c>
      <c r="AD517" s="1">
        <f>VLOOKUP($E517,'Product Naming'!$A$1:$P$58,13,FALSE)</f>
        <v>69</v>
      </c>
      <c r="AE517" s="1" t="str">
        <f>VLOOKUP($E517,'Product Naming'!$A$1:$P$58,14,FALSE)</f>
        <v>Hydrocarbon (alkane)</v>
      </c>
      <c r="AF517" s="1" t="str">
        <f>VLOOKUP($E517,'Product Naming'!$A$1:$P$58,15,FALSE)</f>
        <v>Acetyl-CoA + Succinyl-CoA</v>
      </c>
      <c r="AG517" s="30" t="str">
        <f>VLOOKUP($E517,'Product Naming'!$A$1:$P$58,16,FALSE)</f>
        <v>Proton symporter</v>
      </c>
      <c r="AH517" s="3" t="str">
        <f>VLOOKUP($E517,'Product Naming'!$A$1:$Q$58,17,FALSE)</f>
        <v>hex_c</v>
      </c>
      <c r="AI517" s="1">
        <f>VLOOKUP($E517,'Product Parameters'!$A$2:$D$59,2,FALSE)</f>
        <v>1</v>
      </c>
      <c r="AJ517" s="1">
        <f>VLOOKUP($E517,'Product Parameters'!$A$2:$D$59,3,FALSE)</f>
        <v>0</v>
      </c>
      <c r="AK517" s="1">
        <f>VLOOKUP($E517,'Product Parameters'!$A$2:$D$59,4,FALSE)</f>
        <v>0.12</v>
      </c>
      <c r="AL517" s="1">
        <f>VLOOKUP($E517,'Product Parameters'!$A$2:$E$59,5,FALSE)</f>
        <v>31</v>
      </c>
      <c r="AM517" s="1">
        <f>VLOOKUP($E517,'Product Parameters'!$A$2:$F$59,6,FALSE)</f>
        <v>6</v>
      </c>
      <c r="AN517" s="1">
        <f>VLOOKUP($C517,'Substrate Heating'!$A$2:$C$33,3,FALSE)</f>
        <v>638.57832580000002</v>
      </c>
      <c r="AO517" s="1">
        <f>VLOOKUP($C517,'Substrate Heating'!$A$2:$B$33,2,FALSE)</f>
        <v>19.93</v>
      </c>
      <c r="AP517" s="1">
        <f>VLOOKUP($C517,'Substrate Heating'!$A$2:$M$33,13,FALSE)</f>
        <v>6</v>
      </c>
      <c r="AQ517" s="1">
        <f>VLOOKUP($C517,'Substrate Heating'!$A$2:$M$33,8,FALSE)</f>
        <v>1</v>
      </c>
      <c r="AR517" s="1">
        <f t="shared" si="8"/>
        <v>0.58806629834254198</v>
      </c>
    </row>
    <row r="518" spans="1:44" x14ac:dyDescent="0.2">
      <c r="A518" s="8" t="s">
        <v>34</v>
      </c>
      <c r="B518" s="9" t="s">
        <v>35</v>
      </c>
      <c r="C518" s="1" t="s">
        <v>345</v>
      </c>
      <c r="D518" s="10" t="s">
        <v>37</v>
      </c>
      <c r="E518" s="1" t="s">
        <v>313</v>
      </c>
      <c r="F518" s="1" t="s">
        <v>314</v>
      </c>
      <c r="G518" s="1">
        <v>-10</v>
      </c>
      <c r="H518" s="1">
        <v>-20</v>
      </c>
      <c r="I518" s="1" t="s">
        <v>40</v>
      </c>
      <c r="J518" s="1">
        <v>3.15</v>
      </c>
      <c r="K518" s="1">
        <v>-10</v>
      </c>
      <c r="L518" s="1">
        <v>-4.8006814310051098</v>
      </c>
      <c r="M518" s="1" t="s">
        <v>40</v>
      </c>
      <c r="N518" s="1">
        <v>7.8405451448040901</v>
      </c>
      <c r="O518" s="1">
        <v>1.51993185689949</v>
      </c>
      <c r="Q518" s="1">
        <v>0.15199318568994899</v>
      </c>
      <c r="R518" s="1">
        <v>0.26360212717405301</v>
      </c>
      <c r="S518" s="1" t="str">
        <f>VLOOKUP($E518,'Product Naming'!$A$1:$P$58,2,FALSE)</f>
        <v>Styrene</v>
      </c>
      <c r="T518" s="1" t="str">
        <f>VLOOKUP($E518,'Product Naming'!$A$1:$P$58,3,FALSE)</f>
        <v>Styrene</v>
      </c>
      <c r="U518" s="1" t="str">
        <f>VLOOKUP($E518,'Product Naming'!$A$1:$P$58,4,FALSE)</f>
        <v>E-S</v>
      </c>
      <c r="V518" s="1" t="str">
        <f>VLOOKUP($E518,'Product Naming'!$A$1:$P$58,5,FALSE)</f>
        <v>C8H8</v>
      </c>
      <c r="W518" s="1">
        <f>VLOOKUP($E518,'Product Naming'!$A$1:$P$58,6,FALSE)</f>
        <v>8</v>
      </c>
      <c r="X518" s="1">
        <f>VLOOKUP($E518,'Product Naming'!$A$1:$P$58,7,FALSE)</f>
        <v>8</v>
      </c>
      <c r="Y518" s="1">
        <f>VLOOKUP($E518,'Product Naming'!$A$1:$P$58,8,FALSE)</f>
        <v>0</v>
      </c>
      <c r="Z518" s="1">
        <f>VLOOKUP($E518,'Product Naming'!$A$1:$P$58,9,FALSE)</f>
        <v>0</v>
      </c>
      <c r="AA518" s="1">
        <f>VLOOKUP($E518,'Product Naming'!$A$1:$P$58,10,FALSE)</f>
        <v>0</v>
      </c>
      <c r="AB518" s="29">
        <f>VLOOKUP($E518,'Product Naming'!$A$1:$P$58,11,FALSE)</f>
        <v>5</v>
      </c>
      <c r="AC518" s="3">
        <f>VLOOKUP($E518,'Product Naming'!$A$1:$P$58,12,FALSE)</f>
        <v>104.14832</v>
      </c>
      <c r="AD518" s="1">
        <f>VLOOKUP($E518,'Product Naming'!$A$1:$P$58,13,FALSE)</f>
        <v>145</v>
      </c>
      <c r="AE518" s="1" t="str">
        <f>VLOOKUP($E518,'Product Naming'!$A$1:$P$58,14,FALSE)</f>
        <v>Cycloalkane</v>
      </c>
      <c r="AF518" s="1" t="str">
        <f>VLOOKUP($E518,'Product Naming'!$A$1:$P$58,15,FALSE)</f>
        <v>E4P</v>
      </c>
      <c r="AG518" s="30" t="str">
        <f>VLOOKUP($E518,'Product Naming'!$A$1:$P$58,16,FALSE)</f>
        <v>Proton symporter</v>
      </c>
      <c r="AH518" s="3" t="str">
        <f>VLOOKUP($E518,'Product Naming'!$A$1:$Q$58,17,FALSE)</f>
        <v>styr_c</v>
      </c>
      <c r="AI518" s="1">
        <f>VLOOKUP($E518,'Product Parameters'!$A$2:$D$59,2,FALSE)</f>
        <v>1</v>
      </c>
      <c r="AJ518" s="1">
        <f>VLOOKUP($E518,'Product Parameters'!$A$2:$D$59,3,FALSE)</f>
        <v>0</v>
      </c>
      <c r="AK518" s="1">
        <f>VLOOKUP($E518,'Product Parameters'!$A$2:$D$59,4,FALSE)</f>
        <v>0.12</v>
      </c>
      <c r="AL518" s="1">
        <f>VLOOKUP($E518,'Product Parameters'!$A$2:$E$59,5,FALSE)</f>
        <v>43.9</v>
      </c>
      <c r="AM518" s="1">
        <f>VLOOKUP($E518,'Product Parameters'!$A$2:$F$59,6,FALSE)</f>
        <v>8</v>
      </c>
      <c r="AN518" s="1">
        <f>VLOOKUP($C518,'Substrate Heating'!$A$2:$C$33,3,FALSE)</f>
        <v>1020.8629199999999</v>
      </c>
      <c r="AO518" s="1">
        <f>VLOOKUP($C518,'Substrate Heating'!$A$2:$B$33,2,FALSE)</f>
        <v>17</v>
      </c>
      <c r="AP518" s="1">
        <f>VLOOKUP($C518,'Substrate Heating'!$A$2:$M$33,13,FALSE)</f>
        <v>4</v>
      </c>
      <c r="AQ518" s="1">
        <f>VLOOKUP($C518,'Substrate Heating'!$A$2:$M$33,8,FALSE)</f>
        <v>2</v>
      </c>
      <c r="AR518" s="1">
        <f t="shared" si="8"/>
        <v>0.60797274275979596</v>
      </c>
    </row>
    <row r="519" spans="1:44" x14ac:dyDescent="0.2">
      <c r="A519" s="8" t="s">
        <v>34</v>
      </c>
      <c r="B519" s="9" t="s">
        <v>35</v>
      </c>
      <c r="C519" s="1" t="s">
        <v>330</v>
      </c>
      <c r="D519" s="10" t="s">
        <v>37</v>
      </c>
      <c r="E519" s="1" t="s">
        <v>158</v>
      </c>
      <c r="F519" s="1" t="s">
        <v>159</v>
      </c>
      <c r="G519" s="1">
        <v>-10</v>
      </c>
      <c r="H519" s="1">
        <v>-20</v>
      </c>
      <c r="I519" s="1" t="s">
        <v>40</v>
      </c>
      <c r="J519" s="1">
        <v>3.15</v>
      </c>
      <c r="K519" s="1">
        <v>-10</v>
      </c>
      <c r="L519" s="1">
        <v>-6.6682432432432304</v>
      </c>
      <c r="M519" s="1" t="s">
        <v>40</v>
      </c>
      <c r="N519" s="1">
        <v>8.71891891891892</v>
      </c>
      <c r="O519" s="1">
        <v>2.82027027027027</v>
      </c>
      <c r="Q519" s="1">
        <v>0.28202702702702698</v>
      </c>
      <c r="R519" s="1">
        <v>0.26410020950535601</v>
      </c>
      <c r="S519" s="1" t="str">
        <f>VLOOKUP($E519,'Product Naming'!$A$1:$P$58,2,FALSE)</f>
        <v>Butane</v>
      </c>
      <c r="T519" s="1" t="str">
        <f>VLOOKUP($E519,'Product Naming'!$A$1:$P$58,3,FALSE)</f>
        <v>Butane</v>
      </c>
      <c r="U519" s="1" t="str">
        <f>VLOOKUP($E519,'Product Naming'!$A$1:$P$58,4,FALSE)</f>
        <v>E</v>
      </c>
      <c r="V519" s="1" t="str">
        <f>VLOOKUP($E519,'Product Naming'!$A$1:$P$58,5,FALSE)</f>
        <v>C4H10</v>
      </c>
      <c r="W519" s="1">
        <f>VLOOKUP($E519,'Product Naming'!$A$1:$P$58,6,FALSE)</f>
        <v>4</v>
      </c>
      <c r="X519" s="1">
        <f>VLOOKUP($E519,'Product Naming'!$A$1:$P$58,7,FALSE)</f>
        <v>10</v>
      </c>
      <c r="Y519" s="1">
        <f>VLOOKUP($E519,'Product Naming'!$A$1:$P$58,8,FALSE)</f>
        <v>0</v>
      </c>
      <c r="Z519" s="1">
        <f>VLOOKUP($E519,'Product Naming'!$A$1:$P$58,9,FALSE)</f>
        <v>0</v>
      </c>
      <c r="AA519" s="1">
        <f>VLOOKUP($E519,'Product Naming'!$A$1:$P$58,10,FALSE)</f>
        <v>0</v>
      </c>
      <c r="AB519" s="29">
        <f>VLOOKUP($E519,'Product Naming'!$A$1:$P$58,11,FALSE)</f>
        <v>6.5</v>
      </c>
      <c r="AC519" s="3">
        <f>VLOOKUP($E519,'Product Naming'!$A$1:$P$58,12,FALSE)</f>
        <v>58.121200000000002</v>
      </c>
      <c r="AD519" s="1">
        <f>VLOOKUP($E519,'Product Naming'!$A$1:$P$58,13,FALSE)</f>
        <v>-1</v>
      </c>
      <c r="AE519" s="1" t="str">
        <f>VLOOKUP($E519,'Product Naming'!$A$1:$P$58,14,FALSE)</f>
        <v>Hydrocarbon (alkane)</v>
      </c>
      <c r="AF519" s="1" t="str">
        <f>VLOOKUP($E519,'Product Naming'!$A$1:$P$58,15,FALSE)</f>
        <v>Acetyl-CoA + Succinyl-CoA</v>
      </c>
      <c r="AG519" s="30" t="str">
        <f>VLOOKUP($E519,'Product Naming'!$A$1:$P$58,16,FALSE)</f>
        <v>Diffusion</v>
      </c>
      <c r="AH519" s="3" t="str">
        <f>VLOOKUP($E519,'Product Naming'!$A$1:$Q$58,17,FALSE)</f>
        <v>butn_c</v>
      </c>
      <c r="AI519" s="1">
        <f>VLOOKUP($E519,'Product Parameters'!$A$2:$D$59,2,FALSE)</f>
        <v>0</v>
      </c>
      <c r="AJ519" s="1">
        <f>VLOOKUP($E519,'Product Parameters'!$A$2:$D$59,3,FALSE)</f>
        <v>1</v>
      </c>
      <c r="AK519" s="1">
        <f>VLOOKUP($E519,'Product Parameters'!$A$2:$D$59,4,FALSE)</f>
        <v>0.12</v>
      </c>
      <c r="AL519" s="1">
        <f>VLOOKUP($E519,'Product Parameters'!$A$2:$E$59,5,FALSE)</f>
        <v>0</v>
      </c>
      <c r="AM519" s="1">
        <f>VLOOKUP($E519,'Product Parameters'!$A$2:$F$59,6,FALSE)</f>
        <v>4</v>
      </c>
      <c r="AN519" s="1">
        <f>VLOOKUP($C519,'Substrate Heating'!$A$2:$C$33,3,FALSE)</f>
        <v>1055.1294800000001</v>
      </c>
      <c r="AO519" s="1">
        <f>VLOOKUP($C519,'Substrate Heating'!$A$2:$B$33,2,FALSE)</f>
        <v>17</v>
      </c>
      <c r="AP519" s="1">
        <f>VLOOKUP($C519,'Substrate Heating'!$A$2:$M$33,13,FALSE)</f>
        <v>5</v>
      </c>
      <c r="AQ519" s="1">
        <f>VLOOKUP($C519,'Substrate Heating'!$A$2:$M$33,8,FALSE)</f>
        <v>2</v>
      </c>
      <c r="AR519" s="1">
        <f t="shared" si="8"/>
        <v>0.56405405405405395</v>
      </c>
    </row>
    <row r="520" spans="1:44" x14ac:dyDescent="0.2">
      <c r="A520" s="17" t="s">
        <v>323</v>
      </c>
      <c r="B520" s="18" t="s">
        <v>324</v>
      </c>
      <c r="C520" t="s">
        <v>336</v>
      </c>
      <c r="D520" s="19" t="s">
        <v>326</v>
      </c>
      <c r="E520" t="s">
        <v>301</v>
      </c>
      <c r="F520" t="s">
        <v>302</v>
      </c>
      <c r="G520">
        <v>-10</v>
      </c>
      <c r="H520">
        <v>0</v>
      </c>
      <c r="I520">
        <v>-20</v>
      </c>
      <c r="J520">
        <v>0.45</v>
      </c>
      <c r="K520">
        <v>-10</v>
      </c>
      <c r="L520">
        <v>0</v>
      </c>
      <c r="M520">
        <v>-20</v>
      </c>
      <c r="N520">
        <v>1</v>
      </c>
      <c r="O520">
        <v>3</v>
      </c>
      <c r="P520"/>
      <c r="Q520">
        <v>0.3</v>
      </c>
      <c r="R520" s="20">
        <v>0.26419904134212102</v>
      </c>
      <c r="S520" s="1" t="str">
        <f>VLOOKUP($E520,'Product Naming'!$A$1:$P$58,2,FALSE)</f>
        <v>Propane-PW1</v>
      </c>
      <c r="T520" s="1" t="str">
        <f>VLOOKUP($E520,'Product Naming'!$A$1:$P$58,3,FALSE)</f>
        <v>Propane (PW1)</v>
      </c>
      <c r="U520" s="1" t="str">
        <f>VLOOKUP($E520,'Product Naming'!$A$1:$P$58,4,FALSE)</f>
        <v>E</v>
      </c>
      <c r="V520" s="1" t="str">
        <f>VLOOKUP($E520,'Product Naming'!$A$1:$P$58,5,FALSE)</f>
        <v>C3H8</v>
      </c>
      <c r="W520" s="1">
        <f>VLOOKUP($E520,'Product Naming'!$A$1:$P$58,6,FALSE)</f>
        <v>3</v>
      </c>
      <c r="X520" s="1">
        <f>VLOOKUP($E520,'Product Naming'!$A$1:$P$58,7,FALSE)</f>
        <v>8</v>
      </c>
      <c r="Y520" s="1">
        <f>VLOOKUP($E520,'Product Naming'!$A$1:$P$58,8,FALSE)</f>
        <v>0</v>
      </c>
      <c r="Z520" s="1">
        <f>VLOOKUP($E520,'Product Naming'!$A$1:$P$58,9,FALSE)</f>
        <v>0</v>
      </c>
      <c r="AA520" s="1">
        <f>VLOOKUP($E520,'Product Naming'!$A$1:$P$58,10,FALSE)</f>
        <v>0</v>
      </c>
      <c r="AB520" s="29">
        <f>VLOOKUP($E520,'Product Naming'!$A$1:$P$58,11,FALSE)</f>
        <v>6.666666666666667</v>
      </c>
      <c r="AC520" s="3">
        <f>VLOOKUP($E520,'Product Naming'!$A$1:$P$58,12,FALSE)</f>
        <v>44.094819999999999</v>
      </c>
      <c r="AD520" s="1">
        <f>VLOOKUP($E520,'Product Naming'!$A$1:$P$58,13,FALSE)</f>
        <v>-42</v>
      </c>
      <c r="AE520" s="1" t="str">
        <f>VLOOKUP($E520,'Product Naming'!$A$1:$P$58,14,FALSE)</f>
        <v>Hydrocarbon</v>
      </c>
      <c r="AF520" s="1" t="str">
        <f>VLOOKUP($E520,'Product Naming'!$A$1:$P$58,15,FALSE)</f>
        <v>Acetyl-CoA</v>
      </c>
      <c r="AG520" s="30" t="str">
        <f>VLOOKUP($E520,'Product Naming'!$A$1:$P$58,16,FALSE)</f>
        <v>Diffusion</v>
      </c>
      <c r="AH520" s="3" t="str">
        <f>VLOOKUP($E520,'Product Naming'!$A$1:$Q$58,17,FALSE)</f>
        <v>prop_c</v>
      </c>
      <c r="AI520" s="1">
        <f>VLOOKUP($E520,'Product Parameters'!$A$2:$D$59,2,FALSE)</f>
        <v>0</v>
      </c>
      <c r="AJ520" s="1">
        <f>VLOOKUP($E520,'Product Parameters'!$A$2:$D$59,3,FALSE)</f>
        <v>1</v>
      </c>
      <c r="AK520" s="1">
        <f>VLOOKUP($E520,'Product Parameters'!$A$2:$D$59,4,FALSE)</f>
        <v>0.12</v>
      </c>
      <c r="AL520" s="1">
        <f>VLOOKUP($E520,'Product Parameters'!$A$2:$E$59,5,FALSE)</f>
        <v>0</v>
      </c>
      <c r="AM520" s="1">
        <f>VLOOKUP($E520,'Product Parameters'!$A$2:$F$59,6,FALSE)</f>
        <v>3</v>
      </c>
      <c r="AN520" s="1">
        <f>VLOOKUP($C520,'Substrate Heating'!$A$2:$C$33,3,FALSE)</f>
        <v>245.86666666666667</v>
      </c>
      <c r="AO520" s="1">
        <f>VLOOKUP($C520,'Substrate Heating'!$A$2:$B$33,2,FALSE)</f>
        <v>15.038360459876978</v>
      </c>
      <c r="AP520" s="1">
        <f>VLOOKUP($C520,'Substrate Heating'!$A$2:$M$33,13,FALSE)</f>
        <v>0.33333333333333331</v>
      </c>
      <c r="AQ520" s="1">
        <f>VLOOKUP($C520,'Substrate Heating'!$A$2:$M$33,8,FALSE)</f>
        <v>0.33333333333333331</v>
      </c>
      <c r="AR520" s="1">
        <f t="shared" si="8"/>
        <v>2.6999999999999997</v>
      </c>
    </row>
    <row r="521" spans="1:44" x14ac:dyDescent="0.2">
      <c r="A521" s="8" t="s">
        <v>34</v>
      </c>
      <c r="B521" s="9" t="s">
        <v>35</v>
      </c>
      <c r="C521" s="1" t="s">
        <v>348</v>
      </c>
      <c r="D521" s="23" t="s">
        <v>338</v>
      </c>
      <c r="E521" s="1" t="s">
        <v>287</v>
      </c>
      <c r="F521" s="1" t="s">
        <v>288</v>
      </c>
      <c r="G521" s="1">
        <v>-10</v>
      </c>
      <c r="H521" s="1">
        <v>-20</v>
      </c>
      <c r="I521" s="1" t="s">
        <v>40</v>
      </c>
      <c r="J521" s="1">
        <v>3.15</v>
      </c>
      <c r="K521" s="1">
        <v>-10</v>
      </c>
      <c r="L521" s="1">
        <v>-5.5386666666666704</v>
      </c>
      <c r="M521" s="1" t="s">
        <v>40</v>
      </c>
      <c r="N521" s="1">
        <v>4.0866666666666696</v>
      </c>
      <c r="O521" s="1">
        <v>1.1826666666666701</v>
      </c>
      <c r="Q521" s="1">
        <v>0.11826666666666701</v>
      </c>
      <c r="R521" s="1">
        <v>0.26630373010963698</v>
      </c>
      <c r="S521" s="1" t="str">
        <f>VLOOKUP($E521,'Product Naming'!$A$1:$P$58,2,FALSE)</f>
        <v>Pentane</v>
      </c>
      <c r="T521" s="1" t="str">
        <f>VLOOKUP($E521,'Product Naming'!$A$1:$P$58,3,FALSE)</f>
        <v>Pentane</v>
      </c>
      <c r="U521" s="1" t="str">
        <f>VLOOKUP($E521,'Product Naming'!$A$1:$P$58,4,FALSE)</f>
        <v>E</v>
      </c>
      <c r="V521" s="1" t="str">
        <f>VLOOKUP($E521,'Product Naming'!$A$1:$P$58,5,FALSE)</f>
        <v>C5H12</v>
      </c>
      <c r="W521" s="1">
        <f>VLOOKUP($E521,'Product Naming'!$A$1:$P$58,6,FALSE)</f>
        <v>5</v>
      </c>
      <c r="X521" s="1">
        <f>VLOOKUP($E521,'Product Naming'!$A$1:$P$58,7,FALSE)</f>
        <v>12</v>
      </c>
      <c r="Y521" s="1">
        <f>VLOOKUP($E521,'Product Naming'!$A$1:$P$58,8,FALSE)</f>
        <v>0</v>
      </c>
      <c r="Z521" s="1">
        <f>VLOOKUP($E521,'Product Naming'!$A$1:$P$58,9,FALSE)</f>
        <v>0</v>
      </c>
      <c r="AA521" s="1">
        <f>VLOOKUP($E521,'Product Naming'!$A$1:$P$58,10,FALSE)</f>
        <v>0</v>
      </c>
      <c r="AB521" s="29">
        <f>VLOOKUP($E521,'Product Naming'!$A$1:$P$58,11,FALSE)</f>
        <v>6.4</v>
      </c>
      <c r="AC521" s="3">
        <f>VLOOKUP($E521,'Product Naming'!$A$1:$P$58,12,FALSE)</f>
        <v>72.147580000000005</v>
      </c>
      <c r="AD521" s="1">
        <f>VLOOKUP($E521,'Product Naming'!$A$1:$P$58,13,FALSE)</f>
        <v>36.1</v>
      </c>
      <c r="AE521" s="1" t="str">
        <f>VLOOKUP($E521,'Product Naming'!$A$1:$P$58,14,FALSE)</f>
        <v>Hydrocarbon (alkane)</v>
      </c>
      <c r="AF521" s="1" t="str">
        <f>VLOOKUP($E521,'Product Naming'!$A$1:$P$58,15,FALSE)</f>
        <v>Acetyl-CoA</v>
      </c>
      <c r="AG521" s="30" t="str">
        <f>VLOOKUP($E521,'Product Naming'!$A$1:$P$58,16,FALSE)</f>
        <v>Diffusion</v>
      </c>
      <c r="AH521" s="3" t="str">
        <f>VLOOKUP($E521,'Product Naming'!$A$1:$Q$58,17,FALSE)</f>
        <v>pent_c</v>
      </c>
      <c r="AI521" s="1">
        <f>VLOOKUP($E521,'Product Parameters'!$A$2:$D$59,2,FALSE)</f>
        <v>0</v>
      </c>
      <c r="AJ521" s="1">
        <f>VLOOKUP($E521,'Product Parameters'!$A$2:$D$59,3,FALSE)</f>
        <v>1</v>
      </c>
      <c r="AK521" s="1">
        <f>VLOOKUP($E521,'Product Parameters'!$A$2:$D$59,4,FALSE)</f>
        <v>0.12</v>
      </c>
      <c r="AL521" s="1">
        <f>VLOOKUP($E521,'Product Parameters'!$A$2:$E$59,5,FALSE)</f>
        <v>26.5</v>
      </c>
      <c r="AM521" s="1">
        <f>VLOOKUP($E521,'Product Parameters'!$A$2:$F$59,6,FALSE)</f>
        <v>5</v>
      </c>
      <c r="AN521" s="1">
        <f>VLOOKUP($C521,'Substrate Heating'!$A$2:$C$33,3,FALSE)</f>
        <v>638.57832580000002</v>
      </c>
      <c r="AO521" s="1">
        <f>VLOOKUP($C521,'Substrate Heating'!$A$2:$B$33,2,FALSE)</f>
        <v>19.93</v>
      </c>
      <c r="AP521" s="1">
        <f>VLOOKUP($C521,'Substrate Heating'!$A$2:$M$33,13,FALSE)</f>
        <v>6</v>
      </c>
      <c r="AQ521" s="1">
        <f>VLOOKUP($C521,'Substrate Heating'!$A$2:$M$33,8,FALSE)</f>
        <v>1</v>
      </c>
      <c r="AR521" s="1">
        <f t="shared" si="8"/>
        <v>0.59133333333333504</v>
      </c>
    </row>
    <row r="522" spans="1:44" x14ac:dyDescent="0.2">
      <c r="A522" s="17" t="s">
        <v>185</v>
      </c>
      <c r="B522" s="9" t="s">
        <v>35</v>
      </c>
      <c r="C522" t="s">
        <v>337</v>
      </c>
      <c r="D522" s="23" t="s">
        <v>338</v>
      </c>
      <c r="E522" t="s">
        <v>225</v>
      </c>
      <c r="F522" t="s">
        <v>226</v>
      </c>
      <c r="G522">
        <v>-10</v>
      </c>
      <c r="H522">
        <v>-20</v>
      </c>
      <c r="I522" s="1" t="s">
        <v>40</v>
      </c>
      <c r="J522">
        <v>3.15</v>
      </c>
      <c r="K522">
        <v>-10</v>
      </c>
      <c r="L522">
        <v>-2.5482758620689601</v>
      </c>
      <c r="M522" s="1" t="s">
        <v>40</v>
      </c>
      <c r="N522">
        <v>6.7310344827586199</v>
      </c>
      <c r="O522">
        <v>1.63448275862069</v>
      </c>
      <c r="P522"/>
      <c r="Q522">
        <v>0.163448275862069</v>
      </c>
      <c r="R522">
        <v>0.26646923808547901</v>
      </c>
      <c r="S522" s="1" t="str">
        <f>VLOOKUP($E522,'Product Naming'!$A$1:$P$58,2,FALSE)</f>
        <v>Glycolate</v>
      </c>
      <c r="T522" s="1" t="str">
        <f>VLOOKUP($E522,'Product Naming'!$A$1:$P$58,3,FALSE)</f>
        <v>Glycolate</v>
      </c>
      <c r="U522" s="1" t="str">
        <f>VLOOKUP($E522,'Product Naming'!$A$1:$P$58,4,FALSE)</f>
        <v>iJO1366</v>
      </c>
      <c r="V522" s="1" t="str">
        <f>VLOOKUP($E522,'Product Naming'!$A$1:$P$58,5,FALSE)</f>
        <v>C2H3O3</v>
      </c>
      <c r="W522" s="1">
        <f>VLOOKUP($E522,'Product Naming'!$A$1:$P$58,6,FALSE)</f>
        <v>2</v>
      </c>
      <c r="X522" s="1">
        <f>VLOOKUP($E522,'Product Naming'!$A$1:$P$58,7,FALSE)</f>
        <v>3</v>
      </c>
      <c r="Y522" s="1">
        <f>VLOOKUP($E522,'Product Naming'!$A$1:$P$58,8,FALSE)</f>
        <v>3</v>
      </c>
      <c r="Z522" s="1">
        <f>VLOOKUP($E522,'Product Naming'!$A$1:$P$58,9,FALSE)</f>
        <v>0</v>
      </c>
      <c r="AA522" s="1">
        <f>VLOOKUP($E522,'Product Naming'!$A$1:$P$58,10,FALSE)</f>
        <v>-1</v>
      </c>
      <c r="AB522" s="29">
        <f>VLOOKUP($E522,'Product Naming'!$A$1:$P$58,11,FALSE)</f>
        <v>2.5</v>
      </c>
      <c r="AC522" s="3">
        <f>VLOOKUP($E522,'Product Naming'!$A$1:$P$58,12,FALSE)</f>
        <v>75.041920000000005</v>
      </c>
      <c r="AD522" s="1">
        <f>VLOOKUP($E522,'Product Naming'!$A$1:$P$58,13,FALSE)</f>
        <v>112</v>
      </c>
      <c r="AE522" s="1" t="str">
        <f>VLOOKUP($E522,'Product Naming'!$A$1:$P$58,14,FALSE)</f>
        <v>Carboxylate + Alcohol (hydroxy carboxylate)</v>
      </c>
      <c r="AF522" s="1" t="str">
        <f>VLOOKUP($E522,'Product Naming'!$A$1:$P$58,15,FALSE)</f>
        <v>Glyoxylate (*isocitrate)</v>
      </c>
      <c r="AG522" s="30" t="str">
        <f>VLOOKUP($E522,'Product Naming'!$A$1:$P$58,16,FALSE)</f>
        <v>Proton symporter</v>
      </c>
      <c r="AH522" s="3" t="str">
        <f>VLOOKUP($E522,'Product Naming'!$A$1:$Q$58,17,FALSE)</f>
        <v>glyclt_c</v>
      </c>
      <c r="AI522" s="1">
        <f>VLOOKUP($E522,'Product Parameters'!$A$2:$D$59,2,FALSE)</f>
        <v>1</v>
      </c>
      <c r="AJ522" s="1">
        <f>VLOOKUP($E522,'Product Parameters'!$A$2:$D$59,3,FALSE)</f>
        <v>0</v>
      </c>
      <c r="AK522" s="1">
        <f>VLOOKUP($E522,'Product Parameters'!$A$2:$D$59,4,FALSE)</f>
        <v>0.12</v>
      </c>
      <c r="AL522" s="1">
        <f>VLOOKUP($E522,'Product Parameters'!$A$2:$E$59,5,FALSE)</f>
        <v>40.65</v>
      </c>
      <c r="AM522" s="1">
        <f>VLOOKUP($E522,'Product Parameters'!$A$2:$F$59,6,FALSE)</f>
        <v>2</v>
      </c>
      <c r="AN522" s="1">
        <f>VLOOKUP($C522,'Substrate Heating'!$A$2:$C$33,3,FALSE)</f>
        <v>247.59097</v>
      </c>
      <c r="AO522" s="1">
        <f>VLOOKUP($C522,'Substrate Heating'!$A$2:$B$33,2,FALSE)</f>
        <v>5.5</v>
      </c>
      <c r="AP522" s="1">
        <f>VLOOKUP($C522,'Substrate Heating'!$A$2:$M$33,13,FALSE)</f>
        <v>1</v>
      </c>
      <c r="AQ522" s="1">
        <f>VLOOKUP($C522,'Substrate Heating'!$A$2:$M$33,8,FALSE)</f>
        <v>1</v>
      </c>
      <c r="AR522" s="1">
        <f t="shared" si="8"/>
        <v>0.32689655172413801</v>
      </c>
    </row>
    <row r="523" spans="1:44" x14ac:dyDescent="0.2">
      <c r="A523" s="17" t="s">
        <v>323</v>
      </c>
      <c r="B523" s="18" t="s">
        <v>324</v>
      </c>
      <c r="C523" t="s">
        <v>333</v>
      </c>
      <c r="D523" s="19" t="s">
        <v>326</v>
      </c>
      <c r="E523" t="s">
        <v>269</v>
      </c>
      <c r="F523" t="s">
        <v>270</v>
      </c>
      <c r="G523">
        <v>-10</v>
      </c>
      <c r="H523">
        <v>0</v>
      </c>
      <c r="I523">
        <v>0</v>
      </c>
      <c r="J523">
        <v>0.45</v>
      </c>
      <c r="K523">
        <v>-10</v>
      </c>
      <c r="L523">
        <v>0</v>
      </c>
      <c r="M523">
        <v>0</v>
      </c>
      <c r="N523">
        <v>4.0695652173913004</v>
      </c>
      <c r="O523">
        <v>0.93043478260869605</v>
      </c>
      <c r="P523"/>
      <c r="Q523">
        <v>9.3043478260869603E-2</v>
      </c>
      <c r="R523">
        <v>0.266962433247113</v>
      </c>
      <c r="S523" s="1" t="str">
        <f>VLOOKUP($E523,'Product Naming'!$A$1:$P$58,2,FALSE)</f>
        <v>Malate_L</v>
      </c>
      <c r="T523" s="1" t="str">
        <f>VLOOKUP($E523,'Product Naming'!$A$1:$P$58,3,FALSE)</f>
        <v>L-Malate</v>
      </c>
      <c r="U523" s="1" t="str">
        <f>VLOOKUP($E523,'Product Naming'!$A$1:$P$58,4,FALSE)</f>
        <v>iJO1366</v>
      </c>
      <c r="V523" s="1" t="str">
        <f>VLOOKUP($E523,'Product Naming'!$A$1:$P$58,5,FALSE)</f>
        <v>C4H4O5</v>
      </c>
      <c r="W523" s="1">
        <f>VLOOKUP($E523,'Product Naming'!$A$1:$P$58,6,FALSE)</f>
        <v>4</v>
      </c>
      <c r="X523" s="1">
        <f>VLOOKUP($E523,'Product Naming'!$A$1:$P$58,7,FALSE)</f>
        <v>4</v>
      </c>
      <c r="Y523" s="1">
        <f>VLOOKUP($E523,'Product Naming'!$A$1:$P$58,8,FALSE)</f>
        <v>5</v>
      </c>
      <c r="Z523" s="1">
        <f>VLOOKUP($E523,'Product Naming'!$A$1:$P$58,9,FALSE)</f>
        <v>0</v>
      </c>
      <c r="AA523" s="1">
        <f>VLOOKUP($E523,'Product Naming'!$A$1:$P$58,10,FALSE)</f>
        <v>-2</v>
      </c>
      <c r="AB523" s="29">
        <f>VLOOKUP($E523,'Product Naming'!$A$1:$P$58,11,FALSE)</f>
        <v>2.5</v>
      </c>
      <c r="AC523" s="3">
        <f>VLOOKUP($E523,'Product Naming'!$A$1:$P$58,12,FALSE)</f>
        <v>132.06916000000001</v>
      </c>
      <c r="AD523" s="1" t="str">
        <f>VLOOKUP($E523,'Product Naming'!$A$1:$P$58,13,FALSE)</f>
        <v>NA</v>
      </c>
      <c r="AE523" s="1" t="str">
        <f>VLOOKUP($E523,'Product Naming'!$A$1:$P$58,14,FALSE)</f>
        <v>Dicarboxylate</v>
      </c>
      <c r="AF523" s="1" t="str">
        <f>VLOOKUP($E523,'Product Naming'!$A$1:$P$58,15,FALSE)</f>
        <v>Oxaloacetate</v>
      </c>
      <c r="AG523" s="30" t="str">
        <f>VLOOKUP($E523,'Product Naming'!$A$1:$P$58,16,FALSE)</f>
        <v>Proton symporter</v>
      </c>
      <c r="AH523" s="3" t="str">
        <f>VLOOKUP($E523,'Product Naming'!$A$1:$Q$58,17,FALSE)</f>
        <v>mal__L_e</v>
      </c>
      <c r="AI523" s="1">
        <f>VLOOKUP($E523,'Product Parameters'!$A$2:$D$59,2,FALSE)</f>
        <v>1</v>
      </c>
      <c r="AJ523" s="1">
        <f>VLOOKUP($E523,'Product Parameters'!$A$2:$D$59,3,FALSE)</f>
        <v>0</v>
      </c>
      <c r="AK523" s="1">
        <f>VLOOKUP($E523,'Product Parameters'!$A$2:$D$59,4,FALSE)</f>
        <v>0.12</v>
      </c>
      <c r="AL523" s="1">
        <f>VLOOKUP($E523,'Product Parameters'!$A$2:$E$59,5,FALSE)</f>
        <v>40.65</v>
      </c>
      <c r="AM523" s="1">
        <f>VLOOKUP($E523,'Product Parameters'!$A$2:$F$59,6,FALSE)</f>
        <v>4</v>
      </c>
      <c r="AN523" s="1">
        <f>VLOOKUP($C523,'Substrate Heating'!$A$2:$C$33,3,FALSE)</f>
        <v>247.59097</v>
      </c>
      <c r="AO523" s="1">
        <f>VLOOKUP($C523,'Substrate Heating'!$A$2:$B$33,2,FALSE)</f>
        <v>5.5</v>
      </c>
      <c r="AP523" s="1">
        <f>VLOOKUP($C523,'Substrate Heating'!$A$2:$M$33,13,FALSE)</f>
        <v>1</v>
      </c>
      <c r="AQ523" s="1">
        <f>VLOOKUP($C523,'Substrate Heating'!$A$2:$M$33,8,FALSE)</f>
        <v>1</v>
      </c>
      <c r="AR523" s="1">
        <f t="shared" si="8"/>
        <v>0.37217391304347841</v>
      </c>
    </row>
    <row r="524" spans="1:44" x14ac:dyDescent="0.2">
      <c r="A524" s="8" t="s">
        <v>809</v>
      </c>
      <c r="B524" s="18" t="s">
        <v>324</v>
      </c>
      <c r="C524" t="s">
        <v>808</v>
      </c>
      <c r="D524" s="19" t="s">
        <v>326</v>
      </c>
      <c r="E524" t="s">
        <v>275</v>
      </c>
      <c r="F524" t="s">
        <v>276</v>
      </c>
      <c r="G524">
        <v>-10</v>
      </c>
      <c r="H524">
        <v>0</v>
      </c>
      <c r="I524">
        <v>-20</v>
      </c>
      <c r="J524">
        <v>0.45</v>
      </c>
      <c r="K524">
        <v>-10</v>
      </c>
      <c r="L524">
        <v>0</v>
      </c>
      <c r="M524">
        <v>-20</v>
      </c>
      <c r="N524">
        <v>-10</v>
      </c>
      <c r="O524">
        <v>1.25714285714285</v>
      </c>
      <c r="P524"/>
      <c r="Q524">
        <v>0.125714285714285</v>
      </c>
      <c r="R524">
        <v>0.26702387315860499</v>
      </c>
      <c r="S524" s="1" t="str">
        <f>VLOOKUP($E524,'Product Naming'!$A$1:$P$58,2,FALSE)</f>
        <v>Malonate</v>
      </c>
      <c r="T524" s="1" t="str">
        <f>VLOOKUP($E524,'Product Naming'!$A$1:$P$58,3,FALSE)</f>
        <v>Malonate</v>
      </c>
      <c r="U524" s="1" t="str">
        <f>VLOOKUP($E524,'Product Naming'!$A$1:$P$58,4,FALSE)</f>
        <v>A</v>
      </c>
      <c r="V524" s="1" t="str">
        <f>VLOOKUP($E524,'Product Naming'!$A$1:$P$58,5,FALSE)</f>
        <v>C3H2O4</v>
      </c>
      <c r="W524" s="1">
        <f>VLOOKUP($E524,'Product Naming'!$A$1:$P$58,6,FALSE)</f>
        <v>3</v>
      </c>
      <c r="X524" s="1">
        <f>VLOOKUP($E524,'Product Naming'!$A$1:$P$58,7,FALSE)</f>
        <v>2</v>
      </c>
      <c r="Y524" s="1">
        <f>VLOOKUP($E524,'Product Naming'!$A$1:$P$58,8,FALSE)</f>
        <v>4</v>
      </c>
      <c r="Z524" s="1">
        <f>VLOOKUP($E524,'Product Naming'!$A$1:$P$58,9,FALSE)</f>
        <v>0</v>
      </c>
      <c r="AA524" s="1">
        <f>VLOOKUP($E524,'Product Naming'!$A$1:$P$58,10,FALSE)</f>
        <v>-2</v>
      </c>
      <c r="AB524" s="29">
        <f>VLOOKUP($E524,'Product Naming'!$A$1:$P$58,11,FALSE)</f>
        <v>2</v>
      </c>
      <c r="AC524" s="3">
        <f>VLOOKUP($E524,'Product Naming'!$A$1:$P$58,12,FALSE)</f>
        <v>102.04378</v>
      </c>
      <c r="AD524" s="1">
        <f>VLOOKUP($E524,'Product Naming'!$A$1:$P$58,13,FALSE)</f>
        <v>199</v>
      </c>
      <c r="AE524" s="1" t="str">
        <f>VLOOKUP($E524,'Product Naming'!$A$1:$P$58,14,FALSE)</f>
        <v>Dicarboxylate</v>
      </c>
      <c r="AF524" s="1" t="str">
        <f>VLOOKUP($E524,'Product Naming'!$A$1:$P$58,15,FALSE)</f>
        <v>Oxaloacetate</v>
      </c>
      <c r="AG524" s="30" t="str">
        <f>VLOOKUP($E524,'Product Naming'!$A$1:$P$58,16,FALSE)</f>
        <v>Proton symporter</v>
      </c>
      <c r="AH524" s="3" t="str">
        <f>VLOOKUP($E524,'Product Naming'!$A$1:$Q$58,17,FALSE)</f>
        <v>malon_c</v>
      </c>
      <c r="AI524" s="1">
        <f>VLOOKUP($E524,'Product Parameters'!$A$2:$D$59,2,FALSE)</f>
        <v>1</v>
      </c>
      <c r="AJ524" s="1">
        <f>VLOOKUP($E524,'Product Parameters'!$A$2:$D$59,3,FALSE)</f>
        <v>0</v>
      </c>
      <c r="AK524" s="1">
        <f>VLOOKUP($E524,'Product Parameters'!$A$2:$D$59,4,FALSE)</f>
        <v>0.12</v>
      </c>
      <c r="AL524" s="1">
        <f>VLOOKUP($E524,'Product Parameters'!$A$2:$E$59,5,FALSE)</f>
        <v>40.65</v>
      </c>
      <c r="AM524" s="1">
        <f>VLOOKUP($E524,'Product Parameters'!$A$2:$F$59,6,FALSE)</f>
        <v>3</v>
      </c>
      <c r="AN524" s="1">
        <f>VLOOKUP($C524,'Substrate Heating'!$A$2:$C$33,3,FALSE)</f>
        <v>120.9</v>
      </c>
      <c r="AO524" s="1">
        <f>VLOOKUP($C524,'Substrate Heating'!$A$2:$B$33,2,FALSE)</f>
        <v>5.2537372583834907</v>
      </c>
      <c r="AP524" s="1">
        <f>VLOOKUP($C524,'Substrate Heating'!$A$2:$M$33,13,FALSE)</f>
        <v>0</v>
      </c>
      <c r="AQ524" s="1">
        <f>VLOOKUP($C524,'Substrate Heating'!$A$2:$M$33,8,FALSE)</f>
        <v>0.33333333333333331</v>
      </c>
      <c r="AR524" s="1">
        <f t="shared" si="8"/>
        <v>1.131428571428565</v>
      </c>
    </row>
    <row r="525" spans="1:44" x14ac:dyDescent="0.2">
      <c r="A525" s="8" t="s">
        <v>34</v>
      </c>
      <c r="B525" s="9" t="s">
        <v>35</v>
      </c>
      <c r="C525" s="1" t="s">
        <v>345</v>
      </c>
      <c r="D525" s="10" t="s">
        <v>37</v>
      </c>
      <c r="E525" s="1" t="s">
        <v>287</v>
      </c>
      <c r="F525" s="1" t="s">
        <v>288</v>
      </c>
      <c r="G525" s="1">
        <v>-10</v>
      </c>
      <c r="H525" s="1">
        <v>-20</v>
      </c>
      <c r="I525" s="1" t="s">
        <v>40</v>
      </c>
      <c r="J525" s="1">
        <v>3.15</v>
      </c>
      <c r="K525" s="1">
        <v>-10</v>
      </c>
      <c r="L525" s="1">
        <v>-2.1431438127090301</v>
      </c>
      <c r="M525" s="1" t="s">
        <v>40</v>
      </c>
      <c r="N525" s="1">
        <v>8.8394648829431492</v>
      </c>
      <c r="O525" s="1">
        <v>2.2321070234113698</v>
      </c>
      <c r="Q525" s="1">
        <v>0.22321070234113699</v>
      </c>
      <c r="R525" s="1">
        <v>0.26816945320744301</v>
      </c>
      <c r="S525" s="1" t="str">
        <f>VLOOKUP($E525,'Product Naming'!$A$1:$P$58,2,FALSE)</f>
        <v>Pentane</v>
      </c>
      <c r="T525" s="1" t="str">
        <f>VLOOKUP($E525,'Product Naming'!$A$1:$P$58,3,FALSE)</f>
        <v>Pentane</v>
      </c>
      <c r="U525" s="1" t="str">
        <f>VLOOKUP($E525,'Product Naming'!$A$1:$P$58,4,FALSE)</f>
        <v>E</v>
      </c>
      <c r="V525" s="1" t="str">
        <f>VLOOKUP($E525,'Product Naming'!$A$1:$P$58,5,FALSE)</f>
        <v>C5H12</v>
      </c>
      <c r="W525" s="1">
        <f>VLOOKUP($E525,'Product Naming'!$A$1:$P$58,6,FALSE)</f>
        <v>5</v>
      </c>
      <c r="X525" s="1">
        <f>VLOOKUP($E525,'Product Naming'!$A$1:$P$58,7,FALSE)</f>
        <v>12</v>
      </c>
      <c r="Y525" s="1">
        <f>VLOOKUP($E525,'Product Naming'!$A$1:$P$58,8,FALSE)</f>
        <v>0</v>
      </c>
      <c r="Z525" s="1">
        <f>VLOOKUP($E525,'Product Naming'!$A$1:$P$58,9,FALSE)</f>
        <v>0</v>
      </c>
      <c r="AA525" s="1">
        <f>VLOOKUP($E525,'Product Naming'!$A$1:$P$58,10,FALSE)</f>
        <v>0</v>
      </c>
      <c r="AB525" s="29">
        <f>VLOOKUP($E525,'Product Naming'!$A$1:$P$58,11,FALSE)</f>
        <v>6.4</v>
      </c>
      <c r="AC525" s="3">
        <f>VLOOKUP($E525,'Product Naming'!$A$1:$P$58,12,FALSE)</f>
        <v>72.147580000000005</v>
      </c>
      <c r="AD525" s="1">
        <f>VLOOKUP($E525,'Product Naming'!$A$1:$P$58,13,FALSE)</f>
        <v>36.1</v>
      </c>
      <c r="AE525" s="1" t="str">
        <f>VLOOKUP($E525,'Product Naming'!$A$1:$P$58,14,FALSE)</f>
        <v>Hydrocarbon (alkane)</v>
      </c>
      <c r="AF525" s="1" t="str">
        <f>VLOOKUP($E525,'Product Naming'!$A$1:$P$58,15,FALSE)</f>
        <v>Acetyl-CoA</v>
      </c>
      <c r="AG525" s="30" t="str">
        <f>VLOOKUP($E525,'Product Naming'!$A$1:$P$58,16,FALSE)</f>
        <v>Diffusion</v>
      </c>
      <c r="AH525" s="3" t="str">
        <f>VLOOKUP($E525,'Product Naming'!$A$1:$Q$58,17,FALSE)</f>
        <v>pent_c</v>
      </c>
      <c r="AI525" s="1">
        <f>VLOOKUP($E525,'Product Parameters'!$A$2:$D$59,2,FALSE)</f>
        <v>0</v>
      </c>
      <c r="AJ525" s="1">
        <f>VLOOKUP($E525,'Product Parameters'!$A$2:$D$59,3,FALSE)</f>
        <v>1</v>
      </c>
      <c r="AK525" s="1">
        <f>VLOOKUP($E525,'Product Parameters'!$A$2:$D$59,4,FALSE)</f>
        <v>0.12</v>
      </c>
      <c r="AL525" s="1">
        <f>VLOOKUP($E525,'Product Parameters'!$A$2:$E$59,5,FALSE)</f>
        <v>26.5</v>
      </c>
      <c r="AM525" s="1">
        <f>VLOOKUP($E525,'Product Parameters'!$A$2:$F$59,6,FALSE)</f>
        <v>5</v>
      </c>
      <c r="AN525" s="1">
        <f>VLOOKUP($C525,'Substrate Heating'!$A$2:$C$33,3,FALSE)</f>
        <v>1020.8629199999999</v>
      </c>
      <c r="AO525" s="1">
        <f>VLOOKUP($C525,'Substrate Heating'!$A$2:$B$33,2,FALSE)</f>
        <v>17</v>
      </c>
      <c r="AP525" s="1">
        <f>VLOOKUP($C525,'Substrate Heating'!$A$2:$M$33,13,FALSE)</f>
        <v>4</v>
      </c>
      <c r="AQ525" s="1">
        <f>VLOOKUP($C525,'Substrate Heating'!$A$2:$M$33,8,FALSE)</f>
        <v>2</v>
      </c>
      <c r="AR525" s="1">
        <f t="shared" si="8"/>
        <v>0.55802675585284245</v>
      </c>
    </row>
    <row r="526" spans="1:44" x14ac:dyDescent="0.2">
      <c r="A526" s="17" t="s">
        <v>231</v>
      </c>
      <c r="B526" s="9" t="s">
        <v>35</v>
      </c>
      <c r="C526" t="s">
        <v>348</v>
      </c>
      <c r="D526" s="23" t="s">
        <v>338</v>
      </c>
      <c r="E526" t="s">
        <v>283</v>
      </c>
      <c r="F526" t="s">
        <v>284</v>
      </c>
      <c r="G526">
        <v>-10</v>
      </c>
      <c r="H526">
        <v>-20</v>
      </c>
      <c r="I526" s="1" t="s">
        <v>40</v>
      </c>
      <c r="J526">
        <v>3.15</v>
      </c>
      <c r="K526">
        <v>-10</v>
      </c>
      <c r="L526">
        <v>-5.5638297872340399</v>
      </c>
      <c r="M526" s="1" t="s">
        <v>40</v>
      </c>
      <c r="N526">
        <v>3.9608510638297898</v>
      </c>
      <c r="O526">
        <v>0.754893617021277</v>
      </c>
      <c r="P526"/>
      <c r="Q526">
        <v>7.5489361702127694E-2</v>
      </c>
      <c r="R526">
        <v>0.26912037810633199</v>
      </c>
      <c r="S526" s="1" t="str">
        <f>VLOOKUP($E526,'Product Naming'!$A$1:$P$58,2,FALSE)</f>
        <v>Octane</v>
      </c>
      <c r="T526" s="1" t="str">
        <f>VLOOKUP($E526,'Product Naming'!$A$1:$P$58,3,FALSE)</f>
        <v>Octane</v>
      </c>
      <c r="U526" s="1" t="str">
        <f>VLOOKUP($E526,'Product Naming'!$A$1:$P$58,4,FALSE)</f>
        <v>E</v>
      </c>
      <c r="V526" s="1" t="str">
        <f>VLOOKUP($E526,'Product Naming'!$A$1:$P$58,5,FALSE)</f>
        <v>C8H18</v>
      </c>
      <c r="W526" s="1">
        <f>VLOOKUP($E526,'Product Naming'!$A$1:$P$58,6,FALSE)</f>
        <v>8</v>
      </c>
      <c r="X526" s="1">
        <f>VLOOKUP($E526,'Product Naming'!$A$1:$P$58,7,FALSE)</f>
        <v>18</v>
      </c>
      <c r="Y526" s="1">
        <f>VLOOKUP($E526,'Product Naming'!$A$1:$P$58,8,FALSE)</f>
        <v>0</v>
      </c>
      <c r="Z526" s="1">
        <f>VLOOKUP($E526,'Product Naming'!$A$1:$P$58,9,FALSE)</f>
        <v>0</v>
      </c>
      <c r="AA526" s="1">
        <f>VLOOKUP($E526,'Product Naming'!$A$1:$P$58,10,FALSE)</f>
        <v>0</v>
      </c>
      <c r="AB526" s="29">
        <f>VLOOKUP($E526,'Product Naming'!$A$1:$P$58,11,FALSE)</f>
        <v>6.25</v>
      </c>
      <c r="AC526" s="3">
        <f>VLOOKUP($E526,'Product Naming'!$A$1:$P$58,12,FALSE)</f>
        <v>114.22672</v>
      </c>
      <c r="AD526" s="1">
        <f>VLOOKUP($E526,'Product Naming'!$A$1:$P$58,13,FALSE)</f>
        <v>126</v>
      </c>
      <c r="AE526" s="1" t="str">
        <f>VLOOKUP($E526,'Product Naming'!$A$1:$P$58,14,FALSE)</f>
        <v>Hydrocarbon (alkane)</v>
      </c>
      <c r="AF526" s="1" t="str">
        <f>VLOOKUP($E526,'Product Naming'!$A$1:$P$58,15,FALSE)</f>
        <v>Acetyl-CoA + Succinyl-CoA</v>
      </c>
      <c r="AG526" s="30" t="str">
        <f>VLOOKUP($E526,'Product Naming'!$A$1:$P$58,16,FALSE)</f>
        <v>Proton symporter</v>
      </c>
      <c r="AH526" s="3" t="str">
        <f>VLOOKUP($E526,'Product Naming'!$A$1:$Q$58,17,FALSE)</f>
        <v>octn_c</v>
      </c>
      <c r="AI526" s="1">
        <f>VLOOKUP($E526,'Product Parameters'!$A$2:$D$59,2,FALSE)</f>
        <v>1</v>
      </c>
      <c r="AJ526" s="1">
        <f>VLOOKUP($E526,'Product Parameters'!$A$2:$D$59,3,FALSE)</f>
        <v>0</v>
      </c>
      <c r="AK526" s="1">
        <f>VLOOKUP($E526,'Product Parameters'!$A$2:$D$59,4,FALSE)</f>
        <v>0.12</v>
      </c>
      <c r="AL526" s="1">
        <f>VLOOKUP($E526,'Product Parameters'!$A$2:$E$59,5,FALSE)</f>
        <v>41</v>
      </c>
      <c r="AM526" s="1">
        <f>VLOOKUP($E526,'Product Parameters'!$A$2:$F$59,6,FALSE)</f>
        <v>8</v>
      </c>
      <c r="AN526" s="1">
        <f>VLOOKUP($C526,'Substrate Heating'!$A$2:$C$33,3,FALSE)</f>
        <v>638.57832580000002</v>
      </c>
      <c r="AO526" s="1">
        <f>VLOOKUP($C526,'Substrate Heating'!$A$2:$B$33,2,FALSE)</f>
        <v>19.93</v>
      </c>
      <c r="AP526" s="1">
        <f>VLOOKUP($C526,'Substrate Heating'!$A$2:$M$33,13,FALSE)</f>
        <v>6</v>
      </c>
      <c r="AQ526" s="1">
        <f>VLOOKUP($C526,'Substrate Heating'!$A$2:$M$33,8,FALSE)</f>
        <v>1</v>
      </c>
      <c r="AR526" s="1">
        <f t="shared" si="8"/>
        <v>0.60391489361702155</v>
      </c>
    </row>
    <row r="527" spans="1:44" x14ac:dyDescent="0.2">
      <c r="A527" s="8" t="s">
        <v>34</v>
      </c>
      <c r="B527" s="9" t="s">
        <v>35</v>
      </c>
      <c r="C527" s="1" t="s">
        <v>330</v>
      </c>
      <c r="D527" s="10" t="s">
        <v>37</v>
      </c>
      <c r="E527" s="1" t="s">
        <v>287</v>
      </c>
      <c r="F527" s="1" t="s">
        <v>288</v>
      </c>
      <c r="G527" s="1">
        <v>-10</v>
      </c>
      <c r="H527" s="1">
        <v>-20</v>
      </c>
      <c r="I527" s="1" t="s">
        <v>40</v>
      </c>
      <c r="J527" s="1">
        <v>3.15</v>
      </c>
      <c r="K527" s="1">
        <v>-10</v>
      </c>
      <c r="L527" s="1">
        <v>-6.4488888888888898</v>
      </c>
      <c r="M527" s="1" t="s">
        <v>40</v>
      </c>
      <c r="N527" s="1">
        <v>8.4055555555555408</v>
      </c>
      <c r="O527" s="1">
        <v>2.3188888888888899</v>
      </c>
      <c r="Q527" s="1">
        <v>0.23188888888888801</v>
      </c>
      <c r="R527" s="1">
        <v>0.26955360971833697</v>
      </c>
      <c r="S527" s="1" t="str">
        <f>VLOOKUP($E527,'Product Naming'!$A$1:$P$58,2,FALSE)</f>
        <v>Pentane</v>
      </c>
      <c r="T527" s="1" t="str">
        <f>VLOOKUP($E527,'Product Naming'!$A$1:$P$58,3,FALSE)</f>
        <v>Pentane</v>
      </c>
      <c r="U527" s="1" t="str">
        <f>VLOOKUP($E527,'Product Naming'!$A$1:$P$58,4,FALSE)</f>
        <v>E</v>
      </c>
      <c r="V527" s="1" t="str">
        <f>VLOOKUP($E527,'Product Naming'!$A$1:$P$58,5,FALSE)</f>
        <v>C5H12</v>
      </c>
      <c r="W527" s="1">
        <f>VLOOKUP($E527,'Product Naming'!$A$1:$P$58,6,FALSE)</f>
        <v>5</v>
      </c>
      <c r="X527" s="1">
        <f>VLOOKUP($E527,'Product Naming'!$A$1:$P$58,7,FALSE)</f>
        <v>12</v>
      </c>
      <c r="Y527" s="1">
        <f>VLOOKUP($E527,'Product Naming'!$A$1:$P$58,8,FALSE)</f>
        <v>0</v>
      </c>
      <c r="Z527" s="1">
        <f>VLOOKUP($E527,'Product Naming'!$A$1:$P$58,9,FALSE)</f>
        <v>0</v>
      </c>
      <c r="AA527" s="1">
        <f>VLOOKUP($E527,'Product Naming'!$A$1:$P$58,10,FALSE)</f>
        <v>0</v>
      </c>
      <c r="AB527" s="29">
        <f>VLOOKUP($E527,'Product Naming'!$A$1:$P$58,11,FALSE)</f>
        <v>6.4</v>
      </c>
      <c r="AC527" s="3">
        <f>VLOOKUP($E527,'Product Naming'!$A$1:$P$58,12,FALSE)</f>
        <v>72.147580000000005</v>
      </c>
      <c r="AD527" s="1">
        <f>VLOOKUP($E527,'Product Naming'!$A$1:$P$58,13,FALSE)</f>
        <v>36.1</v>
      </c>
      <c r="AE527" s="1" t="str">
        <f>VLOOKUP($E527,'Product Naming'!$A$1:$P$58,14,FALSE)</f>
        <v>Hydrocarbon (alkane)</v>
      </c>
      <c r="AF527" s="1" t="str">
        <f>VLOOKUP($E527,'Product Naming'!$A$1:$P$58,15,FALSE)</f>
        <v>Acetyl-CoA</v>
      </c>
      <c r="AG527" s="30" t="str">
        <f>VLOOKUP($E527,'Product Naming'!$A$1:$P$58,16,FALSE)</f>
        <v>Diffusion</v>
      </c>
      <c r="AH527" s="3" t="str">
        <f>VLOOKUP($E527,'Product Naming'!$A$1:$Q$58,17,FALSE)</f>
        <v>pent_c</v>
      </c>
      <c r="AI527" s="1">
        <f>VLOOKUP($E527,'Product Parameters'!$A$2:$D$59,2,FALSE)</f>
        <v>0</v>
      </c>
      <c r="AJ527" s="1">
        <f>VLOOKUP($E527,'Product Parameters'!$A$2:$D$59,3,FALSE)</f>
        <v>1</v>
      </c>
      <c r="AK527" s="1">
        <f>VLOOKUP($E527,'Product Parameters'!$A$2:$D$59,4,FALSE)</f>
        <v>0.12</v>
      </c>
      <c r="AL527" s="1">
        <f>VLOOKUP($E527,'Product Parameters'!$A$2:$E$59,5,FALSE)</f>
        <v>26.5</v>
      </c>
      <c r="AM527" s="1">
        <f>VLOOKUP($E527,'Product Parameters'!$A$2:$F$59,6,FALSE)</f>
        <v>5</v>
      </c>
      <c r="AN527" s="1">
        <f>VLOOKUP($C527,'Substrate Heating'!$A$2:$C$33,3,FALSE)</f>
        <v>1055.1294800000001</v>
      </c>
      <c r="AO527" s="1">
        <f>VLOOKUP($C527,'Substrate Heating'!$A$2:$B$33,2,FALSE)</f>
        <v>17</v>
      </c>
      <c r="AP527" s="1">
        <f>VLOOKUP($C527,'Substrate Heating'!$A$2:$M$33,13,FALSE)</f>
        <v>5</v>
      </c>
      <c r="AQ527" s="1">
        <f>VLOOKUP($C527,'Substrate Heating'!$A$2:$M$33,8,FALSE)</f>
        <v>2</v>
      </c>
      <c r="AR527" s="1">
        <f t="shared" si="8"/>
        <v>0.57972222222222003</v>
      </c>
    </row>
    <row r="528" spans="1:44" x14ac:dyDescent="0.2">
      <c r="A528" s="17" t="s">
        <v>323</v>
      </c>
      <c r="B528" s="18" t="s">
        <v>324</v>
      </c>
      <c r="C528" t="s">
        <v>336</v>
      </c>
      <c r="D528" s="19" t="s">
        <v>326</v>
      </c>
      <c r="E528" t="s">
        <v>287</v>
      </c>
      <c r="F528" t="s">
        <v>288</v>
      </c>
      <c r="G528">
        <v>-10</v>
      </c>
      <c r="H528">
        <v>0</v>
      </c>
      <c r="I528">
        <v>-20</v>
      </c>
      <c r="J528">
        <v>0.45</v>
      </c>
      <c r="K528">
        <v>-10</v>
      </c>
      <c r="L528">
        <v>0</v>
      </c>
      <c r="M528">
        <v>-20</v>
      </c>
      <c r="N528">
        <v>0.625000000000006</v>
      </c>
      <c r="O528">
        <v>1.875</v>
      </c>
      <c r="P528"/>
      <c r="Q528">
        <v>0.1875</v>
      </c>
      <c r="R528" s="20">
        <v>0.27017517974835198</v>
      </c>
      <c r="S528" s="1" t="str">
        <f>VLOOKUP($E528,'Product Naming'!$A$1:$P$58,2,FALSE)</f>
        <v>Pentane</v>
      </c>
      <c r="T528" s="1" t="str">
        <f>VLOOKUP($E528,'Product Naming'!$A$1:$P$58,3,FALSE)</f>
        <v>Pentane</v>
      </c>
      <c r="U528" s="1" t="str">
        <f>VLOOKUP($E528,'Product Naming'!$A$1:$P$58,4,FALSE)</f>
        <v>E</v>
      </c>
      <c r="V528" s="1" t="str">
        <f>VLOOKUP($E528,'Product Naming'!$A$1:$P$58,5,FALSE)</f>
        <v>C5H12</v>
      </c>
      <c r="W528" s="1">
        <f>VLOOKUP($E528,'Product Naming'!$A$1:$P$58,6,FALSE)</f>
        <v>5</v>
      </c>
      <c r="X528" s="1">
        <f>VLOOKUP($E528,'Product Naming'!$A$1:$P$58,7,FALSE)</f>
        <v>12</v>
      </c>
      <c r="Y528" s="1">
        <f>VLOOKUP($E528,'Product Naming'!$A$1:$P$58,8,FALSE)</f>
        <v>0</v>
      </c>
      <c r="Z528" s="1">
        <f>VLOOKUP($E528,'Product Naming'!$A$1:$P$58,9,FALSE)</f>
        <v>0</v>
      </c>
      <c r="AA528" s="1">
        <f>VLOOKUP($E528,'Product Naming'!$A$1:$P$58,10,FALSE)</f>
        <v>0</v>
      </c>
      <c r="AB528" s="29">
        <f>VLOOKUP($E528,'Product Naming'!$A$1:$P$58,11,FALSE)</f>
        <v>6.4</v>
      </c>
      <c r="AC528" s="3">
        <f>VLOOKUP($E528,'Product Naming'!$A$1:$P$58,12,FALSE)</f>
        <v>72.147580000000005</v>
      </c>
      <c r="AD528" s="1">
        <f>VLOOKUP($E528,'Product Naming'!$A$1:$P$58,13,FALSE)</f>
        <v>36.1</v>
      </c>
      <c r="AE528" s="1" t="str">
        <f>VLOOKUP($E528,'Product Naming'!$A$1:$P$58,14,FALSE)</f>
        <v>Hydrocarbon (alkane)</v>
      </c>
      <c r="AF528" s="1" t="str">
        <f>VLOOKUP($E528,'Product Naming'!$A$1:$P$58,15,FALSE)</f>
        <v>Acetyl-CoA</v>
      </c>
      <c r="AG528" s="30" t="str">
        <f>VLOOKUP($E528,'Product Naming'!$A$1:$P$58,16,FALSE)</f>
        <v>Diffusion</v>
      </c>
      <c r="AH528" s="3" t="str">
        <f>VLOOKUP($E528,'Product Naming'!$A$1:$Q$58,17,FALSE)</f>
        <v>pent_c</v>
      </c>
      <c r="AI528" s="1">
        <f>VLOOKUP($E528,'Product Parameters'!$A$2:$D$59,2,FALSE)</f>
        <v>0</v>
      </c>
      <c r="AJ528" s="1">
        <f>VLOOKUP($E528,'Product Parameters'!$A$2:$D$59,3,FALSE)</f>
        <v>1</v>
      </c>
      <c r="AK528" s="1">
        <f>VLOOKUP($E528,'Product Parameters'!$A$2:$D$59,4,FALSE)</f>
        <v>0.12</v>
      </c>
      <c r="AL528" s="1">
        <f>VLOOKUP($E528,'Product Parameters'!$A$2:$E$59,5,FALSE)</f>
        <v>26.5</v>
      </c>
      <c r="AM528" s="1">
        <f>VLOOKUP($E528,'Product Parameters'!$A$2:$F$59,6,FALSE)</f>
        <v>5</v>
      </c>
      <c r="AN528" s="1">
        <f>VLOOKUP($C528,'Substrate Heating'!$A$2:$C$33,3,FALSE)</f>
        <v>245.86666666666667</v>
      </c>
      <c r="AO528" s="1">
        <f>VLOOKUP($C528,'Substrate Heating'!$A$2:$B$33,2,FALSE)</f>
        <v>15.038360459876978</v>
      </c>
      <c r="AP528" s="1">
        <f>VLOOKUP($C528,'Substrate Heating'!$A$2:$M$33,13,FALSE)</f>
        <v>0.33333333333333331</v>
      </c>
      <c r="AQ528" s="1">
        <f>VLOOKUP($C528,'Substrate Heating'!$A$2:$M$33,8,FALSE)</f>
        <v>0.33333333333333331</v>
      </c>
      <c r="AR528" s="1">
        <f t="shared" si="8"/>
        <v>2.8125</v>
      </c>
    </row>
    <row r="529" spans="1:44" x14ac:dyDescent="0.2">
      <c r="A529" s="8" t="s">
        <v>34</v>
      </c>
      <c r="B529" s="9" t="s">
        <v>35</v>
      </c>
      <c r="C529" s="1" t="s">
        <v>344</v>
      </c>
      <c r="D529" s="10" t="s">
        <v>37</v>
      </c>
      <c r="E529" s="1" t="s">
        <v>295</v>
      </c>
      <c r="F529" s="1" t="s">
        <v>292</v>
      </c>
      <c r="G529" s="1">
        <v>-10</v>
      </c>
      <c r="H529" s="1">
        <v>-20</v>
      </c>
      <c r="I529" s="1" t="s">
        <v>40</v>
      </c>
      <c r="J529" s="1">
        <v>3.15</v>
      </c>
      <c r="K529" s="1">
        <v>-10</v>
      </c>
      <c r="L529" s="1">
        <v>-6.1829896907216497</v>
      </c>
      <c r="M529" s="1" t="s">
        <v>40</v>
      </c>
      <c r="N529" s="1">
        <v>10.7886597938144</v>
      </c>
      <c r="O529" s="1">
        <v>1.84226804123711</v>
      </c>
      <c r="Q529" s="1">
        <v>0.18422680412371101</v>
      </c>
      <c r="R529" s="1">
        <v>0.270415019114019</v>
      </c>
      <c r="S529" s="1" t="str">
        <f>VLOOKUP($E529,'Product Naming'!$A$1:$P$58,2,FALSE)</f>
        <v>Pentanol-PW2</v>
      </c>
      <c r="T529" s="1" t="str">
        <f>VLOOKUP($E529,'Product Naming'!$A$1:$P$58,3,FALSE)</f>
        <v>Pentanol (PW2)</v>
      </c>
      <c r="U529" s="1" t="str">
        <f>VLOOKUP($E529,'Product Naming'!$A$1:$P$58,4,FALSE)</f>
        <v>E</v>
      </c>
      <c r="V529" s="1" t="str">
        <f>VLOOKUP($E529,'Product Naming'!$A$1:$P$58,5,FALSE)</f>
        <v>C5H12O</v>
      </c>
      <c r="W529" s="1">
        <f>VLOOKUP($E529,'Product Naming'!$A$1:$P$58,6,FALSE)</f>
        <v>5</v>
      </c>
      <c r="X529" s="1">
        <f>VLOOKUP($E529,'Product Naming'!$A$1:$P$58,7,FALSE)</f>
        <v>12</v>
      </c>
      <c r="Y529" s="1">
        <f>VLOOKUP($E529,'Product Naming'!$A$1:$P$58,8,FALSE)</f>
        <v>1</v>
      </c>
      <c r="Z529" s="1">
        <f>VLOOKUP($E529,'Product Naming'!$A$1:$P$58,9,FALSE)</f>
        <v>0</v>
      </c>
      <c r="AA529" s="1">
        <f>VLOOKUP($E529,'Product Naming'!$A$1:$P$58,10,FALSE)</f>
        <v>0</v>
      </c>
      <c r="AB529" s="29">
        <f>VLOOKUP($E529,'Product Naming'!$A$1:$P$58,11,FALSE)</f>
        <v>6</v>
      </c>
      <c r="AC529" s="3">
        <f>VLOOKUP($E529,'Product Naming'!$A$1:$P$58,12,FALSE)</f>
        <v>88.14658</v>
      </c>
      <c r="AD529" s="1">
        <f>VLOOKUP($E529,'Product Naming'!$A$1:$P$58,13,FALSE)</f>
        <v>138</v>
      </c>
      <c r="AE529" s="1" t="str">
        <f>VLOOKUP($E529,'Product Naming'!$A$1:$P$58,14,FALSE)</f>
        <v>Alcohol</v>
      </c>
      <c r="AF529" s="1" t="str">
        <f>VLOOKUP($E529,'Product Naming'!$A$1:$P$58,15,FALSE)</f>
        <v>Oxaloacetate</v>
      </c>
      <c r="AG529" s="30" t="str">
        <f>VLOOKUP($E529,'Product Naming'!$A$1:$P$58,16,FALSE)</f>
        <v>Proton symporter</v>
      </c>
      <c r="AH529" s="3" t="str">
        <f>VLOOKUP($E529,'Product Naming'!$A$1:$Q$58,17,FALSE)</f>
        <v>pentoh_c</v>
      </c>
      <c r="AI529" s="1">
        <f>VLOOKUP($E529,'Product Parameters'!$A$2:$D$59,2,FALSE)</f>
        <v>1</v>
      </c>
      <c r="AJ529" s="1">
        <f>VLOOKUP($E529,'Product Parameters'!$A$2:$D$59,3,FALSE)</f>
        <v>0</v>
      </c>
      <c r="AK529" s="1">
        <f>VLOOKUP($E529,'Product Parameters'!$A$2:$D$59,4,FALSE)</f>
        <v>0.12</v>
      </c>
      <c r="AL529" s="1">
        <f>VLOOKUP($E529,'Product Parameters'!$A$2:$E$59,5,FALSE)</f>
        <v>57</v>
      </c>
      <c r="AM529" s="1">
        <f>VLOOKUP($E529,'Product Parameters'!$A$2:$F$59,6,FALSE)</f>
        <v>5</v>
      </c>
      <c r="AN529" s="1">
        <f>VLOOKUP($C529,'Substrate Heating'!$A$2:$C$33,3,FALSE)</f>
        <v>1020.8629199999999</v>
      </c>
      <c r="AO529" s="1">
        <f>VLOOKUP($C529,'Substrate Heating'!$A$2:$B$33,2,FALSE)</f>
        <v>17</v>
      </c>
      <c r="AP529" s="1">
        <f>VLOOKUP($C529,'Substrate Heating'!$A$2:$M$33,13,FALSE)</f>
        <v>4</v>
      </c>
      <c r="AQ529" s="1">
        <f>VLOOKUP($C529,'Substrate Heating'!$A$2:$M$33,8,FALSE)</f>
        <v>2</v>
      </c>
      <c r="AR529" s="1">
        <f t="shared" si="8"/>
        <v>0.46056701030927749</v>
      </c>
    </row>
    <row r="530" spans="1:44" x14ac:dyDescent="0.2">
      <c r="A530" s="8" t="s">
        <v>34</v>
      </c>
      <c r="B530" s="9" t="s">
        <v>35</v>
      </c>
      <c r="C530" s="1" t="s">
        <v>344</v>
      </c>
      <c r="D530" s="10" t="s">
        <v>37</v>
      </c>
      <c r="E530" s="1" t="s">
        <v>145</v>
      </c>
      <c r="F530" s="1" t="s">
        <v>146</v>
      </c>
      <c r="G530" s="1">
        <v>-10</v>
      </c>
      <c r="H530" s="1">
        <v>-20</v>
      </c>
      <c r="I530" s="1" t="s">
        <v>40</v>
      </c>
      <c r="J530" s="1">
        <v>3.15</v>
      </c>
      <c r="K530" s="1">
        <v>-10</v>
      </c>
      <c r="L530" s="1">
        <v>-7.1762650602409597</v>
      </c>
      <c r="M530" s="1" t="s">
        <v>40</v>
      </c>
      <c r="N530" s="1">
        <v>9.4392771084337195</v>
      </c>
      <c r="O530" s="1">
        <v>1.50867469879518</v>
      </c>
      <c r="Q530" s="1">
        <v>0.15086746987951799</v>
      </c>
      <c r="R530" s="1">
        <v>0.27166952409116901</v>
      </c>
      <c r="S530" s="1" t="str">
        <f>VLOOKUP($E530,'Product Naming'!$A$1:$P$58,2,FALSE)</f>
        <v>Benzyl alcohol</v>
      </c>
      <c r="T530" s="1" t="str">
        <f>VLOOKUP($E530,'Product Naming'!$A$1:$P$58,3,FALSE)</f>
        <v>Benzyl alcohol</v>
      </c>
      <c r="U530" s="1" t="str">
        <f>VLOOKUP($E530,'Product Naming'!$A$1:$P$58,4,FALSE)</f>
        <v>E</v>
      </c>
      <c r="V530" s="1" t="str">
        <f>VLOOKUP($E530,'Product Naming'!$A$1:$P$58,5,FALSE)</f>
        <v>C7H8O</v>
      </c>
      <c r="W530" s="1">
        <f>VLOOKUP($E530,'Product Naming'!$A$1:$P$58,6,FALSE)</f>
        <v>7</v>
      </c>
      <c r="X530" s="1">
        <f>VLOOKUP($E530,'Product Naming'!$A$1:$P$58,7,FALSE)</f>
        <v>8</v>
      </c>
      <c r="Y530" s="1">
        <f>VLOOKUP($E530,'Product Naming'!$A$1:$P$58,8,FALSE)</f>
        <v>1</v>
      </c>
      <c r="Z530" s="1">
        <f>VLOOKUP($E530,'Product Naming'!$A$1:$P$58,9,FALSE)</f>
        <v>0</v>
      </c>
      <c r="AA530" s="1">
        <f>VLOOKUP($E530,'Product Naming'!$A$1:$P$58,10,FALSE)</f>
        <v>0</v>
      </c>
      <c r="AB530" s="29">
        <f>VLOOKUP($E530,'Product Naming'!$A$1:$P$58,11,FALSE)</f>
        <v>4.8571428571428568</v>
      </c>
      <c r="AC530" s="3">
        <f>VLOOKUP($E530,'Product Naming'!$A$1:$P$58,12,FALSE)</f>
        <v>108.13661999999999</v>
      </c>
      <c r="AD530" s="1">
        <f>VLOOKUP($E530,'Product Naming'!$A$1:$P$58,13,FALSE)</f>
        <v>205</v>
      </c>
      <c r="AE530" s="1" t="str">
        <f>VLOOKUP($E530,'Product Naming'!$A$1:$P$58,14,FALSE)</f>
        <v>Aromatic + Alcohol</v>
      </c>
      <c r="AF530" s="1" t="str">
        <f>VLOOKUP($E530,'Product Naming'!$A$1:$P$58,15,FALSE)</f>
        <v>E4P</v>
      </c>
      <c r="AG530" s="30" t="str">
        <f>VLOOKUP($E530,'Product Naming'!$A$1:$P$58,16,FALSE)</f>
        <v>Proton symporter</v>
      </c>
      <c r="AH530" s="3" t="str">
        <f>VLOOKUP($E530,'Product Naming'!$A$1:$Q$58,17,FALSE)</f>
        <v>bzalc_c</v>
      </c>
      <c r="AI530" s="1">
        <f>VLOOKUP($E530,'Product Parameters'!$A$2:$D$59,2,FALSE)</f>
        <v>1</v>
      </c>
      <c r="AJ530" s="1">
        <f>VLOOKUP($E530,'Product Parameters'!$A$2:$D$59,3,FALSE)</f>
        <v>0</v>
      </c>
      <c r="AK530" s="1">
        <f>VLOOKUP($E530,'Product Parameters'!$A$2:$D$59,4,FALSE)</f>
        <v>0.12</v>
      </c>
      <c r="AL530" s="1">
        <f>VLOOKUP($E530,'Product Parameters'!$A$2:$E$59,5,FALSE)</f>
        <v>63</v>
      </c>
      <c r="AM530" s="1">
        <f>VLOOKUP($E530,'Product Parameters'!$A$2:$F$59,6,FALSE)</f>
        <v>7</v>
      </c>
      <c r="AN530" s="1">
        <f>VLOOKUP($C530,'Substrate Heating'!$A$2:$C$33,3,FALSE)</f>
        <v>1020.8629199999999</v>
      </c>
      <c r="AO530" s="1">
        <f>VLOOKUP($C530,'Substrate Heating'!$A$2:$B$33,2,FALSE)</f>
        <v>17</v>
      </c>
      <c r="AP530" s="1">
        <f>VLOOKUP($C530,'Substrate Heating'!$A$2:$M$33,13,FALSE)</f>
        <v>4</v>
      </c>
      <c r="AQ530" s="1">
        <f>VLOOKUP($C530,'Substrate Heating'!$A$2:$M$33,8,FALSE)</f>
        <v>2</v>
      </c>
      <c r="AR530" s="1">
        <f t="shared" si="8"/>
        <v>0.52803614457831294</v>
      </c>
    </row>
    <row r="531" spans="1:44" x14ac:dyDescent="0.2">
      <c r="A531" s="17" t="s">
        <v>323</v>
      </c>
      <c r="B531" s="18" t="s">
        <v>324</v>
      </c>
      <c r="C531" t="s">
        <v>336</v>
      </c>
      <c r="D531" s="19" t="s">
        <v>326</v>
      </c>
      <c r="E531" t="s">
        <v>236</v>
      </c>
      <c r="F531" t="s">
        <v>237</v>
      </c>
      <c r="G531">
        <v>-10</v>
      </c>
      <c r="H531">
        <v>0</v>
      </c>
      <c r="I531">
        <v>-20</v>
      </c>
      <c r="J531">
        <v>0.45</v>
      </c>
      <c r="K531">
        <v>-10</v>
      </c>
      <c r="L531">
        <v>0</v>
      </c>
      <c r="M531">
        <v>-20</v>
      </c>
      <c r="N531">
        <v>0.52631578947367996</v>
      </c>
      <c r="O531">
        <v>1.57894736842105</v>
      </c>
      <c r="P531"/>
      <c r="Q531">
        <v>0.157894736842105</v>
      </c>
      <c r="R531" s="20">
        <v>0.271747847749992</v>
      </c>
      <c r="S531" s="1" t="str">
        <f>VLOOKUP($E531,'Product Naming'!$A$1:$P$58,2,FALSE)</f>
        <v>Hexane</v>
      </c>
      <c r="T531" s="1" t="str">
        <f>VLOOKUP($E531,'Product Naming'!$A$1:$P$58,3,FALSE)</f>
        <v>Hexane</v>
      </c>
      <c r="U531" s="1" t="str">
        <f>VLOOKUP($E531,'Product Naming'!$A$1:$P$58,4,FALSE)</f>
        <v>E</v>
      </c>
      <c r="V531" s="1" t="str">
        <f>VLOOKUP($E531,'Product Naming'!$A$1:$P$58,5,FALSE)</f>
        <v>C6H14</v>
      </c>
      <c r="W531" s="1">
        <f>VLOOKUP($E531,'Product Naming'!$A$1:$P$58,6,FALSE)</f>
        <v>6</v>
      </c>
      <c r="X531" s="1">
        <f>VLOOKUP($E531,'Product Naming'!$A$1:$P$58,7,FALSE)</f>
        <v>14</v>
      </c>
      <c r="Y531" s="1">
        <f>VLOOKUP($E531,'Product Naming'!$A$1:$P$58,8,FALSE)</f>
        <v>0</v>
      </c>
      <c r="Z531" s="1">
        <f>VLOOKUP($E531,'Product Naming'!$A$1:$P$58,9,FALSE)</f>
        <v>0</v>
      </c>
      <c r="AA531" s="1">
        <f>VLOOKUP($E531,'Product Naming'!$A$1:$P$58,10,FALSE)</f>
        <v>0</v>
      </c>
      <c r="AB531" s="29">
        <f>VLOOKUP($E531,'Product Naming'!$A$1:$P$58,11,FALSE)</f>
        <v>6.333333333333333</v>
      </c>
      <c r="AC531" s="3">
        <f>VLOOKUP($E531,'Product Naming'!$A$1:$P$58,12,FALSE)</f>
        <v>86.173959999999994</v>
      </c>
      <c r="AD531" s="1">
        <f>VLOOKUP($E531,'Product Naming'!$A$1:$P$58,13,FALSE)</f>
        <v>69</v>
      </c>
      <c r="AE531" s="1" t="str">
        <f>VLOOKUP($E531,'Product Naming'!$A$1:$P$58,14,FALSE)</f>
        <v>Hydrocarbon (alkane)</v>
      </c>
      <c r="AF531" s="1" t="str">
        <f>VLOOKUP($E531,'Product Naming'!$A$1:$P$58,15,FALSE)</f>
        <v>Acetyl-CoA + Succinyl-CoA</v>
      </c>
      <c r="AG531" s="30" t="str">
        <f>VLOOKUP($E531,'Product Naming'!$A$1:$P$58,16,FALSE)</f>
        <v>Proton symporter</v>
      </c>
      <c r="AH531" s="3" t="str">
        <f>VLOOKUP($E531,'Product Naming'!$A$1:$Q$58,17,FALSE)</f>
        <v>hex_c</v>
      </c>
      <c r="AI531" s="1">
        <f>VLOOKUP($E531,'Product Parameters'!$A$2:$D$59,2,FALSE)</f>
        <v>1</v>
      </c>
      <c r="AJ531" s="1">
        <f>VLOOKUP($E531,'Product Parameters'!$A$2:$D$59,3,FALSE)</f>
        <v>0</v>
      </c>
      <c r="AK531" s="1">
        <f>VLOOKUP($E531,'Product Parameters'!$A$2:$D$59,4,FALSE)</f>
        <v>0.12</v>
      </c>
      <c r="AL531" s="1">
        <f>VLOOKUP($E531,'Product Parameters'!$A$2:$E$59,5,FALSE)</f>
        <v>31</v>
      </c>
      <c r="AM531" s="1">
        <f>VLOOKUP($E531,'Product Parameters'!$A$2:$F$59,6,FALSE)</f>
        <v>6</v>
      </c>
      <c r="AN531" s="1">
        <f>VLOOKUP($C531,'Substrate Heating'!$A$2:$C$33,3,FALSE)</f>
        <v>245.86666666666667</v>
      </c>
      <c r="AO531" s="1">
        <f>VLOOKUP($C531,'Substrate Heating'!$A$2:$B$33,2,FALSE)</f>
        <v>15.038360459876978</v>
      </c>
      <c r="AP531" s="1">
        <f>VLOOKUP($C531,'Substrate Heating'!$A$2:$M$33,13,FALSE)</f>
        <v>0.33333333333333331</v>
      </c>
      <c r="AQ531" s="1">
        <f>VLOOKUP($C531,'Substrate Heating'!$A$2:$M$33,8,FALSE)</f>
        <v>0.33333333333333331</v>
      </c>
      <c r="AR531" s="1">
        <f t="shared" si="8"/>
        <v>2.8421052631578902</v>
      </c>
    </row>
    <row r="532" spans="1:44" x14ac:dyDescent="0.2">
      <c r="A532" s="17" t="s">
        <v>323</v>
      </c>
      <c r="B532" s="18" t="s">
        <v>324</v>
      </c>
      <c r="C532" t="s">
        <v>336</v>
      </c>
      <c r="D532" s="19" t="s">
        <v>326</v>
      </c>
      <c r="E532" t="s">
        <v>232</v>
      </c>
      <c r="F532" t="s">
        <v>233</v>
      </c>
      <c r="G532">
        <v>-10</v>
      </c>
      <c r="H532">
        <v>0</v>
      </c>
      <c r="I532">
        <v>-20</v>
      </c>
      <c r="J532">
        <v>0.45</v>
      </c>
      <c r="K532">
        <v>-10</v>
      </c>
      <c r="L532">
        <v>0</v>
      </c>
      <c r="M532">
        <v>-20</v>
      </c>
      <c r="N532">
        <v>0.45454545454545697</v>
      </c>
      <c r="O532">
        <v>1.36363636363636</v>
      </c>
      <c r="P532"/>
      <c r="Q532">
        <v>0.13636363636363599</v>
      </c>
      <c r="R532" s="20">
        <v>0.272891606296639</v>
      </c>
      <c r="S532" s="1" t="str">
        <f>VLOOKUP($E532,'Product Naming'!$A$1:$P$58,2,FALSE)</f>
        <v>Heptane</v>
      </c>
      <c r="T532" s="1" t="str">
        <f>VLOOKUP($E532,'Product Naming'!$A$1:$P$58,3,FALSE)</f>
        <v>Heptane</v>
      </c>
      <c r="U532" s="1" t="str">
        <f>VLOOKUP($E532,'Product Naming'!$A$1:$P$58,4,FALSE)</f>
        <v>E</v>
      </c>
      <c r="V532" s="1" t="str">
        <f>VLOOKUP($E532,'Product Naming'!$A$1:$P$58,5,FALSE)</f>
        <v>C7H16</v>
      </c>
      <c r="W532" s="1">
        <f>VLOOKUP($E532,'Product Naming'!$A$1:$P$58,6,FALSE)</f>
        <v>7</v>
      </c>
      <c r="X532" s="1">
        <f>VLOOKUP($E532,'Product Naming'!$A$1:$P$58,7,FALSE)</f>
        <v>16</v>
      </c>
      <c r="Y532" s="1">
        <f>VLOOKUP($E532,'Product Naming'!$A$1:$P$58,8,FALSE)</f>
        <v>0</v>
      </c>
      <c r="Z532" s="1">
        <f>VLOOKUP($E532,'Product Naming'!$A$1:$P$58,9,FALSE)</f>
        <v>0</v>
      </c>
      <c r="AA532" s="1">
        <f>VLOOKUP($E532,'Product Naming'!$A$1:$P$58,10,FALSE)</f>
        <v>0</v>
      </c>
      <c r="AB532" s="29">
        <f>VLOOKUP($E532,'Product Naming'!$A$1:$P$58,11,FALSE)</f>
        <v>6.2857142857142856</v>
      </c>
      <c r="AC532" s="3">
        <f>VLOOKUP($E532,'Product Naming'!$A$1:$P$58,12,FALSE)</f>
        <v>100.20034</v>
      </c>
      <c r="AD532" s="1">
        <f>VLOOKUP($E532,'Product Naming'!$A$1:$P$58,13,FALSE)</f>
        <v>98</v>
      </c>
      <c r="AE532" s="1" t="str">
        <f>VLOOKUP($E532,'Product Naming'!$A$1:$P$58,14,FALSE)</f>
        <v>Hydrocarbon (alkane)</v>
      </c>
      <c r="AF532" s="1" t="str">
        <f>VLOOKUP($E532,'Product Naming'!$A$1:$P$58,15,FALSE)</f>
        <v>Acetyl-CoA</v>
      </c>
      <c r="AG532" s="30" t="str">
        <f>VLOOKUP($E532,'Product Naming'!$A$1:$P$58,16,FALSE)</f>
        <v>Proton symporter</v>
      </c>
      <c r="AH532" s="3" t="str">
        <f>VLOOKUP($E532,'Product Naming'!$A$1:$Q$58,17,FALSE)</f>
        <v>hept_c</v>
      </c>
      <c r="AI532" s="1">
        <f>VLOOKUP($E532,'Product Parameters'!$A$2:$D$59,2,FALSE)</f>
        <v>1</v>
      </c>
      <c r="AJ532" s="1">
        <f>VLOOKUP($E532,'Product Parameters'!$A$2:$D$59,3,FALSE)</f>
        <v>0</v>
      </c>
      <c r="AK532" s="1">
        <f>VLOOKUP($E532,'Product Parameters'!$A$2:$D$59,4,FALSE)</f>
        <v>0.12</v>
      </c>
      <c r="AL532" s="1">
        <f>VLOOKUP($E532,'Product Parameters'!$A$2:$E$59,5,FALSE)</f>
        <v>36</v>
      </c>
      <c r="AM532" s="1">
        <f>VLOOKUP($E532,'Product Parameters'!$A$2:$F$59,6,FALSE)</f>
        <v>7</v>
      </c>
      <c r="AN532" s="1">
        <f>VLOOKUP($C532,'Substrate Heating'!$A$2:$C$33,3,FALSE)</f>
        <v>245.86666666666667</v>
      </c>
      <c r="AO532" s="1">
        <f>VLOOKUP($C532,'Substrate Heating'!$A$2:$B$33,2,FALSE)</f>
        <v>15.038360459876978</v>
      </c>
      <c r="AP532" s="1">
        <f>VLOOKUP($C532,'Substrate Heating'!$A$2:$M$33,13,FALSE)</f>
        <v>0.33333333333333331</v>
      </c>
      <c r="AQ532" s="1">
        <f>VLOOKUP($C532,'Substrate Heating'!$A$2:$M$33,8,FALSE)</f>
        <v>0.33333333333333331</v>
      </c>
      <c r="AR532" s="1">
        <f t="shared" si="8"/>
        <v>2.8636363636363558</v>
      </c>
    </row>
    <row r="533" spans="1:44" x14ac:dyDescent="0.2">
      <c r="A533" s="17" t="s">
        <v>231</v>
      </c>
      <c r="B533" s="9" t="s">
        <v>35</v>
      </c>
      <c r="C533" t="s">
        <v>348</v>
      </c>
      <c r="D533" s="23" t="s">
        <v>338</v>
      </c>
      <c r="E533" t="s">
        <v>232</v>
      </c>
      <c r="F533" t="s">
        <v>233</v>
      </c>
      <c r="G533">
        <v>-10</v>
      </c>
      <c r="H533">
        <v>-20</v>
      </c>
      <c r="I533" s="1" t="s">
        <v>40</v>
      </c>
      <c r="J533">
        <v>3.15</v>
      </c>
      <c r="K533">
        <v>-10</v>
      </c>
      <c r="L533">
        <v>-5.3871921182265998</v>
      </c>
      <c r="M533" s="1" t="s">
        <v>40</v>
      </c>
      <c r="N533">
        <v>3.8827586206896698</v>
      </c>
      <c r="O533">
        <v>0.87389162561576295</v>
      </c>
      <c r="P533"/>
      <c r="Q533">
        <v>8.7389162561576306E-2</v>
      </c>
      <c r="R533">
        <v>0.27328758165257999</v>
      </c>
      <c r="S533" s="1" t="str">
        <f>VLOOKUP($E533,'Product Naming'!$A$1:$P$58,2,FALSE)</f>
        <v>Heptane</v>
      </c>
      <c r="T533" s="1" t="str">
        <f>VLOOKUP($E533,'Product Naming'!$A$1:$P$58,3,FALSE)</f>
        <v>Heptane</v>
      </c>
      <c r="U533" s="1" t="str">
        <f>VLOOKUP($E533,'Product Naming'!$A$1:$P$58,4,FALSE)</f>
        <v>E</v>
      </c>
      <c r="V533" s="1" t="str">
        <f>VLOOKUP($E533,'Product Naming'!$A$1:$P$58,5,FALSE)</f>
        <v>C7H16</v>
      </c>
      <c r="W533" s="1">
        <f>VLOOKUP($E533,'Product Naming'!$A$1:$P$58,6,FALSE)</f>
        <v>7</v>
      </c>
      <c r="X533" s="1">
        <f>VLOOKUP($E533,'Product Naming'!$A$1:$P$58,7,FALSE)</f>
        <v>16</v>
      </c>
      <c r="Y533" s="1">
        <f>VLOOKUP($E533,'Product Naming'!$A$1:$P$58,8,FALSE)</f>
        <v>0</v>
      </c>
      <c r="Z533" s="1">
        <f>VLOOKUP($E533,'Product Naming'!$A$1:$P$58,9,FALSE)</f>
        <v>0</v>
      </c>
      <c r="AA533" s="1">
        <f>VLOOKUP($E533,'Product Naming'!$A$1:$P$58,10,FALSE)</f>
        <v>0</v>
      </c>
      <c r="AB533" s="29">
        <f>VLOOKUP($E533,'Product Naming'!$A$1:$P$58,11,FALSE)</f>
        <v>6.2857142857142856</v>
      </c>
      <c r="AC533" s="3">
        <f>VLOOKUP($E533,'Product Naming'!$A$1:$P$58,12,FALSE)</f>
        <v>100.20034</v>
      </c>
      <c r="AD533" s="1">
        <f>VLOOKUP($E533,'Product Naming'!$A$1:$P$58,13,FALSE)</f>
        <v>98</v>
      </c>
      <c r="AE533" s="1" t="str">
        <f>VLOOKUP($E533,'Product Naming'!$A$1:$P$58,14,FALSE)</f>
        <v>Hydrocarbon (alkane)</v>
      </c>
      <c r="AF533" s="1" t="str">
        <f>VLOOKUP($E533,'Product Naming'!$A$1:$P$58,15,FALSE)</f>
        <v>Acetyl-CoA</v>
      </c>
      <c r="AG533" s="30" t="str">
        <f>VLOOKUP($E533,'Product Naming'!$A$1:$P$58,16,FALSE)</f>
        <v>Proton symporter</v>
      </c>
      <c r="AH533" s="3" t="str">
        <f>VLOOKUP($E533,'Product Naming'!$A$1:$Q$58,17,FALSE)</f>
        <v>hept_c</v>
      </c>
      <c r="AI533" s="1">
        <f>VLOOKUP($E533,'Product Parameters'!$A$2:$D$59,2,FALSE)</f>
        <v>1</v>
      </c>
      <c r="AJ533" s="1">
        <f>VLOOKUP($E533,'Product Parameters'!$A$2:$D$59,3,FALSE)</f>
        <v>0</v>
      </c>
      <c r="AK533" s="1">
        <f>VLOOKUP($E533,'Product Parameters'!$A$2:$D$59,4,FALSE)</f>
        <v>0.12</v>
      </c>
      <c r="AL533" s="1">
        <f>VLOOKUP($E533,'Product Parameters'!$A$2:$E$59,5,FALSE)</f>
        <v>36</v>
      </c>
      <c r="AM533" s="1">
        <f>VLOOKUP($E533,'Product Parameters'!$A$2:$F$59,6,FALSE)</f>
        <v>7</v>
      </c>
      <c r="AN533" s="1">
        <f>VLOOKUP($C533,'Substrate Heating'!$A$2:$C$33,3,FALSE)</f>
        <v>638.57832580000002</v>
      </c>
      <c r="AO533" s="1">
        <f>VLOOKUP($C533,'Substrate Heating'!$A$2:$B$33,2,FALSE)</f>
        <v>19.93</v>
      </c>
      <c r="AP533" s="1">
        <f>VLOOKUP($C533,'Substrate Heating'!$A$2:$M$33,13,FALSE)</f>
        <v>6</v>
      </c>
      <c r="AQ533" s="1">
        <f>VLOOKUP($C533,'Substrate Heating'!$A$2:$M$33,8,FALSE)</f>
        <v>1</v>
      </c>
      <c r="AR533" s="1">
        <f t="shared" si="8"/>
        <v>0.61172413793103408</v>
      </c>
    </row>
    <row r="534" spans="1:44" x14ac:dyDescent="0.2">
      <c r="A534" s="17" t="s">
        <v>323</v>
      </c>
      <c r="B534" s="18" t="s">
        <v>324</v>
      </c>
      <c r="C534" t="s">
        <v>336</v>
      </c>
      <c r="D534" s="19" t="s">
        <v>326</v>
      </c>
      <c r="E534" t="s">
        <v>52</v>
      </c>
      <c r="F534" t="s">
        <v>53</v>
      </c>
      <c r="G534">
        <v>-10</v>
      </c>
      <c r="H534">
        <v>0</v>
      </c>
      <c r="I534">
        <v>-20</v>
      </c>
      <c r="J534">
        <v>0.45</v>
      </c>
      <c r="K534">
        <v>-10</v>
      </c>
      <c r="L534">
        <v>0</v>
      </c>
      <c r="M534">
        <v>-18.2153846153846</v>
      </c>
      <c r="N534">
        <v>0</v>
      </c>
      <c r="O534">
        <v>1.7846153846153801</v>
      </c>
      <c r="P534"/>
      <c r="Q534">
        <v>0.17846153846153801</v>
      </c>
      <c r="R534" s="20">
        <v>0.273347840592636</v>
      </c>
      <c r="S534" s="1" t="str">
        <f>VLOOKUP($E534,'Product Naming'!$A$1:$P$58,2,FALSE)</f>
        <v>1-3-Diaminopropane</v>
      </c>
      <c r="T534" s="1" t="str">
        <f>VLOOKUP($E534,'Product Naming'!$A$1:$P$58,3,FALSE)</f>
        <v>1,3-Diaminopropane</v>
      </c>
      <c r="U534" s="1" t="str">
        <f>VLOOKUP($E534,'Product Naming'!$A$1:$P$58,4,FALSE)</f>
        <v>A</v>
      </c>
      <c r="V534" s="1" t="str">
        <f>VLOOKUP($E534,'Product Naming'!$A$1:$P$58,5,FALSE)</f>
        <v>C3H12N2</v>
      </c>
      <c r="W534" s="1">
        <f>VLOOKUP($E534,'Product Naming'!$A$1:$P$58,6,FALSE)</f>
        <v>3</v>
      </c>
      <c r="X534" s="1">
        <f>VLOOKUP($E534,'Product Naming'!$A$1:$P$58,7,FALSE)</f>
        <v>12</v>
      </c>
      <c r="Y534" s="1">
        <f>VLOOKUP($E534,'Product Naming'!$A$1:$P$58,8,FALSE)</f>
        <v>0</v>
      </c>
      <c r="Z534" s="1">
        <f>VLOOKUP($E534,'Product Naming'!$A$1:$P$58,9,FALSE)</f>
        <v>2</v>
      </c>
      <c r="AA534" s="1">
        <f>VLOOKUP($E534,'Product Naming'!$A$1:$P$58,10,FALSE)</f>
        <v>2</v>
      </c>
      <c r="AB534" s="29">
        <f>VLOOKUP($E534,'Product Naming'!$A$1:$P$58,11,FALSE)</f>
        <v>6</v>
      </c>
      <c r="AC534" s="3">
        <f>VLOOKUP($E534,'Product Naming'!$A$1:$P$58,12,FALSE)</f>
        <v>76.139580000000009</v>
      </c>
      <c r="AD534" s="1">
        <f>VLOOKUP($E534,'Product Naming'!$A$1:$P$58,13,FALSE)</f>
        <v>139.30000000000001</v>
      </c>
      <c r="AE534" s="1" t="str">
        <f>VLOOKUP($E534,'Product Naming'!$A$1:$P$58,14,FALSE)</f>
        <v>Diamine</v>
      </c>
      <c r="AF534" s="1" t="str">
        <f>VLOOKUP($E534,'Product Naming'!$A$1:$P$58,15,FALSE)</f>
        <v>Oxaloacetate + aKG</v>
      </c>
      <c r="AG534" s="30" t="str">
        <f>VLOOKUP($E534,'Product Naming'!$A$1:$P$58,16,FALSE)</f>
        <v>Proton symporter</v>
      </c>
      <c r="AH534" s="3" t="str">
        <f>VLOOKUP($E534,'Product Naming'!$A$1:$Q$58,17,FALSE)</f>
        <v>13dampp_c</v>
      </c>
      <c r="AI534" s="1">
        <f>VLOOKUP($E534,'Product Parameters'!$A$2:$D$59,2,FALSE)</f>
        <v>1</v>
      </c>
      <c r="AJ534" s="1">
        <f>VLOOKUP($E534,'Product Parameters'!$A$2:$D$59,3,FALSE)</f>
        <v>0</v>
      </c>
      <c r="AK534" s="1">
        <f>VLOOKUP($E534,'Product Parameters'!$A$2:$D$59,4,FALSE)</f>
        <v>0.12</v>
      </c>
      <c r="AL534" s="1">
        <f>VLOOKUP($E534,'Product Parameters'!$A$2:$E$59,5,FALSE)</f>
        <v>50.18</v>
      </c>
      <c r="AM534" s="1">
        <f>VLOOKUP($E534,'Product Parameters'!$A$2:$F$59,6,FALSE)</f>
        <v>3</v>
      </c>
      <c r="AN534" s="1">
        <f>VLOOKUP($C534,'Substrate Heating'!$A$2:$C$33,3,FALSE)</f>
        <v>245.86666666666667</v>
      </c>
      <c r="AO534" s="1">
        <f>VLOOKUP($C534,'Substrate Heating'!$A$2:$B$33,2,FALSE)</f>
        <v>15.038360459876978</v>
      </c>
      <c r="AP534" s="1">
        <f>VLOOKUP($C534,'Substrate Heating'!$A$2:$M$33,13,FALSE)</f>
        <v>0.33333333333333331</v>
      </c>
      <c r="AQ534" s="1">
        <f>VLOOKUP($C534,'Substrate Heating'!$A$2:$M$33,8,FALSE)</f>
        <v>0.33333333333333331</v>
      </c>
      <c r="AR534" s="1">
        <f t="shared" si="8"/>
        <v>1.606153846153842</v>
      </c>
    </row>
    <row r="535" spans="1:44" x14ac:dyDescent="0.2">
      <c r="A535" s="17" t="s">
        <v>231</v>
      </c>
      <c r="B535" s="9" t="s">
        <v>35</v>
      </c>
      <c r="C535" t="s">
        <v>345</v>
      </c>
      <c r="D535" s="10" t="s">
        <v>37</v>
      </c>
      <c r="E535" t="s">
        <v>236</v>
      </c>
      <c r="F535" t="s">
        <v>237</v>
      </c>
      <c r="G535">
        <v>-10</v>
      </c>
      <c r="H535">
        <v>-20</v>
      </c>
      <c r="I535" s="1" t="s">
        <v>40</v>
      </c>
      <c r="J535">
        <v>3.15</v>
      </c>
      <c r="K535">
        <v>-10</v>
      </c>
      <c r="L535">
        <v>-1.8848571428571499</v>
      </c>
      <c r="M535" s="1" t="s">
        <v>40</v>
      </c>
      <c r="N535">
        <v>8.5588571428571196</v>
      </c>
      <c r="O535">
        <v>1.9068571428571399</v>
      </c>
      <c r="P535"/>
      <c r="Q535">
        <v>0.19068571428571399</v>
      </c>
      <c r="R535">
        <v>0.27363190427343898</v>
      </c>
      <c r="S535" s="1" t="str">
        <f>VLOOKUP($E535,'Product Naming'!$A$1:$P$58,2,FALSE)</f>
        <v>Hexane</v>
      </c>
      <c r="T535" s="1" t="str">
        <f>VLOOKUP($E535,'Product Naming'!$A$1:$P$58,3,FALSE)</f>
        <v>Hexane</v>
      </c>
      <c r="U535" s="1" t="str">
        <f>VLOOKUP($E535,'Product Naming'!$A$1:$P$58,4,FALSE)</f>
        <v>E</v>
      </c>
      <c r="V535" s="1" t="str">
        <f>VLOOKUP($E535,'Product Naming'!$A$1:$P$58,5,FALSE)</f>
        <v>C6H14</v>
      </c>
      <c r="W535" s="1">
        <f>VLOOKUP($E535,'Product Naming'!$A$1:$P$58,6,FALSE)</f>
        <v>6</v>
      </c>
      <c r="X535" s="1">
        <f>VLOOKUP($E535,'Product Naming'!$A$1:$P$58,7,FALSE)</f>
        <v>14</v>
      </c>
      <c r="Y535" s="1">
        <f>VLOOKUP($E535,'Product Naming'!$A$1:$P$58,8,FALSE)</f>
        <v>0</v>
      </c>
      <c r="Z535" s="1">
        <f>VLOOKUP($E535,'Product Naming'!$A$1:$P$58,9,FALSE)</f>
        <v>0</v>
      </c>
      <c r="AA535" s="1">
        <f>VLOOKUP($E535,'Product Naming'!$A$1:$P$58,10,FALSE)</f>
        <v>0</v>
      </c>
      <c r="AB535" s="29">
        <f>VLOOKUP($E535,'Product Naming'!$A$1:$P$58,11,FALSE)</f>
        <v>6.333333333333333</v>
      </c>
      <c r="AC535" s="3">
        <f>VLOOKUP($E535,'Product Naming'!$A$1:$P$58,12,FALSE)</f>
        <v>86.173959999999994</v>
      </c>
      <c r="AD535" s="1">
        <f>VLOOKUP($E535,'Product Naming'!$A$1:$P$58,13,FALSE)</f>
        <v>69</v>
      </c>
      <c r="AE535" s="1" t="str">
        <f>VLOOKUP($E535,'Product Naming'!$A$1:$P$58,14,FALSE)</f>
        <v>Hydrocarbon (alkane)</v>
      </c>
      <c r="AF535" s="1" t="str">
        <f>VLOOKUP($E535,'Product Naming'!$A$1:$P$58,15,FALSE)</f>
        <v>Acetyl-CoA + Succinyl-CoA</v>
      </c>
      <c r="AG535" s="30" t="str">
        <f>VLOOKUP($E535,'Product Naming'!$A$1:$P$58,16,FALSE)</f>
        <v>Proton symporter</v>
      </c>
      <c r="AH535" s="3" t="str">
        <f>VLOOKUP($E535,'Product Naming'!$A$1:$Q$58,17,FALSE)</f>
        <v>hex_c</v>
      </c>
      <c r="AI535" s="1">
        <f>VLOOKUP($E535,'Product Parameters'!$A$2:$D$59,2,FALSE)</f>
        <v>1</v>
      </c>
      <c r="AJ535" s="1">
        <f>VLOOKUP($E535,'Product Parameters'!$A$2:$D$59,3,FALSE)</f>
        <v>0</v>
      </c>
      <c r="AK535" s="1">
        <f>VLOOKUP($E535,'Product Parameters'!$A$2:$D$59,4,FALSE)</f>
        <v>0.12</v>
      </c>
      <c r="AL535" s="1">
        <f>VLOOKUP($E535,'Product Parameters'!$A$2:$E$59,5,FALSE)</f>
        <v>31</v>
      </c>
      <c r="AM535" s="1">
        <f>VLOOKUP($E535,'Product Parameters'!$A$2:$F$59,6,FALSE)</f>
        <v>6</v>
      </c>
      <c r="AN535" s="1">
        <f>VLOOKUP($C535,'Substrate Heating'!$A$2:$C$33,3,FALSE)</f>
        <v>1020.8629199999999</v>
      </c>
      <c r="AO535" s="1">
        <f>VLOOKUP($C535,'Substrate Heating'!$A$2:$B$33,2,FALSE)</f>
        <v>17</v>
      </c>
      <c r="AP535" s="1">
        <f>VLOOKUP($C535,'Substrate Heating'!$A$2:$M$33,13,FALSE)</f>
        <v>4</v>
      </c>
      <c r="AQ535" s="1">
        <f>VLOOKUP($C535,'Substrate Heating'!$A$2:$M$33,8,FALSE)</f>
        <v>2</v>
      </c>
      <c r="AR535" s="1">
        <f t="shared" si="8"/>
        <v>0.57205714285714193</v>
      </c>
    </row>
    <row r="536" spans="1:44" x14ac:dyDescent="0.2">
      <c r="A536" s="17" t="s">
        <v>323</v>
      </c>
      <c r="B536" s="18" t="s">
        <v>324</v>
      </c>
      <c r="C536" t="s">
        <v>336</v>
      </c>
      <c r="D536" s="19" t="s">
        <v>326</v>
      </c>
      <c r="E536" t="s">
        <v>283</v>
      </c>
      <c r="F536" t="s">
        <v>284</v>
      </c>
      <c r="G536">
        <v>-10</v>
      </c>
      <c r="H536">
        <v>0</v>
      </c>
      <c r="I536">
        <v>-20</v>
      </c>
      <c r="J536">
        <v>0.45</v>
      </c>
      <c r="K536">
        <v>-10</v>
      </c>
      <c r="L536">
        <v>0</v>
      </c>
      <c r="M536">
        <v>-20</v>
      </c>
      <c r="N536">
        <v>0.39999999999999503</v>
      </c>
      <c r="O536">
        <v>1.2</v>
      </c>
      <c r="P536"/>
      <c r="Q536">
        <v>0.12</v>
      </c>
      <c r="R536" s="20">
        <v>0.273760862792091</v>
      </c>
      <c r="S536" s="1" t="str">
        <f>VLOOKUP($E536,'Product Naming'!$A$1:$P$58,2,FALSE)</f>
        <v>Octane</v>
      </c>
      <c r="T536" s="1" t="str">
        <f>VLOOKUP($E536,'Product Naming'!$A$1:$P$58,3,FALSE)</f>
        <v>Octane</v>
      </c>
      <c r="U536" s="1" t="str">
        <f>VLOOKUP($E536,'Product Naming'!$A$1:$P$58,4,FALSE)</f>
        <v>E</v>
      </c>
      <c r="V536" s="1" t="str">
        <f>VLOOKUP($E536,'Product Naming'!$A$1:$P$58,5,FALSE)</f>
        <v>C8H18</v>
      </c>
      <c r="W536" s="1">
        <f>VLOOKUP($E536,'Product Naming'!$A$1:$P$58,6,FALSE)</f>
        <v>8</v>
      </c>
      <c r="X536" s="1">
        <f>VLOOKUP($E536,'Product Naming'!$A$1:$P$58,7,FALSE)</f>
        <v>18</v>
      </c>
      <c r="Y536" s="1">
        <f>VLOOKUP($E536,'Product Naming'!$A$1:$P$58,8,FALSE)</f>
        <v>0</v>
      </c>
      <c r="Z536" s="1">
        <f>VLOOKUP($E536,'Product Naming'!$A$1:$P$58,9,FALSE)</f>
        <v>0</v>
      </c>
      <c r="AA536" s="1">
        <f>VLOOKUP($E536,'Product Naming'!$A$1:$P$58,10,FALSE)</f>
        <v>0</v>
      </c>
      <c r="AB536" s="29">
        <f>VLOOKUP($E536,'Product Naming'!$A$1:$P$58,11,FALSE)</f>
        <v>6.25</v>
      </c>
      <c r="AC536" s="3">
        <f>VLOOKUP($E536,'Product Naming'!$A$1:$P$58,12,FALSE)</f>
        <v>114.22672</v>
      </c>
      <c r="AD536" s="1">
        <f>VLOOKUP($E536,'Product Naming'!$A$1:$P$58,13,FALSE)</f>
        <v>126</v>
      </c>
      <c r="AE536" s="1" t="str">
        <f>VLOOKUP($E536,'Product Naming'!$A$1:$P$58,14,FALSE)</f>
        <v>Hydrocarbon (alkane)</v>
      </c>
      <c r="AF536" s="1" t="str">
        <f>VLOOKUP($E536,'Product Naming'!$A$1:$P$58,15,FALSE)</f>
        <v>Acetyl-CoA + Succinyl-CoA</v>
      </c>
      <c r="AG536" s="30" t="str">
        <f>VLOOKUP($E536,'Product Naming'!$A$1:$P$58,16,FALSE)</f>
        <v>Proton symporter</v>
      </c>
      <c r="AH536" s="3" t="str">
        <f>VLOOKUP($E536,'Product Naming'!$A$1:$Q$58,17,FALSE)</f>
        <v>octn_c</v>
      </c>
      <c r="AI536" s="1">
        <f>VLOOKUP($E536,'Product Parameters'!$A$2:$D$59,2,FALSE)</f>
        <v>1</v>
      </c>
      <c r="AJ536" s="1">
        <f>VLOOKUP($E536,'Product Parameters'!$A$2:$D$59,3,FALSE)</f>
        <v>0</v>
      </c>
      <c r="AK536" s="1">
        <f>VLOOKUP($E536,'Product Parameters'!$A$2:$D$59,4,FALSE)</f>
        <v>0.12</v>
      </c>
      <c r="AL536" s="1">
        <f>VLOOKUP($E536,'Product Parameters'!$A$2:$E$59,5,FALSE)</f>
        <v>41</v>
      </c>
      <c r="AM536" s="1">
        <f>VLOOKUP($E536,'Product Parameters'!$A$2:$F$59,6,FALSE)</f>
        <v>8</v>
      </c>
      <c r="AN536" s="1">
        <f>VLOOKUP($C536,'Substrate Heating'!$A$2:$C$33,3,FALSE)</f>
        <v>245.86666666666667</v>
      </c>
      <c r="AO536" s="1">
        <f>VLOOKUP($C536,'Substrate Heating'!$A$2:$B$33,2,FALSE)</f>
        <v>15.038360459876978</v>
      </c>
      <c r="AP536" s="1">
        <f>VLOOKUP($C536,'Substrate Heating'!$A$2:$M$33,13,FALSE)</f>
        <v>0.33333333333333331</v>
      </c>
      <c r="AQ536" s="1">
        <f>VLOOKUP($C536,'Substrate Heating'!$A$2:$M$33,8,FALSE)</f>
        <v>0.33333333333333331</v>
      </c>
      <c r="AR536" s="1">
        <f t="shared" si="8"/>
        <v>2.88</v>
      </c>
    </row>
    <row r="537" spans="1:44" x14ac:dyDescent="0.2">
      <c r="A537" s="8" t="s">
        <v>827</v>
      </c>
      <c r="B537" s="18" t="s">
        <v>324</v>
      </c>
      <c r="C537" t="s">
        <v>325</v>
      </c>
      <c r="D537" s="19" t="s">
        <v>326</v>
      </c>
      <c r="E537" t="s">
        <v>332</v>
      </c>
      <c r="F537" t="s">
        <v>826</v>
      </c>
      <c r="G537">
        <v>-10</v>
      </c>
      <c r="H537">
        <v>0</v>
      </c>
      <c r="I537">
        <v>0</v>
      </c>
      <c r="J537">
        <v>0.45</v>
      </c>
      <c r="K537">
        <v>-10</v>
      </c>
      <c r="L537">
        <v>0</v>
      </c>
      <c r="M537">
        <v>0</v>
      </c>
      <c r="N537">
        <v>6.6666666666666599</v>
      </c>
      <c r="O537">
        <v>1.6666666666666601</v>
      </c>
      <c r="P537"/>
      <c r="Q537">
        <v>0.16666666666666599</v>
      </c>
      <c r="R537">
        <v>0.27411305486135901</v>
      </c>
      <c r="S537" s="1" t="str">
        <f>VLOOKUP($E537,'Product Naming'!$A$1:$P$58,2,FALSE)</f>
        <v>Ethanol</v>
      </c>
      <c r="T537" s="1" t="str">
        <f>VLOOKUP($E537,'Product Naming'!$A$1:$P$58,3,FALSE)</f>
        <v>Ethanol</v>
      </c>
      <c r="U537" s="1" t="str">
        <f>VLOOKUP($E537,'Product Naming'!$A$1:$P$58,4,FALSE)</f>
        <v>A</v>
      </c>
      <c r="V537" s="1" t="str">
        <f>VLOOKUP($E537,'Product Naming'!$A$1:$P$58,5,FALSE)</f>
        <v>C2H6O</v>
      </c>
      <c r="W537" s="1">
        <f>VLOOKUP($E537,'Product Naming'!$A$1:$P$58,6,FALSE)</f>
        <v>2</v>
      </c>
      <c r="X537" s="1">
        <f>VLOOKUP($E537,'Product Naming'!$A$1:$P$58,7,FALSE)</f>
        <v>6</v>
      </c>
      <c r="Y537" s="1">
        <f>VLOOKUP($E537,'Product Naming'!$A$1:$P$58,8,FALSE)</f>
        <v>1</v>
      </c>
      <c r="Z537" s="1">
        <f>VLOOKUP($E537,'Product Naming'!$A$1:$P$58,9,FALSE)</f>
        <v>0</v>
      </c>
      <c r="AA537" s="1">
        <f>VLOOKUP($E537,'Product Naming'!$A$1:$P$58,10,FALSE)</f>
        <v>0</v>
      </c>
      <c r="AB537" s="29">
        <f>VLOOKUP($E537,'Product Naming'!$A$1:$P$58,11,FALSE)</f>
        <v>6</v>
      </c>
      <c r="AC537" s="3">
        <f>VLOOKUP($E537,'Product Naming'!$A$1:$P$58,12,FALSE)</f>
        <v>46.067440000000005</v>
      </c>
      <c r="AD537" s="1">
        <f>VLOOKUP($E537,'Product Naming'!$A$1:$P$58,13,FALSE)</f>
        <v>78.37</v>
      </c>
      <c r="AE537" s="1" t="str">
        <f>VLOOKUP($E537,'Product Naming'!$A$1:$P$58,14,FALSE)</f>
        <v>Alcohol</v>
      </c>
      <c r="AF537" s="1" t="str">
        <f>VLOOKUP($E537,'Product Naming'!$A$1:$P$58,15,FALSE)</f>
        <v>Acetyl-CoA</v>
      </c>
      <c r="AG537" s="30" t="str">
        <f>VLOOKUP($E537,'Product Naming'!$A$1:$P$58,16,FALSE)</f>
        <v>Proton symporter</v>
      </c>
      <c r="AH537" s="3" t="str">
        <f>VLOOKUP($E537,'Product Naming'!$A$1:$Q$58,17,FALSE)</f>
        <v>etoh_c</v>
      </c>
      <c r="AI537" s="1">
        <f>VLOOKUP($E537,'Product Parameters'!$A$2:$D$59,2,FALSE)</f>
        <v>1</v>
      </c>
      <c r="AJ537" s="1">
        <f>VLOOKUP($E537,'Product Parameters'!$A$2:$D$59,3,FALSE)</f>
        <v>0</v>
      </c>
      <c r="AK537" s="1">
        <f>VLOOKUP($E537,'Product Parameters'!$A$2:$D$59,4,FALSE)</f>
        <v>0.12</v>
      </c>
      <c r="AL537" s="1">
        <f>VLOOKUP($E537,'Product Parameters'!$A$2:$E$59,5,FALSE)</f>
        <v>42.3</v>
      </c>
      <c r="AM537" s="1">
        <f>VLOOKUP($E537,'Product Parameters'!$A$2:$F$59,6,FALSE)</f>
        <v>2</v>
      </c>
      <c r="AN537" s="1">
        <f>VLOOKUP($C537,'Substrate Heating'!$A$2:$C$33,3,FALSE)</f>
        <v>280.09700000000004</v>
      </c>
      <c r="AO537" s="1">
        <f>VLOOKUP($C537,'Substrate Heating'!$A$2:$B$33,2,FALSE)</f>
        <v>10</v>
      </c>
      <c r="AP537" s="1">
        <f>VLOOKUP($C537,'Substrate Heating'!$A$2:$M$33,13,FALSE)</f>
        <v>2</v>
      </c>
      <c r="AQ537" s="1">
        <f>VLOOKUP($C537,'Substrate Heating'!$A$2:$M$33,8,FALSE)</f>
        <v>1</v>
      </c>
      <c r="AR537" s="1">
        <f t="shared" si="8"/>
        <v>0.33333333333333198</v>
      </c>
    </row>
    <row r="538" spans="1:44" x14ac:dyDescent="0.2">
      <c r="A538" s="17" t="s">
        <v>231</v>
      </c>
      <c r="B538" s="9" t="s">
        <v>35</v>
      </c>
      <c r="C538" t="s">
        <v>345</v>
      </c>
      <c r="D538" s="10" t="s">
        <v>37</v>
      </c>
      <c r="E538" t="s">
        <v>232</v>
      </c>
      <c r="F538" t="s">
        <v>233</v>
      </c>
      <c r="G538">
        <v>-10</v>
      </c>
      <c r="H538">
        <v>-20</v>
      </c>
      <c r="I538" s="1" t="s">
        <v>40</v>
      </c>
      <c r="J538">
        <v>3.15</v>
      </c>
      <c r="K538">
        <v>-10</v>
      </c>
      <c r="L538">
        <v>-1.9177339901477799</v>
      </c>
      <c r="M538" s="1" t="s">
        <v>40</v>
      </c>
      <c r="N538">
        <v>8.4931034482758694</v>
      </c>
      <c r="O538">
        <v>1.6438423645320199</v>
      </c>
      <c r="P538"/>
      <c r="Q538">
        <v>0.16438423645320199</v>
      </c>
      <c r="R538">
        <v>0.27428489281374901</v>
      </c>
      <c r="S538" s="1" t="str">
        <f>VLOOKUP($E538,'Product Naming'!$A$1:$P$58,2,FALSE)</f>
        <v>Heptane</v>
      </c>
      <c r="T538" s="1" t="str">
        <f>VLOOKUP($E538,'Product Naming'!$A$1:$P$58,3,FALSE)</f>
        <v>Heptane</v>
      </c>
      <c r="U538" s="1" t="str">
        <f>VLOOKUP($E538,'Product Naming'!$A$1:$P$58,4,FALSE)</f>
        <v>E</v>
      </c>
      <c r="V538" s="1" t="str">
        <f>VLOOKUP($E538,'Product Naming'!$A$1:$P$58,5,FALSE)</f>
        <v>C7H16</v>
      </c>
      <c r="W538" s="1">
        <f>VLOOKUP($E538,'Product Naming'!$A$1:$P$58,6,FALSE)</f>
        <v>7</v>
      </c>
      <c r="X538" s="1">
        <f>VLOOKUP($E538,'Product Naming'!$A$1:$P$58,7,FALSE)</f>
        <v>16</v>
      </c>
      <c r="Y538" s="1">
        <f>VLOOKUP($E538,'Product Naming'!$A$1:$P$58,8,FALSE)</f>
        <v>0</v>
      </c>
      <c r="Z538" s="1">
        <f>VLOOKUP($E538,'Product Naming'!$A$1:$P$58,9,FALSE)</f>
        <v>0</v>
      </c>
      <c r="AA538" s="1">
        <f>VLOOKUP($E538,'Product Naming'!$A$1:$P$58,10,FALSE)</f>
        <v>0</v>
      </c>
      <c r="AB538" s="29">
        <f>VLOOKUP($E538,'Product Naming'!$A$1:$P$58,11,FALSE)</f>
        <v>6.2857142857142856</v>
      </c>
      <c r="AC538" s="3">
        <f>VLOOKUP($E538,'Product Naming'!$A$1:$P$58,12,FALSE)</f>
        <v>100.20034</v>
      </c>
      <c r="AD538" s="1">
        <f>VLOOKUP($E538,'Product Naming'!$A$1:$P$58,13,FALSE)</f>
        <v>98</v>
      </c>
      <c r="AE538" s="1" t="str">
        <f>VLOOKUP($E538,'Product Naming'!$A$1:$P$58,14,FALSE)</f>
        <v>Hydrocarbon (alkane)</v>
      </c>
      <c r="AF538" s="1" t="str">
        <f>VLOOKUP($E538,'Product Naming'!$A$1:$P$58,15,FALSE)</f>
        <v>Acetyl-CoA</v>
      </c>
      <c r="AG538" s="30" t="str">
        <f>VLOOKUP($E538,'Product Naming'!$A$1:$P$58,16,FALSE)</f>
        <v>Proton symporter</v>
      </c>
      <c r="AH538" s="3" t="str">
        <f>VLOOKUP($E538,'Product Naming'!$A$1:$Q$58,17,FALSE)</f>
        <v>hept_c</v>
      </c>
      <c r="AI538" s="1">
        <f>VLOOKUP($E538,'Product Parameters'!$A$2:$D$59,2,FALSE)</f>
        <v>1</v>
      </c>
      <c r="AJ538" s="1">
        <f>VLOOKUP($E538,'Product Parameters'!$A$2:$D$59,3,FALSE)</f>
        <v>0</v>
      </c>
      <c r="AK538" s="1">
        <f>VLOOKUP($E538,'Product Parameters'!$A$2:$D$59,4,FALSE)</f>
        <v>0.12</v>
      </c>
      <c r="AL538" s="1">
        <f>VLOOKUP($E538,'Product Parameters'!$A$2:$E$59,5,FALSE)</f>
        <v>36</v>
      </c>
      <c r="AM538" s="1">
        <f>VLOOKUP($E538,'Product Parameters'!$A$2:$F$59,6,FALSE)</f>
        <v>7</v>
      </c>
      <c r="AN538" s="1">
        <f>VLOOKUP($C538,'Substrate Heating'!$A$2:$C$33,3,FALSE)</f>
        <v>1020.8629199999999</v>
      </c>
      <c r="AO538" s="1">
        <f>VLOOKUP($C538,'Substrate Heating'!$A$2:$B$33,2,FALSE)</f>
        <v>17</v>
      </c>
      <c r="AP538" s="1">
        <f>VLOOKUP($C538,'Substrate Heating'!$A$2:$M$33,13,FALSE)</f>
        <v>4</v>
      </c>
      <c r="AQ538" s="1">
        <f>VLOOKUP($C538,'Substrate Heating'!$A$2:$M$33,8,FALSE)</f>
        <v>2</v>
      </c>
      <c r="AR538" s="1">
        <f t="shared" si="8"/>
        <v>0.57534482758620697</v>
      </c>
    </row>
    <row r="539" spans="1:44" x14ac:dyDescent="0.2">
      <c r="A539" s="17" t="s">
        <v>323</v>
      </c>
      <c r="B539" s="18" t="s">
        <v>324</v>
      </c>
      <c r="C539" t="s">
        <v>336</v>
      </c>
      <c r="D539" s="19" t="s">
        <v>326</v>
      </c>
      <c r="E539" t="s">
        <v>279</v>
      </c>
      <c r="F539" t="s">
        <v>280</v>
      </c>
      <c r="G539">
        <v>-10</v>
      </c>
      <c r="H539">
        <v>0</v>
      </c>
      <c r="I539">
        <v>-20</v>
      </c>
      <c r="J539">
        <v>0.45</v>
      </c>
      <c r="K539">
        <v>-10</v>
      </c>
      <c r="L539">
        <v>0</v>
      </c>
      <c r="M539">
        <v>-20</v>
      </c>
      <c r="N539">
        <v>0.35714285714285099</v>
      </c>
      <c r="O539">
        <v>1.0714285714285701</v>
      </c>
      <c r="P539"/>
      <c r="Q539">
        <v>0.107142857142857</v>
      </c>
      <c r="R539" s="20">
        <v>0.27444385003851701</v>
      </c>
      <c r="S539" s="1" t="str">
        <f>VLOOKUP($E539,'Product Naming'!$A$1:$P$58,2,FALSE)</f>
        <v>Nonane</v>
      </c>
      <c r="T539" s="1" t="str">
        <f>VLOOKUP($E539,'Product Naming'!$A$1:$P$58,3,FALSE)</f>
        <v>Nonane</v>
      </c>
      <c r="U539" s="1" t="str">
        <f>VLOOKUP($E539,'Product Naming'!$A$1:$P$58,4,FALSE)</f>
        <v>E</v>
      </c>
      <c r="V539" s="1" t="str">
        <f>VLOOKUP($E539,'Product Naming'!$A$1:$P$58,5,FALSE)</f>
        <v>C9H20</v>
      </c>
      <c r="W539" s="1">
        <f>VLOOKUP($E539,'Product Naming'!$A$1:$P$58,6,FALSE)</f>
        <v>9</v>
      </c>
      <c r="X539" s="1">
        <f>VLOOKUP($E539,'Product Naming'!$A$1:$P$58,7,FALSE)</f>
        <v>20</v>
      </c>
      <c r="Y539" s="1">
        <f>VLOOKUP($E539,'Product Naming'!$A$1:$P$58,8,FALSE)</f>
        <v>0</v>
      </c>
      <c r="Z539" s="1">
        <f>VLOOKUP($E539,'Product Naming'!$A$1:$P$58,9,FALSE)</f>
        <v>0</v>
      </c>
      <c r="AA539" s="1">
        <f>VLOOKUP($E539,'Product Naming'!$A$1:$P$58,10,FALSE)</f>
        <v>0</v>
      </c>
      <c r="AB539" s="29">
        <f>VLOOKUP($E539,'Product Naming'!$A$1:$P$58,11,FALSE)</f>
        <v>6.2222222222222223</v>
      </c>
      <c r="AC539" s="3">
        <f>VLOOKUP($E539,'Product Naming'!$A$1:$P$58,12,FALSE)</f>
        <v>128.25309999999999</v>
      </c>
      <c r="AD539" s="1">
        <f>VLOOKUP($E539,'Product Naming'!$A$1:$P$58,13,FALSE)</f>
        <v>151</v>
      </c>
      <c r="AE539" s="1" t="str">
        <f>VLOOKUP($E539,'Product Naming'!$A$1:$P$58,14,FALSE)</f>
        <v>Hydrocarbon (alkane)</v>
      </c>
      <c r="AF539" s="1" t="str">
        <f>VLOOKUP($E539,'Product Naming'!$A$1:$P$58,15,FALSE)</f>
        <v>Acetyl-CoA</v>
      </c>
      <c r="AG539" s="30" t="str">
        <f>VLOOKUP($E539,'Product Naming'!$A$1:$P$58,16,FALSE)</f>
        <v>Proton symporter</v>
      </c>
      <c r="AH539" s="3" t="str">
        <f>VLOOKUP($E539,'Product Naming'!$A$1:$Q$58,17,FALSE)</f>
        <v>nonan_c</v>
      </c>
      <c r="AI539" s="1">
        <f>VLOOKUP($E539,'Product Parameters'!$A$2:$D$59,2,FALSE)</f>
        <v>1</v>
      </c>
      <c r="AJ539" s="1">
        <f>VLOOKUP($E539,'Product Parameters'!$A$2:$D$59,3,FALSE)</f>
        <v>0</v>
      </c>
      <c r="AK539" s="1">
        <f>VLOOKUP($E539,'Product Parameters'!$A$2:$D$59,4,FALSE)</f>
        <v>0.12</v>
      </c>
      <c r="AL539" s="1">
        <f>VLOOKUP($E539,'Product Parameters'!$A$2:$E$59,5,FALSE)</f>
        <v>46.5</v>
      </c>
      <c r="AM539" s="1">
        <f>VLOOKUP($E539,'Product Parameters'!$A$2:$F$59,6,FALSE)</f>
        <v>9</v>
      </c>
      <c r="AN539" s="1">
        <f>VLOOKUP($C539,'Substrate Heating'!$A$2:$C$33,3,FALSE)</f>
        <v>245.86666666666667</v>
      </c>
      <c r="AO539" s="1">
        <f>VLOOKUP($C539,'Substrate Heating'!$A$2:$B$33,2,FALSE)</f>
        <v>15.038360459876978</v>
      </c>
      <c r="AP539" s="1">
        <f>VLOOKUP($C539,'Substrate Heating'!$A$2:$M$33,13,FALSE)</f>
        <v>0.33333333333333331</v>
      </c>
      <c r="AQ539" s="1">
        <f>VLOOKUP($C539,'Substrate Heating'!$A$2:$M$33,8,FALSE)</f>
        <v>0.33333333333333331</v>
      </c>
      <c r="AR539" s="1">
        <f t="shared" si="8"/>
        <v>2.8928571428571392</v>
      </c>
    </row>
    <row r="540" spans="1:44" x14ac:dyDescent="0.2">
      <c r="A540" s="17" t="s">
        <v>323</v>
      </c>
      <c r="B540" s="18" t="s">
        <v>324</v>
      </c>
      <c r="C540" t="s">
        <v>328</v>
      </c>
      <c r="D540" s="19" t="s">
        <v>326</v>
      </c>
      <c r="E540" t="s">
        <v>72</v>
      </c>
      <c r="F540" t="s">
        <v>73</v>
      </c>
      <c r="G540">
        <v>-10</v>
      </c>
      <c r="H540">
        <v>0</v>
      </c>
      <c r="I540">
        <v>-10</v>
      </c>
      <c r="J540">
        <v>0.45</v>
      </c>
      <c r="K540">
        <v>-10</v>
      </c>
      <c r="L540">
        <v>0</v>
      </c>
      <c r="M540">
        <v>-10</v>
      </c>
      <c r="N540">
        <v>2.06037735849057</v>
      </c>
      <c r="O540">
        <v>1.3735849056603799</v>
      </c>
      <c r="P540"/>
      <c r="Q540">
        <v>0.13735849056603799</v>
      </c>
      <c r="R540">
        <v>0.27487167524299599</v>
      </c>
      <c r="S540" s="1" t="str">
        <f>VLOOKUP($E540,'Product Naming'!$A$1:$P$58,2,FALSE)</f>
        <v>1-propanol-PW1</v>
      </c>
      <c r="T540" s="1" t="str">
        <f>VLOOKUP($E540,'Product Naming'!$A$1:$P$58,3,FALSE)</f>
        <v>1-Propanol (PW1)</v>
      </c>
      <c r="U540" s="1" t="str">
        <f>VLOOKUP($E540,'Product Naming'!$A$1:$P$58,4,FALSE)</f>
        <v>E-S</v>
      </c>
      <c r="V540" s="1" t="str">
        <f>VLOOKUP($E540,'Product Naming'!$A$1:$P$58,5,FALSE)</f>
        <v>C3H8O</v>
      </c>
      <c r="W540" s="1">
        <f>VLOOKUP($E540,'Product Naming'!$A$1:$P$58,6,FALSE)</f>
        <v>3</v>
      </c>
      <c r="X540" s="1">
        <f>VLOOKUP($E540,'Product Naming'!$A$1:$P$58,7,FALSE)</f>
        <v>8</v>
      </c>
      <c r="Y540" s="1">
        <f>VLOOKUP($E540,'Product Naming'!$A$1:$P$58,8,FALSE)</f>
        <v>1</v>
      </c>
      <c r="Z540" s="1">
        <f>VLOOKUP($E540,'Product Naming'!$A$1:$P$58,9,FALSE)</f>
        <v>0</v>
      </c>
      <c r="AA540" s="1">
        <f>VLOOKUP($E540,'Product Naming'!$A$1:$P$58,10,FALSE)</f>
        <v>0</v>
      </c>
      <c r="AB540" s="29">
        <f>VLOOKUP($E540,'Product Naming'!$A$1:$P$58,11,FALSE)</f>
        <v>6</v>
      </c>
      <c r="AC540" s="3">
        <f>VLOOKUP($E540,'Product Naming'!$A$1:$P$58,12,FALSE)</f>
        <v>60.093820000000001</v>
      </c>
      <c r="AD540" s="1">
        <f>VLOOKUP($E540,'Product Naming'!$A$1:$P$58,13,FALSE)</f>
        <v>97</v>
      </c>
      <c r="AE540" s="1" t="str">
        <f>VLOOKUP($E540,'Product Naming'!$A$1:$P$58,14,FALSE)</f>
        <v>Alcohol</v>
      </c>
      <c r="AF540" s="1" t="str">
        <f>VLOOKUP($E540,'Product Naming'!$A$1:$P$58,15,FALSE)</f>
        <v>Glyceraldehyde 3-P (--&gt;DHAP)</v>
      </c>
      <c r="AG540" s="30" t="str">
        <f>VLOOKUP($E540,'Product Naming'!$A$1:$P$58,16,FALSE)</f>
        <v>Proton symporter</v>
      </c>
      <c r="AH540" s="3" t="str">
        <f>VLOOKUP($E540,'Product Naming'!$A$1:$Q$58,17,FALSE)</f>
        <v>ppoh_c</v>
      </c>
      <c r="AI540" s="1">
        <f>VLOOKUP($E540,'Product Parameters'!$A$2:$D$59,2,FALSE)</f>
        <v>1</v>
      </c>
      <c r="AJ540" s="1">
        <f>VLOOKUP($E540,'Product Parameters'!$A$2:$D$59,3,FALSE)</f>
        <v>0</v>
      </c>
      <c r="AK540" s="1">
        <f>VLOOKUP($E540,'Product Parameters'!$A$2:$D$59,4,FALSE)</f>
        <v>0.12</v>
      </c>
      <c r="AL540" s="1">
        <f>VLOOKUP($E540,'Product Parameters'!$A$2:$E$59,5,FALSE)</f>
        <v>47</v>
      </c>
      <c r="AM540" s="1">
        <f>VLOOKUP($E540,'Product Parameters'!$A$2:$F$59,6,FALSE)</f>
        <v>3</v>
      </c>
      <c r="AN540" s="1">
        <f>VLOOKUP($C540,'Substrate Heating'!$A$2:$C$33,3,FALSE)</f>
        <v>262.39999999999998</v>
      </c>
      <c r="AO540" s="1">
        <f>VLOOKUP($C540,'Substrate Heating'!$A$2:$B$33,2,FALSE)</f>
        <v>17.478546483008707</v>
      </c>
      <c r="AP540" s="1">
        <f>VLOOKUP($C540,'Substrate Heating'!$A$2:$M$33,13,FALSE)</f>
        <v>1</v>
      </c>
      <c r="AQ540" s="1">
        <f>VLOOKUP($C540,'Substrate Heating'!$A$2:$M$33,8,FALSE)</f>
        <v>0.5</v>
      </c>
      <c r="AR540" s="1">
        <f t="shared" si="8"/>
        <v>0.82415094339622796</v>
      </c>
    </row>
    <row r="541" spans="1:44" x14ac:dyDescent="0.2">
      <c r="A541" s="8" t="s">
        <v>816</v>
      </c>
      <c r="B541" s="18" t="s">
        <v>324</v>
      </c>
      <c r="C541" t="s">
        <v>815</v>
      </c>
      <c r="D541" s="19" t="s">
        <v>326</v>
      </c>
      <c r="E541" t="s">
        <v>72</v>
      </c>
      <c r="F541" t="s">
        <v>73</v>
      </c>
      <c r="G541">
        <v>-10</v>
      </c>
      <c r="H541">
        <v>0</v>
      </c>
      <c r="I541">
        <v>0</v>
      </c>
      <c r="J541">
        <v>0.45</v>
      </c>
      <c r="K541">
        <v>25.456603770000001</v>
      </c>
      <c r="L541">
        <v>0</v>
      </c>
      <c r="M541">
        <v>0</v>
      </c>
      <c r="N541">
        <v>25.456603770000001</v>
      </c>
      <c r="O541">
        <v>3.6377358489999998</v>
      </c>
      <c r="P541"/>
      <c r="Q541">
        <v>0.14289949599999999</v>
      </c>
      <c r="R541">
        <v>0.27514824100000002</v>
      </c>
      <c r="S541" s="1" t="str">
        <f>VLOOKUP($E541,'Product Naming'!$A$1:$P$58,2,FALSE)</f>
        <v>1-propanol-PW1</v>
      </c>
      <c r="T541" s="1" t="str">
        <f>VLOOKUP($E541,'Product Naming'!$A$1:$P$58,3,FALSE)</f>
        <v>1-Propanol (PW1)</v>
      </c>
      <c r="U541" s="1" t="str">
        <f>VLOOKUP($E541,'Product Naming'!$A$1:$P$58,4,FALSE)</f>
        <v>E-S</v>
      </c>
      <c r="V541" s="1" t="str">
        <f>VLOOKUP($E541,'Product Naming'!$A$1:$P$58,5,FALSE)</f>
        <v>C3H8O</v>
      </c>
      <c r="W541" s="1">
        <f>VLOOKUP($E541,'Product Naming'!$A$1:$P$58,6,FALSE)</f>
        <v>3</v>
      </c>
      <c r="X541" s="1">
        <f>VLOOKUP($E541,'Product Naming'!$A$1:$P$58,7,FALSE)</f>
        <v>8</v>
      </c>
      <c r="Y541" s="1">
        <f>VLOOKUP($E541,'Product Naming'!$A$1:$P$58,8,FALSE)</f>
        <v>1</v>
      </c>
      <c r="Z541" s="1">
        <f>VLOOKUP($E541,'Product Naming'!$A$1:$P$58,9,FALSE)</f>
        <v>0</v>
      </c>
      <c r="AA541" s="1">
        <f>VLOOKUP($E541,'Product Naming'!$A$1:$P$58,10,FALSE)</f>
        <v>0</v>
      </c>
      <c r="AB541" s="29">
        <f>VLOOKUP($E541,'Product Naming'!$A$1:$P$58,11,FALSE)</f>
        <v>6</v>
      </c>
      <c r="AC541" s="3">
        <f>VLOOKUP($E541,'Product Naming'!$A$1:$P$58,12,FALSE)</f>
        <v>60.093820000000001</v>
      </c>
      <c r="AD541" s="1">
        <f>VLOOKUP($E541,'Product Naming'!$A$1:$P$58,13,FALSE)</f>
        <v>97</v>
      </c>
      <c r="AE541" s="1" t="str">
        <f>VLOOKUP($E541,'Product Naming'!$A$1:$P$58,14,FALSE)</f>
        <v>Alcohol</v>
      </c>
      <c r="AF541" s="1" t="str">
        <f>VLOOKUP($E541,'Product Naming'!$A$1:$P$58,15,FALSE)</f>
        <v>Glyceraldehyde 3-P (--&gt;DHAP)</v>
      </c>
      <c r="AG541" s="30" t="str">
        <f>VLOOKUP($E541,'Product Naming'!$A$1:$P$58,16,FALSE)</f>
        <v>Proton symporter</v>
      </c>
      <c r="AH541" s="3" t="str">
        <f>VLOOKUP($E541,'Product Naming'!$A$1:$Q$58,17,FALSE)</f>
        <v>ppoh_c</v>
      </c>
      <c r="AI541" s="1">
        <f>VLOOKUP($E541,'Product Parameters'!$A$2:$D$59,2,FALSE)</f>
        <v>1</v>
      </c>
      <c r="AJ541" s="1">
        <f>VLOOKUP($E541,'Product Parameters'!$A$2:$D$59,3,FALSE)</f>
        <v>0</v>
      </c>
      <c r="AK541" s="1">
        <f>VLOOKUP($E541,'Product Parameters'!$A$2:$D$59,4,FALSE)</f>
        <v>0.12</v>
      </c>
      <c r="AL541" s="1">
        <f>VLOOKUP($E541,'Product Parameters'!$A$2:$E$59,5,FALSE)</f>
        <v>47</v>
      </c>
      <c r="AM541" s="1">
        <f>VLOOKUP($E541,'Product Parameters'!$A$2:$F$59,6,FALSE)</f>
        <v>3</v>
      </c>
      <c r="AN541" s="1">
        <f>VLOOKUP($C541,'Substrate Heating'!$A$2:$C$33,3,FALSE)</f>
        <v>226.4</v>
      </c>
      <c r="AO541" s="1">
        <f>VLOOKUP($C541,'Substrate Heating'!$A$2:$B$33,2,FALSE)</f>
        <v>7.2542014450728134</v>
      </c>
      <c r="AP541" s="1">
        <f>VLOOKUP($C541,'Substrate Heating'!$A$2:$M$33,13,FALSE)</f>
        <v>1.6</v>
      </c>
      <c r="AQ541" s="1">
        <f>VLOOKUP($C541,'Substrate Heating'!$A$2:$M$33,8,FALSE)</f>
        <v>1</v>
      </c>
      <c r="AR541" s="1">
        <f t="shared" si="8"/>
        <v>0.42869848799999999</v>
      </c>
    </row>
    <row r="542" spans="1:44" x14ac:dyDescent="0.2">
      <c r="A542" s="17" t="s">
        <v>323</v>
      </c>
      <c r="B542" s="18" t="s">
        <v>324</v>
      </c>
      <c r="C542" t="s">
        <v>335</v>
      </c>
      <c r="D542" s="19" t="s">
        <v>326</v>
      </c>
      <c r="E542" t="s">
        <v>81</v>
      </c>
      <c r="F542" t="s">
        <v>73</v>
      </c>
      <c r="G542">
        <v>-10</v>
      </c>
      <c r="H542">
        <v>0</v>
      </c>
      <c r="I542">
        <v>-10</v>
      </c>
      <c r="J542">
        <v>0.45</v>
      </c>
      <c r="K542">
        <v>-10</v>
      </c>
      <c r="L542">
        <v>0</v>
      </c>
      <c r="M542">
        <v>-10</v>
      </c>
      <c r="N542">
        <v>3.30909090909091</v>
      </c>
      <c r="O542">
        <v>2.2060606060606101</v>
      </c>
      <c r="P542"/>
      <c r="Q542">
        <v>0.220606060606061</v>
      </c>
      <c r="R542">
        <v>0.27590366822969797</v>
      </c>
      <c r="S542" s="1" t="str">
        <f>VLOOKUP($E542,'Product Naming'!$A$1:$P$58,2,FALSE)</f>
        <v>1-propanol-PW2</v>
      </c>
      <c r="T542" s="1" t="str">
        <f>VLOOKUP($E542,'Product Naming'!$A$1:$P$58,3,FALSE)</f>
        <v>1-Propanol (PW2)</v>
      </c>
      <c r="U542" s="1" t="str">
        <f>VLOOKUP($E542,'Product Naming'!$A$1:$P$58,4,FALSE)</f>
        <v>E-S</v>
      </c>
      <c r="V542" s="1" t="str">
        <f>VLOOKUP($E542,'Product Naming'!$A$1:$P$58,5,FALSE)</f>
        <v>C3H8O</v>
      </c>
      <c r="W542" s="1">
        <f>VLOOKUP($E542,'Product Naming'!$A$1:$P$58,6,FALSE)</f>
        <v>3</v>
      </c>
      <c r="X542" s="1">
        <f>VLOOKUP($E542,'Product Naming'!$A$1:$P$58,7,FALSE)</f>
        <v>8</v>
      </c>
      <c r="Y542" s="1">
        <f>VLOOKUP($E542,'Product Naming'!$A$1:$P$58,8,FALSE)</f>
        <v>1</v>
      </c>
      <c r="Z542" s="1">
        <f>VLOOKUP($E542,'Product Naming'!$A$1:$P$58,9,FALSE)</f>
        <v>0</v>
      </c>
      <c r="AA542" s="1">
        <f>VLOOKUP($E542,'Product Naming'!$A$1:$P$58,10,FALSE)</f>
        <v>0</v>
      </c>
      <c r="AB542" s="29">
        <f>VLOOKUP($E542,'Product Naming'!$A$1:$P$58,11,FALSE)</f>
        <v>6</v>
      </c>
      <c r="AC542" s="3">
        <f>VLOOKUP($E542,'Product Naming'!$A$1:$P$58,12,FALSE)</f>
        <v>60.093820000000001</v>
      </c>
      <c r="AD542" s="1">
        <f>VLOOKUP($E542,'Product Naming'!$A$1:$P$58,13,FALSE)</f>
        <v>97</v>
      </c>
      <c r="AE542" s="1" t="str">
        <f>VLOOKUP($E542,'Product Naming'!$A$1:$P$58,14,FALSE)</f>
        <v>Alcohol</v>
      </c>
      <c r="AF542" s="1" t="str">
        <f>VLOOKUP($E542,'Product Naming'!$A$1:$P$58,15,FALSE)</f>
        <v>Oxaloacetate</v>
      </c>
      <c r="AG542" s="30" t="str">
        <f>VLOOKUP($E542,'Product Naming'!$A$1:$P$58,16,FALSE)</f>
        <v>Proton symporter</v>
      </c>
      <c r="AH542" s="3" t="str">
        <f>VLOOKUP($E542,'Product Naming'!$A$1:$Q$58,17,FALSE)</f>
        <v>ppoh_c</v>
      </c>
      <c r="AI542" s="1">
        <f>VLOOKUP($E542,'Product Parameters'!$A$2:$D$59,2,FALSE)</f>
        <v>1</v>
      </c>
      <c r="AJ542" s="1">
        <f>VLOOKUP($E542,'Product Parameters'!$A$2:$D$59,3,FALSE)</f>
        <v>0</v>
      </c>
      <c r="AK542" s="1">
        <f>VLOOKUP($E542,'Product Parameters'!$A$2:$D$59,4,FALSE)</f>
        <v>0.12</v>
      </c>
      <c r="AL542" s="1">
        <f>VLOOKUP($E542,'Product Parameters'!$A$2:$E$59,5,FALSE)</f>
        <v>47</v>
      </c>
      <c r="AM542" s="1">
        <f>VLOOKUP($E542,'Product Parameters'!$A$2:$F$59,6,FALSE)</f>
        <v>3</v>
      </c>
      <c r="AN542" s="1">
        <f>VLOOKUP($C542,'Substrate Heating'!$A$2:$C$33,3,FALSE)</f>
        <v>247.9</v>
      </c>
      <c r="AO542" s="1">
        <f>VLOOKUP($C542,'Substrate Heating'!$A$2:$B$33,2,FALSE)</f>
        <v>10.541709491918519</v>
      </c>
      <c r="AP542" s="1">
        <f>VLOOKUP($C542,'Substrate Heating'!$A$2:$M$33,13,FALSE)</f>
        <v>0.5</v>
      </c>
      <c r="AQ542" s="1">
        <f>VLOOKUP($C542,'Substrate Heating'!$A$2:$M$33,8,FALSE)</f>
        <v>0.5</v>
      </c>
      <c r="AR542" s="1">
        <f t="shared" si="8"/>
        <v>1.3236363636363659</v>
      </c>
    </row>
    <row r="543" spans="1:44" x14ac:dyDescent="0.2">
      <c r="A543" s="8" t="s">
        <v>34</v>
      </c>
      <c r="B543" s="9" t="s">
        <v>35</v>
      </c>
      <c r="C543" s="1" t="s">
        <v>322</v>
      </c>
      <c r="D543" s="10" t="s">
        <v>37</v>
      </c>
      <c r="E543" s="1" t="s">
        <v>297</v>
      </c>
      <c r="F543" s="1" t="s">
        <v>298</v>
      </c>
      <c r="G543" s="1">
        <v>-10</v>
      </c>
      <c r="H543" s="1">
        <v>-20</v>
      </c>
      <c r="I543" s="1" t="s">
        <v>40</v>
      </c>
      <c r="J543" s="1">
        <v>3.15</v>
      </c>
      <c r="K543" s="1">
        <v>-10</v>
      </c>
      <c r="L543" s="1">
        <v>-7.8802690582959602</v>
      </c>
      <c r="M543" s="1" t="s">
        <v>40</v>
      </c>
      <c r="N543" s="1">
        <v>9.6116591928251101</v>
      </c>
      <c r="O543" s="1">
        <v>1.73139013452915</v>
      </c>
      <c r="Q543" s="1">
        <v>0.17313901345291499</v>
      </c>
      <c r="R543" s="1">
        <v>0.27597134608886298</v>
      </c>
      <c r="S543" s="1" t="str">
        <f>VLOOKUP($E543,'Product Naming'!$A$1:$P$58,2,FALSE)</f>
        <v>Phenol</v>
      </c>
      <c r="T543" s="1" t="str">
        <f>VLOOKUP($E543,'Product Naming'!$A$1:$P$58,3,FALSE)</f>
        <v>Phenol</v>
      </c>
      <c r="U543" s="1" t="str">
        <f>VLOOKUP($E543,'Product Naming'!$A$1:$P$58,4,FALSE)</f>
        <v>E-S</v>
      </c>
      <c r="V543" s="1" t="str">
        <f>VLOOKUP($E543,'Product Naming'!$A$1:$P$58,5,FALSE)</f>
        <v>C6H6O</v>
      </c>
      <c r="W543" s="1">
        <f>VLOOKUP($E543,'Product Naming'!$A$1:$P$58,6,FALSE)</f>
        <v>6</v>
      </c>
      <c r="X543" s="1">
        <f>VLOOKUP($E543,'Product Naming'!$A$1:$P$58,7,FALSE)</f>
        <v>6</v>
      </c>
      <c r="Y543" s="1">
        <f>VLOOKUP($E543,'Product Naming'!$A$1:$P$58,8,FALSE)</f>
        <v>1</v>
      </c>
      <c r="Z543" s="1">
        <f>VLOOKUP($E543,'Product Naming'!$A$1:$P$58,9,FALSE)</f>
        <v>0</v>
      </c>
      <c r="AA543" s="1">
        <f>VLOOKUP($E543,'Product Naming'!$A$1:$P$58,10,FALSE)</f>
        <v>0</v>
      </c>
      <c r="AB543" s="29">
        <f>VLOOKUP($E543,'Product Naming'!$A$1:$P$58,11,FALSE)</f>
        <v>4.666666666666667</v>
      </c>
      <c r="AC543" s="3">
        <f>VLOOKUP($E543,'Product Naming'!$A$1:$P$58,12,FALSE)</f>
        <v>94.11023999999999</v>
      </c>
      <c r="AD543" s="1">
        <f>VLOOKUP($E543,'Product Naming'!$A$1:$P$58,13,FALSE)</f>
        <v>181.7</v>
      </c>
      <c r="AE543" s="1" t="str">
        <f>VLOOKUP($E543,'Product Naming'!$A$1:$P$58,14,FALSE)</f>
        <v>Aromatic + Alcohol</v>
      </c>
      <c r="AF543" s="1" t="str">
        <f>VLOOKUP($E543,'Product Naming'!$A$1:$P$58,15,FALSE)</f>
        <v>E4P + L-glutamate</v>
      </c>
      <c r="AG543" s="30" t="str">
        <f>VLOOKUP($E543,'Product Naming'!$A$1:$P$58,16,FALSE)</f>
        <v>Proton symporter</v>
      </c>
      <c r="AH543" s="3" t="str">
        <f>VLOOKUP($E543,'Product Naming'!$A$1:$Q$58,17,FALSE)</f>
        <v>phenol_c</v>
      </c>
      <c r="AI543" s="1">
        <f>VLOOKUP($E543,'Product Parameters'!$A$2:$D$59,2,FALSE)</f>
        <v>1</v>
      </c>
      <c r="AJ543" s="1">
        <f>VLOOKUP($E543,'Product Parameters'!$A$2:$D$59,3,FALSE)</f>
        <v>0</v>
      </c>
      <c r="AK543" s="1">
        <f>VLOOKUP($E543,'Product Parameters'!$A$2:$D$59,4,FALSE)</f>
        <v>0.12</v>
      </c>
      <c r="AL543" s="1">
        <f>VLOOKUP($E543,'Product Parameters'!$A$2:$E$59,5,FALSE)</f>
        <v>58.8</v>
      </c>
      <c r="AM543" s="1">
        <f>VLOOKUP($E543,'Product Parameters'!$A$2:$F$59,6,FALSE)</f>
        <v>6</v>
      </c>
      <c r="AN543" s="1">
        <f>VLOOKUP($C543,'Substrate Heating'!$A$2:$C$33,3,FALSE)</f>
        <v>876.74109599999997</v>
      </c>
      <c r="AO543" s="1">
        <f>VLOOKUP($C543,'Substrate Heating'!$A$2:$B$33,2,FALSE)</f>
        <v>14.6</v>
      </c>
      <c r="AP543" s="1">
        <f>VLOOKUP($C543,'Substrate Heating'!$A$2:$M$33,13,FALSE)</f>
        <v>3.5</v>
      </c>
      <c r="AQ543" s="1">
        <f>VLOOKUP($C543,'Substrate Heating'!$A$2:$M$33,8,FALSE)</f>
        <v>2</v>
      </c>
      <c r="AR543" s="1">
        <f t="shared" si="8"/>
        <v>0.51941704035874503</v>
      </c>
    </row>
    <row r="544" spans="1:44" x14ac:dyDescent="0.2">
      <c r="A544" s="8" t="s">
        <v>34</v>
      </c>
      <c r="B544" s="9" t="s">
        <v>35</v>
      </c>
      <c r="C544" s="1" t="s">
        <v>344</v>
      </c>
      <c r="D544" s="10" t="s">
        <v>37</v>
      </c>
      <c r="E544" s="1" t="s">
        <v>103</v>
      </c>
      <c r="F544" s="1" t="s">
        <v>104</v>
      </c>
      <c r="G544" s="1">
        <v>-10</v>
      </c>
      <c r="H544" s="1">
        <v>-20</v>
      </c>
      <c r="I544" s="1" t="s">
        <v>40</v>
      </c>
      <c r="J544" s="1">
        <v>3.15</v>
      </c>
      <c r="K544" s="1">
        <v>-10</v>
      </c>
      <c r="L544" s="1">
        <v>-5.4</v>
      </c>
      <c r="M544" s="1" t="s">
        <v>40</v>
      </c>
      <c r="N544" s="1">
        <v>10.266666666666699</v>
      </c>
      <c r="O544" s="1">
        <v>1.62222222222222</v>
      </c>
      <c r="Q544" s="1">
        <v>0.16222222222222199</v>
      </c>
      <c r="R544" s="1">
        <v>0.27600620499271</v>
      </c>
      <c r="S544" s="1" t="str">
        <f>VLOOKUP($E544,'Product Naming'!$A$1:$P$58,2,FALSE)</f>
        <v>3-Methyl-1-Pentanol</v>
      </c>
      <c r="T544" s="1" t="str">
        <f>VLOOKUP($E544,'Product Naming'!$A$1:$P$58,3,FALSE)</f>
        <v>3-Methyl-1-pentanol</v>
      </c>
      <c r="U544" s="1" t="str">
        <f>VLOOKUP($E544,'Product Naming'!$A$1:$P$58,4,FALSE)</f>
        <v>A</v>
      </c>
      <c r="V544" s="1" t="str">
        <f>VLOOKUP($E544,'Product Naming'!$A$1:$P$58,5,FALSE)</f>
        <v>C6H14O</v>
      </c>
      <c r="W544" s="1">
        <f>VLOOKUP($E544,'Product Naming'!$A$1:$P$58,6,FALSE)</f>
        <v>6</v>
      </c>
      <c r="X544" s="1">
        <f>VLOOKUP($E544,'Product Naming'!$A$1:$P$58,7,FALSE)</f>
        <v>14</v>
      </c>
      <c r="Y544" s="1">
        <f>VLOOKUP($E544,'Product Naming'!$A$1:$P$58,8,FALSE)</f>
        <v>1</v>
      </c>
      <c r="Z544" s="1">
        <f>VLOOKUP($E544,'Product Naming'!$A$1:$P$58,9,FALSE)</f>
        <v>0</v>
      </c>
      <c r="AA544" s="1">
        <f>VLOOKUP($E544,'Product Naming'!$A$1:$P$58,10,FALSE)</f>
        <v>0</v>
      </c>
      <c r="AB544" s="29">
        <f>VLOOKUP($E544,'Product Naming'!$A$1:$P$58,11,FALSE)</f>
        <v>6</v>
      </c>
      <c r="AC544" s="3">
        <f>VLOOKUP($E544,'Product Naming'!$A$1:$P$58,12,FALSE)</f>
        <v>102.17295999999999</v>
      </c>
      <c r="AD544" s="1">
        <f>VLOOKUP($E544,'Product Naming'!$A$1:$P$58,13,FALSE)</f>
        <v>153</v>
      </c>
      <c r="AE544" s="1" t="str">
        <f>VLOOKUP($E544,'Product Naming'!$A$1:$P$58,14,FALSE)</f>
        <v>Alcohol</v>
      </c>
      <c r="AF544" s="1" t="str">
        <f>VLOOKUP($E544,'Product Naming'!$A$1:$P$58,15,FALSE)</f>
        <v>Oxaloacetate</v>
      </c>
      <c r="AG544" s="30" t="str">
        <f>VLOOKUP($E544,'Product Naming'!$A$1:$P$58,16,FALSE)</f>
        <v>Proton symporter</v>
      </c>
      <c r="AH544" s="3" t="str">
        <f>VLOOKUP($E544,'Product Naming'!$A$1:$Q$58,17,FALSE)</f>
        <v>3mptoh_c</v>
      </c>
      <c r="AI544" s="1">
        <f>VLOOKUP($E544,'Product Parameters'!$A$2:$D$59,2,FALSE)</f>
        <v>1</v>
      </c>
      <c r="AJ544" s="1">
        <f>VLOOKUP($E544,'Product Parameters'!$A$2:$D$59,3,FALSE)</f>
        <v>0</v>
      </c>
      <c r="AK544" s="1">
        <f>VLOOKUP($E544,'Product Parameters'!$A$2:$D$59,4,FALSE)</f>
        <v>0.12</v>
      </c>
      <c r="AL544" s="1">
        <f>VLOOKUP($E544,'Product Parameters'!$A$2:$E$59,5,FALSE)</f>
        <v>61.7</v>
      </c>
      <c r="AM544" s="1">
        <f>VLOOKUP($E544,'Product Parameters'!$A$2:$F$59,6,FALSE)</f>
        <v>6</v>
      </c>
      <c r="AN544" s="1">
        <f>VLOOKUP($C544,'Substrate Heating'!$A$2:$C$33,3,FALSE)</f>
        <v>1020.8629199999999</v>
      </c>
      <c r="AO544" s="1">
        <f>VLOOKUP($C544,'Substrate Heating'!$A$2:$B$33,2,FALSE)</f>
        <v>17</v>
      </c>
      <c r="AP544" s="1">
        <f>VLOOKUP($C544,'Substrate Heating'!$A$2:$M$33,13,FALSE)</f>
        <v>4</v>
      </c>
      <c r="AQ544" s="1">
        <f>VLOOKUP($C544,'Substrate Heating'!$A$2:$M$33,8,FALSE)</f>
        <v>2</v>
      </c>
      <c r="AR544" s="1">
        <f t="shared" si="8"/>
        <v>0.48666666666666597</v>
      </c>
    </row>
    <row r="545" spans="1:44" x14ac:dyDescent="0.2">
      <c r="A545" s="17" t="s">
        <v>323</v>
      </c>
      <c r="B545" s="18" t="s">
        <v>324</v>
      </c>
      <c r="C545" t="s">
        <v>334</v>
      </c>
      <c r="D545" s="19" t="s">
        <v>326</v>
      </c>
      <c r="E545" t="s">
        <v>254</v>
      </c>
      <c r="F545" t="s">
        <v>255</v>
      </c>
      <c r="G545">
        <v>-10</v>
      </c>
      <c r="H545">
        <v>0</v>
      </c>
      <c r="I545">
        <v>-5</v>
      </c>
      <c r="J545">
        <v>0.45</v>
      </c>
      <c r="K545">
        <v>-10</v>
      </c>
      <c r="L545">
        <v>0</v>
      </c>
      <c r="M545">
        <v>-5</v>
      </c>
      <c r="N545">
        <v>1.99298245614035</v>
      </c>
      <c r="O545">
        <v>1.0140350877193001</v>
      </c>
      <c r="P545"/>
      <c r="Q545">
        <v>0.10140350877193</v>
      </c>
      <c r="R545">
        <v>0.27610457169121999</v>
      </c>
      <c r="S545" s="1" t="str">
        <f>VLOOKUP($E545,'Product Naming'!$A$1:$P$58,2,FALSE)</f>
        <v>Itaconate</v>
      </c>
      <c r="T545" s="1" t="str">
        <f>VLOOKUP($E545,'Product Naming'!$A$1:$P$58,3,FALSE)</f>
        <v>Itaconate</v>
      </c>
      <c r="U545" s="1" t="str">
        <f>VLOOKUP($E545,'Product Naming'!$A$1:$P$58,4,FALSE)</f>
        <v>E</v>
      </c>
      <c r="V545" s="1" t="str">
        <f>VLOOKUP($E545,'Product Naming'!$A$1:$P$58,5,FALSE)</f>
        <v>C5H4O4</v>
      </c>
      <c r="W545" s="1">
        <f>VLOOKUP($E545,'Product Naming'!$A$1:$P$58,6,FALSE)</f>
        <v>5</v>
      </c>
      <c r="X545" s="1">
        <f>VLOOKUP($E545,'Product Naming'!$A$1:$P$58,7,FALSE)</f>
        <v>4</v>
      </c>
      <c r="Y545" s="1">
        <f>VLOOKUP($E545,'Product Naming'!$A$1:$P$58,8,FALSE)</f>
        <v>4</v>
      </c>
      <c r="Z545" s="1">
        <f>VLOOKUP($E545,'Product Naming'!$A$1:$P$58,9,FALSE)</f>
        <v>0</v>
      </c>
      <c r="AA545" s="1">
        <f>VLOOKUP($E545,'Product Naming'!$A$1:$P$58,10,FALSE)</f>
        <v>-2</v>
      </c>
      <c r="AB545" s="29">
        <f>VLOOKUP($E545,'Product Naming'!$A$1:$P$58,11,FALSE)</f>
        <v>3.2</v>
      </c>
      <c r="AC545" s="3">
        <f>VLOOKUP($E545,'Product Naming'!$A$1:$P$58,12,FALSE)</f>
        <v>128.08086</v>
      </c>
      <c r="AD545" s="1">
        <f>VLOOKUP($E545,'Product Naming'!$A$1:$P$58,13,FALSE)</f>
        <v>381</v>
      </c>
      <c r="AE545" s="1" t="str">
        <f>VLOOKUP($E545,'Product Naming'!$A$1:$P$58,14,FALSE)</f>
        <v>Dicarboxylate</v>
      </c>
      <c r="AF545" s="1" t="str">
        <f>VLOOKUP($E545,'Product Naming'!$A$1:$P$58,15,FALSE)</f>
        <v>Acetyl-CoA + Oxaloacetate</v>
      </c>
      <c r="AG545" s="30" t="str">
        <f>VLOOKUP($E545,'Product Naming'!$A$1:$P$58,16,FALSE)</f>
        <v>Proton symporter</v>
      </c>
      <c r="AH545" s="3" t="str">
        <f>VLOOKUP($E545,'Product Naming'!$A$1:$Q$58,17,FALSE)</f>
        <v>itacon_c</v>
      </c>
      <c r="AI545" s="1">
        <f>VLOOKUP($E545,'Product Parameters'!$A$2:$D$59,2,FALSE)</f>
        <v>1</v>
      </c>
      <c r="AJ545" s="1">
        <f>VLOOKUP($E545,'Product Parameters'!$A$2:$D$59,3,FALSE)</f>
        <v>0</v>
      </c>
      <c r="AK545" s="1">
        <f>VLOOKUP($E545,'Product Parameters'!$A$2:$D$59,4,FALSE)</f>
        <v>0.12</v>
      </c>
      <c r="AL545" s="1">
        <f>VLOOKUP($E545,'Product Parameters'!$A$2:$E$59,5,FALSE)</f>
        <v>40.65</v>
      </c>
      <c r="AM545" s="1">
        <f>VLOOKUP($E545,'Product Parameters'!$A$2:$F$59,6,FALSE)</f>
        <v>5</v>
      </c>
      <c r="AN545" s="1">
        <f>VLOOKUP($C545,'Substrate Heating'!$A$2:$C$33,3,FALSE)</f>
        <v>249.93333333333334</v>
      </c>
      <c r="AO545" s="1">
        <f>VLOOKUP($C545,'Substrate Heating'!$A$2:$B$33,2,FALSE)</f>
        <v>8.1456827881222953</v>
      </c>
      <c r="AP545" s="1">
        <f>VLOOKUP($C545,'Substrate Heating'!$A$2:$M$33,13,FALSE)</f>
        <v>0.66666666666666663</v>
      </c>
      <c r="AQ545" s="1">
        <f>VLOOKUP($C545,'Substrate Heating'!$A$2:$M$33,8,FALSE)</f>
        <v>0.66666666666666663</v>
      </c>
      <c r="AR545" s="1">
        <f t="shared" si="8"/>
        <v>0.76052631578947505</v>
      </c>
    </row>
    <row r="546" spans="1:44" x14ac:dyDescent="0.2">
      <c r="A546" s="17" t="s">
        <v>231</v>
      </c>
      <c r="B546" s="9" t="s">
        <v>35</v>
      </c>
      <c r="C546" t="s">
        <v>348</v>
      </c>
      <c r="D546" s="23" t="s">
        <v>338</v>
      </c>
      <c r="E546" t="s">
        <v>279</v>
      </c>
      <c r="F546" t="s">
        <v>280</v>
      </c>
      <c r="G546">
        <v>-10</v>
      </c>
      <c r="H546">
        <v>-20</v>
      </c>
      <c r="I546" s="1" t="s">
        <v>40</v>
      </c>
      <c r="J546">
        <v>3.15</v>
      </c>
      <c r="K546">
        <v>-10</v>
      </c>
      <c r="L546">
        <v>-5.3361867704280099</v>
      </c>
      <c r="M546" s="1" t="s">
        <v>40</v>
      </c>
      <c r="N546">
        <v>3.7875486381322898</v>
      </c>
      <c r="O546">
        <v>0.69027237354085602</v>
      </c>
      <c r="P546"/>
      <c r="Q546">
        <v>6.9027237354085599E-2</v>
      </c>
      <c r="R546">
        <v>0.27630038379183702</v>
      </c>
      <c r="S546" s="1" t="str">
        <f>VLOOKUP($E546,'Product Naming'!$A$1:$P$58,2,FALSE)</f>
        <v>Nonane</v>
      </c>
      <c r="T546" s="1" t="str">
        <f>VLOOKUP($E546,'Product Naming'!$A$1:$P$58,3,FALSE)</f>
        <v>Nonane</v>
      </c>
      <c r="U546" s="1" t="str">
        <f>VLOOKUP($E546,'Product Naming'!$A$1:$P$58,4,FALSE)</f>
        <v>E</v>
      </c>
      <c r="V546" s="1" t="str">
        <f>VLOOKUP($E546,'Product Naming'!$A$1:$P$58,5,FALSE)</f>
        <v>C9H20</v>
      </c>
      <c r="W546" s="1">
        <f>VLOOKUP($E546,'Product Naming'!$A$1:$P$58,6,FALSE)</f>
        <v>9</v>
      </c>
      <c r="X546" s="1">
        <f>VLOOKUP($E546,'Product Naming'!$A$1:$P$58,7,FALSE)</f>
        <v>20</v>
      </c>
      <c r="Y546" s="1">
        <f>VLOOKUP($E546,'Product Naming'!$A$1:$P$58,8,FALSE)</f>
        <v>0</v>
      </c>
      <c r="Z546" s="1">
        <f>VLOOKUP($E546,'Product Naming'!$A$1:$P$58,9,FALSE)</f>
        <v>0</v>
      </c>
      <c r="AA546" s="1">
        <f>VLOOKUP($E546,'Product Naming'!$A$1:$P$58,10,FALSE)</f>
        <v>0</v>
      </c>
      <c r="AB546" s="29">
        <f>VLOOKUP($E546,'Product Naming'!$A$1:$P$58,11,FALSE)</f>
        <v>6.2222222222222223</v>
      </c>
      <c r="AC546" s="3">
        <f>VLOOKUP($E546,'Product Naming'!$A$1:$P$58,12,FALSE)</f>
        <v>128.25309999999999</v>
      </c>
      <c r="AD546" s="1">
        <f>VLOOKUP($E546,'Product Naming'!$A$1:$P$58,13,FALSE)</f>
        <v>151</v>
      </c>
      <c r="AE546" s="1" t="str">
        <f>VLOOKUP($E546,'Product Naming'!$A$1:$P$58,14,FALSE)</f>
        <v>Hydrocarbon (alkane)</v>
      </c>
      <c r="AF546" s="1" t="str">
        <f>VLOOKUP($E546,'Product Naming'!$A$1:$P$58,15,FALSE)</f>
        <v>Acetyl-CoA</v>
      </c>
      <c r="AG546" s="30" t="str">
        <f>VLOOKUP($E546,'Product Naming'!$A$1:$P$58,16,FALSE)</f>
        <v>Proton symporter</v>
      </c>
      <c r="AH546" s="3" t="str">
        <f>VLOOKUP($E546,'Product Naming'!$A$1:$Q$58,17,FALSE)</f>
        <v>nonan_c</v>
      </c>
      <c r="AI546" s="1">
        <f>VLOOKUP($E546,'Product Parameters'!$A$2:$D$59,2,FALSE)</f>
        <v>1</v>
      </c>
      <c r="AJ546" s="1">
        <f>VLOOKUP($E546,'Product Parameters'!$A$2:$D$59,3,FALSE)</f>
        <v>0</v>
      </c>
      <c r="AK546" s="1">
        <f>VLOOKUP($E546,'Product Parameters'!$A$2:$D$59,4,FALSE)</f>
        <v>0.12</v>
      </c>
      <c r="AL546" s="1">
        <f>VLOOKUP($E546,'Product Parameters'!$A$2:$E$59,5,FALSE)</f>
        <v>46.5</v>
      </c>
      <c r="AM546" s="1">
        <f>VLOOKUP($E546,'Product Parameters'!$A$2:$F$59,6,FALSE)</f>
        <v>9</v>
      </c>
      <c r="AN546" s="1">
        <f>VLOOKUP($C546,'Substrate Heating'!$A$2:$C$33,3,FALSE)</f>
        <v>638.57832580000002</v>
      </c>
      <c r="AO546" s="1">
        <f>VLOOKUP($C546,'Substrate Heating'!$A$2:$B$33,2,FALSE)</f>
        <v>19.93</v>
      </c>
      <c r="AP546" s="1">
        <f>VLOOKUP($C546,'Substrate Heating'!$A$2:$M$33,13,FALSE)</f>
        <v>6</v>
      </c>
      <c r="AQ546" s="1">
        <f>VLOOKUP($C546,'Substrate Heating'!$A$2:$M$33,8,FALSE)</f>
        <v>1</v>
      </c>
      <c r="AR546" s="1">
        <f t="shared" si="8"/>
        <v>0.62124513618677035</v>
      </c>
    </row>
    <row r="547" spans="1:44" x14ac:dyDescent="0.2">
      <c r="A547" s="8" t="s">
        <v>34</v>
      </c>
      <c r="B547" s="9" t="s">
        <v>35</v>
      </c>
      <c r="C547" s="1" t="s">
        <v>348</v>
      </c>
      <c r="D547" s="23" t="s">
        <v>338</v>
      </c>
      <c r="E547" s="1" t="s">
        <v>145</v>
      </c>
      <c r="F547" s="1" t="s">
        <v>146</v>
      </c>
      <c r="G547" s="1">
        <v>-10</v>
      </c>
      <c r="H547" s="1">
        <v>-20</v>
      </c>
      <c r="I547" s="1" t="s">
        <v>40</v>
      </c>
      <c r="J547" s="1">
        <v>3.15</v>
      </c>
      <c r="K547" s="1">
        <v>-10</v>
      </c>
      <c r="L547" s="1">
        <v>-8.0404615384615408</v>
      </c>
      <c r="M547" s="1" t="s">
        <v>40</v>
      </c>
      <c r="N547" s="1">
        <v>4.2686153846153898</v>
      </c>
      <c r="O547" s="1">
        <v>0.81876923076923103</v>
      </c>
      <c r="Q547" s="1">
        <v>8.1876923076923097E-2</v>
      </c>
      <c r="R547" s="1">
        <v>0.27632961323809102</v>
      </c>
      <c r="S547" s="1" t="str">
        <f>VLOOKUP($E547,'Product Naming'!$A$1:$P$58,2,FALSE)</f>
        <v>Benzyl alcohol</v>
      </c>
      <c r="T547" s="1" t="str">
        <f>VLOOKUP($E547,'Product Naming'!$A$1:$P$58,3,FALSE)</f>
        <v>Benzyl alcohol</v>
      </c>
      <c r="U547" s="1" t="str">
        <f>VLOOKUP($E547,'Product Naming'!$A$1:$P$58,4,FALSE)</f>
        <v>E</v>
      </c>
      <c r="V547" s="1" t="str">
        <f>VLOOKUP($E547,'Product Naming'!$A$1:$P$58,5,FALSE)</f>
        <v>C7H8O</v>
      </c>
      <c r="W547" s="1">
        <f>VLOOKUP($E547,'Product Naming'!$A$1:$P$58,6,FALSE)</f>
        <v>7</v>
      </c>
      <c r="X547" s="1">
        <f>VLOOKUP($E547,'Product Naming'!$A$1:$P$58,7,FALSE)</f>
        <v>8</v>
      </c>
      <c r="Y547" s="1">
        <f>VLOOKUP($E547,'Product Naming'!$A$1:$P$58,8,FALSE)</f>
        <v>1</v>
      </c>
      <c r="Z547" s="1">
        <f>VLOOKUP($E547,'Product Naming'!$A$1:$P$58,9,FALSE)</f>
        <v>0</v>
      </c>
      <c r="AA547" s="1">
        <f>VLOOKUP($E547,'Product Naming'!$A$1:$P$58,10,FALSE)</f>
        <v>0</v>
      </c>
      <c r="AB547" s="29">
        <f>VLOOKUP($E547,'Product Naming'!$A$1:$P$58,11,FALSE)</f>
        <v>4.8571428571428568</v>
      </c>
      <c r="AC547" s="3">
        <f>VLOOKUP($E547,'Product Naming'!$A$1:$P$58,12,FALSE)</f>
        <v>108.13661999999999</v>
      </c>
      <c r="AD547" s="1">
        <f>VLOOKUP($E547,'Product Naming'!$A$1:$P$58,13,FALSE)</f>
        <v>205</v>
      </c>
      <c r="AE547" s="1" t="str">
        <f>VLOOKUP($E547,'Product Naming'!$A$1:$P$58,14,FALSE)</f>
        <v>Aromatic + Alcohol</v>
      </c>
      <c r="AF547" s="1" t="str">
        <f>VLOOKUP($E547,'Product Naming'!$A$1:$P$58,15,FALSE)</f>
        <v>E4P</v>
      </c>
      <c r="AG547" s="30" t="str">
        <f>VLOOKUP($E547,'Product Naming'!$A$1:$P$58,16,FALSE)</f>
        <v>Proton symporter</v>
      </c>
      <c r="AH547" s="3" t="str">
        <f>VLOOKUP($E547,'Product Naming'!$A$1:$Q$58,17,FALSE)</f>
        <v>bzalc_c</v>
      </c>
      <c r="AI547" s="1">
        <f>VLOOKUP($E547,'Product Parameters'!$A$2:$D$59,2,FALSE)</f>
        <v>1</v>
      </c>
      <c r="AJ547" s="1">
        <f>VLOOKUP($E547,'Product Parameters'!$A$2:$D$59,3,FALSE)</f>
        <v>0</v>
      </c>
      <c r="AK547" s="1">
        <f>VLOOKUP($E547,'Product Parameters'!$A$2:$D$59,4,FALSE)</f>
        <v>0.12</v>
      </c>
      <c r="AL547" s="1">
        <f>VLOOKUP($E547,'Product Parameters'!$A$2:$E$59,5,FALSE)</f>
        <v>63</v>
      </c>
      <c r="AM547" s="1">
        <f>VLOOKUP($E547,'Product Parameters'!$A$2:$F$59,6,FALSE)</f>
        <v>7</v>
      </c>
      <c r="AN547" s="1">
        <f>VLOOKUP($C547,'Substrate Heating'!$A$2:$C$33,3,FALSE)</f>
        <v>638.57832580000002</v>
      </c>
      <c r="AO547" s="1">
        <f>VLOOKUP($C547,'Substrate Heating'!$A$2:$B$33,2,FALSE)</f>
        <v>19.93</v>
      </c>
      <c r="AP547" s="1">
        <f>VLOOKUP($C547,'Substrate Heating'!$A$2:$M$33,13,FALSE)</f>
        <v>6</v>
      </c>
      <c r="AQ547" s="1">
        <f>VLOOKUP($C547,'Substrate Heating'!$A$2:$M$33,8,FALSE)</f>
        <v>1</v>
      </c>
      <c r="AR547" s="1">
        <f t="shared" si="8"/>
        <v>0.57313846153846171</v>
      </c>
    </row>
    <row r="548" spans="1:44" x14ac:dyDescent="0.2">
      <c r="A548" s="8" t="s">
        <v>34</v>
      </c>
      <c r="B548" s="9" t="s">
        <v>35</v>
      </c>
      <c r="C548" s="1" t="s">
        <v>349</v>
      </c>
      <c r="D548" s="25" t="s">
        <v>342</v>
      </c>
      <c r="E548" s="1" t="s">
        <v>301</v>
      </c>
      <c r="F548" s="1" t="s">
        <v>302</v>
      </c>
      <c r="G548" s="1">
        <v>-10</v>
      </c>
      <c r="H548" s="1">
        <v>-20</v>
      </c>
      <c r="I548" s="1" t="s">
        <v>40</v>
      </c>
      <c r="J548" s="1">
        <v>3.15</v>
      </c>
      <c r="K548" s="1">
        <v>-10</v>
      </c>
      <c r="L548" s="1">
        <v>-2.9462809917355401</v>
      </c>
      <c r="M548" s="1" t="s">
        <v>40</v>
      </c>
      <c r="N548" s="1">
        <v>21.7677685950413</v>
      </c>
      <c r="O548" s="1">
        <v>9.4107438016528899</v>
      </c>
      <c r="Q548" s="1">
        <v>0.94107438016528899</v>
      </c>
      <c r="R548" s="1">
        <v>0.276403819356558</v>
      </c>
      <c r="S548" s="1" t="str">
        <f>VLOOKUP($E548,'Product Naming'!$A$1:$P$58,2,FALSE)</f>
        <v>Propane-PW1</v>
      </c>
      <c r="T548" s="1" t="str">
        <f>VLOOKUP($E548,'Product Naming'!$A$1:$P$58,3,FALSE)</f>
        <v>Propane (PW1)</v>
      </c>
      <c r="U548" s="1" t="str">
        <f>VLOOKUP($E548,'Product Naming'!$A$1:$P$58,4,FALSE)</f>
        <v>E</v>
      </c>
      <c r="V548" s="1" t="str">
        <f>VLOOKUP($E548,'Product Naming'!$A$1:$P$58,5,FALSE)</f>
        <v>C3H8</v>
      </c>
      <c r="W548" s="1">
        <f>VLOOKUP($E548,'Product Naming'!$A$1:$P$58,6,FALSE)</f>
        <v>3</v>
      </c>
      <c r="X548" s="1">
        <f>VLOOKUP($E548,'Product Naming'!$A$1:$P$58,7,FALSE)</f>
        <v>8</v>
      </c>
      <c r="Y548" s="1">
        <f>VLOOKUP($E548,'Product Naming'!$A$1:$P$58,8,FALSE)</f>
        <v>0</v>
      </c>
      <c r="Z548" s="1">
        <f>VLOOKUP($E548,'Product Naming'!$A$1:$P$58,9,FALSE)</f>
        <v>0</v>
      </c>
      <c r="AA548" s="1">
        <f>VLOOKUP($E548,'Product Naming'!$A$1:$P$58,10,FALSE)</f>
        <v>0</v>
      </c>
      <c r="AB548" s="29">
        <f>VLOOKUP($E548,'Product Naming'!$A$1:$P$58,11,FALSE)</f>
        <v>6.666666666666667</v>
      </c>
      <c r="AC548" s="3">
        <f>VLOOKUP($E548,'Product Naming'!$A$1:$P$58,12,FALSE)</f>
        <v>44.094819999999999</v>
      </c>
      <c r="AD548" s="1">
        <f>VLOOKUP($E548,'Product Naming'!$A$1:$P$58,13,FALSE)</f>
        <v>-42</v>
      </c>
      <c r="AE548" s="1" t="str">
        <f>VLOOKUP($E548,'Product Naming'!$A$1:$P$58,14,FALSE)</f>
        <v>Hydrocarbon</v>
      </c>
      <c r="AF548" s="1" t="str">
        <f>VLOOKUP($E548,'Product Naming'!$A$1:$P$58,15,FALSE)</f>
        <v>Acetyl-CoA</v>
      </c>
      <c r="AG548" s="30" t="str">
        <f>VLOOKUP($E548,'Product Naming'!$A$1:$P$58,16,FALSE)</f>
        <v>Diffusion</v>
      </c>
      <c r="AH548" s="3" t="str">
        <f>VLOOKUP($E548,'Product Naming'!$A$1:$Q$58,17,FALSE)</f>
        <v>prop_c</v>
      </c>
      <c r="AI548" s="1">
        <f>VLOOKUP($E548,'Product Parameters'!$A$2:$D$59,2,FALSE)</f>
        <v>0</v>
      </c>
      <c r="AJ548" s="1">
        <f>VLOOKUP($E548,'Product Parameters'!$A$2:$D$59,3,FALSE)</f>
        <v>1</v>
      </c>
      <c r="AK548" s="1">
        <f>VLOOKUP($E548,'Product Parameters'!$A$2:$D$59,4,FALSE)</f>
        <v>0.12</v>
      </c>
      <c r="AL548" s="1">
        <f>VLOOKUP($E548,'Product Parameters'!$A$2:$E$59,5,FALSE)</f>
        <v>0</v>
      </c>
      <c r="AM548" s="1">
        <f>VLOOKUP($E548,'Product Parameters'!$A$2:$F$59,6,FALSE)</f>
        <v>3</v>
      </c>
      <c r="AN548" s="1">
        <f>VLOOKUP($C548,'Substrate Heating'!$A$2:$C$33,3,FALSE)</f>
        <v>2342.0279999999998</v>
      </c>
      <c r="AO548" s="1">
        <f>VLOOKUP($C548,'Substrate Heating'!$A$2:$B$33,2,FALSE)</f>
        <v>15.6</v>
      </c>
      <c r="AP548" s="1">
        <f>VLOOKUP($C548,'Substrate Heating'!$A$2:$M$33,13,FALSE)</f>
        <v>4</v>
      </c>
      <c r="AQ548" s="1">
        <f>VLOOKUP($C548,'Substrate Heating'!$A$2:$M$33,8,FALSE)</f>
        <v>5</v>
      </c>
      <c r="AR548" s="1">
        <f t="shared" si="8"/>
        <v>0.56464462809917337</v>
      </c>
    </row>
    <row r="549" spans="1:44" x14ac:dyDescent="0.2">
      <c r="A549" s="17" t="s">
        <v>323</v>
      </c>
      <c r="B549" s="18" t="s">
        <v>324</v>
      </c>
      <c r="C549" t="s">
        <v>328</v>
      </c>
      <c r="D549" s="19" t="s">
        <v>326</v>
      </c>
      <c r="E549" t="s">
        <v>66</v>
      </c>
      <c r="F549" t="s">
        <v>67</v>
      </c>
      <c r="G549">
        <v>-10</v>
      </c>
      <c r="H549">
        <v>0</v>
      </c>
      <c r="I549">
        <v>-10</v>
      </c>
      <c r="J549">
        <v>0.45</v>
      </c>
      <c r="K549">
        <v>-10</v>
      </c>
      <c r="L549">
        <v>0</v>
      </c>
      <c r="M549">
        <v>-10</v>
      </c>
      <c r="N549">
        <v>1.38227848101266</v>
      </c>
      <c r="O549">
        <v>0.92151898734177196</v>
      </c>
      <c r="P549"/>
      <c r="Q549">
        <v>9.2151898734177007E-2</v>
      </c>
      <c r="R549">
        <v>0.27654530111239001</v>
      </c>
      <c r="S549" s="1" t="str">
        <f>VLOOKUP($E549,'Product Naming'!$A$1:$P$58,2,FALSE)</f>
        <v>1-4-butanediol</v>
      </c>
      <c r="T549" s="1" t="str">
        <f>VLOOKUP($E549,'Product Naming'!$A$1:$P$58,3,FALSE)</f>
        <v>1,4-Butanediol</v>
      </c>
      <c r="U549" s="1" t="str">
        <f>VLOOKUP($E549,'Product Naming'!$A$1:$P$58,4,FALSE)</f>
        <v>E</v>
      </c>
      <c r="V549" s="1" t="str">
        <f>VLOOKUP($E549,'Product Naming'!$A$1:$P$58,5,FALSE)</f>
        <v>C4H10O2</v>
      </c>
      <c r="W549" s="1">
        <f>VLOOKUP($E549,'Product Naming'!$A$1:$P$58,6,FALSE)</f>
        <v>4</v>
      </c>
      <c r="X549" s="1">
        <f>VLOOKUP($E549,'Product Naming'!$A$1:$P$58,7,FALSE)</f>
        <v>10</v>
      </c>
      <c r="Y549" s="1">
        <f>VLOOKUP($E549,'Product Naming'!$A$1:$P$58,8,FALSE)</f>
        <v>2</v>
      </c>
      <c r="Z549" s="1">
        <f>VLOOKUP($E549,'Product Naming'!$A$1:$P$58,9,FALSE)</f>
        <v>0</v>
      </c>
      <c r="AA549" s="1">
        <f>VLOOKUP($E549,'Product Naming'!$A$1:$P$58,10,FALSE)</f>
        <v>0</v>
      </c>
      <c r="AB549" s="29">
        <f>VLOOKUP($E549,'Product Naming'!$A$1:$P$58,11,FALSE)</f>
        <v>5.5</v>
      </c>
      <c r="AC549" s="3">
        <f>VLOOKUP($E549,'Product Naming'!$A$1:$P$58,12,FALSE)</f>
        <v>90.119200000000006</v>
      </c>
      <c r="AD549" s="1">
        <f>VLOOKUP($E549,'Product Naming'!$A$1:$P$58,13,FALSE)</f>
        <v>230</v>
      </c>
      <c r="AE549" s="1" t="str">
        <f>VLOOKUP($E549,'Product Naming'!$A$1:$P$58,14,FALSE)</f>
        <v>Diol</v>
      </c>
      <c r="AF549" s="1" t="str">
        <f>VLOOKUP($E549,'Product Naming'!$A$1:$P$58,15,FALSE)</f>
        <v>aKG</v>
      </c>
      <c r="AG549" s="30" t="str">
        <f>VLOOKUP($E549,'Product Naming'!$A$1:$P$58,16,FALSE)</f>
        <v>Proton symporter</v>
      </c>
      <c r="AH549" s="3" t="str">
        <f>VLOOKUP($E549,'Product Naming'!$A$1:$Q$58,17,FALSE)</f>
        <v>14bdo_c</v>
      </c>
      <c r="AI549" s="1">
        <f>VLOOKUP($E549,'Product Parameters'!$A$2:$D$59,2,FALSE)</f>
        <v>1</v>
      </c>
      <c r="AJ549" s="1">
        <f>VLOOKUP($E549,'Product Parameters'!$A$2:$D$59,3,FALSE)</f>
        <v>0</v>
      </c>
      <c r="AK549" s="1">
        <f>VLOOKUP($E549,'Product Parameters'!$A$2:$D$59,4,FALSE)</f>
        <v>0.12</v>
      </c>
      <c r="AL549" s="1">
        <f>VLOOKUP($E549,'Product Parameters'!$A$2:$E$59,5,FALSE)</f>
        <v>78</v>
      </c>
      <c r="AM549" s="1">
        <f>VLOOKUP($E549,'Product Parameters'!$A$2:$F$59,6,FALSE)</f>
        <v>4</v>
      </c>
      <c r="AN549" s="1">
        <f>VLOOKUP($C549,'Substrate Heating'!$A$2:$C$33,3,FALSE)</f>
        <v>262.39999999999998</v>
      </c>
      <c r="AO549" s="1">
        <f>VLOOKUP($C549,'Substrate Heating'!$A$2:$B$33,2,FALSE)</f>
        <v>17.478546483008707</v>
      </c>
      <c r="AP549" s="1">
        <f>VLOOKUP($C549,'Substrate Heating'!$A$2:$M$33,13,FALSE)</f>
        <v>1</v>
      </c>
      <c r="AQ549" s="1">
        <f>VLOOKUP($C549,'Substrate Heating'!$A$2:$M$33,8,FALSE)</f>
        <v>0.5</v>
      </c>
      <c r="AR549" s="1">
        <f t="shared" si="8"/>
        <v>0.73721518987341605</v>
      </c>
    </row>
    <row r="550" spans="1:44" x14ac:dyDescent="0.2">
      <c r="A550" s="8" t="s">
        <v>34</v>
      </c>
      <c r="B550" s="9" t="s">
        <v>35</v>
      </c>
      <c r="C550" s="1" t="s">
        <v>345</v>
      </c>
      <c r="D550" s="10" t="s">
        <v>37</v>
      </c>
      <c r="E550" s="1" t="s">
        <v>151</v>
      </c>
      <c r="F550" s="1" t="s">
        <v>152</v>
      </c>
      <c r="G550" s="1">
        <v>-10</v>
      </c>
      <c r="H550" s="1">
        <v>-20</v>
      </c>
      <c r="I550" s="1" t="s">
        <v>40</v>
      </c>
      <c r="J550" s="1">
        <v>3.15</v>
      </c>
      <c r="K550" s="1">
        <v>-10</v>
      </c>
      <c r="L550" s="1">
        <v>-3.2816964285714301</v>
      </c>
      <c r="M550" s="1" t="s">
        <v>40</v>
      </c>
      <c r="N550" s="1">
        <v>7.6160714285714297</v>
      </c>
      <c r="O550" s="1">
        <v>0.30959821428571399</v>
      </c>
      <c r="Q550" s="1">
        <v>3.0959821428571399E-2</v>
      </c>
      <c r="R550" s="1">
        <v>0.27678191715988998</v>
      </c>
      <c r="S550" s="1" t="str">
        <f>VLOOKUP($E550,'Product Naming'!$A$1:$P$58,2,FALSE)</f>
        <v>BetaCarotene</v>
      </c>
      <c r="T550" s="1" t="str">
        <f>VLOOKUP($E550,'Product Naming'!$A$1:$P$58,3,FALSE)</f>
        <v>Beta carotene</v>
      </c>
      <c r="U550" s="1" t="str">
        <f>VLOOKUP($E550,'Product Naming'!$A$1:$P$58,4,FALSE)</f>
        <v>A</v>
      </c>
      <c r="V550" s="1" t="str">
        <f>VLOOKUP($E550,'Product Naming'!$A$1:$P$58,5,FALSE)</f>
        <v>C40H56</v>
      </c>
      <c r="W550" s="1">
        <f>VLOOKUP($E550,'Product Naming'!$A$1:$P$58,6,FALSE)</f>
        <v>40</v>
      </c>
      <c r="X550" s="1">
        <f>VLOOKUP($E550,'Product Naming'!$A$1:$P$58,7,FALSE)</f>
        <v>56</v>
      </c>
      <c r="Y550" s="1">
        <f>VLOOKUP($E550,'Product Naming'!$A$1:$P$58,8,FALSE)</f>
        <v>0</v>
      </c>
      <c r="Z550" s="1">
        <f>VLOOKUP($E550,'Product Naming'!$A$1:$P$58,9,FALSE)</f>
        <v>0</v>
      </c>
      <c r="AA550" s="1">
        <f>VLOOKUP($E550,'Product Naming'!$A$1:$P$58,10,FALSE)</f>
        <v>0</v>
      </c>
      <c r="AB550" s="29">
        <f>VLOOKUP($E550,'Product Naming'!$A$1:$P$58,11,FALSE)</f>
        <v>5.4</v>
      </c>
      <c r="AC550" s="3">
        <f>VLOOKUP($E550,'Product Naming'!$A$1:$P$58,12,FALSE)</f>
        <v>536.86703999999997</v>
      </c>
      <c r="AD550" s="1">
        <f>VLOOKUP($E550,'Product Naming'!$A$1:$P$58,13,FALSE)</f>
        <v>633</v>
      </c>
      <c r="AE550" s="1" t="str">
        <f>VLOOKUP($E550,'Product Naming'!$A$1:$P$58,14,FALSE)</f>
        <v>Hydrocarbon</v>
      </c>
      <c r="AF550" s="1" t="str">
        <f>VLOOKUP($E550,'Product Naming'!$A$1:$P$58,15,FALSE)</f>
        <v>Acetyl-CoA</v>
      </c>
      <c r="AG550" s="30" t="str">
        <f>VLOOKUP($E550,'Product Naming'!$A$1:$P$58,16,FALSE)</f>
        <v>ABC Transporter</v>
      </c>
      <c r="AH550" s="3" t="str">
        <f>VLOOKUP($E550,'Product Naming'!$A$1:$Q$58,17,FALSE)</f>
        <v>caro_c</v>
      </c>
      <c r="AI550" s="1">
        <f>VLOOKUP($E550,'Product Parameters'!$A$2:$D$59,2,FALSE)</f>
        <v>1</v>
      </c>
      <c r="AJ550" s="1">
        <f>VLOOKUP($E550,'Product Parameters'!$A$2:$D$59,3,FALSE)</f>
        <v>0</v>
      </c>
      <c r="AK550" s="1">
        <f>VLOOKUP($E550,'Product Parameters'!$A$2:$D$59,4,FALSE)</f>
        <v>0.12</v>
      </c>
      <c r="AL550" s="1">
        <f>VLOOKUP($E550,'Product Parameters'!$A$2:$E$59,5,FALSE)</f>
        <v>40.65</v>
      </c>
      <c r="AM550" s="1">
        <f>VLOOKUP($E550,'Product Parameters'!$A$2:$F$59,6,FALSE)</f>
        <v>40</v>
      </c>
      <c r="AN550" s="1">
        <f>VLOOKUP($C550,'Substrate Heating'!$A$2:$C$33,3,FALSE)</f>
        <v>1020.8629199999999</v>
      </c>
      <c r="AO550" s="1">
        <f>VLOOKUP($C550,'Substrate Heating'!$A$2:$B$33,2,FALSE)</f>
        <v>17</v>
      </c>
      <c r="AP550" s="1">
        <f>VLOOKUP($C550,'Substrate Heating'!$A$2:$M$33,13,FALSE)</f>
        <v>4</v>
      </c>
      <c r="AQ550" s="1">
        <f>VLOOKUP($C550,'Substrate Heating'!$A$2:$M$33,8,FALSE)</f>
        <v>2</v>
      </c>
      <c r="AR550" s="1">
        <f t="shared" si="8"/>
        <v>0.61919642857142798</v>
      </c>
    </row>
    <row r="551" spans="1:44" x14ac:dyDescent="0.2">
      <c r="A551" s="17" t="s">
        <v>231</v>
      </c>
      <c r="B551" s="9" t="s">
        <v>35</v>
      </c>
      <c r="C551" t="s">
        <v>330</v>
      </c>
      <c r="D551" s="10" t="s">
        <v>37</v>
      </c>
      <c r="E551" t="s">
        <v>232</v>
      </c>
      <c r="F551" t="s">
        <v>233</v>
      </c>
      <c r="G551">
        <v>-10</v>
      </c>
      <c r="H551">
        <v>-20</v>
      </c>
      <c r="I551" s="1" t="s">
        <v>40</v>
      </c>
      <c r="J551">
        <v>3.15</v>
      </c>
      <c r="K551">
        <v>-10</v>
      </c>
      <c r="L551">
        <v>-6.1188755020080299</v>
      </c>
      <c r="M551" s="1" t="s">
        <v>40</v>
      </c>
      <c r="N551">
        <v>7.9847389558232997</v>
      </c>
      <c r="O551">
        <v>1.7164658634538199</v>
      </c>
      <c r="P551"/>
      <c r="Q551">
        <v>0.17164658634538199</v>
      </c>
      <c r="R551">
        <v>0.27710719989634602</v>
      </c>
      <c r="S551" s="1" t="str">
        <f>VLOOKUP($E551,'Product Naming'!$A$1:$P$58,2,FALSE)</f>
        <v>Heptane</v>
      </c>
      <c r="T551" s="1" t="str">
        <f>VLOOKUP($E551,'Product Naming'!$A$1:$P$58,3,FALSE)</f>
        <v>Heptane</v>
      </c>
      <c r="U551" s="1" t="str">
        <f>VLOOKUP($E551,'Product Naming'!$A$1:$P$58,4,FALSE)</f>
        <v>E</v>
      </c>
      <c r="V551" s="1" t="str">
        <f>VLOOKUP($E551,'Product Naming'!$A$1:$P$58,5,FALSE)</f>
        <v>C7H16</v>
      </c>
      <c r="W551" s="1">
        <f>VLOOKUP($E551,'Product Naming'!$A$1:$P$58,6,FALSE)</f>
        <v>7</v>
      </c>
      <c r="X551" s="1">
        <f>VLOOKUP($E551,'Product Naming'!$A$1:$P$58,7,FALSE)</f>
        <v>16</v>
      </c>
      <c r="Y551" s="1">
        <f>VLOOKUP($E551,'Product Naming'!$A$1:$P$58,8,FALSE)</f>
        <v>0</v>
      </c>
      <c r="Z551" s="1">
        <f>VLOOKUP($E551,'Product Naming'!$A$1:$P$58,9,FALSE)</f>
        <v>0</v>
      </c>
      <c r="AA551" s="1">
        <f>VLOOKUP($E551,'Product Naming'!$A$1:$P$58,10,FALSE)</f>
        <v>0</v>
      </c>
      <c r="AB551" s="29">
        <f>VLOOKUP($E551,'Product Naming'!$A$1:$P$58,11,FALSE)</f>
        <v>6.2857142857142856</v>
      </c>
      <c r="AC551" s="3">
        <f>VLOOKUP($E551,'Product Naming'!$A$1:$P$58,12,FALSE)</f>
        <v>100.20034</v>
      </c>
      <c r="AD551" s="1">
        <f>VLOOKUP($E551,'Product Naming'!$A$1:$P$58,13,FALSE)</f>
        <v>98</v>
      </c>
      <c r="AE551" s="1" t="str">
        <f>VLOOKUP($E551,'Product Naming'!$A$1:$P$58,14,FALSE)</f>
        <v>Hydrocarbon (alkane)</v>
      </c>
      <c r="AF551" s="1" t="str">
        <f>VLOOKUP($E551,'Product Naming'!$A$1:$P$58,15,FALSE)</f>
        <v>Acetyl-CoA</v>
      </c>
      <c r="AG551" s="30" t="str">
        <f>VLOOKUP($E551,'Product Naming'!$A$1:$P$58,16,FALSE)</f>
        <v>Proton symporter</v>
      </c>
      <c r="AH551" s="3" t="str">
        <f>VLOOKUP($E551,'Product Naming'!$A$1:$Q$58,17,FALSE)</f>
        <v>hept_c</v>
      </c>
      <c r="AI551" s="1">
        <f>VLOOKUP($E551,'Product Parameters'!$A$2:$D$59,2,FALSE)</f>
        <v>1</v>
      </c>
      <c r="AJ551" s="1">
        <f>VLOOKUP($E551,'Product Parameters'!$A$2:$D$59,3,FALSE)</f>
        <v>0</v>
      </c>
      <c r="AK551" s="1">
        <f>VLOOKUP($E551,'Product Parameters'!$A$2:$D$59,4,FALSE)</f>
        <v>0.12</v>
      </c>
      <c r="AL551" s="1">
        <f>VLOOKUP($E551,'Product Parameters'!$A$2:$E$59,5,FALSE)</f>
        <v>36</v>
      </c>
      <c r="AM551" s="1">
        <f>VLOOKUP($E551,'Product Parameters'!$A$2:$F$59,6,FALSE)</f>
        <v>7</v>
      </c>
      <c r="AN551" s="1">
        <f>VLOOKUP($C551,'Substrate Heating'!$A$2:$C$33,3,FALSE)</f>
        <v>1055.1294800000001</v>
      </c>
      <c r="AO551" s="1">
        <f>VLOOKUP($C551,'Substrate Heating'!$A$2:$B$33,2,FALSE)</f>
        <v>17</v>
      </c>
      <c r="AP551" s="1">
        <f>VLOOKUP($C551,'Substrate Heating'!$A$2:$M$33,13,FALSE)</f>
        <v>5</v>
      </c>
      <c r="AQ551" s="1">
        <f>VLOOKUP($C551,'Substrate Heating'!$A$2:$M$33,8,FALSE)</f>
        <v>2</v>
      </c>
      <c r="AR551" s="1">
        <f t="shared" si="8"/>
        <v>0.60076305220883697</v>
      </c>
    </row>
    <row r="552" spans="1:44" x14ac:dyDescent="0.2">
      <c r="A552" s="17" t="s">
        <v>231</v>
      </c>
      <c r="B552" s="9" t="s">
        <v>35</v>
      </c>
      <c r="C552" t="s">
        <v>345</v>
      </c>
      <c r="D552" s="10" t="s">
        <v>37</v>
      </c>
      <c r="E552" t="s">
        <v>283</v>
      </c>
      <c r="F552" t="s">
        <v>284</v>
      </c>
      <c r="G552">
        <v>-10</v>
      </c>
      <c r="H552">
        <v>-20</v>
      </c>
      <c r="I552" s="1" t="s">
        <v>40</v>
      </c>
      <c r="J552">
        <v>3.15</v>
      </c>
      <c r="K552">
        <v>-10</v>
      </c>
      <c r="L552">
        <v>-1.78493449781659</v>
      </c>
      <c r="M552" s="1" t="s">
        <v>40</v>
      </c>
      <c r="N552">
        <v>8.3423580786026204</v>
      </c>
      <c r="O552">
        <v>1.45720524017467</v>
      </c>
      <c r="P552"/>
      <c r="Q552">
        <v>0.14572052401746699</v>
      </c>
      <c r="R552">
        <v>0.27717940277087399</v>
      </c>
      <c r="S552" s="1" t="str">
        <f>VLOOKUP($E552,'Product Naming'!$A$1:$P$58,2,FALSE)</f>
        <v>Octane</v>
      </c>
      <c r="T552" s="1" t="str">
        <f>VLOOKUP($E552,'Product Naming'!$A$1:$P$58,3,FALSE)</f>
        <v>Octane</v>
      </c>
      <c r="U552" s="1" t="str">
        <f>VLOOKUP($E552,'Product Naming'!$A$1:$P$58,4,FALSE)</f>
        <v>E</v>
      </c>
      <c r="V552" s="1" t="str">
        <f>VLOOKUP($E552,'Product Naming'!$A$1:$P$58,5,FALSE)</f>
        <v>C8H18</v>
      </c>
      <c r="W552" s="1">
        <f>VLOOKUP($E552,'Product Naming'!$A$1:$P$58,6,FALSE)</f>
        <v>8</v>
      </c>
      <c r="X552" s="1">
        <f>VLOOKUP($E552,'Product Naming'!$A$1:$P$58,7,FALSE)</f>
        <v>18</v>
      </c>
      <c r="Y552" s="1">
        <f>VLOOKUP($E552,'Product Naming'!$A$1:$P$58,8,FALSE)</f>
        <v>0</v>
      </c>
      <c r="Z552" s="1">
        <f>VLOOKUP($E552,'Product Naming'!$A$1:$P$58,9,FALSE)</f>
        <v>0</v>
      </c>
      <c r="AA552" s="1">
        <f>VLOOKUP($E552,'Product Naming'!$A$1:$P$58,10,FALSE)</f>
        <v>0</v>
      </c>
      <c r="AB552" s="29">
        <f>VLOOKUP($E552,'Product Naming'!$A$1:$P$58,11,FALSE)</f>
        <v>6.25</v>
      </c>
      <c r="AC552" s="3">
        <f>VLOOKUP($E552,'Product Naming'!$A$1:$P$58,12,FALSE)</f>
        <v>114.22672</v>
      </c>
      <c r="AD552" s="1">
        <f>VLOOKUP($E552,'Product Naming'!$A$1:$P$58,13,FALSE)</f>
        <v>126</v>
      </c>
      <c r="AE552" s="1" t="str">
        <f>VLOOKUP($E552,'Product Naming'!$A$1:$P$58,14,FALSE)</f>
        <v>Hydrocarbon (alkane)</v>
      </c>
      <c r="AF552" s="1" t="str">
        <f>VLOOKUP($E552,'Product Naming'!$A$1:$P$58,15,FALSE)</f>
        <v>Acetyl-CoA + Succinyl-CoA</v>
      </c>
      <c r="AG552" s="30" t="str">
        <f>VLOOKUP($E552,'Product Naming'!$A$1:$P$58,16,FALSE)</f>
        <v>Proton symporter</v>
      </c>
      <c r="AH552" s="3" t="str">
        <f>VLOOKUP($E552,'Product Naming'!$A$1:$Q$58,17,FALSE)</f>
        <v>octn_c</v>
      </c>
      <c r="AI552" s="1">
        <f>VLOOKUP($E552,'Product Parameters'!$A$2:$D$59,2,FALSE)</f>
        <v>1</v>
      </c>
      <c r="AJ552" s="1">
        <f>VLOOKUP($E552,'Product Parameters'!$A$2:$D$59,3,FALSE)</f>
        <v>0</v>
      </c>
      <c r="AK552" s="1">
        <f>VLOOKUP($E552,'Product Parameters'!$A$2:$D$59,4,FALSE)</f>
        <v>0.12</v>
      </c>
      <c r="AL552" s="1">
        <f>VLOOKUP($E552,'Product Parameters'!$A$2:$E$59,5,FALSE)</f>
        <v>41</v>
      </c>
      <c r="AM552" s="1">
        <f>VLOOKUP($E552,'Product Parameters'!$A$2:$F$59,6,FALSE)</f>
        <v>8</v>
      </c>
      <c r="AN552" s="1">
        <f>VLOOKUP($C552,'Substrate Heating'!$A$2:$C$33,3,FALSE)</f>
        <v>1020.8629199999999</v>
      </c>
      <c r="AO552" s="1">
        <f>VLOOKUP($C552,'Substrate Heating'!$A$2:$B$33,2,FALSE)</f>
        <v>17</v>
      </c>
      <c r="AP552" s="1">
        <f>VLOOKUP($C552,'Substrate Heating'!$A$2:$M$33,13,FALSE)</f>
        <v>4</v>
      </c>
      <c r="AQ552" s="1">
        <f>VLOOKUP($C552,'Substrate Heating'!$A$2:$M$33,8,FALSE)</f>
        <v>2</v>
      </c>
      <c r="AR552" s="1">
        <f t="shared" si="8"/>
        <v>0.58288209606986796</v>
      </c>
    </row>
    <row r="553" spans="1:44" x14ac:dyDescent="0.2">
      <c r="A553" s="17" t="s">
        <v>231</v>
      </c>
      <c r="B553" s="9" t="s">
        <v>35</v>
      </c>
      <c r="C553" t="s">
        <v>345</v>
      </c>
      <c r="D553" s="10" t="s">
        <v>37</v>
      </c>
      <c r="E553" t="s">
        <v>279</v>
      </c>
      <c r="F553" t="s">
        <v>280</v>
      </c>
      <c r="G553">
        <v>-10</v>
      </c>
      <c r="H553">
        <v>-20</v>
      </c>
      <c r="I553" s="1" t="s">
        <v>40</v>
      </c>
      <c r="J553">
        <v>3.15</v>
      </c>
      <c r="K553">
        <v>-10</v>
      </c>
      <c r="L553">
        <v>-1.82178988326849</v>
      </c>
      <c r="M553" s="1" t="s">
        <v>40</v>
      </c>
      <c r="N553">
        <v>8.3140077821011609</v>
      </c>
      <c r="O553">
        <v>1.2984435797665399</v>
      </c>
      <c r="P553"/>
      <c r="Q553">
        <v>0.129844357976654</v>
      </c>
      <c r="R553">
        <v>0.27730868960260302</v>
      </c>
      <c r="S553" s="1" t="str">
        <f>VLOOKUP($E553,'Product Naming'!$A$1:$P$58,2,FALSE)</f>
        <v>Nonane</v>
      </c>
      <c r="T553" s="1" t="str">
        <f>VLOOKUP($E553,'Product Naming'!$A$1:$P$58,3,FALSE)</f>
        <v>Nonane</v>
      </c>
      <c r="U553" s="1" t="str">
        <f>VLOOKUP($E553,'Product Naming'!$A$1:$P$58,4,FALSE)</f>
        <v>E</v>
      </c>
      <c r="V553" s="1" t="str">
        <f>VLOOKUP($E553,'Product Naming'!$A$1:$P$58,5,FALSE)</f>
        <v>C9H20</v>
      </c>
      <c r="W553" s="1">
        <f>VLOOKUP($E553,'Product Naming'!$A$1:$P$58,6,FALSE)</f>
        <v>9</v>
      </c>
      <c r="X553" s="1">
        <f>VLOOKUP($E553,'Product Naming'!$A$1:$P$58,7,FALSE)</f>
        <v>20</v>
      </c>
      <c r="Y553" s="1">
        <f>VLOOKUP($E553,'Product Naming'!$A$1:$P$58,8,FALSE)</f>
        <v>0</v>
      </c>
      <c r="Z553" s="1">
        <f>VLOOKUP($E553,'Product Naming'!$A$1:$P$58,9,FALSE)</f>
        <v>0</v>
      </c>
      <c r="AA553" s="1">
        <f>VLOOKUP($E553,'Product Naming'!$A$1:$P$58,10,FALSE)</f>
        <v>0</v>
      </c>
      <c r="AB553" s="29">
        <f>VLOOKUP($E553,'Product Naming'!$A$1:$P$58,11,FALSE)</f>
        <v>6.2222222222222223</v>
      </c>
      <c r="AC553" s="3">
        <f>VLOOKUP($E553,'Product Naming'!$A$1:$P$58,12,FALSE)</f>
        <v>128.25309999999999</v>
      </c>
      <c r="AD553" s="1">
        <f>VLOOKUP($E553,'Product Naming'!$A$1:$P$58,13,FALSE)</f>
        <v>151</v>
      </c>
      <c r="AE553" s="1" t="str">
        <f>VLOOKUP($E553,'Product Naming'!$A$1:$P$58,14,FALSE)</f>
        <v>Hydrocarbon (alkane)</v>
      </c>
      <c r="AF553" s="1" t="str">
        <f>VLOOKUP($E553,'Product Naming'!$A$1:$P$58,15,FALSE)</f>
        <v>Acetyl-CoA</v>
      </c>
      <c r="AG553" s="30" t="str">
        <f>VLOOKUP($E553,'Product Naming'!$A$1:$P$58,16,FALSE)</f>
        <v>Proton symporter</v>
      </c>
      <c r="AH553" s="3" t="str">
        <f>VLOOKUP($E553,'Product Naming'!$A$1:$Q$58,17,FALSE)</f>
        <v>nonan_c</v>
      </c>
      <c r="AI553" s="1">
        <f>VLOOKUP($E553,'Product Parameters'!$A$2:$D$59,2,FALSE)</f>
        <v>1</v>
      </c>
      <c r="AJ553" s="1">
        <f>VLOOKUP($E553,'Product Parameters'!$A$2:$D$59,3,FALSE)</f>
        <v>0</v>
      </c>
      <c r="AK553" s="1">
        <f>VLOOKUP($E553,'Product Parameters'!$A$2:$D$59,4,FALSE)</f>
        <v>0.12</v>
      </c>
      <c r="AL553" s="1">
        <f>VLOOKUP($E553,'Product Parameters'!$A$2:$E$59,5,FALSE)</f>
        <v>46.5</v>
      </c>
      <c r="AM553" s="1">
        <f>VLOOKUP($E553,'Product Parameters'!$A$2:$F$59,6,FALSE)</f>
        <v>9</v>
      </c>
      <c r="AN553" s="1">
        <f>VLOOKUP($C553,'Substrate Heating'!$A$2:$C$33,3,FALSE)</f>
        <v>1020.8629199999999</v>
      </c>
      <c r="AO553" s="1">
        <f>VLOOKUP($C553,'Substrate Heating'!$A$2:$B$33,2,FALSE)</f>
        <v>17</v>
      </c>
      <c r="AP553" s="1">
        <f>VLOOKUP($C553,'Substrate Heating'!$A$2:$M$33,13,FALSE)</f>
        <v>4</v>
      </c>
      <c r="AQ553" s="1">
        <f>VLOOKUP($C553,'Substrate Heating'!$A$2:$M$33,8,FALSE)</f>
        <v>2</v>
      </c>
      <c r="AR553" s="1">
        <f t="shared" si="8"/>
        <v>0.58429961089494298</v>
      </c>
    </row>
    <row r="554" spans="1:44" x14ac:dyDescent="0.2">
      <c r="A554" s="8" t="s">
        <v>34</v>
      </c>
      <c r="B554" s="9" t="s">
        <v>35</v>
      </c>
      <c r="C554" s="1" t="s">
        <v>322</v>
      </c>
      <c r="D554" s="10" t="s">
        <v>37</v>
      </c>
      <c r="E554" s="1" t="s">
        <v>108</v>
      </c>
      <c r="F554" s="1" t="s">
        <v>109</v>
      </c>
      <c r="G554" s="1">
        <v>-10</v>
      </c>
      <c r="H554" s="1">
        <v>-20</v>
      </c>
      <c r="I554" s="1" t="s">
        <v>40</v>
      </c>
      <c r="J554" s="1">
        <v>3.15</v>
      </c>
      <c r="K554" s="1">
        <v>-10</v>
      </c>
      <c r="L554" s="1">
        <v>-7.0390459363957598</v>
      </c>
      <c r="M554" s="1" t="s">
        <v>40</v>
      </c>
      <c r="N554" s="1">
        <v>9.0855123674911695</v>
      </c>
      <c r="O554" s="1">
        <v>1.3643109540636</v>
      </c>
      <c r="Q554" s="1">
        <v>0.13643109540636</v>
      </c>
      <c r="R554" s="1">
        <v>0.27762567430165203</v>
      </c>
      <c r="S554" s="1" t="str">
        <f>VLOOKUP($E554,'Product Naming'!$A$1:$P$58,2,FALSE)</f>
        <v>4-Hydroxystyrene</v>
      </c>
      <c r="T554" s="1" t="str">
        <f>VLOOKUP($E554,'Product Naming'!$A$1:$P$58,3,FALSE)</f>
        <v>4-Hydroxystyrene</v>
      </c>
      <c r="U554" s="1" t="str">
        <f>VLOOKUP($E554,'Product Naming'!$A$1:$P$58,4,FALSE)</f>
        <v>E</v>
      </c>
      <c r="V554" s="1" t="str">
        <f>VLOOKUP($E554,'Product Naming'!$A$1:$P$58,5,FALSE)</f>
        <v>C8H8O</v>
      </c>
      <c r="W554" s="1">
        <f>VLOOKUP($E554,'Product Naming'!$A$1:$P$58,6,FALSE)</f>
        <v>8</v>
      </c>
      <c r="X554" s="1">
        <f>VLOOKUP($E554,'Product Naming'!$A$1:$P$58,7,FALSE)</f>
        <v>8</v>
      </c>
      <c r="Y554" s="1">
        <f>VLOOKUP($E554,'Product Naming'!$A$1:$P$58,8,FALSE)</f>
        <v>1</v>
      </c>
      <c r="Z554" s="1">
        <f>VLOOKUP($E554,'Product Naming'!$A$1:$P$58,9,FALSE)</f>
        <v>0</v>
      </c>
      <c r="AA554" s="1">
        <f>VLOOKUP($E554,'Product Naming'!$A$1:$P$58,10,FALSE)</f>
        <v>0</v>
      </c>
      <c r="AB554" s="29">
        <f>VLOOKUP($E554,'Product Naming'!$A$1:$P$58,11,FALSE)</f>
        <v>4.75</v>
      </c>
      <c r="AC554" s="3">
        <f>VLOOKUP($E554,'Product Naming'!$A$1:$P$58,12,FALSE)</f>
        <v>120.14731999999999</v>
      </c>
      <c r="AD554" s="1">
        <f>VLOOKUP($E554,'Product Naming'!$A$1:$P$58,13,FALSE)</f>
        <v>229</v>
      </c>
      <c r="AE554" s="1" t="str">
        <f>VLOOKUP($E554,'Product Naming'!$A$1:$P$58,14,FALSE)</f>
        <v>Aromatic + Alcohol</v>
      </c>
      <c r="AF554" s="1" t="str">
        <f>VLOOKUP($E554,'Product Naming'!$A$1:$P$58,15,FALSE)</f>
        <v>E4P + L-glutamate</v>
      </c>
      <c r="AG554" s="30" t="str">
        <f>VLOOKUP($E554,'Product Naming'!$A$1:$P$58,16,FALSE)</f>
        <v>Proton symporter</v>
      </c>
      <c r="AH554" s="3" t="str">
        <f>VLOOKUP($E554,'Product Naming'!$A$1:$Q$58,17,FALSE)</f>
        <v>4hxst_c</v>
      </c>
      <c r="AI554" s="1">
        <f>VLOOKUP($E554,'Product Parameters'!$A$2:$D$59,2,FALSE)</f>
        <v>1</v>
      </c>
      <c r="AJ554" s="1">
        <f>VLOOKUP($E554,'Product Parameters'!$A$2:$D$59,3,FALSE)</f>
        <v>0</v>
      </c>
      <c r="AK554" s="1">
        <f>VLOOKUP($E554,'Product Parameters'!$A$2:$D$59,4,FALSE)</f>
        <v>0.12</v>
      </c>
      <c r="AL554" s="1">
        <f>VLOOKUP($E554,'Product Parameters'!$A$2:$E$59,5,FALSE)</f>
        <v>40.65</v>
      </c>
      <c r="AM554" s="1">
        <f>VLOOKUP($E554,'Product Parameters'!$A$2:$F$59,6,FALSE)</f>
        <v>8</v>
      </c>
      <c r="AN554" s="1">
        <f>VLOOKUP($C554,'Substrate Heating'!$A$2:$C$33,3,FALSE)</f>
        <v>876.74109599999997</v>
      </c>
      <c r="AO554" s="1">
        <f>VLOOKUP($C554,'Substrate Heating'!$A$2:$B$33,2,FALSE)</f>
        <v>14.6</v>
      </c>
      <c r="AP554" s="1">
        <f>VLOOKUP($C554,'Substrate Heating'!$A$2:$M$33,13,FALSE)</f>
        <v>3.5</v>
      </c>
      <c r="AQ554" s="1">
        <f>VLOOKUP($C554,'Substrate Heating'!$A$2:$M$33,8,FALSE)</f>
        <v>2</v>
      </c>
      <c r="AR554" s="1">
        <f t="shared" si="8"/>
        <v>0.54572438162544001</v>
      </c>
    </row>
    <row r="555" spans="1:44" x14ac:dyDescent="0.2">
      <c r="A555" s="17" t="s">
        <v>323</v>
      </c>
      <c r="B555" s="18" t="s">
        <v>324</v>
      </c>
      <c r="C555" t="s">
        <v>334</v>
      </c>
      <c r="D555" s="19" t="s">
        <v>326</v>
      </c>
      <c r="E555" t="s">
        <v>171</v>
      </c>
      <c r="F555" t="s">
        <v>172</v>
      </c>
      <c r="G555">
        <v>-10</v>
      </c>
      <c r="H555">
        <v>0</v>
      </c>
      <c r="I555">
        <v>-5</v>
      </c>
      <c r="J555">
        <v>0.45</v>
      </c>
      <c r="K555">
        <v>-10</v>
      </c>
      <c r="L555">
        <v>0</v>
      </c>
      <c r="M555">
        <v>-5</v>
      </c>
      <c r="N555">
        <v>4</v>
      </c>
      <c r="O555">
        <v>1.5</v>
      </c>
      <c r="P555"/>
      <c r="Q555">
        <v>0.15</v>
      </c>
      <c r="R555">
        <v>0.27773093308616598</v>
      </c>
      <c r="S555" s="1" t="str">
        <f>VLOOKUP($E555,'Product Naming'!$A$1:$P$58,2,FALSE)</f>
        <v>Butyrate</v>
      </c>
      <c r="T555" s="1" t="str">
        <f>VLOOKUP($E555,'Product Naming'!$A$1:$P$58,3,FALSE)</f>
        <v>Butyrate</v>
      </c>
      <c r="U555" s="1" t="str">
        <f>VLOOKUP($E555,'Product Naming'!$A$1:$P$58,4,FALSE)</f>
        <v>A</v>
      </c>
      <c r="V555" s="1" t="str">
        <f>VLOOKUP($E555,'Product Naming'!$A$1:$P$58,5,FALSE)</f>
        <v>C4H7O2</v>
      </c>
      <c r="W555" s="1">
        <f>VLOOKUP($E555,'Product Naming'!$A$1:$P$58,6,FALSE)</f>
        <v>4</v>
      </c>
      <c r="X555" s="1">
        <f>VLOOKUP($E555,'Product Naming'!$A$1:$P$58,7,FALSE)</f>
        <v>7</v>
      </c>
      <c r="Y555" s="1">
        <f>VLOOKUP($E555,'Product Naming'!$A$1:$P$58,8,FALSE)</f>
        <v>2</v>
      </c>
      <c r="Z555" s="1">
        <f>VLOOKUP($E555,'Product Naming'!$A$1:$P$58,9,FALSE)</f>
        <v>0</v>
      </c>
      <c r="AA555" s="1">
        <f>VLOOKUP($E555,'Product Naming'!$A$1:$P$58,10,FALSE)</f>
        <v>-1</v>
      </c>
      <c r="AB555" s="29">
        <f>VLOOKUP($E555,'Product Naming'!$A$1:$P$58,11,FALSE)</f>
        <v>4.75</v>
      </c>
      <c r="AC555" s="3">
        <f>VLOOKUP($E555,'Product Naming'!$A$1:$P$58,12,FALSE)</f>
        <v>87.095680000000002</v>
      </c>
      <c r="AD555" s="1">
        <f>VLOOKUP($E555,'Product Naming'!$A$1:$P$58,13,FALSE)</f>
        <v>163.5</v>
      </c>
      <c r="AE555" s="1" t="str">
        <f>VLOOKUP($E555,'Product Naming'!$A$1:$P$58,14,FALSE)</f>
        <v>Carboxylate</v>
      </c>
      <c r="AF555" s="1" t="str">
        <f>VLOOKUP($E555,'Product Naming'!$A$1:$P$58,15,FALSE)</f>
        <v>Acetyl-CoA</v>
      </c>
      <c r="AG555" s="30" t="str">
        <f>VLOOKUP($E555,'Product Naming'!$A$1:$P$58,16,FALSE)</f>
        <v>Proton symporter</v>
      </c>
      <c r="AH555" s="3" t="str">
        <f>VLOOKUP($E555,'Product Naming'!$A$1:$Q$58,17,FALSE)</f>
        <v>but_c</v>
      </c>
      <c r="AI555" s="1">
        <f>VLOOKUP($E555,'Product Parameters'!$A$2:$D$59,2,FALSE)</f>
        <v>1</v>
      </c>
      <c r="AJ555" s="1">
        <f>VLOOKUP($E555,'Product Parameters'!$A$2:$D$59,3,FALSE)</f>
        <v>0</v>
      </c>
      <c r="AK555" s="1">
        <f>VLOOKUP($E555,'Product Parameters'!$A$2:$D$59,4,FALSE)</f>
        <v>0.12</v>
      </c>
      <c r="AL555" s="1">
        <f>VLOOKUP($E555,'Product Parameters'!$A$2:$E$59,5,FALSE)</f>
        <v>42</v>
      </c>
      <c r="AM555" s="1">
        <f>VLOOKUP($E555,'Product Parameters'!$A$2:$F$59,6,FALSE)</f>
        <v>4</v>
      </c>
      <c r="AN555" s="1">
        <f>VLOOKUP($C555,'Substrate Heating'!$A$2:$C$33,3,FALSE)</f>
        <v>249.93333333333334</v>
      </c>
      <c r="AO555" s="1">
        <f>VLOOKUP($C555,'Substrate Heating'!$A$2:$B$33,2,FALSE)</f>
        <v>8.1456827881222953</v>
      </c>
      <c r="AP555" s="1">
        <f>VLOOKUP($C555,'Substrate Heating'!$A$2:$M$33,13,FALSE)</f>
        <v>0.66666666666666663</v>
      </c>
      <c r="AQ555" s="1">
        <f>VLOOKUP($C555,'Substrate Heating'!$A$2:$M$33,8,FALSE)</f>
        <v>0.66666666666666663</v>
      </c>
      <c r="AR555" s="1">
        <f t="shared" si="8"/>
        <v>0.9</v>
      </c>
    </row>
    <row r="556" spans="1:44" x14ac:dyDescent="0.2">
      <c r="A556" s="17" t="s">
        <v>323</v>
      </c>
      <c r="B556" s="18" t="s">
        <v>324</v>
      </c>
      <c r="C556" t="s">
        <v>334</v>
      </c>
      <c r="D556" s="19" t="s">
        <v>326</v>
      </c>
      <c r="E556" t="s">
        <v>244</v>
      </c>
      <c r="F556" t="s">
        <v>245</v>
      </c>
      <c r="G556">
        <v>-10</v>
      </c>
      <c r="H556">
        <v>0</v>
      </c>
      <c r="I556">
        <v>-5</v>
      </c>
      <c r="J556">
        <v>0.45</v>
      </c>
      <c r="K556">
        <v>-10</v>
      </c>
      <c r="L556">
        <v>0</v>
      </c>
      <c r="M556">
        <v>-5</v>
      </c>
      <c r="N556">
        <v>4</v>
      </c>
      <c r="O556">
        <v>1.5</v>
      </c>
      <c r="P556"/>
      <c r="Q556">
        <v>0.15</v>
      </c>
      <c r="R556">
        <v>0.27773093308616598</v>
      </c>
      <c r="S556" s="1" t="str">
        <f>VLOOKUP($E556,'Product Naming'!$A$1:$P$58,2,FALSE)</f>
        <v>Isobutyrate</v>
      </c>
      <c r="T556" s="1" t="str">
        <f>VLOOKUP($E556,'Product Naming'!$A$1:$P$58,3,FALSE)</f>
        <v>Isobutyrate</v>
      </c>
      <c r="U556" s="1" t="str">
        <f>VLOOKUP($E556,'Product Naming'!$A$1:$P$58,4,FALSE)</f>
        <v>A</v>
      </c>
      <c r="V556" s="1" t="str">
        <f>VLOOKUP($E556,'Product Naming'!$A$1:$P$58,5,FALSE)</f>
        <v>C4H7O2</v>
      </c>
      <c r="W556" s="1">
        <f>VLOOKUP($E556,'Product Naming'!$A$1:$P$58,6,FALSE)</f>
        <v>4</v>
      </c>
      <c r="X556" s="1">
        <f>VLOOKUP($E556,'Product Naming'!$A$1:$P$58,7,FALSE)</f>
        <v>7</v>
      </c>
      <c r="Y556" s="1">
        <f>VLOOKUP($E556,'Product Naming'!$A$1:$P$58,8,FALSE)</f>
        <v>2</v>
      </c>
      <c r="Z556" s="1">
        <f>VLOOKUP($E556,'Product Naming'!$A$1:$P$58,9,FALSE)</f>
        <v>0</v>
      </c>
      <c r="AA556" s="1">
        <f>VLOOKUP($E556,'Product Naming'!$A$1:$P$58,10,FALSE)</f>
        <v>-1</v>
      </c>
      <c r="AB556" s="29">
        <f>VLOOKUP($E556,'Product Naming'!$A$1:$P$58,11,FALSE)</f>
        <v>4.75</v>
      </c>
      <c r="AC556" s="3">
        <f>VLOOKUP($E556,'Product Naming'!$A$1:$P$58,12,FALSE)</f>
        <v>87.095680000000002</v>
      </c>
      <c r="AD556" s="1">
        <f>VLOOKUP($E556,'Product Naming'!$A$1:$P$58,13,FALSE)</f>
        <v>155</v>
      </c>
      <c r="AE556" s="1" t="str">
        <f>VLOOKUP($E556,'Product Naming'!$A$1:$P$58,14,FALSE)</f>
        <v>Carboxylate</v>
      </c>
      <c r="AF556" s="1" t="str">
        <f>VLOOKUP($E556,'Product Naming'!$A$1:$P$58,15,FALSE)</f>
        <v>Pyruvate</v>
      </c>
      <c r="AG556" s="30" t="str">
        <f>VLOOKUP($E556,'Product Naming'!$A$1:$P$58,16,FALSE)</f>
        <v>Proton symporter</v>
      </c>
      <c r="AH556" s="3" t="str">
        <f>VLOOKUP($E556,'Product Naming'!$A$1:$Q$58,17,FALSE)</f>
        <v>ibt_c</v>
      </c>
      <c r="AI556" s="1">
        <f>VLOOKUP($E556,'Product Parameters'!$A$2:$D$59,2,FALSE)</f>
        <v>1</v>
      </c>
      <c r="AJ556" s="1">
        <f>VLOOKUP($E556,'Product Parameters'!$A$2:$D$59,3,FALSE)</f>
        <v>0</v>
      </c>
      <c r="AK556" s="1">
        <f>VLOOKUP($E556,'Product Parameters'!$A$2:$D$59,4,FALSE)</f>
        <v>0.12</v>
      </c>
      <c r="AL556" s="1">
        <f>VLOOKUP($E556,'Product Parameters'!$A$2:$E$59,5,FALSE)</f>
        <v>44.5</v>
      </c>
      <c r="AM556" s="1">
        <f>VLOOKUP($E556,'Product Parameters'!$A$2:$F$59,6,FALSE)</f>
        <v>4</v>
      </c>
      <c r="AN556" s="1">
        <f>VLOOKUP($C556,'Substrate Heating'!$A$2:$C$33,3,FALSE)</f>
        <v>249.93333333333334</v>
      </c>
      <c r="AO556" s="1">
        <f>VLOOKUP($C556,'Substrate Heating'!$A$2:$B$33,2,FALSE)</f>
        <v>8.1456827881222953</v>
      </c>
      <c r="AP556" s="1">
        <f>VLOOKUP($C556,'Substrate Heating'!$A$2:$M$33,13,FALSE)</f>
        <v>0.66666666666666663</v>
      </c>
      <c r="AQ556" s="1">
        <f>VLOOKUP($C556,'Substrate Heating'!$A$2:$M$33,8,FALSE)</f>
        <v>0.66666666666666663</v>
      </c>
      <c r="AR556" s="1">
        <f t="shared" si="8"/>
        <v>0.9</v>
      </c>
    </row>
    <row r="557" spans="1:44" x14ac:dyDescent="0.2">
      <c r="A557" s="8" t="s">
        <v>34</v>
      </c>
      <c r="B557" s="9" t="s">
        <v>35</v>
      </c>
      <c r="C557" s="1" t="s">
        <v>341</v>
      </c>
      <c r="D557" s="24" t="s">
        <v>342</v>
      </c>
      <c r="E557" s="1" t="s">
        <v>301</v>
      </c>
      <c r="F557" s="1" t="s">
        <v>302</v>
      </c>
      <c r="G557" s="1">
        <v>-10</v>
      </c>
      <c r="H557" s="1">
        <v>-20</v>
      </c>
      <c r="I557" s="1" t="s">
        <v>40</v>
      </c>
      <c r="J557" s="1">
        <v>3.15</v>
      </c>
      <c r="K557" s="1">
        <v>-10</v>
      </c>
      <c r="L557" s="1">
        <v>-3.2355371900826499</v>
      </c>
      <c r="M557" s="1" t="s">
        <v>40</v>
      </c>
      <c r="N557" s="1">
        <v>25.9413223140496</v>
      </c>
      <c r="O557" s="1">
        <v>11.3528925619835</v>
      </c>
      <c r="Q557" s="1">
        <v>1.1352892561983501</v>
      </c>
      <c r="R557" s="1">
        <v>0.27787811178409699</v>
      </c>
      <c r="S557" s="1" t="str">
        <f>VLOOKUP($E557,'Product Naming'!$A$1:$P$58,2,FALSE)</f>
        <v>Propane-PW1</v>
      </c>
      <c r="T557" s="1" t="str">
        <f>VLOOKUP($E557,'Product Naming'!$A$1:$P$58,3,FALSE)</f>
        <v>Propane (PW1)</v>
      </c>
      <c r="U557" s="1" t="str">
        <f>VLOOKUP($E557,'Product Naming'!$A$1:$P$58,4,FALSE)</f>
        <v>E</v>
      </c>
      <c r="V557" s="1" t="str">
        <f>VLOOKUP($E557,'Product Naming'!$A$1:$P$58,5,FALSE)</f>
        <v>C3H8</v>
      </c>
      <c r="W557" s="1">
        <f>VLOOKUP($E557,'Product Naming'!$A$1:$P$58,6,FALSE)</f>
        <v>3</v>
      </c>
      <c r="X557" s="1">
        <f>VLOOKUP($E557,'Product Naming'!$A$1:$P$58,7,FALSE)</f>
        <v>8</v>
      </c>
      <c r="Y557" s="1">
        <f>VLOOKUP($E557,'Product Naming'!$A$1:$P$58,8,FALSE)</f>
        <v>0</v>
      </c>
      <c r="Z557" s="1">
        <f>VLOOKUP($E557,'Product Naming'!$A$1:$P$58,9,FALSE)</f>
        <v>0</v>
      </c>
      <c r="AA557" s="1">
        <f>VLOOKUP($E557,'Product Naming'!$A$1:$P$58,10,FALSE)</f>
        <v>0</v>
      </c>
      <c r="AB557" s="29">
        <f>VLOOKUP($E557,'Product Naming'!$A$1:$P$58,11,FALSE)</f>
        <v>6.666666666666667</v>
      </c>
      <c r="AC557" s="3">
        <f>VLOOKUP($E557,'Product Naming'!$A$1:$P$58,12,FALSE)</f>
        <v>44.094819999999999</v>
      </c>
      <c r="AD557" s="1">
        <f>VLOOKUP($E557,'Product Naming'!$A$1:$P$58,13,FALSE)</f>
        <v>-42</v>
      </c>
      <c r="AE557" s="1" t="str">
        <f>VLOOKUP($E557,'Product Naming'!$A$1:$P$58,14,FALSE)</f>
        <v>Hydrocarbon</v>
      </c>
      <c r="AF557" s="1" t="str">
        <f>VLOOKUP($E557,'Product Naming'!$A$1:$P$58,15,FALSE)</f>
        <v>Acetyl-CoA</v>
      </c>
      <c r="AG557" s="30" t="str">
        <f>VLOOKUP($E557,'Product Naming'!$A$1:$P$58,16,FALSE)</f>
        <v>Diffusion</v>
      </c>
      <c r="AH557" s="3" t="str">
        <f>VLOOKUP($E557,'Product Naming'!$A$1:$Q$58,17,FALSE)</f>
        <v>prop_c</v>
      </c>
      <c r="AI557" s="1">
        <f>VLOOKUP($E557,'Product Parameters'!$A$2:$D$59,2,FALSE)</f>
        <v>0</v>
      </c>
      <c r="AJ557" s="1">
        <f>VLOOKUP($E557,'Product Parameters'!$A$2:$D$59,3,FALSE)</f>
        <v>1</v>
      </c>
      <c r="AK557" s="1">
        <f>VLOOKUP($E557,'Product Parameters'!$A$2:$D$59,4,FALSE)</f>
        <v>0.12</v>
      </c>
      <c r="AL557" s="1">
        <f>VLOOKUP($E557,'Product Parameters'!$A$2:$E$59,5,FALSE)</f>
        <v>0</v>
      </c>
      <c r="AM557" s="1">
        <f>VLOOKUP($E557,'Product Parameters'!$A$2:$F$59,6,FALSE)</f>
        <v>3</v>
      </c>
      <c r="AN557" s="1">
        <f>VLOOKUP($C557,'Substrate Heating'!$A$2:$C$33,3,FALSE)</f>
        <v>2828.4492</v>
      </c>
      <c r="AO557" s="1">
        <f>VLOOKUP($C557,'Substrate Heating'!$A$2:$B$33,2,FALSE)</f>
        <v>15.7</v>
      </c>
      <c r="AP557" s="1">
        <f>VLOOKUP($C557,'Substrate Heating'!$A$2:$M$33,13,FALSE)</f>
        <v>4</v>
      </c>
      <c r="AQ557" s="1">
        <f>VLOOKUP($C557,'Substrate Heating'!$A$2:$M$33,8,FALSE)</f>
        <v>6</v>
      </c>
      <c r="AR557" s="1">
        <f t="shared" si="8"/>
        <v>0.56764462809917504</v>
      </c>
    </row>
    <row r="558" spans="1:44" x14ac:dyDescent="0.2">
      <c r="A558" s="17" t="s">
        <v>323</v>
      </c>
      <c r="B558" s="18" t="s">
        <v>324</v>
      </c>
      <c r="C558" t="s">
        <v>335</v>
      </c>
      <c r="D558" s="19" t="s">
        <v>326</v>
      </c>
      <c r="E558" t="s">
        <v>251</v>
      </c>
      <c r="F558" t="s">
        <v>252</v>
      </c>
      <c r="G558">
        <v>-10</v>
      </c>
      <c r="H558">
        <v>0</v>
      </c>
      <c r="I558">
        <v>-10</v>
      </c>
      <c r="J558">
        <v>0.45</v>
      </c>
      <c r="K558">
        <v>-10</v>
      </c>
      <c r="L558">
        <v>0</v>
      </c>
      <c r="M558">
        <v>-10</v>
      </c>
      <c r="N558">
        <v>3.3333333333333299</v>
      </c>
      <c r="O558">
        <v>2.2222222222222201</v>
      </c>
      <c r="P558"/>
      <c r="Q558">
        <v>0.22222222222222199</v>
      </c>
      <c r="R558">
        <v>0.27792494052442102</v>
      </c>
      <c r="S558" s="1" t="str">
        <f>VLOOKUP($E558,'Product Naming'!$A$1:$P$58,2,FALSE)</f>
        <v>Isopropanol</v>
      </c>
      <c r="T558" s="1" t="str">
        <f>VLOOKUP($E558,'Product Naming'!$A$1:$P$58,3,FALSE)</f>
        <v>Isopropanol</v>
      </c>
      <c r="U558" s="1" t="str">
        <f>VLOOKUP($E558,'Product Naming'!$A$1:$P$58,4,FALSE)</f>
        <v>A</v>
      </c>
      <c r="V558" s="1" t="str">
        <f>VLOOKUP($E558,'Product Naming'!$A$1:$P$58,5,FALSE)</f>
        <v>C3H8O</v>
      </c>
      <c r="W558" s="1">
        <f>VLOOKUP($E558,'Product Naming'!$A$1:$P$58,6,FALSE)</f>
        <v>3</v>
      </c>
      <c r="X558" s="1">
        <f>VLOOKUP($E558,'Product Naming'!$A$1:$P$58,7,FALSE)</f>
        <v>8</v>
      </c>
      <c r="Y558" s="1">
        <f>VLOOKUP($E558,'Product Naming'!$A$1:$P$58,8,FALSE)</f>
        <v>1</v>
      </c>
      <c r="Z558" s="1">
        <f>VLOOKUP($E558,'Product Naming'!$A$1:$P$58,9,FALSE)</f>
        <v>0</v>
      </c>
      <c r="AA558" s="1">
        <f>VLOOKUP($E558,'Product Naming'!$A$1:$P$58,10,FALSE)</f>
        <v>0</v>
      </c>
      <c r="AB558" s="29">
        <f>VLOOKUP($E558,'Product Naming'!$A$1:$P$58,11,FALSE)</f>
        <v>6</v>
      </c>
      <c r="AC558" s="3">
        <f>VLOOKUP($E558,'Product Naming'!$A$1:$P$58,12,FALSE)</f>
        <v>60.093820000000001</v>
      </c>
      <c r="AD558" s="1">
        <f>VLOOKUP($E558,'Product Naming'!$A$1:$P$58,13,FALSE)</f>
        <v>82.5</v>
      </c>
      <c r="AE558" s="1" t="str">
        <f>VLOOKUP($E558,'Product Naming'!$A$1:$P$58,14,FALSE)</f>
        <v>Alcohol</v>
      </c>
      <c r="AF558" s="1" t="str">
        <f>VLOOKUP($E558,'Product Naming'!$A$1:$P$58,15,FALSE)</f>
        <v>Acetyl-CoA</v>
      </c>
      <c r="AG558" s="30" t="str">
        <f>VLOOKUP($E558,'Product Naming'!$A$1:$P$58,16,FALSE)</f>
        <v>Proton symporter</v>
      </c>
      <c r="AH558" s="3" t="str">
        <f>VLOOKUP($E558,'Product Naming'!$A$1:$Q$58,17,FALSE)</f>
        <v>2ppoh_c</v>
      </c>
      <c r="AI558" s="1">
        <f>VLOOKUP($E558,'Product Parameters'!$A$2:$D$59,2,FALSE)</f>
        <v>1</v>
      </c>
      <c r="AJ558" s="1">
        <f>VLOOKUP($E558,'Product Parameters'!$A$2:$D$59,3,FALSE)</f>
        <v>0</v>
      </c>
      <c r="AK558" s="1">
        <f>VLOOKUP($E558,'Product Parameters'!$A$2:$D$59,4,FALSE)</f>
        <v>0.12</v>
      </c>
      <c r="AL558" s="1">
        <f>VLOOKUP($E558,'Product Parameters'!$A$2:$E$59,5,FALSE)</f>
        <v>45</v>
      </c>
      <c r="AM558" s="1">
        <f>VLOOKUP($E558,'Product Parameters'!$A$2:$F$59,6,FALSE)</f>
        <v>3</v>
      </c>
      <c r="AN558" s="1">
        <f>VLOOKUP($C558,'Substrate Heating'!$A$2:$C$33,3,FALSE)</f>
        <v>247.9</v>
      </c>
      <c r="AO558" s="1">
        <f>VLOOKUP($C558,'Substrate Heating'!$A$2:$B$33,2,FALSE)</f>
        <v>10.541709491918519</v>
      </c>
      <c r="AP558" s="1">
        <f>VLOOKUP($C558,'Substrate Heating'!$A$2:$M$33,13,FALSE)</f>
        <v>0.5</v>
      </c>
      <c r="AQ558" s="1">
        <f>VLOOKUP($C558,'Substrate Heating'!$A$2:$M$33,8,FALSE)</f>
        <v>0.5</v>
      </c>
      <c r="AR558" s="1">
        <f t="shared" si="8"/>
        <v>1.3333333333333319</v>
      </c>
    </row>
    <row r="559" spans="1:44" x14ac:dyDescent="0.2">
      <c r="A559" s="8" t="s">
        <v>34</v>
      </c>
      <c r="B559" s="9" t="s">
        <v>35</v>
      </c>
      <c r="C559" s="1" t="s">
        <v>322</v>
      </c>
      <c r="D559" s="10" t="s">
        <v>37</v>
      </c>
      <c r="E559" s="1" t="s">
        <v>103</v>
      </c>
      <c r="F559" s="1" t="s">
        <v>104</v>
      </c>
      <c r="G559" s="1">
        <v>-10</v>
      </c>
      <c r="H559" s="1">
        <v>-20</v>
      </c>
      <c r="I559" s="1" t="s">
        <v>40</v>
      </c>
      <c r="J559" s="1">
        <v>3.15</v>
      </c>
      <c r="K559" s="1">
        <v>-10</v>
      </c>
      <c r="L559" s="1">
        <v>-5.5212500000000002</v>
      </c>
      <c r="M559" s="1" t="s">
        <v>40</v>
      </c>
      <c r="N559" s="1">
        <v>10.3475</v>
      </c>
      <c r="O559" s="1">
        <v>1.6087499999999999</v>
      </c>
      <c r="Q559" s="1">
        <v>0.16087499999999999</v>
      </c>
      <c r="R559" s="1">
        <v>0.27839197214500999</v>
      </c>
      <c r="S559" s="1" t="str">
        <f>VLOOKUP($E559,'Product Naming'!$A$1:$P$58,2,FALSE)</f>
        <v>3-Methyl-1-Pentanol</v>
      </c>
      <c r="T559" s="1" t="str">
        <f>VLOOKUP($E559,'Product Naming'!$A$1:$P$58,3,FALSE)</f>
        <v>3-Methyl-1-pentanol</v>
      </c>
      <c r="U559" s="1" t="str">
        <f>VLOOKUP($E559,'Product Naming'!$A$1:$P$58,4,FALSE)</f>
        <v>A</v>
      </c>
      <c r="V559" s="1" t="str">
        <f>VLOOKUP($E559,'Product Naming'!$A$1:$P$58,5,FALSE)</f>
        <v>C6H14O</v>
      </c>
      <c r="W559" s="1">
        <f>VLOOKUP($E559,'Product Naming'!$A$1:$P$58,6,FALSE)</f>
        <v>6</v>
      </c>
      <c r="X559" s="1">
        <f>VLOOKUP($E559,'Product Naming'!$A$1:$P$58,7,FALSE)</f>
        <v>14</v>
      </c>
      <c r="Y559" s="1">
        <f>VLOOKUP($E559,'Product Naming'!$A$1:$P$58,8,FALSE)</f>
        <v>1</v>
      </c>
      <c r="Z559" s="1">
        <f>VLOOKUP($E559,'Product Naming'!$A$1:$P$58,9,FALSE)</f>
        <v>0</v>
      </c>
      <c r="AA559" s="1">
        <f>VLOOKUP($E559,'Product Naming'!$A$1:$P$58,10,FALSE)</f>
        <v>0</v>
      </c>
      <c r="AB559" s="29">
        <f>VLOOKUP($E559,'Product Naming'!$A$1:$P$58,11,FALSE)</f>
        <v>6</v>
      </c>
      <c r="AC559" s="3">
        <f>VLOOKUP($E559,'Product Naming'!$A$1:$P$58,12,FALSE)</f>
        <v>102.17295999999999</v>
      </c>
      <c r="AD559" s="1">
        <f>VLOOKUP($E559,'Product Naming'!$A$1:$P$58,13,FALSE)</f>
        <v>153</v>
      </c>
      <c r="AE559" s="1" t="str">
        <f>VLOOKUP($E559,'Product Naming'!$A$1:$P$58,14,FALSE)</f>
        <v>Alcohol</v>
      </c>
      <c r="AF559" s="1" t="str">
        <f>VLOOKUP($E559,'Product Naming'!$A$1:$P$58,15,FALSE)</f>
        <v>Oxaloacetate</v>
      </c>
      <c r="AG559" s="30" t="str">
        <f>VLOOKUP($E559,'Product Naming'!$A$1:$P$58,16,FALSE)</f>
        <v>Proton symporter</v>
      </c>
      <c r="AH559" s="3" t="str">
        <f>VLOOKUP($E559,'Product Naming'!$A$1:$Q$58,17,FALSE)</f>
        <v>3mptoh_c</v>
      </c>
      <c r="AI559" s="1">
        <f>VLOOKUP($E559,'Product Parameters'!$A$2:$D$59,2,FALSE)</f>
        <v>1</v>
      </c>
      <c r="AJ559" s="1">
        <f>VLOOKUP($E559,'Product Parameters'!$A$2:$D$59,3,FALSE)</f>
        <v>0</v>
      </c>
      <c r="AK559" s="1">
        <f>VLOOKUP($E559,'Product Parameters'!$A$2:$D$59,4,FALSE)</f>
        <v>0.12</v>
      </c>
      <c r="AL559" s="1">
        <f>VLOOKUP($E559,'Product Parameters'!$A$2:$E$59,5,FALSE)</f>
        <v>61.7</v>
      </c>
      <c r="AM559" s="1">
        <f>VLOOKUP($E559,'Product Parameters'!$A$2:$F$59,6,FALSE)</f>
        <v>6</v>
      </c>
      <c r="AN559" s="1">
        <f>VLOOKUP($C559,'Substrate Heating'!$A$2:$C$33,3,FALSE)</f>
        <v>876.74109599999997</v>
      </c>
      <c r="AO559" s="1">
        <f>VLOOKUP($C559,'Substrate Heating'!$A$2:$B$33,2,FALSE)</f>
        <v>14.6</v>
      </c>
      <c r="AP559" s="1">
        <f>VLOOKUP($C559,'Substrate Heating'!$A$2:$M$33,13,FALSE)</f>
        <v>3.5</v>
      </c>
      <c r="AQ559" s="1">
        <f>VLOOKUP($C559,'Substrate Heating'!$A$2:$M$33,8,FALSE)</f>
        <v>2</v>
      </c>
      <c r="AR559" s="1">
        <f t="shared" si="8"/>
        <v>0.48262499999999997</v>
      </c>
    </row>
    <row r="560" spans="1:44" x14ac:dyDescent="0.2">
      <c r="A560" s="17" t="s">
        <v>231</v>
      </c>
      <c r="B560" s="9" t="s">
        <v>35</v>
      </c>
      <c r="C560" t="s">
        <v>330</v>
      </c>
      <c r="D560" s="10" t="s">
        <v>37</v>
      </c>
      <c r="E560" t="s">
        <v>279</v>
      </c>
      <c r="F560" t="s">
        <v>280</v>
      </c>
      <c r="G560">
        <v>-10</v>
      </c>
      <c r="H560">
        <v>-20</v>
      </c>
      <c r="I560" s="1" t="s">
        <v>40</v>
      </c>
      <c r="J560">
        <v>3.15</v>
      </c>
      <c r="K560">
        <v>-10</v>
      </c>
      <c r="L560">
        <v>-6.0044444444444496</v>
      </c>
      <c r="M560" s="1" t="s">
        <v>40</v>
      </c>
      <c r="N560">
        <v>7.78857142857143</v>
      </c>
      <c r="O560">
        <v>1.3568253968253901</v>
      </c>
      <c r="P560"/>
      <c r="Q560">
        <v>0.13568253968253899</v>
      </c>
      <c r="R560">
        <v>0.28037241293451298</v>
      </c>
      <c r="S560" s="1" t="str">
        <f>VLOOKUP($E560,'Product Naming'!$A$1:$P$58,2,FALSE)</f>
        <v>Nonane</v>
      </c>
      <c r="T560" s="1" t="str">
        <f>VLOOKUP($E560,'Product Naming'!$A$1:$P$58,3,FALSE)</f>
        <v>Nonane</v>
      </c>
      <c r="U560" s="1" t="str">
        <f>VLOOKUP($E560,'Product Naming'!$A$1:$P$58,4,FALSE)</f>
        <v>E</v>
      </c>
      <c r="V560" s="1" t="str">
        <f>VLOOKUP($E560,'Product Naming'!$A$1:$P$58,5,FALSE)</f>
        <v>C9H20</v>
      </c>
      <c r="W560" s="1">
        <f>VLOOKUP($E560,'Product Naming'!$A$1:$P$58,6,FALSE)</f>
        <v>9</v>
      </c>
      <c r="X560" s="1">
        <f>VLOOKUP($E560,'Product Naming'!$A$1:$P$58,7,FALSE)</f>
        <v>20</v>
      </c>
      <c r="Y560" s="1">
        <f>VLOOKUP($E560,'Product Naming'!$A$1:$P$58,8,FALSE)</f>
        <v>0</v>
      </c>
      <c r="Z560" s="1">
        <f>VLOOKUP($E560,'Product Naming'!$A$1:$P$58,9,FALSE)</f>
        <v>0</v>
      </c>
      <c r="AA560" s="1">
        <f>VLOOKUP($E560,'Product Naming'!$A$1:$P$58,10,FALSE)</f>
        <v>0</v>
      </c>
      <c r="AB560" s="29">
        <f>VLOOKUP($E560,'Product Naming'!$A$1:$P$58,11,FALSE)</f>
        <v>6.2222222222222223</v>
      </c>
      <c r="AC560" s="3">
        <f>VLOOKUP($E560,'Product Naming'!$A$1:$P$58,12,FALSE)</f>
        <v>128.25309999999999</v>
      </c>
      <c r="AD560" s="1">
        <f>VLOOKUP($E560,'Product Naming'!$A$1:$P$58,13,FALSE)</f>
        <v>151</v>
      </c>
      <c r="AE560" s="1" t="str">
        <f>VLOOKUP($E560,'Product Naming'!$A$1:$P$58,14,FALSE)</f>
        <v>Hydrocarbon (alkane)</v>
      </c>
      <c r="AF560" s="1" t="str">
        <f>VLOOKUP($E560,'Product Naming'!$A$1:$P$58,15,FALSE)</f>
        <v>Acetyl-CoA</v>
      </c>
      <c r="AG560" s="30" t="str">
        <f>VLOOKUP($E560,'Product Naming'!$A$1:$P$58,16,FALSE)</f>
        <v>Proton symporter</v>
      </c>
      <c r="AH560" s="3" t="str">
        <f>VLOOKUP($E560,'Product Naming'!$A$1:$Q$58,17,FALSE)</f>
        <v>nonan_c</v>
      </c>
      <c r="AI560" s="1">
        <f>VLOOKUP($E560,'Product Parameters'!$A$2:$D$59,2,FALSE)</f>
        <v>1</v>
      </c>
      <c r="AJ560" s="1">
        <f>VLOOKUP($E560,'Product Parameters'!$A$2:$D$59,3,FALSE)</f>
        <v>0</v>
      </c>
      <c r="AK560" s="1">
        <f>VLOOKUP($E560,'Product Parameters'!$A$2:$D$59,4,FALSE)</f>
        <v>0.12</v>
      </c>
      <c r="AL560" s="1">
        <f>VLOOKUP($E560,'Product Parameters'!$A$2:$E$59,5,FALSE)</f>
        <v>46.5</v>
      </c>
      <c r="AM560" s="1">
        <f>VLOOKUP($E560,'Product Parameters'!$A$2:$F$59,6,FALSE)</f>
        <v>9</v>
      </c>
      <c r="AN560" s="1">
        <f>VLOOKUP($C560,'Substrate Heating'!$A$2:$C$33,3,FALSE)</f>
        <v>1055.1294800000001</v>
      </c>
      <c r="AO560" s="1">
        <f>VLOOKUP($C560,'Substrate Heating'!$A$2:$B$33,2,FALSE)</f>
        <v>17</v>
      </c>
      <c r="AP560" s="1">
        <f>VLOOKUP($C560,'Substrate Heating'!$A$2:$M$33,13,FALSE)</f>
        <v>5</v>
      </c>
      <c r="AQ560" s="1">
        <f>VLOOKUP($C560,'Substrate Heating'!$A$2:$M$33,8,FALSE)</f>
        <v>2</v>
      </c>
      <c r="AR560" s="1">
        <f t="shared" si="8"/>
        <v>0.61057142857142543</v>
      </c>
    </row>
    <row r="561" spans="1:44" x14ac:dyDescent="0.2">
      <c r="A561" s="17" t="s">
        <v>323</v>
      </c>
      <c r="B561" s="18" t="s">
        <v>324</v>
      </c>
      <c r="C561" t="s">
        <v>334</v>
      </c>
      <c r="D561" s="19" t="s">
        <v>326</v>
      </c>
      <c r="E561" t="s">
        <v>198</v>
      </c>
      <c r="F561" t="s">
        <v>199</v>
      </c>
      <c r="G561">
        <v>-10</v>
      </c>
      <c r="H561">
        <v>0</v>
      </c>
      <c r="I561">
        <v>-5</v>
      </c>
      <c r="J561">
        <v>0.45</v>
      </c>
      <c r="K561">
        <v>-10</v>
      </c>
      <c r="L561">
        <v>0</v>
      </c>
      <c r="M561">
        <v>-5</v>
      </c>
      <c r="N561">
        <v>4</v>
      </c>
      <c r="O561">
        <v>1.5</v>
      </c>
      <c r="P561"/>
      <c r="Q561">
        <v>0.15</v>
      </c>
      <c r="R561">
        <v>0.28094473592462499</v>
      </c>
      <c r="S561" s="1" t="str">
        <f>VLOOKUP($E561,'Product Naming'!$A$1:$P$58,2,FALSE)</f>
        <v>EthylAcetate</v>
      </c>
      <c r="T561" s="1" t="str">
        <f>VLOOKUP($E561,'Product Naming'!$A$1:$P$58,3,FALSE)</f>
        <v>Ethyl acetate</v>
      </c>
      <c r="U561" s="1" t="str">
        <f>VLOOKUP($E561,'Product Naming'!$A$1:$P$58,4,FALSE)</f>
        <v>E</v>
      </c>
      <c r="V561" s="1" t="str">
        <f>VLOOKUP($E561,'Product Naming'!$A$1:$P$58,5,FALSE)</f>
        <v>C4H8O2</v>
      </c>
      <c r="W561" s="1">
        <f>VLOOKUP($E561,'Product Naming'!$A$1:$P$58,6,FALSE)</f>
        <v>4</v>
      </c>
      <c r="X561" s="1">
        <f>VLOOKUP($E561,'Product Naming'!$A$1:$P$58,7,FALSE)</f>
        <v>8</v>
      </c>
      <c r="Y561" s="1">
        <f>VLOOKUP($E561,'Product Naming'!$A$1:$P$58,8,FALSE)</f>
        <v>2</v>
      </c>
      <c r="Z561" s="1">
        <f>VLOOKUP($E561,'Product Naming'!$A$1:$P$58,9,FALSE)</f>
        <v>0</v>
      </c>
      <c r="AA561" s="1">
        <f>VLOOKUP($E561,'Product Naming'!$A$1:$P$58,10,FALSE)</f>
        <v>0</v>
      </c>
      <c r="AB561" s="29">
        <f>VLOOKUP($E561,'Product Naming'!$A$1:$P$58,11,FALSE)</f>
        <v>5</v>
      </c>
      <c r="AC561" s="3">
        <f>VLOOKUP($E561,'Product Naming'!$A$1:$P$58,12,FALSE)</f>
        <v>88.103520000000003</v>
      </c>
      <c r="AD561" s="1">
        <f>VLOOKUP($E561,'Product Naming'!$A$1:$P$58,13,FALSE)</f>
        <v>77.099999999999994</v>
      </c>
      <c r="AE561" s="1" t="str">
        <f>VLOOKUP($E561,'Product Naming'!$A$1:$P$58,14,FALSE)</f>
        <v>Carboxylate Ester</v>
      </c>
      <c r="AF561" s="1" t="str">
        <f>VLOOKUP($E561,'Product Naming'!$A$1:$P$58,15,FALSE)</f>
        <v>Acetyl-CoA</v>
      </c>
      <c r="AG561" s="30" t="str">
        <f>VLOOKUP($E561,'Product Naming'!$A$1:$P$58,16,FALSE)</f>
        <v>Proton symporter</v>
      </c>
      <c r="AH561" s="3" t="str">
        <f>VLOOKUP($E561,'Product Naming'!$A$1:$Q$58,17,FALSE)</f>
        <v>aces_c</v>
      </c>
      <c r="AI561" s="1">
        <f>VLOOKUP($E561,'Product Parameters'!$A$2:$D$59,2,FALSE)</f>
        <v>1</v>
      </c>
      <c r="AJ561" s="1">
        <f>VLOOKUP($E561,'Product Parameters'!$A$2:$D$59,3,FALSE)</f>
        <v>0</v>
      </c>
      <c r="AK561" s="1">
        <f>VLOOKUP($E561,'Product Parameters'!$A$2:$D$59,4,FALSE)</f>
        <v>0.12</v>
      </c>
      <c r="AL561" s="1">
        <f>VLOOKUP($E561,'Product Parameters'!$A$2:$E$59,5,FALSE)</f>
        <v>35</v>
      </c>
      <c r="AM561" s="1">
        <f>VLOOKUP($E561,'Product Parameters'!$A$2:$F$59,6,FALSE)</f>
        <v>4</v>
      </c>
      <c r="AN561" s="1">
        <f>VLOOKUP($C561,'Substrate Heating'!$A$2:$C$33,3,FALSE)</f>
        <v>249.93333333333334</v>
      </c>
      <c r="AO561" s="1">
        <f>VLOOKUP($C561,'Substrate Heating'!$A$2:$B$33,2,FALSE)</f>
        <v>8.1456827881222953</v>
      </c>
      <c r="AP561" s="1">
        <f>VLOOKUP($C561,'Substrate Heating'!$A$2:$M$33,13,FALSE)</f>
        <v>0.66666666666666663</v>
      </c>
      <c r="AQ561" s="1">
        <f>VLOOKUP($C561,'Substrate Heating'!$A$2:$M$33,8,FALSE)</f>
        <v>0.66666666666666663</v>
      </c>
      <c r="AR561" s="1">
        <f t="shared" si="8"/>
        <v>0.9</v>
      </c>
    </row>
    <row r="562" spans="1:44" x14ac:dyDescent="0.2">
      <c r="A562" s="8" t="s">
        <v>34</v>
      </c>
      <c r="B562" s="9" t="s">
        <v>35</v>
      </c>
      <c r="C562" s="1" t="s">
        <v>349</v>
      </c>
      <c r="D562" s="25" t="s">
        <v>342</v>
      </c>
      <c r="E562" s="1" t="s">
        <v>158</v>
      </c>
      <c r="F562" s="1" t="s">
        <v>159</v>
      </c>
      <c r="G562" s="1">
        <v>-10</v>
      </c>
      <c r="H562" s="1">
        <v>-20</v>
      </c>
      <c r="I562" s="1" t="s">
        <v>40</v>
      </c>
      <c r="J562" s="1">
        <v>3.15</v>
      </c>
      <c r="K562" s="1">
        <v>-10</v>
      </c>
      <c r="L562" s="1">
        <v>-2.7747663551401902</v>
      </c>
      <c r="M562" s="1" t="s">
        <v>40</v>
      </c>
      <c r="N562" s="1">
        <v>20.938317757009401</v>
      </c>
      <c r="O562" s="1">
        <v>7.2654205607476703</v>
      </c>
      <c r="Q562" s="1">
        <v>0.72654205607476696</v>
      </c>
      <c r="R562" s="1">
        <v>0.2812728711752</v>
      </c>
      <c r="S562" s="1" t="str">
        <f>VLOOKUP($E562,'Product Naming'!$A$1:$P$58,2,FALSE)</f>
        <v>Butane</v>
      </c>
      <c r="T562" s="1" t="str">
        <f>VLOOKUP($E562,'Product Naming'!$A$1:$P$58,3,FALSE)</f>
        <v>Butane</v>
      </c>
      <c r="U562" s="1" t="str">
        <f>VLOOKUP($E562,'Product Naming'!$A$1:$P$58,4,FALSE)</f>
        <v>E</v>
      </c>
      <c r="V562" s="1" t="str">
        <f>VLOOKUP($E562,'Product Naming'!$A$1:$P$58,5,FALSE)</f>
        <v>C4H10</v>
      </c>
      <c r="W562" s="1">
        <f>VLOOKUP($E562,'Product Naming'!$A$1:$P$58,6,FALSE)</f>
        <v>4</v>
      </c>
      <c r="X562" s="1">
        <f>VLOOKUP($E562,'Product Naming'!$A$1:$P$58,7,FALSE)</f>
        <v>10</v>
      </c>
      <c r="Y562" s="1">
        <f>VLOOKUP($E562,'Product Naming'!$A$1:$P$58,8,FALSE)</f>
        <v>0</v>
      </c>
      <c r="Z562" s="1">
        <f>VLOOKUP($E562,'Product Naming'!$A$1:$P$58,9,FALSE)</f>
        <v>0</v>
      </c>
      <c r="AA562" s="1">
        <f>VLOOKUP($E562,'Product Naming'!$A$1:$P$58,10,FALSE)</f>
        <v>0</v>
      </c>
      <c r="AB562" s="29">
        <f>VLOOKUP($E562,'Product Naming'!$A$1:$P$58,11,FALSE)</f>
        <v>6.5</v>
      </c>
      <c r="AC562" s="3">
        <f>VLOOKUP($E562,'Product Naming'!$A$1:$P$58,12,FALSE)</f>
        <v>58.121200000000002</v>
      </c>
      <c r="AD562" s="1">
        <f>VLOOKUP($E562,'Product Naming'!$A$1:$P$58,13,FALSE)</f>
        <v>-1</v>
      </c>
      <c r="AE562" s="1" t="str">
        <f>VLOOKUP($E562,'Product Naming'!$A$1:$P$58,14,FALSE)</f>
        <v>Hydrocarbon (alkane)</v>
      </c>
      <c r="AF562" s="1" t="str">
        <f>VLOOKUP($E562,'Product Naming'!$A$1:$P$58,15,FALSE)</f>
        <v>Acetyl-CoA + Succinyl-CoA</v>
      </c>
      <c r="AG562" s="30" t="str">
        <f>VLOOKUP($E562,'Product Naming'!$A$1:$P$58,16,FALSE)</f>
        <v>Diffusion</v>
      </c>
      <c r="AH562" s="3" t="str">
        <f>VLOOKUP($E562,'Product Naming'!$A$1:$Q$58,17,FALSE)</f>
        <v>butn_c</v>
      </c>
      <c r="AI562" s="1">
        <f>VLOOKUP($E562,'Product Parameters'!$A$2:$D$59,2,FALSE)</f>
        <v>0</v>
      </c>
      <c r="AJ562" s="1">
        <f>VLOOKUP($E562,'Product Parameters'!$A$2:$D$59,3,FALSE)</f>
        <v>1</v>
      </c>
      <c r="AK562" s="1">
        <f>VLOOKUP($E562,'Product Parameters'!$A$2:$D$59,4,FALSE)</f>
        <v>0.12</v>
      </c>
      <c r="AL562" s="1">
        <f>VLOOKUP($E562,'Product Parameters'!$A$2:$E$59,5,FALSE)</f>
        <v>0</v>
      </c>
      <c r="AM562" s="1">
        <f>VLOOKUP($E562,'Product Parameters'!$A$2:$F$59,6,FALSE)</f>
        <v>4</v>
      </c>
      <c r="AN562" s="1">
        <f>VLOOKUP($C562,'Substrate Heating'!$A$2:$C$33,3,FALSE)</f>
        <v>2342.0279999999998</v>
      </c>
      <c r="AO562" s="1">
        <f>VLOOKUP($C562,'Substrate Heating'!$A$2:$B$33,2,FALSE)</f>
        <v>15.6</v>
      </c>
      <c r="AP562" s="1">
        <f>VLOOKUP($C562,'Substrate Heating'!$A$2:$M$33,13,FALSE)</f>
        <v>4</v>
      </c>
      <c r="AQ562" s="1">
        <f>VLOOKUP($C562,'Substrate Heating'!$A$2:$M$33,8,FALSE)</f>
        <v>5</v>
      </c>
      <c r="AR562" s="1">
        <f t="shared" si="8"/>
        <v>0.58123364485981355</v>
      </c>
    </row>
    <row r="563" spans="1:44" x14ac:dyDescent="0.2">
      <c r="A563" s="17" t="s">
        <v>323</v>
      </c>
      <c r="B563" s="18" t="s">
        <v>324</v>
      </c>
      <c r="C563" t="s">
        <v>328</v>
      </c>
      <c r="D563" s="19" t="s">
        <v>326</v>
      </c>
      <c r="E563" t="s">
        <v>306</v>
      </c>
      <c r="F563" t="s">
        <v>302</v>
      </c>
      <c r="G563">
        <v>-10</v>
      </c>
      <c r="H563">
        <v>0</v>
      </c>
      <c r="I563">
        <v>-10</v>
      </c>
      <c r="J563">
        <v>0.45</v>
      </c>
      <c r="K563">
        <v>-10</v>
      </c>
      <c r="L563">
        <v>0</v>
      </c>
      <c r="M563">
        <v>-10</v>
      </c>
      <c r="N563">
        <v>3.8315789473684201</v>
      </c>
      <c r="O563">
        <v>1.91578947368421</v>
      </c>
      <c r="P563"/>
      <c r="Q563">
        <v>0.19157894736842099</v>
      </c>
      <c r="R563">
        <v>0.28130666666666598</v>
      </c>
      <c r="S563" s="1" t="str">
        <f>VLOOKUP($E563,'Product Naming'!$A$1:$P$58,2,FALSE)</f>
        <v>Propane-PW2</v>
      </c>
      <c r="T563" s="1" t="str">
        <f>VLOOKUP($E563,'Product Naming'!$A$1:$P$58,3,FALSE)</f>
        <v>Propane (PW2)</v>
      </c>
      <c r="U563" s="1" t="str">
        <f>VLOOKUP($E563,'Product Naming'!$A$1:$P$58,4,FALSE)</f>
        <v>E</v>
      </c>
      <c r="V563" s="1" t="str">
        <f>VLOOKUP($E563,'Product Naming'!$A$1:$P$58,5,FALSE)</f>
        <v>C3H8</v>
      </c>
      <c r="W563" s="1">
        <f>VLOOKUP($E563,'Product Naming'!$A$1:$P$58,6,FALSE)</f>
        <v>3</v>
      </c>
      <c r="X563" s="1">
        <f>VLOOKUP($E563,'Product Naming'!$A$1:$P$58,7,FALSE)</f>
        <v>8</v>
      </c>
      <c r="Y563" s="1">
        <f>VLOOKUP($E563,'Product Naming'!$A$1:$P$58,8,FALSE)</f>
        <v>0</v>
      </c>
      <c r="Z563" s="1">
        <f>VLOOKUP($E563,'Product Naming'!$A$1:$P$58,9,FALSE)</f>
        <v>0</v>
      </c>
      <c r="AA563" s="1">
        <f>VLOOKUP($E563,'Product Naming'!$A$1:$P$58,10,FALSE)</f>
        <v>0</v>
      </c>
      <c r="AB563" s="29">
        <f>VLOOKUP($E563,'Product Naming'!$A$1:$P$58,11,FALSE)</f>
        <v>6.666666666666667</v>
      </c>
      <c r="AC563" s="3">
        <f>VLOOKUP($E563,'Product Naming'!$A$1:$P$58,12,FALSE)</f>
        <v>44.094819999999999</v>
      </c>
      <c r="AD563" s="1">
        <f>VLOOKUP($E563,'Product Naming'!$A$1:$P$58,13,FALSE)</f>
        <v>-42</v>
      </c>
      <c r="AE563" s="1" t="str">
        <f>VLOOKUP($E563,'Product Naming'!$A$1:$P$58,14,FALSE)</f>
        <v>Hydrocarbon</v>
      </c>
      <c r="AF563" s="1" t="str">
        <f>VLOOKUP($E563,'Product Naming'!$A$1:$P$58,15,FALSE)</f>
        <v>Oxaloacetate</v>
      </c>
      <c r="AG563" s="30" t="str">
        <f>VLOOKUP($E563,'Product Naming'!$A$1:$P$58,16,FALSE)</f>
        <v>Diffusion</v>
      </c>
      <c r="AH563" s="3" t="str">
        <f>VLOOKUP($E563,'Product Naming'!$A$1:$Q$58,17,FALSE)</f>
        <v>prop_c</v>
      </c>
      <c r="AI563" s="1">
        <f>VLOOKUP($E563,'Product Parameters'!$A$2:$D$59,2,FALSE)</f>
        <v>0</v>
      </c>
      <c r="AJ563" s="1">
        <f>VLOOKUP($E563,'Product Parameters'!$A$2:$D$59,3,FALSE)</f>
        <v>1</v>
      </c>
      <c r="AK563" s="1">
        <f>VLOOKUP($E563,'Product Parameters'!$A$2:$D$59,4,FALSE)</f>
        <v>0.12</v>
      </c>
      <c r="AL563" s="1">
        <f>VLOOKUP($E563,'Product Parameters'!$A$2:$E$59,5,FALSE)</f>
        <v>0</v>
      </c>
      <c r="AM563" s="1">
        <f>VLOOKUP($E563,'Product Parameters'!$A$2:$F$59,6,FALSE)</f>
        <v>3</v>
      </c>
      <c r="AN563" s="1">
        <f>VLOOKUP($C563,'Substrate Heating'!$A$2:$C$33,3,FALSE)</f>
        <v>262.39999999999998</v>
      </c>
      <c r="AO563" s="1">
        <f>VLOOKUP($C563,'Substrate Heating'!$A$2:$B$33,2,FALSE)</f>
        <v>17.478546483008707</v>
      </c>
      <c r="AP563" s="1">
        <f>VLOOKUP($C563,'Substrate Heating'!$A$2:$M$33,13,FALSE)</f>
        <v>1</v>
      </c>
      <c r="AQ563" s="1">
        <f>VLOOKUP($C563,'Substrate Heating'!$A$2:$M$33,8,FALSE)</f>
        <v>0.5</v>
      </c>
      <c r="AR563" s="1">
        <f t="shared" si="8"/>
        <v>1.149473684210526</v>
      </c>
    </row>
    <row r="564" spans="1:44" x14ac:dyDescent="0.2">
      <c r="A564" s="8" t="s">
        <v>34</v>
      </c>
      <c r="B564" s="9" t="s">
        <v>35</v>
      </c>
      <c r="C564" s="1" t="s">
        <v>330</v>
      </c>
      <c r="D564" s="10" t="s">
        <v>37</v>
      </c>
      <c r="E564" s="1" t="s">
        <v>151</v>
      </c>
      <c r="F564" s="1" t="s">
        <v>152</v>
      </c>
      <c r="G564" s="1">
        <v>-10</v>
      </c>
      <c r="H564" s="1">
        <v>-20</v>
      </c>
      <c r="I564" s="1" t="s">
        <v>40</v>
      </c>
      <c r="J564" s="1">
        <v>3.15</v>
      </c>
      <c r="K564" s="1">
        <v>-10</v>
      </c>
      <c r="L564" s="1">
        <v>-7.4313793103448296</v>
      </c>
      <c r="M564" s="1" t="s">
        <v>40</v>
      </c>
      <c r="N564" s="1">
        <v>6.9862068965517201</v>
      </c>
      <c r="O564" s="1">
        <v>0.32534482758620697</v>
      </c>
      <c r="Q564" s="1">
        <v>3.2534482758620697E-2</v>
      </c>
      <c r="R564" s="1">
        <v>0.28141943880346998</v>
      </c>
      <c r="S564" s="1" t="str">
        <f>VLOOKUP($E564,'Product Naming'!$A$1:$P$58,2,FALSE)</f>
        <v>BetaCarotene</v>
      </c>
      <c r="T564" s="1" t="str">
        <f>VLOOKUP($E564,'Product Naming'!$A$1:$P$58,3,FALSE)</f>
        <v>Beta carotene</v>
      </c>
      <c r="U564" s="1" t="str">
        <f>VLOOKUP($E564,'Product Naming'!$A$1:$P$58,4,FALSE)</f>
        <v>A</v>
      </c>
      <c r="V564" s="1" t="str">
        <f>VLOOKUP($E564,'Product Naming'!$A$1:$P$58,5,FALSE)</f>
        <v>C40H56</v>
      </c>
      <c r="W564" s="1">
        <f>VLOOKUP($E564,'Product Naming'!$A$1:$P$58,6,FALSE)</f>
        <v>40</v>
      </c>
      <c r="X564" s="1">
        <f>VLOOKUP($E564,'Product Naming'!$A$1:$P$58,7,FALSE)</f>
        <v>56</v>
      </c>
      <c r="Y564" s="1">
        <f>VLOOKUP($E564,'Product Naming'!$A$1:$P$58,8,FALSE)</f>
        <v>0</v>
      </c>
      <c r="Z564" s="1">
        <f>VLOOKUP($E564,'Product Naming'!$A$1:$P$58,9,FALSE)</f>
        <v>0</v>
      </c>
      <c r="AA564" s="1">
        <f>VLOOKUP($E564,'Product Naming'!$A$1:$P$58,10,FALSE)</f>
        <v>0</v>
      </c>
      <c r="AB564" s="29">
        <f>VLOOKUP($E564,'Product Naming'!$A$1:$P$58,11,FALSE)</f>
        <v>5.4</v>
      </c>
      <c r="AC564" s="3">
        <f>VLOOKUP($E564,'Product Naming'!$A$1:$P$58,12,FALSE)</f>
        <v>536.86703999999997</v>
      </c>
      <c r="AD564" s="1">
        <f>VLOOKUP($E564,'Product Naming'!$A$1:$P$58,13,FALSE)</f>
        <v>633</v>
      </c>
      <c r="AE564" s="1" t="str">
        <f>VLOOKUP($E564,'Product Naming'!$A$1:$P$58,14,FALSE)</f>
        <v>Hydrocarbon</v>
      </c>
      <c r="AF564" s="1" t="str">
        <f>VLOOKUP($E564,'Product Naming'!$A$1:$P$58,15,FALSE)</f>
        <v>Acetyl-CoA</v>
      </c>
      <c r="AG564" s="30" t="str">
        <f>VLOOKUP($E564,'Product Naming'!$A$1:$P$58,16,FALSE)</f>
        <v>ABC Transporter</v>
      </c>
      <c r="AH564" s="3" t="str">
        <f>VLOOKUP($E564,'Product Naming'!$A$1:$Q$58,17,FALSE)</f>
        <v>caro_c</v>
      </c>
      <c r="AI564" s="1">
        <f>VLOOKUP($E564,'Product Parameters'!$A$2:$D$59,2,FALSE)</f>
        <v>1</v>
      </c>
      <c r="AJ564" s="1">
        <f>VLOOKUP($E564,'Product Parameters'!$A$2:$D$59,3,FALSE)</f>
        <v>0</v>
      </c>
      <c r="AK564" s="1">
        <f>VLOOKUP($E564,'Product Parameters'!$A$2:$D$59,4,FALSE)</f>
        <v>0.12</v>
      </c>
      <c r="AL564" s="1">
        <f>VLOOKUP($E564,'Product Parameters'!$A$2:$E$59,5,FALSE)</f>
        <v>40.65</v>
      </c>
      <c r="AM564" s="1">
        <f>VLOOKUP($E564,'Product Parameters'!$A$2:$F$59,6,FALSE)</f>
        <v>40</v>
      </c>
      <c r="AN564" s="1">
        <f>VLOOKUP($C564,'Substrate Heating'!$A$2:$C$33,3,FALSE)</f>
        <v>1055.1294800000001</v>
      </c>
      <c r="AO564" s="1">
        <f>VLOOKUP($C564,'Substrate Heating'!$A$2:$B$33,2,FALSE)</f>
        <v>17</v>
      </c>
      <c r="AP564" s="1">
        <f>VLOOKUP($C564,'Substrate Heating'!$A$2:$M$33,13,FALSE)</f>
        <v>5</v>
      </c>
      <c r="AQ564" s="1">
        <f>VLOOKUP($C564,'Substrate Heating'!$A$2:$M$33,8,FALSE)</f>
        <v>2</v>
      </c>
      <c r="AR564" s="1">
        <f t="shared" si="8"/>
        <v>0.65068965517241395</v>
      </c>
    </row>
    <row r="565" spans="1:44" x14ac:dyDescent="0.2">
      <c r="A565" s="8" t="s">
        <v>816</v>
      </c>
      <c r="B565" s="18" t="s">
        <v>324</v>
      </c>
      <c r="C565" t="s">
        <v>815</v>
      </c>
      <c r="D565" s="19" t="s">
        <v>326</v>
      </c>
      <c r="E565" t="s">
        <v>291</v>
      </c>
      <c r="F565" t="s">
        <v>292</v>
      </c>
      <c r="G565">
        <v>-10</v>
      </c>
      <c r="H565">
        <v>0</v>
      </c>
      <c r="I565">
        <v>0</v>
      </c>
      <c r="J565">
        <v>0.45</v>
      </c>
      <c r="K565">
        <v>26.666666670000001</v>
      </c>
      <c r="L565">
        <v>0</v>
      </c>
      <c r="M565">
        <v>0</v>
      </c>
      <c r="N565">
        <v>26.666666670000001</v>
      </c>
      <c r="O565">
        <v>2.6666666669999999</v>
      </c>
      <c r="P565"/>
      <c r="Q565">
        <v>0.1</v>
      </c>
      <c r="R565">
        <v>0.28243056700000002</v>
      </c>
      <c r="S565" s="1" t="str">
        <f>VLOOKUP($E565,'Product Naming'!$A$1:$P$58,2,FALSE)</f>
        <v>Pentanol-PW1</v>
      </c>
      <c r="T565" s="1" t="str">
        <f>VLOOKUP($E565,'Product Naming'!$A$1:$P$58,3,FALSE)</f>
        <v>Pentanol (PW1)</v>
      </c>
      <c r="U565" s="1" t="str">
        <f>VLOOKUP($E565,'Product Naming'!$A$1:$P$58,4,FALSE)</f>
        <v>E</v>
      </c>
      <c r="V565" s="1" t="str">
        <f>VLOOKUP($E565,'Product Naming'!$A$1:$P$58,5,FALSE)</f>
        <v>C5H12O</v>
      </c>
      <c r="W565" s="1">
        <f>VLOOKUP($E565,'Product Naming'!$A$1:$P$58,6,FALSE)</f>
        <v>5</v>
      </c>
      <c r="X565" s="1">
        <f>VLOOKUP($E565,'Product Naming'!$A$1:$P$58,7,FALSE)</f>
        <v>12</v>
      </c>
      <c r="Y565" s="1">
        <f>VLOOKUP($E565,'Product Naming'!$A$1:$P$58,8,FALSE)</f>
        <v>1</v>
      </c>
      <c r="Z565" s="1">
        <f>VLOOKUP($E565,'Product Naming'!$A$1:$P$58,9,FALSE)</f>
        <v>0</v>
      </c>
      <c r="AA565" s="1">
        <f>VLOOKUP($E565,'Product Naming'!$A$1:$P$58,10,FALSE)</f>
        <v>0</v>
      </c>
      <c r="AB565" s="29">
        <f>VLOOKUP($E565,'Product Naming'!$A$1:$P$58,11,FALSE)</f>
        <v>6</v>
      </c>
      <c r="AC565" s="3">
        <f>VLOOKUP($E565,'Product Naming'!$A$1:$P$58,12,FALSE)</f>
        <v>88.14658</v>
      </c>
      <c r="AD565" s="1">
        <f>VLOOKUP($E565,'Product Naming'!$A$1:$P$58,13,FALSE)</f>
        <v>138</v>
      </c>
      <c r="AE565" s="1" t="str">
        <f>VLOOKUP($E565,'Product Naming'!$A$1:$P$58,14,FALSE)</f>
        <v>Alcohol</v>
      </c>
      <c r="AF565" s="1" t="str">
        <f>VLOOKUP($E565,'Product Naming'!$A$1:$P$58,15,FALSE)</f>
        <v>Acetyl-CoA + Succinyl-CoA</v>
      </c>
      <c r="AG565" s="30" t="str">
        <f>VLOOKUP($E565,'Product Naming'!$A$1:$P$58,16,FALSE)</f>
        <v>Proton symporter</v>
      </c>
      <c r="AH565" s="3" t="str">
        <f>VLOOKUP($E565,'Product Naming'!$A$1:$Q$58,17,FALSE)</f>
        <v>pentoh_c</v>
      </c>
      <c r="AI565" s="1">
        <f>VLOOKUP($E565,'Product Parameters'!$A$2:$D$59,2,FALSE)</f>
        <v>1</v>
      </c>
      <c r="AJ565" s="1">
        <f>VLOOKUP($E565,'Product Parameters'!$A$2:$D$59,3,FALSE)</f>
        <v>0</v>
      </c>
      <c r="AK565" s="1">
        <f>VLOOKUP($E565,'Product Parameters'!$A$2:$D$59,4,FALSE)</f>
        <v>0.12</v>
      </c>
      <c r="AL565" s="1">
        <f>VLOOKUP($E565,'Product Parameters'!$A$2:$E$59,5,FALSE)</f>
        <v>57</v>
      </c>
      <c r="AM565" s="1">
        <f>VLOOKUP($E565,'Product Parameters'!$A$2:$F$59,6,FALSE)</f>
        <v>5</v>
      </c>
      <c r="AN565" s="1">
        <f>VLOOKUP($C565,'Substrate Heating'!$A$2:$C$33,3,FALSE)</f>
        <v>226.4</v>
      </c>
      <c r="AO565" s="1">
        <f>VLOOKUP($C565,'Substrate Heating'!$A$2:$B$33,2,FALSE)</f>
        <v>7.2542014450728134</v>
      </c>
      <c r="AP565" s="1">
        <f>VLOOKUP($C565,'Substrate Heating'!$A$2:$M$33,13,FALSE)</f>
        <v>1.6</v>
      </c>
      <c r="AQ565" s="1">
        <f>VLOOKUP($C565,'Substrate Heating'!$A$2:$M$33,8,FALSE)</f>
        <v>1</v>
      </c>
      <c r="AR565" s="1">
        <f t="shared" si="8"/>
        <v>0.5</v>
      </c>
    </row>
    <row r="566" spans="1:44" x14ac:dyDescent="0.2">
      <c r="A566" s="8" t="s">
        <v>816</v>
      </c>
      <c r="B566" s="18" t="s">
        <v>324</v>
      </c>
      <c r="C566" t="s">
        <v>815</v>
      </c>
      <c r="D566" s="19" t="s">
        <v>326</v>
      </c>
      <c r="E566" t="s">
        <v>295</v>
      </c>
      <c r="F566" t="s">
        <v>292</v>
      </c>
      <c r="G566">
        <v>-10</v>
      </c>
      <c r="H566">
        <v>0</v>
      </c>
      <c r="I566">
        <v>0</v>
      </c>
      <c r="J566">
        <v>0.45</v>
      </c>
      <c r="K566">
        <v>26.666666670000001</v>
      </c>
      <c r="L566">
        <v>0</v>
      </c>
      <c r="M566">
        <v>0</v>
      </c>
      <c r="N566">
        <v>26.666666670000001</v>
      </c>
      <c r="O566">
        <v>2.6666666669999999</v>
      </c>
      <c r="P566"/>
      <c r="Q566">
        <v>0.1</v>
      </c>
      <c r="R566">
        <v>0.28243056700000002</v>
      </c>
      <c r="S566" s="1" t="str">
        <f>VLOOKUP($E566,'Product Naming'!$A$1:$P$58,2,FALSE)</f>
        <v>Pentanol-PW2</v>
      </c>
      <c r="T566" s="1" t="str">
        <f>VLOOKUP($E566,'Product Naming'!$A$1:$P$58,3,FALSE)</f>
        <v>Pentanol (PW2)</v>
      </c>
      <c r="U566" s="1" t="str">
        <f>VLOOKUP($E566,'Product Naming'!$A$1:$P$58,4,FALSE)</f>
        <v>E</v>
      </c>
      <c r="V566" s="1" t="str">
        <f>VLOOKUP($E566,'Product Naming'!$A$1:$P$58,5,FALSE)</f>
        <v>C5H12O</v>
      </c>
      <c r="W566" s="1">
        <f>VLOOKUP($E566,'Product Naming'!$A$1:$P$58,6,FALSE)</f>
        <v>5</v>
      </c>
      <c r="X566" s="1">
        <f>VLOOKUP($E566,'Product Naming'!$A$1:$P$58,7,FALSE)</f>
        <v>12</v>
      </c>
      <c r="Y566" s="1">
        <f>VLOOKUP($E566,'Product Naming'!$A$1:$P$58,8,FALSE)</f>
        <v>1</v>
      </c>
      <c r="Z566" s="1">
        <f>VLOOKUP($E566,'Product Naming'!$A$1:$P$58,9,FALSE)</f>
        <v>0</v>
      </c>
      <c r="AA566" s="1">
        <f>VLOOKUP($E566,'Product Naming'!$A$1:$P$58,10,FALSE)</f>
        <v>0</v>
      </c>
      <c r="AB566" s="29">
        <f>VLOOKUP($E566,'Product Naming'!$A$1:$P$58,11,FALSE)</f>
        <v>6</v>
      </c>
      <c r="AC566" s="3">
        <f>VLOOKUP($E566,'Product Naming'!$A$1:$P$58,12,FALSE)</f>
        <v>88.14658</v>
      </c>
      <c r="AD566" s="1">
        <f>VLOOKUP($E566,'Product Naming'!$A$1:$P$58,13,FALSE)</f>
        <v>138</v>
      </c>
      <c r="AE566" s="1" t="str">
        <f>VLOOKUP($E566,'Product Naming'!$A$1:$P$58,14,FALSE)</f>
        <v>Alcohol</v>
      </c>
      <c r="AF566" s="1" t="str">
        <f>VLOOKUP($E566,'Product Naming'!$A$1:$P$58,15,FALSE)</f>
        <v>Oxaloacetate</v>
      </c>
      <c r="AG566" s="30" t="str">
        <f>VLOOKUP($E566,'Product Naming'!$A$1:$P$58,16,FALSE)</f>
        <v>Proton symporter</v>
      </c>
      <c r="AH566" s="3" t="str">
        <f>VLOOKUP($E566,'Product Naming'!$A$1:$Q$58,17,FALSE)</f>
        <v>pentoh_c</v>
      </c>
      <c r="AI566" s="1">
        <f>VLOOKUP($E566,'Product Parameters'!$A$2:$D$59,2,FALSE)</f>
        <v>1</v>
      </c>
      <c r="AJ566" s="1">
        <f>VLOOKUP($E566,'Product Parameters'!$A$2:$D$59,3,FALSE)</f>
        <v>0</v>
      </c>
      <c r="AK566" s="1">
        <f>VLOOKUP($E566,'Product Parameters'!$A$2:$D$59,4,FALSE)</f>
        <v>0.12</v>
      </c>
      <c r="AL566" s="1">
        <f>VLOOKUP($E566,'Product Parameters'!$A$2:$E$59,5,FALSE)</f>
        <v>57</v>
      </c>
      <c r="AM566" s="1">
        <f>VLOOKUP($E566,'Product Parameters'!$A$2:$F$59,6,FALSE)</f>
        <v>5</v>
      </c>
      <c r="AN566" s="1">
        <f>VLOOKUP($C566,'Substrate Heating'!$A$2:$C$33,3,FALSE)</f>
        <v>226.4</v>
      </c>
      <c r="AO566" s="1">
        <f>VLOOKUP($C566,'Substrate Heating'!$A$2:$B$33,2,FALSE)</f>
        <v>7.2542014450728134</v>
      </c>
      <c r="AP566" s="1">
        <f>VLOOKUP($C566,'Substrate Heating'!$A$2:$M$33,13,FALSE)</f>
        <v>1.6</v>
      </c>
      <c r="AQ566" s="1">
        <f>VLOOKUP($C566,'Substrate Heating'!$A$2:$M$33,8,FALSE)</f>
        <v>1</v>
      </c>
      <c r="AR566" s="1">
        <f t="shared" si="8"/>
        <v>0.5</v>
      </c>
    </row>
    <row r="567" spans="1:44" x14ac:dyDescent="0.2">
      <c r="A567" s="17" t="s">
        <v>323</v>
      </c>
      <c r="B567" s="18" t="s">
        <v>324</v>
      </c>
      <c r="C567" t="s">
        <v>329</v>
      </c>
      <c r="D567" s="19" t="s">
        <v>326</v>
      </c>
      <c r="E567" t="s">
        <v>209</v>
      </c>
      <c r="F567" t="s">
        <v>210</v>
      </c>
      <c r="G567">
        <v>-10</v>
      </c>
      <c r="H567">
        <v>0</v>
      </c>
      <c r="I567">
        <v>-20</v>
      </c>
      <c r="J567">
        <v>0.45</v>
      </c>
      <c r="K567">
        <v>-10</v>
      </c>
      <c r="L567">
        <v>0</v>
      </c>
      <c r="M567">
        <v>-16.906666666666698</v>
      </c>
      <c r="N567">
        <v>0</v>
      </c>
      <c r="O567">
        <v>1.03111111111111</v>
      </c>
      <c r="P567"/>
      <c r="Q567">
        <v>0.103111111111111</v>
      </c>
      <c r="R567" s="20">
        <v>0.28246846163398098</v>
      </c>
      <c r="S567" s="1" t="str">
        <f>VLOOKUP($E567,'Product Naming'!$A$1:$P$58,2,FALSE)</f>
        <v>GammaButyrolactone</v>
      </c>
      <c r="T567" s="1" t="str">
        <f>VLOOKUP($E567,'Product Naming'!$A$1:$P$58,3,FALSE)</f>
        <v>Gamma butyrolactone</v>
      </c>
      <c r="U567" s="1" t="str">
        <f>VLOOKUP($E567,'Product Naming'!$A$1:$P$58,4,FALSE)</f>
        <v>A</v>
      </c>
      <c r="V567" s="1" t="str">
        <f>VLOOKUP($E567,'Product Naming'!$A$1:$P$58,5,FALSE)</f>
        <v>C4H6O2</v>
      </c>
      <c r="W567" s="1">
        <f>VLOOKUP($E567,'Product Naming'!$A$1:$P$58,6,FALSE)</f>
        <v>4</v>
      </c>
      <c r="X567" s="1">
        <f>VLOOKUP($E567,'Product Naming'!$A$1:$P$58,7,FALSE)</f>
        <v>6</v>
      </c>
      <c r="Y567" s="1">
        <f>VLOOKUP($E567,'Product Naming'!$A$1:$P$58,8,FALSE)</f>
        <v>2</v>
      </c>
      <c r="Z567" s="1">
        <f>VLOOKUP($E567,'Product Naming'!$A$1:$P$58,9,FALSE)</f>
        <v>0</v>
      </c>
      <c r="AA567" s="1">
        <f>VLOOKUP($E567,'Product Naming'!$A$1:$P$58,10,FALSE)</f>
        <v>0</v>
      </c>
      <c r="AB567" s="29">
        <f>VLOOKUP($E567,'Product Naming'!$A$1:$P$58,11,FALSE)</f>
        <v>4.5</v>
      </c>
      <c r="AC567" s="3">
        <f>VLOOKUP($E567,'Product Naming'!$A$1:$P$58,12,FALSE)</f>
        <v>86.08784</v>
      </c>
      <c r="AD567" s="1">
        <f>VLOOKUP($E567,'Product Naming'!$A$1:$P$58,13,FALSE)</f>
        <v>204</v>
      </c>
      <c r="AE567" s="1" t="str">
        <f>VLOOKUP($E567,'Product Naming'!$A$1:$P$58,14,FALSE)</f>
        <v>Lactone (cyclic ester)</v>
      </c>
      <c r="AF567" s="1" t="str">
        <f>VLOOKUP($E567,'Product Naming'!$A$1:$P$58,15,FALSE)</f>
        <v>aKG</v>
      </c>
      <c r="AG567" s="30" t="str">
        <f>VLOOKUP($E567,'Product Naming'!$A$1:$P$58,16,FALSE)</f>
        <v>Proton symporter</v>
      </c>
      <c r="AH567" s="3" t="str">
        <f>VLOOKUP($E567,'Product Naming'!$A$1:$Q$58,17,FALSE)</f>
        <v>gblt_c</v>
      </c>
      <c r="AI567" s="1">
        <f>VLOOKUP($E567,'Product Parameters'!$A$2:$D$59,2,FALSE)</f>
        <v>1</v>
      </c>
      <c r="AJ567" s="1">
        <f>VLOOKUP($E567,'Product Parameters'!$A$2:$D$59,3,FALSE)</f>
        <v>0</v>
      </c>
      <c r="AK567" s="1">
        <f>VLOOKUP($E567,'Product Parameters'!$A$2:$D$59,4,FALSE)</f>
        <v>0.12</v>
      </c>
      <c r="AL567" s="1">
        <f>VLOOKUP($E567,'Product Parameters'!$A$2:$E$59,5,FALSE)</f>
        <v>0</v>
      </c>
      <c r="AM567" s="1">
        <f>VLOOKUP($E567,'Product Parameters'!$A$2:$F$59,6,FALSE)</f>
        <v>4</v>
      </c>
      <c r="AN567" s="1">
        <f>VLOOKUP($C567,'Substrate Heating'!$A$2:$C$33,3,FALSE)</f>
        <v>255.53333333333336</v>
      </c>
      <c r="AO567" s="1">
        <f>VLOOKUP($C567,'Substrate Heating'!$A$2:$B$33,2,FALSE)</f>
        <v>23.925550527978785</v>
      </c>
      <c r="AP567" s="1">
        <f>VLOOKUP($C567,'Substrate Heating'!$A$2:$M$33,13,FALSE)</f>
        <v>0.66666666666666663</v>
      </c>
      <c r="AQ567" s="1">
        <f>VLOOKUP($C567,'Substrate Heating'!$A$2:$M$33,8,FALSE)</f>
        <v>0.33333333333333331</v>
      </c>
      <c r="AR567" s="1">
        <f t="shared" si="8"/>
        <v>1.2373333333333321</v>
      </c>
    </row>
    <row r="568" spans="1:44" x14ac:dyDescent="0.2">
      <c r="A568" s="17" t="s">
        <v>231</v>
      </c>
      <c r="B568" s="9" t="s">
        <v>35</v>
      </c>
      <c r="C568" t="s">
        <v>330</v>
      </c>
      <c r="D568" s="10" t="s">
        <v>37</v>
      </c>
      <c r="E568" t="s">
        <v>236</v>
      </c>
      <c r="F568" t="s">
        <v>237</v>
      </c>
      <c r="G568">
        <v>-10</v>
      </c>
      <c r="H568">
        <v>-20</v>
      </c>
      <c r="I568" s="1" t="s">
        <v>40</v>
      </c>
      <c r="J568">
        <v>3.15</v>
      </c>
      <c r="K568">
        <v>-10</v>
      </c>
      <c r="L568">
        <v>-5.6570731707317101</v>
      </c>
      <c r="M568" s="1" t="s">
        <v>40</v>
      </c>
      <c r="N568">
        <v>7.7834146341463502</v>
      </c>
      <c r="O568">
        <v>2.0360975609756098</v>
      </c>
      <c r="P568"/>
      <c r="Q568">
        <v>0.20360975609756099</v>
      </c>
      <c r="R568">
        <v>0.282694968252726</v>
      </c>
      <c r="S568" s="1" t="str">
        <f>VLOOKUP($E568,'Product Naming'!$A$1:$P$58,2,FALSE)</f>
        <v>Hexane</v>
      </c>
      <c r="T568" s="1" t="str">
        <f>VLOOKUP($E568,'Product Naming'!$A$1:$P$58,3,FALSE)</f>
        <v>Hexane</v>
      </c>
      <c r="U568" s="1" t="str">
        <f>VLOOKUP($E568,'Product Naming'!$A$1:$P$58,4,FALSE)</f>
        <v>E</v>
      </c>
      <c r="V568" s="1" t="str">
        <f>VLOOKUP($E568,'Product Naming'!$A$1:$P$58,5,FALSE)</f>
        <v>C6H14</v>
      </c>
      <c r="W568" s="1">
        <f>VLOOKUP($E568,'Product Naming'!$A$1:$P$58,6,FALSE)</f>
        <v>6</v>
      </c>
      <c r="X568" s="1">
        <f>VLOOKUP($E568,'Product Naming'!$A$1:$P$58,7,FALSE)</f>
        <v>14</v>
      </c>
      <c r="Y568" s="1">
        <f>VLOOKUP($E568,'Product Naming'!$A$1:$P$58,8,FALSE)</f>
        <v>0</v>
      </c>
      <c r="Z568" s="1">
        <f>VLOOKUP($E568,'Product Naming'!$A$1:$P$58,9,FALSE)</f>
        <v>0</v>
      </c>
      <c r="AA568" s="1">
        <f>VLOOKUP($E568,'Product Naming'!$A$1:$P$58,10,FALSE)</f>
        <v>0</v>
      </c>
      <c r="AB568" s="29">
        <f>VLOOKUP($E568,'Product Naming'!$A$1:$P$58,11,FALSE)</f>
        <v>6.333333333333333</v>
      </c>
      <c r="AC568" s="3">
        <f>VLOOKUP($E568,'Product Naming'!$A$1:$P$58,12,FALSE)</f>
        <v>86.173959999999994</v>
      </c>
      <c r="AD568" s="1">
        <f>VLOOKUP($E568,'Product Naming'!$A$1:$P$58,13,FALSE)</f>
        <v>69</v>
      </c>
      <c r="AE568" s="1" t="str">
        <f>VLOOKUP($E568,'Product Naming'!$A$1:$P$58,14,FALSE)</f>
        <v>Hydrocarbon (alkane)</v>
      </c>
      <c r="AF568" s="1" t="str">
        <f>VLOOKUP($E568,'Product Naming'!$A$1:$P$58,15,FALSE)</f>
        <v>Acetyl-CoA + Succinyl-CoA</v>
      </c>
      <c r="AG568" s="30" t="str">
        <f>VLOOKUP($E568,'Product Naming'!$A$1:$P$58,16,FALSE)</f>
        <v>Proton symporter</v>
      </c>
      <c r="AH568" s="3" t="str">
        <f>VLOOKUP($E568,'Product Naming'!$A$1:$Q$58,17,FALSE)</f>
        <v>hex_c</v>
      </c>
      <c r="AI568" s="1">
        <f>VLOOKUP($E568,'Product Parameters'!$A$2:$D$59,2,FALSE)</f>
        <v>1</v>
      </c>
      <c r="AJ568" s="1">
        <f>VLOOKUP($E568,'Product Parameters'!$A$2:$D$59,3,FALSE)</f>
        <v>0</v>
      </c>
      <c r="AK568" s="1">
        <f>VLOOKUP($E568,'Product Parameters'!$A$2:$D$59,4,FALSE)</f>
        <v>0.12</v>
      </c>
      <c r="AL568" s="1">
        <f>VLOOKUP($E568,'Product Parameters'!$A$2:$E$59,5,FALSE)</f>
        <v>31</v>
      </c>
      <c r="AM568" s="1">
        <f>VLOOKUP($E568,'Product Parameters'!$A$2:$F$59,6,FALSE)</f>
        <v>6</v>
      </c>
      <c r="AN568" s="1">
        <f>VLOOKUP($C568,'Substrate Heating'!$A$2:$C$33,3,FALSE)</f>
        <v>1055.1294800000001</v>
      </c>
      <c r="AO568" s="1">
        <f>VLOOKUP($C568,'Substrate Heating'!$A$2:$B$33,2,FALSE)</f>
        <v>17</v>
      </c>
      <c r="AP568" s="1">
        <f>VLOOKUP($C568,'Substrate Heating'!$A$2:$M$33,13,FALSE)</f>
        <v>5</v>
      </c>
      <c r="AQ568" s="1">
        <f>VLOOKUP($C568,'Substrate Heating'!$A$2:$M$33,8,FALSE)</f>
        <v>2</v>
      </c>
      <c r="AR568" s="1">
        <f t="shared" si="8"/>
        <v>0.61082926829268303</v>
      </c>
    </row>
    <row r="569" spans="1:44" x14ac:dyDescent="0.2">
      <c r="A569" s="8" t="s">
        <v>809</v>
      </c>
      <c r="B569" s="18" t="s">
        <v>324</v>
      </c>
      <c r="C569" t="s">
        <v>808</v>
      </c>
      <c r="D569" s="19" t="s">
        <v>326</v>
      </c>
      <c r="E569" t="s">
        <v>279</v>
      </c>
      <c r="F569" t="s">
        <v>280</v>
      </c>
      <c r="G569">
        <v>-10</v>
      </c>
      <c r="H569">
        <v>0</v>
      </c>
      <c r="I569">
        <v>-20</v>
      </c>
      <c r="J569">
        <v>0.45</v>
      </c>
      <c r="K569">
        <v>-6.4285714285714199</v>
      </c>
      <c r="L569">
        <v>0</v>
      </c>
      <c r="M569">
        <v>-20</v>
      </c>
      <c r="N569">
        <v>-6.4285714285714199</v>
      </c>
      <c r="O569">
        <v>0.71428571428571397</v>
      </c>
      <c r="P569"/>
      <c r="Q569">
        <v>0.11111111111111099</v>
      </c>
      <c r="R569">
        <v>0.28340846514546802</v>
      </c>
      <c r="S569" s="1" t="str">
        <f>VLOOKUP($E569,'Product Naming'!$A$1:$P$58,2,FALSE)</f>
        <v>Nonane</v>
      </c>
      <c r="T569" s="1" t="str">
        <f>VLOOKUP($E569,'Product Naming'!$A$1:$P$58,3,FALSE)</f>
        <v>Nonane</v>
      </c>
      <c r="U569" s="1" t="str">
        <f>VLOOKUP($E569,'Product Naming'!$A$1:$P$58,4,FALSE)</f>
        <v>E</v>
      </c>
      <c r="V569" s="1" t="str">
        <f>VLOOKUP($E569,'Product Naming'!$A$1:$P$58,5,FALSE)</f>
        <v>C9H20</v>
      </c>
      <c r="W569" s="1">
        <f>VLOOKUP($E569,'Product Naming'!$A$1:$P$58,6,FALSE)</f>
        <v>9</v>
      </c>
      <c r="X569" s="1">
        <f>VLOOKUP($E569,'Product Naming'!$A$1:$P$58,7,FALSE)</f>
        <v>20</v>
      </c>
      <c r="Y569" s="1">
        <f>VLOOKUP($E569,'Product Naming'!$A$1:$P$58,8,FALSE)</f>
        <v>0</v>
      </c>
      <c r="Z569" s="1">
        <f>VLOOKUP($E569,'Product Naming'!$A$1:$P$58,9,FALSE)</f>
        <v>0</v>
      </c>
      <c r="AA569" s="1">
        <f>VLOOKUP($E569,'Product Naming'!$A$1:$P$58,10,FALSE)</f>
        <v>0</v>
      </c>
      <c r="AB569" s="29">
        <f>VLOOKUP($E569,'Product Naming'!$A$1:$P$58,11,FALSE)</f>
        <v>6.2222222222222223</v>
      </c>
      <c r="AC569" s="3">
        <f>VLOOKUP($E569,'Product Naming'!$A$1:$P$58,12,FALSE)</f>
        <v>128.25309999999999</v>
      </c>
      <c r="AD569" s="1">
        <f>VLOOKUP($E569,'Product Naming'!$A$1:$P$58,13,FALSE)</f>
        <v>151</v>
      </c>
      <c r="AE569" s="1" t="str">
        <f>VLOOKUP($E569,'Product Naming'!$A$1:$P$58,14,FALSE)</f>
        <v>Hydrocarbon (alkane)</v>
      </c>
      <c r="AF569" s="1" t="str">
        <f>VLOOKUP($E569,'Product Naming'!$A$1:$P$58,15,FALSE)</f>
        <v>Acetyl-CoA</v>
      </c>
      <c r="AG569" s="30" t="str">
        <f>VLOOKUP($E569,'Product Naming'!$A$1:$P$58,16,FALSE)</f>
        <v>Proton symporter</v>
      </c>
      <c r="AH569" s="3" t="str">
        <f>VLOOKUP($E569,'Product Naming'!$A$1:$Q$58,17,FALSE)</f>
        <v>nonan_c</v>
      </c>
      <c r="AI569" s="1">
        <f>VLOOKUP($E569,'Product Parameters'!$A$2:$D$59,2,FALSE)</f>
        <v>1</v>
      </c>
      <c r="AJ569" s="1">
        <f>VLOOKUP($E569,'Product Parameters'!$A$2:$D$59,3,FALSE)</f>
        <v>0</v>
      </c>
      <c r="AK569" s="1">
        <f>VLOOKUP($E569,'Product Parameters'!$A$2:$D$59,4,FALSE)</f>
        <v>0.12</v>
      </c>
      <c r="AL569" s="1">
        <f>VLOOKUP($E569,'Product Parameters'!$A$2:$E$59,5,FALSE)</f>
        <v>46.5</v>
      </c>
      <c r="AM569" s="1">
        <f>VLOOKUP($E569,'Product Parameters'!$A$2:$F$59,6,FALSE)</f>
        <v>9</v>
      </c>
      <c r="AN569" s="1">
        <f>VLOOKUP($C569,'Substrate Heating'!$A$2:$C$33,3,FALSE)</f>
        <v>120.9</v>
      </c>
      <c r="AO569" s="1">
        <f>VLOOKUP($C569,'Substrate Heating'!$A$2:$B$33,2,FALSE)</f>
        <v>5.2537372583834907</v>
      </c>
      <c r="AP569" s="1">
        <f>VLOOKUP($C569,'Substrate Heating'!$A$2:$M$33,13,FALSE)</f>
        <v>0</v>
      </c>
      <c r="AQ569" s="1">
        <f>VLOOKUP($C569,'Substrate Heating'!$A$2:$M$33,8,FALSE)</f>
        <v>0.33333333333333331</v>
      </c>
      <c r="AR569" s="1">
        <f t="shared" si="8"/>
        <v>2.9999999999999969</v>
      </c>
    </row>
    <row r="570" spans="1:44" x14ac:dyDescent="0.2">
      <c r="A570" s="8" t="s">
        <v>34</v>
      </c>
      <c r="B570" s="9" t="s">
        <v>35</v>
      </c>
      <c r="C570" s="1" t="s">
        <v>345</v>
      </c>
      <c r="D570" s="10" t="s">
        <v>37</v>
      </c>
      <c r="E570" s="1" t="s">
        <v>247</v>
      </c>
      <c r="F570" s="1" t="s">
        <v>248</v>
      </c>
      <c r="G570" s="1">
        <v>-10</v>
      </c>
      <c r="H570" s="1">
        <v>-20</v>
      </c>
      <c r="I570" s="1" t="s">
        <v>40</v>
      </c>
      <c r="J570" s="1">
        <v>3.15</v>
      </c>
      <c r="K570" s="1">
        <v>-10</v>
      </c>
      <c r="L570" s="1">
        <v>-2.50588235294118</v>
      </c>
      <c r="M570" s="1" t="s">
        <v>40</v>
      </c>
      <c r="N570" s="1">
        <v>7.5042016806722698</v>
      </c>
      <c r="O570" s="1">
        <v>2.4991596638655502</v>
      </c>
      <c r="Q570" s="1">
        <v>0.249915966386555</v>
      </c>
      <c r="R570" s="1">
        <v>0.283476502829201</v>
      </c>
      <c r="S570" s="1" t="str">
        <f>VLOOKUP($E570,'Product Naming'!$A$1:$P$58,2,FALSE)</f>
        <v>Isoprene</v>
      </c>
      <c r="T570" s="1" t="str">
        <f>VLOOKUP($E570,'Product Naming'!$A$1:$P$58,3,FALSE)</f>
        <v>Isoprene</v>
      </c>
      <c r="U570" s="1" t="str">
        <f>VLOOKUP($E570,'Product Naming'!$A$1:$P$58,4,FALSE)</f>
        <v>E</v>
      </c>
      <c r="V570" s="1" t="str">
        <f>VLOOKUP($E570,'Product Naming'!$A$1:$P$58,5,FALSE)</f>
        <v>C5H8</v>
      </c>
      <c r="W570" s="1">
        <f>VLOOKUP($E570,'Product Naming'!$A$1:$P$58,6,FALSE)</f>
        <v>5</v>
      </c>
      <c r="X570" s="1">
        <f>VLOOKUP($E570,'Product Naming'!$A$1:$P$58,7,FALSE)</f>
        <v>8</v>
      </c>
      <c r="Y570" s="1">
        <f>VLOOKUP($E570,'Product Naming'!$A$1:$P$58,8,FALSE)</f>
        <v>0</v>
      </c>
      <c r="Z570" s="1">
        <f>VLOOKUP($E570,'Product Naming'!$A$1:$P$58,9,FALSE)</f>
        <v>0</v>
      </c>
      <c r="AA570" s="1">
        <f>VLOOKUP($E570,'Product Naming'!$A$1:$P$58,10,FALSE)</f>
        <v>0</v>
      </c>
      <c r="AB570" s="29">
        <f>VLOOKUP($E570,'Product Naming'!$A$1:$P$58,11,FALSE)</f>
        <v>5.6</v>
      </c>
      <c r="AC570" s="3">
        <f>VLOOKUP($E570,'Product Naming'!$A$1:$P$58,12,FALSE)</f>
        <v>68.116219999999998</v>
      </c>
      <c r="AD570" s="1">
        <f>VLOOKUP($E570,'Product Naming'!$A$1:$P$58,13,FALSE)</f>
        <v>34.07</v>
      </c>
      <c r="AE570" s="1" t="str">
        <f>VLOOKUP($E570,'Product Naming'!$A$1:$P$58,14,FALSE)</f>
        <v>Hydrocarbon</v>
      </c>
      <c r="AF570" s="1" t="str">
        <f>VLOOKUP($E570,'Product Naming'!$A$1:$P$58,15,FALSE)</f>
        <v>Acetyl-CoA</v>
      </c>
      <c r="AG570" s="30" t="str">
        <f>VLOOKUP($E570,'Product Naming'!$A$1:$P$58,16,FALSE)</f>
        <v>Diffusion</v>
      </c>
      <c r="AH570" s="3" t="str">
        <f>VLOOKUP($E570,'Product Naming'!$A$1:$Q$58,17,FALSE)</f>
        <v>iprene_c</v>
      </c>
      <c r="AI570" s="1">
        <f>VLOOKUP($E570,'Product Parameters'!$A$2:$D$59,2,FALSE)</f>
        <v>0</v>
      </c>
      <c r="AJ570" s="1">
        <f>VLOOKUP($E570,'Product Parameters'!$A$2:$D$59,3,FALSE)</f>
        <v>1</v>
      </c>
      <c r="AK570" s="1">
        <f>VLOOKUP($E570,'Product Parameters'!$A$2:$D$59,4,FALSE)</f>
        <v>0.12</v>
      </c>
      <c r="AL570" s="1">
        <f>VLOOKUP($E570,'Product Parameters'!$A$2:$E$59,5,FALSE)</f>
        <v>26.4</v>
      </c>
      <c r="AM570" s="1">
        <f>VLOOKUP($E570,'Product Parameters'!$A$2:$F$59,6,FALSE)</f>
        <v>5</v>
      </c>
      <c r="AN570" s="1">
        <f>VLOOKUP($C570,'Substrate Heating'!$A$2:$C$33,3,FALSE)</f>
        <v>1020.8629199999999</v>
      </c>
      <c r="AO570" s="1">
        <f>VLOOKUP($C570,'Substrate Heating'!$A$2:$B$33,2,FALSE)</f>
        <v>17</v>
      </c>
      <c r="AP570" s="1">
        <f>VLOOKUP($C570,'Substrate Heating'!$A$2:$M$33,13,FALSE)</f>
        <v>4</v>
      </c>
      <c r="AQ570" s="1">
        <f>VLOOKUP($C570,'Substrate Heating'!$A$2:$M$33,8,FALSE)</f>
        <v>2</v>
      </c>
      <c r="AR570" s="1">
        <f t="shared" si="8"/>
        <v>0.62478991596638744</v>
      </c>
    </row>
    <row r="571" spans="1:44" x14ac:dyDescent="0.2">
      <c r="A571" s="8" t="s">
        <v>809</v>
      </c>
      <c r="B571" s="18" t="s">
        <v>324</v>
      </c>
      <c r="C571" t="s">
        <v>808</v>
      </c>
      <c r="D571" s="19" t="s">
        <v>326</v>
      </c>
      <c r="E571" t="s">
        <v>283</v>
      </c>
      <c r="F571" t="s">
        <v>284</v>
      </c>
      <c r="G571">
        <v>-10</v>
      </c>
      <c r="H571">
        <v>0</v>
      </c>
      <c r="I571">
        <v>-20</v>
      </c>
      <c r="J571">
        <v>0.45</v>
      </c>
      <c r="K571">
        <v>-6.3999999999999897</v>
      </c>
      <c r="L571">
        <v>0</v>
      </c>
      <c r="M571">
        <v>-20</v>
      </c>
      <c r="N571">
        <v>-6.3999999999999897</v>
      </c>
      <c r="O571">
        <v>0.79999999999999905</v>
      </c>
      <c r="P571"/>
      <c r="Q571">
        <v>0.125</v>
      </c>
      <c r="R571">
        <v>0.28380719538859001</v>
      </c>
      <c r="S571" s="1" t="str">
        <f>VLOOKUP($E571,'Product Naming'!$A$1:$P$58,2,FALSE)</f>
        <v>Octane</v>
      </c>
      <c r="T571" s="1" t="str">
        <f>VLOOKUP($E571,'Product Naming'!$A$1:$P$58,3,FALSE)</f>
        <v>Octane</v>
      </c>
      <c r="U571" s="1" t="str">
        <f>VLOOKUP($E571,'Product Naming'!$A$1:$P$58,4,FALSE)</f>
        <v>E</v>
      </c>
      <c r="V571" s="1" t="str">
        <f>VLOOKUP($E571,'Product Naming'!$A$1:$P$58,5,FALSE)</f>
        <v>C8H18</v>
      </c>
      <c r="W571" s="1">
        <f>VLOOKUP($E571,'Product Naming'!$A$1:$P$58,6,FALSE)</f>
        <v>8</v>
      </c>
      <c r="X571" s="1">
        <f>VLOOKUP($E571,'Product Naming'!$A$1:$P$58,7,FALSE)</f>
        <v>18</v>
      </c>
      <c r="Y571" s="1">
        <f>VLOOKUP($E571,'Product Naming'!$A$1:$P$58,8,FALSE)</f>
        <v>0</v>
      </c>
      <c r="Z571" s="1">
        <f>VLOOKUP($E571,'Product Naming'!$A$1:$P$58,9,FALSE)</f>
        <v>0</v>
      </c>
      <c r="AA571" s="1">
        <f>VLOOKUP($E571,'Product Naming'!$A$1:$P$58,10,FALSE)</f>
        <v>0</v>
      </c>
      <c r="AB571" s="29">
        <f>VLOOKUP($E571,'Product Naming'!$A$1:$P$58,11,FALSE)</f>
        <v>6.25</v>
      </c>
      <c r="AC571" s="3">
        <f>VLOOKUP($E571,'Product Naming'!$A$1:$P$58,12,FALSE)</f>
        <v>114.22672</v>
      </c>
      <c r="AD571" s="1">
        <f>VLOOKUP($E571,'Product Naming'!$A$1:$P$58,13,FALSE)</f>
        <v>126</v>
      </c>
      <c r="AE571" s="1" t="str">
        <f>VLOOKUP($E571,'Product Naming'!$A$1:$P$58,14,FALSE)</f>
        <v>Hydrocarbon (alkane)</v>
      </c>
      <c r="AF571" s="1" t="str">
        <f>VLOOKUP($E571,'Product Naming'!$A$1:$P$58,15,FALSE)</f>
        <v>Acetyl-CoA + Succinyl-CoA</v>
      </c>
      <c r="AG571" s="30" t="str">
        <f>VLOOKUP($E571,'Product Naming'!$A$1:$P$58,16,FALSE)</f>
        <v>Proton symporter</v>
      </c>
      <c r="AH571" s="3" t="str">
        <f>VLOOKUP($E571,'Product Naming'!$A$1:$Q$58,17,FALSE)</f>
        <v>octn_c</v>
      </c>
      <c r="AI571" s="1">
        <f>VLOOKUP($E571,'Product Parameters'!$A$2:$D$59,2,FALSE)</f>
        <v>1</v>
      </c>
      <c r="AJ571" s="1">
        <f>VLOOKUP($E571,'Product Parameters'!$A$2:$D$59,3,FALSE)</f>
        <v>0</v>
      </c>
      <c r="AK571" s="1">
        <f>VLOOKUP($E571,'Product Parameters'!$A$2:$D$59,4,FALSE)</f>
        <v>0.12</v>
      </c>
      <c r="AL571" s="1">
        <f>VLOOKUP($E571,'Product Parameters'!$A$2:$E$59,5,FALSE)</f>
        <v>41</v>
      </c>
      <c r="AM571" s="1">
        <f>VLOOKUP($E571,'Product Parameters'!$A$2:$F$59,6,FALSE)</f>
        <v>8</v>
      </c>
      <c r="AN571" s="1">
        <f>VLOOKUP($C571,'Substrate Heating'!$A$2:$C$33,3,FALSE)</f>
        <v>120.9</v>
      </c>
      <c r="AO571" s="1">
        <f>VLOOKUP($C571,'Substrate Heating'!$A$2:$B$33,2,FALSE)</f>
        <v>5.2537372583834907</v>
      </c>
      <c r="AP571" s="1">
        <f>VLOOKUP($C571,'Substrate Heating'!$A$2:$M$33,13,FALSE)</f>
        <v>0</v>
      </c>
      <c r="AQ571" s="1">
        <f>VLOOKUP($C571,'Substrate Heating'!$A$2:$M$33,8,FALSE)</f>
        <v>0.33333333333333331</v>
      </c>
      <c r="AR571" s="1">
        <f t="shared" si="8"/>
        <v>3</v>
      </c>
    </row>
    <row r="572" spans="1:44" x14ac:dyDescent="0.2">
      <c r="A572" s="8" t="s">
        <v>34</v>
      </c>
      <c r="B572" s="9" t="s">
        <v>35</v>
      </c>
      <c r="C572" s="1" t="s">
        <v>345</v>
      </c>
      <c r="D572" s="10" t="s">
        <v>37</v>
      </c>
      <c r="E572" s="1" t="s">
        <v>204</v>
      </c>
      <c r="F572" s="1" t="s">
        <v>205</v>
      </c>
      <c r="G572" s="1">
        <v>-10</v>
      </c>
      <c r="H572" s="1">
        <v>-20</v>
      </c>
      <c r="I572" s="1" t="s">
        <v>40</v>
      </c>
      <c r="J572" s="1">
        <v>3.15</v>
      </c>
      <c r="K572" s="1">
        <v>-10</v>
      </c>
      <c r="L572" s="1">
        <v>-2.4567415730337099</v>
      </c>
      <c r="M572" s="1" t="s">
        <v>40</v>
      </c>
      <c r="N572" s="1">
        <v>7.4691011235955198</v>
      </c>
      <c r="O572" s="1">
        <v>0.83539325842696799</v>
      </c>
      <c r="Q572" s="1">
        <v>8.3539325842696799E-2</v>
      </c>
      <c r="R572" s="1">
        <v>0.28427278514051901</v>
      </c>
      <c r="S572" s="1" t="str">
        <f>VLOOKUP($E572,'Product Naming'!$A$1:$P$58,2,FALSE)</f>
        <v>Farnesene</v>
      </c>
      <c r="T572" s="1" t="str">
        <f>VLOOKUP($E572,'Product Naming'!$A$1:$P$58,3,FALSE)</f>
        <v>Farnesene</v>
      </c>
      <c r="U572" s="1" t="str">
        <f>VLOOKUP($E572,'Product Naming'!$A$1:$P$58,4,FALSE)</f>
        <v>A</v>
      </c>
      <c r="V572" s="1" t="str">
        <f>VLOOKUP($E572,'Product Naming'!$A$1:$P$58,5,FALSE)</f>
        <v>C15H24</v>
      </c>
      <c r="W572" s="1">
        <f>VLOOKUP($E572,'Product Naming'!$A$1:$P$58,6,FALSE)</f>
        <v>15</v>
      </c>
      <c r="X572" s="1">
        <f>VLOOKUP($E572,'Product Naming'!$A$1:$P$58,7,FALSE)</f>
        <v>24</v>
      </c>
      <c r="Y572" s="1">
        <f>VLOOKUP($E572,'Product Naming'!$A$1:$P$58,8,FALSE)</f>
        <v>0</v>
      </c>
      <c r="Z572" s="1">
        <f>VLOOKUP($E572,'Product Naming'!$A$1:$P$58,9,FALSE)</f>
        <v>0</v>
      </c>
      <c r="AA572" s="1">
        <f>VLOOKUP($E572,'Product Naming'!$A$1:$P$58,10,FALSE)</f>
        <v>0</v>
      </c>
      <c r="AB572" s="29">
        <f>VLOOKUP($E572,'Product Naming'!$A$1:$P$58,11,FALSE)</f>
        <v>5.6</v>
      </c>
      <c r="AC572" s="3">
        <f>VLOOKUP($E572,'Product Naming'!$A$1:$P$58,12,FALSE)</f>
        <v>204.34866000000002</v>
      </c>
      <c r="AD572" s="1" t="str">
        <f>VLOOKUP($E572,'Product Naming'!$A$1:$P$58,13,FALSE)</f>
        <v>260 (A)/272 (B)</v>
      </c>
      <c r="AE572" s="1" t="str">
        <f>VLOOKUP($E572,'Product Naming'!$A$1:$P$58,14,FALSE)</f>
        <v>Hydrocarbon</v>
      </c>
      <c r="AF572" s="1" t="str">
        <f>VLOOKUP($E572,'Product Naming'!$A$1:$P$58,15,FALSE)</f>
        <v>Acetyl-CoA</v>
      </c>
      <c r="AG572" s="30" t="str">
        <f>VLOOKUP($E572,'Product Naming'!$A$1:$P$58,16,FALSE)</f>
        <v>Proton symporter</v>
      </c>
      <c r="AH572" s="3" t="str">
        <f>VLOOKUP($E572,'Product Naming'!$A$1:$Q$58,17,FALSE)</f>
        <v>frene_c</v>
      </c>
      <c r="AI572" s="1">
        <f>VLOOKUP($E572,'Product Parameters'!$A$2:$D$59,2,FALSE)</f>
        <v>1</v>
      </c>
      <c r="AJ572" s="1">
        <f>VLOOKUP($E572,'Product Parameters'!$A$2:$D$59,3,FALSE)</f>
        <v>0</v>
      </c>
      <c r="AK572" s="1">
        <f>VLOOKUP($E572,'Product Parameters'!$A$2:$D$59,4,FALSE)</f>
        <v>0.12</v>
      </c>
      <c r="AL572" s="1">
        <f>VLOOKUP($E572,'Product Parameters'!$A$2:$E$59,5,FALSE)</f>
        <v>0</v>
      </c>
      <c r="AM572" s="1">
        <f>VLOOKUP($E572,'Product Parameters'!$A$2:$F$59,6,FALSE)</f>
        <v>15</v>
      </c>
      <c r="AN572" s="1">
        <f>VLOOKUP($C572,'Substrate Heating'!$A$2:$C$33,3,FALSE)</f>
        <v>1020.8629199999999</v>
      </c>
      <c r="AO572" s="1">
        <f>VLOOKUP($C572,'Substrate Heating'!$A$2:$B$33,2,FALSE)</f>
        <v>17</v>
      </c>
      <c r="AP572" s="1">
        <f>VLOOKUP($C572,'Substrate Heating'!$A$2:$M$33,13,FALSE)</f>
        <v>4</v>
      </c>
      <c r="AQ572" s="1">
        <f>VLOOKUP($C572,'Substrate Heating'!$A$2:$M$33,8,FALSE)</f>
        <v>2</v>
      </c>
      <c r="AR572" s="1">
        <f t="shared" si="8"/>
        <v>0.62654494382022596</v>
      </c>
    </row>
    <row r="573" spans="1:44" x14ac:dyDescent="0.2">
      <c r="A573" s="8" t="s">
        <v>809</v>
      </c>
      <c r="B573" s="18" t="s">
        <v>324</v>
      </c>
      <c r="C573" t="s">
        <v>808</v>
      </c>
      <c r="D573" s="19" t="s">
        <v>326</v>
      </c>
      <c r="E573" t="s">
        <v>232</v>
      </c>
      <c r="F573" t="s">
        <v>233</v>
      </c>
      <c r="G573">
        <v>-10</v>
      </c>
      <c r="H573">
        <v>0</v>
      </c>
      <c r="I573">
        <v>-20</v>
      </c>
      <c r="J573">
        <v>0.45</v>
      </c>
      <c r="K573">
        <v>-6.3636363636363598</v>
      </c>
      <c r="L573">
        <v>0</v>
      </c>
      <c r="M573">
        <v>-20</v>
      </c>
      <c r="N573">
        <v>-6.3636363636363598</v>
      </c>
      <c r="O573">
        <v>0.90909090909090895</v>
      </c>
      <c r="P573"/>
      <c r="Q573">
        <v>0.14285714285714199</v>
      </c>
      <c r="R573">
        <v>0.28431919687193102</v>
      </c>
      <c r="S573" s="1" t="str">
        <f>VLOOKUP($E573,'Product Naming'!$A$1:$P$58,2,FALSE)</f>
        <v>Heptane</v>
      </c>
      <c r="T573" s="1" t="str">
        <f>VLOOKUP($E573,'Product Naming'!$A$1:$P$58,3,FALSE)</f>
        <v>Heptane</v>
      </c>
      <c r="U573" s="1" t="str">
        <f>VLOOKUP($E573,'Product Naming'!$A$1:$P$58,4,FALSE)</f>
        <v>E</v>
      </c>
      <c r="V573" s="1" t="str">
        <f>VLOOKUP($E573,'Product Naming'!$A$1:$P$58,5,FALSE)</f>
        <v>C7H16</v>
      </c>
      <c r="W573" s="1">
        <f>VLOOKUP($E573,'Product Naming'!$A$1:$P$58,6,FALSE)</f>
        <v>7</v>
      </c>
      <c r="X573" s="1">
        <f>VLOOKUP($E573,'Product Naming'!$A$1:$P$58,7,FALSE)</f>
        <v>16</v>
      </c>
      <c r="Y573" s="1">
        <f>VLOOKUP($E573,'Product Naming'!$A$1:$P$58,8,FALSE)</f>
        <v>0</v>
      </c>
      <c r="Z573" s="1">
        <f>VLOOKUP($E573,'Product Naming'!$A$1:$P$58,9,FALSE)</f>
        <v>0</v>
      </c>
      <c r="AA573" s="1">
        <f>VLOOKUP($E573,'Product Naming'!$A$1:$P$58,10,FALSE)</f>
        <v>0</v>
      </c>
      <c r="AB573" s="29">
        <f>VLOOKUP($E573,'Product Naming'!$A$1:$P$58,11,FALSE)</f>
        <v>6.2857142857142856</v>
      </c>
      <c r="AC573" s="3">
        <f>VLOOKUP($E573,'Product Naming'!$A$1:$P$58,12,FALSE)</f>
        <v>100.20034</v>
      </c>
      <c r="AD573" s="1">
        <f>VLOOKUP($E573,'Product Naming'!$A$1:$P$58,13,FALSE)</f>
        <v>98</v>
      </c>
      <c r="AE573" s="1" t="str">
        <f>VLOOKUP($E573,'Product Naming'!$A$1:$P$58,14,FALSE)</f>
        <v>Hydrocarbon (alkane)</v>
      </c>
      <c r="AF573" s="1" t="str">
        <f>VLOOKUP($E573,'Product Naming'!$A$1:$P$58,15,FALSE)</f>
        <v>Acetyl-CoA</v>
      </c>
      <c r="AG573" s="30" t="str">
        <f>VLOOKUP($E573,'Product Naming'!$A$1:$P$58,16,FALSE)</f>
        <v>Proton symporter</v>
      </c>
      <c r="AH573" s="3" t="str">
        <f>VLOOKUP($E573,'Product Naming'!$A$1:$Q$58,17,FALSE)</f>
        <v>hept_c</v>
      </c>
      <c r="AI573" s="1">
        <f>VLOOKUP($E573,'Product Parameters'!$A$2:$D$59,2,FALSE)</f>
        <v>1</v>
      </c>
      <c r="AJ573" s="1">
        <f>VLOOKUP($E573,'Product Parameters'!$A$2:$D$59,3,FALSE)</f>
        <v>0</v>
      </c>
      <c r="AK573" s="1">
        <f>VLOOKUP($E573,'Product Parameters'!$A$2:$D$59,4,FALSE)</f>
        <v>0.12</v>
      </c>
      <c r="AL573" s="1">
        <f>VLOOKUP($E573,'Product Parameters'!$A$2:$E$59,5,FALSE)</f>
        <v>36</v>
      </c>
      <c r="AM573" s="1">
        <f>VLOOKUP($E573,'Product Parameters'!$A$2:$F$59,6,FALSE)</f>
        <v>7</v>
      </c>
      <c r="AN573" s="1">
        <f>VLOOKUP($C573,'Substrate Heating'!$A$2:$C$33,3,FALSE)</f>
        <v>120.9</v>
      </c>
      <c r="AO573" s="1">
        <f>VLOOKUP($C573,'Substrate Heating'!$A$2:$B$33,2,FALSE)</f>
        <v>5.2537372583834907</v>
      </c>
      <c r="AP573" s="1">
        <f>VLOOKUP($C573,'Substrate Heating'!$A$2:$M$33,13,FALSE)</f>
        <v>0</v>
      </c>
      <c r="AQ573" s="1">
        <f>VLOOKUP($C573,'Substrate Heating'!$A$2:$M$33,8,FALSE)</f>
        <v>0.33333333333333331</v>
      </c>
      <c r="AR573" s="1">
        <f t="shared" si="8"/>
        <v>2.9999999999999818</v>
      </c>
    </row>
    <row r="574" spans="1:44" x14ac:dyDescent="0.2">
      <c r="A574" s="17" t="s">
        <v>185</v>
      </c>
      <c r="B574" s="9" t="s">
        <v>35</v>
      </c>
      <c r="C574" t="s">
        <v>345</v>
      </c>
      <c r="D574" s="10" t="s">
        <v>37</v>
      </c>
      <c r="E574" t="s">
        <v>259</v>
      </c>
      <c r="F574" t="s">
        <v>260</v>
      </c>
      <c r="G574">
        <v>-10</v>
      </c>
      <c r="H574">
        <v>-20</v>
      </c>
      <c r="I574" s="1" t="s">
        <v>40</v>
      </c>
      <c r="J574">
        <v>3.15</v>
      </c>
      <c r="K574">
        <v>-10</v>
      </c>
      <c r="L574">
        <v>-2.4320675105485199</v>
      </c>
      <c r="M574" s="1" t="s">
        <v>40</v>
      </c>
      <c r="N574">
        <v>7.4514767932489496</v>
      </c>
      <c r="O574">
        <v>1.2548523206751101</v>
      </c>
      <c r="P574"/>
      <c r="Q574">
        <v>0.125485232067511</v>
      </c>
      <c r="R574">
        <v>0.28467260621666601</v>
      </c>
      <c r="S574" s="1" t="str">
        <f>VLOOKUP($E574,'Product Naming'!$A$1:$P$58,2,FALSE)</f>
        <v>Limonene</v>
      </c>
      <c r="T574" s="1" t="str">
        <f>VLOOKUP($E574,'Product Naming'!$A$1:$P$58,3,FALSE)</f>
        <v>Limonene</v>
      </c>
      <c r="U574" s="1" t="str">
        <f>VLOOKUP($E574,'Product Naming'!$A$1:$P$58,4,FALSE)</f>
        <v>E</v>
      </c>
      <c r="V574" s="1" t="str">
        <f>VLOOKUP($E574,'Product Naming'!$A$1:$P$58,5,FALSE)</f>
        <v>C10H16</v>
      </c>
      <c r="W574" s="1">
        <f>VLOOKUP($E574,'Product Naming'!$A$1:$P$58,6,FALSE)</f>
        <v>10</v>
      </c>
      <c r="X574" s="1">
        <f>VLOOKUP($E574,'Product Naming'!$A$1:$P$58,7,FALSE)</f>
        <v>16</v>
      </c>
      <c r="Y574" s="1">
        <f>VLOOKUP($E574,'Product Naming'!$A$1:$P$58,8,FALSE)</f>
        <v>0</v>
      </c>
      <c r="Z574" s="1">
        <f>VLOOKUP($E574,'Product Naming'!$A$1:$P$58,9,FALSE)</f>
        <v>0</v>
      </c>
      <c r="AA574" s="1">
        <f>VLOOKUP($E574,'Product Naming'!$A$1:$P$58,10,FALSE)</f>
        <v>0</v>
      </c>
      <c r="AB574" s="29">
        <f>VLOOKUP($E574,'Product Naming'!$A$1:$P$58,11,FALSE)</f>
        <v>5.6</v>
      </c>
      <c r="AC574" s="3">
        <f>VLOOKUP($E574,'Product Naming'!$A$1:$P$58,12,FALSE)</f>
        <v>136.23244</v>
      </c>
      <c r="AD574" s="1">
        <f>VLOOKUP($E574,'Product Naming'!$A$1:$P$58,13,FALSE)</f>
        <v>176</v>
      </c>
      <c r="AE574" s="1" t="str">
        <f>VLOOKUP($E574,'Product Naming'!$A$1:$P$58,14,FALSE)</f>
        <v>Isoprenoid; Aromatic (Cycloalkane)</v>
      </c>
      <c r="AF574" s="1" t="str">
        <f>VLOOKUP($E574,'Product Naming'!$A$1:$P$58,15,FALSE)</f>
        <v>Acetyl-CoA</v>
      </c>
      <c r="AG574" s="30" t="str">
        <f>VLOOKUP($E574,'Product Naming'!$A$1:$P$58,16,FALSE)</f>
        <v>Proton symporter</v>
      </c>
      <c r="AH574" s="3" t="str">
        <f>VLOOKUP($E574,'Product Naming'!$A$1:$Q$58,17,FALSE)</f>
        <v>limnen_c</v>
      </c>
      <c r="AI574" s="1">
        <f>VLOOKUP($E574,'Product Parameters'!$A$2:$D$59,2,FALSE)</f>
        <v>1</v>
      </c>
      <c r="AJ574" s="1">
        <f>VLOOKUP($E574,'Product Parameters'!$A$2:$D$59,3,FALSE)</f>
        <v>0</v>
      </c>
      <c r="AK574" s="1">
        <f>VLOOKUP($E574,'Product Parameters'!$A$2:$D$59,4,FALSE)</f>
        <v>0.12</v>
      </c>
      <c r="AL574" s="1">
        <f>VLOOKUP($E574,'Product Parameters'!$A$2:$E$59,5,FALSE)</f>
        <v>49.5</v>
      </c>
      <c r="AM574" s="1">
        <f>VLOOKUP($E574,'Product Parameters'!$A$2:$F$59,6,FALSE)</f>
        <v>10</v>
      </c>
      <c r="AN574" s="1">
        <f>VLOOKUP($C574,'Substrate Heating'!$A$2:$C$33,3,FALSE)</f>
        <v>1020.8629199999999</v>
      </c>
      <c r="AO574" s="1">
        <f>VLOOKUP($C574,'Substrate Heating'!$A$2:$B$33,2,FALSE)</f>
        <v>17</v>
      </c>
      <c r="AP574" s="1">
        <f>VLOOKUP($C574,'Substrate Heating'!$A$2:$M$33,13,FALSE)</f>
        <v>4</v>
      </c>
      <c r="AQ574" s="1">
        <f>VLOOKUP($C574,'Substrate Heating'!$A$2:$M$33,8,FALSE)</f>
        <v>2</v>
      </c>
      <c r="AR574" s="1">
        <f t="shared" si="8"/>
        <v>0.62742616033755505</v>
      </c>
    </row>
    <row r="575" spans="1:44" x14ac:dyDescent="0.2">
      <c r="A575" s="8" t="s">
        <v>809</v>
      </c>
      <c r="B575" s="18" t="s">
        <v>324</v>
      </c>
      <c r="C575" t="s">
        <v>808</v>
      </c>
      <c r="D575" s="19" t="s">
        <v>326</v>
      </c>
      <c r="E575" t="s">
        <v>236</v>
      </c>
      <c r="F575" t="s">
        <v>237</v>
      </c>
      <c r="G575">
        <v>-10</v>
      </c>
      <c r="H575">
        <v>0</v>
      </c>
      <c r="I575">
        <v>-20</v>
      </c>
      <c r="J575">
        <v>0.45</v>
      </c>
      <c r="K575">
        <v>-6.3157894736842097</v>
      </c>
      <c r="L575">
        <v>0</v>
      </c>
      <c r="M575">
        <v>-20</v>
      </c>
      <c r="N575">
        <v>-6.3157894736842097</v>
      </c>
      <c r="O575">
        <v>1.0526315789473599</v>
      </c>
      <c r="P575"/>
      <c r="Q575">
        <v>0.16666666666666599</v>
      </c>
      <c r="R575">
        <v>0.28500072759984602</v>
      </c>
      <c r="S575" s="1" t="str">
        <f>VLOOKUP($E575,'Product Naming'!$A$1:$P$58,2,FALSE)</f>
        <v>Hexane</v>
      </c>
      <c r="T575" s="1" t="str">
        <f>VLOOKUP($E575,'Product Naming'!$A$1:$P$58,3,FALSE)</f>
        <v>Hexane</v>
      </c>
      <c r="U575" s="1" t="str">
        <f>VLOOKUP($E575,'Product Naming'!$A$1:$P$58,4,FALSE)</f>
        <v>E</v>
      </c>
      <c r="V575" s="1" t="str">
        <f>VLOOKUP($E575,'Product Naming'!$A$1:$P$58,5,FALSE)</f>
        <v>C6H14</v>
      </c>
      <c r="W575" s="1">
        <f>VLOOKUP($E575,'Product Naming'!$A$1:$P$58,6,FALSE)</f>
        <v>6</v>
      </c>
      <c r="X575" s="1">
        <f>VLOOKUP($E575,'Product Naming'!$A$1:$P$58,7,FALSE)</f>
        <v>14</v>
      </c>
      <c r="Y575" s="1">
        <f>VLOOKUP($E575,'Product Naming'!$A$1:$P$58,8,FALSE)</f>
        <v>0</v>
      </c>
      <c r="Z575" s="1">
        <f>VLOOKUP($E575,'Product Naming'!$A$1:$P$58,9,FALSE)</f>
        <v>0</v>
      </c>
      <c r="AA575" s="1">
        <f>VLOOKUP($E575,'Product Naming'!$A$1:$P$58,10,FALSE)</f>
        <v>0</v>
      </c>
      <c r="AB575" s="29">
        <f>VLOOKUP($E575,'Product Naming'!$A$1:$P$58,11,FALSE)</f>
        <v>6.333333333333333</v>
      </c>
      <c r="AC575" s="3">
        <f>VLOOKUP($E575,'Product Naming'!$A$1:$P$58,12,FALSE)</f>
        <v>86.173959999999994</v>
      </c>
      <c r="AD575" s="1">
        <f>VLOOKUP($E575,'Product Naming'!$A$1:$P$58,13,FALSE)</f>
        <v>69</v>
      </c>
      <c r="AE575" s="1" t="str">
        <f>VLOOKUP($E575,'Product Naming'!$A$1:$P$58,14,FALSE)</f>
        <v>Hydrocarbon (alkane)</v>
      </c>
      <c r="AF575" s="1" t="str">
        <f>VLOOKUP($E575,'Product Naming'!$A$1:$P$58,15,FALSE)</f>
        <v>Acetyl-CoA + Succinyl-CoA</v>
      </c>
      <c r="AG575" s="30" t="str">
        <f>VLOOKUP($E575,'Product Naming'!$A$1:$P$58,16,FALSE)</f>
        <v>Proton symporter</v>
      </c>
      <c r="AH575" s="3" t="str">
        <f>VLOOKUP($E575,'Product Naming'!$A$1:$Q$58,17,FALSE)</f>
        <v>hex_c</v>
      </c>
      <c r="AI575" s="1">
        <f>VLOOKUP($E575,'Product Parameters'!$A$2:$D$59,2,FALSE)</f>
        <v>1</v>
      </c>
      <c r="AJ575" s="1">
        <f>VLOOKUP($E575,'Product Parameters'!$A$2:$D$59,3,FALSE)</f>
        <v>0</v>
      </c>
      <c r="AK575" s="1">
        <f>VLOOKUP($E575,'Product Parameters'!$A$2:$D$59,4,FALSE)</f>
        <v>0.12</v>
      </c>
      <c r="AL575" s="1">
        <f>VLOOKUP($E575,'Product Parameters'!$A$2:$E$59,5,FALSE)</f>
        <v>31</v>
      </c>
      <c r="AM575" s="1">
        <f>VLOOKUP($E575,'Product Parameters'!$A$2:$F$59,6,FALSE)</f>
        <v>6</v>
      </c>
      <c r="AN575" s="1">
        <f>VLOOKUP($C575,'Substrate Heating'!$A$2:$C$33,3,FALSE)</f>
        <v>120.9</v>
      </c>
      <c r="AO575" s="1">
        <f>VLOOKUP($C575,'Substrate Heating'!$A$2:$B$33,2,FALSE)</f>
        <v>5.2537372583834907</v>
      </c>
      <c r="AP575" s="1">
        <f>VLOOKUP($C575,'Substrate Heating'!$A$2:$M$33,13,FALSE)</f>
        <v>0</v>
      </c>
      <c r="AQ575" s="1">
        <f>VLOOKUP($C575,'Substrate Heating'!$A$2:$M$33,8,FALSE)</f>
        <v>0.33333333333333331</v>
      </c>
      <c r="AR575" s="1">
        <f t="shared" si="8"/>
        <v>2.999999999999988</v>
      </c>
    </row>
    <row r="576" spans="1:44" x14ac:dyDescent="0.2">
      <c r="A576" s="17" t="s">
        <v>231</v>
      </c>
      <c r="B576" s="9" t="s">
        <v>35</v>
      </c>
      <c r="C576" t="s">
        <v>330</v>
      </c>
      <c r="D576" s="10" t="s">
        <v>37</v>
      </c>
      <c r="E576" t="s">
        <v>283</v>
      </c>
      <c r="F576" t="s">
        <v>284</v>
      </c>
      <c r="G576">
        <v>-10</v>
      </c>
      <c r="H576">
        <v>-20</v>
      </c>
      <c r="I576" s="1" t="s">
        <v>40</v>
      </c>
      <c r="J576">
        <v>3.15</v>
      </c>
      <c r="K576">
        <v>-10</v>
      </c>
      <c r="L576">
        <v>-5.60408921933087</v>
      </c>
      <c r="M576" s="1" t="s">
        <v>40</v>
      </c>
      <c r="N576">
        <v>7.5866171003717602</v>
      </c>
      <c r="O576">
        <v>1.5516728624535401</v>
      </c>
      <c r="P576"/>
      <c r="Q576">
        <v>0.155167286245354</v>
      </c>
      <c r="R576">
        <v>0.28556916720009301</v>
      </c>
      <c r="S576" s="1" t="str">
        <f>VLOOKUP($E576,'Product Naming'!$A$1:$P$58,2,FALSE)</f>
        <v>Octane</v>
      </c>
      <c r="T576" s="1" t="str">
        <f>VLOOKUP($E576,'Product Naming'!$A$1:$P$58,3,FALSE)</f>
        <v>Octane</v>
      </c>
      <c r="U576" s="1" t="str">
        <f>VLOOKUP($E576,'Product Naming'!$A$1:$P$58,4,FALSE)</f>
        <v>E</v>
      </c>
      <c r="V576" s="1" t="str">
        <f>VLOOKUP($E576,'Product Naming'!$A$1:$P$58,5,FALSE)</f>
        <v>C8H18</v>
      </c>
      <c r="W576" s="1">
        <f>VLOOKUP($E576,'Product Naming'!$A$1:$P$58,6,FALSE)</f>
        <v>8</v>
      </c>
      <c r="X576" s="1">
        <f>VLOOKUP($E576,'Product Naming'!$A$1:$P$58,7,FALSE)</f>
        <v>18</v>
      </c>
      <c r="Y576" s="1">
        <f>VLOOKUP($E576,'Product Naming'!$A$1:$P$58,8,FALSE)</f>
        <v>0</v>
      </c>
      <c r="Z576" s="1">
        <f>VLOOKUP($E576,'Product Naming'!$A$1:$P$58,9,FALSE)</f>
        <v>0</v>
      </c>
      <c r="AA576" s="1">
        <f>VLOOKUP($E576,'Product Naming'!$A$1:$P$58,10,FALSE)</f>
        <v>0</v>
      </c>
      <c r="AB576" s="29">
        <f>VLOOKUP($E576,'Product Naming'!$A$1:$P$58,11,FALSE)</f>
        <v>6.25</v>
      </c>
      <c r="AC576" s="3">
        <f>VLOOKUP($E576,'Product Naming'!$A$1:$P$58,12,FALSE)</f>
        <v>114.22672</v>
      </c>
      <c r="AD576" s="1">
        <f>VLOOKUP($E576,'Product Naming'!$A$1:$P$58,13,FALSE)</f>
        <v>126</v>
      </c>
      <c r="AE576" s="1" t="str">
        <f>VLOOKUP($E576,'Product Naming'!$A$1:$P$58,14,FALSE)</f>
        <v>Hydrocarbon (alkane)</v>
      </c>
      <c r="AF576" s="1" t="str">
        <f>VLOOKUP($E576,'Product Naming'!$A$1:$P$58,15,FALSE)</f>
        <v>Acetyl-CoA + Succinyl-CoA</v>
      </c>
      <c r="AG576" s="30" t="str">
        <f>VLOOKUP($E576,'Product Naming'!$A$1:$P$58,16,FALSE)</f>
        <v>Proton symporter</v>
      </c>
      <c r="AH576" s="3" t="str">
        <f>VLOOKUP($E576,'Product Naming'!$A$1:$Q$58,17,FALSE)</f>
        <v>octn_c</v>
      </c>
      <c r="AI576" s="1">
        <f>VLOOKUP($E576,'Product Parameters'!$A$2:$D$59,2,FALSE)</f>
        <v>1</v>
      </c>
      <c r="AJ576" s="1">
        <f>VLOOKUP($E576,'Product Parameters'!$A$2:$D$59,3,FALSE)</f>
        <v>0</v>
      </c>
      <c r="AK576" s="1">
        <f>VLOOKUP($E576,'Product Parameters'!$A$2:$D$59,4,FALSE)</f>
        <v>0.12</v>
      </c>
      <c r="AL576" s="1">
        <f>VLOOKUP($E576,'Product Parameters'!$A$2:$E$59,5,FALSE)</f>
        <v>41</v>
      </c>
      <c r="AM576" s="1">
        <f>VLOOKUP($E576,'Product Parameters'!$A$2:$F$59,6,FALSE)</f>
        <v>8</v>
      </c>
      <c r="AN576" s="1">
        <f>VLOOKUP($C576,'Substrate Heating'!$A$2:$C$33,3,FALSE)</f>
        <v>1055.1294800000001</v>
      </c>
      <c r="AO576" s="1">
        <f>VLOOKUP($C576,'Substrate Heating'!$A$2:$B$33,2,FALSE)</f>
        <v>17</v>
      </c>
      <c r="AP576" s="1">
        <f>VLOOKUP($C576,'Substrate Heating'!$A$2:$M$33,13,FALSE)</f>
        <v>5</v>
      </c>
      <c r="AQ576" s="1">
        <f>VLOOKUP($C576,'Substrate Heating'!$A$2:$M$33,8,FALSE)</f>
        <v>2</v>
      </c>
      <c r="AR576" s="1">
        <f t="shared" si="8"/>
        <v>0.62066914498141601</v>
      </c>
    </row>
    <row r="577" spans="1:44" x14ac:dyDescent="0.2">
      <c r="A577" s="8" t="s">
        <v>34</v>
      </c>
      <c r="B577" s="9" t="s">
        <v>35</v>
      </c>
      <c r="C577" s="1" t="s">
        <v>341</v>
      </c>
      <c r="D577" s="24" t="s">
        <v>342</v>
      </c>
      <c r="E577" s="1" t="s">
        <v>158</v>
      </c>
      <c r="F577" s="1" t="s">
        <v>159</v>
      </c>
      <c r="G577" s="1">
        <v>-10</v>
      </c>
      <c r="H577" s="1">
        <v>-20</v>
      </c>
      <c r="I577" s="1" t="s">
        <v>40</v>
      </c>
      <c r="J577" s="1">
        <v>3.15</v>
      </c>
      <c r="K577" s="1">
        <v>-10</v>
      </c>
      <c r="L577" s="1">
        <v>-2.45764272559853</v>
      </c>
      <c r="M577" s="1" t="s">
        <v>40</v>
      </c>
      <c r="N577" s="1">
        <v>24.589318600368401</v>
      </c>
      <c r="O577" s="1">
        <v>8.85267034990793</v>
      </c>
      <c r="Q577" s="1">
        <v>0.88526703499079296</v>
      </c>
      <c r="R577" s="1">
        <v>0.28560716741473902</v>
      </c>
      <c r="S577" s="1" t="str">
        <f>VLOOKUP($E577,'Product Naming'!$A$1:$P$58,2,FALSE)</f>
        <v>Butane</v>
      </c>
      <c r="T577" s="1" t="str">
        <f>VLOOKUP($E577,'Product Naming'!$A$1:$P$58,3,FALSE)</f>
        <v>Butane</v>
      </c>
      <c r="U577" s="1" t="str">
        <f>VLOOKUP($E577,'Product Naming'!$A$1:$P$58,4,FALSE)</f>
        <v>E</v>
      </c>
      <c r="V577" s="1" t="str">
        <f>VLOOKUP($E577,'Product Naming'!$A$1:$P$58,5,FALSE)</f>
        <v>C4H10</v>
      </c>
      <c r="W577" s="1">
        <f>VLOOKUP($E577,'Product Naming'!$A$1:$P$58,6,FALSE)</f>
        <v>4</v>
      </c>
      <c r="X577" s="1">
        <f>VLOOKUP($E577,'Product Naming'!$A$1:$P$58,7,FALSE)</f>
        <v>10</v>
      </c>
      <c r="Y577" s="1">
        <f>VLOOKUP($E577,'Product Naming'!$A$1:$P$58,8,FALSE)</f>
        <v>0</v>
      </c>
      <c r="Z577" s="1">
        <f>VLOOKUP($E577,'Product Naming'!$A$1:$P$58,9,FALSE)</f>
        <v>0</v>
      </c>
      <c r="AA577" s="1">
        <f>VLOOKUP($E577,'Product Naming'!$A$1:$P$58,10,FALSE)</f>
        <v>0</v>
      </c>
      <c r="AB577" s="29">
        <f>VLOOKUP($E577,'Product Naming'!$A$1:$P$58,11,FALSE)</f>
        <v>6.5</v>
      </c>
      <c r="AC577" s="3">
        <f>VLOOKUP($E577,'Product Naming'!$A$1:$P$58,12,FALSE)</f>
        <v>58.121200000000002</v>
      </c>
      <c r="AD577" s="1">
        <f>VLOOKUP($E577,'Product Naming'!$A$1:$P$58,13,FALSE)</f>
        <v>-1</v>
      </c>
      <c r="AE577" s="1" t="str">
        <f>VLOOKUP($E577,'Product Naming'!$A$1:$P$58,14,FALSE)</f>
        <v>Hydrocarbon (alkane)</v>
      </c>
      <c r="AF577" s="1" t="str">
        <f>VLOOKUP($E577,'Product Naming'!$A$1:$P$58,15,FALSE)</f>
        <v>Acetyl-CoA + Succinyl-CoA</v>
      </c>
      <c r="AG577" s="30" t="str">
        <f>VLOOKUP($E577,'Product Naming'!$A$1:$P$58,16,FALSE)</f>
        <v>Diffusion</v>
      </c>
      <c r="AH577" s="3" t="str">
        <f>VLOOKUP($E577,'Product Naming'!$A$1:$Q$58,17,FALSE)</f>
        <v>butn_c</v>
      </c>
      <c r="AI577" s="1">
        <f>VLOOKUP($E577,'Product Parameters'!$A$2:$D$59,2,FALSE)</f>
        <v>0</v>
      </c>
      <c r="AJ577" s="1">
        <f>VLOOKUP($E577,'Product Parameters'!$A$2:$D$59,3,FALSE)</f>
        <v>1</v>
      </c>
      <c r="AK577" s="1">
        <f>VLOOKUP($E577,'Product Parameters'!$A$2:$D$59,4,FALSE)</f>
        <v>0.12</v>
      </c>
      <c r="AL577" s="1">
        <f>VLOOKUP($E577,'Product Parameters'!$A$2:$E$59,5,FALSE)</f>
        <v>0</v>
      </c>
      <c r="AM577" s="1">
        <f>VLOOKUP($E577,'Product Parameters'!$A$2:$F$59,6,FALSE)</f>
        <v>4</v>
      </c>
      <c r="AN577" s="1">
        <f>VLOOKUP($C577,'Substrate Heating'!$A$2:$C$33,3,FALSE)</f>
        <v>2828.4492</v>
      </c>
      <c r="AO577" s="1">
        <f>VLOOKUP($C577,'Substrate Heating'!$A$2:$B$33,2,FALSE)</f>
        <v>15.7</v>
      </c>
      <c r="AP577" s="1">
        <f>VLOOKUP($C577,'Substrate Heating'!$A$2:$M$33,13,FALSE)</f>
        <v>4</v>
      </c>
      <c r="AQ577" s="1">
        <f>VLOOKUP($C577,'Substrate Heating'!$A$2:$M$33,8,FALSE)</f>
        <v>6</v>
      </c>
      <c r="AR577" s="1">
        <f t="shared" si="8"/>
        <v>0.59017802332719527</v>
      </c>
    </row>
    <row r="578" spans="1:44" x14ac:dyDescent="0.2">
      <c r="A578" s="8" t="s">
        <v>34</v>
      </c>
      <c r="B578" s="9" t="s">
        <v>35</v>
      </c>
      <c r="C578" s="1" t="s">
        <v>346</v>
      </c>
      <c r="D578" s="23" t="s">
        <v>338</v>
      </c>
      <c r="E578" s="1" t="s">
        <v>306</v>
      </c>
      <c r="F578" s="1" t="s">
        <v>302</v>
      </c>
      <c r="G578" s="1">
        <v>-10</v>
      </c>
      <c r="H578" s="1">
        <v>-20</v>
      </c>
      <c r="I578" s="1" t="s">
        <v>40</v>
      </c>
      <c r="J578" s="1">
        <v>3.15</v>
      </c>
      <c r="K578" s="1">
        <v>-10</v>
      </c>
      <c r="L578" s="1">
        <v>-4.6166666666666698</v>
      </c>
      <c r="M578" s="1" t="s">
        <v>40</v>
      </c>
      <c r="N578" s="1">
        <v>3.77</v>
      </c>
      <c r="O578" s="1">
        <v>2.0766666666666702</v>
      </c>
      <c r="Q578" s="1">
        <v>0.207666666666667</v>
      </c>
      <c r="R578" s="1">
        <v>0.28579030427416202</v>
      </c>
      <c r="S578" s="1" t="str">
        <f>VLOOKUP($E578,'Product Naming'!$A$1:$P$58,2,FALSE)</f>
        <v>Propane-PW2</v>
      </c>
      <c r="T578" s="1" t="str">
        <f>VLOOKUP($E578,'Product Naming'!$A$1:$P$58,3,FALSE)</f>
        <v>Propane (PW2)</v>
      </c>
      <c r="U578" s="1" t="str">
        <f>VLOOKUP($E578,'Product Naming'!$A$1:$P$58,4,FALSE)</f>
        <v>E</v>
      </c>
      <c r="V578" s="1" t="str">
        <f>VLOOKUP($E578,'Product Naming'!$A$1:$P$58,5,FALSE)</f>
        <v>C3H8</v>
      </c>
      <c r="W578" s="1">
        <f>VLOOKUP($E578,'Product Naming'!$A$1:$P$58,6,FALSE)</f>
        <v>3</v>
      </c>
      <c r="X578" s="1">
        <f>VLOOKUP($E578,'Product Naming'!$A$1:$P$58,7,FALSE)</f>
        <v>8</v>
      </c>
      <c r="Y578" s="1">
        <f>VLOOKUP($E578,'Product Naming'!$A$1:$P$58,8,FALSE)</f>
        <v>0</v>
      </c>
      <c r="Z578" s="1">
        <f>VLOOKUP($E578,'Product Naming'!$A$1:$P$58,9,FALSE)</f>
        <v>0</v>
      </c>
      <c r="AA578" s="1">
        <f>VLOOKUP($E578,'Product Naming'!$A$1:$P$58,10,FALSE)</f>
        <v>0</v>
      </c>
      <c r="AB578" s="29">
        <f>VLOOKUP($E578,'Product Naming'!$A$1:$P$58,11,FALSE)</f>
        <v>6.666666666666667</v>
      </c>
      <c r="AC578" s="3">
        <f>VLOOKUP($E578,'Product Naming'!$A$1:$P$58,12,FALSE)</f>
        <v>44.094819999999999</v>
      </c>
      <c r="AD578" s="1">
        <f>VLOOKUP($E578,'Product Naming'!$A$1:$P$58,13,FALSE)</f>
        <v>-42</v>
      </c>
      <c r="AE578" s="1" t="str">
        <f>VLOOKUP($E578,'Product Naming'!$A$1:$P$58,14,FALSE)</f>
        <v>Hydrocarbon</v>
      </c>
      <c r="AF578" s="1" t="str">
        <f>VLOOKUP($E578,'Product Naming'!$A$1:$P$58,15,FALSE)</f>
        <v>Oxaloacetate</v>
      </c>
      <c r="AG578" s="30" t="str">
        <f>VLOOKUP($E578,'Product Naming'!$A$1:$P$58,16,FALSE)</f>
        <v>Diffusion</v>
      </c>
      <c r="AH578" s="3" t="str">
        <f>VLOOKUP($E578,'Product Naming'!$A$1:$Q$58,17,FALSE)</f>
        <v>prop_c</v>
      </c>
      <c r="AI578" s="1">
        <f>VLOOKUP($E578,'Product Parameters'!$A$2:$D$59,2,FALSE)</f>
        <v>0</v>
      </c>
      <c r="AJ578" s="1">
        <f>VLOOKUP($E578,'Product Parameters'!$A$2:$D$59,3,FALSE)</f>
        <v>1</v>
      </c>
      <c r="AK578" s="1">
        <f>VLOOKUP($E578,'Product Parameters'!$A$2:$D$59,4,FALSE)</f>
        <v>0.12</v>
      </c>
      <c r="AL578" s="1">
        <f>VLOOKUP($E578,'Product Parameters'!$A$2:$E$59,5,FALSE)</f>
        <v>0</v>
      </c>
      <c r="AM578" s="1">
        <f>VLOOKUP($E578,'Product Parameters'!$A$2:$F$59,6,FALSE)</f>
        <v>3</v>
      </c>
      <c r="AN578" s="1">
        <f>VLOOKUP($C578,'Substrate Heating'!$A$2:$C$33,3,FALSE)</f>
        <v>638.57832580000002</v>
      </c>
      <c r="AO578" s="1">
        <f>VLOOKUP($C578,'Substrate Heating'!$A$2:$B$33,2,FALSE)</f>
        <v>19.93</v>
      </c>
      <c r="AP578" s="1">
        <f>VLOOKUP($C578,'Substrate Heating'!$A$2:$M$33,13,FALSE)</f>
        <v>6</v>
      </c>
      <c r="AQ578" s="1">
        <f>VLOOKUP($C578,'Substrate Heating'!$A$2:$M$33,8,FALSE)</f>
        <v>1</v>
      </c>
      <c r="AR578" s="1">
        <f t="shared" si="8"/>
        <v>0.623000000000001</v>
      </c>
    </row>
    <row r="579" spans="1:44" x14ac:dyDescent="0.2">
      <c r="A579" s="8" t="s">
        <v>34</v>
      </c>
      <c r="B579" s="9" t="s">
        <v>35</v>
      </c>
      <c r="C579" s="1" t="s">
        <v>347</v>
      </c>
      <c r="D579" s="23" t="s">
        <v>338</v>
      </c>
      <c r="E579" s="1" t="s">
        <v>306</v>
      </c>
      <c r="F579" s="1" t="s">
        <v>302</v>
      </c>
      <c r="G579" s="1">
        <v>-10</v>
      </c>
      <c r="H579" s="1">
        <v>-20</v>
      </c>
      <c r="I579" s="1" t="s">
        <v>40</v>
      </c>
      <c r="J579" s="1">
        <v>3.15</v>
      </c>
      <c r="K579" s="1">
        <v>-10</v>
      </c>
      <c r="L579" s="1">
        <v>-4.6166666666666698</v>
      </c>
      <c r="M579" s="1" t="s">
        <v>40</v>
      </c>
      <c r="N579" s="1">
        <v>3.7700000000000098</v>
      </c>
      <c r="O579" s="1">
        <v>2.0766666666666702</v>
      </c>
      <c r="Q579" s="1">
        <v>0.207666666666667</v>
      </c>
      <c r="R579" s="1">
        <v>0.28579030427416202</v>
      </c>
      <c r="S579" s="1" t="str">
        <f>VLOOKUP($E579,'Product Naming'!$A$1:$P$58,2,FALSE)</f>
        <v>Propane-PW2</v>
      </c>
      <c r="T579" s="1" t="str">
        <f>VLOOKUP($E579,'Product Naming'!$A$1:$P$58,3,FALSE)</f>
        <v>Propane (PW2)</v>
      </c>
      <c r="U579" s="1" t="str">
        <f>VLOOKUP($E579,'Product Naming'!$A$1:$P$58,4,FALSE)</f>
        <v>E</v>
      </c>
      <c r="V579" s="1" t="str">
        <f>VLOOKUP($E579,'Product Naming'!$A$1:$P$58,5,FALSE)</f>
        <v>C3H8</v>
      </c>
      <c r="W579" s="1">
        <f>VLOOKUP($E579,'Product Naming'!$A$1:$P$58,6,FALSE)</f>
        <v>3</v>
      </c>
      <c r="X579" s="1">
        <f>VLOOKUP($E579,'Product Naming'!$A$1:$P$58,7,FALSE)</f>
        <v>8</v>
      </c>
      <c r="Y579" s="1">
        <f>VLOOKUP($E579,'Product Naming'!$A$1:$P$58,8,FALSE)</f>
        <v>0</v>
      </c>
      <c r="Z579" s="1">
        <f>VLOOKUP($E579,'Product Naming'!$A$1:$P$58,9,FALSE)</f>
        <v>0</v>
      </c>
      <c r="AA579" s="1">
        <f>VLOOKUP($E579,'Product Naming'!$A$1:$P$58,10,FALSE)</f>
        <v>0</v>
      </c>
      <c r="AB579" s="29">
        <f>VLOOKUP($E579,'Product Naming'!$A$1:$P$58,11,FALSE)</f>
        <v>6.666666666666667</v>
      </c>
      <c r="AC579" s="3">
        <f>VLOOKUP($E579,'Product Naming'!$A$1:$P$58,12,FALSE)</f>
        <v>44.094819999999999</v>
      </c>
      <c r="AD579" s="1">
        <f>VLOOKUP($E579,'Product Naming'!$A$1:$P$58,13,FALSE)</f>
        <v>-42</v>
      </c>
      <c r="AE579" s="1" t="str">
        <f>VLOOKUP($E579,'Product Naming'!$A$1:$P$58,14,FALSE)</f>
        <v>Hydrocarbon</v>
      </c>
      <c r="AF579" s="1" t="str">
        <f>VLOOKUP($E579,'Product Naming'!$A$1:$P$58,15,FALSE)</f>
        <v>Oxaloacetate</v>
      </c>
      <c r="AG579" s="30" t="str">
        <f>VLOOKUP($E579,'Product Naming'!$A$1:$P$58,16,FALSE)</f>
        <v>Diffusion</v>
      </c>
      <c r="AH579" s="3" t="str">
        <f>VLOOKUP($E579,'Product Naming'!$A$1:$Q$58,17,FALSE)</f>
        <v>prop_c</v>
      </c>
      <c r="AI579" s="1">
        <f>VLOOKUP($E579,'Product Parameters'!$A$2:$D$59,2,FALSE)</f>
        <v>0</v>
      </c>
      <c r="AJ579" s="1">
        <f>VLOOKUP($E579,'Product Parameters'!$A$2:$D$59,3,FALSE)</f>
        <v>1</v>
      </c>
      <c r="AK579" s="1">
        <f>VLOOKUP($E579,'Product Parameters'!$A$2:$D$59,4,FALSE)</f>
        <v>0.12</v>
      </c>
      <c r="AL579" s="1">
        <f>VLOOKUP($E579,'Product Parameters'!$A$2:$E$59,5,FALSE)</f>
        <v>0</v>
      </c>
      <c r="AM579" s="1">
        <f>VLOOKUP($E579,'Product Parameters'!$A$2:$F$59,6,FALSE)</f>
        <v>3</v>
      </c>
      <c r="AN579" s="1">
        <f>VLOOKUP($C579,'Substrate Heating'!$A$2:$C$33,3,FALSE)</f>
        <v>638.57832580000002</v>
      </c>
      <c r="AO579" s="1">
        <f>VLOOKUP($C579,'Substrate Heating'!$A$2:$B$33,2,FALSE)</f>
        <v>19.93</v>
      </c>
      <c r="AP579" s="1">
        <f>VLOOKUP($C579,'Substrate Heating'!$A$2:$M$33,13,FALSE)</f>
        <v>6</v>
      </c>
      <c r="AQ579" s="1">
        <f>VLOOKUP($C579,'Substrate Heating'!$A$2:$M$33,8,FALSE)</f>
        <v>1</v>
      </c>
      <c r="AR579" s="1">
        <f t="shared" ref="AR579:AR642" si="9">Q579*W579/AQ579</f>
        <v>0.623000000000001</v>
      </c>
    </row>
    <row r="580" spans="1:44" x14ac:dyDescent="0.2">
      <c r="A580" s="17" t="s">
        <v>323</v>
      </c>
      <c r="B580" s="18" t="s">
        <v>324</v>
      </c>
      <c r="C580" t="s">
        <v>335</v>
      </c>
      <c r="D580" s="19" t="s">
        <v>326</v>
      </c>
      <c r="E580" t="s">
        <v>264</v>
      </c>
      <c r="F580" t="s">
        <v>265</v>
      </c>
      <c r="G580">
        <v>-10</v>
      </c>
      <c r="H580">
        <v>0</v>
      </c>
      <c r="I580">
        <v>-10</v>
      </c>
      <c r="J580">
        <v>0.45</v>
      </c>
      <c r="K580">
        <v>-10</v>
      </c>
      <c r="L580">
        <v>0</v>
      </c>
      <c r="M580">
        <v>-10</v>
      </c>
      <c r="N580">
        <v>0.93333333333333302</v>
      </c>
      <c r="O580">
        <v>0.93333333333333401</v>
      </c>
      <c r="P580"/>
      <c r="Q580">
        <v>9.3333333333333393E-2</v>
      </c>
      <c r="R580">
        <v>0.28591355599214202</v>
      </c>
      <c r="S580" s="1" t="str">
        <f>VLOOKUP($E580,'Product Naming'!$A$1:$P$58,2,FALSE)</f>
        <v>Lysine_L</v>
      </c>
      <c r="T580" s="1" t="str">
        <f>VLOOKUP($E580,'Product Naming'!$A$1:$P$58,3,FALSE)</f>
        <v>L-Lysine</v>
      </c>
      <c r="U580" s="1" t="str">
        <f>VLOOKUP($E580,'Product Naming'!$A$1:$P$58,4,FALSE)</f>
        <v>iJO1366</v>
      </c>
      <c r="V580" s="1" t="str">
        <f>VLOOKUP($E580,'Product Naming'!$A$1:$P$58,5,FALSE)</f>
        <v>C6H15N2O2</v>
      </c>
      <c r="W580" s="1">
        <f>VLOOKUP($E580,'Product Naming'!$A$1:$P$58,6,FALSE)</f>
        <v>6</v>
      </c>
      <c r="X580" s="1">
        <f>VLOOKUP($E580,'Product Naming'!$A$1:$P$58,7,FALSE)</f>
        <v>15</v>
      </c>
      <c r="Y580" s="1">
        <f>VLOOKUP($E580,'Product Naming'!$A$1:$P$58,8,FALSE)</f>
        <v>2</v>
      </c>
      <c r="Z580" s="1">
        <f>VLOOKUP($E580,'Product Naming'!$A$1:$P$58,9,FALSE)</f>
        <v>2</v>
      </c>
      <c r="AA580" s="1">
        <f>VLOOKUP($E580,'Product Naming'!$A$1:$P$58,10,FALSE)</f>
        <v>1</v>
      </c>
      <c r="AB580" s="29">
        <f>VLOOKUP($E580,'Product Naming'!$A$1:$P$58,11,FALSE)</f>
        <v>4.833333333333333</v>
      </c>
      <c r="AC580" s="3">
        <f>VLOOKUP($E580,'Product Naming'!$A$1:$P$58,12,FALSE)</f>
        <v>147.19319999999999</v>
      </c>
      <c r="AD580" s="1" t="str">
        <f>VLOOKUP($E580,'Product Naming'!$A$1:$P$58,13,FALSE)</f>
        <v>NA</v>
      </c>
      <c r="AE580" s="1" t="str">
        <f>VLOOKUP($E580,'Product Naming'!$A$1:$P$58,14,FALSE)</f>
        <v>Amino acid</v>
      </c>
      <c r="AF580" s="1" t="str">
        <f>VLOOKUP($E580,'Product Naming'!$A$1:$P$58,15,FALSE)</f>
        <v>Oxaloacetate</v>
      </c>
      <c r="AG580" s="30" t="str">
        <f>VLOOKUP($E580,'Product Naming'!$A$1:$P$58,16,FALSE)</f>
        <v>Proton antiport</v>
      </c>
      <c r="AH580" s="3" t="str">
        <f>VLOOKUP($E580,'Product Naming'!$A$1:$Q$58,17,FALSE)</f>
        <v>lys__L_</v>
      </c>
      <c r="AI580" s="1">
        <f>VLOOKUP($E580,'Product Parameters'!$A$2:$D$59,2,FALSE)</f>
        <v>1</v>
      </c>
      <c r="AJ580" s="1">
        <f>VLOOKUP($E580,'Product Parameters'!$A$2:$D$59,3,FALSE)</f>
        <v>0</v>
      </c>
      <c r="AK580" s="1">
        <f>VLOOKUP($E580,'Product Parameters'!$A$2:$D$59,4,FALSE)</f>
        <v>0.12</v>
      </c>
      <c r="AL580" s="1">
        <f>VLOOKUP($E580,'Product Parameters'!$A$2:$E$59,5,FALSE)</f>
        <v>40.65</v>
      </c>
      <c r="AM580" s="1">
        <f>VLOOKUP($E580,'Product Parameters'!$A$2:$F$59,6,FALSE)</f>
        <v>6</v>
      </c>
      <c r="AN580" s="1">
        <f>VLOOKUP($C580,'Substrate Heating'!$A$2:$C$33,3,FALSE)</f>
        <v>247.9</v>
      </c>
      <c r="AO580" s="1">
        <f>VLOOKUP($C580,'Substrate Heating'!$A$2:$B$33,2,FALSE)</f>
        <v>10.541709491918519</v>
      </c>
      <c r="AP580" s="1">
        <f>VLOOKUP($C580,'Substrate Heating'!$A$2:$M$33,13,FALSE)</f>
        <v>0.5</v>
      </c>
      <c r="AQ580" s="1">
        <f>VLOOKUP($C580,'Substrate Heating'!$A$2:$M$33,8,FALSE)</f>
        <v>0.5</v>
      </c>
      <c r="AR580" s="1">
        <f t="shared" si="9"/>
        <v>1.1200000000000008</v>
      </c>
    </row>
    <row r="581" spans="1:44" x14ac:dyDescent="0.2">
      <c r="A581" s="8" t="s">
        <v>809</v>
      </c>
      <c r="B581" s="18" t="s">
        <v>324</v>
      </c>
      <c r="C581" t="s">
        <v>808</v>
      </c>
      <c r="D581" s="19" t="s">
        <v>326</v>
      </c>
      <c r="E581" t="s">
        <v>287</v>
      </c>
      <c r="F581" t="s">
        <v>288</v>
      </c>
      <c r="G581">
        <v>-10</v>
      </c>
      <c r="H581">
        <v>0</v>
      </c>
      <c r="I581">
        <v>-20</v>
      </c>
      <c r="J581">
        <v>0.45</v>
      </c>
      <c r="K581">
        <v>-6.2499999999999902</v>
      </c>
      <c r="L581">
        <v>0</v>
      </c>
      <c r="M581">
        <v>-20</v>
      </c>
      <c r="N581">
        <v>-6.2499999999999902</v>
      </c>
      <c r="O581">
        <v>1.25</v>
      </c>
      <c r="P581"/>
      <c r="Q581">
        <v>0.2</v>
      </c>
      <c r="R581">
        <v>0.28595269236561899</v>
      </c>
      <c r="S581" s="1" t="str">
        <f>VLOOKUP($E581,'Product Naming'!$A$1:$P$58,2,FALSE)</f>
        <v>Pentane</v>
      </c>
      <c r="T581" s="1" t="str">
        <f>VLOOKUP($E581,'Product Naming'!$A$1:$P$58,3,FALSE)</f>
        <v>Pentane</v>
      </c>
      <c r="U581" s="1" t="str">
        <f>VLOOKUP($E581,'Product Naming'!$A$1:$P$58,4,FALSE)</f>
        <v>E</v>
      </c>
      <c r="V581" s="1" t="str">
        <f>VLOOKUP($E581,'Product Naming'!$A$1:$P$58,5,FALSE)</f>
        <v>C5H12</v>
      </c>
      <c r="W581" s="1">
        <f>VLOOKUP($E581,'Product Naming'!$A$1:$P$58,6,FALSE)</f>
        <v>5</v>
      </c>
      <c r="X581" s="1">
        <f>VLOOKUP($E581,'Product Naming'!$A$1:$P$58,7,FALSE)</f>
        <v>12</v>
      </c>
      <c r="Y581" s="1">
        <f>VLOOKUP($E581,'Product Naming'!$A$1:$P$58,8,FALSE)</f>
        <v>0</v>
      </c>
      <c r="Z581" s="1">
        <f>VLOOKUP($E581,'Product Naming'!$A$1:$P$58,9,FALSE)</f>
        <v>0</v>
      </c>
      <c r="AA581" s="1">
        <f>VLOOKUP($E581,'Product Naming'!$A$1:$P$58,10,FALSE)</f>
        <v>0</v>
      </c>
      <c r="AB581" s="29">
        <f>VLOOKUP($E581,'Product Naming'!$A$1:$P$58,11,FALSE)</f>
        <v>6.4</v>
      </c>
      <c r="AC581" s="3">
        <f>VLOOKUP($E581,'Product Naming'!$A$1:$P$58,12,FALSE)</f>
        <v>72.147580000000005</v>
      </c>
      <c r="AD581" s="1">
        <f>VLOOKUP($E581,'Product Naming'!$A$1:$P$58,13,FALSE)</f>
        <v>36.1</v>
      </c>
      <c r="AE581" s="1" t="str">
        <f>VLOOKUP($E581,'Product Naming'!$A$1:$P$58,14,FALSE)</f>
        <v>Hydrocarbon (alkane)</v>
      </c>
      <c r="AF581" s="1" t="str">
        <f>VLOOKUP($E581,'Product Naming'!$A$1:$P$58,15,FALSE)</f>
        <v>Acetyl-CoA</v>
      </c>
      <c r="AG581" s="30" t="str">
        <f>VLOOKUP($E581,'Product Naming'!$A$1:$P$58,16,FALSE)</f>
        <v>Diffusion</v>
      </c>
      <c r="AH581" s="3" t="str">
        <f>VLOOKUP($E581,'Product Naming'!$A$1:$Q$58,17,FALSE)</f>
        <v>pent_c</v>
      </c>
      <c r="AI581" s="1">
        <f>VLOOKUP($E581,'Product Parameters'!$A$2:$D$59,2,FALSE)</f>
        <v>0</v>
      </c>
      <c r="AJ581" s="1">
        <f>VLOOKUP($E581,'Product Parameters'!$A$2:$D$59,3,FALSE)</f>
        <v>1</v>
      </c>
      <c r="AK581" s="1">
        <f>VLOOKUP($E581,'Product Parameters'!$A$2:$D$59,4,FALSE)</f>
        <v>0.12</v>
      </c>
      <c r="AL581" s="1">
        <f>VLOOKUP($E581,'Product Parameters'!$A$2:$E$59,5,FALSE)</f>
        <v>26.5</v>
      </c>
      <c r="AM581" s="1">
        <f>VLOOKUP($E581,'Product Parameters'!$A$2:$F$59,6,FALSE)</f>
        <v>5</v>
      </c>
      <c r="AN581" s="1">
        <f>VLOOKUP($C581,'Substrate Heating'!$A$2:$C$33,3,FALSE)</f>
        <v>120.9</v>
      </c>
      <c r="AO581" s="1">
        <f>VLOOKUP($C581,'Substrate Heating'!$A$2:$B$33,2,FALSE)</f>
        <v>5.2537372583834907</v>
      </c>
      <c r="AP581" s="1">
        <f>VLOOKUP($C581,'Substrate Heating'!$A$2:$M$33,13,FALSE)</f>
        <v>0</v>
      </c>
      <c r="AQ581" s="1">
        <f>VLOOKUP($C581,'Substrate Heating'!$A$2:$M$33,8,FALSE)</f>
        <v>0.33333333333333331</v>
      </c>
      <c r="AR581" s="1">
        <f t="shared" si="9"/>
        <v>3</v>
      </c>
    </row>
    <row r="582" spans="1:44" x14ac:dyDescent="0.2">
      <c r="A582" s="8" t="s">
        <v>812</v>
      </c>
      <c r="B582" s="18" t="s">
        <v>324</v>
      </c>
      <c r="C582" t="s">
        <v>814</v>
      </c>
      <c r="E582" t="s">
        <v>158</v>
      </c>
      <c r="F582" t="s">
        <v>159</v>
      </c>
      <c r="G582">
        <v>-10</v>
      </c>
      <c r="H582">
        <v>0</v>
      </c>
      <c r="I582">
        <v>-10</v>
      </c>
      <c r="J582">
        <v>0.45</v>
      </c>
      <c r="K582">
        <v>-6.2857142857142803</v>
      </c>
      <c r="L582">
        <v>0</v>
      </c>
      <c r="M582">
        <v>-10</v>
      </c>
      <c r="N582">
        <v>0</v>
      </c>
      <c r="O582">
        <v>0.74285714285714199</v>
      </c>
      <c r="P582"/>
      <c r="Q582">
        <v>0.118181818181818</v>
      </c>
      <c r="R582">
        <v>0.28596847129852598</v>
      </c>
      <c r="S582" s="1" t="str">
        <f>VLOOKUP($E582,'Product Naming'!$A$1:$P$58,2,FALSE)</f>
        <v>Butane</v>
      </c>
      <c r="T582" s="1" t="str">
        <f>VLOOKUP($E582,'Product Naming'!$A$1:$P$58,3,FALSE)</f>
        <v>Butane</v>
      </c>
      <c r="U582" s="1" t="str">
        <f>VLOOKUP($E582,'Product Naming'!$A$1:$P$58,4,FALSE)</f>
        <v>E</v>
      </c>
      <c r="V582" s="1" t="str">
        <f>VLOOKUP($E582,'Product Naming'!$A$1:$P$58,5,FALSE)</f>
        <v>C4H10</v>
      </c>
      <c r="W582" s="1">
        <f>VLOOKUP($E582,'Product Naming'!$A$1:$P$58,6,FALSE)</f>
        <v>4</v>
      </c>
      <c r="X582" s="1">
        <f>VLOOKUP($E582,'Product Naming'!$A$1:$P$58,7,FALSE)</f>
        <v>10</v>
      </c>
      <c r="Y582" s="1">
        <f>VLOOKUP($E582,'Product Naming'!$A$1:$P$58,8,FALSE)</f>
        <v>0</v>
      </c>
      <c r="Z582" s="1">
        <f>VLOOKUP($E582,'Product Naming'!$A$1:$P$58,9,FALSE)</f>
        <v>0</v>
      </c>
      <c r="AA582" s="1">
        <f>VLOOKUP($E582,'Product Naming'!$A$1:$P$58,10,FALSE)</f>
        <v>0</v>
      </c>
      <c r="AB582" s="29">
        <f>VLOOKUP($E582,'Product Naming'!$A$1:$P$58,11,FALSE)</f>
        <v>6.5</v>
      </c>
      <c r="AC582" s="3">
        <f>VLOOKUP($E582,'Product Naming'!$A$1:$P$58,12,FALSE)</f>
        <v>58.121200000000002</v>
      </c>
      <c r="AD582" s="1">
        <f>VLOOKUP($E582,'Product Naming'!$A$1:$P$58,13,FALSE)</f>
        <v>-1</v>
      </c>
      <c r="AE582" s="1" t="str">
        <f>VLOOKUP($E582,'Product Naming'!$A$1:$P$58,14,FALSE)</f>
        <v>Hydrocarbon (alkane)</v>
      </c>
      <c r="AF582" s="1" t="str">
        <f>VLOOKUP($E582,'Product Naming'!$A$1:$P$58,15,FALSE)</f>
        <v>Acetyl-CoA + Succinyl-CoA</v>
      </c>
      <c r="AG582" s="30" t="str">
        <f>VLOOKUP($E582,'Product Naming'!$A$1:$P$58,16,FALSE)</f>
        <v>Diffusion</v>
      </c>
      <c r="AH582" s="3" t="str">
        <f>VLOOKUP($E582,'Product Naming'!$A$1:$Q$58,17,FALSE)</f>
        <v>butn_c</v>
      </c>
      <c r="AI582" s="1">
        <f>VLOOKUP($E582,'Product Parameters'!$A$2:$D$59,2,FALSE)</f>
        <v>0</v>
      </c>
      <c r="AJ582" s="1">
        <f>VLOOKUP($E582,'Product Parameters'!$A$2:$D$59,3,FALSE)</f>
        <v>1</v>
      </c>
      <c r="AK582" s="1">
        <f>VLOOKUP($E582,'Product Parameters'!$A$2:$D$59,4,FALSE)</f>
        <v>0.12</v>
      </c>
      <c r="AL582" s="1">
        <f>VLOOKUP($E582,'Product Parameters'!$A$2:$E$59,5,FALSE)</f>
        <v>0</v>
      </c>
      <c r="AM582" s="1">
        <f>VLOOKUP($E582,'Product Parameters'!$A$2:$F$59,6,FALSE)</f>
        <v>4</v>
      </c>
      <c r="AN582" s="1">
        <f>VLOOKUP($C582,'Substrate Heating'!$A$2:$C$33,3,FALSE)</f>
        <v>209.92000000000002</v>
      </c>
      <c r="AO582" s="1">
        <f>VLOOKUP($C582,'Substrate Heating'!$A$2:$B$33,2,FALSE)</f>
        <v>10.086540906516333</v>
      </c>
      <c r="AP582" s="1">
        <f>VLOOKUP($C582,'Substrate Heating'!$A$2:$M$33,13,FALSE)</f>
        <v>0.8</v>
      </c>
      <c r="AQ582" s="1">
        <f>VLOOKUP($C582,'Substrate Heating'!$A$2:$M$33,8,FALSE)</f>
        <v>0.8</v>
      </c>
      <c r="AR582" s="1">
        <f t="shared" si="9"/>
        <v>0.59090909090908994</v>
      </c>
    </row>
    <row r="583" spans="1:44" x14ac:dyDescent="0.2">
      <c r="A583" s="8" t="s">
        <v>34</v>
      </c>
      <c r="B583" s="9" t="s">
        <v>35</v>
      </c>
      <c r="C583" s="1" t="s">
        <v>330</v>
      </c>
      <c r="D583" s="10" t="s">
        <v>37</v>
      </c>
      <c r="E583" s="1" t="s">
        <v>313</v>
      </c>
      <c r="F583" s="1" t="s">
        <v>314</v>
      </c>
      <c r="G583" s="1">
        <v>-10</v>
      </c>
      <c r="H583" s="1">
        <v>-20</v>
      </c>
      <c r="I583" s="1" t="s">
        <v>40</v>
      </c>
      <c r="J583" s="1">
        <v>3.15</v>
      </c>
      <c r="K583" s="1">
        <v>-10</v>
      </c>
      <c r="L583" s="1">
        <v>-7.9381563593932301</v>
      </c>
      <c r="M583" s="1" t="s">
        <v>40</v>
      </c>
      <c r="N583" s="1">
        <v>6.35052508751457</v>
      </c>
      <c r="O583" s="1">
        <v>1.70618436406067</v>
      </c>
      <c r="Q583" s="1">
        <v>0.170618436406067</v>
      </c>
      <c r="R583" s="1">
        <v>0.28630021255814397</v>
      </c>
      <c r="S583" s="1" t="str">
        <f>VLOOKUP($E583,'Product Naming'!$A$1:$P$58,2,FALSE)</f>
        <v>Styrene</v>
      </c>
      <c r="T583" s="1" t="str">
        <f>VLOOKUP($E583,'Product Naming'!$A$1:$P$58,3,FALSE)</f>
        <v>Styrene</v>
      </c>
      <c r="U583" s="1" t="str">
        <f>VLOOKUP($E583,'Product Naming'!$A$1:$P$58,4,FALSE)</f>
        <v>E-S</v>
      </c>
      <c r="V583" s="1" t="str">
        <f>VLOOKUP($E583,'Product Naming'!$A$1:$P$58,5,FALSE)</f>
        <v>C8H8</v>
      </c>
      <c r="W583" s="1">
        <f>VLOOKUP($E583,'Product Naming'!$A$1:$P$58,6,FALSE)</f>
        <v>8</v>
      </c>
      <c r="X583" s="1">
        <f>VLOOKUP($E583,'Product Naming'!$A$1:$P$58,7,FALSE)</f>
        <v>8</v>
      </c>
      <c r="Y583" s="1">
        <f>VLOOKUP($E583,'Product Naming'!$A$1:$P$58,8,FALSE)</f>
        <v>0</v>
      </c>
      <c r="Z583" s="1">
        <f>VLOOKUP($E583,'Product Naming'!$A$1:$P$58,9,FALSE)</f>
        <v>0</v>
      </c>
      <c r="AA583" s="1">
        <f>VLOOKUP($E583,'Product Naming'!$A$1:$P$58,10,FALSE)</f>
        <v>0</v>
      </c>
      <c r="AB583" s="29">
        <f>VLOOKUP($E583,'Product Naming'!$A$1:$P$58,11,FALSE)</f>
        <v>5</v>
      </c>
      <c r="AC583" s="3">
        <f>VLOOKUP($E583,'Product Naming'!$A$1:$P$58,12,FALSE)</f>
        <v>104.14832</v>
      </c>
      <c r="AD583" s="1">
        <f>VLOOKUP($E583,'Product Naming'!$A$1:$P$58,13,FALSE)</f>
        <v>145</v>
      </c>
      <c r="AE583" s="1" t="str">
        <f>VLOOKUP($E583,'Product Naming'!$A$1:$P$58,14,FALSE)</f>
        <v>Cycloalkane</v>
      </c>
      <c r="AF583" s="1" t="str">
        <f>VLOOKUP($E583,'Product Naming'!$A$1:$P$58,15,FALSE)</f>
        <v>E4P</v>
      </c>
      <c r="AG583" s="30" t="str">
        <f>VLOOKUP($E583,'Product Naming'!$A$1:$P$58,16,FALSE)</f>
        <v>Proton symporter</v>
      </c>
      <c r="AH583" s="3" t="str">
        <f>VLOOKUP($E583,'Product Naming'!$A$1:$Q$58,17,FALSE)</f>
        <v>styr_c</v>
      </c>
      <c r="AI583" s="1">
        <f>VLOOKUP($E583,'Product Parameters'!$A$2:$D$59,2,FALSE)</f>
        <v>1</v>
      </c>
      <c r="AJ583" s="1">
        <f>VLOOKUP($E583,'Product Parameters'!$A$2:$D$59,3,FALSE)</f>
        <v>0</v>
      </c>
      <c r="AK583" s="1">
        <f>VLOOKUP($E583,'Product Parameters'!$A$2:$D$59,4,FALSE)</f>
        <v>0.12</v>
      </c>
      <c r="AL583" s="1">
        <f>VLOOKUP($E583,'Product Parameters'!$A$2:$E$59,5,FALSE)</f>
        <v>43.9</v>
      </c>
      <c r="AM583" s="1">
        <f>VLOOKUP($E583,'Product Parameters'!$A$2:$F$59,6,FALSE)</f>
        <v>8</v>
      </c>
      <c r="AN583" s="1">
        <f>VLOOKUP($C583,'Substrate Heating'!$A$2:$C$33,3,FALSE)</f>
        <v>1055.1294800000001</v>
      </c>
      <c r="AO583" s="1">
        <f>VLOOKUP($C583,'Substrate Heating'!$A$2:$B$33,2,FALSE)</f>
        <v>17</v>
      </c>
      <c r="AP583" s="1">
        <f>VLOOKUP($C583,'Substrate Heating'!$A$2:$M$33,13,FALSE)</f>
        <v>5</v>
      </c>
      <c r="AQ583" s="1">
        <f>VLOOKUP($C583,'Substrate Heating'!$A$2:$M$33,8,FALSE)</f>
        <v>2</v>
      </c>
      <c r="AR583" s="1">
        <f t="shared" si="9"/>
        <v>0.68247374562426799</v>
      </c>
    </row>
    <row r="584" spans="1:44" x14ac:dyDescent="0.2">
      <c r="A584" s="8" t="s">
        <v>34</v>
      </c>
      <c r="B584" s="9" t="s">
        <v>35</v>
      </c>
      <c r="C584" s="1" t="s">
        <v>322</v>
      </c>
      <c r="D584" s="10" t="s">
        <v>37</v>
      </c>
      <c r="E584" s="1" t="s">
        <v>91</v>
      </c>
      <c r="F584" s="1" t="s">
        <v>92</v>
      </c>
      <c r="G584" s="1">
        <v>-10</v>
      </c>
      <c r="H584" s="1">
        <v>-20</v>
      </c>
      <c r="I584" s="1" t="s">
        <v>40</v>
      </c>
      <c r="J584" s="1">
        <v>3.15</v>
      </c>
      <c r="K584" s="1">
        <v>-10</v>
      </c>
      <c r="L584" s="1">
        <v>-5.5932835820895503</v>
      </c>
      <c r="M584" s="1" t="s">
        <v>40</v>
      </c>
      <c r="N584" s="1">
        <v>10.3955223880597</v>
      </c>
      <c r="O584" s="1">
        <v>1.9208955223880599</v>
      </c>
      <c r="Q584" s="1">
        <v>0.192089552238806</v>
      </c>
      <c r="R584" s="1">
        <v>0.28677506267613501</v>
      </c>
      <c r="S584" s="1" t="str">
        <f>VLOOKUP($E584,'Product Naming'!$A$1:$P$58,2,FALSE)</f>
        <v>2-Methyl-1-Butanol</v>
      </c>
      <c r="T584" s="1" t="str">
        <f>VLOOKUP($E584,'Product Naming'!$A$1:$P$58,3,FALSE)</f>
        <v>2-Methyl-1-butanol</v>
      </c>
      <c r="U584" s="1" t="str">
        <f>VLOOKUP($E584,'Product Naming'!$A$1:$P$58,4,FALSE)</f>
        <v>A</v>
      </c>
      <c r="V584" s="1" t="str">
        <f>VLOOKUP($E584,'Product Naming'!$A$1:$P$58,5,FALSE)</f>
        <v>C5H12O</v>
      </c>
      <c r="W584" s="1">
        <f>VLOOKUP($E584,'Product Naming'!$A$1:$P$58,6,FALSE)</f>
        <v>5</v>
      </c>
      <c r="X584" s="1">
        <f>VLOOKUP($E584,'Product Naming'!$A$1:$P$58,7,FALSE)</f>
        <v>12</v>
      </c>
      <c r="Y584" s="1">
        <f>VLOOKUP($E584,'Product Naming'!$A$1:$P$58,8,FALSE)</f>
        <v>1</v>
      </c>
      <c r="Z584" s="1">
        <f>VLOOKUP($E584,'Product Naming'!$A$1:$P$58,9,FALSE)</f>
        <v>0</v>
      </c>
      <c r="AA584" s="1">
        <f>VLOOKUP($E584,'Product Naming'!$A$1:$P$58,10,FALSE)</f>
        <v>0</v>
      </c>
      <c r="AB584" s="29">
        <f>VLOOKUP($E584,'Product Naming'!$A$1:$P$58,11,FALSE)</f>
        <v>6</v>
      </c>
      <c r="AC584" s="3">
        <f>VLOOKUP($E584,'Product Naming'!$A$1:$P$58,12,FALSE)</f>
        <v>88.14658</v>
      </c>
      <c r="AD584" s="1">
        <f>VLOOKUP($E584,'Product Naming'!$A$1:$P$58,13,FALSE)</f>
        <v>129</v>
      </c>
      <c r="AE584" s="1" t="str">
        <f>VLOOKUP($E584,'Product Naming'!$A$1:$P$58,14,FALSE)</f>
        <v>Alcohol</v>
      </c>
      <c r="AF584" s="1" t="str">
        <f>VLOOKUP($E584,'Product Naming'!$A$1:$P$58,15,FALSE)</f>
        <v>PEP</v>
      </c>
      <c r="AG584" s="30" t="str">
        <f>VLOOKUP($E584,'Product Naming'!$A$1:$P$58,16,FALSE)</f>
        <v>Proton symporter</v>
      </c>
      <c r="AH584" s="3" t="str">
        <f>VLOOKUP($E584,'Product Naming'!$A$1:$Q$58,17,FALSE)</f>
        <v>2mbtoh_c</v>
      </c>
      <c r="AI584" s="1">
        <f>VLOOKUP($E584,'Product Parameters'!$A$2:$D$59,2,FALSE)</f>
        <v>1</v>
      </c>
      <c r="AJ584" s="1">
        <f>VLOOKUP($E584,'Product Parameters'!$A$2:$D$59,3,FALSE)</f>
        <v>0</v>
      </c>
      <c r="AK584" s="1">
        <f>VLOOKUP($E584,'Product Parameters'!$A$2:$D$59,4,FALSE)</f>
        <v>0.12</v>
      </c>
      <c r="AL584" s="1">
        <f>VLOOKUP($E584,'Product Parameters'!$A$2:$E$59,5,FALSE)</f>
        <v>54.6</v>
      </c>
      <c r="AM584" s="1">
        <f>VLOOKUP($E584,'Product Parameters'!$A$2:$F$59,6,FALSE)</f>
        <v>5</v>
      </c>
      <c r="AN584" s="1">
        <f>VLOOKUP($C584,'Substrate Heating'!$A$2:$C$33,3,FALSE)</f>
        <v>876.74109599999997</v>
      </c>
      <c r="AO584" s="1">
        <f>VLOOKUP($C584,'Substrate Heating'!$A$2:$B$33,2,FALSE)</f>
        <v>14.6</v>
      </c>
      <c r="AP584" s="1">
        <f>VLOOKUP($C584,'Substrate Heating'!$A$2:$M$33,13,FALSE)</f>
        <v>3.5</v>
      </c>
      <c r="AQ584" s="1">
        <f>VLOOKUP($C584,'Substrate Heating'!$A$2:$M$33,8,FALSE)</f>
        <v>2</v>
      </c>
      <c r="AR584" s="1">
        <f t="shared" si="9"/>
        <v>0.48022388059701498</v>
      </c>
    </row>
    <row r="585" spans="1:44" x14ac:dyDescent="0.2">
      <c r="A585" s="8" t="s">
        <v>34</v>
      </c>
      <c r="B585" s="9" t="s">
        <v>35</v>
      </c>
      <c r="C585" s="1" t="s">
        <v>345</v>
      </c>
      <c r="D585" s="10" t="s">
        <v>37</v>
      </c>
      <c r="E585" s="1" t="s">
        <v>145</v>
      </c>
      <c r="F585" s="1" t="s">
        <v>146</v>
      </c>
      <c r="G585" s="1">
        <v>-10</v>
      </c>
      <c r="H585" s="1">
        <v>-20</v>
      </c>
      <c r="I585" s="1" t="s">
        <v>40</v>
      </c>
      <c r="J585" s="1">
        <v>3.15</v>
      </c>
      <c r="K585" s="1">
        <v>-10</v>
      </c>
      <c r="L585" s="1">
        <v>-6.4576785714285503</v>
      </c>
      <c r="M585" s="1" t="s">
        <v>40</v>
      </c>
      <c r="N585" s="1">
        <v>8.8474999999999806</v>
      </c>
      <c r="O585" s="1">
        <v>1.5932142857142899</v>
      </c>
      <c r="Q585" s="1">
        <v>0.159321428571429</v>
      </c>
      <c r="R585" s="1">
        <v>0.286892705976249</v>
      </c>
      <c r="S585" s="1" t="str">
        <f>VLOOKUP($E585,'Product Naming'!$A$1:$P$58,2,FALSE)</f>
        <v>Benzyl alcohol</v>
      </c>
      <c r="T585" s="1" t="str">
        <f>VLOOKUP($E585,'Product Naming'!$A$1:$P$58,3,FALSE)</f>
        <v>Benzyl alcohol</v>
      </c>
      <c r="U585" s="1" t="str">
        <f>VLOOKUP($E585,'Product Naming'!$A$1:$P$58,4,FALSE)</f>
        <v>E</v>
      </c>
      <c r="V585" s="1" t="str">
        <f>VLOOKUP($E585,'Product Naming'!$A$1:$P$58,5,FALSE)</f>
        <v>C7H8O</v>
      </c>
      <c r="W585" s="1">
        <f>VLOOKUP($E585,'Product Naming'!$A$1:$P$58,6,FALSE)</f>
        <v>7</v>
      </c>
      <c r="X585" s="1">
        <f>VLOOKUP($E585,'Product Naming'!$A$1:$P$58,7,FALSE)</f>
        <v>8</v>
      </c>
      <c r="Y585" s="1">
        <f>VLOOKUP($E585,'Product Naming'!$A$1:$P$58,8,FALSE)</f>
        <v>1</v>
      </c>
      <c r="Z585" s="1">
        <f>VLOOKUP($E585,'Product Naming'!$A$1:$P$58,9,FALSE)</f>
        <v>0</v>
      </c>
      <c r="AA585" s="1">
        <f>VLOOKUP($E585,'Product Naming'!$A$1:$P$58,10,FALSE)</f>
        <v>0</v>
      </c>
      <c r="AB585" s="29">
        <f>VLOOKUP($E585,'Product Naming'!$A$1:$P$58,11,FALSE)</f>
        <v>4.8571428571428568</v>
      </c>
      <c r="AC585" s="3">
        <f>VLOOKUP($E585,'Product Naming'!$A$1:$P$58,12,FALSE)</f>
        <v>108.13661999999999</v>
      </c>
      <c r="AD585" s="1">
        <f>VLOOKUP($E585,'Product Naming'!$A$1:$P$58,13,FALSE)</f>
        <v>205</v>
      </c>
      <c r="AE585" s="1" t="str">
        <f>VLOOKUP($E585,'Product Naming'!$A$1:$P$58,14,FALSE)</f>
        <v>Aromatic + Alcohol</v>
      </c>
      <c r="AF585" s="1" t="str">
        <f>VLOOKUP($E585,'Product Naming'!$A$1:$P$58,15,FALSE)</f>
        <v>E4P</v>
      </c>
      <c r="AG585" s="30" t="str">
        <f>VLOOKUP($E585,'Product Naming'!$A$1:$P$58,16,FALSE)</f>
        <v>Proton symporter</v>
      </c>
      <c r="AH585" s="3" t="str">
        <f>VLOOKUP($E585,'Product Naming'!$A$1:$Q$58,17,FALSE)</f>
        <v>bzalc_c</v>
      </c>
      <c r="AI585" s="1">
        <f>VLOOKUP($E585,'Product Parameters'!$A$2:$D$59,2,FALSE)</f>
        <v>1</v>
      </c>
      <c r="AJ585" s="1">
        <f>VLOOKUP($E585,'Product Parameters'!$A$2:$D$59,3,FALSE)</f>
        <v>0</v>
      </c>
      <c r="AK585" s="1">
        <f>VLOOKUP($E585,'Product Parameters'!$A$2:$D$59,4,FALSE)</f>
        <v>0.12</v>
      </c>
      <c r="AL585" s="1">
        <f>VLOOKUP($E585,'Product Parameters'!$A$2:$E$59,5,FALSE)</f>
        <v>63</v>
      </c>
      <c r="AM585" s="1">
        <f>VLOOKUP($E585,'Product Parameters'!$A$2:$F$59,6,FALSE)</f>
        <v>7</v>
      </c>
      <c r="AN585" s="1">
        <f>VLOOKUP($C585,'Substrate Heating'!$A$2:$C$33,3,FALSE)</f>
        <v>1020.8629199999999</v>
      </c>
      <c r="AO585" s="1">
        <f>VLOOKUP($C585,'Substrate Heating'!$A$2:$B$33,2,FALSE)</f>
        <v>17</v>
      </c>
      <c r="AP585" s="1">
        <f>VLOOKUP($C585,'Substrate Heating'!$A$2:$M$33,13,FALSE)</f>
        <v>4</v>
      </c>
      <c r="AQ585" s="1">
        <f>VLOOKUP($C585,'Substrate Heating'!$A$2:$M$33,8,FALSE)</f>
        <v>2</v>
      </c>
      <c r="AR585" s="1">
        <f t="shared" si="9"/>
        <v>0.55762500000000148</v>
      </c>
    </row>
    <row r="586" spans="1:44" x14ac:dyDescent="0.2">
      <c r="A586" s="17" t="s">
        <v>323</v>
      </c>
      <c r="B586" s="18" t="s">
        <v>324</v>
      </c>
      <c r="C586" t="s">
        <v>325</v>
      </c>
      <c r="D586" s="19" t="s">
        <v>326</v>
      </c>
      <c r="E586" t="s">
        <v>264</v>
      </c>
      <c r="F586" t="s">
        <v>265</v>
      </c>
      <c r="G586">
        <v>-10</v>
      </c>
      <c r="H586">
        <v>0</v>
      </c>
      <c r="I586">
        <v>0</v>
      </c>
      <c r="J586">
        <v>0.45</v>
      </c>
      <c r="K586">
        <v>-10</v>
      </c>
      <c r="L586">
        <v>0</v>
      </c>
      <c r="M586">
        <v>0</v>
      </c>
      <c r="N586">
        <v>5.5487179487179503</v>
      </c>
      <c r="O586">
        <v>0.54871794871794899</v>
      </c>
      <c r="P586"/>
      <c r="Q586">
        <v>5.4871794871794902E-2</v>
      </c>
      <c r="R586">
        <v>0.28835255540603599</v>
      </c>
      <c r="S586" s="1" t="str">
        <f>VLOOKUP($E586,'Product Naming'!$A$1:$P$58,2,FALSE)</f>
        <v>Lysine_L</v>
      </c>
      <c r="T586" s="1" t="str">
        <f>VLOOKUP($E586,'Product Naming'!$A$1:$P$58,3,FALSE)</f>
        <v>L-Lysine</v>
      </c>
      <c r="U586" s="1" t="str">
        <f>VLOOKUP($E586,'Product Naming'!$A$1:$P$58,4,FALSE)</f>
        <v>iJO1366</v>
      </c>
      <c r="V586" s="1" t="str">
        <f>VLOOKUP($E586,'Product Naming'!$A$1:$P$58,5,FALSE)</f>
        <v>C6H15N2O2</v>
      </c>
      <c r="W586" s="1">
        <f>VLOOKUP($E586,'Product Naming'!$A$1:$P$58,6,FALSE)</f>
        <v>6</v>
      </c>
      <c r="X586" s="1">
        <f>VLOOKUP($E586,'Product Naming'!$A$1:$P$58,7,FALSE)</f>
        <v>15</v>
      </c>
      <c r="Y586" s="1">
        <f>VLOOKUP($E586,'Product Naming'!$A$1:$P$58,8,FALSE)</f>
        <v>2</v>
      </c>
      <c r="Z586" s="1">
        <f>VLOOKUP($E586,'Product Naming'!$A$1:$P$58,9,FALSE)</f>
        <v>2</v>
      </c>
      <c r="AA586" s="1">
        <f>VLOOKUP($E586,'Product Naming'!$A$1:$P$58,10,FALSE)</f>
        <v>1</v>
      </c>
      <c r="AB586" s="29">
        <f>VLOOKUP($E586,'Product Naming'!$A$1:$P$58,11,FALSE)</f>
        <v>4.833333333333333</v>
      </c>
      <c r="AC586" s="3">
        <f>VLOOKUP($E586,'Product Naming'!$A$1:$P$58,12,FALSE)</f>
        <v>147.19319999999999</v>
      </c>
      <c r="AD586" s="1" t="str">
        <f>VLOOKUP($E586,'Product Naming'!$A$1:$P$58,13,FALSE)</f>
        <v>NA</v>
      </c>
      <c r="AE586" s="1" t="str">
        <f>VLOOKUP($E586,'Product Naming'!$A$1:$P$58,14,FALSE)</f>
        <v>Amino acid</v>
      </c>
      <c r="AF586" s="1" t="str">
        <f>VLOOKUP($E586,'Product Naming'!$A$1:$P$58,15,FALSE)</f>
        <v>Oxaloacetate</v>
      </c>
      <c r="AG586" s="30" t="str">
        <f>VLOOKUP($E586,'Product Naming'!$A$1:$P$58,16,FALSE)</f>
        <v>Proton antiport</v>
      </c>
      <c r="AH586" s="3" t="str">
        <f>VLOOKUP($E586,'Product Naming'!$A$1:$Q$58,17,FALSE)</f>
        <v>lys__L_</v>
      </c>
      <c r="AI586" s="1">
        <f>VLOOKUP($E586,'Product Parameters'!$A$2:$D$59,2,FALSE)</f>
        <v>1</v>
      </c>
      <c r="AJ586" s="1">
        <f>VLOOKUP($E586,'Product Parameters'!$A$2:$D$59,3,FALSE)</f>
        <v>0</v>
      </c>
      <c r="AK586" s="1">
        <f>VLOOKUP($E586,'Product Parameters'!$A$2:$D$59,4,FALSE)</f>
        <v>0.12</v>
      </c>
      <c r="AL586" s="1">
        <f>VLOOKUP($E586,'Product Parameters'!$A$2:$E$59,5,FALSE)</f>
        <v>40.65</v>
      </c>
      <c r="AM586" s="1">
        <f>VLOOKUP($E586,'Product Parameters'!$A$2:$F$59,6,FALSE)</f>
        <v>6</v>
      </c>
      <c r="AN586" s="1">
        <f>VLOOKUP($C586,'Substrate Heating'!$A$2:$C$33,3,FALSE)</f>
        <v>280.09700000000004</v>
      </c>
      <c r="AO586" s="1">
        <f>VLOOKUP($C586,'Substrate Heating'!$A$2:$B$33,2,FALSE)</f>
        <v>10</v>
      </c>
      <c r="AP586" s="1">
        <f>VLOOKUP($C586,'Substrate Heating'!$A$2:$M$33,13,FALSE)</f>
        <v>2</v>
      </c>
      <c r="AQ586" s="1">
        <f>VLOOKUP($C586,'Substrate Heating'!$A$2:$M$33,8,FALSE)</f>
        <v>1</v>
      </c>
      <c r="AR586" s="1">
        <f t="shared" si="9"/>
        <v>0.32923076923076944</v>
      </c>
    </row>
    <row r="587" spans="1:44" x14ac:dyDescent="0.2">
      <c r="A587" s="8" t="s">
        <v>809</v>
      </c>
      <c r="B587" s="18" t="s">
        <v>324</v>
      </c>
      <c r="C587" t="s">
        <v>808</v>
      </c>
      <c r="D587" s="19" t="s">
        <v>326</v>
      </c>
      <c r="E587" t="s">
        <v>186</v>
      </c>
      <c r="F587" t="s">
        <v>187</v>
      </c>
      <c r="G587">
        <v>-10</v>
      </c>
      <c r="H587">
        <v>0</v>
      </c>
      <c r="I587">
        <v>-20</v>
      </c>
      <c r="J587">
        <v>0.45</v>
      </c>
      <c r="K587">
        <v>-10</v>
      </c>
      <c r="L587">
        <v>0</v>
      </c>
      <c r="M587">
        <v>-20</v>
      </c>
      <c r="N587">
        <v>-10</v>
      </c>
      <c r="O587">
        <v>0.73333333333332895</v>
      </c>
      <c r="P587"/>
      <c r="Q587">
        <v>7.3333333333332903E-2</v>
      </c>
      <c r="R587">
        <v>0.288644713653329</v>
      </c>
      <c r="S587" s="1" t="str">
        <f>VLOOKUP($E587,'Product Naming'!$A$1:$P$58,2,FALSE)</f>
        <v>Citrate</v>
      </c>
      <c r="T587" s="1" t="str">
        <f>VLOOKUP($E587,'Product Naming'!$A$1:$P$58,3,FALSE)</f>
        <v>Citrate</v>
      </c>
      <c r="U587" s="1" t="str">
        <f>VLOOKUP($E587,'Product Naming'!$A$1:$P$58,4,FALSE)</f>
        <v>iJO1366</v>
      </c>
      <c r="V587" s="1" t="str">
        <f>VLOOKUP($E587,'Product Naming'!$A$1:$P$58,5,FALSE)</f>
        <v>C6H5O7</v>
      </c>
      <c r="W587" s="1">
        <f>VLOOKUP($E587,'Product Naming'!$A$1:$P$58,6,FALSE)</f>
        <v>6</v>
      </c>
      <c r="X587" s="1">
        <f>VLOOKUP($E587,'Product Naming'!$A$1:$P$58,7,FALSE)</f>
        <v>5</v>
      </c>
      <c r="Y587" s="1">
        <f>VLOOKUP($E587,'Product Naming'!$A$1:$P$58,8,FALSE)</f>
        <v>7</v>
      </c>
      <c r="Z587" s="1">
        <f>VLOOKUP($E587,'Product Naming'!$A$1:$P$58,9,FALSE)</f>
        <v>0</v>
      </c>
      <c r="AA587" s="1">
        <f>VLOOKUP($E587,'Product Naming'!$A$1:$P$58,10,FALSE)</f>
        <v>-3</v>
      </c>
      <c r="AB587" s="29">
        <f>VLOOKUP($E587,'Product Naming'!$A$1:$P$58,11,FALSE)</f>
        <v>2.5</v>
      </c>
      <c r="AC587" s="3">
        <f>VLOOKUP($E587,'Product Naming'!$A$1:$P$58,12,FALSE)</f>
        <v>189.09640000000002</v>
      </c>
      <c r="AD587" s="1" t="str">
        <f>VLOOKUP($E587,'Product Naming'!$A$1:$P$58,13,FALSE)</f>
        <v>NA</v>
      </c>
      <c r="AE587" s="1" t="str">
        <f>VLOOKUP($E587,'Product Naming'!$A$1:$P$58,14,FALSE)</f>
        <v>Tricarboxylate + Alcohol</v>
      </c>
      <c r="AF587" s="1" t="str">
        <f>VLOOKUP($E587,'Product Naming'!$A$1:$P$58,15,FALSE)</f>
        <v>Acetyl-CoA</v>
      </c>
      <c r="AG587" s="30" t="str">
        <f>VLOOKUP($E587,'Product Naming'!$A$1:$P$58,16,FALSE)</f>
        <v>Proton antiport</v>
      </c>
      <c r="AH587" s="3" t="str">
        <f>VLOOKUP($E587,'Product Naming'!$A$1:$Q$58,17,FALSE)</f>
        <v>cit_c</v>
      </c>
      <c r="AI587" s="1">
        <f>VLOOKUP($E587,'Product Parameters'!$A$2:$D$59,2,FALSE)</f>
        <v>1</v>
      </c>
      <c r="AJ587" s="1">
        <f>VLOOKUP($E587,'Product Parameters'!$A$2:$D$59,3,FALSE)</f>
        <v>0</v>
      </c>
      <c r="AK587" s="1">
        <f>VLOOKUP($E587,'Product Parameters'!$A$2:$D$59,4,FALSE)</f>
        <v>0.12</v>
      </c>
      <c r="AL587" s="1">
        <f>VLOOKUP($E587,'Product Parameters'!$A$2:$E$59,5,FALSE)</f>
        <v>40.65</v>
      </c>
      <c r="AM587" s="1">
        <f>VLOOKUP($E587,'Product Parameters'!$A$2:$F$59,6,FALSE)</f>
        <v>6</v>
      </c>
      <c r="AN587" s="1">
        <f>VLOOKUP($C587,'Substrate Heating'!$A$2:$C$33,3,FALSE)</f>
        <v>120.9</v>
      </c>
      <c r="AO587" s="1">
        <f>VLOOKUP($C587,'Substrate Heating'!$A$2:$B$33,2,FALSE)</f>
        <v>5.2537372583834907</v>
      </c>
      <c r="AP587" s="1">
        <f>VLOOKUP($C587,'Substrate Heating'!$A$2:$M$33,13,FALSE)</f>
        <v>0</v>
      </c>
      <c r="AQ587" s="1">
        <f>VLOOKUP($C587,'Substrate Heating'!$A$2:$M$33,8,FALSE)</f>
        <v>0.33333333333333331</v>
      </c>
      <c r="AR587" s="1">
        <f t="shared" si="9"/>
        <v>1.3199999999999923</v>
      </c>
    </row>
    <row r="588" spans="1:44" x14ac:dyDescent="0.2">
      <c r="A588" s="8" t="s">
        <v>34</v>
      </c>
      <c r="B588" s="9" t="s">
        <v>35</v>
      </c>
      <c r="C588" s="1" t="s">
        <v>330</v>
      </c>
      <c r="D588" s="10" t="s">
        <v>37</v>
      </c>
      <c r="E588" s="1" t="s">
        <v>247</v>
      </c>
      <c r="F588" s="1" t="s">
        <v>248</v>
      </c>
      <c r="G588" s="1">
        <v>-10</v>
      </c>
      <c r="H588" s="1">
        <v>-20</v>
      </c>
      <c r="I588" s="1" t="s">
        <v>40</v>
      </c>
      <c r="J588" s="1">
        <v>3.15</v>
      </c>
      <c r="K588" s="1">
        <v>-10</v>
      </c>
      <c r="L588" s="1">
        <v>-6.5776470588235396</v>
      </c>
      <c r="M588" s="1" t="s">
        <v>40</v>
      </c>
      <c r="N588" s="1">
        <v>6.8411764705882003</v>
      </c>
      <c r="O588" s="1">
        <v>2.6317647058823401</v>
      </c>
      <c r="Q588" s="1">
        <v>0.26317647058823401</v>
      </c>
      <c r="R588" s="1">
        <v>0.28882916311259699</v>
      </c>
      <c r="S588" s="1" t="str">
        <f>VLOOKUP($E588,'Product Naming'!$A$1:$P$58,2,FALSE)</f>
        <v>Isoprene</v>
      </c>
      <c r="T588" s="1" t="str">
        <f>VLOOKUP($E588,'Product Naming'!$A$1:$P$58,3,FALSE)</f>
        <v>Isoprene</v>
      </c>
      <c r="U588" s="1" t="str">
        <f>VLOOKUP($E588,'Product Naming'!$A$1:$P$58,4,FALSE)</f>
        <v>E</v>
      </c>
      <c r="V588" s="1" t="str">
        <f>VLOOKUP($E588,'Product Naming'!$A$1:$P$58,5,FALSE)</f>
        <v>C5H8</v>
      </c>
      <c r="W588" s="1">
        <f>VLOOKUP($E588,'Product Naming'!$A$1:$P$58,6,FALSE)</f>
        <v>5</v>
      </c>
      <c r="X588" s="1">
        <f>VLOOKUP($E588,'Product Naming'!$A$1:$P$58,7,FALSE)</f>
        <v>8</v>
      </c>
      <c r="Y588" s="1">
        <f>VLOOKUP($E588,'Product Naming'!$A$1:$P$58,8,FALSE)</f>
        <v>0</v>
      </c>
      <c r="Z588" s="1">
        <f>VLOOKUP($E588,'Product Naming'!$A$1:$P$58,9,FALSE)</f>
        <v>0</v>
      </c>
      <c r="AA588" s="1">
        <f>VLOOKUP($E588,'Product Naming'!$A$1:$P$58,10,FALSE)</f>
        <v>0</v>
      </c>
      <c r="AB588" s="29">
        <f>VLOOKUP($E588,'Product Naming'!$A$1:$P$58,11,FALSE)</f>
        <v>5.6</v>
      </c>
      <c r="AC588" s="3">
        <f>VLOOKUP($E588,'Product Naming'!$A$1:$P$58,12,FALSE)</f>
        <v>68.116219999999998</v>
      </c>
      <c r="AD588" s="1">
        <f>VLOOKUP($E588,'Product Naming'!$A$1:$P$58,13,FALSE)</f>
        <v>34.07</v>
      </c>
      <c r="AE588" s="1" t="str">
        <f>VLOOKUP($E588,'Product Naming'!$A$1:$P$58,14,FALSE)</f>
        <v>Hydrocarbon</v>
      </c>
      <c r="AF588" s="1" t="str">
        <f>VLOOKUP($E588,'Product Naming'!$A$1:$P$58,15,FALSE)</f>
        <v>Acetyl-CoA</v>
      </c>
      <c r="AG588" s="30" t="str">
        <f>VLOOKUP($E588,'Product Naming'!$A$1:$P$58,16,FALSE)</f>
        <v>Diffusion</v>
      </c>
      <c r="AH588" s="3" t="str">
        <f>VLOOKUP($E588,'Product Naming'!$A$1:$Q$58,17,FALSE)</f>
        <v>iprene_c</v>
      </c>
      <c r="AI588" s="1">
        <f>VLOOKUP($E588,'Product Parameters'!$A$2:$D$59,2,FALSE)</f>
        <v>0</v>
      </c>
      <c r="AJ588" s="1">
        <f>VLOOKUP($E588,'Product Parameters'!$A$2:$D$59,3,FALSE)</f>
        <v>1</v>
      </c>
      <c r="AK588" s="1">
        <f>VLOOKUP($E588,'Product Parameters'!$A$2:$D$59,4,FALSE)</f>
        <v>0.12</v>
      </c>
      <c r="AL588" s="1">
        <f>VLOOKUP($E588,'Product Parameters'!$A$2:$E$59,5,FALSE)</f>
        <v>26.4</v>
      </c>
      <c r="AM588" s="1">
        <f>VLOOKUP($E588,'Product Parameters'!$A$2:$F$59,6,FALSE)</f>
        <v>5</v>
      </c>
      <c r="AN588" s="1">
        <f>VLOOKUP($C588,'Substrate Heating'!$A$2:$C$33,3,FALSE)</f>
        <v>1055.1294800000001</v>
      </c>
      <c r="AO588" s="1">
        <f>VLOOKUP($C588,'Substrate Heating'!$A$2:$B$33,2,FALSE)</f>
        <v>17</v>
      </c>
      <c r="AP588" s="1">
        <f>VLOOKUP($C588,'Substrate Heating'!$A$2:$M$33,13,FALSE)</f>
        <v>5</v>
      </c>
      <c r="AQ588" s="1">
        <f>VLOOKUP($C588,'Substrate Heating'!$A$2:$M$33,8,FALSE)</f>
        <v>2</v>
      </c>
      <c r="AR588" s="1">
        <f t="shared" si="9"/>
        <v>0.65794117647058503</v>
      </c>
    </row>
    <row r="589" spans="1:44" x14ac:dyDescent="0.2">
      <c r="A589" s="8" t="s">
        <v>34</v>
      </c>
      <c r="B589" s="9" t="s">
        <v>35</v>
      </c>
      <c r="C589" s="1" t="s">
        <v>322</v>
      </c>
      <c r="D589" s="10" t="s">
        <v>37</v>
      </c>
      <c r="E589" s="1" t="s">
        <v>295</v>
      </c>
      <c r="F589" s="1" t="s">
        <v>292</v>
      </c>
      <c r="G589" s="1">
        <v>-10</v>
      </c>
      <c r="H589" s="1">
        <v>-20</v>
      </c>
      <c r="I589" s="1" t="s">
        <v>40</v>
      </c>
      <c r="J589" s="1">
        <v>3.15</v>
      </c>
      <c r="K589" s="1">
        <v>-10</v>
      </c>
      <c r="L589" s="1">
        <v>-5.4849624060150504</v>
      </c>
      <c r="M589" s="1" t="s">
        <v>40</v>
      </c>
      <c r="N589" s="1">
        <v>10.3233082706767</v>
      </c>
      <c r="O589" s="1">
        <v>1.93533834586467</v>
      </c>
      <c r="Q589" s="1">
        <v>0.193533834586467</v>
      </c>
      <c r="R589" s="1">
        <v>0.288931266154905</v>
      </c>
      <c r="S589" s="1" t="str">
        <f>VLOOKUP($E589,'Product Naming'!$A$1:$P$58,2,FALSE)</f>
        <v>Pentanol-PW2</v>
      </c>
      <c r="T589" s="1" t="str">
        <f>VLOOKUP($E589,'Product Naming'!$A$1:$P$58,3,FALSE)</f>
        <v>Pentanol (PW2)</v>
      </c>
      <c r="U589" s="1" t="str">
        <f>VLOOKUP($E589,'Product Naming'!$A$1:$P$58,4,FALSE)</f>
        <v>E</v>
      </c>
      <c r="V589" s="1" t="str">
        <f>VLOOKUP($E589,'Product Naming'!$A$1:$P$58,5,FALSE)</f>
        <v>C5H12O</v>
      </c>
      <c r="W589" s="1">
        <f>VLOOKUP($E589,'Product Naming'!$A$1:$P$58,6,FALSE)</f>
        <v>5</v>
      </c>
      <c r="X589" s="1">
        <f>VLOOKUP($E589,'Product Naming'!$A$1:$P$58,7,FALSE)</f>
        <v>12</v>
      </c>
      <c r="Y589" s="1">
        <f>VLOOKUP($E589,'Product Naming'!$A$1:$P$58,8,FALSE)</f>
        <v>1</v>
      </c>
      <c r="Z589" s="1">
        <f>VLOOKUP($E589,'Product Naming'!$A$1:$P$58,9,FALSE)</f>
        <v>0</v>
      </c>
      <c r="AA589" s="1">
        <f>VLOOKUP($E589,'Product Naming'!$A$1:$P$58,10,FALSE)</f>
        <v>0</v>
      </c>
      <c r="AB589" s="29">
        <f>VLOOKUP($E589,'Product Naming'!$A$1:$P$58,11,FALSE)</f>
        <v>6</v>
      </c>
      <c r="AC589" s="3">
        <f>VLOOKUP($E589,'Product Naming'!$A$1:$P$58,12,FALSE)</f>
        <v>88.14658</v>
      </c>
      <c r="AD589" s="1">
        <f>VLOOKUP($E589,'Product Naming'!$A$1:$P$58,13,FALSE)</f>
        <v>138</v>
      </c>
      <c r="AE589" s="1" t="str">
        <f>VLOOKUP($E589,'Product Naming'!$A$1:$P$58,14,FALSE)</f>
        <v>Alcohol</v>
      </c>
      <c r="AF589" s="1" t="str">
        <f>VLOOKUP($E589,'Product Naming'!$A$1:$P$58,15,FALSE)</f>
        <v>Oxaloacetate</v>
      </c>
      <c r="AG589" s="30" t="str">
        <f>VLOOKUP($E589,'Product Naming'!$A$1:$P$58,16,FALSE)</f>
        <v>Proton symporter</v>
      </c>
      <c r="AH589" s="3" t="str">
        <f>VLOOKUP($E589,'Product Naming'!$A$1:$Q$58,17,FALSE)</f>
        <v>pentoh_c</v>
      </c>
      <c r="AI589" s="1">
        <f>VLOOKUP($E589,'Product Parameters'!$A$2:$D$59,2,FALSE)</f>
        <v>1</v>
      </c>
      <c r="AJ589" s="1">
        <f>VLOOKUP($E589,'Product Parameters'!$A$2:$D$59,3,FALSE)</f>
        <v>0</v>
      </c>
      <c r="AK589" s="1">
        <f>VLOOKUP($E589,'Product Parameters'!$A$2:$D$59,4,FALSE)</f>
        <v>0.12</v>
      </c>
      <c r="AL589" s="1">
        <f>VLOOKUP($E589,'Product Parameters'!$A$2:$E$59,5,FALSE)</f>
        <v>57</v>
      </c>
      <c r="AM589" s="1">
        <f>VLOOKUP($E589,'Product Parameters'!$A$2:$F$59,6,FALSE)</f>
        <v>5</v>
      </c>
      <c r="AN589" s="1">
        <f>VLOOKUP($C589,'Substrate Heating'!$A$2:$C$33,3,FALSE)</f>
        <v>876.74109599999997</v>
      </c>
      <c r="AO589" s="1">
        <f>VLOOKUP($C589,'Substrate Heating'!$A$2:$B$33,2,FALSE)</f>
        <v>14.6</v>
      </c>
      <c r="AP589" s="1">
        <f>VLOOKUP($C589,'Substrate Heating'!$A$2:$M$33,13,FALSE)</f>
        <v>3.5</v>
      </c>
      <c r="AQ589" s="1">
        <f>VLOOKUP($C589,'Substrate Heating'!$A$2:$M$33,8,FALSE)</f>
        <v>2</v>
      </c>
      <c r="AR589" s="1">
        <f t="shared" si="9"/>
        <v>0.4838345864661675</v>
      </c>
    </row>
    <row r="590" spans="1:44" x14ac:dyDescent="0.2">
      <c r="A590" s="8" t="s">
        <v>34</v>
      </c>
      <c r="B590" s="9" t="s">
        <v>35</v>
      </c>
      <c r="C590" s="1" t="s">
        <v>330</v>
      </c>
      <c r="D590" s="10" t="s">
        <v>37</v>
      </c>
      <c r="E590" s="1" t="s">
        <v>204</v>
      </c>
      <c r="F590" s="1" t="s">
        <v>205</v>
      </c>
      <c r="G590" s="1">
        <v>-10</v>
      </c>
      <c r="H590" s="1">
        <v>-20</v>
      </c>
      <c r="I590" s="1" t="s">
        <v>40</v>
      </c>
      <c r="J590" s="1">
        <v>3.15</v>
      </c>
      <c r="K590" s="1">
        <v>-10</v>
      </c>
      <c r="L590" s="1">
        <v>-6.5414538310412604</v>
      </c>
      <c r="M590" s="1" t="s">
        <v>40</v>
      </c>
      <c r="N590" s="1">
        <v>6.81532416502945</v>
      </c>
      <c r="O590" s="1">
        <v>0.87897838899803504</v>
      </c>
      <c r="Q590" s="1">
        <v>8.7897838899803502E-2</v>
      </c>
      <c r="R590" s="1">
        <v>0.289396607440913</v>
      </c>
      <c r="S590" s="1" t="str">
        <f>VLOOKUP($E590,'Product Naming'!$A$1:$P$58,2,FALSE)</f>
        <v>Farnesene</v>
      </c>
      <c r="T590" s="1" t="str">
        <f>VLOOKUP($E590,'Product Naming'!$A$1:$P$58,3,FALSE)</f>
        <v>Farnesene</v>
      </c>
      <c r="U590" s="1" t="str">
        <f>VLOOKUP($E590,'Product Naming'!$A$1:$P$58,4,FALSE)</f>
        <v>A</v>
      </c>
      <c r="V590" s="1" t="str">
        <f>VLOOKUP($E590,'Product Naming'!$A$1:$P$58,5,FALSE)</f>
        <v>C15H24</v>
      </c>
      <c r="W590" s="1">
        <f>VLOOKUP($E590,'Product Naming'!$A$1:$P$58,6,FALSE)</f>
        <v>15</v>
      </c>
      <c r="X590" s="1">
        <f>VLOOKUP($E590,'Product Naming'!$A$1:$P$58,7,FALSE)</f>
        <v>24</v>
      </c>
      <c r="Y590" s="1">
        <f>VLOOKUP($E590,'Product Naming'!$A$1:$P$58,8,FALSE)</f>
        <v>0</v>
      </c>
      <c r="Z590" s="1">
        <f>VLOOKUP($E590,'Product Naming'!$A$1:$P$58,9,FALSE)</f>
        <v>0</v>
      </c>
      <c r="AA590" s="1">
        <f>VLOOKUP($E590,'Product Naming'!$A$1:$P$58,10,FALSE)</f>
        <v>0</v>
      </c>
      <c r="AB590" s="29">
        <f>VLOOKUP($E590,'Product Naming'!$A$1:$P$58,11,FALSE)</f>
        <v>5.6</v>
      </c>
      <c r="AC590" s="3">
        <f>VLOOKUP($E590,'Product Naming'!$A$1:$P$58,12,FALSE)</f>
        <v>204.34866000000002</v>
      </c>
      <c r="AD590" s="1" t="str">
        <f>VLOOKUP($E590,'Product Naming'!$A$1:$P$58,13,FALSE)</f>
        <v>260 (A)/272 (B)</v>
      </c>
      <c r="AE590" s="1" t="str">
        <f>VLOOKUP($E590,'Product Naming'!$A$1:$P$58,14,FALSE)</f>
        <v>Hydrocarbon</v>
      </c>
      <c r="AF590" s="1" t="str">
        <f>VLOOKUP($E590,'Product Naming'!$A$1:$P$58,15,FALSE)</f>
        <v>Acetyl-CoA</v>
      </c>
      <c r="AG590" s="30" t="str">
        <f>VLOOKUP($E590,'Product Naming'!$A$1:$P$58,16,FALSE)</f>
        <v>Proton symporter</v>
      </c>
      <c r="AH590" s="3" t="str">
        <f>VLOOKUP($E590,'Product Naming'!$A$1:$Q$58,17,FALSE)</f>
        <v>frene_c</v>
      </c>
      <c r="AI590" s="1">
        <f>VLOOKUP($E590,'Product Parameters'!$A$2:$D$59,2,FALSE)</f>
        <v>1</v>
      </c>
      <c r="AJ590" s="1">
        <f>VLOOKUP($E590,'Product Parameters'!$A$2:$D$59,3,FALSE)</f>
        <v>0</v>
      </c>
      <c r="AK590" s="1">
        <f>VLOOKUP($E590,'Product Parameters'!$A$2:$D$59,4,FALSE)</f>
        <v>0.12</v>
      </c>
      <c r="AL590" s="1">
        <f>VLOOKUP($E590,'Product Parameters'!$A$2:$E$59,5,FALSE)</f>
        <v>0</v>
      </c>
      <c r="AM590" s="1">
        <f>VLOOKUP($E590,'Product Parameters'!$A$2:$F$59,6,FALSE)</f>
        <v>15</v>
      </c>
      <c r="AN590" s="1">
        <f>VLOOKUP($C590,'Substrate Heating'!$A$2:$C$33,3,FALSE)</f>
        <v>1055.1294800000001</v>
      </c>
      <c r="AO590" s="1">
        <f>VLOOKUP($C590,'Substrate Heating'!$A$2:$B$33,2,FALSE)</f>
        <v>17</v>
      </c>
      <c r="AP590" s="1">
        <f>VLOOKUP($C590,'Substrate Heating'!$A$2:$M$33,13,FALSE)</f>
        <v>5</v>
      </c>
      <c r="AQ590" s="1">
        <f>VLOOKUP($C590,'Substrate Heating'!$A$2:$M$33,8,FALSE)</f>
        <v>2</v>
      </c>
      <c r="AR590" s="1">
        <f t="shared" si="9"/>
        <v>0.65923379174852625</v>
      </c>
    </row>
    <row r="591" spans="1:44" x14ac:dyDescent="0.2">
      <c r="A591" s="17" t="s">
        <v>185</v>
      </c>
      <c r="B591" s="9" t="s">
        <v>35</v>
      </c>
      <c r="C591" t="s">
        <v>330</v>
      </c>
      <c r="D591" s="10" t="s">
        <v>37</v>
      </c>
      <c r="E591" t="s">
        <v>259</v>
      </c>
      <c r="F591" t="s">
        <v>260</v>
      </c>
      <c r="G591">
        <v>-10</v>
      </c>
      <c r="H591">
        <v>-20</v>
      </c>
      <c r="I591" s="1" t="s">
        <v>40</v>
      </c>
      <c r="J591">
        <v>3.15</v>
      </c>
      <c r="K591">
        <v>-10</v>
      </c>
      <c r="L591">
        <v>-6.5233038348082601</v>
      </c>
      <c r="M591" s="1" t="s">
        <v>40</v>
      </c>
      <c r="N591">
        <v>6.8023598820058897</v>
      </c>
      <c r="O591">
        <v>1.3197640117994101</v>
      </c>
      <c r="P591"/>
      <c r="Q591">
        <v>0.131976401179941</v>
      </c>
      <c r="R591">
        <v>0.28968116654360898</v>
      </c>
      <c r="S591" s="1" t="str">
        <f>VLOOKUP($E591,'Product Naming'!$A$1:$P$58,2,FALSE)</f>
        <v>Limonene</v>
      </c>
      <c r="T591" s="1" t="str">
        <f>VLOOKUP($E591,'Product Naming'!$A$1:$P$58,3,FALSE)</f>
        <v>Limonene</v>
      </c>
      <c r="U591" s="1" t="str">
        <f>VLOOKUP($E591,'Product Naming'!$A$1:$P$58,4,FALSE)</f>
        <v>E</v>
      </c>
      <c r="V591" s="1" t="str">
        <f>VLOOKUP($E591,'Product Naming'!$A$1:$P$58,5,FALSE)</f>
        <v>C10H16</v>
      </c>
      <c r="W591" s="1">
        <f>VLOOKUP($E591,'Product Naming'!$A$1:$P$58,6,FALSE)</f>
        <v>10</v>
      </c>
      <c r="X591" s="1">
        <f>VLOOKUP($E591,'Product Naming'!$A$1:$P$58,7,FALSE)</f>
        <v>16</v>
      </c>
      <c r="Y591" s="1">
        <f>VLOOKUP($E591,'Product Naming'!$A$1:$P$58,8,FALSE)</f>
        <v>0</v>
      </c>
      <c r="Z591" s="1">
        <f>VLOOKUP($E591,'Product Naming'!$A$1:$P$58,9,FALSE)</f>
        <v>0</v>
      </c>
      <c r="AA591" s="1">
        <f>VLOOKUP($E591,'Product Naming'!$A$1:$P$58,10,FALSE)</f>
        <v>0</v>
      </c>
      <c r="AB591" s="29">
        <f>VLOOKUP($E591,'Product Naming'!$A$1:$P$58,11,FALSE)</f>
        <v>5.6</v>
      </c>
      <c r="AC591" s="3">
        <f>VLOOKUP($E591,'Product Naming'!$A$1:$P$58,12,FALSE)</f>
        <v>136.23244</v>
      </c>
      <c r="AD591" s="1">
        <f>VLOOKUP($E591,'Product Naming'!$A$1:$P$58,13,FALSE)</f>
        <v>176</v>
      </c>
      <c r="AE591" s="1" t="str">
        <f>VLOOKUP($E591,'Product Naming'!$A$1:$P$58,14,FALSE)</f>
        <v>Isoprenoid; Aromatic (Cycloalkane)</v>
      </c>
      <c r="AF591" s="1" t="str">
        <f>VLOOKUP($E591,'Product Naming'!$A$1:$P$58,15,FALSE)</f>
        <v>Acetyl-CoA</v>
      </c>
      <c r="AG591" s="30" t="str">
        <f>VLOOKUP($E591,'Product Naming'!$A$1:$P$58,16,FALSE)</f>
        <v>Proton symporter</v>
      </c>
      <c r="AH591" s="3" t="str">
        <f>VLOOKUP($E591,'Product Naming'!$A$1:$Q$58,17,FALSE)</f>
        <v>limnen_c</v>
      </c>
      <c r="AI591" s="1">
        <f>VLOOKUP($E591,'Product Parameters'!$A$2:$D$59,2,FALSE)</f>
        <v>1</v>
      </c>
      <c r="AJ591" s="1">
        <f>VLOOKUP($E591,'Product Parameters'!$A$2:$D$59,3,FALSE)</f>
        <v>0</v>
      </c>
      <c r="AK591" s="1">
        <f>VLOOKUP($E591,'Product Parameters'!$A$2:$D$59,4,FALSE)</f>
        <v>0.12</v>
      </c>
      <c r="AL591" s="1">
        <f>VLOOKUP($E591,'Product Parameters'!$A$2:$E$59,5,FALSE)</f>
        <v>49.5</v>
      </c>
      <c r="AM591" s="1">
        <f>VLOOKUP($E591,'Product Parameters'!$A$2:$F$59,6,FALSE)</f>
        <v>10</v>
      </c>
      <c r="AN591" s="1">
        <f>VLOOKUP($C591,'Substrate Heating'!$A$2:$C$33,3,FALSE)</f>
        <v>1055.1294800000001</v>
      </c>
      <c r="AO591" s="1">
        <f>VLOOKUP($C591,'Substrate Heating'!$A$2:$B$33,2,FALSE)</f>
        <v>17</v>
      </c>
      <c r="AP591" s="1">
        <f>VLOOKUP($C591,'Substrate Heating'!$A$2:$M$33,13,FALSE)</f>
        <v>5</v>
      </c>
      <c r="AQ591" s="1">
        <f>VLOOKUP($C591,'Substrate Heating'!$A$2:$M$33,8,FALSE)</f>
        <v>2</v>
      </c>
      <c r="AR591" s="1">
        <f t="shared" si="9"/>
        <v>0.65988200589970503</v>
      </c>
    </row>
    <row r="592" spans="1:44" x14ac:dyDescent="0.2">
      <c r="A592" s="8" t="s">
        <v>809</v>
      </c>
      <c r="B592" s="18" t="s">
        <v>324</v>
      </c>
      <c r="C592" t="s">
        <v>808</v>
      </c>
      <c r="D592" s="19" t="s">
        <v>326</v>
      </c>
      <c r="E592" t="s">
        <v>301</v>
      </c>
      <c r="F592" t="s">
        <v>302</v>
      </c>
      <c r="G592">
        <v>-10</v>
      </c>
      <c r="H592">
        <v>0</v>
      </c>
      <c r="I592">
        <v>-20</v>
      </c>
      <c r="J592">
        <v>0.45</v>
      </c>
      <c r="K592">
        <v>-6</v>
      </c>
      <c r="L592">
        <v>0</v>
      </c>
      <c r="M592">
        <v>-20</v>
      </c>
      <c r="N592">
        <v>-6</v>
      </c>
      <c r="O592">
        <v>1.99999999999999</v>
      </c>
      <c r="P592"/>
      <c r="Q592">
        <v>0.33333333333333098</v>
      </c>
      <c r="R592">
        <v>0.28973533083645298</v>
      </c>
      <c r="S592" s="1" t="str">
        <f>VLOOKUP($E592,'Product Naming'!$A$1:$P$58,2,FALSE)</f>
        <v>Propane-PW1</v>
      </c>
      <c r="T592" s="1" t="str">
        <f>VLOOKUP($E592,'Product Naming'!$A$1:$P$58,3,FALSE)</f>
        <v>Propane (PW1)</v>
      </c>
      <c r="U592" s="1" t="str">
        <f>VLOOKUP($E592,'Product Naming'!$A$1:$P$58,4,FALSE)</f>
        <v>E</v>
      </c>
      <c r="V592" s="1" t="str">
        <f>VLOOKUP($E592,'Product Naming'!$A$1:$P$58,5,FALSE)</f>
        <v>C3H8</v>
      </c>
      <c r="W592" s="1">
        <f>VLOOKUP($E592,'Product Naming'!$A$1:$P$58,6,FALSE)</f>
        <v>3</v>
      </c>
      <c r="X592" s="1">
        <f>VLOOKUP($E592,'Product Naming'!$A$1:$P$58,7,FALSE)</f>
        <v>8</v>
      </c>
      <c r="Y592" s="1">
        <f>VLOOKUP($E592,'Product Naming'!$A$1:$P$58,8,FALSE)</f>
        <v>0</v>
      </c>
      <c r="Z592" s="1">
        <f>VLOOKUP($E592,'Product Naming'!$A$1:$P$58,9,FALSE)</f>
        <v>0</v>
      </c>
      <c r="AA592" s="1">
        <f>VLOOKUP($E592,'Product Naming'!$A$1:$P$58,10,FALSE)</f>
        <v>0</v>
      </c>
      <c r="AB592" s="29">
        <f>VLOOKUP($E592,'Product Naming'!$A$1:$P$58,11,FALSE)</f>
        <v>6.666666666666667</v>
      </c>
      <c r="AC592" s="3">
        <f>VLOOKUP($E592,'Product Naming'!$A$1:$P$58,12,FALSE)</f>
        <v>44.094819999999999</v>
      </c>
      <c r="AD592" s="1">
        <f>VLOOKUP($E592,'Product Naming'!$A$1:$P$58,13,FALSE)</f>
        <v>-42</v>
      </c>
      <c r="AE592" s="1" t="str">
        <f>VLOOKUP($E592,'Product Naming'!$A$1:$P$58,14,FALSE)</f>
        <v>Hydrocarbon</v>
      </c>
      <c r="AF592" s="1" t="str">
        <f>VLOOKUP($E592,'Product Naming'!$A$1:$P$58,15,FALSE)</f>
        <v>Acetyl-CoA</v>
      </c>
      <c r="AG592" s="30" t="str">
        <f>VLOOKUP($E592,'Product Naming'!$A$1:$P$58,16,FALSE)</f>
        <v>Diffusion</v>
      </c>
      <c r="AH592" s="3" t="str">
        <f>VLOOKUP($E592,'Product Naming'!$A$1:$Q$58,17,FALSE)</f>
        <v>prop_c</v>
      </c>
      <c r="AI592" s="1">
        <f>VLOOKUP($E592,'Product Parameters'!$A$2:$D$59,2,FALSE)</f>
        <v>0</v>
      </c>
      <c r="AJ592" s="1">
        <f>VLOOKUP($E592,'Product Parameters'!$A$2:$D$59,3,FALSE)</f>
        <v>1</v>
      </c>
      <c r="AK592" s="1">
        <f>VLOOKUP($E592,'Product Parameters'!$A$2:$D$59,4,FALSE)</f>
        <v>0.12</v>
      </c>
      <c r="AL592" s="1">
        <f>VLOOKUP($E592,'Product Parameters'!$A$2:$E$59,5,FALSE)</f>
        <v>0</v>
      </c>
      <c r="AM592" s="1">
        <f>VLOOKUP($E592,'Product Parameters'!$A$2:$F$59,6,FALSE)</f>
        <v>3</v>
      </c>
      <c r="AN592" s="1">
        <f>VLOOKUP($C592,'Substrate Heating'!$A$2:$C$33,3,FALSE)</f>
        <v>120.9</v>
      </c>
      <c r="AO592" s="1">
        <f>VLOOKUP($C592,'Substrate Heating'!$A$2:$B$33,2,FALSE)</f>
        <v>5.2537372583834907</v>
      </c>
      <c r="AP592" s="1">
        <f>VLOOKUP($C592,'Substrate Heating'!$A$2:$M$33,13,FALSE)</f>
        <v>0</v>
      </c>
      <c r="AQ592" s="1">
        <f>VLOOKUP($C592,'Substrate Heating'!$A$2:$M$33,8,FALSE)</f>
        <v>0.33333333333333331</v>
      </c>
      <c r="AR592" s="1">
        <f t="shared" si="9"/>
        <v>2.9999999999999787</v>
      </c>
    </row>
    <row r="593" spans="1:44" x14ac:dyDescent="0.2">
      <c r="A593" s="8" t="s">
        <v>34</v>
      </c>
      <c r="B593" s="9" t="s">
        <v>35</v>
      </c>
      <c r="C593" s="1" t="s">
        <v>344</v>
      </c>
      <c r="D593" s="10" t="s">
        <v>37</v>
      </c>
      <c r="E593" s="1" t="s">
        <v>91</v>
      </c>
      <c r="F593" s="1" t="s">
        <v>92</v>
      </c>
      <c r="G593" s="1">
        <v>-10</v>
      </c>
      <c r="H593" s="1">
        <v>-20</v>
      </c>
      <c r="I593" s="1" t="s">
        <v>40</v>
      </c>
      <c r="J593" s="1">
        <v>3.15</v>
      </c>
      <c r="K593" s="1">
        <v>-10</v>
      </c>
      <c r="L593" s="1">
        <v>-5.15</v>
      </c>
      <c r="M593" s="1" t="s">
        <v>40</v>
      </c>
      <c r="N593" s="1">
        <v>10.1</v>
      </c>
      <c r="O593" s="1">
        <v>1.98</v>
      </c>
      <c r="Q593" s="1">
        <v>0.19800000000000001</v>
      </c>
      <c r="R593" s="1">
        <v>0.290631833077999</v>
      </c>
      <c r="S593" s="1" t="str">
        <f>VLOOKUP($E593,'Product Naming'!$A$1:$P$58,2,FALSE)</f>
        <v>2-Methyl-1-Butanol</v>
      </c>
      <c r="T593" s="1" t="str">
        <f>VLOOKUP($E593,'Product Naming'!$A$1:$P$58,3,FALSE)</f>
        <v>2-Methyl-1-butanol</v>
      </c>
      <c r="U593" s="1" t="str">
        <f>VLOOKUP($E593,'Product Naming'!$A$1:$P$58,4,FALSE)</f>
        <v>A</v>
      </c>
      <c r="V593" s="1" t="str">
        <f>VLOOKUP($E593,'Product Naming'!$A$1:$P$58,5,FALSE)</f>
        <v>C5H12O</v>
      </c>
      <c r="W593" s="1">
        <f>VLOOKUP($E593,'Product Naming'!$A$1:$P$58,6,FALSE)</f>
        <v>5</v>
      </c>
      <c r="X593" s="1">
        <f>VLOOKUP($E593,'Product Naming'!$A$1:$P$58,7,FALSE)</f>
        <v>12</v>
      </c>
      <c r="Y593" s="1">
        <f>VLOOKUP($E593,'Product Naming'!$A$1:$P$58,8,FALSE)</f>
        <v>1</v>
      </c>
      <c r="Z593" s="1">
        <f>VLOOKUP($E593,'Product Naming'!$A$1:$P$58,9,FALSE)</f>
        <v>0</v>
      </c>
      <c r="AA593" s="1">
        <f>VLOOKUP($E593,'Product Naming'!$A$1:$P$58,10,FALSE)</f>
        <v>0</v>
      </c>
      <c r="AB593" s="29">
        <f>VLOOKUP($E593,'Product Naming'!$A$1:$P$58,11,FALSE)</f>
        <v>6</v>
      </c>
      <c r="AC593" s="3">
        <f>VLOOKUP($E593,'Product Naming'!$A$1:$P$58,12,FALSE)</f>
        <v>88.14658</v>
      </c>
      <c r="AD593" s="1">
        <f>VLOOKUP($E593,'Product Naming'!$A$1:$P$58,13,FALSE)</f>
        <v>129</v>
      </c>
      <c r="AE593" s="1" t="str">
        <f>VLOOKUP($E593,'Product Naming'!$A$1:$P$58,14,FALSE)</f>
        <v>Alcohol</v>
      </c>
      <c r="AF593" s="1" t="str">
        <f>VLOOKUP($E593,'Product Naming'!$A$1:$P$58,15,FALSE)</f>
        <v>PEP</v>
      </c>
      <c r="AG593" s="30" t="str">
        <f>VLOOKUP($E593,'Product Naming'!$A$1:$P$58,16,FALSE)</f>
        <v>Proton symporter</v>
      </c>
      <c r="AH593" s="3" t="str">
        <f>VLOOKUP($E593,'Product Naming'!$A$1:$Q$58,17,FALSE)</f>
        <v>2mbtoh_c</v>
      </c>
      <c r="AI593" s="1">
        <f>VLOOKUP($E593,'Product Parameters'!$A$2:$D$59,2,FALSE)</f>
        <v>1</v>
      </c>
      <c r="AJ593" s="1">
        <f>VLOOKUP($E593,'Product Parameters'!$A$2:$D$59,3,FALSE)</f>
        <v>0</v>
      </c>
      <c r="AK593" s="1">
        <f>VLOOKUP($E593,'Product Parameters'!$A$2:$D$59,4,FALSE)</f>
        <v>0.12</v>
      </c>
      <c r="AL593" s="1">
        <f>VLOOKUP($E593,'Product Parameters'!$A$2:$E$59,5,FALSE)</f>
        <v>54.6</v>
      </c>
      <c r="AM593" s="1">
        <f>VLOOKUP($E593,'Product Parameters'!$A$2:$F$59,6,FALSE)</f>
        <v>5</v>
      </c>
      <c r="AN593" s="1">
        <f>VLOOKUP($C593,'Substrate Heating'!$A$2:$C$33,3,FALSE)</f>
        <v>1020.8629199999999</v>
      </c>
      <c r="AO593" s="1">
        <f>VLOOKUP($C593,'Substrate Heating'!$A$2:$B$33,2,FALSE)</f>
        <v>17</v>
      </c>
      <c r="AP593" s="1">
        <f>VLOOKUP($C593,'Substrate Heating'!$A$2:$M$33,13,FALSE)</f>
        <v>4</v>
      </c>
      <c r="AQ593" s="1">
        <f>VLOOKUP($C593,'Substrate Heating'!$A$2:$M$33,8,FALSE)</f>
        <v>2</v>
      </c>
      <c r="AR593" s="1">
        <f t="shared" si="9"/>
        <v>0.495</v>
      </c>
    </row>
    <row r="594" spans="1:44" x14ac:dyDescent="0.2">
      <c r="A594" s="8" t="s">
        <v>34</v>
      </c>
      <c r="B594" s="9" t="s">
        <v>35</v>
      </c>
      <c r="C594" s="1" t="s">
        <v>349</v>
      </c>
      <c r="D594" s="25" t="s">
        <v>342</v>
      </c>
      <c r="E594" s="1" t="s">
        <v>287</v>
      </c>
      <c r="F594" s="1" t="s">
        <v>288</v>
      </c>
      <c r="G594" s="1">
        <v>-10</v>
      </c>
      <c r="H594" s="1">
        <v>-20</v>
      </c>
      <c r="I594" s="1" t="s">
        <v>40</v>
      </c>
      <c r="J594" s="1">
        <v>3.15</v>
      </c>
      <c r="K594" s="1">
        <v>-10</v>
      </c>
      <c r="L594" s="1">
        <v>-1.5446808510638299</v>
      </c>
      <c r="M594" s="1" t="s">
        <v>40</v>
      </c>
      <c r="N594" s="1">
        <v>19.715425531914899</v>
      </c>
      <c r="O594" s="1">
        <v>6.0569148936170203</v>
      </c>
      <c r="Q594" s="1">
        <v>0.60569148936170203</v>
      </c>
      <c r="R594" s="1">
        <v>0.29107556906709198</v>
      </c>
      <c r="S594" s="1" t="str">
        <f>VLOOKUP($E594,'Product Naming'!$A$1:$P$58,2,FALSE)</f>
        <v>Pentane</v>
      </c>
      <c r="T594" s="1" t="str">
        <f>VLOOKUP($E594,'Product Naming'!$A$1:$P$58,3,FALSE)</f>
        <v>Pentane</v>
      </c>
      <c r="U594" s="1" t="str">
        <f>VLOOKUP($E594,'Product Naming'!$A$1:$P$58,4,FALSE)</f>
        <v>E</v>
      </c>
      <c r="V594" s="1" t="str">
        <f>VLOOKUP($E594,'Product Naming'!$A$1:$P$58,5,FALSE)</f>
        <v>C5H12</v>
      </c>
      <c r="W594" s="1">
        <f>VLOOKUP($E594,'Product Naming'!$A$1:$P$58,6,FALSE)</f>
        <v>5</v>
      </c>
      <c r="X594" s="1">
        <f>VLOOKUP($E594,'Product Naming'!$A$1:$P$58,7,FALSE)</f>
        <v>12</v>
      </c>
      <c r="Y594" s="1">
        <f>VLOOKUP($E594,'Product Naming'!$A$1:$P$58,8,FALSE)</f>
        <v>0</v>
      </c>
      <c r="Z594" s="1">
        <f>VLOOKUP($E594,'Product Naming'!$A$1:$P$58,9,FALSE)</f>
        <v>0</v>
      </c>
      <c r="AA594" s="1">
        <f>VLOOKUP($E594,'Product Naming'!$A$1:$P$58,10,FALSE)</f>
        <v>0</v>
      </c>
      <c r="AB594" s="29">
        <f>VLOOKUP($E594,'Product Naming'!$A$1:$P$58,11,FALSE)</f>
        <v>6.4</v>
      </c>
      <c r="AC594" s="3">
        <f>VLOOKUP($E594,'Product Naming'!$A$1:$P$58,12,FALSE)</f>
        <v>72.147580000000005</v>
      </c>
      <c r="AD594" s="1">
        <f>VLOOKUP($E594,'Product Naming'!$A$1:$P$58,13,FALSE)</f>
        <v>36.1</v>
      </c>
      <c r="AE594" s="1" t="str">
        <f>VLOOKUP($E594,'Product Naming'!$A$1:$P$58,14,FALSE)</f>
        <v>Hydrocarbon (alkane)</v>
      </c>
      <c r="AF594" s="1" t="str">
        <f>VLOOKUP($E594,'Product Naming'!$A$1:$P$58,15,FALSE)</f>
        <v>Acetyl-CoA</v>
      </c>
      <c r="AG594" s="30" t="str">
        <f>VLOOKUP($E594,'Product Naming'!$A$1:$P$58,16,FALSE)</f>
        <v>Diffusion</v>
      </c>
      <c r="AH594" s="3" t="str">
        <f>VLOOKUP($E594,'Product Naming'!$A$1:$Q$58,17,FALSE)</f>
        <v>pent_c</v>
      </c>
      <c r="AI594" s="1">
        <f>VLOOKUP($E594,'Product Parameters'!$A$2:$D$59,2,FALSE)</f>
        <v>0</v>
      </c>
      <c r="AJ594" s="1">
        <f>VLOOKUP($E594,'Product Parameters'!$A$2:$D$59,3,FALSE)</f>
        <v>1</v>
      </c>
      <c r="AK594" s="1">
        <f>VLOOKUP($E594,'Product Parameters'!$A$2:$D$59,4,FALSE)</f>
        <v>0.12</v>
      </c>
      <c r="AL594" s="1">
        <f>VLOOKUP($E594,'Product Parameters'!$A$2:$E$59,5,FALSE)</f>
        <v>26.5</v>
      </c>
      <c r="AM594" s="1">
        <f>VLOOKUP($E594,'Product Parameters'!$A$2:$F$59,6,FALSE)</f>
        <v>5</v>
      </c>
      <c r="AN594" s="1">
        <f>VLOOKUP($C594,'Substrate Heating'!$A$2:$C$33,3,FALSE)</f>
        <v>2342.0279999999998</v>
      </c>
      <c r="AO594" s="1">
        <f>VLOOKUP($C594,'Substrate Heating'!$A$2:$B$33,2,FALSE)</f>
        <v>15.6</v>
      </c>
      <c r="AP594" s="1">
        <f>VLOOKUP($C594,'Substrate Heating'!$A$2:$M$33,13,FALSE)</f>
        <v>4</v>
      </c>
      <c r="AQ594" s="1">
        <f>VLOOKUP($C594,'Substrate Heating'!$A$2:$M$33,8,FALSE)</f>
        <v>5</v>
      </c>
      <c r="AR594" s="1">
        <f t="shared" si="9"/>
        <v>0.60569148936170203</v>
      </c>
    </row>
    <row r="595" spans="1:44" x14ac:dyDescent="0.2">
      <c r="A595" s="17" t="s">
        <v>323</v>
      </c>
      <c r="B595" s="18" t="s">
        <v>324</v>
      </c>
      <c r="C595" t="s">
        <v>327</v>
      </c>
      <c r="D595" s="19" t="s">
        <v>326</v>
      </c>
      <c r="E595" t="s">
        <v>52</v>
      </c>
      <c r="F595" t="s">
        <v>53</v>
      </c>
      <c r="G595">
        <v>-10</v>
      </c>
      <c r="H595">
        <v>0</v>
      </c>
      <c r="I595">
        <v>-5</v>
      </c>
      <c r="J595">
        <v>0.45</v>
      </c>
      <c r="K595">
        <v>-10</v>
      </c>
      <c r="L595">
        <v>0</v>
      </c>
      <c r="M595">
        <v>-5</v>
      </c>
      <c r="N595">
        <v>3.6115384615384598</v>
      </c>
      <c r="O595">
        <v>1.11153846153846</v>
      </c>
      <c r="P595"/>
      <c r="Q595">
        <v>0.11115384615384601</v>
      </c>
      <c r="R595">
        <v>0.29163360308540498</v>
      </c>
      <c r="S595" s="1" t="str">
        <f>VLOOKUP($E595,'Product Naming'!$A$1:$P$58,2,FALSE)</f>
        <v>1-3-Diaminopropane</v>
      </c>
      <c r="T595" s="1" t="str">
        <f>VLOOKUP($E595,'Product Naming'!$A$1:$P$58,3,FALSE)</f>
        <v>1,3-Diaminopropane</v>
      </c>
      <c r="U595" s="1" t="str">
        <f>VLOOKUP($E595,'Product Naming'!$A$1:$P$58,4,FALSE)</f>
        <v>A</v>
      </c>
      <c r="V595" s="1" t="str">
        <f>VLOOKUP($E595,'Product Naming'!$A$1:$P$58,5,FALSE)</f>
        <v>C3H12N2</v>
      </c>
      <c r="W595" s="1">
        <f>VLOOKUP($E595,'Product Naming'!$A$1:$P$58,6,FALSE)</f>
        <v>3</v>
      </c>
      <c r="X595" s="1">
        <f>VLOOKUP($E595,'Product Naming'!$A$1:$P$58,7,FALSE)</f>
        <v>12</v>
      </c>
      <c r="Y595" s="1">
        <f>VLOOKUP($E595,'Product Naming'!$A$1:$P$58,8,FALSE)</f>
        <v>0</v>
      </c>
      <c r="Z595" s="1">
        <f>VLOOKUP($E595,'Product Naming'!$A$1:$P$58,9,FALSE)</f>
        <v>2</v>
      </c>
      <c r="AA595" s="1">
        <f>VLOOKUP($E595,'Product Naming'!$A$1:$P$58,10,FALSE)</f>
        <v>2</v>
      </c>
      <c r="AB595" s="29">
        <f>VLOOKUP($E595,'Product Naming'!$A$1:$P$58,11,FALSE)</f>
        <v>6</v>
      </c>
      <c r="AC595" s="3">
        <f>VLOOKUP($E595,'Product Naming'!$A$1:$P$58,12,FALSE)</f>
        <v>76.139580000000009</v>
      </c>
      <c r="AD595" s="1">
        <f>VLOOKUP($E595,'Product Naming'!$A$1:$P$58,13,FALSE)</f>
        <v>139.30000000000001</v>
      </c>
      <c r="AE595" s="1" t="str">
        <f>VLOOKUP($E595,'Product Naming'!$A$1:$P$58,14,FALSE)</f>
        <v>Diamine</v>
      </c>
      <c r="AF595" s="1" t="str">
        <f>VLOOKUP($E595,'Product Naming'!$A$1:$P$58,15,FALSE)</f>
        <v>Oxaloacetate + aKG</v>
      </c>
      <c r="AG595" s="30" t="str">
        <f>VLOOKUP($E595,'Product Naming'!$A$1:$P$58,16,FALSE)</f>
        <v>Proton symporter</v>
      </c>
      <c r="AH595" s="3" t="str">
        <f>VLOOKUP($E595,'Product Naming'!$A$1:$Q$58,17,FALSE)</f>
        <v>13dampp_c</v>
      </c>
      <c r="AI595" s="1">
        <f>VLOOKUP($E595,'Product Parameters'!$A$2:$D$59,2,FALSE)</f>
        <v>1</v>
      </c>
      <c r="AJ595" s="1">
        <f>VLOOKUP($E595,'Product Parameters'!$A$2:$D$59,3,FALSE)</f>
        <v>0</v>
      </c>
      <c r="AK595" s="1">
        <f>VLOOKUP($E595,'Product Parameters'!$A$2:$D$59,4,FALSE)</f>
        <v>0.12</v>
      </c>
      <c r="AL595" s="1">
        <f>VLOOKUP($E595,'Product Parameters'!$A$2:$E$59,5,FALSE)</f>
        <v>50.18</v>
      </c>
      <c r="AM595" s="1">
        <f>VLOOKUP($E595,'Product Parameters'!$A$2:$F$59,6,FALSE)</f>
        <v>3</v>
      </c>
      <c r="AN595" s="1">
        <f>VLOOKUP($C595,'Substrate Heating'!$A$2:$C$33,3,FALSE)</f>
        <v>269.26666666666665</v>
      </c>
      <c r="AO595" s="1">
        <f>VLOOKUP($C595,'Substrate Heating'!$A$2:$B$33,2,FALSE)</f>
        <v>13.919167510409219</v>
      </c>
      <c r="AP595" s="1">
        <f>VLOOKUP($C595,'Substrate Heating'!$A$2:$M$33,13,FALSE)</f>
        <v>1.3333333333333333</v>
      </c>
      <c r="AQ595" s="1">
        <f>VLOOKUP($C595,'Substrate Heating'!$A$2:$M$33,8,FALSE)</f>
        <v>0.66666666666666663</v>
      </c>
      <c r="AR595" s="1">
        <f t="shared" si="9"/>
        <v>0.50019230769230705</v>
      </c>
    </row>
    <row r="596" spans="1:44" x14ac:dyDescent="0.2">
      <c r="A596" s="17" t="s">
        <v>323</v>
      </c>
      <c r="B596" s="18" t="s">
        <v>324</v>
      </c>
      <c r="C596" t="s">
        <v>325</v>
      </c>
      <c r="D596" s="19" t="s">
        <v>326</v>
      </c>
      <c r="E596" t="s">
        <v>38</v>
      </c>
      <c r="F596" t="s">
        <v>39</v>
      </c>
      <c r="G596">
        <v>-10</v>
      </c>
      <c r="H596">
        <v>0</v>
      </c>
      <c r="I596">
        <v>0</v>
      </c>
      <c r="J596">
        <v>0.45</v>
      </c>
      <c r="K596">
        <v>-10</v>
      </c>
      <c r="L596">
        <v>0</v>
      </c>
      <c r="M596">
        <v>0</v>
      </c>
      <c r="N596">
        <v>6.3636363636363704</v>
      </c>
      <c r="O596">
        <v>0.90909090909090695</v>
      </c>
      <c r="P596"/>
      <c r="Q596">
        <v>9.0909090909090995E-2</v>
      </c>
      <c r="R596">
        <v>0.29249034435753402</v>
      </c>
      <c r="S596" s="1" t="str">
        <f>VLOOKUP($E596,'Product Naming'!$A$1:$P$58,2,FALSE)</f>
        <v>1-3-butanediol-PW1</v>
      </c>
      <c r="T596" s="1" t="str">
        <f>VLOOKUP($E596,'Product Naming'!$A$1:$P$58,3,FALSE)</f>
        <v>1,3-Butanediol (PW1)</v>
      </c>
      <c r="U596" s="1" t="str">
        <f>VLOOKUP($E596,'Product Naming'!$A$1:$P$58,4,FALSE)</f>
        <v>E</v>
      </c>
      <c r="V596" s="1" t="str">
        <f>VLOOKUP($E596,'Product Naming'!$A$1:$P$58,5,FALSE)</f>
        <v>C4H10O2</v>
      </c>
      <c r="W596" s="1">
        <f>VLOOKUP($E596,'Product Naming'!$A$1:$P$58,6,FALSE)</f>
        <v>4</v>
      </c>
      <c r="X596" s="1">
        <f>VLOOKUP($E596,'Product Naming'!$A$1:$P$58,7,FALSE)</f>
        <v>10</v>
      </c>
      <c r="Y596" s="1">
        <f>VLOOKUP($E596,'Product Naming'!$A$1:$P$58,8,FALSE)</f>
        <v>2</v>
      </c>
      <c r="Z596" s="1">
        <f>VLOOKUP($E596,'Product Naming'!$A$1:$P$58,9,FALSE)</f>
        <v>0</v>
      </c>
      <c r="AA596" s="1">
        <f>VLOOKUP($E596,'Product Naming'!$A$1:$P$58,10,FALSE)</f>
        <v>0</v>
      </c>
      <c r="AB596" s="29">
        <f>VLOOKUP($E596,'Product Naming'!$A$1:$P$58,11,FALSE)</f>
        <v>5.5</v>
      </c>
      <c r="AC596" s="3">
        <f>VLOOKUP($E596,'Product Naming'!$A$1:$P$58,12,FALSE)</f>
        <v>90.119200000000006</v>
      </c>
      <c r="AD596" s="1">
        <f>VLOOKUP($E596,'Product Naming'!$A$1:$P$58,13,FALSE)</f>
        <v>207</v>
      </c>
      <c r="AE596" s="1" t="str">
        <f>VLOOKUP($E596,'Product Naming'!$A$1:$P$58,14,FALSE)</f>
        <v>Diol</v>
      </c>
      <c r="AF596" s="1" t="str">
        <f>VLOOKUP($E596,'Product Naming'!$A$1:$P$58,15,FALSE)</f>
        <v>Acetyl-CoA</v>
      </c>
      <c r="AG596" s="30" t="str">
        <f>VLOOKUP($E596,'Product Naming'!$A$1:$P$58,16,FALSE)</f>
        <v>Proton symporter</v>
      </c>
      <c r="AH596" s="3" t="str">
        <f>VLOOKUP($E596,'Product Naming'!$A$1:$Q$58,17,FALSE)</f>
        <v>13bdo__R_c</v>
      </c>
      <c r="AI596" s="1">
        <f>VLOOKUP($E596,'Product Parameters'!$A$2:$D$59,2,FALSE)</f>
        <v>1</v>
      </c>
      <c r="AJ596" s="1">
        <f>VLOOKUP($E596,'Product Parameters'!$A$2:$D$59,3,FALSE)</f>
        <v>0</v>
      </c>
      <c r="AK596" s="1">
        <f>VLOOKUP($E596,'Product Parameters'!$A$2:$D$59,4,FALSE)</f>
        <v>0.12</v>
      </c>
      <c r="AL596" s="1">
        <f>VLOOKUP($E596,'Product Parameters'!$A$2:$E$59,5,FALSE)</f>
        <v>72.599999999999994</v>
      </c>
      <c r="AM596" s="1">
        <f>VLOOKUP($E596,'Product Parameters'!$A$2:$F$59,6,FALSE)</f>
        <v>4</v>
      </c>
      <c r="AN596" s="1">
        <f>VLOOKUP($C596,'Substrate Heating'!$A$2:$C$33,3,FALSE)</f>
        <v>280.09700000000004</v>
      </c>
      <c r="AO596" s="1">
        <f>VLOOKUP($C596,'Substrate Heating'!$A$2:$B$33,2,FALSE)</f>
        <v>10</v>
      </c>
      <c r="AP596" s="1">
        <f>VLOOKUP($C596,'Substrate Heating'!$A$2:$M$33,13,FALSE)</f>
        <v>2</v>
      </c>
      <c r="AQ596" s="1">
        <f>VLOOKUP($C596,'Substrate Heating'!$A$2:$M$33,8,FALSE)</f>
        <v>1</v>
      </c>
      <c r="AR596" s="1">
        <f t="shared" si="9"/>
        <v>0.36363636363636398</v>
      </c>
    </row>
    <row r="597" spans="1:44" x14ac:dyDescent="0.2">
      <c r="A597" s="17" t="s">
        <v>323</v>
      </c>
      <c r="B597" s="18" t="s">
        <v>324</v>
      </c>
      <c r="C597" t="s">
        <v>325</v>
      </c>
      <c r="D597" s="19" t="s">
        <v>326</v>
      </c>
      <c r="E597" t="s">
        <v>48</v>
      </c>
      <c r="F597" t="s">
        <v>39</v>
      </c>
      <c r="G597">
        <v>-10</v>
      </c>
      <c r="H597">
        <v>0</v>
      </c>
      <c r="I597">
        <v>0</v>
      </c>
      <c r="J597">
        <v>0.45</v>
      </c>
      <c r="K597">
        <v>-10</v>
      </c>
      <c r="L597">
        <v>0</v>
      </c>
      <c r="M597">
        <v>0</v>
      </c>
      <c r="N597">
        <v>6.3636363636363704</v>
      </c>
      <c r="O597">
        <v>0.90909090909090795</v>
      </c>
      <c r="P597"/>
      <c r="Q597">
        <v>9.0909090909090995E-2</v>
      </c>
      <c r="R597">
        <v>0.29249034435753402</v>
      </c>
      <c r="S597" s="1" t="str">
        <f>VLOOKUP($E597,'Product Naming'!$A$1:$P$58,2,FALSE)</f>
        <v>1-3-butanediol-PW2</v>
      </c>
      <c r="T597" s="1" t="str">
        <f>VLOOKUP($E597,'Product Naming'!$A$1:$P$58,3,FALSE)</f>
        <v>1,3-Butanediol (PW2)</v>
      </c>
      <c r="U597" s="1" t="str">
        <f>VLOOKUP($E597,'Product Naming'!$A$1:$P$58,4,FALSE)</f>
        <v>E</v>
      </c>
      <c r="V597" s="1" t="str">
        <f>VLOOKUP($E597,'Product Naming'!$A$1:$P$58,5,FALSE)</f>
        <v>C4H10O2</v>
      </c>
      <c r="W597" s="1">
        <f>VLOOKUP($E597,'Product Naming'!$A$1:$P$58,6,FALSE)</f>
        <v>4</v>
      </c>
      <c r="X597" s="1">
        <f>VLOOKUP($E597,'Product Naming'!$A$1:$P$58,7,FALSE)</f>
        <v>10</v>
      </c>
      <c r="Y597" s="1">
        <f>VLOOKUP($E597,'Product Naming'!$A$1:$P$58,8,FALSE)</f>
        <v>2</v>
      </c>
      <c r="Z597" s="1">
        <f>VLOOKUP($E597,'Product Naming'!$A$1:$P$58,9,FALSE)</f>
        <v>0</v>
      </c>
      <c r="AA597" s="1">
        <f>VLOOKUP($E597,'Product Naming'!$A$1:$P$58,10,FALSE)</f>
        <v>0</v>
      </c>
      <c r="AB597" s="29">
        <f>VLOOKUP($E597,'Product Naming'!$A$1:$P$58,11,FALSE)</f>
        <v>5.5</v>
      </c>
      <c r="AC597" s="3">
        <f>VLOOKUP($E597,'Product Naming'!$A$1:$P$58,12,FALSE)</f>
        <v>90.119200000000006</v>
      </c>
      <c r="AD597" s="1">
        <f>VLOOKUP($E597,'Product Naming'!$A$1:$P$58,13,FALSE)</f>
        <v>207</v>
      </c>
      <c r="AE597" s="1" t="str">
        <f>VLOOKUP($E597,'Product Naming'!$A$1:$P$58,14,FALSE)</f>
        <v>Diol</v>
      </c>
      <c r="AF597" s="1" t="str">
        <f>VLOOKUP($E597,'Product Naming'!$A$1:$P$58,15,FALSE)</f>
        <v>Pyruvate (acetalehyde)</v>
      </c>
      <c r="AG597" s="30" t="str">
        <f>VLOOKUP($E597,'Product Naming'!$A$1:$P$58,16,FALSE)</f>
        <v>Proton symporter</v>
      </c>
      <c r="AH597" s="3" t="str">
        <f>VLOOKUP($E597,'Product Naming'!$A$1:$Q$58,17,FALSE)</f>
        <v>13bdo__R_c</v>
      </c>
      <c r="AI597" s="1">
        <f>VLOOKUP($E597,'Product Parameters'!$A$2:$D$59,2,FALSE)</f>
        <v>1</v>
      </c>
      <c r="AJ597" s="1">
        <f>VLOOKUP($E597,'Product Parameters'!$A$2:$D$59,3,FALSE)</f>
        <v>0</v>
      </c>
      <c r="AK597" s="1">
        <f>VLOOKUP($E597,'Product Parameters'!$A$2:$D$59,4,FALSE)</f>
        <v>0.12</v>
      </c>
      <c r="AL597" s="1">
        <f>VLOOKUP($E597,'Product Parameters'!$A$2:$E$59,5,FALSE)</f>
        <v>72.599999999999994</v>
      </c>
      <c r="AM597" s="1">
        <f>VLOOKUP($E597,'Product Parameters'!$A$2:$F$59,6,FALSE)</f>
        <v>4</v>
      </c>
      <c r="AN597" s="1">
        <f>VLOOKUP($C597,'Substrate Heating'!$A$2:$C$33,3,FALSE)</f>
        <v>280.09700000000004</v>
      </c>
      <c r="AO597" s="1">
        <f>VLOOKUP($C597,'Substrate Heating'!$A$2:$B$33,2,FALSE)</f>
        <v>10</v>
      </c>
      <c r="AP597" s="1">
        <f>VLOOKUP($C597,'Substrate Heating'!$A$2:$M$33,13,FALSE)</f>
        <v>2</v>
      </c>
      <c r="AQ597" s="1">
        <f>VLOOKUP($C597,'Substrate Heating'!$A$2:$M$33,8,FALSE)</f>
        <v>1</v>
      </c>
      <c r="AR597" s="1">
        <f t="shared" si="9"/>
        <v>0.36363636363636398</v>
      </c>
    </row>
    <row r="598" spans="1:44" x14ac:dyDescent="0.2">
      <c r="A598" s="17" t="s">
        <v>323</v>
      </c>
      <c r="B598" s="18" t="s">
        <v>324</v>
      </c>
      <c r="C598" t="s">
        <v>325</v>
      </c>
      <c r="D598" s="19" t="s">
        <v>326</v>
      </c>
      <c r="E598" t="s">
        <v>85</v>
      </c>
      <c r="F598" t="s">
        <v>86</v>
      </c>
      <c r="G598">
        <v>-10</v>
      </c>
      <c r="H598">
        <v>0</v>
      </c>
      <c r="I598">
        <v>0</v>
      </c>
      <c r="J598">
        <v>0.45</v>
      </c>
      <c r="K598">
        <v>-10</v>
      </c>
      <c r="L598">
        <v>0</v>
      </c>
      <c r="M598">
        <v>0</v>
      </c>
      <c r="N598">
        <v>6.3636363636363598</v>
      </c>
      <c r="O598">
        <v>0.90909090909090895</v>
      </c>
      <c r="P598"/>
      <c r="Q598">
        <v>9.0909090909090995E-2</v>
      </c>
      <c r="R598">
        <v>0.29249034435753402</v>
      </c>
      <c r="S598" s="1" t="str">
        <f>VLOOKUP($E598,'Product Naming'!$A$1:$P$58,2,FALSE)</f>
        <v>2-3-butanediol</v>
      </c>
      <c r="T598" s="1" t="str">
        <f>VLOOKUP($E598,'Product Naming'!$A$1:$P$58,3,FALSE)</f>
        <v>2,3-Butanediol</v>
      </c>
      <c r="U598" s="1" t="str">
        <f>VLOOKUP($E598,'Product Naming'!$A$1:$P$58,4,FALSE)</f>
        <v>E</v>
      </c>
      <c r="V598" s="1" t="str">
        <f>VLOOKUP($E598,'Product Naming'!$A$1:$P$58,5,FALSE)</f>
        <v>C4H10O2</v>
      </c>
      <c r="W598" s="1">
        <f>VLOOKUP($E598,'Product Naming'!$A$1:$P$58,6,FALSE)</f>
        <v>4</v>
      </c>
      <c r="X598" s="1">
        <f>VLOOKUP($E598,'Product Naming'!$A$1:$P$58,7,FALSE)</f>
        <v>10</v>
      </c>
      <c r="Y598" s="1">
        <f>VLOOKUP($E598,'Product Naming'!$A$1:$P$58,8,FALSE)</f>
        <v>2</v>
      </c>
      <c r="Z598" s="1">
        <f>VLOOKUP($E598,'Product Naming'!$A$1:$P$58,9,FALSE)</f>
        <v>0</v>
      </c>
      <c r="AA598" s="1">
        <f>VLOOKUP($E598,'Product Naming'!$A$1:$P$58,10,FALSE)</f>
        <v>0</v>
      </c>
      <c r="AB598" s="29">
        <f>VLOOKUP($E598,'Product Naming'!$A$1:$P$58,11,FALSE)</f>
        <v>5.5</v>
      </c>
      <c r="AC598" s="3">
        <f>VLOOKUP($E598,'Product Naming'!$A$1:$P$58,12,FALSE)</f>
        <v>90.119200000000006</v>
      </c>
      <c r="AD598" s="1">
        <f>VLOOKUP($E598,'Product Naming'!$A$1:$P$58,13,FALSE)</f>
        <v>177</v>
      </c>
      <c r="AE598" s="1" t="str">
        <f>VLOOKUP($E598,'Product Naming'!$A$1:$P$58,14,FALSE)</f>
        <v>Diol</v>
      </c>
      <c r="AF598" s="1" t="str">
        <f>VLOOKUP($E598,'Product Naming'!$A$1:$P$58,15,FALSE)</f>
        <v>Pyruvate</v>
      </c>
      <c r="AG598" s="30" t="str">
        <f>VLOOKUP($E598,'Product Naming'!$A$1:$P$58,16,FALSE)</f>
        <v>Proton symporter</v>
      </c>
      <c r="AH598" s="3" t="str">
        <f>VLOOKUP($E598,'Product Naming'!$A$1:$Q$58,17,FALSE)</f>
        <v>btd_RR_c</v>
      </c>
      <c r="AI598" s="1">
        <f>VLOOKUP($E598,'Product Parameters'!$A$2:$D$59,2,FALSE)</f>
        <v>1</v>
      </c>
      <c r="AJ598" s="1">
        <f>VLOOKUP($E598,'Product Parameters'!$A$2:$D$59,3,FALSE)</f>
        <v>0</v>
      </c>
      <c r="AK598" s="1">
        <f>VLOOKUP($E598,'Product Parameters'!$A$2:$D$59,4,FALSE)</f>
        <v>0.12</v>
      </c>
      <c r="AL598" s="1">
        <f>VLOOKUP($E598,'Product Parameters'!$A$2:$E$59,5,FALSE)</f>
        <v>63</v>
      </c>
      <c r="AM598" s="1">
        <f>VLOOKUP($E598,'Product Parameters'!$A$2:$F$59,6,FALSE)</f>
        <v>4</v>
      </c>
      <c r="AN598" s="1">
        <f>VLOOKUP($C598,'Substrate Heating'!$A$2:$C$33,3,FALSE)</f>
        <v>280.09700000000004</v>
      </c>
      <c r="AO598" s="1">
        <f>VLOOKUP($C598,'Substrate Heating'!$A$2:$B$33,2,FALSE)</f>
        <v>10</v>
      </c>
      <c r="AP598" s="1">
        <f>VLOOKUP($C598,'Substrate Heating'!$A$2:$M$33,13,FALSE)</f>
        <v>2</v>
      </c>
      <c r="AQ598" s="1">
        <f>VLOOKUP($C598,'Substrate Heating'!$A$2:$M$33,8,FALSE)</f>
        <v>1</v>
      </c>
      <c r="AR598" s="1">
        <f t="shared" si="9"/>
        <v>0.36363636363636398</v>
      </c>
    </row>
    <row r="599" spans="1:44" x14ac:dyDescent="0.2">
      <c r="A599" s="8" t="s">
        <v>34</v>
      </c>
      <c r="B599" s="9" t="s">
        <v>35</v>
      </c>
      <c r="C599" s="1" t="s">
        <v>341</v>
      </c>
      <c r="D599" s="24" t="s">
        <v>342</v>
      </c>
      <c r="E599" s="1" t="s">
        <v>287</v>
      </c>
      <c r="F599" s="1" t="s">
        <v>288</v>
      </c>
      <c r="G599" s="1">
        <v>-10</v>
      </c>
      <c r="H599" s="1">
        <v>-20</v>
      </c>
      <c r="I599" s="1" t="s">
        <v>40</v>
      </c>
      <c r="J599" s="1">
        <v>3.15</v>
      </c>
      <c r="K599" s="1">
        <v>-10</v>
      </c>
      <c r="L599" s="1">
        <v>-1.5446808510638299</v>
      </c>
      <c r="M599" s="1" t="s">
        <v>40</v>
      </c>
      <c r="N599" s="1">
        <v>23.465425531914899</v>
      </c>
      <c r="O599" s="1">
        <v>7.3069148936170301</v>
      </c>
      <c r="Q599" s="1">
        <v>0.73069148936170303</v>
      </c>
      <c r="R599" s="1">
        <v>0.29262811819002599</v>
      </c>
      <c r="S599" s="1" t="str">
        <f>VLOOKUP($E599,'Product Naming'!$A$1:$P$58,2,FALSE)</f>
        <v>Pentane</v>
      </c>
      <c r="T599" s="1" t="str">
        <f>VLOOKUP($E599,'Product Naming'!$A$1:$P$58,3,FALSE)</f>
        <v>Pentane</v>
      </c>
      <c r="U599" s="1" t="str">
        <f>VLOOKUP($E599,'Product Naming'!$A$1:$P$58,4,FALSE)</f>
        <v>E</v>
      </c>
      <c r="V599" s="1" t="str">
        <f>VLOOKUP($E599,'Product Naming'!$A$1:$P$58,5,FALSE)</f>
        <v>C5H12</v>
      </c>
      <c r="W599" s="1">
        <f>VLOOKUP($E599,'Product Naming'!$A$1:$P$58,6,FALSE)</f>
        <v>5</v>
      </c>
      <c r="X599" s="1">
        <f>VLOOKUP($E599,'Product Naming'!$A$1:$P$58,7,FALSE)</f>
        <v>12</v>
      </c>
      <c r="Y599" s="1">
        <f>VLOOKUP($E599,'Product Naming'!$A$1:$P$58,8,FALSE)</f>
        <v>0</v>
      </c>
      <c r="Z599" s="1">
        <f>VLOOKUP($E599,'Product Naming'!$A$1:$P$58,9,FALSE)</f>
        <v>0</v>
      </c>
      <c r="AA599" s="1">
        <f>VLOOKUP($E599,'Product Naming'!$A$1:$P$58,10,FALSE)</f>
        <v>0</v>
      </c>
      <c r="AB599" s="29">
        <f>VLOOKUP($E599,'Product Naming'!$A$1:$P$58,11,FALSE)</f>
        <v>6.4</v>
      </c>
      <c r="AC599" s="3">
        <f>VLOOKUP($E599,'Product Naming'!$A$1:$P$58,12,FALSE)</f>
        <v>72.147580000000005</v>
      </c>
      <c r="AD599" s="1">
        <f>VLOOKUP($E599,'Product Naming'!$A$1:$P$58,13,FALSE)</f>
        <v>36.1</v>
      </c>
      <c r="AE599" s="1" t="str">
        <f>VLOOKUP($E599,'Product Naming'!$A$1:$P$58,14,FALSE)</f>
        <v>Hydrocarbon (alkane)</v>
      </c>
      <c r="AF599" s="1" t="str">
        <f>VLOOKUP($E599,'Product Naming'!$A$1:$P$58,15,FALSE)</f>
        <v>Acetyl-CoA</v>
      </c>
      <c r="AG599" s="30" t="str">
        <f>VLOOKUP($E599,'Product Naming'!$A$1:$P$58,16,FALSE)</f>
        <v>Diffusion</v>
      </c>
      <c r="AH599" s="3" t="str">
        <f>VLOOKUP($E599,'Product Naming'!$A$1:$Q$58,17,FALSE)</f>
        <v>pent_c</v>
      </c>
      <c r="AI599" s="1">
        <f>VLOOKUP($E599,'Product Parameters'!$A$2:$D$59,2,FALSE)</f>
        <v>0</v>
      </c>
      <c r="AJ599" s="1">
        <f>VLOOKUP($E599,'Product Parameters'!$A$2:$D$59,3,FALSE)</f>
        <v>1</v>
      </c>
      <c r="AK599" s="1">
        <f>VLOOKUP($E599,'Product Parameters'!$A$2:$D$59,4,FALSE)</f>
        <v>0.12</v>
      </c>
      <c r="AL599" s="1">
        <f>VLOOKUP($E599,'Product Parameters'!$A$2:$E$59,5,FALSE)</f>
        <v>26.5</v>
      </c>
      <c r="AM599" s="1">
        <f>VLOOKUP($E599,'Product Parameters'!$A$2:$F$59,6,FALSE)</f>
        <v>5</v>
      </c>
      <c r="AN599" s="1">
        <f>VLOOKUP($C599,'Substrate Heating'!$A$2:$C$33,3,FALSE)</f>
        <v>2828.4492</v>
      </c>
      <c r="AO599" s="1">
        <f>VLOOKUP($C599,'Substrate Heating'!$A$2:$B$33,2,FALSE)</f>
        <v>15.7</v>
      </c>
      <c r="AP599" s="1">
        <f>VLOOKUP($C599,'Substrate Heating'!$A$2:$M$33,13,FALSE)</f>
        <v>4</v>
      </c>
      <c r="AQ599" s="1">
        <f>VLOOKUP($C599,'Substrate Heating'!$A$2:$M$33,8,FALSE)</f>
        <v>6</v>
      </c>
      <c r="AR599" s="1">
        <f t="shared" si="9"/>
        <v>0.6089095744680858</v>
      </c>
    </row>
    <row r="600" spans="1:44" x14ac:dyDescent="0.2">
      <c r="A600" s="8" t="s">
        <v>34</v>
      </c>
      <c r="B600" s="9" t="s">
        <v>35</v>
      </c>
      <c r="C600" s="1" t="s">
        <v>344</v>
      </c>
      <c r="D600" s="10" t="s">
        <v>37</v>
      </c>
      <c r="E600" s="1" t="s">
        <v>169</v>
      </c>
      <c r="F600" s="1" t="s">
        <v>165</v>
      </c>
      <c r="G600" s="1">
        <v>-10</v>
      </c>
      <c r="H600" s="1">
        <v>-20</v>
      </c>
      <c r="I600" s="1" t="s">
        <v>40</v>
      </c>
      <c r="J600" s="1">
        <v>3.15</v>
      </c>
      <c r="K600" s="1">
        <v>-10</v>
      </c>
      <c r="L600" s="1">
        <v>-5.7743589743589698</v>
      </c>
      <c r="M600" s="1" t="s">
        <v>40</v>
      </c>
      <c r="N600" s="1">
        <v>10.5162393162393</v>
      </c>
      <c r="O600" s="1">
        <v>2.3709401709401701</v>
      </c>
      <c r="Q600" s="1">
        <v>0.23709401709401701</v>
      </c>
      <c r="R600" s="1">
        <v>0.29263731375827601</v>
      </c>
      <c r="S600" s="1" t="str">
        <f>VLOOKUP($E600,'Product Naming'!$A$1:$P$58,2,FALSE)</f>
        <v>Butanol-PW2</v>
      </c>
      <c r="T600" s="1" t="str">
        <f>VLOOKUP($E600,'Product Naming'!$A$1:$P$58,3,FALSE)</f>
        <v>Butanol (PW2)</v>
      </c>
      <c r="U600" s="1" t="str">
        <f>VLOOKUP($E600,'Product Naming'!$A$1:$P$58,4,FALSE)</f>
        <v>E</v>
      </c>
      <c r="V600" s="1" t="str">
        <f>VLOOKUP($E600,'Product Naming'!$A$1:$P$58,5,FALSE)</f>
        <v>C4H10O</v>
      </c>
      <c r="W600" s="1">
        <f>VLOOKUP($E600,'Product Naming'!$A$1:$P$58,6,FALSE)</f>
        <v>4</v>
      </c>
      <c r="X600" s="1">
        <f>VLOOKUP($E600,'Product Naming'!$A$1:$P$58,7,FALSE)</f>
        <v>10</v>
      </c>
      <c r="Y600" s="1">
        <f>VLOOKUP($E600,'Product Naming'!$A$1:$P$58,8,FALSE)</f>
        <v>1</v>
      </c>
      <c r="Z600" s="1">
        <f>VLOOKUP($E600,'Product Naming'!$A$1:$P$58,9,FALSE)</f>
        <v>0</v>
      </c>
      <c r="AA600" s="1">
        <f>VLOOKUP($E600,'Product Naming'!$A$1:$P$58,10,FALSE)</f>
        <v>0</v>
      </c>
      <c r="AB600" s="29">
        <f>VLOOKUP($E600,'Product Naming'!$A$1:$P$58,11,FALSE)</f>
        <v>6</v>
      </c>
      <c r="AC600" s="3">
        <f>VLOOKUP($E600,'Product Naming'!$A$1:$P$58,12,FALSE)</f>
        <v>74.120199999999997</v>
      </c>
      <c r="AD600" s="1">
        <f>VLOOKUP($E600,'Product Naming'!$A$1:$P$58,13,FALSE)</f>
        <v>117.7</v>
      </c>
      <c r="AE600" s="1" t="str">
        <f>VLOOKUP($E600,'Product Naming'!$A$1:$P$58,14,FALSE)</f>
        <v>Alcohol</v>
      </c>
      <c r="AF600" s="1" t="str">
        <f>VLOOKUP($E600,'Product Naming'!$A$1:$P$58,15,FALSE)</f>
        <v>Oxaloacetate</v>
      </c>
      <c r="AG600" s="30" t="str">
        <f>VLOOKUP($E600,'Product Naming'!$A$1:$P$58,16,FALSE)</f>
        <v>Proton symporter</v>
      </c>
      <c r="AH600" s="3" t="str">
        <f>VLOOKUP($E600,'Product Naming'!$A$1:$Q$58,17,FALSE)</f>
        <v>btoh_c</v>
      </c>
      <c r="AI600" s="1">
        <f>VLOOKUP($E600,'Product Parameters'!$A$2:$D$59,2,FALSE)</f>
        <v>1</v>
      </c>
      <c r="AJ600" s="1">
        <f>VLOOKUP($E600,'Product Parameters'!$A$2:$D$59,3,FALSE)</f>
        <v>0</v>
      </c>
      <c r="AK600" s="1">
        <f>VLOOKUP($E600,'Product Parameters'!$A$2:$D$59,4,FALSE)</f>
        <v>0.12</v>
      </c>
      <c r="AL600" s="1">
        <f>VLOOKUP($E600,'Product Parameters'!$A$2:$E$59,5,FALSE)</f>
        <v>52</v>
      </c>
      <c r="AM600" s="1">
        <f>VLOOKUP($E600,'Product Parameters'!$A$2:$F$59,6,FALSE)</f>
        <v>4</v>
      </c>
      <c r="AN600" s="1">
        <f>VLOOKUP($C600,'Substrate Heating'!$A$2:$C$33,3,FALSE)</f>
        <v>1020.8629199999999</v>
      </c>
      <c r="AO600" s="1">
        <f>VLOOKUP($C600,'Substrate Heating'!$A$2:$B$33,2,FALSE)</f>
        <v>17</v>
      </c>
      <c r="AP600" s="1">
        <f>VLOOKUP($C600,'Substrate Heating'!$A$2:$M$33,13,FALSE)</f>
        <v>4</v>
      </c>
      <c r="AQ600" s="1">
        <f>VLOOKUP($C600,'Substrate Heating'!$A$2:$M$33,8,FALSE)</f>
        <v>2</v>
      </c>
      <c r="AR600" s="1">
        <f t="shared" si="9"/>
        <v>0.47418803418803401</v>
      </c>
    </row>
    <row r="601" spans="1:44" x14ac:dyDescent="0.2">
      <c r="A601" s="17" t="s">
        <v>323</v>
      </c>
      <c r="B601" s="18" t="s">
        <v>324</v>
      </c>
      <c r="C601" t="s">
        <v>328</v>
      </c>
      <c r="D601" s="19" t="s">
        <v>326</v>
      </c>
      <c r="E601" t="s">
        <v>301</v>
      </c>
      <c r="F601" t="s">
        <v>302</v>
      </c>
      <c r="G601">
        <v>-10</v>
      </c>
      <c r="H601">
        <v>0</v>
      </c>
      <c r="I601">
        <v>-10</v>
      </c>
      <c r="J601">
        <v>0.45</v>
      </c>
      <c r="K601">
        <v>-10</v>
      </c>
      <c r="L601">
        <v>0</v>
      </c>
      <c r="M601">
        <v>-10</v>
      </c>
      <c r="N601">
        <v>4</v>
      </c>
      <c r="O601">
        <v>2</v>
      </c>
      <c r="P601"/>
      <c r="Q601">
        <v>0.2</v>
      </c>
      <c r="R601">
        <v>0.29367179487179501</v>
      </c>
      <c r="S601" s="1" t="str">
        <f>VLOOKUP($E601,'Product Naming'!$A$1:$P$58,2,FALSE)</f>
        <v>Propane-PW1</v>
      </c>
      <c r="T601" s="1" t="str">
        <f>VLOOKUP($E601,'Product Naming'!$A$1:$P$58,3,FALSE)</f>
        <v>Propane (PW1)</v>
      </c>
      <c r="U601" s="1" t="str">
        <f>VLOOKUP($E601,'Product Naming'!$A$1:$P$58,4,FALSE)</f>
        <v>E</v>
      </c>
      <c r="V601" s="1" t="str">
        <f>VLOOKUP($E601,'Product Naming'!$A$1:$P$58,5,FALSE)</f>
        <v>C3H8</v>
      </c>
      <c r="W601" s="1">
        <f>VLOOKUP($E601,'Product Naming'!$A$1:$P$58,6,FALSE)</f>
        <v>3</v>
      </c>
      <c r="X601" s="1">
        <f>VLOOKUP($E601,'Product Naming'!$A$1:$P$58,7,FALSE)</f>
        <v>8</v>
      </c>
      <c r="Y601" s="1">
        <f>VLOOKUP($E601,'Product Naming'!$A$1:$P$58,8,FALSE)</f>
        <v>0</v>
      </c>
      <c r="Z601" s="1">
        <f>VLOOKUP($E601,'Product Naming'!$A$1:$P$58,9,FALSE)</f>
        <v>0</v>
      </c>
      <c r="AA601" s="1">
        <f>VLOOKUP($E601,'Product Naming'!$A$1:$P$58,10,FALSE)</f>
        <v>0</v>
      </c>
      <c r="AB601" s="29">
        <f>VLOOKUP($E601,'Product Naming'!$A$1:$P$58,11,FALSE)</f>
        <v>6.666666666666667</v>
      </c>
      <c r="AC601" s="3">
        <f>VLOOKUP($E601,'Product Naming'!$A$1:$P$58,12,FALSE)</f>
        <v>44.094819999999999</v>
      </c>
      <c r="AD601" s="1">
        <f>VLOOKUP($E601,'Product Naming'!$A$1:$P$58,13,FALSE)</f>
        <v>-42</v>
      </c>
      <c r="AE601" s="1" t="str">
        <f>VLOOKUP($E601,'Product Naming'!$A$1:$P$58,14,FALSE)</f>
        <v>Hydrocarbon</v>
      </c>
      <c r="AF601" s="1" t="str">
        <f>VLOOKUP($E601,'Product Naming'!$A$1:$P$58,15,FALSE)</f>
        <v>Acetyl-CoA</v>
      </c>
      <c r="AG601" s="30" t="str">
        <f>VLOOKUP($E601,'Product Naming'!$A$1:$P$58,16,FALSE)</f>
        <v>Diffusion</v>
      </c>
      <c r="AH601" s="3" t="str">
        <f>VLOOKUP($E601,'Product Naming'!$A$1:$Q$58,17,FALSE)</f>
        <v>prop_c</v>
      </c>
      <c r="AI601" s="1">
        <f>VLOOKUP($E601,'Product Parameters'!$A$2:$D$59,2,FALSE)</f>
        <v>0</v>
      </c>
      <c r="AJ601" s="1">
        <f>VLOOKUP($E601,'Product Parameters'!$A$2:$D$59,3,FALSE)</f>
        <v>1</v>
      </c>
      <c r="AK601" s="1">
        <f>VLOOKUP($E601,'Product Parameters'!$A$2:$D$59,4,FALSE)</f>
        <v>0.12</v>
      </c>
      <c r="AL601" s="1">
        <f>VLOOKUP($E601,'Product Parameters'!$A$2:$E$59,5,FALSE)</f>
        <v>0</v>
      </c>
      <c r="AM601" s="1">
        <f>VLOOKUP($E601,'Product Parameters'!$A$2:$F$59,6,FALSE)</f>
        <v>3</v>
      </c>
      <c r="AN601" s="1">
        <f>VLOOKUP($C601,'Substrate Heating'!$A$2:$C$33,3,FALSE)</f>
        <v>262.39999999999998</v>
      </c>
      <c r="AO601" s="1">
        <f>VLOOKUP($C601,'Substrate Heating'!$A$2:$B$33,2,FALSE)</f>
        <v>17.478546483008707</v>
      </c>
      <c r="AP601" s="1">
        <f>VLOOKUP($C601,'Substrate Heating'!$A$2:$M$33,13,FALSE)</f>
        <v>1</v>
      </c>
      <c r="AQ601" s="1">
        <f>VLOOKUP($C601,'Substrate Heating'!$A$2:$M$33,8,FALSE)</f>
        <v>0.5</v>
      </c>
      <c r="AR601" s="1">
        <f t="shared" si="9"/>
        <v>1.2000000000000002</v>
      </c>
    </row>
    <row r="602" spans="1:44" x14ac:dyDescent="0.2">
      <c r="A602" s="17" t="s">
        <v>323</v>
      </c>
      <c r="B602" s="18" t="s">
        <v>324</v>
      </c>
      <c r="C602" t="s">
        <v>334</v>
      </c>
      <c r="D602" s="19" t="s">
        <v>326</v>
      </c>
      <c r="E602" t="s">
        <v>215</v>
      </c>
      <c r="F602" t="s">
        <v>216</v>
      </c>
      <c r="G602">
        <v>-10</v>
      </c>
      <c r="H602">
        <v>0</v>
      </c>
      <c r="I602">
        <v>-5</v>
      </c>
      <c r="J602">
        <v>0.45</v>
      </c>
      <c r="K602">
        <v>-10</v>
      </c>
      <c r="L602">
        <v>0</v>
      </c>
      <c r="M602">
        <v>-5</v>
      </c>
      <c r="N602">
        <v>2.0262295081967201</v>
      </c>
      <c r="O602">
        <v>0.94754098360655803</v>
      </c>
      <c r="P602"/>
      <c r="Q602">
        <v>9.4754098360655806E-2</v>
      </c>
      <c r="R602">
        <v>0.29433427405915003</v>
      </c>
      <c r="S602" s="1" t="str">
        <f>VLOOKUP($E602,'Product Naming'!$A$1:$P$58,2,FALSE)</f>
        <v>Glutamate_L</v>
      </c>
      <c r="T602" s="1" t="str">
        <f>VLOOKUP($E602,'Product Naming'!$A$1:$P$58,3,FALSE)</f>
        <v>L-Glutamate</v>
      </c>
      <c r="U602" s="1" t="str">
        <f>VLOOKUP($E602,'Product Naming'!$A$1:$P$58,4,FALSE)</f>
        <v>iJO1366</v>
      </c>
      <c r="V602" s="1" t="str">
        <f>VLOOKUP($E602,'Product Naming'!$A$1:$P$58,5,FALSE)</f>
        <v>C5H8NO4</v>
      </c>
      <c r="W602" s="1">
        <f>VLOOKUP($E602,'Product Naming'!$A$1:$P$58,6,FALSE)</f>
        <v>5</v>
      </c>
      <c r="X602" s="1">
        <f>VLOOKUP($E602,'Product Naming'!$A$1:$P$58,7,FALSE)</f>
        <v>8</v>
      </c>
      <c r="Y602" s="1">
        <f>VLOOKUP($E602,'Product Naming'!$A$1:$P$58,8,FALSE)</f>
        <v>4</v>
      </c>
      <c r="Z602" s="1">
        <f>VLOOKUP($E602,'Product Naming'!$A$1:$P$58,9,FALSE)</f>
        <v>1</v>
      </c>
      <c r="AA602" s="1">
        <f>VLOOKUP($E602,'Product Naming'!$A$1:$P$58,10,FALSE)</f>
        <v>-1</v>
      </c>
      <c r="AB602" s="29">
        <f>VLOOKUP($E602,'Product Naming'!$A$1:$P$58,11,FALSE)</f>
        <v>3.4</v>
      </c>
      <c r="AC602" s="3">
        <f>VLOOKUP($E602,'Product Naming'!$A$1:$P$58,12,FALSE)</f>
        <v>146.11892</v>
      </c>
      <c r="AD602" s="1">
        <f>VLOOKUP($E602,'Product Naming'!$A$1:$P$58,13,FALSE)</f>
        <v>333.8</v>
      </c>
      <c r="AE602" s="1" t="str">
        <f>VLOOKUP($E602,'Product Naming'!$A$1:$P$58,14,FALSE)</f>
        <v>Amino acid</v>
      </c>
      <c r="AF602" s="1" t="str">
        <f>VLOOKUP($E602,'Product Naming'!$A$1:$P$58,15,FALSE)</f>
        <v>aKG</v>
      </c>
      <c r="AG602" s="30" t="str">
        <f>VLOOKUP($E602,'Product Naming'!$A$1:$P$58,16,FALSE)</f>
        <v>Proton symporter</v>
      </c>
      <c r="AH602" s="3" t="str">
        <f>VLOOKUP($E602,'Product Naming'!$A$1:$Q$58,17,FALSE)</f>
        <v>glu__L_c</v>
      </c>
      <c r="AI602" s="1">
        <f>VLOOKUP($E602,'Product Parameters'!$A$2:$D$59,2,FALSE)</f>
        <v>1</v>
      </c>
      <c r="AJ602" s="1">
        <f>VLOOKUP($E602,'Product Parameters'!$A$2:$D$59,3,FALSE)</f>
        <v>0</v>
      </c>
      <c r="AK602" s="1">
        <f>VLOOKUP($E602,'Product Parameters'!$A$2:$D$59,4,FALSE)</f>
        <v>0.12</v>
      </c>
      <c r="AL602" s="1">
        <f>VLOOKUP($E602,'Product Parameters'!$A$2:$E$59,5,FALSE)</f>
        <v>40.65</v>
      </c>
      <c r="AM602" s="1">
        <f>VLOOKUP($E602,'Product Parameters'!$A$2:$F$59,6,FALSE)</f>
        <v>5</v>
      </c>
      <c r="AN602" s="1">
        <f>VLOOKUP($C602,'Substrate Heating'!$A$2:$C$33,3,FALSE)</f>
        <v>249.93333333333334</v>
      </c>
      <c r="AO602" s="1">
        <f>VLOOKUP($C602,'Substrate Heating'!$A$2:$B$33,2,FALSE)</f>
        <v>8.1456827881222953</v>
      </c>
      <c r="AP602" s="1">
        <f>VLOOKUP($C602,'Substrate Heating'!$A$2:$M$33,13,FALSE)</f>
        <v>0.66666666666666663</v>
      </c>
      <c r="AQ602" s="1">
        <f>VLOOKUP($C602,'Substrate Heating'!$A$2:$M$33,8,FALSE)</f>
        <v>0.66666666666666663</v>
      </c>
      <c r="AR602" s="1">
        <f t="shared" si="9"/>
        <v>0.71065573770491852</v>
      </c>
    </row>
    <row r="603" spans="1:44" x14ac:dyDescent="0.2">
      <c r="A603" s="17" t="s">
        <v>323</v>
      </c>
      <c r="B603" s="18" t="s">
        <v>324</v>
      </c>
      <c r="C603" t="s">
        <v>328</v>
      </c>
      <c r="D603" s="19" t="s">
        <v>326</v>
      </c>
      <c r="E603" t="s">
        <v>308</v>
      </c>
      <c r="F603" t="s">
        <v>309</v>
      </c>
      <c r="G603">
        <v>-10</v>
      </c>
      <c r="H603">
        <v>0</v>
      </c>
      <c r="I603">
        <v>-10</v>
      </c>
      <c r="J603">
        <v>0.45</v>
      </c>
      <c r="K603">
        <v>-10</v>
      </c>
      <c r="L603">
        <v>0</v>
      </c>
      <c r="M603">
        <v>-10</v>
      </c>
      <c r="N603">
        <v>0</v>
      </c>
      <c r="O603">
        <v>0.51267605633802804</v>
      </c>
      <c r="P603"/>
      <c r="Q603">
        <v>5.1267605633802803E-2</v>
      </c>
      <c r="R603">
        <v>0.29558763977806202</v>
      </c>
      <c r="S603" s="1" t="str">
        <f>VLOOKUP($E603,'Product Naming'!$A$1:$P$58,2,FALSE)</f>
        <v>Shikimate</v>
      </c>
      <c r="T603" s="1" t="str">
        <f>VLOOKUP($E603,'Product Naming'!$A$1:$P$58,3,FALSE)</f>
        <v>Shikimate</v>
      </c>
      <c r="U603" s="1" t="str">
        <f>VLOOKUP($E603,'Product Naming'!$A$1:$P$58,4,FALSE)</f>
        <v>E</v>
      </c>
      <c r="V603" s="1" t="str">
        <f>VLOOKUP($E603,'Product Naming'!$A$1:$P$58,5,FALSE)</f>
        <v>C7H9O5</v>
      </c>
      <c r="W603" s="1">
        <f>VLOOKUP($E603,'Product Naming'!$A$1:$P$58,6,FALSE)</f>
        <v>7</v>
      </c>
      <c r="X603" s="1">
        <f>VLOOKUP($E603,'Product Naming'!$A$1:$P$58,7,FALSE)</f>
        <v>9</v>
      </c>
      <c r="Y603" s="1">
        <f>VLOOKUP($E603,'Product Naming'!$A$1:$P$58,8,FALSE)</f>
        <v>5</v>
      </c>
      <c r="Z603" s="1">
        <f>VLOOKUP($E603,'Product Naming'!$A$1:$P$58,9,FALSE)</f>
        <v>0</v>
      </c>
      <c r="AA603" s="1">
        <f>VLOOKUP($E603,'Product Naming'!$A$1:$P$58,10,FALSE)</f>
        <v>-1</v>
      </c>
      <c r="AB603" s="29">
        <f>VLOOKUP($E603,'Product Naming'!$A$1:$P$58,11,FALSE)</f>
        <v>3.8571428571428572</v>
      </c>
      <c r="AC603" s="3">
        <f>VLOOKUP($E603,'Product Naming'!$A$1:$P$58,12,FALSE)</f>
        <v>173.14046000000002</v>
      </c>
      <c r="AD603" s="1">
        <f>VLOOKUP($E603,'Product Naming'!$A$1:$P$58,13,FALSE)</f>
        <v>400.5</v>
      </c>
      <c r="AE603" s="1" t="str">
        <f>VLOOKUP($E603,'Product Naming'!$A$1:$P$58,14,FALSE)</f>
        <v>Aromatic + Alcohol + Carboxylate</v>
      </c>
      <c r="AF603" s="1" t="str">
        <f>VLOOKUP($E603,'Product Naming'!$A$1:$P$58,15,FALSE)</f>
        <v>PEP + E4P (Glyceraldehyde 3-P)</v>
      </c>
      <c r="AG603" s="30" t="str">
        <f>VLOOKUP($E603,'Product Naming'!$A$1:$P$58,16,FALSE)</f>
        <v>Proton symporter</v>
      </c>
      <c r="AH603" s="3" t="str">
        <f>VLOOKUP($E603,'Product Naming'!$A$1:$Q$58,17,FALSE)</f>
        <v>skm_c</v>
      </c>
      <c r="AI603" s="1">
        <f>VLOOKUP($E603,'Product Parameters'!$A$2:$D$59,2,FALSE)</f>
        <v>1</v>
      </c>
      <c r="AJ603" s="1">
        <f>VLOOKUP($E603,'Product Parameters'!$A$2:$D$59,3,FALSE)</f>
        <v>0</v>
      </c>
      <c r="AK603" s="1">
        <f>VLOOKUP($E603,'Product Parameters'!$A$2:$D$59,4,FALSE)</f>
        <v>0.12</v>
      </c>
      <c r="AL603" s="1">
        <f>VLOOKUP($E603,'Product Parameters'!$A$2:$E$59,5,FALSE)</f>
        <v>40.65</v>
      </c>
      <c r="AM603" s="1">
        <f>VLOOKUP($E603,'Product Parameters'!$A$2:$F$59,6,FALSE)</f>
        <v>7</v>
      </c>
      <c r="AN603" s="1">
        <f>VLOOKUP($C603,'Substrate Heating'!$A$2:$C$33,3,FALSE)</f>
        <v>262.39999999999998</v>
      </c>
      <c r="AO603" s="1">
        <f>VLOOKUP($C603,'Substrate Heating'!$A$2:$B$33,2,FALSE)</f>
        <v>17.478546483008707</v>
      </c>
      <c r="AP603" s="1">
        <f>VLOOKUP($C603,'Substrate Heating'!$A$2:$M$33,13,FALSE)</f>
        <v>1</v>
      </c>
      <c r="AQ603" s="1">
        <f>VLOOKUP($C603,'Substrate Heating'!$A$2:$M$33,8,FALSE)</f>
        <v>0.5</v>
      </c>
      <c r="AR603" s="1">
        <f t="shared" si="9"/>
        <v>0.71774647887323928</v>
      </c>
    </row>
    <row r="604" spans="1:44" x14ac:dyDescent="0.2">
      <c r="A604" s="8" t="s">
        <v>816</v>
      </c>
      <c r="B604" s="18" t="s">
        <v>324</v>
      </c>
      <c r="C604" t="s">
        <v>815</v>
      </c>
      <c r="D604" s="19" t="s">
        <v>326</v>
      </c>
      <c r="E604" t="s">
        <v>209</v>
      </c>
      <c r="F604" t="s">
        <v>210</v>
      </c>
      <c r="G604">
        <v>-10</v>
      </c>
      <c r="H604">
        <v>0</v>
      </c>
      <c r="I604">
        <v>0</v>
      </c>
      <c r="J604">
        <v>0.45</v>
      </c>
      <c r="K604">
        <v>21.13411765</v>
      </c>
      <c r="L604">
        <v>0</v>
      </c>
      <c r="M604">
        <v>0</v>
      </c>
      <c r="N604">
        <v>21.13411765</v>
      </c>
      <c r="O604">
        <v>2.2682352940000001</v>
      </c>
      <c r="P604"/>
      <c r="Q604">
        <v>0.107325763</v>
      </c>
      <c r="R604">
        <v>0.29604111100000002</v>
      </c>
      <c r="S604" s="1" t="str">
        <f>VLOOKUP($E604,'Product Naming'!$A$1:$P$58,2,FALSE)</f>
        <v>GammaButyrolactone</v>
      </c>
      <c r="T604" s="1" t="str">
        <f>VLOOKUP($E604,'Product Naming'!$A$1:$P$58,3,FALSE)</f>
        <v>Gamma butyrolactone</v>
      </c>
      <c r="U604" s="1" t="str">
        <f>VLOOKUP($E604,'Product Naming'!$A$1:$P$58,4,FALSE)</f>
        <v>A</v>
      </c>
      <c r="V604" s="1" t="str">
        <f>VLOOKUP($E604,'Product Naming'!$A$1:$P$58,5,FALSE)</f>
        <v>C4H6O2</v>
      </c>
      <c r="W604" s="1">
        <f>VLOOKUP($E604,'Product Naming'!$A$1:$P$58,6,FALSE)</f>
        <v>4</v>
      </c>
      <c r="X604" s="1">
        <f>VLOOKUP($E604,'Product Naming'!$A$1:$P$58,7,FALSE)</f>
        <v>6</v>
      </c>
      <c r="Y604" s="1">
        <f>VLOOKUP($E604,'Product Naming'!$A$1:$P$58,8,FALSE)</f>
        <v>2</v>
      </c>
      <c r="Z604" s="1">
        <f>VLOOKUP($E604,'Product Naming'!$A$1:$P$58,9,FALSE)</f>
        <v>0</v>
      </c>
      <c r="AA604" s="1">
        <f>VLOOKUP($E604,'Product Naming'!$A$1:$P$58,10,FALSE)</f>
        <v>0</v>
      </c>
      <c r="AB604" s="29">
        <f>VLOOKUP($E604,'Product Naming'!$A$1:$P$58,11,FALSE)</f>
        <v>4.5</v>
      </c>
      <c r="AC604" s="3">
        <f>VLOOKUP($E604,'Product Naming'!$A$1:$P$58,12,FALSE)</f>
        <v>86.08784</v>
      </c>
      <c r="AD604" s="1">
        <f>VLOOKUP($E604,'Product Naming'!$A$1:$P$58,13,FALSE)</f>
        <v>204</v>
      </c>
      <c r="AE604" s="1" t="str">
        <f>VLOOKUP($E604,'Product Naming'!$A$1:$P$58,14,FALSE)</f>
        <v>Lactone (cyclic ester)</v>
      </c>
      <c r="AF604" s="1" t="str">
        <f>VLOOKUP($E604,'Product Naming'!$A$1:$P$58,15,FALSE)</f>
        <v>aKG</v>
      </c>
      <c r="AG604" s="30" t="str">
        <f>VLOOKUP($E604,'Product Naming'!$A$1:$P$58,16,FALSE)</f>
        <v>Proton symporter</v>
      </c>
      <c r="AH604" s="3" t="str">
        <f>VLOOKUP($E604,'Product Naming'!$A$1:$Q$58,17,FALSE)</f>
        <v>gblt_c</v>
      </c>
      <c r="AI604" s="1">
        <f>VLOOKUP($E604,'Product Parameters'!$A$2:$D$59,2,FALSE)</f>
        <v>1</v>
      </c>
      <c r="AJ604" s="1">
        <f>VLOOKUP($E604,'Product Parameters'!$A$2:$D$59,3,FALSE)</f>
        <v>0</v>
      </c>
      <c r="AK604" s="1">
        <f>VLOOKUP($E604,'Product Parameters'!$A$2:$D$59,4,FALSE)</f>
        <v>0.12</v>
      </c>
      <c r="AL604" s="1">
        <f>VLOOKUP($E604,'Product Parameters'!$A$2:$E$59,5,FALSE)</f>
        <v>0</v>
      </c>
      <c r="AM604" s="1">
        <f>VLOOKUP($E604,'Product Parameters'!$A$2:$F$59,6,FALSE)</f>
        <v>4</v>
      </c>
      <c r="AN604" s="1">
        <f>VLOOKUP($C604,'Substrate Heating'!$A$2:$C$33,3,FALSE)</f>
        <v>226.4</v>
      </c>
      <c r="AO604" s="1">
        <f>VLOOKUP($C604,'Substrate Heating'!$A$2:$B$33,2,FALSE)</f>
        <v>7.2542014450728134</v>
      </c>
      <c r="AP604" s="1">
        <f>VLOOKUP($C604,'Substrate Heating'!$A$2:$M$33,13,FALSE)</f>
        <v>1.6</v>
      </c>
      <c r="AQ604" s="1">
        <f>VLOOKUP($C604,'Substrate Heating'!$A$2:$M$33,8,FALSE)</f>
        <v>1</v>
      </c>
      <c r="AR604" s="1">
        <f t="shared" si="9"/>
        <v>0.42930305200000002</v>
      </c>
    </row>
    <row r="605" spans="1:44" x14ac:dyDescent="0.2">
      <c r="A605" s="8" t="s">
        <v>34</v>
      </c>
      <c r="B605" s="9" t="s">
        <v>35</v>
      </c>
      <c r="C605" s="1" t="s">
        <v>348</v>
      </c>
      <c r="D605" s="23" t="s">
        <v>338</v>
      </c>
      <c r="E605" s="1" t="s">
        <v>103</v>
      </c>
      <c r="F605" s="1" t="s">
        <v>104</v>
      </c>
      <c r="G605" s="1">
        <v>-10</v>
      </c>
      <c r="H605" s="1">
        <v>-20</v>
      </c>
      <c r="I605" s="1" t="s">
        <v>40</v>
      </c>
      <c r="J605" s="1">
        <v>3.15</v>
      </c>
      <c r="K605" s="1">
        <v>-10</v>
      </c>
      <c r="L605" s="1">
        <v>-6.6408376963350797</v>
      </c>
      <c r="M605" s="1" t="s">
        <v>40</v>
      </c>
      <c r="N605" s="1">
        <v>4.4272251308900499</v>
      </c>
      <c r="O605" s="1">
        <v>0.92879581151832402</v>
      </c>
      <c r="Q605" s="1">
        <v>9.2879581151832397E-2</v>
      </c>
      <c r="R605" s="1">
        <v>0.29617564867838098</v>
      </c>
      <c r="S605" s="1" t="str">
        <f>VLOOKUP($E605,'Product Naming'!$A$1:$P$58,2,FALSE)</f>
        <v>3-Methyl-1-Pentanol</v>
      </c>
      <c r="T605" s="1" t="str">
        <f>VLOOKUP($E605,'Product Naming'!$A$1:$P$58,3,FALSE)</f>
        <v>3-Methyl-1-pentanol</v>
      </c>
      <c r="U605" s="1" t="str">
        <f>VLOOKUP($E605,'Product Naming'!$A$1:$P$58,4,FALSE)</f>
        <v>A</v>
      </c>
      <c r="V605" s="1" t="str">
        <f>VLOOKUP($E605,'Product Naming'!$A$1:$P$58,5,FALSE)</f>
        <v>C6H14O</v>
      </c>
      <c r="W605" s="1">
        <f>VLOOKUP($E605,'Product Naming'!$A$1:$P$58,6,FALSE)</f>
        <v>6</v>
      </c>
      <c r="X605" s="1">
        <f>VLOOKUP($E605,'Product Naming'!$A$1:$P$58,7,FALSE)</f>
        <v>14</v>
      </c>
      <c r="Y605" s="1">
        <f>VLOOKUP($E605,'Product Naming'!$A$1:$P$58,8,FALSE)</f>
        <v>1</v>
      </c>
      <c r="Z605" s="1">
        <f>VLOOKUP($E605,'Product Naming'!$A$1:$P$58,9,FALSE)</f>
        <v>0</v>
      </c>
      <c r="AA605" s="1">
        <f>VLOOKUP($E605,'Product Naming'!$A$1:$P$58,10,FALSE)</f>
        <v>0</v>
      </c>
      <c r="AB605" s="29">
        <f>VLOOKUP($E605,'Product Naming'!$A$1:$P$58,11,FALSE)</f>
        <v>6</v>
      </c>
      <c r="AC605" s="3">
        <f>VLOOKUP($E605,'Product Naming'!$A$1:$P$58,12,FALSE)</f>
        <v>102.17295999999999</v>
      </c>
      <c r="AD605" s="1">
        <f>VLOOKUP($E605,'Product Naming'!$A$1:$P$58,13,FALSE)</f>
        <v>153</v>
      </c>
      <c r="AE605" s="1" t="str">
        <f>VLOOKUP($E605,'Product Naming'!$A$1:$P$58,14,FALSE)</f>
        <v>Alcohol</v>
      </c>
      <c r="AF605" s="1" t="str">
        <f>VLOOKUP($E605,'Product Naming'!$A$1:$P$58,15,FALSE)</f>
        <v>Oxaloacetate</v>
      </c>
      <c r="AG605" s="30" t="str">
        <f>VLOOKUP($E605,'Product Naming'!$A$1:$P$58,16,FALSE)</f>
        <v>Proton symporter</v>
      </c>
      <c r="AH605" s="3" t="str">
        <f>VLOOKUP($E605,'Product Naming'!$A$1:$Q$58,17,FALSE)</f>
        <v>3mptoh_c</v>
      </c>
      <c r="AI605" s="1">
        <f>VLOOKUP($E605,'Product Parameters'!$A$2:$D$59,2,FALSE)</f>
        <v>1</v>
      </c>
      <c r="AJ605" s="1">
        <f>VLOOKUP($E605,'Product Parameters'!$A$2:$D$59,3,FALSE)</f>
        <v>0</v>
      </c>
      <c r="AK605" s="1">
        <f>VLOOKUP($E605,'Product Parameters'!$A$2:$D$59,4,FALSE)</f>
        <v>0.12</v>
      </c>
      <c r="AL605" s="1">
        <f>VLOOKUP($E605,'Product Parameters'!$A$2:$E$59,5,FALSE)</f>
        <v>61.7</v>
      </c>
      <c r="AM605" s="1">
        <f>VLOOKUP($E605,'Product Parameters'!$A$2:$F$59,6,FALSE)</f>
        <v>6</v>
      </c>
      <c r="AN605" s="1">
        <f>VLOOKUP($C605,'Substrate Heating'!$A$2:$C$33,3,FALSE)</f>
        <v>638.57832580000002</v>
      </c>
      <c r="AO605" s="1">
        <f>VLOOKUP($C605,'Substrate Heating'!$A$2:$B$33,2,FALSE)</f>
        <v>19.93</v>
      </c>
      <c r="AP605" s="1">
        <f>VLOOKUP($C605,'Substrate Heating'!$A$2:$M$33,13,FALSE)</f>
        <v>6</v>
      </c>
      <c r="AQ605" s="1">
        <f>VLOOKUP($C605,'Substrate Heating'!$A$2:$M$33,8,FALSE)</f>
        <v>1</v>
      </c>
      <c r="AR605" s="1">
        <f t="shared" si="9"/>
        <v>0.55727748691099444</v>
      </c>
    </row>
    <row r="606" spans="1:44" x14ac:dyDescent="0.2">
      <c r="A606" s="8" t="s">
        <v>34</v>
      </c>
      <c r="B606" s="9" t="s">
        <v>35</v>
      </c>
      <c r="C606" s="1" t="s">
        <v>322</v>
      </c>
      <c r="D606" s="10" t="s">
        <v>37</v>
      </c>
      <c r="E606" s="1" t="s">
        <v>169</v>
      </c>
      <c r="F606" s="1" t="s">
        <v>165</v>
      </c>
      <c r="G606" s="1">
        <v>-10</v>
      </c>
      <c r="H606" s="1">
        <v>-20</v>
      </c>
      <c r="I606" s="1" t="s">
        <v>40</v>
      </c>
      <c r="J606" s="1">
        <v>3.15</v>
      </c>
      <c r="K606" s="1">
        <v>-10</v>
      </c>
      <c r="L606" s="1">
        <v>-5.8311926605504603</v>
      </c>
      <c r="M606" s="1" t="s">
        <v>40</v>
      </c>
      <c r="N606" s="1">
        <v>10.554128440367</v>
      </c>
      <c r="O606" s="1">
        <v>2.3614678899082602</v>
      </c>
      <c r="Q606" s="1">
        <v>0.236146788990826</v>
      </c>
      <c r="R606" s="1">
        <v>0.29644955278901802</v>
      </c>
      <c r="S606" s="1" t="str">
        <f>VLOOKUP($E606,'Product Naming'!$A$1:$P$58,2,FALSE)</f>
        <v>Butanol-PW2</v>
      </c>
      <c r="T606" s="1" t="str">
        <f>VLOOKUP($E606,'Product Naming'!$A$1:$P$58,3,FALSE)</f>
        <v>Butanol (PW2)</v>
      </c>
      <c r="U606" s="1" t="str">
        <f>VLOOKUP($E606,'Product Naming'!$A$1:$P$58,4,FALSE)</f>
        <v>E</v>
      </c>
      <c r="V606" s="1" t="str">
        <f>VLOOKUP($E606,'Product Naming'!$A$1:$P$58,5,FALSE)</f>
        <v>C4H10O</v>
      </c>
      <c r="W606" s="1">
        <f>VLOOKUP($E606,'Product Naming'!$A$1:$P$58,6,FALSE)</f>
        <v>4</v>
      </c>
      <c r="X606" s="1">
        <f>VLOOKUP($E606,'Product Naming'!$A$1:$P$58,7,FALSE)</f>
        <v>10</v>
      </c>
      <c r="Y606" s="1">
        <f>VLOOKUP($E606,'Product Naming'!$A$1:$P$58,8,FALSE)</f>
        <v>1</v>
      </c>
      <c r="Z606" s="1">
        <f>VLOOKUP($E606,'Product Naming'!$A$1:$P$58,9,FALSE)</f>
        <v>0</v>
      </c>
      <c r="AA606" s="1">
        <f>VLOOKUP($E606,'Product Naming'!$A$1:$P$58,10,FALSE)</f>
        <v>0</v>
      </c>
      <c r="AB606" s="29">
        <f>VLOOKUP($E606,'Product Naming'!$A$1:$P$58,11,FALSE)</f>
        <v>6</v>
      </c>
      <c r="AC606" s="3">
        <f>VLOOKUP($E606,'Product Naming'!$A$1:$P$58,12,FALSE)</f>
        <v>74.120199999999997</v>
      </c>
      <c r="AD606" s="1">
        <f>VLOOKUP($E606,'Product Naming'!$A$1:$P$58,13,FALSE)</f>
        <v>117.7</v>
      </c>
      <c r="AE606" s="1" t="str">
        <f>VLOOKUP($E606,'Product Naming'!$A$1:$P$58,14,FALSE)</f>
        <v>Alcohol</v>
      </c>
      <c r="AF606" s="1" t="str">
        <f>VLOOKUP($E606,'Product Naming'!$A$1:$P$58,15,FALSE)</f>
        <v>Oxaloacetate</v>
      </c>
      <c r="AG606" s="30" t="str">
        <f>VLOOKUP($E606,'Product Naming'!$A$1:$P$58,16,FALSE)</f>
        <v>Proton symporter</v>
      </c>
      <c r="AH606" s="3" t="str">
        <f>VLOOKUP($E606,'Product Naming'!$A$1:$Q$58,17,FALSE)</f>
        <v>btoh_c</v>
      </c>
      <c r="AI606" s="1">
        <f>VLOOKUP($E606,'Product Parameters'!$A$2:$D$59,2,FALSE)</f>
        <v>1</v>
      </c>
      <c r="AJ606" s="1">
        <f>VLOOKUP($E606,'Product Parameters'!$A$2:$D$59,3,FALSE)</f>
        <v>0</v>
      </c>
      <c r="AK606" s="1">
        <f>VLOOKUP($E606,'Product Parameters'!$A$2:$D$59,4,FALSE)</f>
        <v>0.12</v>
      </c>
      <c r="AL606" s="1">
        <f>VLOOKUP($E606,'Product Parameters'!$A$2:$E$59,5,FALSE)</f>
        <v>52</v>
      </c>
      <c r="AM606" s="1">
        <f>VLOOKUP($E606,'Product Parameters'!$A$2:$F$59,6,FALSE)</f>
        <v>4</v>
      </c>
      <c r="AN606" s="1">
        <f>VLOOKUP($C606,'Substrate Heating'!$A$2:$C$33,3,FALSE)</f>
        <v>876.74109599999997</v>
      </c>
      <c r="AO606" s="1">
        <f>VLOOKUP($C606,'Substrate Heating'!$A$2:$B$33,2,FALSE)</f>
        <v>14.6</v>
      </c>
      <c r="AP606" s="1">
        <f>VLOOKUP($C606,'Substrate Heating'!$A$2:$M$33,13,FALSE)</f>
        <v>3.5</v>
      </c>
      <c r="AQ606" s="1">
        <f>VLOOKUP($C606,'Substrate Heating'!$A$2:$M$33,8,FALSE)</f>
        <v>2</v>
      </c>
      <c r="AR606" s="1">
        <f t="shared" si="9"/>
        <v>0.472293577981652</v>
      </c>
    </row>
    <row r="607" spans="1:44" x14ac:dyDescent="0.2">
      <c r="A607" s="8" t="s">
        <v>816</v>
      </c>
      <c r="B607" s="18" t="s">
        <v>324</v>
      </c>
      <c r="C607" t="s">
        <v>815</v>
      </c>
      <c r="D607" s="19" t="s">
        <v>326</v>
      </c>
      <c r="E607" t="s">
        <v>164</v>
      </c>
      <c r="F607" t="s">
        <v>165</v>
      </c>
      <c r="G607">
        <v>-10</v>
      </c>
      <c r="H607">
        <v>0</v>
      </c>
      <c r="I607">
        <v>0</v>
      </c>
      <c r="J607">
        <v>0.45</v>
      </c>
      <c r="K607">
        <v>26.666666670000001</v>
      </c>
      <c r="L607">
        <v>0</v>
      </c>
      <c r="M607">
        <v>0</v>
      </c>
      <c r="N607">
        <v>26.666666670000001</v>
      </c>
      <c r="O607">
        <v>3.3333333330000001</v>
      </c>
      <c r="P607"/>
      <c r="Q607">
        <v>0.125</v>
      </c>
      <c r="R607">
        <v>0.29686078199999999</v>
      </c>
      <c r="S607" s="1" t="str">
        <f>VLOOKUP($E607,'Product Naming'!$A$1:$P$58,2,FALSE)</f>
        <v>Butanol-PW1</v>
      </c>
      <c r="T607" s="1" t="str">
        <f>VLOOKUP($E607,'Product Naming'!$A$1:$P$58,3,FALSE)</f>
        <v>Butanol (PW1)</v>
      </c>
      <c r="U607" s="1" t="str">
        <f>VLOOKUP($E607,'Product Naming'!$A$1:$P$58,4,FALSE)</f>
        <v>E</v>
      </c>
      <c r="V607" s="1" t="str">
        <f>VLOOKUP($E607,'Product Naming'!$A$1:$P$58,5,FALSE)</f>
        <v>C4H10O</v>
      </c>
      <c r="W607" s="1">
        <f>VLOOKUP($E607,'Product Naming'!$A$1:$P$58,6,FALSE)</f>
        <v>4</v>
      </c>
      <c r="X607" s="1">
        <f>VLOOKUP($E607,'Product Naming'!$A$1:$P$58,7,FALSE)</f>
        <v>10</v>
      </c>
      <c r="Y607" s="1">
        <f>VLOOKUP($E607,'Product Naming'!$A$1:$P$58,8,FALSE)</f>
        <v>1</v>
      </c>
      <c r="Z607" s="1">
        <f>VLOOKUP($E607,'Product Naming'!$A$1:$P$58,9,FALSE)</f>
        <v>0</v>
      </c>
      <c r="AA607" s="1">
        <f>VLOOKUP($E607,'Product Naming'!$A$1:$P$58,10,FALSE)</f>
        <v>0</v>
      </c>
      <c r="AB607" s="29">
        <f>VLOOKUP($E607,'Product Naming'!$A$1:$P$58,11,FALSE)</f>
        <v>6</v>
      </c>
      <c r="AC607" s="3">
        <f>VLOOKUP($E607,'Product Naming'!$A$1:$P$58,12,FALSE)</f>
        <v>74.120199999999997</v>
      </c>
      <c r="AD607" s="1">
        <f>VLOOKUP($E607,'Product Naming'!$A$1:$P$58,13,FALSE)</f>
        <v>117.7</v>
      </c>
      <c r="AE607" s="1" t="str">
        <f>VLOOKUP($E607,'Product Naming'!$A$1:$P$58,14,FALSE)</f>
        <v>Alcohol</v>
      </c>
      <c r="AF607" s="1" t="str">
        <f>VLOOKUP($E607,'Product Naming'!$A$1:$P$58,15,FALSE)</f>
        <v>Acetyl-CoA</v>
      </c>
      <c r="AG607" s="30" t="str">
        <f>VLOOKUP($E607,'Product Naming'!$A$1:$P$58,16,FALSE)</f>
        <v>Proton symporter</v>
      </c>
      <c r="AH607" s="3" t="str">
        <f>VLOOKUP($E607,'Product Naming'!$A$1:$Q$58,17,FALSE)</f>
        <v>btoh_c</v>
      </c>
      <c r="AI607" s="1">
        <f>VLOOKUP($E607,'Product Parameters'!$A$2:$D$59,2,FALSE)</f>
        <v>1</v>
      </c>
      <c r="AJ607" s="1">
        <f>VLOOKUP($E607,'Product Parameters'!$A$2:$D$59,3,FALSE)</f>
        <v>0</v>
      </c>
      <c r="AK607" s="1">
        <f>VLOOKUP($E607,'Product Parameters'!$A$2:$D$59,4,FALSE)</f>
        <v>0.12</v>
      </c>
      <c r="AL607" s="1">
        <f>VLOOKUP($E607,'Product Parameters'!$A$2:$E$59,5,FALSE)</f>
        <v>52</v>
      </c>
      <c r="AM607" s="1">
        <f>VLOOKUP($E607,'Product Parameters'!$A$2:$F$59,6,FALSE)</f>
        <v>4</v>
      </c>
      <c r="AN607" s="1">
        <f>VLOOKUP($C607,'Substrate Heating'!$A$2:$C$33,3,FALSE)</f>
        <v>226.4</v>
      </c>
      <c r="AO607" s="1">
        <f>VLOOKUP($C607,'Substrate Heating'!$A$2:$B$33,2,FALSE)</f>
        <v>7.2542014450728134</v>
      </c>
      <c r="AP607" s="1">
        <f>VLOOKUP($C607,'Substrate Heating'!$A$2:$M$33,13,FALSE)</f>
        <v>1.6</v>
      </c>
      <c r="AQ607" s="1">
        <f>VLOOKUP($C607,'Substrate Heating'!$A$2:$M$33,8,FALSE)</f>
        <v>1</v>
      </c>
      <c r="AR607" s="1">
        <f t="shared" si="9"/>
        <v>0.5</v>
      </c>
    </row>
    <row r="608" spans="1:44" x14ac:dyDescent="0.2">
      <c r="A608" s="8" t="s">
        <v>816</v>
      </c>
      <c r="B608" s="18" t="s">
        <v>324</v>
      </c>
      <c r="C608" t="s">
        <v>815</v>
      </c>
      <c r="D608" s="19" t="s">
        <v>326</v>
      </c>
      <c r="E608" t="s">
        <v>169</v>
      </c>
      <c r="F608" t="s">
        <v>165</v>
      </c>
      <c r="G608">
        <v>-10</v>
      </c>
      <c r="H608">
        <v>0</v>
      </c>
      <c r="I608">
        <v>0</v>
      </c>
      <c r="J608">
        <v>0.45</v>
      </c>
      <c r="K608">
        <v>26.666666670000001</v>
      </c>
      <c r="L608">
        <v>0</v>
      </c>
      <c r="M608">
        <v>0</v>
      </c>
      <c r="N608">
        <v>26.666666670000001</v>
      </c>
      <c r="O608">
        <v>3.3333333330000001</v>
      </c>
      <c r="P608"/>
      <c r="Q608">
        <v>0.125</v>
      </c>
      <c r="R608">
        <v>0.29686078199999999</v>
      </c>
      <c r="S608" s="1" t="str">
        <f>VLOOKUP($E608,'Product Naming'!$A$1:$P$58,2,FALSE)</f>
        <v>Butanol-PW2</v>
      </c>
      <c r="T608" s="1" t="str">
        <f>VLOOKUP($E608,'Product Naming'!$A$1:$P$58,3,FALSE)</f>
        <v>Butanol (PW2)</v>
      </c>
      <c r="U608" s="1" t="str">
        <f>VLOOKUP($E608,'Product Naming'!$A$1:$P$58,4,FALSE)</f>
        <v>E</v>
      </c>
      <c r="V608" s="1" t="str">
        <f>VLOOKUP($E608,'Product Naming'!$A$1:$P$58,5,FALSE)</f>
        <v>C4H10O</v>
      </c>
      <c r="W608" s="1">
        <f>VLOOKUP($E608,'Product Naming'!$A$1:$P$58,6,FALSE)</f>
        <v>4</v>
      </c>
      <c r="X608" s="1">
        <f>VLOOKUP($E608,'Product Naming'!$A$1:$P$58,7,FALSE)</f>
        <v>10</v>
      </c>
      <c r="Y608" s="1">
        <f>VLOOKUP($E608,'Product Naming'!$A$1:$P$58,8,FALSE)</f>
        <v>1</v>
      </c>
      <c r="Z608" s="1">
        <f>VLOOKUP($E608,'Product Naming'!$A$1:$P$58,9,FALSE)</f>
        <v>0</v>
      </c>
      <c r="AA608" s="1">
        <f>VLOOKUP($E608,'Product Naming'!$A$1:$P$58,10,FALSE)</f>
        <v>0</v>
      </c>
      <c r="AB608" s="29">
        <f>VLOOKUP($E608,'Product Naming'!$A$1:$P$58,11,FALSE)</f>
        <v>6</v>
      </c>
      <c r="AC608" s="3">
        <f>VLOOKUP($E608,'Product Naming'!$A$1:$P$58,12,FALSE)</f>
        <v>74.120199999999997</v>
      </c>
      <c r="AD608" s="1">
        <f>VLOOKUP($E608,'Product Naming'!$A$1:$P$58,13,FALSE)</f>
        <v>117.7</v>
      </c>
      <c r="AE608" s="1" t="str">
        <f>VLOOKUP($E608,'Product Naming'!$A$1:$P$58,14,FALSE)</f>
        <v>Alcohol</v>
      </c>
      <c r="AF608" s="1" t="str">
        <f>VLOOKUP($E608,'Product Naming'!$A$1:$P$58,15,FALSE)</f>
        <v>Oxaloacetate</v>
      </c>
      <c r="AG608" s="30" t="str">
        <f>VLOOKUP($E608,'Product Naming'!$A$1:$P$58,16,FALSE)</f>
        <v>Proton symporter</v>
      </c>
      <c r="AH608" s="3" t="str">
        <f>VLOOKUP($E608,'Product Naming'!$A$1:$Q$58,17,FALSE)</f>
        <v>btoh_c</v>
      </c>
      <c r="AI608" s="1">
        <f>VLOOKUP($E608,'Product Parameters'!$A$2:$D$59,2,FALSE)</f>
        <v>1</v>
      </c>
      <c r="AJ608" s="1">
        <f>VLOOKUP($E608,'Product Parameters'!$A$2:$D$59,3,FALSE)</f>
        <v>0</v>
      </c>
      <c r="AK608" s="1">
        <f>VLOOKUP($E608,'Product Parameters'!$A$2:$D$59,4,FALSE)</f>
        <v>0.12</v>
      </c>
      <c r="AL608" s="1">
        <f>VLOOKUP($E608,'Product Parameters'!$A$2:$E$59,5,FALSE)</f>
        <v>52</v>
      </c>
      <c r="AM608" s="1">
        <f>VLOOKUP($E608,'Product Parameters'!$A$2:$F$59,6,FALSE)</f>
        <v>4</v>
      </c>
      <c r="AN608" s="1">
        <f>VLOOKUP($C608,'Substrate Heating'!$A$2:$C$33,3,FALSE)</f>
        <v>226.4</v>
      </c>
      <c r="AO608" s="1">
        <f>VLOOKUP($C608,'Substrate Heating'!$A$2:$B$33,2,FALSE)</f>
        <v>7.2542014450728134</v>
      </c>
      <c r="AP608" s="1">
        <f>VLOOKUP($C608,'Substrate Heating'!$A$2:$M$33,13,FALSE)</f>
        <v>1.6</v>
      </c>
      <c r="AQ608" s="1">
        <f>VLOOKUP($C608,'Substrate Heating'!$A$2:$M$33,8,FALSE)</f>
        <v>1</v>
      </c>
      <c r="AR608" s="1">
        <f t="shared" si="9"/>
        <v>0.5</v>
      </c>
    </row>
    <row r="609" spans="1:44" x14ac:dyDescent="0.2">
      <c r="A609" s="8" t="s">
        <v>34</v>
      </c>
      <c r="B609" s="9" t="s">
        <v>35</v>
      </c>
      <c r="C609" s="1" t="s">
        <v>344</v>
      </c>
      <c r="D609" s="10" t="s">
        <v>37</v>
      </c>
      <c r="E609" s="1" t="s">
        <v>297</v>
      </c>
      <c r="F609" s="1" t="s">
        <v>298</v>
      </c>
      <c r="G609" s="1">
        <v>-10</v>
      </c>
      <c r="H609" s="1">
        <v>-20</v>
      </c>
      <c r="I609" s="1" t="s">
        <v>40</v>
      </c>
      <c r="J609" s="1">
        <v>3.15</v>
      </c>
      <c r="K609" s="1">
        <v>-10</v>
      </c>
      <c r="L609" s="1">
        <v>-6.7302961275626396</v>
      </c>
      <c r="M609" s="1" t="s">
        <v>40</v>
      </c>
      <c r="N609" s="1">
        <v>8.6259681093394107</v>
      </c>
      <c r="O609" s="1">
        <v>1.89567198177677</v>
      </c>
      <c r="Q609" s="1">
        <v>0.189567198177677</v>
      </c>
      <c r="R609" s="1">
        <v>0.29707943976268403</v>
      </c>
      <c r="S609" s="1" t="str">
        <f>VLOOKUP($E609,'Product Naming'!$A$1:$P$58,2,FALSE)</f>
        <v>Phenol</v>
      </c>
      <c r="T609" s="1" t="str">
        <f>VLOOKUP($E609,'Product Naming'!$A$1:$P$58,3,FALSE)</f>
        <v>Phenol</v>
      </c>
      <c r="U609" s="1" t="str">
        <f>VLOOKUP($E609,'Product Naming'!$A$1:$P$58,4,FALSE)</f>
        <v>E-S</v>
      </c>
      <c r="V609" s="1" t="str">
        <f>VLOOKUP($E609,'Product Naming'!$A$1:$P$58,5,FALSE)</f>
        <v>C6H6O</v>
      </c>
      <c r="W609" s="1">
        <f>VLOOKUP($E609,'Product Naming'!$A$1:$P$58,6,FALSE)</f>
        <v>6</v>
      </c>
      <c r="X609" s="1">
        <f>VLOOKUP($E609,'Product Naming'!$A$1:$P$58,7,FALSE)</f>
        <v>6</v>
      </c>
      <c r="Y609" s="1">
        <f>VLOOKUP($E609,'Product Naming'!$A$1:$P$58,8,FALSE)</f>
        <v>1</v>
      </c>
      <c r="Z609" s="1">
        <f>VLOOKUP($E609,'Product Naming'!$A$1:$P$58,9,FALSE)</f>
        <v>0</v>
      </c>
      <c r="AA609" s="1">
        <f>VLOOKUP($E609,'Product Naming'!$A$1:$P$58,10,FALSE)</f>
        <v>0</v>
      </c>
      <c r="AB609" s="29">
        <f>VLOOKUP($E609,'Product Naming'!$A$1:$P$58,11,FALSE)</f>
        <v>4.666666666666667</v>
      </c>
      <c r="AC609" s="3">
        <f>VLOOKUP($E609,'Product Naming'!$A$1:$P$58,12,FALSE)</f>
        <v>94.11023999999999</v>
      </c>
      <c r="AD609" s="1">
        <f>VLOOKUP($E609,'Product Naming'!$A$1:$P$58,13,FALSE)</f>
        <v>181.7</v>
      </c>
      <c r="AE609" s="1" t="str">
        <f>VLOOKUP($E609,'Product Naming'!$A$1:$P$58,14,FALSE)</f>
        <v>Aromatic + Alcohol</v>
      </c>
      <c r="AF609" s="1" t="str">
        <f>VLOOKUP($E609,'Product Naming'!$A$1:$P$58,15,FALSE)</f>
        <v>E4P + L-glutamate</v>
      </c>
      <c r="AG609" s="30" t="str">
        <f>VLOOKUP($E609,'Product Naming'!$A$1:$P$58,16,FALSE)</f>
        <v>Proton symporter</v>
      </c>
      <c r="AH609" s="3" t="str">
        <f>VLOOKUP($E609,'Product Naming'!$A$1:$Q$58,17,FALSE)</f>
        <v>phenol_c</v>
      </c>
      <c r="AI609" s="1">
        <f>VLOOKUP($E609,'Product Parameters'!$A$2:$D$59,2,FALSE)</f>
        <v>1</v>
      </c>
      <c r="AJ609" s="1">
        <f>VLOOKUP($E609,'Product Parameters'!$A$2:$D$59,3,FALSE)</f>
        <v>0</v>
      </c>
      <c r="AK609" s="1">
        <f>VLOOKUP($E609,'Product Parameters'!$A$2:$D$59,4,FALSE)</f>
        <v>0.12</v>
      </c>
      <c r="AL609" s="1">
        <f>VLOOKUP($E609,'Product Parameters'!$A$2:$E$59,5,FALSE)</f>
        <v>58.8</v>
      </c>
      <c r="AM609" s="1">
        <f>VLOOKUP($E609,'Product Parameters'!$A$2:$F$59,6,FALSE)</f>
        <v>6</v>
      </c>
      <c r="AN609" s="1">
        <f>VLOOKUP($C609,'Substrate Heating'!$A$2:$C$33,3,FALSE)</f>
        <v>1020.8629199999999</v>
      </c>
      <c r="AO609" s="1">
        <f>VLOOKUP($C609,'Substrate Heating'!$A$2:$B$33,2,FALSE)</f>
        <v>17</v>
      </c>
      <c r="AP609" s="1">
        <f>VLOOKUP($C609,'Substrate Heating'!$A$2:$M$33,13,FALSE)</f>
        <v>4</v>
      </c>
      <c r="AQ609" s="1">
        <f>VLOOKUP($C609,'Substrate Heating'!$A$2:$M$33,8,FALSE)</f>
        <v>2</v>
      </c>
      <c r="AR609" s="1">
        <f t="shared" si="9"/>
        <v>0.56870159453303104</v>
      </c>
    </row>
    <row r="610" spans="1:44" x14ac:dyDescent="0.2">
      <c r="A610" s="8" t="s">
        <v>34</v>
      </c>
      <c r="B610" s="9" t="s">
        <v>35</v>
      </c>
      <c r="C610" s="1" t="s">
        <v>349</v>
      </c>
      <c r="D610" s="25" t="s">
        <v>342</v>
      </c>
      <c r="E610" s="1" t="s">
        <v>151</v>
      </c>
      <c r="F610" s="1" t="s">
        <v>152</v>
      </c>
      <c r="G610" s="1">
        <v>-10</v>
      </c>
      <c r="H610" s="1">
        <v>-20</v>
      </c>
      <c r="I610" s="1" t="s">
        <v>40</v>
      </c>
      <c r="J610" s="1">
        <v>3.15</v>
      </c>
      <c r="K610" s="1">
        <v>-10</v>
      </c>
      <c r="L610" s="1">
        <v>-5.0679650238473704</v>
      </c>
      <c r="M610" s="1" t="s">
        <v>40</v>
      </c>
      <c r="N610" s="1">
        <v>16.717011128775798</v>
      </c>
      <c r="O610" s="1">
        <v>0.83207472178060404</v>
      </c>
      <c r="Q610" s="1">
        <v>8.3207472178060404E-2</v>
      </c>
      <c r="R610" s="1">
        <v>0.29755111765881298</v>
      </c>
      <c r="S610" s="1" t="str">
        <f>VLOOKUP($E610,'Product Naming'!$A$1:$P$58,2,FALSE)</f>
        <v>BetaCarotene</v>
      </c>
      <c r="T610" s="1" t="str">
        <f>VLOOKUP($E610,'Product Naming'!$A$1:$P$58,3,FALSE)</f>
        <v>Beta carotene</v>
      </c>
      <c r="U610" s="1" t="str">
        <f>VLOOKUP($E610,'Product Naming'!$A$1:$P$58,4,FALSE)</f>
        <v>A</v>
      </c>
      <c r="V610" s="1" t="str">
        <f>VLOOKUP($E610,'Product Naming'!$A$1:$P$58,5,FALSE)</f>
        <v>C40H56</v>
      </c>
      <c r="W610" s="1">
        <f>VLOOKUP($E610,'Product Naming'!$A$1:$P$58,6,FALSE)</f>
        <v>40</v>
      </c>
      <c r="X610" s="1">
        <f>VLOOKUP($E610,'Product Naming'!$A$1:$P$58,7,FALSE)</f>
        <v>56</v>
      </c>
      <c r="Y610" s="1">
        <f>VLOOKUP($E610,'Product Naming'!$A$1:$P$58,8,FALSE)</f>
        <v>0</v>
      </c>
      <c r="Z610" s="1">
        <f>VLOOKUP($E610,'Product Naming'!$A$1:$P$58,9,FALSE)</f>
        <v>0</v>
      </c>
      <c r="AA610" s="1">
        <f>VLOOKUP($E610,'Product Naming'!$A$1:$P$58,10,FALSE)</f>
        <v>0</v>
      </c>
      <c r="AB610" s="29">
        <f>VLOOKUP($E610,'Product Naming'!$A$1:$P$58,11,FALSE)</f>
        <v>5.4</v>
      </c>
      <c r="AC610" s="3">
        <f>VLOOKUP($E610,'Product Naming'!$A$1:$P$58,12,FALSE)</f>
        <v>536.86703999999997</v>
      </c>
      <c r="AD610" s="1">
        <f>VLOOKUP($E610,'Product Naming'!$A$1:$P$58,13,FALSE)</f>
        <v>633</v>
      </c>
      <c r="AE610" s="1" t="str">
        <f>VLOOKUP($E610,'Product Naming'!$A$1:$P$58,14,FALSE)</f>
        <v>Hydrocarbon</v>
      </c>
      <c r="AF610" s="1" t="str">
        <f>VLOOKUP($E610,'Product Naming'!$A$1:$P$58,15,FALSE)</f>
        <v>Acetyl-CoA</v>
      </c>
      <c r="AG610" s="30" t="str">
        <f>VLOOKUP($E610,'Product Naming'!$A$1:$P$58,16,FALSE)</f>
        <v>ABC Transporter</v>
      </c>
      <c r="AH610" s="3" t="str">
        <f>VLOOKUP($E610,'Product Naming'!$A$1:$Q$58,17,FALSE)</f>
        <v>caro_c</v>
      </c>
      <c r="AI610" s="1">
        <f>VLOOKUP($E610,'Product Parameters'!$A$2:$D$59,2,FALSE)</f>
        <v>1</v>
      </c>
      <c r="AJ610" s="1">
        <f>VLOOKUP($E610,'Product Parameters'!$A$2:$D$59,3,FALSE)</f>
        <v>0</v>
      </c>
      <c r="AK610" s="1">
        <f>VLOOKUP($E610,'Product Parameters'!$A$2:$D$59,4,FALSE)</f>
        <v>0.12</v>
      </c>
      <c r="AL610" s="1">
        <f>VLOOKUP($E610,'Product Parameters'!$A$2:$E$59,5,FALSE)</f>
        <v>40.65</v>
      </c>
      <c r="AM610" s="1">
        <f>VLOOKUP($E610,'Product Parameters'!$A$2:$F$59,6,FALSE)</f>
        <v>40</v>
      </c>
      <c r="AN610" s="1">
        <f>VLOOKUP($C610,'Substrate Heating'!$A$2:$C$33,3,FALSE)</f>
        <v>2342.0279999999998</v>
      </c>
      <c r="AO610" s="1">
        <f>VLOOKUP($C610,'Substrate Heating'!$A$2:$B$33,2,FALSE)</f>
        <v>15.6</v>
      </c>
      <c r="AP610" s="1">
        <f>VLOOKUP($C610,'Substrate Heating'!$A$2:$M$33,13,FALSE)</f>
        <v>4</v>
      </c>
      <c r="AQ610" s="1">
        <f>VLOOKUP($C610,'Substrate Heating'!$A$2:$M$33,8,FALSE)</f>
        <v>5</v>
      </c>
      <c r="AR610" s="1">
        <f t="shared" si="9"/>
        <v>0.66565977742448323</v>
      </c>
    </row>
    <row r="611" spans="1:44" x14ac:dyDescent="0.2">
      <c r="A611" s="8" t="s">
        <v>34</v>
      </c>
      <c r="B611" s="9" t="s">
        <v>35</v>
      </c>
      <c r="C611" s="1" t="s">
        <v>348</v>
      </c>
      <c r="D611" s="23" t="s">
        <v>338</v>
      </c>
      <c r="E611" s="1" t="s">
        <v>295</v>
      </c>
      <c r="F611" s="1" t="s">
        <v>292</v>
      </c>
      <c r="G611" s="1">
        <v>-10</v>
      </c>
      <c r="H611" s="1">
        <v>-20</v>
      </c>
      <c r="I611" s="1" t="s">
        <v>40</v>
      </c>
      <c r="J611" s="1">
        <v>3.15</v>
      </c>
      <c r="K611" s="1">
        <v>-10</v>
      </c>
      <c r="L611" s="1">
        <v>-6.88719512195122</v>
      </c>
      <c r="M611" s="1" t="s">
        <v>40</v>
      </c>
      <c r="N611" s="1">
        <v>4.5914634146341404</v>
      </c>
      <c r="O611" s="1">
        <v>1.0817073170731699</v>
      </c>
      <c r="Q611" s="1">
        <v>0.108170731707317</v>
      </c>
      <c r="R611" s="1">
        <v>0.29758316535400398</v>
      </c>
      <c r="S611" s="1" t="str">
        <f>VLOOKUP($E611,'Product Naming'!$A$1:$P$58,2,FALSE)</f>
        <v>Pentanol-PW2</v>
      </c>
      <c r="T611" s="1" t="str">
        <f>VLOOKUP($E611,'Product Naming'!$A$1:$P$58,3,FALSE)</f>
        <v>Pentanol (PW2)</v>
      </c>
      <c r="U611" s="1" t="str">
        <f>VLOOKUP($E611,'Product Naming'!$A$1:$P$58,4,FALSE)</f>
        <v>E</v>
      </c>
      <c r="V611" s="1" t="str">
        <f>VLOOKUP($E611,'Product Naming'!$A$1:$P$58,5,FALSE)</f>
        <v>C5H12O</v>
      </c>
      <c r="W611" s="1">
        <f>VLOOKUP($E611,'Product Naming'!$A$1:$P$58,6,FALSE)</f>
        <v>5</v>
      </c>
      <c r="X611" s="1">
        <f>VLOOKUP($E611,'Product Naming'!$A$1:$P$58,7,FALSE)</f>
        <v>12</v>
      </c>
      <c r="Y611" s="1">
        <f>VLOOKUP($E611,'Product Naming'!$A$1:$P$58,8,FALSE)</f>
        <v>1</v>
      </c>
      <c r="Z611" s="1">
        <f>VLOOKUP($E611,'Product Naming'!$A$1:$P$58,9,FALSE)</f>
        <v>0</v>
      </c>
      <c r="AA611" s="1">
        <f>VLOOKUP($E611,'Product Naming'!$A$1:$P$58,10,FALSE)</f>
        <v>0</v>
      </c>
      <c r="AB611" s="29">
        <f>VLOOKUP($E611,'Product Naming'!$A$1:$P$58,11,FALSE)</f>
        <v>6</v>
      </c>
      <c r="AC611" s="3">
        <f>VLOOKUP($E611,'Product Naming'!$A$1:$P$58,12,FALSE)</f>
        <v>88.14658</v>
      </c>
      <c r="AD611" s="1">
        <f>VLOOKUP($E611,'Product Naming'!$A$1:$P$58,13,FALSE)</f>
        <v>138</v>
      </c>
      <c r="AE611" s="1" t="str">
        <f>VLOOKUP($E611,'Product Naming'!$A$1:$P$58,14,FALSE)</f>
        <v>Alcohol</v>
      </c>
      <c r="AF611" s="1" t="str">
        <f>VLOOKUP($E611,'Product Naming'!$A$1:$P$58,15,FALSE)</f>
        <v>Oxaloacetate</v>
      </c>
      <c r="AG611" s="30" t="str">
        <f>VLOOKUP($E611,'Product Naming'!$A$1:$P$58,16,FALSE)</f>
        <v>Proton symporter</v>
      </c>
      <c r="AH611" s="3" t="str">
        <f>VLOOKUP($E611,'Product Naming'!$A$1:$Q$58,17,FALSE)</f>
        <v>pentoh_c</v>
      </c>
      <c r="AI611" s="1">
        <f>VLOOKUP($E611,'Product Parameters'!$A$2:$D$59,2,FALSE)</f>
        <v>1</v>
      </c>
      <c r="AJ611" s="1">
        <f>VLOOKUP($E611,'Product Parameters'!$A$2:$D$59,3,FALSE)</f>
        <v>0</v>
      </c>
      <c r="AK611" s="1">
        <f>VLOOKUP($E611,'Product Parameters'!$A$2:$D$59,4,FALSE)</f>
        <v>0.12</v>
      </c>
      <c r="AL611" s="1">
        <f>VLOOKUP($E611,'Product Parameters'!$A$2:$E$59,5,FALSE)</f>
        <v>57</v>
      </c>
      <c r="AM611" s="1">
        <f>VLOOKUP($E611,'Product Parameters'!$A$2:$F$59,6,FALSE)</f>
        <v>5</v>
      </c>
      <c r="AN611" s="1">
        <f>VLOOKUP($C611,'Substrate Heating'!$A$2:$C$33,3,FALSE)</f>
        <v>638.57832580000002</v>
      </c>
      <c r="AO611" s="1">
        <f>VLOOKUP($C611,'Substrate Heating'!$A$2:$B$33,2,FALSE)</f>
        <v>19.93</v>
      </c>
      <c r="AP611" s="1">
        <f>VLOOKUP($C611,'Substrate Heating'!$A$2:$M$33,13,FALSE)</f>
        <v>6</v>
      </c>
      <c r="AQ611" s="1">
        <f>VLOOKUP($C611,'Substrate Heating'!$A$2:$M$33,8,FALSE)</f>
        <v>1</v>
      </c>
      <c r="AR611" s="1">
        <f t="shared" si="9"/>
        <v>0.54085365853658507</v>
      </c>
    </row>
    <row r="612" spans="1:44" x14ac:dyDescent="0.2">
      <c r="A612" s="8" t="s">
        <v>816</v>
      </c>
      <c r="B612" s="18" t="s">
        <v>324</v>
      </c>
      <c r="C612" t="s">
        <v>815</v>
      </c>
      <c r="D612" s="19" t="s">
        <v>326</v>
      </c>
      <c r="E612" t="s">
        <v>66</v>
      </c>
      <c r="F612" t="s">
        <v>67</v>
      </c>
      <c r="G612">
        <v>-10</v>
      </c>
      <c r="H612">
        <v>0</v>
      </c>
      <c r="I612">
        <v>0</v>
      </c>
      <c r="J612">
        <v>0.45</v>
      </c>
      <c r="K612">
        <v>23.66075949</v>
      </c>
      <c r="L612">
        <v>0</v>
      </c>
      <c r="M612">
        <v>0</v>
      </c>
      <c r="N612">
        <v>23.66075949</v>
      </c>
      <c r="O612">
        <v>2.4405063290000002</v>
      </c>
      <c r="P612"/>
      <c r="Q612">
        <v>0.103145731</v>
      </c>
      <c r="R612">
        <v>0.29783437200000001</v>
      </c>
      <c r="S612" s="1" t="str">
        <f>VLOOKUP($E612,'Product Naming'!$A$1:$P$58,2,FALSE)</f>
        <v>1-4-butanediol</v>
      </c>
      <c r="T612" s="1" t="str">
        <f>VLOOKUP($E612,'Product Naming'!$A$1:$P$58,3,FALSE)</f>
        <v>1,4-Butanediol</v>
      </c>
      <c r="U612" s="1" t="str">
        <f>VLOOKUP($E612,'Product Naming'!$A$1:$P$58,4,FALSE)</f>
        <v>E</v>
      </c>
      <c r="V612" s="1" t="str">
        <f>VLOOKUP($E612,'Product Naming'!$A$1:$P$58,5,FALSE)</f>
        <v>C4H10O2</v>
      </c>
      <c r="W612" s="1">
        <f>VLOOKUP($E612,'Product Naming'!$A$1:$P$58,6,FALSE)</f>
        <v>4</v>
      </c>
      <c r="X612" s="1">
        <f>VLOOKUP($E612,'Product Naming'!$A$1:$P$58,7,FALSE)</f>
        <v>10</v>
      </c>
      <c r="Y612" s="1">
        <f>VLOOKUP($E612,'Product Naming'!$A$1:$P$58,8,FALSE)</f>
        <v>2</v>
      </c>
      <c r="Z612" s="1">
        <f>VLOOKUP($E612,'Product Naming'!$A$1:$P$58,9,FALSE)</f>
        <v>0</v>
      </c>
      <c r="AA612" s="1">
        <f>VLOOKUP($E612,'Product Naming'!$A$1:$P$58,10,FALSE)</f>
        <v>0</v>
      </c>
      <c r="AB612" s="29">
        <f>VLOOKUP($E612,'Product Naming'!$A$1:$P$58,11,FALSE)</f>
        <v>5.5</v>
      </c>
      <c r="AC612" s="3">
        <f>VLOOKUP($E612,'Product Naming'!$A$1:$P$58,12,FALSE)</f>
        <v>90.119200000000006</v>
      </c>
      <c r="AD612" s="1">
        <f>VLOOKUP($E612,'Product Naming'!$A$1:$P$58,13,FALSE)</f>
        <v>230</v>
      </c>
      <c r="AE612" s="1" t="str">
        <f>VLOOKUP($E612,'Product Naming'!$A$1:$P$58,14,FALSE)</f>
        <v>Diol</v>
      </c>
      <c r="AF612" s="1" t="str">
        <f>VLOOKUP($E612,'Product Naming'!$A$1:$P$58,15,FALSE)</f>
        <v>aKG</v>
      </c>
      <c r="AG612" s="30" t="str">
        <f>VLOOKUP($E612,'Product Naming'!$A$1:$P$58,16,FALSE)</f>
        <v>Proton symporter</v>
      </c>
      <c r="AH612" s="3" t="str">
        <f>VLOOKUP($E612,'Product Naming'!$A$1:$Q$58,17,FALSE)</f>
        <v>14bdo_c</v>
      </c>
      <c r="AI612" s="1">
        <f>VLOOKUP($E612,'Product Parameters'!$A$2:$D$59,2,FALSE)</f>
        <v>1</v>
      </c>
      <c r="AJ612" s="1">
        <f>VLOOKUP($E612,'Product Parameters'!$A$2:$D$59,3,FALSE)</f>
        <v>0</v>
      </c>
      <c r="AK612" s="1">
        <f>VLOOKUP($E612,'Product Parameters'!$A$2:$D$59,4,FALSE)</f>
        <v>0.12</v>
      </c>
      <c r="AL612" s="1">
        <f>VLOOKUP($E612,'Product Parameters'!$A$2:$E$59,5,FALSE)</f>
        <v>78</v>
      </c>
      <c r="AM612" s="1">
        <f>VLOOKUP($E612,'Product Parameters'!$A$2:$F$59,6,FALSE)</f>
        <v>4</v>
      </c>
      <c r="AN612" s="1">
        <f>VLOOKUP($C612,'Substrate Heating'!$A$2:$C$33,3,FALSE)</f>
        <v>226.4</v>
      </c>
      <c r="AO612" s="1">
        <f>VLOOKUP($C612,'Substrate Heating'!$A$2:$B$33,2,FALSE)</f>
        <v>7.2542014450728134</v>
      </c>
      <c r="AP612" s="1">
        <f>VLOOKUP($C612,'Substrate Heating'!$A$2:$M$33,13,FALSE)</f>
        <v>1.6</v>
      </c>
      <c r="AQ612" s="1">
        <f>VLOOKUP($C612,'Substrate Heating'!$A$2:$M$33,8,FALSE)</f>
        <v>1</v>
      </c>
      <c r="AR612" s="1">
        <f t="shared" si="9"/>
        <v>0.41258292400000002</v>
      </c>
    </row>
    <row r="613" spans="1:44" x14ac:dyDescent="0.2">
      <c r="A613" s="17" t="s">
        <v>231</v>
      </c>
      <c r="B613" s="9" t="s">
        <v>35</v>
      </c>
      <c r="C613" t="s">
        <v>349</v>
      </c>
      <c r="D613" s="25" t="s">
        <v>342</v>
      </c>
      <c r="E613" t="s">
        <v>232</v>
      </c>
      <c r="F613" t="s">
        <v>233</v>
      </c>
      <c r="G613">
        <v>-10</v>
      </c>
      <c r="H613">
        <v>-20</v>
      </c>
      <c r="I613" s="1" t="s">
        <v>40</v>
      </c>
      <c r="J613">
        <v>3.15</v>
      </c>
      <c r="K613">
        <v>-10</v>
      </c>
      <c r="L613">
        <v>-0.78310412573673904</v>
      </c>
      <c r="M613" s="1" t="s">
        <v>40</v>
      </c>
      <c r="N613">
        <v>18.680157170923401</v>
      </c>
      <c r="O613">
        <v>4.4742632612966604</v>
      </c>
      <c r="P613"/>
      <c r="Q613">
        <v>0.44742632612966599</v>
      </c>
      <c r="R613">
        <v>0.29862299342665299</v>
      </c>
      <c r="S613" s="1" t="str">
        <f>VLOOKUP($E613,'Product Naming'!$A$1:$P$58,2,FALSE)</f>
        <v>Heptane</v>
      </c>
      <c r="T613" s="1" t="str">
        <f>VLOOKUP($E613,'Product Naming'!$A$1:$P$58,3,FALSE)</f>
        <v>Heptane</v>
      </c>
      <c r="U613" s="1" t="str">
        <f>VLOOKUP($E613,'Product Naming'!$A$1:$P$58,4,FALSE)</f>
        <v>E</v>
      </c>
      <c r="V613" s="1" t="str">
        <f>VLOOKUP($E613,'Product Naming'!$A$1:$P$58,5,FALSE)</f>
        <v>C7H16</v>
      </c>
      <c r="W613" s="1">
        <f>VLOOKUP($E613,'Product Naming'!$A$1:$P$58,6,FALSE)</f>
        <v>7</v>
      </c>
      <c r="X613" s="1">
        <f>VLOOKUP($E613,'Product Naming'!$A$1:$P$58,7,FALSE)</f>
        <v>16</v>
      </c>
      <c r="Y613" s="1">
        <f>VLOOKUP($E613,'Product Naming'!$A$1:$P$58,8,FALSE)</f>
        <v>0</v>
      </c>
      <c r="Z613" s="1">
        <f>VLOOKUP($E613,'Product Naming'!$A$1:$P$58,9,FALSE)</f>
        <v>0</v>
      </c>
      <c r="AA613" s="1">
        <f>VLOOKUP($E613,'Product Naming'!$A$1:$P$58,10,FALSE)</f>
        <v>0</v>
      </c>
      <c r="AB613" s="29">
        <f>VLOOKUP($E613,'Product Naming'!$A$1:$P$58,11,FALSE)</f>
        <v>6.2857142857142856</v>
      </c>
      <c r="AC613" s="3">
        <f>VLOOKUP($E613,'Product Naming'!$A$1:$P$58,12,FALSE)</f>
        <v>100.20034</v>
      </c>
      <c r="AD613" s="1">
        <f>VLOOKUP($E613,'Product Naming'!$A$1:$P$58,13,FALSE)</f>
        <v>98</v>
      </c>
      <c r="AE613" s="1" t="str">
        <f>VLOOKUP($E613,'Product Naming'!$A$1:$P$58,14,FALSE)</f>
        <v>Hydrocarbon (alkane)</v>
      </c>
      <c r="AF613" s="1" t="str">
        <f>VLOOKUP($E613,'Product Naming'!$A$1:$P$58,15,FALSE)</f>
        <v>Acetyl-CoA</v>
      </c>
      <c r="AG613" s="30" t="str">
        <f>VLOOKUP($E613,'Product Naming'!$A$1:$P$58,16,FALSE)</f>
        <v>Proton symporter</v>
      </c>
      <c r="AH613" s="3" t="str">
        <f>VLOOKUP($E613,'Product Naming'!$A$1:$Q$58,17,FALSE)</f>
        <v>hept_c</v>
      </c>
      <c r="AI613" s="1">
        <f>VLOOKUP($E613,'Product Parameters'!$A$2:$D$59,2,FALSE)</f>
        <v>1</v>
      </c>
      <c r="AJ613" s="1">
        <f>VLOOKUP($E613,'Product Parameters'!$A$2:$D$59,3,FALSE)</f>
        <v>0</v>
      </c>
      <c r="AK613" s="1">
        <f>VLOOKUP($E613,'Product Parameters'!$A$2:$D$59,4,FALSE)</f>
        <v>0.12</v>
      </c>
      <c r="AL613" s="1">
        <f>VLOOKUP($E613,'Product Parameters'!$A$2:$E$59,5,FALSE)</f>
        <v>36</v>
      </c>
      <c r="AM613" s="1">
        <f>VLOOKUP($E613,'Product Parameters'!$A$2:$F$59,6,FALSE)</f>
        <v>7</v>
      </c>
      <c r="AN613" s="1">
        <f>VLOOKUP($C613,'Substrate Heating'!$A$2:$C$33,3,FALSE)</f>
        <v>2342.0279999999998</v>
      </c>
      <c r="AO613" s="1">
        <f>VLOOKUP($C613,'Substrate Heating'!$A$2:$B$33,2,FALSE)</f>
        <v>15.6</v>
      </c>
      <c r="AP613" s="1">
        <f>VLOOKUP($C613,'Substrate Heating'!$A$2:$M$33,13,FALSE)</f>
        <v>4</v>
      </c>
      <c r="AQ613" s="1">
        <f>VLOOKUP($C613,'Substrate Heating'!$A$2:$M$33,8,FALSE)</f>
        <v>5</v>
      </c>
      <c r="AR613" s="1">
        <f t="shared" si="9"/>
        <v>0.62639685658153232</v>
      </c>
    </row>
    <row r="614" spans="1:44" x14ac:dyDescent="0.2">
      <c r="A614" s="17" t="s">
        <v>323</v>
      </c>
      <c r="B614" s="18" t="s">
        <v>324</v>
      </c>
      <c r="C614" t="s">
        <v>335</v>
      </c>
      <c r="D614" s="19" t="s">
        <v>326</v>
      </c>
      <c r="E614" t="s">
        <v>240</v>
      </c>
      <c r="F614" t="s">
        <v>241</v>
      </c>
      <c r="G614">
        <v>-10</v>
      </c>
      <c r="H614">
        <v>0</v>
      </c>
      <c r="I614">
        <v>-10</v>
      </c>
      <c r="J614">
        <v>0.45</v>
      </c>
      <c r="K614">
        <v>-10</v>
      </c>
      <c r="L614">
        <v>0</v>
      </c>
      <c r="M614">
        <v>-10</v>
      </c>
      <c r="N614">
        <v>3.3333333333333299</v>
      </c>
      <c r="O614">
        <v>1.6666666666666701</v>
      </c>
      <c r="P614"/>
      <c r="Q614">
        <v>0.16666666666666699</v>
      </c>
      <c r="R614">
        <v>0.29875690952682199</v>
      </c>
      <c r="S614" s="1" t="str">
        <f>VLOOKUP($E614,'Product Naming'!$A$1:$P$58,2,FALSE)</f>
        <v>Isobutanol</v>
      </c>
      <c r="T614" s="1" t="str">
        <f>VLOOKUP($E614,'Product Naming'!$A$1:$P$58,3,FALSE)</f>
        <v>Isobutanol</v>
      </c>
      <c r="U614" s="1" t="str">
        <f>VLOOKUP($E614,'Product Naming'!$A$1:$P$58,4,FALSE)</f>
        <v>E</v>
      </c>
      <c r="V614" s="1" t="str">
        <f>VLOOKUP($E614,'Product Naming'!$A$1:$P$58,5,FALSE)</f>
        <v>C5H10O</v>
      </c>
      <c r="W614" s="1">
        <f>VLOOKUP($E614,'Product Naming'!$A$1:$P$58,6,FALSE)</f>
        <v>5</v>
      </c>
      <c r="X614" s="1">
        <f>VLOOKUP($E614,'Product Naming'!$A$1:$P$58,7,FALSE)</f>
        <v>10</v>
      </c>
      <c r="Y614" s="1">
        <f>VLOOKUP($E614,'Product Naming'!$A$1:$P$58,8,FALSE)</f>
        <v>1</v>
      </c>
      <c r="Z614" s="1">
        <f>VLOOKUP($E614,'Product Naming'!$A$1:$P$58,9,FALSE)</f>
        <v>0</v>
      </c>
      <c r="AA614" s="1">
        <f>VLOOKUP($E614,'Product Naming'!$A$1:$P$58,10,FALSE)</f>
        <v>0</v>
      </c>
      <c r="AB614" s="29">
        <f>VLOOKUP($E614,'Product Naming'!$A$1:$P$58,11,FALSE)</f>
        <v>5.6</v>
      </c>
      <c r="AC614" s="3">
        <f>VLOOKUP($E614,'Product Naming'!$A$1:$P$58,12,FALSE)</f>
        <v>86.130899999999997</v>
      </c>
      <c r="AD614" s="1">
        <f>VLOOKUP($E614,'Product Naming'!$A$1:$P$58,13,FALSE)</f>
        <v>108</v>
      </c>
      <c r="AE614" s="1" t="str">
        <f>VLOOKUP($E614,'Product Naming'!$A$1:$P$58,14,FALSE)</f>
        <v>Alcohol</v>
      </c>
      <c r="AF614" s="1" t="str">
        <f>VLOOKUP($E614,'Product Naming'!$A$1:$P$58,15,FALSE)</f>
        <v>Pyruvate</v>
      </c>
      <c r="AG614" s="30" t="str">
        <f>VLOOKUP($E614,'Product Naming'!$A$1:$P$58,16,FALSE)</f>
        <v>Proton symporter</v>
      </c>
      <c r="AH614" s="3" t="str">
        <f>VLOOKUP($E614,'Product Naming'!$A$1:$Q$58,17,FALSE)</f>
        <v>ibutoh_c</v>
      </c>
      <c r="AI614" s="1">
        <f>VLOOKUP($E614,'Product Parameters'!$A$2:$D$59,2,FALSE)</f>
        <v>1</v>
      </c>
      <c r="AJ614" s="1">
        <f>VLOOKUP($E614,'Product Parameters'!$A$2:$D$59,3,FALSE)</f>
        <v>0</v>
      </c>
      <c r="AK614" s="1">
        <f>VLOOKUP($E614,'Product Parameters'!$A$2:$D$59,4,FALSE)</f>
        <v>0.12</v>
      </c>
      <c r="AL614" s="1">
        <f>VLOOKUP($E614,'Product Parameters'!$A$2:$E$59,5,FALSE)</f>
        <v>51</v>
      </c>
      <c r="AM614" s="1">
        <f>VLOOKUP($E614,'Product Parameters'!$A$2:$F$59,6,FALSE)</f>
        <v>5</v>
      </c>
      <c r="AN614" s="1">
        <f>VLOOKUP($C614,'Substrate Heating'!$A$2:$C$33,3,FALSE)</f>
        <v>247.9</v>
      </c>
      <c r="AO614" s="1">
        <f>VLOOKUP($C614,'Substrate Heating'!$A$2:$B$33,2,FALSE)</f>
        <v>10.541709491918519</v>
      </c>
      <c r="AP614" s="1">
        <f>VLOOKUP($C614,'Substrate Heating'!$A$2:$M$33,13,FALSE)</f>
        <v>0.5</v>
      </c>
      <c r="AQ614" s="1">
        <f>VLOOKUP($C614,'Substrate Heating'!$A$2:$M$33,8,FALSE)</f>
        <v>0.5</v>
      </c>
      <c r="AR614" s="1">
        <f t="shared" si="9"/>
        <v>1.6666666666666698</v>
      </c>
    </row>
    <row r="615" spans="1:44" x14ac:dyDescent="0.2">
      <c r="A615" s="8" t="s">
        <v>34</v>
      </c>
      <c r="B615" s="9" t="s">
        <v>35</v>
      </c>
      <c r="C615" s="1" t="s">
        <v>344</v>
      </c>
      <c r="D615" s="10" t="s">
        <v>37</v>
      </c>
      <c r="E615" s="1" t="s">
        <v>108</v>
      </c>
      <c r="F615" s="1" t="s">
        <v>109</v>
      </c>
      <c r="G615" s="1">
        <v>-10</v>
      </c>
      <c r="H615" s="1">
        <v>-20</v>
      </c>
      <c r="I615" s="1" t="s">
        <v>40</v>
      </c>
      <c r="J615" s="1">
        <v>3.15</v>
      </c>
      <c r="K615" s="1">
        <v>-10</v>
      </c>
      <c r="L615" s="1">
        <v>-5.7831395348837198</v>
      </c>
      <c r="M615" s="1" t="s">
        <v>40</v>
      </c>
      <c r="N615" s="1">
        <v>8.0279069767441804</v>
      </c>
      <c r="O615" s="1">
        <v>1.4965116279069799</v>
      </c>
      <c r="Q615" s="1">
        <v>0.14965116279069701</v>
      </c>
      <c r="R615" s="1">
        <v>0.29941028016029497</v>
      </c>
      <c r="S615" s="1" t="str">
        <f>VLOOKUP($E615,'Product Naming'!$A$1:$P$58,2,FALSE)</f>
        <v>4-Hydroxystyrene</v>
      </c>
      <c r="T615" s="1" t="str">
        <f>VLOOKUP($E615,'Product Naming'!$A$1:$P$58,3,FALSE)</f>
        <v>4-Hydroxystyrene</v>
      </c>
      <c r="U615" s="1" t="str">
        <f>VLOOKUP($E615,'Product Naming'!$A$1:$P$58,4,FALSE)</f>
        <v>E</v>
      </c>
      <c r="V615" s="1" t="str">
        <f>VLOOKUP($E615,'Product Naming'!$A$1:$P$58,5,FALSE)</f>
        <v>C8H8O</v>
      </c>
      <c r="W615" s="1">
        <f>VLOOKUP($E615,'Product Naming'!$A$1:$P$58,6,FALSE)</f>
        <v>8</v>
      </c>
      <c r="X615" s="1">
        <f>VLOOKUP($E615,'Product Naming'!$A$1:$P$58,7,FALSE)</f>
        <v>8</v>
      </c>
      <c r="Y615" s="1">
        <f>VLOOKUP($E615,'Product Naming'!$A$1:$P$58,8,FALSE)</f>
        <v>1</v>
      </c>
      <c r="Z615" s="1">
        <f>VLOOKUP($E615,'Product Naming'!$A$1:$P$58,9,FALSE)</f>
        <v>0</v>
      </c>
      <c r="AA615" s="1">
        <f>VLOOKUP($E615,'Product Naming'!$A$1:$P$58,10,FALSE)</f>
        <v>0</v>
      </c>
      <c r="AB615" s="29">
        <f>VLOOKUP($E615,'Product Naming'!$A$1:$P$58,11,FALSE)</f>
        <v>4.75</v>
      </c>
      <c r="AC615" s="3">
        <f>VLOOKUP($E615,'Product Naming'!$A$1:$P$58,12,FALSE)</f>
        <v>120.14731999999999</v>
      </c>
      <c r="AD615" s="1">
        <f>VLOOKUP($E615,'Product Naming'!$A$1:$P$58,13,FALSE)</f>
        <v>229</v>
      </c>
      <c r="AE615" s="1" t="str">
        <f>VLOOKUP($E615,'Product Naming'!$A$1:$P$58,14,FALSE)</f>
        <v>Aromatic + Alcohol</v>
      </c>
      <c r="AF615" s="1" t="str">
        <f>VLOOKUP($E615,'Product Naming'!$A$1:$P$58,15,FALSE)</f>
        <v>E4P + L-glutamate</v>
      </c>
      <c r="AG615" s="30" t="str">
        <f>VLOOKUP($E615,'Product Naming'!$A$1:$P$58,16,FALSE)</f>
        <v>Proton symporter</v>
      </c>
      <c r="AH615" s="3" t="str">
        <f>VLOOKUP($E615,'Product Naming'!$A$1:$Q$58,17,FALSE)</f>
        <v>4hxst_c</v>
      </c>
      <c r="AI615" s="1">
        <f>VLOOKUP($E615,'Product Parameters'!$A$2:$D$59,2,FALSE)</f>
        <v>1</v>
      </c>
      <c r="AJ615" s="1">
        <f>VLOOKUP($E615,'Product Parameters'!$A$2:$D$59,3,FALSE)</f>
        <v>0</v>
      </c>
      <c r="AK615" s="1">
        <f>VLOOKUP($E615,'Product Parameters'!$A$2:$D$59,4,FALSE)</f>
        <v>0.12</v>
      </c>
      <c r="AL615" s="1">
        <f>VLOOKUP($E615,'Product Parameters'!$A$2:$E$59,5,FALSE)</f>
        <v>40.65</v>
      </c>
      <c r="AM615" s="1">
        <f>VLOOKUP($E615,'Product Parameters'!$A$2:$F$59,6,FALSE)</f>
        <v>8</v>
      </c>
      <c r="AN615" s="1">
        <f>VLOOKUP($C615,'Substrate Heating'!$A$2:$C$33,3,FALSE)</f>
        <v>1020.8629199999999</v>
      </c>
      <c r="AO615" s="1">
        <f>VLOOKUP($C615,'Substrate Heating'!$A$2:$B$33,2,FALSE)</f>
        <v>17</v>
      </c>
      <c r="AP615" s="1">
        <f>VLOOKUP($C615,'Substrate Heating'!$A$2:$M$33,13,FALSE)</f>
        <v>4</v>
      </c>
      <c r="AQ615" s="1">
        <f>VLOOKUP($C615,'Substrate Heating'!$A$2:$M$33,8,FALSE)</f>
        <v>2</v>
      </c>
      <c r="AR615" s="1">
        <f t="shared" si="9"/>
        <v>0.59860465116278805</v>
      </c>
    </row>
    <row r="616" spans="1:44" x14ac:dyDescent="0.2">
      <c r="A616" s="17" t="s">
        <v>231</v>
      </c>
      <c r="B616" s="9" t="s">
        <v>35</v>
      </c>
      <c r="C616" t="s">
        <v>341</v>
      </c>
      <c r="D616" s="24" t="s">
        <v>342</v>
      </c>
      <c r="E616" t="s">
        <v>232</v>
      </c>
      <c r="F616" t="s">
        <v>233</v>
      </c>
      <c r="G616">
        <v>-10</v>
      </c>
      <c r="H616">
        <v>-20</v>
      </c>
      <c r="I616" s="1" t="s">
        <v>40</v>
      </c>
      <c r="J616">
        <v>3.15</v>
      </c>
      <c r="K616">
        <v>-10</v>
      </c>
      <c r="L616">
        <v>-0.625933202357563</v>
      </c>
      <c r="M616" s="1" t="s">
        <v>40</v>
      </c>
      <c r="N616">
        <v>22.216502946954801</v>
      </c>
      <c r="O616">
        <v>5.3976424361493196</v>
      </c>
      <c r="P616"/>
      <c r="Q616">
        <v>0.53976424361493103</v>
      </c>
      <c r="R616">
        <v>0.30021579926748099</v>
      </c>
      <c r="S616" s="1" t="str">
        <f>VLOOKUP($E616,'Product Naming'!$A$1:$P$58,2,FALSE)</f>
        <v>Heptane</v>
      </c>
      <c r="T616" s="1" t="str">
        <f>VLOOKUP($E616,'Product Naming'!$A$1:$P$58,3,FALSE)</f>
        <v>Heptane</v>
      </c>
      <c r="U616" s="1" t="str">
        <f>VLOOKUP($E616,'Product Naming'!$A$1:$P$58,4,FALSE)</f>
        <v>E</v>
      </c>
      <c r="V616" s="1" t="str">
        <f>VLOOKUP($E616,'Product Naming'!$A$1:$P$58,5,FALSE)</f>
        <v>C7H16</v>
      </c>
      <c r="W616" s="1">
        <f>VLOOKUP($E616,'Product Naming'!$A$1:$P$58,6,FALSE)</f>
        <v>7</v>
      </c>
      <c r="X616" s="1">
        <f>VLOOKUP($E616,'Product Naming'!$A$1:$P$58,7,FALSE)</f>
        <v>16</v>
      </c>
      <c r="Y616" s="1">
        <f>VLOOKUP($E616,'Product Naming'!$A$1:$P$58,8,FALSE)</f>
        <v>0</v>
      </c>
      <c r="Z616" s="1">
        <f>VLOOKUP($E616,'Product Naming'!$A$1:$P$58,9,FALSE)</f>
        <v>0</v>
      </c>
      <c r="AA616" s="1">
        <f>VLOOKUP($E616,'Product Naming'!$A$1:$P$58,10,FALSE)</f>
        <v>0</v>
      </c>
      <c r="AB616" s="29">
        <f>VLOOKUP($E616,'Product Naming'!$A$1:$P$58,11,FALSE)</f>
        <v>6.2857142857142856</v>
      </c>
      <c r="AC616" s="3">
        <f>VLOOKUP($E616,'Product Naming'!$A$1:$P$58,12,FALSE)</f>
        <v>100.20034</v>
      </c>
      <c r="AD616" s="1">
        <f>VLOOKUP($E616,'Product Naming'!$A$1:$P$58,13,FALSE)</f>
        <v>98</v>
      </c>
      <c r="AE616" s="1" t="str">
        <f>VLOOKUP($E616,'Product Naming'!$A$1:$P$58,14,FALSE)</f>
        <v>Hydrocarbon (alkane)</v>
      </c>
      <c r="AF616" s="1" t="str">
        <f>VLOOKUP($E616,'Product Naming'!$A$1:$P$58,15,FALSE)</f>
        <v>Acetyl-CoA</v>
      </c>
      <c r="AG616" s="30" t="str">
        <f>VLOOKUP($E616,'Product Naming'!$A$1:$P$58,16,FALSE)</f>
        <v>Proton symporter</v>
      </c>
      <c r="AH616" s="3" t="str">
        <f>VLOOKUP($E616,'Product Naming'!$A$1:$Q$58,17,FALSE)</f>
        <v>hept_c</v>
      </c>
      <c r="AI616" s="1">
        <f>VLOOKUP($E616,'Product Parameters'!$A$2:$D$59,2,FALSE)</f>
        <v>1</v>
      </c>
      <c r="AJ616" s="1">
        <f>VLOOKUP($E616,'Product Parameters'!$A$2:$D$59,3,FALSE)</f>
        <v>0</v>
      </c>
      <c r="AK616" s="1">
        <f>VLOOKUP($E616,'Product Parameters'!$A$2:$D$59,4,FALSE)</f>
        <v>0.12</v>
      </c>
      <c r="AL616" s="1">
        <f>VLOOKUP($E616,'Product Parameters'!$A$2:$E$59,5,FALSE)</f>
        <v>36</v>
      </c>
      <c r="AM616" s="1">
        <f>VLOOKUP($E616,'Product Parameters'!$A$2:$F$59,6,FALSE)</f>
        <v>7</v>
      </c>
      <c r="AN616" s="1">
        <f>VLOOKUP($C616,'Substrate Heating'!$A$2:$C$33,3,FALSE)</f>
        <v>2828.4492</v>
      </c>
      <c r="AO616" s="1">
        <f>VLOOKUP($C616,'Substrate Heating'!$A$2:$B$33,2,FALSE)</f>
        <v>15.7</v>
      </c>
      <c r="AP616" s="1">
        <f>VLOOKUP($C616,'Substrate Heating'!$A$2:$M$33,13,FALSE)</f>
        <v>4</v>
      </c>
      <c r="AQ616" s="1">
        <f>VLOOKUP($C616,'Substrate Heating'!$A$2:$M$33,8,FALSE)</f>
        <v>6</v>
      </c>
      <c r="AR616" s="1">
        <f t="shared" si="9"/>
        <v>0.6297249508840862</v>
      </c>
    </row>
    <row r="617" spans="1:44" x14ac:dyDescent="0.2">
      <c r="A617" s="17" t="s">
        <v>323</v>
      </c>
      <c r="B617" s="18" t="s">
        <v>324</v>
      </c>
      <c r="C617" t="s">
        <v>328</v>
      </c>
      <c r="D617" s="19" t="s">
        <v>326</v>
      </c>
      <c r="E617" t="s">
        <v>287</v>
      </c>
      <c r="F617" t="s">
        <v>288</v>
      </c>
      <c r="G617">
        <v>-10</v>
      </c>
      <c r="H617">
        <v>0</v>
      </c>
      <c r="I617">
        <v>-10</v>
      </c>
      <c r="J617">
        <v>0.45</v>
      </c>
      <c r="K617">
        <v>-10</v>
      </c>
      <c r="L617">
        <v>0</v>
      </c>
      <c r="M617">
        <v>-10</v>
      </c>
      <c r="N617">
        <v>3.75</v>
      </c>
      <c r="O617">
        <v>1.25</v>
      </c>
      <c r="P617"/>
      <c r="Q617">
        <v>0.125</v>
      </c>
      <c r="R617">
        <v>0.30031460206460198</v>
      </c>
      <c r="S617" s="1" t="str">
        <f>VLOOKUP($E617,'Product Naming'!$A$1:$P$58,2,FALSE)</f>
        <v>Pentane</v>
      </c>
      <c r="T617" s="1" t="str">
        <f>VLOOKUP($E617,'Product Naming'!$A$1:$P$58,3,FALSE)</f>
        <v>Pentane</v>
      </c>
      <c r="U617" s="1" t="str">
        <f>VLOOKUP($E617,'Product Naming'!$A$1:$P$58,4,FALSE)</f>
        <v>E</v>
      </c>
      <c r="V617" s="1" t="str">
        <f>VLOOKUP($E617,'Product Naming'!$A$1:$P$58,5,FALSE)</f>
        <v>C5H12</v>
      </c>
      <c r="W617" s="1">
        <f>VLOOKUP($E617,'Product Naming'!$A$1:$P$58,6,FALSE)</f>
        <v>5</v>
      </c>
      <c r="X617" s="1">
        <f>VLOOKUP($E617,'Product Naming'!$A$1:$P$58,7,FALSE)</f>
        <v>12</v>
      </c>
      <c r="Y617" s="1">
        <f>VLOOKUP($E617,'Product Naming'!$A$1:$P$58,8,FALSE)</f>
        <v>0</v>
      </c>
      <c r="Z617" s="1">
        <f>VLOOKUP($E617,'Product Naming'!$A$1:$P$58,9,FALSE)</f>
        <v>0</v>
      </c>
      <c r="AA617" s="1">
        <f>VLOOKUP($E617,'Product Naming'!$A$1:$P$58,10,FALSE)</f>
        <v>0</v>
      </c>
      <c r="AB617" s="29">
        <f>VLOOKUP($E617,'Product Naming'!$A$1:$P$58,11,FALSE)</f>
        <v>6.4</v>
      </c>
      <c r="AC617" s="3">
        <f>VLOOKUP($E617,'Product Naming'!$A$1:$P$58,12,FALSE)</f>
        <v>72.147580000000005</v>
      </c>
      <c r="AD617" s="1">
        <f>VLOOKUP($E617,'Product Naming'!$A$1:$P$58,13,FALSE)</f>
        <v>36.1</v>
      </c>
      <c r="AE617" s="1" t="str">
        <f>VLOOKUP($E617,'Product Naming'!$A$1:$P$58,14,FALSE)</f>
        <v>Hydrocarbon (alkane)</v>
      </c>
      <c r="AF617" s="1" t="str">
        <f>VLOOKUP($E617,'Product Naming'!$A$1:$P$58,15,FALSE)</f>
        <v>Acetyl-CoA</v>
      </c>
      <c r="AG617" s="30" t="str">
        <f>VLOOKUP($E617,'Product Naming'!$A$1:$P$58,16,FALSE)</f>
        <v>Diffusion</v>
      </c>
      <c r="AH617" s="3" t="str">
        <f>VLOOKUP($E617,'Product Naming'!$A$1:$Q$58,17,FALSE)</f>
        <v>pent_c</v>
      </c>
      <c r="AI617" s="1">
        <f>VLOOKUP($E617,'Product Parameters'!$A$2:$D$59,2,FALSE)</f>
        <v>0</v>
      </c>
      <c r="AJ617" s="1">
        <f>VLOOKUP($E617,'Product Parameters'!$A$2:$D$59,3,FALSE)</f>
        <v>1</v>
      </c>
      <c r="AK617" s="1">
        <f>VLOOKUP($E617,'Product Parameters'!$A$2:$D$59,4,FALSE)</f>
        <v>0.12</v>
      </c>
      <c r="AL617" s="1">
        <f>VLOOKUP($E617,'Product Parameters'!$A$2:$E$59,5,FALSE)</f>
        <v>26.5</v>
      </c>
      <c r="AM617" s="1">
        <f>VLOOKUP($E617,'Product Parameters'!$A$2:$F$59,6,FALSE)</f>
        <v>5</v>
      </c>
      <c r="AN617" s="1">
        <f>VLOOKUP($C617,'Substrate Heating'!$A$2:$C$33,3,FALSE)</f>
        <v>262.39999999999998</v>
      </c>
      <c r="AO617" s="1">
        <f>VLOOKUP($C617,'Substrate Heating'!$A$2:$B$33,2,FALSE)</f>
        <v>17.478546483008707</v>
      </c>
      <c r="AP617" s="1">
        <f>VLOOKUP($C617,'Substrate Heating'!$A$2:$M$33,13,FALSE)</f>
        <v>1</v>
      </c>
      <c r="AQ617" s="1">
        <f>VLOOKUP($C617,'Substrate Heating'!$A$2:$M$33,8,FALSE)</f>
        <v>0.5</v>
      </c>
      <c r="AR617" s="1">
        <f t="shared" si="9"/>
        <v>1.25</v>
      </c>
    </row>
    <row r="618" spans="1:44" x14ac:dyDescent="0.2">
      <c r="A618" s="17" t="s">
        <v>323</v>
      </c>
      <c r="B618" s="18" t="s">
        <v>324</v>
      </c>
      <c r="C618" t="s">
        <v>328</v>
      </c>
      <c r="D618" s="19" t="s">
        <v>326</v>
      </c>
      <c r="E618" t="s">
        <v>291</v>
      </c>
      <c r="F618" t="s">
        <v>292</v>
      </c>
      <c r="G618">
        <v>-10</v>
      </c>
      <c r="H618">
        <v>0</v>
      </c>
      <c r="I618">
        <v>-10</v>
      </c>
      <c r="J618">
        <v>0.45</v>
      </c>
      <c r="K618">
        <v>-10</v>
      </c>
      <c r="L618">
        <v>0</v>
      </c>
      <c r="M618">
        <v>-10</v>
      </c>
      <c r="N618">
        <v>2.5633802816901401</v>
      </c>
      <c r="O618">
        <v>1.0253521126760601</v>
      </c>
      <c r="P618"/>
      <c r="Q618">
        <v>0.10253521126760599</v>
      </c>
      <c r="R618">
        <v>0.30096997012377302</v>
      </c>
      <c r="S618" s="1" t="str">
        <f>VLOOKUP($E618,'Product Naming'!$A$1:$P$58,2,FALSE)</f>
        <v>Pentanol-PW1</v>
      </c>
      <c r="T618" s="1" t="str">
        <f>VLOOKUP($E618,'Product Naming'!$A$1:$P$58,3,FALSE)</f>
        <v>Pentanol (PW1)</v>
      </c>
      <c r="U618" s="1" t="str">
        <f>VLOOKUP($E618,'Product Naming'!$A$1:$P$58,4,FALSE)</f>
        <v>E</v>
      </c>
      <c r="V618" s="1" t="str">
        <f>VLOOKUP($E618,'Product Naming'!$A$1:$P$58,5,FALSE)</f>
        <v>C5H12O</v>
      </c>
      <c r="W618" s="1">
        <f>VLOOKUP($E618,'Product Naming'!$A$1:$P$58,6,FALSE)</f>
        <v>5</v>
      </c>
      <c r="X618" s="1">
        <f>VLOOKUP($E618,'Product Naming'!$A$1:$P$58,7,FALSE)</f>
        <v>12</v>
      </c>
      <c r="Y618" s="1">
        <f>VLOOKUP($E618,'Product Naming'!$A$1:$P$58,8,FALSE)</f>
        <v>1</v>
      </c>
      <c r="Z618" s="1">
        <f>VLOOKUP($E618,'Product Naming'!$A$1:$P$58,9,FALSE)</f>
        <v>0</v>
      </c>
      <c r="AA618" s="1">
        <f>VLOOKUP($E618,'Product Naming'!$A$1:$P$58,10,FALSE)</f>
        <v>0</v>
      </c>
      <c r="AB618" s="29">
        <f>VLOOKUP($E618,'Product Naming'!$A$1:$P$58,11,FALSE)</f>
        <v>6</v>
      </c>
      <c r="AC618" s="3">
        <f>VLOOKUP($E618,'Product Naming'!$A$1:$P$58,12,FALSE)</f>
        <v>88.14658</v>
      </c>
      <c r="AD618" s="1">
        <f>VLOOKUP($E618,'Product Naming'!$A$1:$P$58,13,FALSE)</f>
        <v>138</v>
      </c>
      <c r="AE618" s="1" t="str">
        <f>VLOOKUP($E618,'Product Naming'!$A$1:$P$58,14,FALSE)</f>
        <v>Alcohol</v>
      </c>
      <c r="AF618" s="1" t="str">
        <f>VLOOKUP($E618,'Product Naming'!$A$1:$P$58,15,FALSE)</f>
        <v>Acetyl-CoA + Succinyl-CoA</v>
      </c>
      <c r="AG618" s="30" t="str">
        <f>VLOOKUP($E618,'Product Naming'!$A$1:$P$58,16,FALSE)</f>
        <v>Proton symporter</v>
      </c>
      <c r="AH618" s="3" t="str">
        <f>VLOOKUP($E618,'Product Naming'!$A$1:$Q$58,17,FALSE)</f>
        <v>pentoh_c</v>
      </c>
      <c r="AI618" s="1">
        <f>VLOOKUP($E618,'Product Parameters'!$A$2:$D$59,2,FALSE)</f>
        <v>1</v>
      </c>
      <c r="AJ618" s="1">
        <f>VLOOKUP($E618,'Product Parameters'!$A$2:$D$59,3,FALSE)</f>
        <v>0</v>
      </c>
      <c r="AK618" s="1">
        <f>VLOOKUP($E618,'Product Parameters'!$A$2:$D$59,4,FALSE)</f>
        <v>0.12</v>
      </c>
      <c r="AL618" s="1">
        <f>VLOOKUP($E618,'Product Parameters'!$A$2:$E$59,5,FALSE)</f>
        <v>57</v>
      </c>
      <c r="AM618" s="1">
        <f>VLOOKUP($E618,'Product Parameters'!$A$2:$F$59,6,FALSE)</f>
        <v>5</v>
      </c>
      <c r="AN618" s="1">
        <f>VLOOKUP($C618,'Substrate Heating'!$A$2:$C$33,3,FALSE)</f>
        <v>262.39999999999998</v>
      </c>
      <c r="AO618" s="1">
        <f>VLOOKUP($C618,'Substrate Heating'!$A$2:$B$33,2,FALSE)</f>
        <v>17.478546483008707</v>
      </c>
      <c r="AP618" s="1">
        <f>VLOOKUP($C618,'Substrate Heating'!$A$2:$M$33,13,FALSE)</f>
        <v>1</v>
      </c>
      <c r="AQ618" s="1">
        <f>VLOOKUP($C618,'Substrate Heating'!$A$2:$M$33,8,FALSE)</f>
        <v>0.5</v>
      </c>
      <c r="AR618" s="1">
        <f t="shared" si="9"/>
        <v>1.0253521126760599</v>
      </c>
    </row>
    <row r="619" spans="1:44" x14ac:dyDescent="0.2">
      <c r="A619" s="17" t="s">
        <v>323</v>
      </c>
      <c r="B619" s="18" t="s">
        <v>324</v>
      </c>
      <c r="C619" t="s">
        <v>328</v>
      </c>
      <c r="D619" s="19" t="s">
        <v>326</v>
      </c>
      <c r="E619" t="s">
        <v>295</v>
      </c>
      <c r="F619" t="s">
        <v>292</v>
      </c>
      <c r="G619">
        <v>-10</v>
      </c>
      <c r="H619">
        <v>0</v>
      </c>
      <c r="I619">
        <v>-10</v>
      </c>
      <c r="J619">
        <v>0.45</v>
      </c>
      <c r="K619">
        <v>-10</v>
      </c>
      <c r="L619">
        <v>0</v>
      </c>
      <c r="M619">
        <v>-10</v>
      </c>
      <c r="N619">
        <v>2.5633802816901401</v>
      </c>
      <c r="O619">
        <v>1.0253521126760601</v>
      </c>
      <c r="P619"/>
      <c r="Q619">
        <v>0.10253521126760599</v>
      </c>
      <c r="R619">
        <v>0.30096997012377302</v>
      </c>
      <c r="S619" s="1" t="str">
        <f>VLOOKUP($E619,'Product Naming'!$A$1:$P$58,2,FALSE)</f>
        <v>Pentanol-PW2</v>
      </c>
      <c r="T619" s="1" t="str">
        <f>VLOOKUP($E619,'Product Naming'!$A$1:$P$58,3,FALSE)</f>
        <v>Pentanol (PW2)</v>
      </c>
      <c r="U619" s="1" t="str">
        <f>VLOOKUP($E619,'Product Naming'!$A$1:$P$58,4,FALSE)</f>
        <v>E</v>
      </c>
      <c r="V619" s="1" t="str">
        <f>VLOOKUP($E619,'Product Naming'!$A$1:$P$58,5,FALSE)</f>
        <v>C5H12O</v>
      </c>
      <c r="W619" s="1">
        <f>VLOOKUP($E619,'Product Naming'!$A$1:$P$58,6,FALSE)</f>
        <v>5</v>
      </c>
      <c r="X619" s="1">
        <f>VLOOKUP($E619,'Product Naming'!$A$1:$P$58,7,FALSE)</f>
        <v>12</v>
      </c>
      <c r="Y619" s="1">
        <f>VLOOKUP($E619,'Product Naming'!$A$1:$P$58,8,FALSE)</f>
        <v>1</v>
      </c>
      <c r="Z619" s="1">
        <f>VLOOKUP($E619,'Product Naming'!$A$1:$P$58,9,FALSE)</f>
        <v>0</v>
      </c>
      <c r="AA619" s="1">
        <f>VLOOKUP($E619,'Product Naming'!$A$1:$P$58,10,FALSE)</f>
        <v>0</v>
      </c>
      <c r="AB619" s="29">
        <f>VLOOKUP($E619,'Product Naming'!$A$1:$P$58,11,FALSE)</f>
        <v>6</v>
      </c>
      <c r="AC619" s="3">
        <f>VLOOKUP($E619,'Product Naming'!$A$1:$P$58,12,FALSE)</f>
        <v>88.14658</v>
      </c>
      <c r="AD619" s="1">
        <f>VLOOKUP($E619,'Product Naming'!$A$1:$P$58,13,FALSE)</f>
        <v>138</v>
      </c>
      <c r="AE619" s="1" t="str">
        <f>VLOOKUP($E619,'Product Naming'!$A$1:$P$58,14,FALSE)</f>
        <v>Alcohol</v>
      </c>
      <c r="AF619" s="1" t="str">
        <f>VLOOKUP($E619,'Product Naming'!$A$1:$P$58,15,FALSE)</f>
        <v>Oxaloacetate</v>
      </c>
      <c r="AG619" s="30" t="str">
        <f>VLOOKUP($E619,'Product Naming'!$A$1:$P$58,16,FALSE)</f>
        <v>Proton symporter</v>
      </c>
      <c r="AH619" s="3" t="str">
        <f>VLOOKUP($E619,'Product Naming'!$A$1:$Q$58,17,FALSE)</f>
        <v>pentoh_c</v>
      </c>
      <c r="AI619" s="1">
        <f>VLOOKUP($E619,'Product Parameters'!$A$2:$D$59,2,FALSE)</f>
        <v>1</v>
      </c>
      <c r="AJ619" s="1">
        <f>VLOOKUP($E619,'Product Parameters'!$A$2:$D$59,3,FALSE)</f>
        <v>0</v>
      </c>
      <c r="AK619" s="1">
        <f>VLOOKUP($E619,'Product Parameters'!$A$2:$D$59,4,FALSE)</f>
        <v>0.12</v>
      </c>
      <c r="AL619" s="1">
        <f>VLOOKUP($E619,'Product Parameters'!$A$2:$E$59,5,FALSE)</f>
        <v>57</v>
      </c>
      <c r="AM619" s="1">
        <f>VLOOKUP($E619,'Product Parameters'!$A$2:$F$59,6,FALSE)</f>
        <v>5</v>
      </c>
      <c r="AN619" s="1">
        <f>VLOOKUP($C619,'Substrate Heating'!$A$2:$C$33,3,FALSE)</f>
        <v>262.39999999999998</v>
      </c>
      <c r="AO619" s="1">
        <f>VLOOKUP($C619,'Substrate Heating'!$A$2:$B$33,2,FALSE)</f>
        <v>17.478546483008707</v>
      </c>
      <c r="AP619" s="1">
        <f>VLOOKUP($C619,'Substrate Heating'!$A$2:$M$33,13,FALSE)</f>
        <v>1</v>
      </c>
      <c r="AQ619" s="1">
        <f>VLOOKUP($C619,'Substrate Heating'!$A$2:$M$33,8,FALSE)</f>
        <v>0.5</v>
      </c>
      <c r="AR619" s="1">
        <f t="shared" si="9"/>
        <v>1.0253521126760599</v>
      </c>
    </row>
    <row r="620" spans="1:44" x14ac:dyDescent="0.2">
      <c r="A620" s="8" t="s">
        <v>34</v>
      </c>
      <c r="B620" s="9" t="s">
        <v>35</v>
      </c>
      <c r="C620" s="1" t="s">
        <v>341</v>
      </c>
      <c r="D620" s="24" t="s">
        <v>342</v>
      </c>
      <c r="E620" s="1" t="s">
        <v>151</v>
      </c>
      <c r="F620" s="1" t="s">
        <v>152</v>
      </c>
      <c r="G620" s="1">
        <v>-10</v>
      </c>
      <c r="H620" s="1">
        <v>-20</v>
      </c>
      <c r="I620" s="1" t="s">
        <v>40</v>
      </c>
      <c r="J620" s="1">
        <v>3.15</v>
      </c>
      <c r="K620" s="1">
        <v>-10</v>
      </c>
      <c r="L620" s="1">
        <v>-5.3024642289348298</v>
      </c>
      <c r="M620" s="1" t="s">
        <v>40</v>
      </c>
      <c r="N620" s="1">
        <v>19.483306836248001</v>
      </c>
      <c r="O620" s="1">
        <v>1.0129173290938001</v>
      </c>
      <c r="Q620" s="1">
        <v>0.10129173290938</v>
      </c>
      <c r="R620" s="1">
        <v>0.30185681149041999</v>
      </c>
      <c r="S620" s="1" t="str">
        <f>VLOOKUP($E620,'Product Naming'!$A$1:$P$58,2,FALSE)</f>
        <v>BetaCarotene</v>
      </c>
      <c r="T620" s="1" t="str">
        <f>VLOOKUP($E620,'Product Naming'!$A$1:$P$58,3,FALSE)</f>
        <v>Beta carotene</v>
      </c>
      <c r="U620" s="1" t="str">
        <f>VLOOKUP($E620,'Product Naming'!$A$1:$P$58,4,FALSE)</f>
        <v>A</v>
      </c>
      <c r="V620" s="1" t="str">
        <f>VLOOKUP($E620,'Product Naming'!$A$1:$P$58,5,FALSE)</f>
        <v>C40H56</v>
      </c>
      <c r="W620" s="1">
        <f>VLOOKUP($E620,'Product Naming'!$A$1:$P$58,6,FALSE)</f>
        <v>40</v>
      </c>
      <c r="X620" s="1">
        <f>VLOOKUP($E620,'Product Naming'!$A$1:$P$58,7,FALSE)</f>
        <v>56</v>
      </c>
      <c r="Y620" s="1">
        <f>VLOOKUP($E620,'Product Naming'!$A$1:$P$58,8,FALSE)</f>
        <v>0</v>
      </c>
      <c r="Z620" s="1">
        <f>VLOOKUP($E620,'Product Naming'!$A$1:$P$58,9,FALSE)</f>
        <v>0</v>
      </c>
      <c r="AA620" s="1">
        <f>VLOOKUP($E620,'Product Naming'!$A$1:$P$58,10,FALSE)</f>
        <v>0</v>
      </c>
      <c r="AB620" s="29">
        <f>VLOOKUP($E620,'Product Naming'!$A$1:$P$58,11,FALSE)</f>
        <v>5.4</v>
      </c>
      <c r="AC620" s="3">
        <f>VLOOKUP($E620,'Product Naming'!$A$1:$P$58,12,FALSE)</f>
        <v>536.86703999999997</v>
      </c>
      <c r="AD620" s="1">
        <f>VLOOKUP($E620,'Product Naming'!$A$1:$P$58,13,FALSE)</f>
        <v>633</v>
      </c>
      <c r="AE620" s="1" t="str">
        <f>VLOOKUP($E620,'Product Naming'!$A$1:$P$58,14,FALSE)</f>
        <v>Hydrocarbon</v>
      </c>
      <c r="AF620" s="1" t="str">
        <f>VLOOKUP($E620,'Product Naming'!$A$1:$P$58,15,FALSE)</f>
        <v>Acetyl-CoA</v>
      </c>
      <c r="AG620" s="30" t="str">
        <f>VLOOKUP($E620,'Product Naming'!$A$1:$P$58,16,FALSE)</f>
        <v>ABC Transporter</v>
      </c>
      <c r="AH620" s="3" t="str">
        <f>VLOOKUP($E620,'Product Naming'!$A$1:$Q$58,17,FALSE)</f>
        <v>caro_c</v>
      </c>
      <c r="AI620" s="1">
        <f>VLOOKUP($E620,'Product Parameters'!$A$2:$D$59,2,FALSE)</f>
        <v>1</v>
      </c>
      <c r="AJ620" s="1">
        <f>VLOOKUP($E620,'Product Parameters'!$A$2:$D$59,3,FALSE)</f>
        <v>0</v>
      </c>
      <c r="AK620" s="1">
        <f>VLOOKUP($E620,'Product Parameters'!$A$2:$D$59,4,FALSE)</f>
        <v>0.12</v>
      </c>
      <c r="AL620" s="1">
        <f>VLOOKUP($E620,'Product Parameters'!$A$2:$E$59,5,FALSE)</f>
        <v>40.65</v>
      </c>
      <c r="AM620" s="1">
        <f>VLOOKUP($E620,'Product Parameters'!$A$2:$F$59,6,FALSE)</f>
        <v>40</v>
      </c>
      <c r="AN620" s="1">
        <f>VLOOKUP($C620,'Substrate Heating'!$A$2:$C$33,3,FALSE)</f>
        <v>2828.4492</v>
      </c>
      <c r="AO620" s="1">
        <f>VLOOKUP($C620,'Substrate Heating'!$A$2:$B$33,2,FALSE)</f>
        <v>15.7</v>
      </c>
      <c r="AP620" s="1">
        <f>VLOOKUP($C620,'Substrate Heating'!$A$2:$M$33,13,FALSE)</f>
        <v>4</v>
      </c>
      <c r="AQ620" s="1">
        <f>VLOOKUP($C620,'Substrate Heating'!$A$2:$M$33,8,FALSE)</f>
        <v>6</v>
      </c>
      <c r="AR620" s="1">
        <f t="shared" si="9"/>
        <v>0.67527821939586674</v>
      </c>
    </row>
    <row r="621" spans="1:44" x14ac:dyDescent="0.2">
      <c r="A621" s="17" t="s">
        <v>323</v>
      </c>
      <c r="B621" s="18" t="s">
        <v>324</v>
      </c>
      <c r="C621" t="s">
        <v>328</v>
      </c>
      <c r="D621" s="19" t="s">
        <v>326</v>
      </c>
      <c r="E621" t="s">
        <v>236</v>
      </c>
      <c r="F621" t="s">
        <v>237</v>
      </c>
      <c r="G621">
        <v>-10</v>
      </c>
      <c r="H621">
        <v>0</v>
      </c>
      <c r="I621">
        <v>-10</v>
      </c>
      <c r="J621">
        <v>0.45</v>
      </c>
      <c r="K621">
        <v>-10</v>
      </c>
      <c r="L621">
        <v>0</v>
      </c>
      <c r="M621">
        <v>-10</v>
      </c>
      <c r="N621">
        <v>3.6842105263157898</v>
      </c>
      <c r="O621">
        <v>1.0526315789473699</v>
      </c>
      <c r="P621"/>
      <c r="Q621">
        <v>0.105263157894737</v>
      </c>
      <c r="R621">
        <v>0.30206270922060402</v>
      </c>
      <c r="S621" s="1" t="str">
        <f>VLOOKUP($E621,'Product Naming'!$A$1:$P$58,2,FALSE)</f>
        <v>Hexane</v>
      </c>
      <c r="T621" s="1" t="str">
        <f>VLOOKUP($E621,'Product Naming'!$A$1:$P$58,3,FALSE)</f>
        <v>Hexane</v>
      </c>
      <c r="U621" s="1" t="str">
        <f>VLOOKUP($E621,'Product Naming'!$A$1:$P$58,4,FALSE)</f>
        <v>E</v>
      </c>
      <c r="V621" s="1" t="str">
        <f>VLOOKUP($E621,'Product Naming'!$A$1:$P$58,5,FALSE)</f>
        <v>C6H14</v>
      </c>
      <c r="W621" s="1">
        <f>VLOOKUP($E621,'Product Naming'!$A$1:$P$58,6,FALSE)</f>
        <v>6</v>
      </c>
      <c r="X621" s="1">
        <f>VLOOKUP($E621,'Product Naming'!$A$1:$P$58,7,FALSE)</f>
        <v>14</v>
      </c>
      <c r="Y621" s="1">
        <f>VLOOKUP($E621,'Product Naming'!$A$1:$P$58,8,FALSE)</f>
        <v>0</v>
      </c>
      <c r="Z621" s="1">
        <f>VLOOKUP($E621,'Product Naming'!$A$1:$P$58,9,FALSE)</f>
        <v>0</v>
      </c>
      <c r="AA621" s="1">
        <f>VLOOKUP($E621,'Product Naming'!$A$1:$P$58,10,FALSE)</f>
        <v>0</v>
      </c>
      <c r="AB621" s="29">
        <f>VLOOKUP($E621,'Product Naming'!$A$1:$P$58,11,FALSE)</f>
        <v>6.333333333333333</v>
      </c>
      <c r="AC621" s="3">
        <f>VLOOKUP($E621,'Product Naming'!$A$1:$P$58,12,FALSE)</f>
        <v>86.173959999999994</v>
      </c>
      <c r="AD621" s="1">
        <f>VLOOKUP($E621,'Product Naming'!$A$1:$P$58,13,FALSE)</f>
        <v>69</v>
      </c>
      <c r="AE621" s="1" t="str">
        <f>VLOOKUP($E621,'Product Naming'!$A$1:$P$58,14,FALSE)</f>
        <v>Hydrocarbon (alkane)</v>
      </c>
      <c r="AF621" s="1" t="str">
        <f>VLOOKUP($E621,'Product Naming'!$A$1:$P$58,15,FALSE)</f>
        <v>Acetyl-CoA + Succinyl-CoA</v>
      </c>
      <c r="AG621" s="30" t="str">
        <f>VLOOKUP($E621,'Product Naming'!$A$1:$P$58,16,FALSE)</f>
        <v>Proton symporter</v>
      </c>
      <c r="AH621" s="3" t="str">
        <f>VLOOKUP($E621,'Product Naming'!$A$1:$Q$58,17,FALSE)</f>
        <v>hex_c</v>
      </c>
      <c r="AI621" s="1">
        <f>VLOOKUP($E621,'Product Parameters'!$A$2:$D$59,2,FALSE)</f>
        <v>1</v>
      </c>
      <c r="AJ621" s="1">
        <f>VLOOKUP($E621,'Product Parameters'!$A$2:$D$59,3,FALSE)</f>
        <v>0</v>
      </c>
      <c r="AK621" s="1">
        <f>VLOOKUP($E621,'Product Parameters'!$A$2:$D$59,4,FALSE)</f>
        <v>0.12</v>
      </c>
      <c r="AL621" s="1">
        <f>VLOOKUP($E621,'Product Parameters'!$A$2:$E$59,5,FALSE)</f>
        <v>31</v>
      </c>
      <c r="AM621" s="1">
        <f>VLOOKUP($E621,'Product Parameters'!$A$2:$F$59,6,FALSE)</f>
        <v>6</v>
      </c>
      <c r="AN621" s="1">
        <f>VLOOKUP($C621,'Substrate Heating'!$A$2:$C$33,3,FALSE)</f>
        <v>262.39999999999998</v>
      </c>
      <c r="AO621" s="1">
        <f>VLOOKUP($C621,'Substrate Heating'!$A$2:$B$33,2,FALSE)</f>
        <v>17.478546483008707</v>
      </c>
      <c r="AP621" s="1">
        <f>VLOOKUP($C621,'Substrate Heating'!$A$2:$M$33,13,FALSE)</f>
        <v>1</v>
      </c>
      <c r="AQ621" s="1">
        <f>VLOOKUP($C621,'Substrate Heating'!$A$2:$M$33,8,FALSE)</f>
        <v>0.5</v>
      </c>
      <c r="AR621" s="1">
        <f t="shared" si="9"/>
        <v>1.263157894736844</v>
      </c>
    </row>
    <row r="622" spans="1:44" x14ac:dyDescent="0.2">
      <c r="A622" s="17" t="s">
        <v>231</v>
      </c>
      <c r="B622" s="9" t="s">
        <v>35</v>
      </c>
      <c r="C622" t="s">
        <v>349</v>
      </c>
      <c r="D622" s="25" t="s">
        <v>342</v>
      </c>
      <c r="E622" t="s">
        <v>236</v>
      </c>
      <c r="F622" t="s">
        <v>237</v>
      </c>
      <c r="G622">
        <v>-10</v>
      </c>
      <c r="H622">
        <v>-20</v>
      </c>
      <c r="I622" s="1" t="s">
        <v>40</v>
      </c>
      <c r="J622">
        <v>3.15</v>
      </c>
      <c r="K622">
        <v>-10</v>
      </c>
      <c r="L622">
        <v>1.42213726175426E-15</v>
      </c>
      <c r="M622" s="1" t="s">
        <v>40</v>
      </c>
      <c r="N622">
        <v>18.421052631578899</v>
      </c>
      <c r="O622">
        <v>5.2631578947368398</v>
      </c>
      <c r="P622"/>
      <c r="Q622">
        <v>0.52631578947368396</v>
      </c>
      <c r="R622">
        <v>0.30210294937370002</v>
      </c>
      <c r="S622" s="1" t="str">
        <f>VLOOKUP($E622,'Product Naming'!$A$1:$P$58,2,FALSE)</f>
        <v>Hexane</v>
      </c>
      <c r="T622" s="1" t="str">
        <f>VLOOKUP($E622,'Product Naming'!$A$1:$P$58,3,FALSE)</f>
        <v>Hexane</v>
      </c>
      <c r="U622" s="1" t="str">
        <f>VLOOKUP($E622,'Product Naming'!$A$1:$P$58,4,FALSE)</f>
        <v>E</v>
      </c>
      <c r="V622" s="1" t="str">
        <f>VLOOKUP($E622,'Product Naming'!$A$1:$P$58,5,FALSE)</f>
        <v>C6H14</v>
      </c>
      <c r="W622" s="1">
        <f>VLOOKUP($E622,'Product Naming'!$A$1:$P$58,6,FALSE)</f>
        <v>6</v>
      </c>
      <c r="X622" s="1">
        <f>VLOOKUP($E622,'Product Naming'!$A$1:$P$58,7,FALSE)</f>
        <v>14</v>
      </c>
      <c r="Y622" s="1">
        <f>VLOOKUP($E622,'Product Naming'!$A$1:$P$58,8,FALSE)</f>
        <v>0</v>
      </c>
      <c r="Z622" s="1">
        <f>VLOOKUP($E622,'Product Naming'!$A$1:$P$58,9,FALSE)</f>
        <v>0</v>
      </c>
      <c r="AA622" s="1">
        <f>VLOOKUP($E622,'Product Naming'!$A$1:$P$58,10,FALSE)</f>
        <v>0</v>
      </c>
      <c r="AB622" s="29">
        <f>VLOOKUP($E622,'Product Naming'!$A$1:$P$58,11,FALSE)</f>
        <v>6.333333333333333</v>
      </c>
      <c r="AC622" s="3">
        <f>VLOOKUP($E622,'Product Naming'!$A$1:$P$58,12,FALSE)</f>
        <v>86.173959999999994</v>
      </c>
      <c r="AD622" s="1">
        <f>VLOOKUP($E622,'Product Naming'!$A$1:$P$58,13,FALSE)</f>
        <v>69</v>
      </c>
      <c r="AE622" s="1" t="str">
        <f>VLOOKUP($E622,'Product Naming'!$A$1:$P$58,14,FALSE)</f>
        <v>Hydrocarbon (alkane)</v>
      </c>
      <c r="AF622" s="1" t="str">
        <f>VLOOKUP($E622,'Product Naming'!$A$1:$P$58,15,FALSE)</f>
        <v>Acetyl-CoA + Succinyl-CoA</v>
      </c>
      <c r="AG622" s="30" t="str">
        <f>VLOOKUP($E622,'Product Naming'!$A$1:$P$58,16,FALSE)</f>
        <v>Proton symporter</v>
      </c>
      <c r="AH622" s="3" t="str">
        <f>VLOOKUP($E622,'Product Naming'!$A$1:$Q$58,17,FALSE)</f>
        <v>hex_c</v>
      </c>
      <c r="AI622" s="1">
        <f>VLOOKUP($E622,'Product Parameters'!$A$2:$D$59,2,FALSE)</f>
        <v>1</v>
      </c>
      <c r="AJ622" s="1">
        <f>VLOOKUP($E622,'Product Parameters'!$A$2:$D$59,3,FALSE)</f>
        <v>0</v>
      </c>
      <c r="AK622" s="1">
        <f>VLOOKUP($E622,'Product Parameters'!$A$2:$D$59,4,FALSE)</f>
        <v>0.12</v>
      </c>
      <c r="AL622" s="1">
        <f>VLOOKUP($E622,'Product Parameters'!$A$2:$E$59,5,FALSE)</f>
        <v>31</v>
      </c>
      <c r="AM622" s="1">
        <f>VLOOKUP($E622,'Product Parameters'!$A$2:$F$59,6,FALSE)</f>
        <v>6</v>
      </c>
      <c r="AN622" s="1">
        <f>VLOOKUP($C622,'Substrate Heating'!$A$2:$C$33,3,FALSE)</f>
        <v>2342.0279999999998</v>
      </c>
      <c r="AO622" s="1">
        <f>VLOOKUP($C622,'Substrate Heating'!$A$2:$B$33,2,FALSE)</f>
        <v>15.6</v>
      </c>
      <c r="AP622" s="1">
        <f>VLOOKUP($C622,'Substrate Heating'!$A$2:$M$33,13,FALSE)</f>
        <v>4</v>
      </c>
      <c r="AQ622" s="1">
        <f>VLOOKUP($C622,'Substrate Heating'!$A$2:$M$33,8,FALSE)</f>
        <v>5</v>
      </c>
      <c r="AR622" s="1">
        <f t="shared" si="9"/>
        <v>0.63157894736842068</v>
      </c>
    </row>
    <row r="623" spans="1:44" x14ac:dyDescent="0.2">
      <c r="A623" s="17" t="s">
        <v>231</v>
      </c>
      <c r="B623" s="9" t="s">
        <v>35</v>
      </c>
      <c r="C623" t="s">
        <v>341</v>
      </c>
      <c r="D623" s="24" t="s">
        <v>342</v>
      </c>
      <c r="E623" t="s">
        <v>236</v>
      </c>
      <c r="F623" t="s">
        <v>237</v>
      </c>
      <c r="G623">
        <v>-10</v>
      </c>
      <c r="H623">
        <v>-20</v>
      </c>
      <c r="I623" s="1" t="s">
        <v>40</v>
      </c>
      <c r="J623">
        <v>3.15</v>
      </c>
      <c r="K623">
        <v>-10</v>
      </c>
      <c r="L623">
        <v>0</v>
      </c>
      <c r="M623" s="1" t="s">
        <v>40</v>
      </c>
      <c r="N623">
        <v>22.105263157894701</v>
      </c>
      <c r="O623">
        <v>6.3157894736842097</v>
      </c>
      <c r="P623"/>
      <c r="Q623">
        <v>0.63157894736842102</v>
      </c>
      <c r="R623">
        <v>0.30210918755715099</v>
      </c>
      <c r="S623" s="1" t="str">
        <f>VLOOKUP($E623,'Product Naming'!$A$1:$P$58,2,FALSE)</f>
        <v>Hexane</v>
      </c>
      <c r="T623" s="1" t="str">
        <f>VLOOKUP($E623,'Product Naming'!$A$1:$P$58,3,FALSE)</f>
        <v>Hexane</v>
      </c>
      <c r="U623" s="1" t="str">
        <f>VLOOKUP($E623,'Product Naming'!$A$1:$P$58,4,FALSE)</f>
        <v>E</v>
      </c>
      <c r="V623" s="1" t="str">
        <f>VLOOKUP($E623,'Product Naming'!$A$1:$P$58,5,FALSE)</f>
        <v>C6H14</v>
      </c>
      <c r="W623" s="1">
        <f>VLOOKUP($E623,'Product Naming'!$A$1:$P$58,6,FALSE)</f>
        <v>6</v>
      </c>
      <c r="X623" s="1">
        <f>VLOOKUP($E623,'Product Naming'!$A$1:$P$58,7,FALSE)</f>
        <v>14</v>
      </c>
      <c r="Y623" s="1">
        <f>VLOOKUP($E623,'Product Naming'!$A$1:$P$58,8,FALSE)</f>
        <v>0</v>
      </c>
      <c r="Z623" s="1">
        <f>VLOOKUP($E623,'Product Naming'!$A$1:$P$58,9,FALSE)</f>
        <v>0</v>
      </c>
      <c r="AA623" s="1">
        <f>VLOOKUP($E623,'Product Naming'!$A$1:$P$58,10,FALSE)</f>
        <v>0</v>
      </c>
      <c r="AB623" s="29">
        <f>VLOOKUP($E623,'Product Naming'!$A$1:$P$58,11,FALSE)</f>
        <v>6.333333333333333</v>
      </c>
      <c r="AC623" s="3">
        <f>VLOOKUP($E623,'Product Naming'!$A$1:$P$58,12,FALSE)</f>
        <v>86.173959999999994</v>
      </c>
      <c r="AD623" s="1">
        <f>VLOOKUP($E623,'Product Naming'!$A$1:$P$58,13,FALSE)</f>
        <v>69</v>
      </c>
      <c r="AE623" s="1" t="str">
        <f>VLOOKUP($E623,'Product Naming'!$A$1:$P$58,14,FALSE)</f>
        <v>Hydrocarbon (alkane)</v>
      </c>
      <c r="AF623" s="1" t="str">
        <f>VLOOKUP($E623,'Product Naming'!$A$1:$P$58,15,FALSE)</f>
        <v>Acetyl-CoA + Succinyl-CoA</v>
      </c>
      <c r="AG623" s="30" t="str">
        <f>VLOOKUP($E623,'Product Naming'!$A$1:$P$58,16,FALSE)</f>
        <v>Proton symporter</v>
      </c>
      <c r="AH623" s="3" t="str">
        <f>VLOOKUP($E623,'Product Naming'!$A$1:$Q$58,17,FALSE)</f>
        <v>hex_c</v>
      </c>
      <c r="AI623" s="1">
        <f>VLOOKUP($E623,'Product Parameters'!$A$2:$D$59,2,FALSE)</f>
        <v>1</v>
      </c>
      <c r="AJ623" s="1">
        <f>VLOOKUP($E623,'Product Parameters'!$A$2:$D$59,3,FALSE)</f>
        <v>0</v>
      </c>
      <c r="AK623" s="1">
        <f>VLOOKUP($E623,'Product Parameters'!$A$2:$D$59,4,FALSE)</f>
        <v>0.12</v>
      </c>
      <c r="AL623" s="1">
        <f>VLOOKUP($E623,'Product Parameters'!$A$2:$E$59,5,FALSE)</f>
        <v>31</v>
      </c>
      <c r="AM623" s="1">
        <f>VLOOKUP($E623,'Product Parameters'!$A$2:$F$59,6,FALSE)</f>
        <v>6</v>
      </c>
      <c r="AN623" s="1">
        <f>VLOOKUP($C623,'Substrate Heating'!$A$2:$C$33,3,FALSE)</f>
        <v>2828.4492</v>
      </c>
      <c r="AO623" s="1">
        <f>VLOOKUP($C623,'Substrate Heating'!$A$2:$B$33,2,FALSE)</f>
        <v>15.7</v>
      </c>
      <c r="AP623" s="1">
        <f>VLOOKUP($C623,'Substrate Heating'!$A$2:$M$33,13,FALSE)</f>
        <v>4</v>
      </c>
      <c r="AQ623" s="1">
        <f>VLOOKUP($C623,'Substrate Heating'!$A$2:$M$33,8,FALSE)</f>
        <v>6</v>
      </c>
      <c r="AR623" s="1">
        <f t="shared" si="9"/>
        <v>0.63157894736842102</v>
      </c>
    </row>
    <row r="624" spans="1:44" x14ac:dyDescent="0.2">
      <c r="A624" s="17" t="s">
        <v>323</v>
      </c>
      <c r="B624" s="18" t="s">
        <v>324</v>
      </c>
      <c r="C624" t="s">
        <v>335</v>
      </c>
      <c r="D624" s="19" t="s">
        <v>326</v>
      </c>
      <c r="E624" t="s">
        <v>119</v>
      </c>
      <c r="F624" t="s">
        <v>120</v>
      </c>
      <c r="G624">
        <v>-10</v>
      </c>
      <c r="H624">
        <v>0</v>
      </c>
      <c r="I624">
        <v>-10</v>
      </c>
      <c r="J624">
        <v>0.45</v>
      </c>
      <c r="K624">
        <v>-10</v>
      </c>
      <c r="L624">
        <v>0</v>
      </c>
      <c r="M624">
        <v>-10</v>
      </c>
      <c r="N624">
        <v>2.5</v>
      </c>
      <c r="O624">
        <v>2.5</v>
      </c>
      <c r="P624"/>
      <c r="Q624">
        <v>0.25</v>
      </c>
      <c r="R624">
        <v>0.30217806183610302</v>
      </c>
      <c r="S624" s="1" t="str">
        <f>VLOOKUP($E624,'Product Naming'!$A$1:$P$58,2,FALSE)</f>
        <v>Acetone</v>
      </c>
      <c r="T624" s="1" t="str">
        <f>VLOOKUP($E624,'Product Naming'!$A$1:$P$58,3,FALSE)</f>
        <v>Acetone</v>
      </c>
      <c r="U624" s="1" t="str">
        <f>VLOOKUP($E624,'Product Naming'!$A$1:$P$58,4,FALSE)</f>
        <v>A</v>
      </c>
      <c r="V624" s="1" t="str">
        <f>VLOOKUP($E624,'Product Naming'!$A$1:$P$58,5,FALSE)</f>
        <v>C3H6O</v>
      </c>
      <c r="W624" s="1">
        <f>VLOOKUP($E624,'Product Naming'!$A$1:$P$58,6,FALSE)</f>
        <v>3</v>
      </c>
      <c r="X624" s="1">
        <f>VLOOKUP($E624,'Product Naming'!$A$1:$P$58,7,FALSE)</f>
        <v>6</v>
      </c>
      <c r="Y624" s="1">
        <f>VLOOKUP($E624,'Product Naming'!$A$1:$P$58,8,FALSE)</f>
        <v>1</v>
      </c>
      <c r="Z624" s="1">
        <f>VLOOKUP($E624,'Product Naming'!$A$1:$P$58,9,FALSE)</f>
        <v>0</v>
      </c>
      <c r="AA624" s="1">
        <f>VLOOKUP($E624,'Product Naming'!$A$1:$P$58,10,FALSE)</f>
        <v>0</v>
      </c>
      <c r="AB624" s="29">
        <f>VLOOKUP($E624,'Product Naming'!$A$1:$P$58,11,FALSE)</f>
        <v>5.333333333333333</v>
      </c>
      <c r="AC624" s="3">
        <f>VLOOKUP($E624,'Product Naming'!$A$1:$P$58,12,FALSE)</f>
        <v>58.078140000000005</v>
      </c>
      <c r="AD624" s="1">
        <f>VLOOKUP($E624,'Product Naming'!$A$1:$P$58,13,FALSE)</f>
        <v>56</v>
      </c>
      <c r="AE624" s="1" t="str">
        <f>VLOOKUP($E624,'Product Naming'!$A$1:$P$58,14,FALSE)</f>
        <v>Ketone</v>
      </c>
      <c r="AF624" s="1" t="str">
        <f>VLOOKUP($E624,'Product Naming'!$A$1:$P$58,15,FALSE)</f>
        <v>Acetyl-CoA</v>
      </c>
      <c r="AG624" s="30" t="str">
        <f>VLOOKUP($E624,'Product Naming'!$A$1:$P$58,16,FALSE)</f>
        <v>Proton symporter</v>
      </c>
      <c r="AH624" s="3" t="str">
        <f>VLOOKUP($E624,'Product Naming'!$A$1:$Q$58,17,FALSE)</f>
        <v>acetone_c</v>
      </c>
      <c r="AI624" s="1">
        <f>VLOOKUP($E624,'Product Parameters'!$A$2:$D$59,2,FALSE)</f>
        <v>1</v>
      </c>
      <c r="AJ624" s="1">
        <f>VLOOKUP($E624,'Product Parameters'!$A$2:$D$59,3,FALSE)</f>
        <v>0</v>
      </c>
      <c r="AK624" s="1">
        <f>VLOOKUP($E624,'Product Parameters'!$A$2:$D$59,4,FALSE)</f>
        <v>0.12</v>
      </c>
      <c r="AL624" s="1">
        <f>VLOOKUP($E624,'Product Parameters'!$A$2:$E$59,5,FALSE)</f>
        <v>31.3</v>
      </c>
      <c r="AM624" s="1">
        <f>VLOOKUP($E624,'Product Parameters'!$A$2:$F$59,6,FALSE)</f>
        <v>3</v>
      </c>
      <c r="AN624" s="1">
        <f>VLOOKUP($C624,'Substrate Heating'!$A$2:$C$33,3,FALSE)</f>
        <v>247.9</v>
      </c>
      <c r="AO624" s="1">
        <f>VLOOKUP($C624,'Substrate Heating'!$A$2:$B$33,2,FALSE)</f>
        <v>10.541709491918519</v>
      </c>
      <c r="AP624" s="1">
        <f>VLOOKUP($C624,'Substrate Heating'!$A$2:$M$33,13,FALSE)</f>
        <v>0.5</v>
      </c>
      <c r="AQ624" s="1">
        <f>VLOOKUP($C624,'Substrate Heating'!$A$2:$M$33,8,FALSE)</f>
        <v>0.5</v>
      </c>
      <c r="AR624" s="1">
        <f t="shared" si="9"/>
        <v>1.5</v>
      </c>
    </row>
    <row r="625" spans="1:44" x14ac:dyDescent="0.2">
      <c r="A625" s="8" t="s">
        <v>809</v>
      </c>
      <c r="B625" s="18" t="s">
        <v>324</v>
      </c>
      <c r="C625" t="s">
        <v>808</v>
      </c>
      <c r="D625" s="19" t="s">
        <v>326</v>
      </c>
      <c r="E625" t="s">
        <v>269</v>
      </c>
      <c r="F625" t="s">
        <v>270</v>
      </c>
      <c r="G625">
        <v>-10</v>
      </c>
      <c r="H625">
        <v>0</v>
      </c>
      <c r="I625">
        <v>-20</v>
      </c>
      <c r="J625">
        <v>0.45</v>
      </c>
      <c r="K625">
        <v>-10</v>
      </c>
      <c r="L625">
        <v>0</v>
      </c>
      <c r="M625">
        <v>-20</v>
      </c>
      <c r="N625">
        <v>-10</v>
      </c>
      <c r="O625">
        <v>1.1000000000000001</v>
      </c>
      <c r="P625"/>
      <c r="Q625">
        <v>0.11</v>
      </c>
      <c r="R625">
        <v>0.30239389700678498</v>
      </c>
      <c r="S625" s="1" t="str">
        <f>VLOOKUP($E625,'Product Naming'!$A$1:$P$58,2,FALSE)</f>
        <v>Malate_L</v>
      </c>
      <c r="T625" s="1" t="str">
        <f>VLOOKUP($E625,'Product Naming'!$A$1:$P$58,3,FALSE)</f>
        <v>L-Malate</v>
      </c>
      <c r="U625" s="1" t="str">
        <f>VLOOKUP($E625,'Product Naming'!$A$1:$P$58,4,FALSE)</f>
        <v>iJO1366</v>
      </c>
      <c r="V625" s="1" t="str">
        <f>VLOOKUP($E625,'Product Naming'!$A$1:$P$58,5,FALSE)</f>
        <v>C4H4O5</v>
      </c>
      <c r="W625" s="1">
        <f>VLOOKUP($E625,'Product Naming'!$A$1:$P$58,6,FALSE)</f>
        <v>4</v>
      </c>
      <c r="X625" s="1">
        <f>VLOOKUP($E625,'Product Naming'!$A$1:$P$58,7,FALSE)</f>
        <v>4</v>
      </c>
      <c r="Y625" s="1">
        <f>VLOOKUP($E625,'Product Naming'!$A$1:$P$58,8,FALSE)</f>
        <v>5</v>
      </c>
      <c r="Z625" s="1">
        <f>VLOOKUP($E625,'Product Naming'!$A$1:$P$58,9,FALSE)</f>
        <v>0</v>
      </c>
      <c r="AA625" s="1">
        <f>VLOOKUP($E625,'Product Naming'!$A$1:$P$58,10,FALSE)</f>
        <v>-2</v>
      </c>
      <c r="AB625" s="29">
        <f>VLOOKUP($E625,'Product Naming'!$A$1:$P$58,11,FALSE)</f>
        <v>2.5</v>
      </c>
      <c r="AC625" s="3">
        <f>VLOOKUP($E625,'Product Naming'!$A$1:$P$58,12,FALSE)</f>
        <v>132.06916000000001</v>
      </c>
      <c r="AD625" s="1" t="str">
        <f>VLOOKUP($E625,'Product Naming'!$A$1:$P$58,13,FALSE)</f>
        <v>NA</v>
      </c>
      <c r="AE625" s="1" t="str">
        <f>VLOOKUP($E625,'Product Naming'!$A$1:$P$58,14,FALSE)</f>
        <v>Dicarboxylate</v>
      </c>
      <c r="AF625" s="1" t="str">
        <f>VLOOKUP($E625,'Product Naming'!$A$1:$P$58,15,FALSE)</f>
        <v>Oxaloacetate</v>
      </c>
      <c r="AG625" s="30" t="str">
        <f>VLOOKUP($E625,'Product Naming'!$A$1:$P$58,16,FALSE)</f>
        <v>Proton symporter</v>
      </c>
      <c r="AH625" s="3" t="str">
        <f>VLOOKUP($E625,'Product Naming'!$A$1:$Q$58,17,FALSE)</f>
        <v>mal__L_e</v>
      </c>
      <c r="AI625" s="1">
        <f>VLOOKUP($E625,'Product Parameters'!$A$2:$D$59,2,FALSE)</f>
        <v>1</v>
      </c>
      <c r="AJ625" s="1">
        <f>VLOOKUP($E625,'Product Parameters'!$A$2:$D$59,3,FALSE)</f>
        <v>0</v>
      </c>
      <c r="AK625" s="1">
        <f>VLOOKUP($E625,'Product Parameters'!$A$2:$D$59,4,FALSE)</f>
        <v>0.12</v>
      </c>
      <c r="AL625" s="1">
        <f>VLOOKUP($E625,'Product Parameters'!$A$2:$E$59,5,FALSE)</f>
        <v>40.65</v>
      </c>
      <c r="AM625" s="1">
        <f>VLOOKUP($E625,'Product Parameters'!$A$2:$F$59,6,FALSE)</f>
        <v>4</v>
      </c>
      <c r="AN625" s="1">
        <f>VLOOKUP($C625,'Substrate Heating'!$A$2:$C$33,3,FALSE)</f>
        <v>120.9</v>
      </c>
      <c r="AO625" s="1">
        <f>VLOOKUP($C625,'Substrate Heating'!$A$2:$B$33,2,FALSE)</f>
        <v>5.2537372583834907</v>
      </c>
      <c r="AP625" s="1">
        <f>VLOOKUP($C625,'Substrate Heating'!$A$2:$M$33,13,FALSE)</f>
        <v>0</v>
      </c>
      <c r="AQ625" s="1">
        <f>VLOOKUP($C625,'Substrate Heating'!$A$2:$M$33,8,FALSE)</f>
        <v>0.33333333333333331</v>
      </c>
      <c r="AR625" s="1">
        <f t="shared" si="9"/>
        <v>1.32</v>
      </c>
    </row>
    <row r="626" spans="1:44" x14ac:dyDescent="0.2">
      <c r="A626" s="17" t="s">
        <v>231</v>
      </c>
      <c r="B626" s="9" t="s">
        <v>35</v>
      </c>
      <c r="C626" t="s">
        <v>349</v>
      </c>
      <c r="D626" s="25" t="s">
        <v>342</v>
      </c>
      <c r="E626" t="s">
        <v>279</v>
      </c>
      <c r="F626" t="s">
        <v>280</v>
      </c>
      <c r="G626">
        <v>-10</v>
      </c>
      <c r="H626">
        <v>-20</v>
      </c>
      <c r="I626" s="1" t="s">
        <v>40</v>
      </c>
      <c r="J626">
        <v>3.15</v>
      </c>
      <c r="K626">
        <v>-10</v>
      </c>
      <c r="L626">
        <v>-0.41430793157076201</v>
      </c>
      <c r="M626" s="1" t="s">
        <v>40</v>
      </c>
      <c r="N626">
        <v>18.123483670295499</v>
      </c>
      <c r="O626">
        <v>3.5418351477449499</v>
      </c>
      <c r="P626"/>
      <c r="Q626">
        <v>0.354183514774495</v>
      </c>
      <c r="R626">
        <v>0.30257199586175099</v>
      </c>
      <c r="S626" s="1" t="str">
        <f>VLOOKUP($E626,'Product Naming'!$A$1:$P$58,2,FALSE)</f>
        <v>Nonane</v>
      </c>
      <c r="T626" s="1" t="str">
        <f>VLOOKUP($E626,'Product Naming'!$A$1:$P$58,3,FALSE)</f>
        <v>Nonane</v>
      </c>
      <c r="U626" s="1" t="str">
        <f>VLOOKUP($E626,'Product Naming'!$A$1:$P$58,4,FALSE)</f>
        <v>E</v>
      </c>
      <c r="V626" s="1" t="str">
        <f>VLOOKUP($E626,'Product Naming'!$A$1:$P$58,5,FALSE)</f>
        <v>C9H20</v>
      </c>
      <c r="W626" s="1">
        <f>VLOOKUP($E626,'Product Naming'!$A$1:$P$58,6,FALSE)</f>
        <v>9</v>
      </c>
      <c r="X626" s="1">
        <f>VLOOKUP($E626,'Product Naming'!$A$1:$P$58,7,FALSE)</f>
        <v>20</v>
      </c>
      <c r="Y626" s="1">
        <f>VLOOKUP($E626,'Product Naming'!$A$1:$P$58,8,FALSE)</f>
        <v>0</v>
      </c>
      <c r="Z626" s="1">
        <f>VLOOKUP($E626,'Product Naming'!$A$1:$P$58,9,FALSE)</f>
        <v>0</v>
      </c>
      <c r="AA626" s="1">
        <f>VLOOKUP($E626,'Product Naming'!$A$1:$P$58,10,FALSE)</f>
        <v>0</v>
      </c>
      <c r="AB626" s="29">
        <f>VLOOKUP($E626,'Product Naming'!$A$1:$P$58,11,FALSE)</f>
        <v>6.2222222222222223</v>
      </c>
      <c r="AC626" s="3">
        <f>VLOOKUP($E626,'Product Naming'!$A$1:$P$58,12,FALSE)</f>
        <v>128.25309999999999</v>
      </c>
      <c r="AD626" s="1">
        <f>VLOOKUP($E626,'Product Naming'!$A$1:$P$58,13,FALSE)</f>
        <v>151</v>
      </c>
      <c r="AE626" s="1" t="str">
        <f>VLOOKUP($E626,'Product Naming'!$A$1:$P$58,14,FALSE)</f>
        <v>Hydrocarbon (alkane)</v>
      </c>
      <c r="AF626" s="1" t="str">
        <f>VLOOKUP($E626,'Product Naming'!$A$1:$P$58,15,FALSE)</f>
        <v>Acetyl-CoA</v>
      </c>
      <c r="AG626" s="30" t="str">
        <f>VLOOKUP($E626,'Product Naming'!$A$1:$P$58,16,FALSE)</f>
        <v>Proton symporter</v>
      </c>
      <c r="AH626" s="3" t="str">
        <f>VLOOKUP($E626,'Product Naming'!$A$1:$Q$58,17,FALSE)</f>
        <v>nonan_c</v>
      </c>
      <c r="AI626" s="1">
        <f>VLOOKUP($E626,'Product Parameters'!$A$2:$D$59,2,FALSE)</f>
        <v>1</v>
      </c>
      <c r="AJ626" s="1">
        <f>VLOOKUP($E626,'Product Parameters'!$A$2:$D$59,3,FALSE)</f>
        <v>0</v>
      </c>
      <c r="AK626" s="1">
        <f>VLOOKUP($E626,'Product Parameters'!$A$2:$D$59,4,FALSE)</f>
        <v>0.12</v>
      </c>
      <c r="AL626" s="1">
        <f>VLOOKUP($E626,'Product Parameters'!$A$2:$E$59,5,FALSE)</f>
        <v>46.5</v>
      </c>
      <c r="AM626" s="1">
        <f>VLOOKUP($E626,'Product Parameters'!$A$2:$F$59,6,FALSE)</f>
        <v>9</v>
      </c>
      <c r="AN626" s="1">
        <f>VLOOKUP($C626,'Substrate Heating'!$A$2:$C$33,3,FALSE)</f>
        <v>2342.0279999999998</v>
      </c>
      <c r="AO626" s="1">
        <f>VLOOKUP($C626,'Substrate Heating'!$A$2:$B$33,2,FALSE)</f>
        <v>15.6</v>
      </c>
      <c r="AP626" s="1">
        <f>VLOOKUP($C626,'Substrate Heating'!$A$2:$M$33,13,FALSE)</f>
        <v>4</v>
      </c>
      <c r="AQ626" s="1">
        <f>VLOOKUP($C626,'Substrate Heating'!$A$2:$M$33,8,FALSE)</f>
        <v>5</v>
      </c>
      <c r="AR626" s="1">
        <f t="shared" si="9"/>
        <v>0.63753032659409103</v>
      </c>
    </row>
    <row r="627" spans="1:44" x14ac:dyDescent="0.2">
      <c r="A627" s="17" t="s">
        <v>323</v>
      </c>
      <c r="B627" s="18" t="s">
        <v>324</v>
      </c>
      <c r="C627" t="s">
        <v>328</v>
      </c>
      <c r="D627" s="19" t="s">
        <v>326</v>
      </c>
      <c r="E627" t="s">
        <v>225</v>
      </c>
      <c r="F627" t="s">
        <v>226</v>
      </c>
      <c r="G627">
        <v>-10</v>
      </c>
      <c r="H627">
        <v>0</v>
      </c>
      <c r="I627">
        <v>-10</v>
      </c>
      <c r="J627">
        <v>0.45</v>
      </c>
      <c r="K627">
        <v>-10</v>
      </c>
      <c r="L627">
        <v>0</v>
      </c>
      <c r="M627">
        <v>-10</v>
      </c>
      <c r="N627">
        <v>0</v>
      </c>
      <c r="O627">
        <v>1.21333333333333</v>
      </c>
      <c r="P627"/>
      <c r="Q627">
        <v>0.121333333333333</v>
      </c>
      <c r="R627">
        <v>0.30319967676767701</v>
      </c>
      <c r="S627" s="1" t="str">
        <f>VLOOKUP($E627,'Product Naming'!$A$1:$P$58,2,FALSE)</f>
        <v>Glycolate</v>
      </c>
      <c r="T627" s="1" t="str">
        <f>VLOOKUP($E627,'Product Naming'!$A$1:$P$58,3,FALSE)</f>
        <v>Glycolate</v>
      </c>
      <c r="U627" s="1" t="str">
        <f>VLOOKUP($E627,'Product Naming'!$A$1:$P$58,4,FALSE)</f>
        <v>iJO1366</v>
      </c>
      <c r="V627" s="1" t="str">
        <f>VLOOKUP($E627,'Product Naming'!$A$1:$P$58,5,FALSE)</f>
        <v>C2H3O3</v>
      </c>
      <c r="W627" s="1">
        <f>VLOOKUP($E627,'Product Naming'!$A$1:$P$58,6,FALSE)</f>
        <v>2</v>
      </c>
      <c r="X627" s="1">
        <f>VLOOKUP($E627,'Product Naming'!$A$1:$P$58,7,FALSE)</f>
        <v>3</v>
      </c>
      <c r="Y627" s="1">
        <f>VLOOKUP($E627,'Product Naming'!$A$1:$P$58,8,FALSE)</f>
        <v>3</v>
      </c>
      <c r="Z627" s="1">
        <f>VLOOKUP($E627,'Product Naming'!$A$1:$P$58,9,FALSE)</f>
        <v>0</v>
      </c>
      <c r="AA627" s="1">
        <f>VLOOKUP($E627,'Product Naming'!$A$1:$P$58,10,FALSE)</f>
        <v>-1</v>
      </c>
      <c r="AB627" s="29">
        <f>VLOOKUP($E627,'Product Naming'!$A$1:$P$58,11,FALSE)</f>
        <v>2.5</v>
      </c>
      <c r="AC627" s="3">
        <f>VLOOKUP($E627,'Product Naming'!$A$1:$P$58,12,FALSE)</f>
        <v>75.041920000000005</v>
      </c>
      <c r="AD627" s="1">
        <f>VLOOKUP($E627,'Product Naming'!$A$1:$P$58,13,FALSE)</f>
        <v>112</v>
      </c>
      <c r="AE627" s="1" t="str">
        <f>VLOOKUP($E627,'Product Naming'!$A$1:$P$58,14,FALSE)</f>
        <v>Carboxylate + Alcohol (hydroxy carboxylate)</v>
      </c>
      <c r="AF627" s="1" t="str">
        <f>VLOOKUP($E627,'Product Naming'!$A$1:$P$58,15,FALSE)</f>
        <v>Glyoxylate (*isocitrate)</v>
      </c>
      <c r="AG627" s="30" t="str">
        <f>VLOOKUP($E627,'Product Naming'!$A$1:$P$58,16,FALSE)</f>
        <v>Proton symporter</v>
      </c>
      <c r="AH627" s="3" t="str">
        <f>VLOOKUP($E627,'Product Naming'!$A$1:$Q$58,17,FALSE)</f>
        <v>glyclt_c</v>
      </c>
      <c r="AI627" s="1">
        <f>VLOOKUP($E627,'Product Parameters'!$A$2:$D$59,2,FALSE)</f>
        <v>1</v>
      </c>
      <c r="AJ627" s="1">
        <f>VLOOKUP($E627,'Product Parameters'!$A$2:$D$59,3,FALSE)</f>
        <v>0</v>
      </c>
      <c r="AK627" s="1">
        <f>VLOOKUP($E627,'Product Parameters'!$A$2:$D$59,4,FALSE)</f>
        <v>0.12</v>
      </c>
      <c r="AL627" s="1">
        <f>VLOOKUP($E627,'Product Parameters'!$A$2:$E$59,5,FALSE)</f>
        <v>40.65</v>
      </c>
      <c r="AM627" s="1">
        <f>VLOOKUP($E627,'Product Parameters'!$A$2:$F$59,6,FALSE)</f>
        <v>2</v>
      </c>
      <c r="AN627" s="1">
        <f>VLOOKUP($C627,'Substrate Heating'!$A$2:$C$33,3,FALSE)</f>
        <v>262.39999999999998</v>
      </c>
      <c r="AO627" s="1">
        <f>VLOOKUP($C627,'Substrate Heating'!$A$2:$B$33,2,FALSE)</f>
        <v>17.478546483008707</v>
      </c>
      <c r="AP627" s="1">
        <f>VLOOKUP($C627,'Substrate Heating'!$A$2:$M$33,13,FALSE)</f>
        <v>1</v>
      </c>
      <c r="AQ627" s="1">
        <f>VLOOKUP($C627,'Substrate Heating'!$A$2:$M$33,8,FALSE)</f>
        <v>0.5</v>
      </c>
      <c r="AR627" s="1">
        <f t="shared" si="9"/>
        <v>0.48533333333333201</v>
      </c>
    </row>
    <row r="628" spans="1:44" x14ac:dyDescent="0.2">
      <c r="A628" s="17" t="s">
        <v>323</v>
      </c>
      <c r="B628" s="18" t="s">
        <v>324</v>
      </c>
      <c r="C628" t="s">
        <v>334</v>
      </c>
      <c r="D628" s="19" t="s">
        <v>326</v>
      </c>
      <c r="E628" t="s">
        <v>60</v>
      </c>
      <c r="F628" t="s">
        <v>61</v>
      </c>
      <c r="G628">
        <v>-10</v>
      </c>
      <c r="H628">
        <v>0</v>
      </c>
      <c r="I628">
        <v>-5</v>
      </c>
      <c r="J628">
        <v>0.45</v>
      </c>
      <c r="K628">
        <v>-10</v>
      </c>
      <c r="L628">
        <v>0</v>
      </c>
      <c r="M628">
        <v>-5</v>
      </c>
      <c r="N628">
        <v>4.3750000000000098</v>
      </c>
      <c r="O628">
        <v>1.875</v>
      </c>
      <c r="P628"/>
      <c r="Q628">
        <v>0.1875</v>
      </c>
      <c r="R628">
        <v>0.30330623028257098</v>
      </c>
      <c r="S628" s="1" t="str">
        <f>VLOOKUP($E628,'Product Naming'!$A$1:$P$58,2,FALSE)</f>
        <v>1-3-Propanediol</v>
      </c>
      <c r="T628" s="1" t="str">
        <f>VLOOKUP($E628,'Product Naming'!$A$1:$P$58,3,FALSE)</f>
        <v>1,3-Propanediol</v>
      </c>
      <c r="U628" s="1" t="str">
        <f>VLOOKUP($E628,'Product Naming'!$A$1:$P$58,4,FALSE)</f>
        <v>A</v>
      </c>
      <c r="V628" s="1" t="str">
        <f>VLOOKUP($E628,'Product Naming'!$A$1:$P$58,5,FALSE)</f>
        <v>C3H8O2</v>
      </c>
      <c r="W628" s="1">
        <f>VLOOKUP($E628,'Product Naming'!$A$1:$P$58,6,FALSE)</f>
        <v>3</v>
      </c>
      <c r="X628" s="1">
        <f>VLOOKUP($E628,'Product Naming'!$A$1:$P$58,7,FALSE)</f>
        <v>8</v>
      </c>
      <c r="Y628" s="1">
        <f>VLOOKUP($E628,'Product Naming'!$A$1:$P$58,8,FALSE)</f>
        <v>2</v>
      </c>
      <c r="Z628" s="1">
        <f>VLOOKUP($E628,'Product Naming'!$A$1:$P$58,9,FALSE)</f>
        <v>0</v>
      </c>
      <c r="AA628" s="1">
        <f>VLOOKUP($E628,'Product Naming'!$A$1:$P$58,10,FALSE)</f>
        <v>0</v>
      </c>
      <c r="AB628" s="29">
        <f>VLOOKUP($E628,'Product Naming'!$A$1:$P$58,11,FALSE)</f>
        <v>5.333333333333333</v>
      </c>
      <c r="AC628" s="3">
        <f>VLOOKUP($E628,'Product Naming'!$A$1:$P$58,12,FALSE)</f>
        <v>76.092820000000003</v>
      </c>
      <c r="AD628" s="1">
        <f>VLOOKUP($E628,'Product Naming'!$A$1:$P$58,13,FALSE)</f>
        <v>213</v>
      </c>
      <c r="AE628" s="1" t="str">
        <f>VLOOKUP($E628,'Product Naming'!$A$1:$P$58,14,FALSE)</f>
        <v>Diol</v>
      </c>
      <c r="AF628" s="1" t="str">
        <f>VLOOKUP($E628,'Product Naming'!$A$1:$P$58,15,FALSE)</f>
        <v>Glyceraldehyde 3-P</v>
      </c>
      <c r="AG628" s="30" t="str">
        <f>VLOOKUP($E628,'Product Naming'!$A$1:$P$58,16,FALSE)</f>
        <v>Proton symporter</v>
      </c>
      <c r="AH628" s="3" t="str">
        <f>VLOOKUP($E628,'Product Naming'!$A$1:$Q$58,17,FALSE)</f>
        <v>13ppd_c</v>
      </c>
      <c r="AI628" s="1">
        <f>VLOOKUP($E628,'Product Parameters'!$A$2:$D$59,2,FALSE)</f>
        <v>1</v>
      </c>
      <c r="AJ628" s="1">
        <f>VLOOKUP($E628,'Product Parameters'!$A$2:$D$59,3,FALSE)</f>
        <v>0</v>
      </c>
      <c r="AK628" s="1">
        <f>VLOOKUP($E628,'Product Parameters'!$A$2:$D$59,4,FALSE)</f>
        <v>0.12</v>
      </c>
      <c r="AL628" s="1">
        <f>VLOOKUP($E628,'Product Parameters'!$A$2:$E$59,5,FALSE)</f>
        <v>70</v>
      </c>
      <c r="AM628" s="1">
        <f>VLOOKUP($E628,'Product Parameters'!$A$2:$F$59,6,FALSE)</f>
        <v>3</v>
      </c>
      <c r="AN628" s="1">
        <f>VLOOKUP($C628,'Substrate Heating'!$A$2:$C$33,3,FALSE)</f>
        <v>249.93333333333334</v>
      </c>
      <c r="AO628" s="1">
        <f>VLOOKUP($C628,'Substrate Heating'!$A$2:$B$33,2,FALSE)</f>
        <v>8.1456827881222953</v>
      </c>
      <c r="AP628" s="1">
        <f>VLOOKUP($C628,'Substrate Heating'!$A$2:$M$33,13,FALSE)</f>
        <v>0.66666666666666663</v>
      </c>
      <c r="AQ628" s="1">
        <f>VLOOKUP($C628,'Substrate Heating'!$A$2:$M$33,8,FALSE)</f>
        <v>0.66666666666666663</v>
      </c>
      <c r="AR628" s="1">
        <f t="shared" si="9"/>
        <v>0.84375</v>
      </c>
    </row>
    <row r="629" spans="1:44" x14ac:dyDescent="0.2">
      <c r="A629" s="17" t="s">
        <v>323</v>
      </c>
      <c r="B629" s="18" t="s">
        <v>324</v>
      </c>
      <c r="C629" t="s">
        <v>328</v>
      </c>
      <c r="D629" s="19" t="s">
        <v>326</v>
      </c>
      <c r="E629" t="s">
        <v>232</v>
      </c>
      <c r="F629" t="s">
        <v>233</v>
      </c>
      <c r="G629">
        <v>-10</v>
      </c>
      <c r="H629">
        <v>0</v>
      </c>
      <c r="I629">
        <v>-10</v>
      </c>
      <c r="J629">
        <v>0.45</v>
      </c>
      <c r="K629">
        <v>-10</v>
      </c>
      <c r="L629">
        <v>0</v>
      </c>
      <c r="M629">
        <v>-10</v>
      </c>
      <c r="N629">
        <v>3.6363636363636398</v>
      </c>
      <c r="O629">
        <v>0.90909090909090695</v>
      </c>
      <c r="P629"/>
      <c r="Q629">
        <v>9.0909090909090801E-2</v>
      </c>
      <c r="R629">
        <v>0.30333405987951401</v>
      </c>
      <c r="S629" s="1" t="str">
        <f>VLOOKUP($E629,'Product Naming'!$A$1:$P$58,2,FALSE)</f>
        <v>Heptane</v>
      </c>
      <c r="T629" s="1" t="str">
        <f>VLOOKUP($E629,'Product Naming'!$A$1:$P$58,3,FALSE)</f>
        <v>Heptane</v>
      </c>
      <c r="U629" s="1" t="str">
        <f>VLOOKUP($E629,'Product Naming'!$A$1:$P$58,4,FALSE)</f>
        <v>E</v>
      </c>
      <c r="V629" s="1" t="str">
        <f>VLOOKUP($E629,'Product Naming'!$A$1:$P$58,5,FALSE)</f>
        <v>C7H16</v>
      </c>
      <c r="W629" s="1">
        <f>VLOOKUP($E629,'Product Naming'!$A$1:$P$58,6,FALSE)</f>
        <v>7</v>
      </c>
      <c r="X629" s="1">
        <f>VLOOKUP($E629,'Product Naming'!$A$1:$P$58,7,FALSE)</f>
        <v>16</v>
      </c>
      <c r="Y629" s="1">
        <f>VLOOKUP($E629,'Product Naming'!$A$1:$P$58,8,FALSE)</f>
        <v>0</v>
      </c>
      <c r="Z629" s="1">
        <f>VLOOKUP($E629,'Product Naming'!$A$1:$P$58,9,FALSE)</f>
        <v>0</v>
      </c>
      <c r="AA629" s="1">
        <f>VLOOKUP($E629,'Product Naming'!$A$1:$P$58,10,FALSE)</f>
        <v>0</v>
      </c>
      <c r="AB629" s="29">
        <f>VLOOKUP($E629,'Product Naming'!$A$1:$P$58,11,FALSE)</f>
        <v>6.2857142857142856</v>
      </c>
      <c r="AC629" s="3">
        <f>VLOOKUP($E629,'Product Naming'!$A$1:$P$58,12,FALSE)</f>
        <v>100.20034</v>
      </c>
      <c r="AD629" s="1">
        <f>VLOOKUP($E629,'Product Naming'!$A$1:$P$58,13,FALSE)</f>
        <v>98</v>
      </c>
      <c r="AE629" s="1" t="str">
        <f>VLOOKUP($E629,'Product Naming'!$A$1:$P$58,14,FALSE)</f>
        <v>Hydrocarbon (alkane)</v>
      </c>
      <c r="AF629" s="1" t="str">
        <f>VLOOKUP($E629,'Product Naming'!$A$1:$P$58,15,FALSE)</f>
        <v>Acetyl-CoA</v>
      </c>
      <c r="AG629" s="30" t="str">
        <f>VLOOKUP($E629,'Product Naming'!$A$1:$P$58,16,FALSE)</f>
        <v>Proton symporter</v>
      </c>
      <c r="AH629" s="3" t="str">
        <f>VLOOKUP($E629,'Product Naming'!$A$1:$Q$58,17,FALSE)</f>
        <v>hept_c</v>
      </c>
      <c r="AI629" s="1">
        <f>VLOOKUP($E629,'Product Parameters'!$A$2:$D$59,2,FALSE)</f>
        <v>1</v>
      </c>
      <c r="AJ629" s="1">
        <f>VLOOKUP($E629,'Product Parameters'!$A$2:$D$59,3,FALSE)</f>
        <v>0</v>
      </c>
      <c r="AK629" s="1">
        <f>VLOOKUP($E629,'Product Parameters'!$A$2:$D$59,4,FALSE)</f>
        <v>0.12</v>
      </c>
      <c r="AL629" s="1">
        <f>VLOOKUP($E629,'Product Parameters'!$A$2:$E$59,5,FALSE)</f>
        <v>36</v>
      </c>
      <c r="AM629" s="1">
        <f>VLOOKUP($E629,'Product Parameters'!$A$2:$F$59,6,FALSE)</f>
        <v>7</v>
      </c>
      <c r="AN629" s="1">
        <f>VLOOKUP($C629,'Substrate Heating'!$A$2:$C$33,3,FALSE)</f>
        <v>262.39999999999998</v>
      </c>
      <c r="AO629" s="1">
        <f>VLOOKUP($C629,'Substrate Heating'!$A$2:$B$33,2,FALSE)</f>
        <v>17.478546483008707</v>
      </c>
      <c r="AP629" s="1">
        <f>VLOOKUP($C629,'Substrate Heating'!$A$2:$M$33,13,FALSE)</f>
        <v>1</v>
      </c>
      <c r="AQ629" s="1">
        <f>VLOOKUP($C629,'Substrate Heating'!$A$2:$M$33,8,FALSE)</f>
        <v>0.5</v>
      </c>
      <c r="AR629" s="1">
        <f t="shared" si="9"/>
        <v>1.2727272727272712</v>
      </c>
    </row>
    <row r="630" spans="1:44" x14ac:dyDescent="0.2">
      <c r="A630" s="8" t="s">
        <v>807</v>
      </c>
      <c r="B630" s="18" t="s">
        <v>324</v>
      </c>
      <c r="C630" t="s">
        <v>369</v>
      </c>
      <c r="D630" s="23" t="s">
        <v>338</v>
      </c>
      <c r="E630" t="s">
        <v>103</v>
      </c>
      <c r="F630" t="s">
        <v>104</v>
      </c>
      <c r="G630">
        <v>-10</v>
      </c>
      <c r="H630">
        <v>0</v>
      </c>
      <c r="I630">
        <v>0</v>
      </c>
      <c r="J630">
        <v>0.45</v>
      </c>
      <c r="K630">
        <v>-10</v>
      </c>
      <c r="L630">
        <v>0</v>
      </c>
      <c r="M630">
        <v>0</v>
      </c>
      <c r="N630">
        <v>0</v>
      </c>
      <c r="O630">
        <v>0.951515151515128</v>
      </c>
      <c r="P630"/>
      <c r="Q630">
        <v>9.5151515151512794E-2</v>
      </c>
      <c r="R630">
        <v>0.30342042215566201</v>
      </c>
      <c r="S630" s="1" t="str">
        <f>VLOOKUP($E630,'Product Naming'!$A$1:$P$58,2,FALSE)</f>
        <v>3-Methyl-1-Pentanol</v>
      </c>
      <c r="T630" s="1" t="str">
        <f>VLOOKUP($E630,'Product Naming'!$A$1:$P$58,3,FALSE)</f>
        <v>3-Methyl-1-pentanol</v>
      </c>
      <c r="U630" s="1" t="str">
        <f>VLOOKUP($E630,'Product Naming'!$A$1:$P$58,4,FALSE)</f>
        <v>A</v>
      </c>
      <c r="V630" s="1" t="str">
        <f>VLOOKUP($E630,'Product Naming'!$A$1:$P$58,5,FALSE)</f>
        <v>C6H14O</v>
      </c>
      <c r="W630" s="1">
        <f>VLOOKUP($E630,'Product Naming'!$A$1:$P$58,6,FALSE)</f>
        <v>6</v>
      </c>
      <c r="X630" s="1">
        <f>VLOOKUP($E630,'Product Naming'!$A$1:$P$58,7,FALSE)</f>
        <v>14</v>
      </c>
      <c r="Y630" s="1">
        <f>VLOOKUP($E630,'Product Naming'!$A$1:$P$58,8,FALSE)</f>
        <v>1</v>
      </c>
      <c r="Z630" s="1">
        <f>VLOOKUP($E630,'Product Naming'!$A$1:$P$58,9,FALSE)</f>
        <v>0</v>
      </c>
      <c r="AA630" s="1">
        <f>VLOOKUP($E630,'Product Naming'!$A$1:$P$58,10,FALSE)</f>
        <v>0</v>
      </c>
      <c r="AB630" s="29">
        <f>VLOOKUP($E630,'Product Naming'!$A$1:$P$58,11,FALSE)</f>
        <v>6</v>
      </c>
      <c r="AC630" s="3">
        <f>VLOOKUP($E630,'Product Naming'!$A$1:$P$58,12,FALSE)</f>
        <v>102.17295999999999</v>
      </c>
      <c r="AD630" s="1">
        <f>VLOOKUP($E630,'Product Naming'!$A$1:$P$58,13,FALSE)</f>
        <v>153</v>
      </c>
      <c r="AE630" s="1" t="str">
        <f>VLOOKUP($E630,'Product Naming'!$A$1:$P$58,14,FALSE)</f>
        <v>Alcohol</v>
      </c>
      <c r="AF630" s="1" t="str">
        <f>VLOOKUP($E630,'Product Naming'!$A$1:$P$58,15,FALSE)</f>
        <v>Oxaloacetate</v>
      </c>
      <c r="AG630" s="30" t="str">
        <f>VLOOKUP($E630,'Product Naming'!$A$1:$P$58,16,FALSE)</f>
        <v>Proton symporter</v>
      </c>
      <c r="AH630" s="3" t="str">
        <f>VLOOKUP($E630,'Product Naming'!$A$1:$Q$58,17,FALSE)</f>
        <v>3mptoh_c</v>
      </c>
      <c r="AI630" s="1">
        <f>VLOOKUP($E630,'Product Parameters'!$A$2:$D$59,2,FALSE)</f>
        <v>1</v>
      </c>
      <c r="AJ630" s="1">
        <f>VLOOKUP($E630,'Product Parameters'!$A$2:$D$59,3,FALSE)</f>
        <v>0</v>
      </c>
      <c r="AK630" s="1">
        <f>VLOOKUP($E630,'Product Parameters'!$A$2:$D$59,4,FALSE)</f>
        <v>0.12</v>
      </c>
      <c r="AL630" s="1">
        <f>VLOOKUP($E630,'Product Parameters'!$A$2:$E$59,5,FALSE)</f>
        <v>61.7</v>
      </c>
      <c r="AM630" s="1">
        <f>VLOOKUP($E630,'Product Parameters'!$A$2:$F$59,6,FALSE)</f>
        <v>6</v>
      </c>
      <c r="AN630" s="1">
        <f>VLOOKUP($C630,'Substrate Heating'!$A$2:$C$33,3,FALSE)</f>
        <v>638.57832580000002</v>
      </c>
      <c r="AO630" s="1">
        <f>VLOOKUP($C630,'Substrate Heating'!$A$2:$B$33,2,FALSE)</f>
        <v>19.93</v>
      </c>
      <c r="AP630" s="1">
        <f>VLOOKUP($C630,'Substrate Heating'!$A$2:$M$33,13,FALSE)</f>
        <v>6</v>
      </c>
      <c r="AQ630" s="1">
        <f>VLOOKUP($C630,'Substrate Heating'!$A$2:$M$33,8,FALSE)</f>
        <v>1</v>
      </c>
      <c r="AR630" s="1">
        <f t="shared" si="9"/>
        <v>0.57090909090907682</v>
      </c>
    </row>
    <row r="631" spans="1:44" x14ac:dyDescent="0.2">
      <c r="A631" s="8" t="s">
        <v>809</v>
      </c>
      <c r="B631" s="18" t="s">
        <v>324</v>
      </c>
      <c r="C631" t="s">
        <v>808</v>
      </c>
      <c r="D631" s="19" t="s">
        <v>326</v>
      </c>
      <c r="E631" t="s">
        <v>318</v>
      </c>
      <c r="F631" t="s">
        <v>319</v>
      </c>
      <c r="G631">
        <v>-10</v>
      </c>
      <c r="H631">
        <v>0</v>
      </c>
      <c r="I631">
        <v>-20</v>
      </c>
      <c r="J631">
        <v>0.45</v>
      </c>
      <c r="K631">
        <v>-10</v>
      </c>
      <c r="L631">
        <v>0</v>
      </c>
      <c r="M631">
        <v>-20</v>
      </c>
      <c r="N631">
        <v>-10</v>
      </c>
      <c r="O631">
        <v>1.25714285714285</v>
      </c>
      <c r="P631"/>
      <c r="Q631">
        <v>0.125714285714285</v>
      </c>
      <c r="R631">
        <v>0.30372751461518699</v>
      </c>
      <c r="S631" s="1" t="str">
        <f>VLOOKUP($E631,'Product Naming'!$A$1:$P$58,2,FALSE)</f>
        <v>Succinate</v>
      </c>
      <c r="T631" s="1" t="str">
        <f>VLOOKUP($E631,'Product Naming'!$A$1:$P$58,3,FALSE)</f>
        <v>Succinate</v>
      </c>
      <c r="U631" s="1" t="str">
        <f>VLOOKUP($E631,'Product Naming'!$A$1:$P$58,4,FALSE)</f>
        <v>iJO1366</v>
      </c>
      <c r="V631" s="1" t="str">
        <f>VLOOKUP($E631,'Product Naming'!$A$1:$P$58,5,FALSE)</f>
        <v>C4H4O4</v>
      </c>
      <c r="W631" s="1">
        <f>VLOOKUP($E631,'Product Naming'!$A$1:$P$58,6,FALSE)</f>
        <v>4</v>
      </c>
      <c r="X631" s="1">
        <f>VLOOKUP($E631,'Product Naming'!$A$1:$P$58,7,FALSE)</f>
        <v>4</v>
      </c>
      <c r="Y631" s="1">
        <f>VLOOKUP($E631,'Product Naming'!$A$1:$P$58,8,FALSE)</f>
        <v>4</v>
      </c>
      <c r="Z631" s="1">
        <f>VLOOKUP($E631,'Product Naming'!$A$1:$P$58,9,FALSE)</f>
        <v>0</v>
      </c>
      <c r="AA631" s="1">
        <f>VLOOKUP($E631,'Product Naming'!$A$1:$P$58,10,FALSE)</f>
        <v>-2</v>
      </c>
      <c r="AB631" s="29">
        <f>VLOOKUP($E631,'Product Naming'!$A$1:$P$58,11,FALSE)</f>
        <v>3</v>
      </c>
      <c r="AC631" s="3">
        <f>VLOOKUP($E631,'Product Naming'!$A$1:$P$58,12,FALSE)</f>
        <v>116.07016</v>
      </c>
      <c r="AD631" s="1">
        <f>VLOOKUP($E631,'Product Naming'!$A$1:$P$58,13,FALSE)</f>
        <v>235</v>
      </c>
      <c r="AE631" s="1" t="str">
        <f>VLOOKUP($E631,'Product Naming'!$A$1:$P$58,14,FALSE)</f>
        <v>Dicarboxylate</v>
      </c>
      <c r="AF631" s="1" t="str">
        <f>VLOOKUP($E631,'Product Naming'!$A$1:$P$58,15,FALSE)</f>
        <v>Oxaloacetate</v>
      </c>
      <c r="AG631" s="30" t="str">
        <f>VLOOKUP($E631,'Product Naming'!$A$1:$P$58,16,FALSE)</f>
        <v>Proton symporter</v>
      </c>
      <c r="AH631" s="3" t="str">
        <f>VLOOKUP($E631,'Product Naming'!$A$1:$Q$58,17,FALSE)</f>
        <v>succ_c</v>
      </c>
      <c r="AI631" s="1">
        <f>VLOOKUP($E631,'Product Parameters'!$A$2:$D$59,2,FALSE)</f>
        <v>1</v>
      </c>
      <c r="AJ631" s="1">
        <f>VLOOKUP($E631,'Product Parameters'!$A$2:$D$59,3,FALSE)</f>
        <v>0</v>
      </c>
      <c r="AK631" s="1">
        <f>VLOOKUP($E631,'Product Parameters'!$A$2:$D$59,4,FALSE)</f>
        <v>0.12</v>
      </c>
      <c r="AL631" s="1">
        <f>VLOOKUP($E631,'Product Parameters'!$A$2:$E$59,5,FALSE)</f>
        <v>40.65</v>
      </c>
      <c r="AM631" s="1">
        <f>VLOOKUP($E631,'Product Parameters'!$A$2:$F$59,6,FALSE)</f>
        <v>4</v>
      </c>
      <c r="AN631" s="1">
        <f>VLOOKUP($C631,'Substrate Heating'!$A$2:$C$33,3,FALSE)</f>
        <v>120.9</v>
      </c>
      <c r="AO631" s="1">
        <f>VLOOKUP($C631,'Substrate Heating'!$A$2:$B$33,2,FALSE)</f>
        <v>5.2537372583834907</v>
      </c>
      <c r="AP631" s="1">
        <f>VLOOKUP($C631,'Substrate Heating'!$A$2:$M$33,13,FALSE)</f>
        <v>0</v>
      </c>
      <c r="AQ631" s="1">
        <f>VLOOKUP($C631,'Substrate Heating'!$A$2:$M$33,8,FALSE)</f>
        <v>0.33333333333333331</v>
      </c>
      <c r="AR631" s="1">
        <f t="shared" si="9"/>
        <v>1.50857142857142</v>
      </c>
    </row>
    <row r="632" spans="1:44" x14ac:dyDescent="0.2">
      <c r="A632" s="17" t="s">
        <v>323</v>
      </c>
      <c r="B632" s="18" t="s">
        <v>324</v>
      </c>
      <c r="C632" t="s">
        <v>327</v>
      </c>
      <c r="D632" s="19" t="s">
        <v>326</v>
      </c>
      <c r="E632" t="s">
        <v>91</v>
      </c>
      <c r="F632" t="s">
        <v>92</v>
      </c>
      <c r="G632">
        <v>-10</v>
      </c>
      <c r="H632">
        <v>0</v>
      </c>
      <c r="I632">
        <v>-5</v>
      </c>
      <c r="J632">
        <v>0.45</v>
      </c>
      <c r="K632">
        <v>-10</v>
      </c>
      <c r="L632">
        <v>0</v>
      </c>
      <c r="M632">
        <v>-5</v>
      </c>
      <c r="N632">
        <v>5</v>
      </c>
      <c r="O632">
        <v>1</v>
      </c>
      <c r="P632"/>
      <c r="Q632">
        <v>0.1</v>
      </c>
      <c r="R632">
        <v>0.30374424534803601</v>
      </c>
      <c r="S632" s="1" t="str">
        <f>VLOOKUP($E632,'Product Naming'!$A$1:$P$58,2,FALSE)</f>
        <v>2-Methyl-1-Butanol</v>
      </c>
      <c r="T632" s="1" t="str">
        <f>VLOOKUP($E632,'Product Naming'!$A$1:$P$58,3,FALSE)</f>
        <v>2-Methyl-1-butanol</v>
      </c>
      <c r="U632" s="1" t="str">
        <f>VLOOKUP($E632,'Product Naming'!$A$1:$P$58,4,FALSE)</f>
        <v>A</v>
      </c>
      <c r="V632" s="1" t="str">
        <f>VLOOKUP($E632,'Product Naming'!$A$1:$P$58,5,FALSE)</f>
        <v>C5H12O</v>
      </c>
      <c r="W632" s="1">
        <f>VLOOKUP($E632,'Product Naming'!$A$1:$P$58,6,FALSE)</f>
        <v>5</v>
      </c>
      <c r="X632" s="1">
        <f>VLOOKUP($E632,'Product Naming'!$A$1:$P$58,7,FALSE)</f>
        <v>12</v>
      </c>
      <c r="Y632" s="1">
        <f>VLOOKUP($E632,'Product Naming'!$A$1:$P$58,8,FALSE)</f>
        <v>1</v>
      </c>
      <c r="Z632" s="1">
        <f>VLOOKUP($E632,'Product Naming'!$A$1:$P$58,9,FALSE)</f>
        <v>0</v>
      </c>
      <c r="AA632" s="1">
        <f>VLOOKUP($E632,'Product Naming'!$A$1:$P$58,10,FALSE)</f>
        <v>0</v>
      </c>
      <c r="AB632" s="29">
        <f>VLOOKUP($E632,'Product Naming'!$A$1:$P$58,11,FALSE)</f>
        <v>6</v>
      </c>
      <c r="AC632" s="3">
        <f>VLOOKUP($E632,'Product Naming'!$A$1:$P$58,12,FALSE)</f>
        <v>88.14658</v>
      </c>
      <c r="AD632" s="1">
        <f>VLOOKUP($E632,'Product Naming'!$A$1:$P$58,13,FALSE)</f>
        <v>129</v>
      </c>
      <c r="AE632" s="1" t="str">
        <f>VLOOKUP($E632,'Product Naming'!$A$1:$P$58,14,FALSE)</f>
        <v>Alcohol</v>
      </c>
      <c r="AF632" s="1" t="str">
        <f>VLOOKUP($E632,'Product Naming'!$A$1:$P$58,15,FALSE)</f>
        <v>PEP</v>
      </c>
      <c r="AG632" s="30" t="str">
        <f>VLOOKUP($E632,'Product Naming'!$A$1:$P$58,16,FALSE)</f>
        <v>Proton symporter</v>
      </c>
      <c r="AH632" s="3" t="str">
        <f>VLOOKUP($E632,'Product Naming'!$A$1:$Q$58,17,FALSE)</f>
        <v>2mbtoh_c</v>
      </c>
      <c r="AI632" s="1">
        <f>VLOOKUP($E632,'Product Parameters'!$A$2:$D$59,2,FALSE)</f>
        <v>1</v>
      </c>
      <c r="AJ632" s="1">
        <f>VLOOKUP($E632,'Product Parameters'!$A$2:$D$59,3,FALSE)</f>
        <v>0</v>
      </c>
      <c r="AK632" s="1">
        <f>VLOOKUP($E632,'Product Parameters'!$A$2:$D$59,4,FALSE)</f>
        <v>0.12</v>
      </c>
      <c r="AL632" s="1">
        <f>VLOOKUP($E632,'Product Parameters'!$A$2:$E$59,5,FALSE)</f>
        <v>54.6</v>
      </c>
      <c r="AM632" s="1">
        <f>VLOOKUP($E632,'Product Parameters'!$A$2:$F$59,6,FALSE)</f>
        <v>5</v>
      </c>
      <c r="AN632" s="1">
        <f>VLOOKUP($C632,'Substrate Heating'!$A$2:$C$33,3,FALSE)</f>
        <v>269.26666666666665</v>
      </c>
      <c r="AO632" s="1">
        <f>VLOOKUP($C632,'Substrate Heating'!$A$2:$B$33,2,FALSE)</f>
        <v>13.919167510409219</v>
      </c>
      <c r="AP632" s="1">
        <f>VLOOKUP($C632,'Substrate Heating'!$A$2:$M$33,13,FALSE)</f>
        <v>1.3333333333333333</v>
      </c>
      <c r="AQ632" s="1">
        <f>VLOOKUP($C632,'Substrate Heating'!$A$2:$M$33,8,FALSE)</f>
        <v>0.66666666666666663</v>
      </c>
      <c r="AR632" s="1">
        <f t="shared" si="9"/>
        <v>0.75</v>
      </c>
    </row>
    <row r="633" spans="1:44" x14ac:dyDescent="0.2">
      <c r="A633" s="17" t="s">
        <v>231</v>
      </c>
      <c r="B633" s="9" t="s">
        <v>35</v>
      </c>
      <c r="C633" t="s">
        <v>341</v>
      </c>
      <c r="D633" s="24" t="s">
        <v>342</v>
      </c>
      <c r="E633" t="s">
        <v>279</v>
      </c>
      <c r="F633" t="s">
        <v>280</v>
      </c>
      <c r="G633">
        <v>-10</v>
      </c>
      <c r="H633">
        <v>-20</v>
      </c>
      <c r="I633" s="1" t="s">
        <v>40</v>
      </c>
      <c r="J633">
        <v>3.15</v>
      </c>
      <c r="K633">
        <v>-10</v>
      </c>
      <c r="L633">
        <v>-0.181026438569209</v>
      </c>
      <c r="M633" s="1" t="s">
        <v>40</v>
      </c>
      <c r="N633">
        <v>21.544945567651599</v>
      </c>
      <c r="O633">
        <v>4.2727838258164903</v>
      </c>
      <c r="P633"/>
      <c r="Q633">
        <v>0.42727838258164802</v>
      </c>
      <c r="R633">
        <v>0.30418586503086398</v>
      </c>
      <c r="S633" s="1" t="str">
        <f>VLOOKUP($E633,'Product Naming'!$A$1:$P$58,2,FALSE)</f>
        <v>Nonane</v>
      </c>
      <c r="T633" s="1" t="str">
        <f>VLOOKUP($E633,'Product Naming'!$A$1:$P$58,3,FALSE)</f>
        <v>Nonane</v>
      </c>
      <c r="U633" s="1" t="str">
        <f>VLOOKUP($E633,'Product Naming'!$A$1:$P$58,4,FALSE)</f>
        <v>E</v>
      </c>
      <c r="V633" s="1" t="str">
        <f>VLOOKUP($E633,'Product Naming'!$A$1:$P$58,5,FALSE)</f>
        <v>C9H20</v>
      </c>
      <c r="W633" s="1">
        <f>VLOOKUP($E633,'Product Naming'!$A$1:$P$58,6,FALSE)</f>
        <v>9</v>
      </c>
      <c r="X633" s="1">
        <f>VLOOKUP($E633,'Product Naming'!$A$1:$P$58,7,FALSE)</f>
        <v>20</v>
      </c>
      <c r="Y633" s="1">
        <f>VLOOKUP($E633,'Product Naming'!$A$1:$P$58,8,FALSE)</f>
        <v>0</v>
      </c>
      <c r="Z633" s="1">
        <f>VLOOKUP($E633,'Product Naming'!$A$1:$P$58,9,FALSE)</f>
        <v>0</v>
      </c>
      <c r="AA633" s="1">
        <f>VLOOKUP($E633,'Product Naming'!$A$1:$P$58,10,FALSE)</f>
        <v>0</v>
      </c>
      <c r="AB633" s="29">
        <f>VLOOKUP($E633,'Product Naming'!$A$1:$P$58,11,FALSE)</f>
        <v>6.2222222222222223</v>
      </c>
      <c r="AC633" s="3">
        <f>VLOOKUP($E633,'Product Naming'!$A$1:$P$58,12,FALSE)</f>
        <v>128.25309999999999</v>
      </c>
      <c r="AD633" s="1">
        <f>VLOOKUP($E633,'Product Naming'!$A$1:$P$58,13,FALSE)</f>
        <v>151</v>
      </c>
      <c r="AE633" s="1" t="str">
        <f>VLOOKUP($E633,'Product Naming'!$A$1:$P$58,14,FALSE)</f>
        <v>Hydrocarbon (alkane)</v>
      </c>
      <c r="AF633" s="1" t="str">
        <f>VLOOKUP($E633,'Product Naming'!$A$1:$P$58,15,FALSE)</f>
        <v>Acetyl-CoA</v>
      </c>
      <c r="AG633" s="30" t="str">
        <f>VLOOKUP($E633,'Product Naming'!$A$1:$P$58,16,FALSE)</f>
        <v>Proton symporter</v>
      </c>
      <c r="AH633" s="3" t="str">
        <f>VLOOKUP($E633,'Product Naming'!$A$1:$Q$58,17,FALSE)</f>
        <v>nonan_c</v>
      </c>
      <c r="AI633" s="1">
        <f>VLOOKUP($E633,'Product Parameters'!$A$2:$D$59,2,FALSE)</f>
        <v>1</v>
      </c>
      <c r="AJ633" s="1">
        <f>VLOOKUP($E633,'Product Parameters'!$A$2:$D$59,3,FALSE)</f>
        <v>0</v>
      </c>
      <c r="AK633" s="1">
        <f>VLOOKUP($E633,'Product Parameters'!$A$2:$D$59,4,FALSE)</f>
        <v>0.12</v>
      </c>
      <c r="AL633" s="1">
        <f>VLOOKUP($E633,'Product Parameters'!$A$2:$E$59,5,FALSE)</f>
        <v>46.5</v>
      </c>
      <c r="AM633" s="1">
        <f>VLOOKUP($E633,'Product Parameters'!$A$2:$F$59,6,FALSE)</f>
        <v>9</v>
      </c>
      <c r="AN633" s="1">
        <f>VLOOKUP($C633,'Substrate Heating'!$A$2:$C$33,3,FALSE)</f>
        <v>2828.4492</v>
      </c>
      <c r="AO633" s="1">
        <f>VLOOKUP($C633,'Substrate Heating'!$A$2:$B$33,2,FALSE)</f>
        <v>15.7</v>
      </c>
      <c r="AP633" s="1">
        <f>VLOOKUP($C633,'Substrate Heating'!$A$2:$M$33,13,FALSE)</f>
        <v>4</v>
      </c>
      <c r="AQ633" s="1">
        <f>VLOOKUP($C633,'Substrate Heating'!$A$2:$M$33,8,FALSE)</f>
        <v>6</v>
      </c>
      <c r="AR633" s="1">
        <f t="shared" si="9"/>
        <v>0.64091757387247206</v>
      </c>
    </row>
    <row r="634" spans="1:44" x14ac:dyDescent="0.2">
      <c r="A634" s="8" t="s">
        <v>34</v>
      </c>
      <c r="B634" s="9" t="s">
        <v>35</v>
      </c>
      <c r="C634" s="1" t="s">
        <v>348</v>
      </c>
      <c r="D634" s="23" t="s">
        <v>338</v>
      </c>
      <c r="E634" s="1" t="s">
        <v>108</v>
      </c>
      <c r="F634" s="1" t="s">
        <v>109</v>
      </c>
      <c r="G634" s="1">
        <v>-10</v>
      </c>
      <c r="H634" s="1">
        <v>-20</v>
      </c>
      <c r="I634" s="1" t="s">
        <v>40</v>
      </c>
      <c r="J634" s="1">
        <v>3.15</v>
      </c>
      <c r="K634" s="1">
        <v>-10</v>
      </c>
      <c r="L634" s="1">
        <v>-7.2928353658536302</v>
      </c>
      <c r="M634" s="1" t="s">
        <v>40</v>
      </c>
      <c r="N634" s="1">
        <v>3.5097560975609499</v>
      </c>
      <c r="O634" s="1">
        <v>0.81128048780487705</v>
      </c>
      <c r="Q634" s="1">
        <v>8.1128048780487697E-2</v>
      </c>
      <c r="R634" s="1">
        <v>0.30421333244920301</v>
      </c>
      <c r="S634" s="1" t="str">
        <f>VLOOKUP($E634,'Product Naming'!$A$1:$P$58,2,FALSE)</f>
        <v>4-Hydroxystyrene</v>
      </c>
      <c r="T634" s="1" t="str">
        <f>VLOOKUP($E634,'Product Naming'!$A$1:$P$58,3,FALSE)</f>
        <v>4-Hydroxystyrene</v>
      </c>
      <c r="U634" s="1" t="str">
        <f>VLOOKUP($E634,'Product Naming'!$A$1:$P$58,4,FALSE)</f>
        <v>E</v>
      </c>
      <c r="V634" s="1" t="str">
        <f>VLOOKUP($E634,'Product Naming'!$A$1:$P$58,5,FALSE)</f>
        <v>C8H8O</v>
      </c>
      <c r="W634" s="1">
        <f>VLOOKUP($E634,'Product Naming'!$A$1:$P$58,6,FALSE)</f>
        <v>8</v>
      </c>
      <c r="X634" s="1">
        <f>VLOOKUP($E634,'Product Naming'!$A$1:$P$58,7,FALSE)</f>
        <v>8</v>
      </c>
      <c r="Y634" s="1">
        <f>VLOOKUP($E634,'Product Naming'!$A$1:$P$58,8,FALSE)</f>
        <v>1</v>
      </c>
      <c r="Z634" s="1">
        <f>VLOOKUP($E634,'Product Naming'!$A$1:$P$58,9,FALSE)</f>
        <v>0</v>
      </c>
      <c r="AA634" s="1">
        <f>VLOOKUP($E634,'Product Naming'!$A$1:$P$58,10,FALSE)</f>
        <v>0</v>
      </c>
      <c r="AB634" s="29">
        <f>VLOOKUP($E634,'Product Naming'!$A$1:$P$58,11,FALSE)</f>
        <v>4.75</v>
      </c>
      <c r="AC634" s="3">
        <f>VLOOKUP($E634,'Product Naming'!$A$1:$P$58,12,FALSE)</f>
        <v>120.14731999999999</v>
      </c>
      <c r="AD634" s="1">
        <f>VLOOKUP($E634,'Product Naming'!$A$1:$P$58,13,FALSE)</f>
        <v>229</v>
      </c>
      <c r="AE634" s="1" t="str">
        <f>VLOOKUP($E634,'Product Naming'!$A$1:$P$58,14,FALSE)</f>
        <v>Aromatic + Alcohol</v>
      </c>
      <c r="AF634" s="1" t="str">
        <f>VLOOKUP($E634,'Product Naming'!$A$1:$P$58,15,FALSE)</f>
        <v>E4P + L-glutamate</v>
      </c>
      <c r="AG634" s="30" t="str">
        <f>VLOOKUP($E634,'Product Naming'!$A$1:$P$58,16,FALSE)</f>
        <v>Proton symporter</v>
      </c>
      <c r="AH634" s="3" t="str">
        <f>VLOOKUP($E634,'Product Naming'!$A$1:$Q$58,17,FALSE)</f>
        <v>4hxst_c</v>
      </c>
      <c r="AI634" s="1">
        <f>VLOOKUP($E634,'Product Parameters'!$A$2:$D$59,2,FALSE)</f>
        <v>1</v>
      </c>
      <c r="AJ634" s="1">
        <f>VLOOKUP($E634,'Product Parameters'!$A$2:$D$59,3,FALSE)</f>
        <v>0</v>
      </c>
      <c r="AK634" s="1">
        <f>VLOOKUP($E634,'Product Parameters'!$A$2:$D$59,4,FALSE)</f>
        <v>0.12</v>
      </c>
      <c r="AL634" s="1">
        <f>VLOOKUP($E634,'Product Parameters'!$A$2:$E$59,5,FALSE)</f>
        <v>40.65</v>
      </c>
      <c r="AM634" s="1">
        <f>VLOOKUP($E634,'Product Parameters'!$A$2:$F$59,6,FALSE)</f>
        <v>8</v>
      </c>
      <c r="AN634" s="1">
        <f>VLOOKUP($C634,'Substrate Heating'!$A$2:$C$33,3,FALSE)</f>
        <v>638.57832580000002</v>
      </c>
      <c r="AO634" s="1">
        <f>VLOOKUP($C634,'Substrate Heating'!$A$2:$B$33,2,FALSE)</f>
        <v>19.93</v>
      </c>
      <c r="AP634" s="1">
        <f>VLOOKUP($C634,'Substrate Heating'!$A$2:$M$33,13,FALSE)</f>
        <v>6</v>
      </c>
      <c r="AQ634" s="1">
        <f>VLOOKUP($C634,'Substrate Heating'!$A$2:$M$33,8,FALSE)</f>
        <v>1</v>
      </c>
      <c r="AR634" s="1">
        <f t="shared" si="9"/>
        <v>0.64902439024390157</v>
      </c>
    </row>
    <row r="635" spans="1:44" x14ac:dyDescent="0.2">
      <c r="A635" s="17" t="s">
        <v>323</v>
      </c>
      <c r="B635" s="18" t="s">
        <v>324</v>
      </c>
      <c r="C635" t="s">
        <v>328</v>
      </c>
      <c r="D635" s="19" t="s">
        <v>326</v>
      </c>
      <c r="E635" t="s">
        <v>283</v>
      </c>
      <c r="F635" t="s">
        <v>284</v>
      </c>
      <c r="G635">
        <v>-10</v>
      </c>
      <c r="H635">
        <v>0</v>
      </c>
      <c r="I635">
        <v>-10</v>
      </c>
      <c r="J635">
        <v>0.45</v>
      </c>
      <c r="K635">
        <v>-10</v>
      </c>
      <c r="L635">
        <v>0</v>
      </c>
      <c r="M635">
        <v>-10</v>
      </c>
      <c r="N635">
        <v>3.6</v>
      </c>
      <c r="O635">
        <v>0.8</v>
      </c>
      <c r="P635"/>
      <c r="Q635">
        <v>0.08</v>
      </c>
      <c r="R635">
        <v>0.304300286380286</v>
      </c>
      <c r="S635" s="1" t="str">
        <f>VLOOKUP($E635,'Product Naming'!$A$1:$P$58,2,FALSE)</f>
        <v>Octane</v>
      </c>
      <c r="T635" s="1" t="str">
        <f>VLOOKUP($E635,'Product Naming'!$A$1:$P$58,3,FALSE)</f>
        <v>Octane</v>
      </c>
      <c r="U635" s="1" t="str">
        <f>VLOOKUP($E635,'Product Naming'!$A$1:$P$58,4,FALSE)</f>
        <v>E</v>
      </c>
      <c r="V635" s="1" t="str">
        <f>VLOOKUP($E635,'Product Naming'!$A$1:$P$58,5,FALSE)</f>
        <v>C8H18</v>
      </c>
      <c r="W635" s="1">
        <f>VLOOKUP($E635,'Product Naming'!$A$1:$P$58,6,FALSE)</f>
        <v>8</v>
      </c>
      <c r="X635" s="1">
        <f>VLOOKUP($E635,'Product Naming'!$A$1:$P$58,7,FALSE)</f>
        <v>18</v>
      </c>
      <c r="Y635" s="1">
        <f>VLOOKUP($E635,'Product Naming'!$A$1:$P$58,8,FALSE)</f>
        <v>0</v>
      </c>
      <c r="Z635" s="1">
        <f>VLOOKUP($E635,'Product Naming'!$A$1:$P$58,9,FALSE)</f>
        <v>0</v>
      </c>
      <c r="AA635" s="1">
        <f>VLOOKUP($E635,'Product Naming'!$A$1:$P$58,10,FALSE)</f>
        <v>0</v>
      </c>
      <c r="AB635" s="29">
        <f>VLOOKUP($E635,'Product Naming'!$A$1:$P$58,11,FALSE)</f>
        <v>6.25</v>
      </c>
      <c r="AC635" s="3">
        <f>VLOOKUP($E635,'Product Naming'!$A$1:$P$58,12,FALSE)</f>
        <v>114.22672</v>
      </c>
      <c r="AD635" s="1">
        <f>VLOOKUP($E635,'Product Naming'!$A$1:$P$58,13,FALSE)</f>
        <v>126</v>
      </c>
      <c r="AE635" s="1" t="str">
        <f>VLOOKUP($E635,'Product Naming'!$A$1:$P$58,14,FALSE)</f>
        <v>Hydrocarbon (alkane)</v>
      </c>
      <c r="AF635" s="1" t="str">
        <f>VLOOKUP($E635,'Product Naming'!$A$1:$P$58,15,FALSE)</f>
        <v>Acetyl-CoA + Succinyl-CoA</v>
      </c>
      <c r="AG635" s="30" t="str">
        <f>VLOOKUP($E635,'Product Naming'!$A$1:$P$58,16,FALSE)</f>
        <v>Proton symporter</v>
      </c>
      <c r="AH635" s="3" t="str">
        <f>VLOOKUP($E635,'Product Naming'!$A$1:$Q$58,17,FALSE)</f>
        <v>octn_c</v>
      </c>
      <c r="AI635" s="1">
        <f>VLOOKUP($E635,'Product Parameters'!$A$2:$D$59,2,FALSE)</f>
        <v>1</v>
      </c>
      <c r="AJ635" s="1">
        <f>VLOOKUP($E635,'Product Parameters'!$A$2:$D$59,3,FALSE)</f>
        <v>0</v>
      </c>
      <c r="AK635" s="1">
        <f>VLOOKUP($E635,'Product Parameters'!$A$2:$D$59,4,FALSE)</f>
        <v>0.12</v>
      </c>
      <c r="AL635" s="1">
        <f>VLOOKUP($E635,'Product Parameters'!$A$2:$E$59,5,FALSE)</f>
        <v>41</v>
      </c>
      <c r="AM635" s="1">
        <f>VLOOKUP($E635,'Product Parameters'!$A$2:$F$59,6,FALSE)</f>
        <v>8</v>
      </c>
      <c r="AN635" s="1">
        <f>VLOOKUP($C635,'Substrate Heating'!$A$2:$C$33,3,FALSE)</f>
        <v>262.39999999999998</v>
      </c>
      <c r="AO635" s="1">
        <f>VLOOKUP($C635,'Substrate Heating'!$A$2:$B$33,2,FALSE)</f>
        <v>17.478546483008707</v>
      </c>
      <c r="AP635" s="1">
        <f>VLOOKUP($C635,'Substrate Heating'!$A$2:$M$33,13,FALSE)</f>
        <v>1</v>
      </c>
      <c r="AQ635" s="1">
        <f>VLOOKUP($C635,'Substrate Heating'!$A$2:$M$33,8,FALSE)</f>
        <v>0.5</v>
      </c>
      <c r="AR635" s="1">
        <f t="shared" si="9"/>
        <v>1.28</v>
      </c>
    </row>
    <row r="636" spans="1:44" x14ac:dyDescent="0.2">
      <c r="A636" s="17" t="s">
        <v>231</v>
      </c>
      <c r="B636" s="9" t="s">
        <v>35</v>
      </c>
      <c r="C636" t="s">
        <v>349</v>
      </c>
      <c r="D636" s="25" t="s">
        <v>342</v>
      </c>
      <c r="E636" t="s">
        <v>283</v>
      </c>
      <c r="F636" t="s">
        <v>284</v>
      </c>
      <c r="G636">
        <v>-10</v>
      </c>
      <c r="H636">
        <v>-20</v>
      </c>
      <c r="I636" s="1" t="s">
        <v>40</v>
      </c>
      <c r="J636">
        <v>3.15</v>
      </c>
      <c r="K636">
        <v>-10</v>
      </c>
      <c r="L636">
        <v>4.1343079438533501E-30</v>
      </c>
      <c r="M636" s="1" t="s">
        <v>40</v>
      </c>
      <c r="N636">
        <v>18</v>
      </c>
      <c r="O636">
        <v>4</v>
      </c>
      <c r="P636"/>
      <c r="Q636">
        <v>0.4</v>
      </c>
      <c r="R636">
        <v>0.30434082461866402</v>
      </c>
      <c r="S636" s="1" t="str">
        <f>VLOOKUP($E636,'Product Naming'!$A$1:$P$58,2,FALSE)</f>
        <v>Octane</v>
      </c>
      <c r="T636" s="1" t="str">
        <f>VLOOKUP($E636,'Product Naming'!$A$1:$P$58,3,FALSE)</f>
        <v>Octane</v>
      </c>
      <c r="U636" s="1" t="str">
        <f>VLOOKUP($E636,'Product Naming'!$A$1:$P$58,4,FALSE)</f>
        <v>E</v>
      </c>
      <c r="V636" s="1" t="str">
        <f>VLOOKUP($E636,'Product Naming'!$A$1:$P$58,5,FALSE)</f>
        <v>C8H18</v>
      </c>
      <c r="W636" s="1">
        <f>VLOOKUP($E636,'Product Naming'!$A$1:$P$58,6,FALSE)</f>
        <v>8</v>
      </c>
      <c r="X636" s="1">
        <f>VLOOKUP($E636,'Product Naming'!$A$1:$P$58,7,FALSE)</f>
        <v>18</v>
      </c>
      <c r="Y636" s="1">
        <f>VLOOKUP($E636,'Product Naming'!$A$1:$P$58,8,FALSE)</f>
        <v>0</v>
      </c>
      <c r="Z636" s="1">
        <f>VLOOKUP($E636,'Product Naming'!$A$1:$P$58,9,FALSE)</f>
        <v>0</v>
      </c>
      <c r="AA636" s="1">
        <f>VLOOKUP($E636,'Product Naming'!$A$1:$P$58,10,FALSE)</f>
        <v>0</v>
      </c>
      <c r="AB636" s="29">
        <f>VLOOKUP($E636,'Product Naming'!$A$1:$P$58,11,FALSE)</f>
        <v>6.25</v>
      </c>
      <c r="AC636" s="3">
        <f>VLOOKUP($E636,'Product Naming'!$A$1:$P$58,12,FALSE)</f>
        <v>114.22672</v>
      </c>
      <c r="AD636" s="1">
        <f>VLOOKUP($E636,'Product Naming'!$A$1:$P$58,13,FALSE)</f>
        <v>126</v>
      </c>
      <c r="AE636" s="1" t="str">
        <f>VLOOKUP($E636,'Product Naming'!$A$1:$P$58,14,FALSE)</f>
        <v>Hydrocarbon (alkane)</v>
      </c>
      <c r="AF636" s="1" t="str">
        <f>VLOOKUP($E636,'Product Naming'!$A$1:$P$58,15,FALSE)</f>
        <v>Acetyl-CoA + Succinyl-CoA</v>
      </c>
      <c r="AG636" s="30" t="str">
        <f>VLOOKUP($E636,'Product Naming'!$A$1:$P$58,16,FALSE)</f>
        <v>Proton symporter</v>
      </c>
      <c r="AH636" s="3" t="str">
        <f>VLOOKUP($E636,'Product Naming'!$A$1:$Q$58,17,FALSE)</f>
        <v>octn_c</v>
      </c>
      <c r="AI636" s="1">
        <f>VLOOKUP($E636,'Product Parameters'!$A$2:$D$59,2,FALSE)</f>
        <v>1</v>
      </c>
      <c r="AJ636" s="1">
        <f>VLOOKUP($E636,'Product Parameters'!$A$2:$D$59,3,FALSE)</f>
        <v>0</v>
      </c>
      <c r="AK636" s="1">
        <f>VLOOKUP($E636,'Product Parameters'!$A$2:$D$59,4,FALSE)</f>
        <v>0.12</v>
      </c>
      <c r="AL636" s="1">
        <f>VLOOKUP($E636,'Product Parameters'!$A$2:$E$59,5,FALSE)</f>
        <v>41</v>
      </c>
      <c r="AM636" s="1">
        <f>VLOOKUP($E636,'Product Parameters'!$A$2:$F$59,6,FALSE)</f>
        <v>8</v>
      </c>
      <c r="AN636" s="1">
        <f>VLOOKUP($C636,'Substrate Heating'!$A$2:$C$33,3,FALSE)</f>
        <v>2342.0279999999998</v>
      </c>
      <c r="AO636" s="1">
        <f>VLOOKUP($C636,'Substrate Heating'!$A$2:$B$33,2,FALSE)</f>
        <v>15.6</v>
      </c>
      <c r="AP636" s="1">
        <f>VLOOKUP($C636,'Substrate Heating'!$A$2:$M$33,13,FALSE)</f>
        <v>4</v>
      </c>
      <c r="AQ636" s="1">
        <f>VLOOKUP($C636,'Substrate Heating'!$A$2:$M$33,8,FALSE)</f>
        <v>5</v>
      </c>
      <c r="AR636" s="1">
        <f t="shared" si="9"/>
        <v>0.64</v>
      </c>
    </row>
    <row r="637" spans="1:44" x14ac:dyDescent="0.2">
      <c r="A637" s="17" t="s">
        <v>231</v>
      </c>
      <c r="B637" s="9" t="s">
        <v>35</v>
      </c>
      <c r="C637" t="s">
        <v>341</v>
      </c>
      <c r="D637" s="24" t="s">
        <v>342</v>
      </c>
      <c r="E637" t="s">
        <v>283</v>
      </c>
      <c r="F637" t="s">
        <v>284</v>
      </c>
      <c r="G637">
        <v>-10</v>
      </c>
      <c r="H637">
        <v>-20</v>
      </c>
      <c r="I637" s="1" t="s">
        <v>40</v>
      </c>
      <c r="J637">
        <v>3.15</v>
      </c>
      <c r="K637">
        <v>-10</v>
      </c>
      <c r="L637">
        <v>-2.9716006607076801E-17</v>
      </c>
      <c r="M637" s="1" t="s">
        <v>40</v>
      </c>
      <c r="N637">
        <v>21.6</v>
      </c>
      <c r="O637">
        <v>4.8</v>
      </c>
      <c r="P637"/>
      <c r="Q637">
        <v>0.48</v>
      </c>
      <c r="R637">
        <v>0.304347109012442</v>
      </c>
      <c r="S637" s="1" t="str">
        <f>VLOOKUP($E637,'Product Naming'!$A$1:$P$58,2,FALSE)</f>
        <v>Octane</v>
      </c>
      <c r="T637" s="1" t="str">
        <f>VLOOKUP($E637,'Product Naming'!$A$1:$P$58,3,FALSE)</f>
        <v>Octane</v>
      </c>
      <c r="U637" s="1" t="str">
        <f>VLOOKUP($E637,'Product Naming'!$A$1:$P$58,4,FALSE)</f>
        <v>E</v>
      </c>
      <c r="V637" s="1" t="str">
        <f>VLOOKUP($E637,'Product Naming'!$A$1:$P$58,5,FALSE)</f>
        <v>C8H18</v>
      </c>
      <c r="W637" s="1">
        <f>VLOOKUP($E637,'Product Naming'!$A$1:$P$58,6,FALSE)</f>
        <v>8</v>
      </c>
      <c r="X637" s="1">
        <f>VLOOKUP($E637,'Product Naming'!$A$1:$P$58,7,FALSE)</f>
        <v>18</v>
      </c>
      <c r="Y637" s="1">
        <f>VLOOKUP($E637,'Product Naming'!$A$1:$P$58,8,FALSE)</f>
        <v>0</v>
      </c>
      <c r="Z637" s="1">
        <f>VLOOKUP($E637,'Product Naming'!$A$1:$P$58,9,FALSE)</f>
        <v>0</v>
      </c>
      <c r="AA637" s="1">
        <f>VLOOKUP($E637,'Product Naming'!$A$1:$P$58,10,FALSE)</f>
        <v>0</v>
      </c>
      <c r="AB637" s="29">
        <f>VLOOKUP($E637,'Product Naming'!$A$1:$P$58,11,FALSE)</f>
        <v>6.25</v>
      </c>
      <c r="AC637" s="3">
        <f>VLOOKUP($E637,'Product Naming'!$A$1:$P$58,12,FALSE)</f>
        <v>114.22672</v>
      </c>
      <c r="AD637" s="1">
        <f>VLOOKUP($E637,'Product Naming'!$A$1:$P$58,13,FALSE)</f>
        <v>126</v>
      </c>
      <c r="AE637" s="1" t="str">
        <f>VLOOKUP($E637,'Product Naming'!$A$1:$P$58,14,FALSE)</f>
        <v>Hydrocarbon (alkane)</v>
      </c>
      <c r="AF637" s="1" t="str">
        <f>VLOOKUP($E637,'Product Naming'!$A$1:$P$58,15,FALSE)</f>
        <v>Acetyl-CoA + Succinyl-CoA</v>
      </c>
      <c r="AG637" s="30" t="str">
        <f>VLOOKUP($E637,'Product Naming'!$A$1:$P$58,16,FALSE)</f>
        <v>Proton symporter</v>
      </c>
      <c r="AH637" s="3" t="str">
        <f>VLOOKUP($E637,'Product Naming'!$A$1:$Q$58,17,FALSE)</f>
        <v>octn_c</v>
      </c>
      <c r="AI637" s="1">
        <f>VLOOKUP($E637,'Product Parameters'!$A$2:$D$59,2,FALSE)</f>
        <v>1</v>
      </c>
      <c r="AJ637" s="1">
        <f>VLOOKUP($E637,'Product Parameters'!$A$2:$D$59,3,FALSE)</f>
        <v>0</v>
      </c>
      <c r="AK637" s="1">
        <f>VLOOKUP($E637,'Product Parameters'!$A$2:$D$59,4,FALSE)</f>
        <v>0.12</v>
      </c>
      <c r="AL637" s="1">
        <f>VLOOKUP($E637,'Product Parameters'!$A$2:$E$59,5,FALSE)</f>
        <v>41</v>
      </c>
      <c r="AM637" s="1">
        <f>VLOOKUP($E637,'Product Parameters'!$A$2:$F$59,6,FALSE)</f>
        <v>8</v>
      </c>
      <c r="AN637" s="1">
        <f>VLOOKUP($C637,'Substrate Heating'!$A$2:$C$33,3,FALSE)</f>
        <v>2828.4492</v>
      </c>
      <c r="AO637" s="1">
        <f>VLOOKUP($C637,'Substrate Heating'!$A$2:$B$33,2,FALSE)</f>
        <v>15.7</v>
      </c>
      <c r="AP637" s="1">
        <f>VLOOKUP($C637,'Substrate Heating'!$A$2:$M$33,13,FALSE)</f>
        <v>4</v>
      </c>
      <c r="AQ637" s="1">
        <f>VLOOKUP($C637,'Substrate Heating'!$A$2:$M$33,8,FALSE)</f>
        <v>6</v>
      </c>
      <c r="AR637" s="1">
        <f t="shared" si="9"/>
        <v>0.64</v>
      </c>
    </row>
    <row r="638" spans="1:44" x14ac:dyDescent="0.2">
      <c r="A638" s="17" t="s">
        <v>323</v>
      </c>
      <c r="B638" s="18" t="s">
        <v>324</v>
      </c>
      <c r="C638" t="s">
        <v>329</v>
      </c>
      <c r="D638" s="19" t="s">
        <v>326</v>
      </c>
      <c r="E638" t="s">
        <v>225</v>
      </c>
      <c r="F638" t="s">
        <v>226</v>
      </c>
      <c r="G638">
        <v>-10</v>
      </c>
      <c r="H638">
        <v>0</v>
      </c>
      <c r="I638">
        <v>-20</v>
      </c>
      <c r="J638">
        <v>0.45</v>
      </c>
      <c r="K638">
        <v>-10</v>
      </c>
      <c r="L638">
        <v>0</v>
      </c>
      <c r="M638">
        <v>-10.2315789473684</v>
      </c>
      <c r="N638">
        <v>0</v>
      </c>
      <c r="O638">
        <v>1.2210526315789501</v>
      </c>
      <c r="P638"/>
      <c r="Q638">
        <v>0.12210526315789499</v>
      </c>
      <c r="R638" s="20">
        <v>0.30465407899922198</v>
      </c>
      <c r="S638" s="1" t="str">
        <f>VLOOKUP($E638,'Product Naming'!$A$1:$P$58,2,FALSE)</f>
        <v>Glycolate</v>
      </c>
      <c r="T638" s="1" t="str">
        <f>VLOOKUP($E638,'Product Naming'!$A$1:$P$58,3,FALSE)</f>
        <v>Glycolate</v>
      </c>
      <c r="U638" s="1" t="str">
        <f>VLOOKUP($E638,'Product Naming'!$A$1:$P$58,4,FALSE)</f>
        <v>iJO1366</v>
      </c>
      <c r="V638" s="1" t="str">
        <f>VLOOKUP($E638,'Product Naming'!$A$1:$P$58,5,FALSE)</f>
        <v>C2H3O3</v>
      </c>
      <c r="W638" s="1">
        <f>VLOOKUP($E638,'Product Naming'!$A$1:$P$58,6,FALSE)</f>
        <v>2</v>
      </c>
      <c r="X638" s="1">
        <f>VLOOKUP($E638,'Product Naming'!$A$1:$P$58,7,FALSE)</f>
        <v>3</v>
      </c>
      <c r="Y638" s="1">
        <f>VLOOKUP($E638,'Product Naming'!$A$1:$P$58,8,FALSE)</f>
        <v>3</v>
      </c>
      <c r="Z638" s="1">
        <f>VLOOKUP($E638,'Product Naming'!$A$1:$P$58,9,FALSE)</f>
        <v>0</v>
      </c>
      <c r="AA638" s="1">
        <f>VLOOKUP($E638,'Product Naming'!$A$1:$P$58,10,FALSE)</f>
        <v>-1</v>
      </c>
      <c r="AB638" s="29">
        <f>VLOOKUP($E638,'Product Naming'!$A$1:$P$58,11,FALSE)</f>
        <v>2.5</v>
      </c>
      <c r="AC638" s="3">
        <f>VLOOKUP($E638,'Product Naming'!$A$1:$P$58,12,FALSE)</f>
        <v>75.041920000000005</v>
      </c>
      <c r="AD638" s="1">
        <f>VLOOKUP($E638,'Product Naming'!$A$1:$P$58,13,FALSE)</f>
        <v>112</v>
      </c>
      <c r="AE638" s="1" t="str">
        <f>VLOOKUP($E638,'Product Naming'!$A$1:$P$58,14,FALSE)</f>
        <v>Carboxylate + Alcohol (hydroxy carboxylate)</v>
      </c>
      <c r="AF638" s="1" t="str">
        <f>VLOOKUP($E638,'Product Naming'!$A$1:$P$58,15,FALSE)</f>
        <v>Glyoxylate (*isocitrate)</v>
      </c>
      <c r="AG638" s="30" t="str">
        <f>VLOOKUP($E638,'Product Naming'!$A$1:$P$58,16,FALSE)</f>
        <v>Proton symporter</v>
      </c>
      <c r="AH638" s="3" t="str">
        <f>VLOOKUP($E638,'Product Naming'!$A$1:$Q$58,17,FALSE)</f>
        <v>glyclt_c</v>
      </c>
      <c r="AI638" s="1">
        <f>VLOOKUP($E638,'Product Parameters'!$A$2:$D$59,2,FALSE)</f>
        <v>1</v>
      </c>
      <c r="AJ638" s="1">
        <f>VLOOKUP($E638,'Product Parameters'!$A$2:$D$59,3,FALSE)</f>
        <v>0</v>
      </c>
      <c r="AK638" s="1">
        <f>VLOOKUP($E638,'Product Parameters'!$A$2:$D$59,4,FALSE)</f>
        <v>0.12</v>
      </c>
      <c r="AL638" s="1">
        <f>VLOOKUP($E638,'Product Parameters'!$A$2:$E$59,5,FALSE)</f>
        <v>40.65</v>
      </c>
      <c r="AM638" s="1">
        <f>VLOOKUP($E638,'Product Parameters'!$A$2:$F$59,6,FALSE)</f>
        <v>2</v>
      </c>
      <c r="AN638" s="1">
        <f>VLOOKUP($C638,'Substrate Heating'!$A$2:$C$33,3,FALSE)</f>
        <v>255.53333333333336</v>
      </c>
      <c r="AO638" s="1">
        <f>VLOOKUP($C638,'Substrate Heating'!$A$2:$B$33,2,FALSE)</f>
        <v>23.925550527978785</v>
      </c>
      <c r="AP638" s="1">
        <f>VLOOKUP($C638,'Substrate Heating'!$A$2:$M$33,13,FALSE)</f>
        <v>0.66666666666666663</v>
      </c>
      <c r="AQ638" s="1">
        <f>VLOOKUP($C638,'Substrate Heating'!$A$2:$M$33,8,FALSE)</f>
        <v>0.33333333333333331</v>
      </c>
      <c r="AR638" s="1">
        <f t="shared" si="9"/>
        <v>0.73263157894736997</v>
      </c>
    </row>
    <row r="639" spans="1:44" x14ac:dyDescent="0.2">
      <c r="A639" s="17" t="s">
        <v>323</v>
      </c>
      <c r="B639" s="18" t="s">
        <v>324</v>
      </c>
      <c r="C639" t="s">
        <v>328</v>
      </c>
      <c r="D639" s="19" t="s">
        <v>326</v>
      </c>
      <c r="E639" t="s">
        <v>279</v>
      </c>
      <c r="F639" t="s">
        <v>280</v>
      </c>
      <c r="G639">
        <v>-10</v>
      </c>
      <c r="H639">
        <v>0</v>
      </c>
      <c r="I639">
        <v>-10</v>
      </c>
      <c r="J639">
        <v>0.45</v>
      </c>
      <c r="K639">
        <v>-10</v>
      </c>
      <c r="L639">
        <v>0</v>
      </c>
      <c r="M639">
        <v>-10</v>
      </c>
      <c r="N639">
        <v>3.5714285714285801</v>
      </c>
      <c r="O639">
        <v>0.71428571428571297</v>
      </c>
      <c r="P639"/>
      <c r="Q639">
        <v>7.14285714285713E-2</v>
      </c>
      <c r="R639">
        <v>0.305059464345178</v>
      </c>
      <c r="S639" s="1" t="str">
        <f>VLOOKUP($E639,'Product Naming'!$A$1:$P$58,2,FALSE)</f>
        <v>Nonane</v>
      </c>
      <c r="T639" s="1" t="str">
        <f>VLOOKUP($E639,'Product Naming'!$A$1:$P$58,3,FALSE)</f>
        <v>Nonane</v>
      </c>
      <c r="U639" s="1" t="str">
        <f>VLOOKUP($E639,'Product Naming'!$A$1:$P$58,4,FALSE)</f>
        <v>E</v>
      </c>
      <c r="V639" s="1" t="str">
        <f>VLOOKUP($E639,'Product Naming'!$A$1:$P$58,5,FALSE)</f>
        <v>C9H20</v>
      </c>
      <c r="W639" s="1">
        <f>VLOOKUP($E639,'Product Naming'!$A$1:$P$58,6,FALSE)</f>
        <v>9</v>
      </c>
      <c r="X639" s="1">
        <f>VLOOKUP($E639,'Product Naming'!$A$1:$P$58,7,FALSE)</f>
        <v>20</v>
      </c>
      <c r="Y639" s="1">
        <f>VLOOKUP($E639,'Product Naming'!$A$1:$P$58,8,FALSE)</f>
        <v>0</v>
      </c>
      <c r="Z639" s="1">
        <f>VLOOKUP($E639,'Product Naming'!$A$1:$P$58,9,FALSE)</f>
        <v>0</v>
      </c>
      <c r="AA639" s="1">
        <f>VLOOKUP($E639,'Product Naming'!$A$1:$P$58,10,FALSE)</f>
        <v>0</v>
      </c>
      <c r="AB639" s="29">
        <f>VLOOKUP($E639,'Product Naming'!$A$1:$P$58,11,FALSE)</f>
        <v>6.2222222222222223</v>
      </c>
      <c r="AC639" s="3">
        <f>VLOOKUP($E639,'Product Naming'!$A$1:$P$58,12,FALSE)</f>
        <v>128.25309999999999</v>
      </c>
      <c r="AD639" s="1">
        <f>VLOOKUP($E639,'Product Naming'!$A$1:$P$58,13,FALSE)</f>
        <v>151</v>
      </c>
      <c r="AE639" s="1" t="str">
        <f>VLOOKUP($E639,'Product Naming'!$A$1:$P$58,14,FALSE)</f>
        <v>Hydrocarbon (alkane)</v>
      </c>
      <c r="AF639" s="1" t="str">
        <f>VLOOKUP($E639,'Product Naming'!$A$1:$P$58,15,FALSE)</f>
        <v>Acetyl-CoA</v>
      </c>
      <c r="AG639" s="30" t="str">
        <f>VLOOKUP($E639,'Product Naming'!$A$1:$P$58,16,FALSE)</f>
        <v>Proton symporter</v>
      </c>
      <c r="AH639" s="3" t="str">
        <f>VLOOKUP($E639,'Product Naming'!$A$1:$Q$58,17,FALSE)</f>
        <v>nonan_c</v>
      </c>
      <c r="AI639" s="1">
        <f>VLOOKUP($E639,'Product Parameters'!$A$2:$D$59,2,FALSE)</f>
        <v>1</v>
      </c>
      <c r="AJ639" s="1">
        <f>VLOOKUP($E639,'Product Parameters'!$A$2:$D$59,3,FALSE)</f>
        <v>0</v>
      </c>
      <c r="AK639" s="1">
        <f>VLOOKUP($E639,'Product Parameters'!$A$2:$D$59,4,FALSE)</f>
        <v>0.12</v>
      </c>
      <c r="AL639" s="1">
        <f>VLOOKUP($E639,'Product Parameters'!$A$2:$E$59,5,FALSE)</f>
        <v>46.5</v>
      </c>
      <c r="AM639" s="1">
        <f>VLOOKUP($E639,'Product Parameters'!$A$2:$F$59,6,FALSE)</f>
        <v>9</v>
      </c>
      <c r="AN639" s="1">
        <f>VLOOKUP($C639,'Substrate Heating'!$A$2:$C$33,3,FALSE)</f>
        <v>262.39999999999998</v>
      </c>
      <c r="AO639" s="1">
        <f>VLOOKUP($C639,'Substrate Heating'!$A$2:$B$33,2,FALSE)</f>
        <v>17.478546483008707</v>
      </c>
      <c r="AP639" s="1">
        <f>VLOOKUP($C639,'Substrate Heating'!$A$2:$M$33,13,FALSE)</f>
        <v>1</v>
      </c>
      <c r="AQ639" s="1">
        <f>VLOOKUP($C639,'Substrate Heating'!$A$2:$M$33,8,FALSE)</f>
        <v>0.5</v>
      </c>
      <c r="AR639" s="1">
        <f t="shared" si="9"/>
        <v>1.2857142857142834</v>
      </c>
    </row>
    <row r="640" spans="1:44" x14ac:dyDescent="0.2">
      <c r="A640" s="8" t="s">
        <v>34</v>
      </c>
      <c r="B640" s="9" t="s">
        <v>35</v>
      </c>
      <c r="C640" s="1" t="s">
        <v>330</v>
      </c>
      <c r="D640" s="10" t="s">
        <v>37</v>
      </c>
      <c r="E640" s="1" t="s">
        <v>145</v>
      </c>
      <c r="F640" s="1" t="s">
        <v>146</v>
      </c>
      <c r="G640" s="1">
        <v>-10</v>
      </c>
      <c r="H640" s="1">
        <v>-20</v>
      </c>
      <c r="I640" s="1" t="s">
        <v>40</v>
      </c>
      <c r="J640" s="1">
        <v>3.15</v>
      </c>
      <c r="K640" s="1">
        <v>-10</v>
      </c>
      <c r="L640" s="1">
        <v>-10.025662650602399</v>
      </c>
      <c r="M640" s="1" t="s">
        <v>40</v>
      </c>
      <c r="N640" s="1">
        <v>7.6681927710843301</v>
      </c>
      <c r="O640" s="1">
        <v>1.76168674698795</v>
      </c>
      <c r="Q640" s="1">
        <v>0.17616867469879499</v>
      </c>
      <c r="R640" s="1">
        <v>0.30693394544886099</v>
      </c>
      <c r="S640" s="1" t="str">
        <f>VLOOKUP($E640,'Product Naming'!$A$1:$P$58,2,FALSE)</f>
        <v>Benzyl alcohol</v>
      </c>
      <c r="T640" s="1" t="str">
        <f>VLOOKUP($E640,'Product Naming'!$A$1:$P$58,3,FALSE)</f>
        <v>Benzyl alcohol</v>
      </c>
      <c r="U640" s="1" t="str">
        <f>VLOOKUP($E640,'Product Naming'!$A$1:$P$58,4,FALSE)</f>
        <v>E</v>
      </c>
      <c r="V640" s="1" t="str">
        <f>VLOOKUP($E640,'Product Naming'!$A$1:$P$58,5,FALSE)</f>
        <v>C7H8O</v>
      </c>
      <c r="W640" s="1">
        <f>VLOOKUP($E640,'Product Naming'!$A$1:$P$58,6,FALSE)</f>
        <v>7</v>
      </c>
      <c r="X640" s="1">
        <f>VLOOKUP($E640,'Product Naming'!$A$1:$P$58,7,FALSE)</f>
        <v>8</v>
      </c>
      <c r="Y640" s="1">
        <f>VLOOKUP($E640,'Product Naming'!$A$1:$P$58,8,FALSE)</f>
        <v>1</v>
      </c>
      <c r="Z640" s="1">
        <f>VLOOKUP($E640,'Product Naming'!$A$1:$P$58,9,FALSE)</f>
        <v>0</v>
      </c>
      <c r="AA640" s="1">
        <f>VLOOKUP($E640,'Product Naming'!$A$1:$P$58,10,FALSE)</f>
        <v>0</v>
      </c>
      <c r="AB640" s="29">
        <f>VLOOKUP($E640,'Product Naming'!$A$1:$P$58,11,FALSE)</f>
        <v>4.8571428571428568</v>
      </c>
      <c r="AC640" s="3">
        <f>VLOOKUP($E640,'Product Naming'!$A$1:$P$58,12,FALSE)</f>
        <v>108.13661999999999</v>
      </c>
      <c r="AD640" s="1">
        <f>VLOOKUP($E640,'Product Naming'!$A$1:$P$58,13,FALSE)</f>
        <v>205</v>
      </c>
      <c r="AE640" s="1" t="str">
        <f>VLOOKUP($E640,'Product Naming'!$A$1:$P$58,14,FALSE)</f>
        <v>Aromatic + Alcohol</v>
      </c>
      <c r="AF640" s="1" t="str">
        <f>VLOOKUP($E640,'Product Naming'!$A$1:$P$58,15,FALSE)</f>
        <v>E4P</v>
      </c>
      <c r="AG640" s="30" t="str">
        <f>VLOOKUP($E640,'Product Naming'!$A$1:$P$58,16,FALSE)</f>
        <v>Proton symporter</v>
      </c>
      <c r="AH640" s="3" t="str">
        <f>VLOOKUP($E640,'Product Naming'!$A$1:$Q$58,17,FALSE)</f>
        <v>bzalc_c</v>
      </c>
      <c r="AI640" s="1">
        <f>VLOOKUP($E640,'Product Parameters'!$A$2:$D$59,2,FALSE)</f>
        <v>1</v>
      </c>
      <c r="AJ640" s="1">
        <f>VLOOKUP($E640,'Product Parameters'!$A$2:$D$59,3,FALSE)</f>
        <v>0</v>
      </c>
      <c r="AK640" s="1">
        <f>VLOOKUP($E640,'Product Parameters'!$A$2:$D$59,4,FALSE)</f>
        <v>0.12</v>
      </c>
      <c r="AL640" s="1">
        <f>VLOOKUP($E640,'Product Parameters'!$A$2:$E$59,5,FALSE)</f>
        <v>63</v>
      </c>
      <c r="AM640" s="1">
        <f>VLOOKUP($E640,'Product Parameters'!$A$2:$F$59,6,FALSE)</f>
        <v>7</v>
      </c>
      <c r="AN640" s="1">
        <f>VLOOKUP($C640,'Substrate Heating'!$A$2:$C$33,3,FALSE)</f>
        <v>1055.1294800000001</v>
      </c>
      <c r="AO640" s="1">
        <f>VLOOKUP($C640,'Substrate Heating'!$A$2:$B$33,2,FALSE)</f>
        <v>17</v>
      </c>
      <c r="AP640" s="1">
        <f>VLOOKUP($C640,'Substrate Heating'!$A$2:$M$33,13,FALSE)</f>
        <v>5</v>
      </c>
      <c r="AQ640" s="1">
        <f>VLOOKUP($C640,'Substrate Heating'!$A$2:$M$33,8,FALSE)</f>
        <v>2</v>
      </c>
      <c r="AR640" s="1">
        <f t="shared" si="9"/>
        <v>0.6165903614457825</v>
      </c>
    </row>
    <row r="641" spans="1:44" x14ac:dyDescent="0.2">
      <c r="A641" s="8" t="s">
        <v>34</v>
      </c>
      <c r="B641" s="9" t="s">
        <v>35</v>
      </c>
      <c r="C641" s="1" t="s">
        <v>348</v>
      </c>
      <c r="D641" s="23" t="s">
        <v>338</v>
      </c>
      <c r="E641" s="1" t="s">
        <v>297</v>
      </c>
      <c r="F641" s="1" t="s">
        <v>298</v>
      </c>
      <c r="G641" s="1">
        <v>-10</v>
      </c>
      <c r="H641" s="1">
        <v>-20</v>
      </c>
      <c r="I641" s="1" t="s">
        <v>40</v>
      </c>
      <c r="J641" s="1">
        <v>3.15</v>
      </c>
      <c r="K641" s="1">
        <v>-10</v>
      </c>
      <c r="L641" s="1">
        <v>-7.6809430255402704</v>
      </c>
      <c r="M641" s="1" t="s">
        <v>40</v>
      </c>
      <c r="N641" s="1">
        <v>3.7265225933202202</v>
      </c>
      <c r="O641" s="1">
        <v>1.04557956777996</v>
      </c>
      <c r="Q641" s="1">
        <v>0.10455795677799599</v>
      </c>
      <c r="R641" s="1">
        <v>0.30710514590612098</v>
      </c>
      <c r="S641" s="1" t="str">
        <f>VLOOKUP($E641,'Product Naming'!$A$1:$P$58,2,FALSE)</f>
        <v>Phenol</v>
      </c>
      <c r="T641" s="1" t="str">
        <f>VLOOKUP($E641,'Product Naming'!$A$1:$P$58,3,FALSE)</f>
        <v>Phenol</v>
      </c>
      <c r="U641" s="1" t="str">
        <f>VLOOKUP($E641,'Product Naming'!$A$1:$P$58,4,FALSE)</f>
        <v>E-S</v>
      </c>
      <c r="V641" s="1" t="str">
        <f>VLOOKUP($E641,'Product Naming'!$A$1:$P$58,5,FALSE)</f>
        <v>C6H6O</v>
      </c>
      <c r="W641" s="1">
        <f>VLOOKUP($E641,'Product Naming'!$A$1:$P$58,6,FALSE)</f>
        <v>6</v>
      </c>
      <c r="X641" s="1">
        <f>VLOOKUP($E641,'Product Naming'!$A$1:$P$58,7,FALSE)</f>
        <v>6</v>
      </c>
      <c r="Y641" s="1">
        <f>VLOOKUP($E641,'Product Naming'!$A$1:$P$58,8,FALSE)</f>
        <v>1</v>
      </c>
      <c r="Z641" s="1">
        <f>VLOOKUP($E641,'Product Naming'!$A$1:$P$58,9,FALSE)</f>
        <v>0</v>
      </c>
      <c r="AA641" s="1">
        <f>VLOOKUP($E641,'Product Naming'!$A$1:$P$58,10,FALSE)</f>
        <v>0</v>
      </c>
      <c r="AB641" s="29">
        <f>VLOOKUP($E641,'Product Naming'!$A$1:$P$58,11,FALSE)</f>
        <v>4.666666666666667</v>
      </c>
      <c r="AC641" s="3">
        <f>VLOOKUP($E641,'Product Naming'!$A$1:$P$58,12,FALSE)</f>
        <v>94.11023999999999</v>
      </c>
      <c r="AD641" s="1">
        <f>VLOOKUP($E641,'Product Naming'!$A$1:$P$58,13,FALSE)</f>
        <v>181.7</v>
      </c>
      <c r="AE641" s="1" t="str">
        <f>VLOOKUP($E641,'Product Naming'!$A$1:$P$58,14,FALSE)</f>
        <v>Aromatic + Alcohol</v>
      </c>
      <c r="AF641" s="1" t="str">
        <f>VLOOKUP($E641,'Product Naming'!$A$1:$P$58,15,FALSE)</f>
        <v>E4P + L-glutamate</v>
      </c>
      <c r="AG641" s="30" t="str">
        <f>VLOOKUP($E641,'Product Naming'!$A$1:$P$58,16,FALSE)</f>
        <v>Proton symporter</v>
      </c>
      <c r="AH641" s="3" t="str">
        <f>VLOOKUP($E641,'Product Naming'!$A$1:$Q$58,17,FALSE)</f>
        <v>phenol_c</v>
      </c>
      <c r="AI641" s="1">
        <f>VLOOKUP($E641,'Product Parameters'!$A$2:$D$59,2,FALSE)</f>
        <v>1</v>
      </c>
      <c r="AJ641" s="1">
        <f>VLOOKUP($E641,'Product Parameters'!$A$2:$D$59,3,FALSE)</f>
        <v>0</v>
      </c>
      <c r="AK641" s="1">
        <f>VLOOKUP($E641,'Product Parameters'!$A$2:$D$59,4,FALSE)</f>
        <v>0.12</v>
      </c>
      <c r="AL641" s="1">
        <f>VLOOKUP($E641,'Product Parameters'!$A$2:$E$59,5,FALSE)</f>
        <v>58.8</v>
      </c>
      <c r="AM641" s="1">
        <f>VLOOKUP($E641,'Product Parameters'!$A$2:$F$59,6,FALSE)</f>
        <v>6</v>
      </c>
      <c r="AN641" s="1">
        <f>VLOOKUP($C641,'Substrate Heating'!$A$2:$C$33,3,FALSE)</f>
        <v>638.57832580000002</v>
      </c>
      <c r="AO641" s="1">
        <f>VLOOKUP($C641,'Substrate Heating'!$A$2:$B$33,2,FALSE)</f>
        <v>19.93</v>
      </c>
      <c r="AP641" s="1">
        <f>VLOOKUP($C641,'Substrate Heating'!$A$2:$M$33,13,FALSE)</f>
        <v>6</v>
      </c>
      <c r="AQ641" s="1">
        <f>VLOOKUP($C641,'Substrate Heating'!$A$2:$M$33,8,FALSE)</f>
        <v>1</v>
      </c>
      <c r="AR641" s="1">
        <f t="shared" si="9"/>
        <v>0.62734774066797594</v>
      </c>
    </row>
    <row r="642" spans="1:44" x14ac:dyDescent="0.2">
      <c r="A642" s="8" t="s">
        <v>34</v>
      </c>
      <c r="B642" s="9" t="s">
        <v>35</v>
      </c>
      <c r="C642" s="1" t="s">
        <v>331</v>
      </c>
      <c r="D642" s="10" t="s">
        <v>37</v>
      </c>
      <c r="E642" s="1" t="s">
        <v>158</v>
      </c>
      <c r="F642" s="1" t="s">
        <v>159</v>
      </c>
      <c r="G642" s="1">
        <v>-10</v>
      </c>
      <c r="H642" s="1">
        <v>-20</v>
      </c>
      <c r="I642" s="1" t="s">
        <v>40</v>
      </c>
      <c r="J642" s="1">
        <v>3.15</v>
      </c>
      <c r="K642" s="1">
        <v>-10</v>
      </c>
      <c r="L642" s="1">
        <v>-3.67767857142857</v>
      </c>
      <c r="M642" s="1" t="s">
        <v>40</v>
      </c>
      <c r="N642" s="1">
        <v>6.8785714285714201</v>
      </c>
      <c r="O642" s="1">
        <v>3.2803571428571399</v>
      </c>
      <c r="Q642" s="1">
        <v>0.32803571428571399</v>
      </c>
      <c r="R642" s="1">
        <v>0.30718439215328802</v>
      </c>
      <c r="S642" s="1" t="str">
        <f>VLOOKUP($E642,'Product Naming'!$A$1:$P$58,2,FALSE)</f>
        <v>Butane</v>
      </c>
      <c r="T642" s="1" t="str">
        <f>VLOOKUP($E642,'Product Naming'!$A$1:$P$58,3,FALSE)</f>
        <v>Butane</v>
      </c>
      <c r="U642" s="1" t="str">
        <f>VLOOKUP($E642,'Product Naming'!$A$1:$P$58,4,FALSE)</f>
        <v>E</v>
      </c>
      <c r="V642" s="1" t="str">
        <f>VLOOKUP($E642,'Product Naming'!$A$1:$P$58,5,FALSE)</f>
        <v>C4H10</v>
      </c>
      <c r="W642" s="1">
        <f>VLOOKUP($E642,'Product Naming'!$A$1:$P$58,6,FALSE)</f>
        <v>4</v>
      </c>
      <c r="X642" s="1">
        <f>VLOOKUP($E642,'Product Naming'!$A$1:$P$58,7,FALSE)</f>
        <v>10</v>
      </c>
      <c r="Y642" s="1">
        <f>VLOOKUP($E642,'Product Naming'!$A$1:$P$58,8,FALSE)</f>
        <v>0</v>
      </c>
      <c r="Z642" s="1">
        <f>VLOOKUP($E642,'Product Naming'!$A$1:$P$58,9,FALSE)</f>
        <v>0</v>
      </c>
      <c r="AA642" s="1">
        <f>VLOOKUP($E642,'Product Naming'!$A$1:$P$58,10,FALSE)</f>
        <v>0</v>
      </c>
      <c r="AB642" s="29">
        <f>VLOOKUP($E642,'Product Naming'!$A$1:$P$58,11,FALSE)</f>
        <v>6.5</v>
      </c>
      <c r="AC642" s="3">
        <f>VLOOKUP($E642,'Product Naming'!$A$1:$P$58,12,FALSE)</f>
        <v>58.121200000000002</v>
      </c>
      <c r="AD642" s="1">
        <f>VLOOKUP($E642,'Product Naming'!$A$1:$P$58,13,FALSE)</f>
        <v>-1</v>
      </c>
      <c r="AE642" s="1" t="str">
        <f>VLOOKUP($E642,'Product Naming'!$A$1:$P$58,14,FALSE)</f>
        <v>Hydrocarbon (alkane)</v>
      </c>
      <c r="AF642" s="1" t="str">
        <f>VLOOKUP($E642,'Product Naming'!$A$1:$P$58,15,FALSE)</f>
        <v>Acetyl-CoA + Succinyl-CoA</v>
      </c>
      <c r="AG642" s="30" t="str">
        <f>VLOOKUP($E642,'Product Naming'!$A$1:$P$58,16,FALSE)</f>
        <v>Diffusion</v>
      </c>
      <c r="AH642" s="3" t="str">
        <f>VLOOKUP($E642,'Product Naming'!$A$1:$Q$58,17,FALSE)</f>
        <v>butn_c</v>
      </c>
      <c r="AI642" s="1">
        <f>VLOOKUP($E642,'Product Parameters'!$A$2:$D$59,2,FALSE)</f>
        <v>0</v>
      </c>
      <c r="AJ642" s="1">
        <f>VLOOKUP($E642,'Product Parameters'!$A$2:$D$59,3,FALSE)</f>
        <v>1</v>
      </c>
      <c r="AK642" s="1">
        <f>VLOOKUP($E642,'Product Parameters'!$A$2:$D$59,4,FALSE)</f>
        <v>0.12</v>
      </c>
      <c r="AL642" s="1">
        <f>VLOOKUP($E642,'Product Parameters'!$A$2:$E$59,5,FALSE)</f>
        <v>0</v>
      </c>
      <c r="AM642" s="1">
        <f>VLOOKUP($E642,'Product Parameters'!$A$2:$F$59,6,FALSE)</f>
        <v>4</v>
      </c>
      <c r="AN642" s="1">
        <f>VLOOKUP($C642,'Substrate Heating'!$A$2:$C$33,3,FALSE)</f>
        <v>1055.1294800000001</v>
      </c>
      <c r="AO642" s="1">
        <f>VLOOKUP($C642,'Substrate Heating'!$A$2:$B$33,2,FALSE)</f>
        <v>17</v>
      </c>
      <c r="AP642" s="1">
        <f>VLOOKUP($C642,'Substrate Heating'!$A$2:$M$33,13,FALSE)</f>
        <v>5</v>
      </c>
      <c r="AQ642" s="1">
        <f>VLOOKUP($C642,'Substrate Heating'!$A$2:$M$33,8,FALSE)</f>
        <v>2</v>
      </c>
      <c r="AR642" s="1">
        <f t="shared" si="9"/>
        <v>0.65607142857142797</v>
      </c>
    </row>
    <row r="643" spans="1:44" x14ac:dyDescent="0.2">
      <c r="A643" s="8" t="s">
        <v>34</v>
      </c>
      <c r="B643" s="9" t="s">
        <v>35</v>
      </c>
      <c r="C643" s="1" t="s">
        <v>349</v>
      </c>
      <c r="D643" s="25" t="s">
        <v>342</v>
      </c>
      <c r="E643" s="1" t="s">
        <v>247</v>
      </c>
      <c r="F643" s="1" t="s">
        <v>248</v>
      </c>
      <c r="G643" s="1">
        <v>-10</v>
      </c>
      <c r="H643" s="1">
        <v>-20</v>
      </c>
      <c r="I643" s="1" t="s">
        <v>40</v>
      </c>
      <c r="J643" s="1">
        <v>3.15</v>
      </c>
      <c r="K643" s="1">
        <v>-10</v>
      </c>
      <c r="L643" s="1">
        <v>-2.5762836185819098</v>
      </c>
      <c r="M643" s="1" t="s">
        <v>40</v>
      </c>
      <c r="N643" s="1">
        <v>16.125916870415701</v>
      </c>
      <c r="O643" s="1">
        <v>6.7748166259168698</v>
      </c>
      <c r="Q643" s="1">
        <v>0.67748166259168696</v>
      </c>
      <c r="R643" s="1">
        <v>0.30738353410418401</v>
      </c>
      <c r="S643" s="1" t="str">
        <f>VLOOKUP($E643,'Product Naming'!$A$1:$P$58,2,FALSE)</f>
        <v>Isoprene</v>
      </c>
      <c r="T643" s="1" t="str">
        <f>VLOOKUP($E643,'Product Naming'!$A$1:$P$58,3,FALSE)</f>
        <v>Isoprene</v>
      </c>
      <c r="U643" s="1" t="str">
        <f>VLOOKUP($E643,'Product Naming'!$A$1:$P$58,4,FALSE)</f>
        <v>E</v>
      </c>
      <c r="V643" s="1" t="str">
        <f>VLOOKUP($E643,'Product Naming'!$A$1:$P$58,5,FALSE)</f>
        <v>C5H8</v>
      </c>
      <c r="W643" s="1">
        <f>VLOOKUP($E643,'Product Naming'!$A$1:$P$58,6,FALSE)</f>
        <v>5</v>
      </c>
      <c r="X643" s="1">
        <f>VLOOKUP($E643,'Product Naming'!$A$1:$P$58,7,FALSE)</f>
        <v>8</v>
      </c>
      <c r="Y643" s="1">
        <f>VLOOKUP($E643,'Product Naming'!$A$1:$P$58,8,FALSE)</f>
        <v>0</v>
      </c>
      <c r="Z643" s="1">
        <f>VLOOKUP($E643,'Product Naming'!$A$1:$P$58,9,FALSE)</f>
        <v>0</v>
      </c>
      <c r="AA643" s="1">
        <f>VLOOKUP($E643,'Product Naming'!$A$1:$P$58,10,FALSE)</f>
        <v>0</v>
      </c>
      <c r="AB643" s="29">
        <f>VLOOKUP($E643,'Product Naming'!$A$1:$P$58,11,FALSE)</f>
        <v>5.6</v>
      </c>
      <c r="AC643" s="3">
        <f>VLOOKUP($E643,'Product Naming'!$A$1:$P$58,12,FALSE)</f>
        <v>68.116219999999998</v>
      </c>
      <c r="AD643" s="1">
        <f>VLOOKUP($E643,'Product Naming'!$A$1:$P$58,13,FALSE)</f>
        <v>34.07</v>
      </c>
      <c r="AE643" s="1" t="str">
        <f>VLOOKUP($E643,'Product Naming'!$A$1:$P$58,14,FALSE)</f>
        <v>Hydrocarbon</v>
      </c>
      <c r="AF643" s="1" t="str">
        <f>VLOOKUP($E643,'Product Naming'!$A$1:$P$58,15,FALSE)</f>
        <v>Acetyl-CoA</v>
      </c>
      <c r="AG643" s="30" t="str">
        <f>VLOOKUP($E643,'Product Naming'!$A$1:$P$58,16,FALSE)</f>
        <v>Diffusion</v>
      </c>
      <c r="AH643" s="3" t="str">
        <f>VLOOKUP($E643,'Product Naming'!$A$1:$Q$58,17,FALSE)</f>
        <v>iprene_c</v>
      </c>
      <c r="AI643" s="1">
        <f>VLOOKUP($E643,'Product Parameters'!$A$2:$D$59,2,FALSE)</f>
        <v>0</v>
      </c>
      <c r="AJ643" s="1">
        <f>VLOOKUP($E643,'Product Parameters'!$A$2:$D$59,3,FALSE)</f>
        <v>1</v>
      </c>
      <c r="AK643" s="1">
        <f>VLOOKUP($E643,'Product Parameters'!$A$2:$D$59,4,FALSE)</f>
        <v>0.12</v>
      </c>
      <c r="AL643" s="1">
        <f>VLOOKUP($E643,'Product Parameters'!$A$2:$E$59,5,FALSE)</f>
        <v>26.4</v>
      </c>
      <c r="AM643" s="1">
        <f>VLOOKUP($E643,'Product Parameters'!$A$2:$F$59,6,FALSE)</f>
        <v>5</v>
      </c>
      <c r="AN643" s="1">
        <f>VLOOKUP($C643,'Substrate Heating'!$A$2:$C$33,3,FALSE)</f>
        <v>2342.0279999999998</v>
      </c>
      <c r="AO643" s="1">
        <f>VLOOKUP($C643,'Substrate Heating'!$A$2:$B$33,2,FALSE)</f>
        <v>15.6</v>
      </c>
      <c r="AP643" s="1">
        <f>VLOOKUP($C643,'Substrate Heating'!$A$2:$M$33,13,FALSE)</f>
        <v>4</v>
      </c>
      <c r="AQ643" s="1">
        <f>VLOOKUP($C643,'Substrate Heating'!$A$2:$M$33,8,FALSE)</f>
        <v>5</v>
      </c>
      <c r="AR643" s="1">
        <f t="shared" ref="AR643:AR706" si="10">Q643*W643/AQ643</f>
        <v>0.67748166259168696</v>
      </c>
    </row>
    <row r="644" spans="1:44" x14ac:dyDescent="0.2">
      <c r="A644" s="8" t="s">
        <v>34</v>
      </c>
      <c r="B644" s="9" t="s">
        <v>35</v>
      </c>
      <c r="C644" s="1" t="s">
        <v>322</v>
      </c>
      <c r="D644" s="10" t="s">
        <v>37</v>
      </c>
      <c r="E644" s="1" t="s">
        <v>291</v>
      </c>
      <c r="F644" s="1" t="s">
        <v>292</v>
      </c>
      <c r="G644" s="1">
        <v>-10</v>
      </c>
      <c r="H644" s="1">
        <v>-20</v>
      </c>
      <c r="I644" s="1" t="s">
        <v>40</v>
      </c>
      <c r="J644" s="1">
        <v>3.15</v>
      </c>
      <c r="K644" s="1">
        <v>-10</v>
      </c>
      <c r="L644" s="1">
        <v>-4.5173913043478304</v>
      </c>
      <c r="M644" s="1" t="s">
        <v>40</v>
      </c>
      <c r="N644" s="1">
        <v>9.6782608695652197</v>
      </c>
      <c r="O644" s="1">
        <v>2.0643478260869599</v>
      </c>
      <c r="Q644" s="1">
        <v>0.20643478260869599</v>
      </c>
      <c r="R644" s="1">
        <v>0.308191398392898</v>
      </c>
      <c r="S644" s="1" t="str">
        <f>VLOOKUP($E644,'Product Naming'!$A$1:$P$58,2,FALSE)</f>
        <v>Pentanol-PW1</v>
      </c>
      <c r="T644" s="1" t="str">
        <f>VLOOKUP($E644,'Product Naming'!$A$1:$P$58,3,FALSE)</f>
        <v>Pentanol (PW1)</v>
      </c>
      <c r="U644" s="1" t="str">
        <f>VLOOKUP($E644,'Product Naming'!$A$1:$P$58,4,FALSE)</f>
        <v>E</v>
      </c>
      <c r="V644" s="1" t="str">
        <f>VLOOKUP($E644,'Product Naming'!$A$1:$P$58,5,FALSE)</f>
        <v>C5H12O</v>
      </c>
      <c r="W644" s="1">
        <f>VLOOKUP($E644,'Product Naming'!$A$1:$P$58,6,FALSE)</f>
        <v>5</v>
      </c>
      <c r="X644" s="1">
        <f>VLOOKUP($E644,'Product Naming'!$A$1:$P$58,7,FALSE)</f>
        <v>12</v>
      </c>
      <c r="Y644" s="1">
        <f>VLOOKUP($E644,'Product Naming'!$A$1:$P$58,8,FALSE)</f>
        <v>1</v>
      </c>
      <c r="Z644" s="1">
        <f>VLOOKUP($E644,'Product Naming'!$A$1:$P$58,9,FALSE)</f>
        <v>0</v>
      </c>
      <c r="AA644" s="1">
        <f>VLOOKUP($E644,'Product Naming'!$A$1:$P$58,10,FALSE)</f>
        <v>0</v>
      </c>
      <c r="AB644" s="29">
        <f>VLOOKUP($E644,'Product Naming'!$A$1:$P$58,11,FALSE)</f>
        <v>6</v>
      </c>
      <c r="AC644" s="3">
        <f>VLOOKUP($E644,'Product Naming'!$A$1:$P$58,12,FALSE)</f>
        <v>88.14658</v>
      </c>
      <c r="AD644" s="1">
        <f>VLOOKUP($E644,'Product Naming'!$A$1:$P$58,13,FALSE)</f>
        <v>138</v>
      </c>
      <c r="AE644" s="1" t="str">
        <f>VLOOKUP($E644,'Product Naming'!$A$1:$P$58,14,FALSE)</f>
        <v>Alcohol</v>
      </c>
      <c r="AF644" s="1" t="str">
        <f>VLOOKUP($E644,'Product Naming'!$A$1:$P$58,15,FALSE)</f>
        <v>Acetyl-CoA + Succinyl-CoA</v>
      </c>
      <c r="AG644" s="30" t="str">
        <f>VLOOKUP($E644,'Product Naming'!$A$1:$P$58,16,FALSE)</f>
        <v>Proton symporter</v>
      </c>
      <c r="AH644" s="3" t="str">
        <f>VLOOKUP($E644,'Product Naming'!$A$1:$Q$58,17,FALSE)</f>
        <v>pentoh_c</v>
      </c>
      <c r="AI644" s="1">
        <f>VLOOKUP($E644,'Product Parameters'!$A$2:$D$59,2,FALSE)</f>
        <v>1</v>
      </c>
      <c r="AJ644" s="1">
        <f>VLOOKUP($E644,'Product Parameters'!$A$2:$D$59,3,FALSE)</f>
        <v>0</v>
      </c>
      <c r="AK644" s="1">
        <f>VLOOKUP($E644,'Product Parameters'!$A$2:$D$59,4,FALSE)</f>
        <v>0.12</v>
      </c>
      <c r="AL644" s="1">
        <f>VLOOKUP($E644,'Product Parameters'!$A$2:$E$59,5,FALSE)</f>
        <v>57</v>
      </c>
      <c r="AM644" s="1">
        <f>VLOOKUP($E644,'Product Parameters'!$A$2:$F$59,6,FALSE)</f>
        <v>5</v>
      </c>
      <c r="AN644" s="1">
        <f>VLOOKUP($C644,'Substrate Heating'!$A$2:$C$33,3,FALSE)</f>
        <v>876.74109599999997</v>
      </c>
      <c r="AO644" s="1">
        <f>VLOOKUP($C644,'Substrate Heating'!$A$2:$B$33,2,FALSE)</f>
        <v>14.6</v>
      </c>
      <c r="AP644" s="1">
        <f>VLOOKUP($C644,'Substrate Heating'!$A$2:$M$33,13,FALSE)</f>
        <v>3.5</v>
      </c>
      <c r="AQ644" s="1">
        <f>VLOOKUP($C644,'Substrate Heating'!$A$2:$M$33,8,FALSE)</f>
        <v>2</v>
      </c>
      <c r="AR644" s="1">
        <f t="shared" si="10"/>
        <v>0.51608695652173997</v>
      </c>
    </row>
    <row r="645" spans="1:44" x14ac:dyDescent="0.2">
      <c r="A645" s="8" t="s">
        <v>34</v>
      </c>
      <c r="B645" s="9" t="s">
        <v>35</v>
      </c>
      <c r="C645" s="1" t="s">
        <v>349</v>
      </c>
      <c r="D645" s="25" t="s">
        <v>342</v>
      </c>
      <c r="E645" s="1" t="s">
        <v>204</v>
      </c>
      <c r="F645" s="1" t="s">
        <v>205</v>
      </c>
      <c r="G645" s="1">
        <v>-10</v>
      </c>
      <c r="H645" s="1">
        <v>-20</v>
      </c>
      <c r="I645" s="1" t="s">
        <v>40</v>
      </c>
      <c r="J645" s="1">
        <v>3.15</v>
      </c>
      <c r="K645" s="1">
        <v>-10</v>
      </c>
      <c r="L645" s="1">
        <v>-2.4505806451612901</v>
      </c>
      <c r="M645" s="1" t="s">
        <v>40</v>
      </c>
      <c r="N645" s="1">
        <v>16.036129032258099</v>
      </c>
      <c r="O645" s="1">
        <v>2.2642580645161301</v>
      </c>
      <c r="Q645" s="1">
        <v>0.226425806451613</v>
      </c>
      <c r="R645" s="1">
        <v>0.30819829572907798</v>
      </c>
      <c r="S645" s="1" t="str">
        <f>VLOOKUP($E645,'Product Naming'!$A$1:$P$58,2,FALSE)</f>
        <v>Farnesene</v>
      </c>
      <c r="T645" s="1" t="str">
        <f>VLOOKUP($E645,'Product Naming'!$A$1:$P$58,3,FALSE)</f>
        <v>Farnesene</v>
      </c>
      <c r="U645" s="1" t="str">
        <f>VLOOKUP($E645,'Product Naming'!$A$1:$P$58,4,FALSE)</f>
        <v>A</v>
      </c>
      <c r="V645" s="1" t="str">
        <f>VLOOKUP($E645,'Product Naming'!$A$1:$P$58,5,FALSE)</f>
        <v>C15H24</v>
      </c>
      <c r="W645" s="1">
        <f>VLOOKUP($E645,'Product Naming'!$A$1:$P$58,6,FALSE)</f>
        <v>15</v>
      </c>
      <c r="X645" s="1">
        <f>VLOOKUP($E645,'Product Naming'!$A$1:$P$58,7,FALSE)</f>
        <v>24</v>
      </c>
      <c r="Y645" s="1">
        <f>VLOOKUP($E645,'Product Naming'!$A$1:$P$58,8,FALSE)</f>
        <v>0</v>
      </c>
      <c r="Z645" s="1">
        <f>VLOOKUP($E645,'Product Naming'!$A$1:$P$58,9,FALSE)</f>
        <v>0</v>
      </c>
      <c r="AA645" s="1">
        <f>VLOOKUP($E645,'Product Naming'!$A$1:$P$58,10,FALSE)</f>
        <v>0</v>
      </c>
      <c r="AB645" s="29">
        <f>VLOOKUP($E645,'Product Naming'!$A$1:$P$58,11,FALSE)</f>
        <v>5.6</v>
      </c>
      <c r="AC645" s="3">
        <f>VLOOKUP($E645,'Product Naming'!$A$1:$P$58,12,FALSE)</f>
        <v>204.34866000000002</v>
      </c>
      <c r="AD645" s="1" t="str">
        <f>VLOOKUP($E645,'Product Naming'!$A$1:$P$58,13,FALSE)</f>
        <v>260 (A)/272 (B)</v>
      </c>
      <c r="AE645" s="1" t="str">
        <f>VLOOKUP($E645,'Product Naming'!$A$1:$P$58,14,FALSE)</f>
        <v>Hydrocarbon</v>
      </c>
      <c r="AF645" s="1" t="str">
        <f>VLOOKUP($E645,'Product Naming'!$A$1:$P$58,15,FALSE)</f>
        <v>Acetyl-CoA</v>
      </c>
      <c r="AG645" s="30" t="str">
        <f>VLOOKUP($E645,'Product Naming'!$A$1:$P$58,16,FALSE)</f>
        <v>Proton symporter</v>
      </c>
      <c r="AH645" s="3" t="str">
        <f>VLOOKUP($E645,'Product Naming'!$A$1:$Q$58,17,FALSE)</f>
        <v>frene_c</v>
      </c>
      <c r="AI645" s="1">
        <f>VLOOKUP($E645,'Product Parameters'!$A$2:$D$59,2,FALSE)</f>
        <v>1</v>
      </c>
      <c r="AJ645" s="1">
        <f>VLOOKUP($E645,'Product Parameters'!$A$2:$D$59,3,FALSE)</f>
        <v>0</v>
      </c>
      <c r="AK645" s="1">
        <f>VLOOKUP($E645,'Product Parameters'!$A$2:$D$59,4,FALSE)</f>
        <v>0.12</v>
      </c>
      <c r="AL645" s="1">
        <f>VLOOKUP($E645,'Product Parameters'!$A$2:$E$59,5,FALSE)</f>
        <v>0</v>
      </c>
      <c r="AM645" s="1">
        <f>VLOOKUP($E645,'Product Parameters'!$A$2:$F$59,6,FALSE)</f>
        <v>15</v>
      </c>
      <c r="AN645" s="1">
        <f>VLOOKUP($C645,'Substrate Heating'!$A$2:$C$33,3,FALSE)</f>
        <v>2342.0279999999998</v>
      </c>
      <c r="AO645" s="1">
        <f>VLOOKUP($C645,'Substrate Heating'!$A$2:$B$33,2,FALSE)</f>
        <v>15.6</v>
      </c>
      <c r="AP645" s="1">
        <f>VLOOKUP($C645,'Substrate Heating'!$A$2:$M$33,13,FALSE)</f>
        <v>4</v>
      </c>
      <c r="AQ645" s="1">
        <f>VLOOKUP($C645,'Substrate Heating'!$A$2:$M$33,8,FALSE)</f>
        <v>5</v>
      </c>
      <c r="AR645" s="1">
        <f t="shared" si="10"/>
        <v>0.67927741935483898</v>
      </c>
    </row>
    <row r="646" spans="1:44" x14ac:dyDescent="0.2">
      <c r="A646" s="8" t="s">
        <v>34</v>
      </c>
      <c r="B646" s="9" t="s">
        <v>35</v>
      </c>
      <c r="C646" s="1" t="s">
        <v>322</v>
      </c>
      <c r="D646" s="10" t="s">
        <v>37</v>
      </c>
      <c r="E646" s="1" t="s">
        <v>81</v>
      </c>
      <c r="F646" s="1" t="s">
        <v>73</v>
      </c>
      <c r="G646" s="1">
        <v>-10</v>
      </c>
      <c r="H646" s="1">
        <v>-20</v>
      </c>
      <c r="I646" s="1" t="s">
        <v>40</v>
      </c>
      <c r="J646" s="1">
        <v>3.15</v>
      </c>
      <c r="K646" s="1">
        <v>-10</v>
      </c>
      <c r="L646" s="1">
        <v>-6.3729411764705901</v>
      </c>
      <c r="M646" s="1" t="s">
        <v>40</v>
      </c>
      <c r="N646" s="1">
        <v>10.9152941176471</v>
      </c>
      <c r="O646" s="1">
        <v>3.0282352941176498</v>
      </c>
      <c r="Q646" s="1">
        <v>0.30282352941176499</v>
      </c>
      <c r="R646" s="1">
        <v>0.308213460110633</v>
      </c>
      <c r="S646" s="1" t="str">
        <f>VLOOKUP($E646,'Product Naming'!$A$1:$P$58,2,FALSE)</f>
        <v>1-propanol-PW2</v>
      </c>
      <c r="T646" s="1" t="str">
        <f>VLOOKUP($E646,'Product Naming'!$A$1:$P$58,3,FALSE)</f>
        <v>1-Propanol (PW2)</v>
      </c>
      <c r="U646" s="1" t="str">
        <f>VLOOKUP($E646,'Product Naming'!$A$1:$P$58,4,FALSE)</f>
        <v>E-S</v>
      </c>
      <c r="V646" s="1" t="str">
        <f>VLOOKUP($E646,'Product Naming'!$A$1:$P$58,5,FALSE)</f>
        <v>C3H8O</v>
      </c>
      <c r="W646" s="1">
        <f>VLOOKUP($E646,'Product Naming'!$A$1:$P$58,6,FALSE)</f>
        <v>3</v>
      </c>
      <c r="X646" s="1">
        <f>VLOOKUP($E646,'Product Naming'!$A$1:$P$58,7,FALSE)</f>
        <v>8</v>
      </c>
      <c r="Y646" s="1">
        <f>VLOOKUP($E646,'Product Naming'!$A$1:$P$58,8,FALSE)</f>
        <v>1</v>
      </c>
      <c r="Z646" s="1">
        <f>VLOOKUP($E646,'Product Naming'!$A$1:$P$58,9,FALSE)</f>
        <v>0</v>
      </c>
      <c r="AA646" s="1">
        <f>VLOOKUP($E646,'Product Naming'!$A$1:$P$58,10,FALSE)</f>
        <v>0</v>
      </c>
      <c r="AB646" s="29">
        <f>VLOOKUP($E646,'Product Naming'!$A$1:$P$58,11,FALSE)</f>
        <v>6</v>
      </c>
      <c r="AC646" s="3">
        <f>VLOOKUP($E646,'Product Naming'!$A$1:$P$58,12,FALSE)</f>
        <v>60.093820000000001</v>
      </c>
      <c r="AD646" s="1">
        <f>VLOOKUP($E646,'Product Naming'!$A$1:$P$58,13,FALSE)</f>
        <v>97</v>
      </c>
      <c r="AE646" s="1" t="str">
        <f>VLOOKUP($E646,'Product Naming'!$A$1:$P$58,14,FALSE)</f>
        <v>Alcohol</v>
      </c>
      <c r="AF646" s="1" t="str">
        <f>VLOOKUP($E646,'Product Naming'!$A$1:$P$58,15,FALSE)</f>
        <v>Oxaloacetate</v>
      </c>
      <c r="AG646" s="30" t="str">
        <f>VLOOKUP($E646,'Product Naming'!$A$1:$P$58,16,FALSE)</f>
        <v>Proton symporter</v>
      </c>
      <c r="AH646" s="3" t="str">
        <f>VLOOKUP($E646,'Product Naming'!$A$1:$Q$58,17,FALSE)</f>
        <v>ppoh_c</v>
      </c>
      <c r="AI646" s="1">
        <f>VLOOKUP($E646,'Product Parameters'!$A$2:$D$59,2,FALSE)</f>
        <v>1</v>
      </c>
      <c r="AJ646" s="1">
        <f>VLOOKUP($E646,'Product Parameters'!$A$2:$D$59,3,FALSE)</f>
        <v>0</v>
      </c>
      <c r="AK646" s="1">
        <f>VLOOKUP($E646,'Product Parameters'!$A$2:$D$59,4,FALSE)</f>
        <v>0.12</v>
      </c>
      <c r="AL646" s="1">
        <f>VLOOKUP($E646,'Product Parameters'!$A$2:$E$59,5,FALSE)</f>
        <v>47</v>
      </c>
      <c r="AM646" s="1">
        <f>VLOOKUP($E646,'Product Parameters'!$A$2:$F$59,6,FALSE)</f>
        <v>3</v>
      </c>
      <c r="AN646" s="1">
        <f>VLOOKUP($C646,'Substrate Heating'!$A$2:$C$33,3,FALSE)</f>
        <v>876.74109599999997</v>
      </c>
      <c r="AO646" s="1">
        <f>VLOOKUP($C646,'Substrate Heating'!$A$2:$B$33,2,FALSE)</f>
        <v>14.6</v>
      </c>
      <c r="AP646" s="1">
        <f>VLOOKUP($C646,'Substrate Heating'!$A$2:$M$33,13,FALSE)</f>
        <v>3.5</v>
      </c>
      <c r="AQ646" s="1">
        <f>VLOOKUP($C646,'Substrate Heating'!$A$2:$M$33,8,FALSE)</f>
        <v>2</v>
      </c>
      <c r="AR646" s="1">
        <f t="shared" si="10"/>
        <v>0.45423529411764751</v>
      </c>
    </row>
    <row r="647" spans="1:44" x14ac:dyDescent="0.2">
      <c r="A647" s="8" t="s">
        <v>34</v>
      </c>
      <c r="B647" s="9" t="s">
        <v>35</v>
      </c>
      <c r="C647" s="1" t="s">
        <v>344</v>
      </c>
      <c r="D647" s="10" t="s">
        <v>37</v>
      </c>
      <c r="E647" s="1" t="s">
        <v>164</v>
      </c>
      <c r="F647" s="1" t="s">
        <v>165</v>
      </c>
      <c r="G647" s="1">
        <v>-10</v>
      </c>
      <c r="H647" s="1">
        <v>-20</v>
      </c>
      <c r="I647" s="1" t="s">
        <v>40</v>
      </c>
      <c r="J647" s="1">
        <v>3.15</v>
      </c>
      <c r="K647" s="1">
        <v>-10</v>
      </c>
      <c r="L647" s="1">
        <v>-5</v>
      </c>
      <c r="M647" s="1" t="s">
        <v>40</v>
      </c>
      <c r="N647" s="1">
        <v>10</v>
      </c>
      <c r="O647" s="1">
        <v>2.5</v>
      </c>
      <c r="Q647" s="1">
        <v>0.25</v>
      </c>
      <c r="R647" s="1">
        <v>0.30856674215679702</v>
      </c>
      <c r="S647" s="1" t="str">
        <f>VLOOKUP($E647,'Product Naming'!$A$1:$P$58,2,FALSE)</f>
        <v>Butanol-PW1</v>
      </c>
      <c r="T647" s="1" t="str">
        <f>VLOOKUP($E647,'Product Naming'!$A$1:$P$58,3,FALSE)</f>
        <v>Butanol (PW1)</v>
      </c>
      <c r="U647" s="1" t="str">
        <f>VLOOKUP($E647,'Product Naming'!$A$1:$P$58,4,FALSE)</f>
        <v>E</v>
      </c>
      <c r="V647" s="1" t="str">
        <f>VLOOKUP($E647,'Product Naming'!$A$1:$P$58,5,FALSE)</f>
        <v>C4H10O</v>
      </c>
      <c r="W647" s="1">
        <f>VLOOKUP($E647,'Product Naming'!$A$1:$P$58,6,FALSE)</f>
        <v>4</v>
      </c>
      <c r="X647" s="1">
        <f>VLOOKUP($E647,'Product Naming'!$A$1:$P$58,7,FALSE)</f>
        <v>10</v>
      </c>
      <c r="Y647" s="1">
        <f>VLOOKUP($E647,'Product Naming'!$A$1:$P$58,8,FALSE)</f>
        <v>1</v>
      </c>
      <c r="Z647" s="1">
        <f>VLOOKUP($E647,'Product Naming'!$A$1:$P$58,9,FALSE)</f>
        <v>0</v>
      </c>
      <c r="AA647" s="1">
        <f>VLOOKUP($E647,'Product Naming'!$A$1:$P$58,10,FALSE)</f>
        <v>0</v>
      </c>
      <c r="AB647" s="29">
        <f>VLOOKUP($E647,'Product Naming'!$A$1:$P$58,11,FALSE)</f>
        <v>6</v>
      </c>
      <c r="AC647" s="3">
        <f>VLOOKUP($E647,'Product Naming'!$A$1:$P$58,12,FALSE)</f>
        <v>74.120199999999997</v>
      </c>
      <c r="AD647" s="1">
        <f>VLOOKUP($E647,'Product Naming'!$A$1:$P$58,13,FALSE)</f>
        <v>117.7</v>
      </c>
      <c r="AE647" s="1" t="str">
        <f>VLOOKUP($E647,'Product Naming'!$A$1:$P$58,14,FALSE)</f>
        <v>Alcohol</v>
      </c>
      <c r="AF647" s="1" t="str">
        <f>VLOOKUP($E647,'Product Naming'!$A$1:$P$58,15,FALSE)</f>
        <v>Acetyl-CoA</v>
      </c>
      <c r="AG647" s="30" t="str">
        <f>VLOOKUP($E647,'Product Naming'!$A$1:$P$58,16,FALSE)</f>
        <v>Proton symporter</v>
      </c>
      <c r="AH647" s="3" t="str">
        <f>VLOOKUP($E647,'Product Naming'!$A$1:$Q$58,17,FALSE)</f>
        <v>btoh_c</v>
      </c>
      <c r="AI647" s="1">
        <f>VLOOKUP($E647,'Product Parameters'!$A$2:$D$59,2,FALSE)</f>
        <v>1</v>
      </c>
      <c r="AJ647" s="1">
        <f>VLOOKUP($E647,'Product Parameters'!$A$2:$D$59,3,FALSE)</f>
        <v>0</v>
      </c>
      <c r="AK647" s="1">
        <f>VLOOKUP($E647,'Product Parameters'!$A$2:$D$59,4,FALSE)</f>
        <v>0.12</v>
      </c>
      <c r="AL647" s="1">
        <f>VLOOKUP($E647,'Product Parameters'!$A$2:$E$59,5,FALSE)</f>
        <v>52</v>
      </c>
      <c r="AM647" s="1">
        <f>VLOOKUP($E647,'Product Parameters'!$A$2:$F$59,6,FALSE)</f>
        <v>4</v>
      </c>
      <c r="AN647" s="1">
        <f>VLOOKUP($C647,'Substrate Heating'!$A$2:$C$33,3,FALSE)</f>
        <v>1020.8629199999999</v>
      </c>
      <c r="AO647" s="1">
        <f>VLOOKUP($C647,'Substrate Heating'!$A$2:$B$33,2,FALSE)</f>
        <v>17</v>
      </c>
      <c r="AP647" s="1">
        <f>VLOOKUP($C647,'Substrate Heating'!$A$2:$M$33,13,FALSE)</f>
        <v>4</v>
      </c>
      <c r="AQ647" s="1">
        <f>VLOOKUP($C647,'Substrate Heating'!$A$2:$M$33,8,FALSE)</f>
        <v>2</v>
      </c>
      <c r="AR647" s="1">
        <f t="shared" si="10"/>
        <v>0.5</v>
      </c>
    </row>
    <row r="648" spans="1:44" x14ac:dyDescent="0.2">
      <c r="A648" s="17" t="s">
        <v>185</v>
      </c>
      <c r="B648" s="9" t="s">
        <v>35</v>
      </c>
      <c r="C648" t="s">
        <v>349</v>
      </c>
      <c r="D648" s="25" t="s">
        <v>342</v>
      </c>
      <c r="E648" t="s">
        <v>259</v>
      </c>
      <c r="F648" t="s">
        <v>260</v>
      </c>
      <c r="G648">
        <v>-10</v>
      </c>
      <c r="H648">
        <v>-20</v>
      </c>
      <c r="I648" s="1" t="s">
        <v>40</v>
      </c>
      <c r="J648">
        <v>3.15</v>
      </c>
      <c r="K648">
        <v>-10</v>
      </c>
      <c r="L648">
        <v>-2.3891472868217098</v>
      </c>
      <c r="M648" s="1" t="s">
        <v>40</v>
      </c>
      <c r="N648">
        <v>15.9922480620155</v>
      </c>
      <c r="O648">
        <v>3.4007751937984501</v>
      </c>
      <c r="P648"/>
      <c r="Q648">
        <v>0.34007751937984498</v>
      </c>
      <c r="R648">
        <v>0.30859648474164803</v>
      </c>
      <c r="S648" s="1" t="str">
        <f>VLOOKUP($E648,'Product Naming'!$A$1:$P$58,2,FALSE)</f>
        <v>Limonene</v>
      </c>
      <c r="T648" s="1" t="str">
        <f>VLOOKUP($E648,'Product Naming'!$A$1:$P$58,3,FALSE)</f>
        <v>Limonene</v>
      </c>
      <c r="U648" s="1" t="str">
        <f>VLOOKUP($E648,'Product Naming'!$A$1:$P$58,4,FALSE)</f>
        <v>E</v>
      </c>
      <c r="V648" s="1" t="str">
        <f>VLOOKUP($E648,'Product Naming'!$A$1:$P$58,5,FALSE)</f>
        <v>C10H16</v>
      </c>
      <c r="W648" s="1">
        <f>VLOOKUP($E648,'Product Naming'!$A$1:$P$58,6,FALSE)</f>
        <v>10</v>
      </c>
      <c r="X648" s="1">
        <f>VLOOKUP($E648,'Product Naming'!$A$1:$P$58,7,FALSE)</f>
        <v>16</v>
      </c>
      <c r="Y648" s="1">
        <f>VLOOKUP($E648,'Product Naming'!$A$1:$P$58,8,FALSE)</f>
        <v>0</v>
      </c>
      <c r="Z648" s="1">
        <f>VLOOKUP($E648,'Product Naming'!$A$1:$P$58,9,FALSE)</f>
        <v>0</v>
      </c>
      <c r="AA648" s="1">
        <f>VLOOKUP($E648,'Product Naming'!$A$1:$P$58,10,FALSE)</f>
        <v>0</v>
      </c>
      <c r="AB648" s="29">
        <f>VLOOKUP($E648,'Product Naming'!$A$1:$P$58,11,FALSE)</f>
        <v>5.6</v>
      </c>
      <c r="AC648" s="3">
        <f>VLOOKUP($E648,'Product Naming'!$A$1:$P$58,12,FALSE)</f>
        <v>136.23244</v>
      </c>
      <c r="AD648" s="1">
        <f>VLOOKUP($E648,'Product Naming'!$A$1:$P$58,13,FALSE)</f>
        <v>176</v>
      </c>
      <c r="AE648" s="1" t="str">
        <f>VLOOKUP($E648,'Product Naming'!$A$1:$P$58,14,FALSE)</f>
        <v>Isoprenoid; Aromatic (Cycloalkane)</v>
      </c>
      <c r="AF648" s="1" t="str">
        <f>VLOOKUP($E648,'Product Naming'!$A$1:$P$58,15,FALSE)</f>
        <v>Acetyl-CoA</v>
      </c>
      <c r="AG648" s="30" t="str">
        <f>VLOOKUP($E648,'Product Naming'!$A$1:$P$58,16,FALSE)</f>
        <v>Proton symporter</v>
      </c>
      <c r="AH648" s="3" t="str">
        <f>VLOOKUP($E648,'Product Naming'!$A$1:$Q$58,17,FALSE)</f>
        <v>limnen_c</v>
      </c>
      <c r="AI648" s="1">
        <f>VLOOKUP($E648,'Product Parameters'!$A$2:$D$59,2,FALSE)</f>
        <v>1</v>
      </c>
      <c r="AJ648" s="1">
        <f>VLOOKUP($E648,'Product Parameters'!$A$2:$D$59,3,FALSE)</f>
        <v>0</v>
      </c>
      <c r="AK648" s="1">
        <f>VLOOKUP($E648,'Product Parameters'!$A$2:$D$59,4,FALSE)</f>
        <v>0.12</v>
      </c>
      <c r="AL648" s="1">
        <f>VLOOKUP($E648,'Product Parameters'!$A$2:$E$59,5,FALSE)</f>
        <v>49.5</v>
      </c>
      <c r="AM648" s="1">
        <f>VLOOKUP($E648,'Product Parameters'!$A$2:$F$59,6,FALSE)</f>
        <v>10</v>
      </c>
      <c r="AN648" s="1">
        <f>VLOOKUP($C648,'Substrate Heating'!$A$2:$C$33,3,FALSE)</f>
        <v>2342.0279999999998</v>
      </c>
      <c r="AO648" s="1">
        <f>VLOOKUP($C648,'Substrate Heating'!$A$2:$B$33,2,FALSE)</f>
        <v>15.6</v>
      </c>
      <c r="AP648" s="1">
        <f>VLOOKUP($C648,'Substrate Heating'!$A$2:$M$33,13,FALSE)</f>
        <v>4</v>
      </c>
      <c r="AQ648" s="1">
        <f>VLOOKUP($C648,'Substrate Heating'!$A$2:$M$33,8,FALSE)</f>
        <v>5</v>
      </c>
      <c r="AR648" s="1">
        <f t="shared" si="10"/>
        <v>0.68015503875968997</v>
      </c>
    </row>
    <row r="649" spans="1:44" x14ac:dyDescent="0.2">
      <c r="A649" s="8" t="s">
        <v>34</v>
      </c>
      <c r="B649" s="9" t="s">
        <v>35</v>
      </c>
      <c r="C649" s="1" t="s">
        <v>344</v>
      </c>
      <c r="D649" s="10" t="s">
        <v>37</v>
      </c>
      <c r="E649" s="1" t="s">
        <v>291</v>
      </c>
      <c r="F649" s="1" t="s">
        <v>292</v>
      </c>
      <c r="G649" s="1">
        <v>-10</v>
      </c>
      <c r="H649" s="1">
        <v>-20</v>
      </c>
      <c r="I649" s="1" t="s">
        <v>40</v>
      </c>
      <c r="J649" s="1">
        <v>3.15</v>
      </c>
      <c r="K649" s="1">
        <v>-10</v>
      </c>
      <c r="L649" s="1">
        <v>-4.1183206106870198</v>
      </c>
      <c r="M649" s="1" t="s">
        <v>40</v>
      </c>
      <c r="N649" s="1">
        <v>9.4122137404580197</v>
      </c>
      <c r="O649" s="1">
        <v>2.1175572519084001</v>
      </c>
      <c r="Q649" s="1">
        <v>0.21175572519083999</v>
      </c>
      <c r="R649" s="1">
        <v>0.31082300291401399</v>
      </c>
      <c r="S649" s="1" t="str">
        <f>VLOOKUP($E649,'Product Naming'!$A$1:$P$58,2,FALSE)</f>
        <v>Pentanol-PW1</v>
      </c>
      <c r="T649" s="1" t="str">
        <f>VLOOKUP($E649,'Product Naming'!$A$1:$P$58,3,FALSE)</f>
        <v>Pentanol (PW1)</v>
      </c>
      <c r="U649" s="1" t="str">
        <f>VLOOKUP($E649,'Product Naming'!$A$1:$P$58,4,FALSE)</f>
        <v>E</v>
      </c>
      <c r="V649" s="1" t="str">
        <f>VLOOKUP($E649,'Product Naming'!$A$1:$P$58,5,FALSE)</f>
        <v>C5H12O</v>
      </c>
      <c r="W649" s="1">
        <f>VLOOKUP($E649,'Product Naming'!$A$1:$P$58,6,FALSE)</f>
        <v>5</v>
      </c>
      <c r="X649" s="1">
        <f>VLOOKUP($E649,'Product Naming'!$A$1:$P$58,7,FALSE)</f>
        <v>12</v>
      </c>
      <c r="Y649" s="1">
        <f>VLOOKUP($E649,'Product Naming'!$A$1:$P$58,8,FALSE)</f>
        <v>1</v>
      </c>
      <c r="Z649" s="1">
        <f>VLOOKUP($E649,'Product Naming'!$A$1:$P$58,9,FALSE)</f>
        <v>0</v>
      </c>
      <c r="AA649" s="1">
        <f>VLOOKUP($E649,'Product Naming'!$A$1:$P$58,10,FALSE)</f>
        <v>0</v>
      </c>
      <c r="AB649" s="29">
        <f>VLOOKUP($E649,'Product Naming'!$A$1:$P$58,11,FALSE)</f>
        <v>6</v>
      </c>
      <c r="AC649" s="3">
        <f>VLOOKUP($E649,'Product Naming'!$A$1:$P$58,12,FALSE)</f>
        <v>88.14658</v>
      </c>
      <c r="AD649" s="1">
        <f>VLOOKUP($E649,'Product Naming'!$A$1:$P$58,13,FALSE)</f>
        <v>138</v>
      </c>
      <c r="AE649" s="1" t="str">
        <f>VLOOKUP($E649,'Product Naming'!$A$1:$P$58,14,FALSE)</f>
        <v>Alcohol</v>
      </c>
      <c r="AF649" s="1" t="str">
        <f>VLOOKUP($E649,'Product Naming'!$A$1:$P$58,15,FALSE)</f>
        <v>Acetyl-CoA + Succinyl-CoA</v>
      </c>
      <c r="AG649" s="30" t="str">
        <f>VLOOKUP($E649,'Product Naming'!$A$1:$P$58,16,FALSE)</f>
        <v>Proton symporter</v>
      </c>
      <c r="AH649" s="3" t="str">
        <f>VLOOKUP($E649,'Product Naming'!$A$1:$Q$58,17,FALSE)</f>
        <v>pentoh_c</v>
      </c>
      <c r="AI649" s="1">
        <f>VLOOKUP($E649,'Product Parameters'!$A$2:$D$59,2,FALSE)</f>
        <v>1</v>
      </c>
      <c r="AJ649" s="1">
        <f>VLOOKUP($E649,'Product Parameters'!$A$2:$D$59,3,FALSE)</f>
        <v>0</v>
      </c>
      <c r="AK649" s="1">
        <f>VLOOKUP($E649,'Product Parameters'!$A$2:$D$59,4,FALSE)</f>
        <v>0.12</v>
      </c>
      <c r="AL649" s="1">
        <f>VLOOKUP($E649,'Product Parameters'!$A$2:$E$59,5,FALSE)</f>
        <v>57</v>
      </c>
      <c r="AM649" s="1">
        <f>VLOOKUP($E649,'Product Parameters'!$A$2:$F$59,6,FALSE)</f>
        <v>5</v>
      </c>
      <c r="AN649" s="1">
        <f>VLOOKUP($C649,'Substrate Heating'!$A$2:$C$33,3,FALSE)</f>
        <v>1020.8629199999999</v>
      </c>
      <c r="AO649" s="1">
        <f>VLOOKUP($C649,'Substrate Heating'!$A$2:$B$33,2,FALSE)</f>
        <v>17</v>
      </c>
      <c r="AP649" s="1">
        <f>VLOOKUP($C649,'Substrate Heating'!$A$2:$M$33,13,FALSE)</f>
        <v>4</v>
      </c>
      <c r="AQ649" s="1">
        <f>VLOOKUP($C649,'Substrate Heating'!$A$2:$M$33,8,FALSE)</f>
        <v>2</v>
      </c>
      <c r="AR649" s="1">
        <f t="shared" si="10"/>
        <v>0.52938931297710001</v>
      </c>
    </row>
    <row r="650" spans="1:44" x14ac:dyDescent="0.2">
      <c r="A650" s="17" t="s">
        <v>323</v>
      </c>
      <c r="B650" s="18" t="s">
        <v>324</v>
      </c>
      <c r="C650" t="s">
        <v>325</v>
      </c>
      <c r="D650" s="19" t="s">
        <v>326</v>
      </c>
      <c r="E650" t="s">
        <v>171</v>
      </c>
      <c r="F650" t="s">
        <v>172</v>
      </c>
      <c r="G650">
        <v>-10</v>
      </c>
      <c r="H650">
        <v>0</v>
      </c>
      <c r="I650">
        <v>0</v>
      </c>
      <c r="J650">
        <v>0.45</v>
      </c>
      <c r="K650">
        <v>-10</v>
      </c>
      <c r="L650">
        <v>0</v>
      </c>
      <c r="M650">
        <v>0</v>
      </c>
      <c r="N650">
        <v>6</v>
      </c>
      <c r="O650">
        <v>1</v>
      </c>
      <c r="P650"/>
      <c r="Q650">
        <v>0.1</v>
      </c>
      <c r="R650">
        <v>0.31094494823277402</v>
      </c>
      <c r="S650" s="1" t="str">
        <f>VLOOKUP($E650,'Product Naming'!$A$1:$P$58,2,FALSE)</f>
        <v>Butyrate</v>
      </c>
      <c r="T650" s="1" t="str">
        <f>VLOOKUP($E650,'Product Naming'!$A$1:$P$58,3,FALSE)</f>
        <v>Butyrate</v>
      </c>
      <c r="U650" s="1" t="str">
        <f>VLOOKUP($E650,'Product Naming'!$A$1:$P$58,4,FALSE)</f>
        <v>A</v>
      </c>
      <c r="V650" s="1" t="str">
        <f>VLOOKUP($E650,'Product Naming'!$A$1:$P$58,5,FALSE)</f>
        <v>C4H7O2</v>
      </c>
      <c r="W650" s="1">
        <f>VLOOKUP($E650,'Product Naming'!$A$1:$P$58,6,FALSE)</f>
        <v>4</v>
      </c>
      <c r="X650" s="1">
        <f>VLOOKUP($E650,'Product Naming'!$A$1:$P$58,7,FALSE)</f>
        <v>7</v>
      </c>
      <c r="Y650" s="1">
        <f>VLOOKUP($E650,'Product Naming'!$A$1:$P$58,8,FALSE)</f>
        <v>2</v>
      </c>
      <c r="Z650" s="1">
        <f>VLOOKUP($E650,'Product Naming'!$A$1:$P$58,9,FALSE)</f>
        <v>0</v>
      </c>
      <c r="AA650" s="1">
        <f>VLOOKUP($E650,'Product Naming'!$A$1:$P$58,10,FALSE)</f>
        <v>-1</v>
      </c>
      <c r="AB650" s="29">
        <f>VLOOKUP($E650,'Product Naming'!$A$1:$P$58,11,FALSE)</f>
        <v>4.75</v>
      </c>
      <c r="AC650" s="3">
        <f>VLOOKUP($E650,'Product Naming'!$A$1:$P$58,12,FALSE)</f>
        <v>87.095680000000002</v>
      </c>
      <c r="AD650" s="1">
        <f>VLOOKUP($E650,'Product Naming'!$A$1:$P$58,13,FALSE)</f>
        <v>163.5</v>
      </c>
      <c r="AE650" s="1" t="str">
        <f>VLOOKUP($E650,'Product Naming'!$A$1:$P$58,14,FALSE)</f>
        <v>Carboxylate</v>
      </c>
      <c r="AF650" s="1" t="str">
        <f>VLOOKUP($E650,'Product Naming'!$A$1:$P$58,15,FALSE)</f>
        <v>Acetyl-CoA</v>
      </c>
      <c r="AG650" s="30" t="str">
        <f>VLOOKUP($E650,'Product Naming'!$A$1:$P$58,16,FALSE)</f>
        <v>Proton symporter</v>
      </c>
      <c r="AH650" s="3" t="str">
        <f>VLOOKUP($E650,'Product Naming'!$A$1:$Q$58,17,FALSE)</f>
        <v>but_c</v>
      </c>
      <c r="AI650" s="1">
        <f>VLOOKUP($E650,'Product Parameters'!$A$2:$D$59,2,FALSE)</f>
        <v>1</v>
      </c>
      <c r="AJ650" s="1">
        <f>VLOOKUP($E650,'Product Parameters'!$A$2:$D$59,3,FALSE)</f>
        <v>0</v>
      </c>
      <c r="AK650" s="1">
        <f>VLOOKUP($E650,'Product Parameters'!$A$2:$D$59,4,FALSE)</f>
        <v>0.12</v>
      </c>
      <c r="AL650" s="1">
        <f>VLOOKUP($E650,'Product Parameters'!$A$2:$E$59,5,FALSE)</f>
        <v>42</v>
      </c>
      <c r="AM650" s="1">
        <f>VLOOKUP($E650,'Product Parameters'!$A$2:$F$59,6,FALSE)</f>
        <v>4</v>
      </c>
      <c r="AN650" s="1">
        <f>VLOOKUP($C650,'Substrate Heating'!$A$2:$C$33,3,FALSE)</f>
        <v>280.09700000000004</v>
      </c>
      <c r="AO650" s="1">
        <f>VLOOKUP($C650,'Substrate Heating'!$A$2:$B$33,2,FALSE)</f>
        <v>10</v>
      </c>
      <c r="AP650" s="1">
        <f>VLOOKUP($C650,'Substrate Heating'!$A$2:$M$33,13,FALSE)</f>
        <v>2</v>
      </c>
      <c r="AQ650" s="1">
        <f>VLOOKUP($C650,'Substrate Heating'!$A$2:$M$33,8,FALSE)</f>
        <v>1</v>
      </c>
      <c r="AR650" s="1">
        <f t="shared" si="10"/>
        <v>0.4</v>
      </c>
    </row>
    <row r="651" spans="1:44" x14ac:dyDescent="0.2">
      <c r="A651" s="17" t="s">
        <v>323</v>
      </c>
      <c r="B651" s="18" t="s">
        <v>324</v>
      </c>
      <c r="C651" t="s">
        <v>325</v>
      </c>
      <c r="D651" s="19" t="s">
        <v>326</v>
      </c>
      <c r="E651" t="s">
        <v>244</v>
      </c>
      <c r="F651" t="s">
        <v>245</v>
      </c>
      <c r="G651">
        <v>-10</v>
      </c>
      <c r="H651">
        <v>0</v>
      </c>
      <c r="I651">
        <v>0</v>
      </c>
      <c r="J651">
        <v>0.45</v>
      </c>
      <c r="K651">
        <v>-10</v>
      </c>
      <c r="L651">
        <v>0</v>
      </c>
      <c r="M651">
        <v>0</v>
      </c>
      <c r="N651">
        <v>6</v>
      </c>
      <c r="O651">
        <v>0.999999999999999</v>
      </c>
      <c r="P651"/>
      <c r="Q651">
        <v>0.1</v>
      </c>
      <c r="R651">
        <v>0.31094494823277402</v>
      </c>
      <c r="S651" s="1" t="str">
        <f>VLOOKUP($E651,'Product Naming'!$A$1:$P$58,2,FALSE)</f>
        <v>Isobutyrate</v>
      </c>
      <c r="T651" s="1" t="str">
        <f>VLOOKUP($E651,'Product Naming'!$A$1:$P$58,3,FALSE)</f>
        <v>Isobutyrate</v>
      </c>
      <c r="U651" s="1" t="str">
        <f>VLOOKUP($E651,'Product Naming'!$A$1:$P$58,4,FALSE)</f>
        <v>A</v>
      </c>
      <c r="V651" s="1" t="str">
        <f>VLOOKUP($E651,'Product Naming'!$A$1:$P$58,5,FALSE)</f>
        <v>C4H7O2</v>
      </c>
      <c r="W651" s="1">
        <f>VLOOKUP($E651,'Product Naming'!$A$1:$P$58,6,FALSE)</f>
        <v>4</v>
      </c>
      <c r="X651" s="1">
        <f>VLOOKUP($E651,'Product Naming'!$A$1:$P$58,7,FALSE)</f>
        <v>7</v>
      </c>
      <c r="Y651" s="1">
        <f>VLOOKUP($E651,'Product Naming'!$A$1:$P$58,8,FALSE)</f>
        <v>2</v>
      </c>
      <c r="Z651" s="1">
        <f>VLOOKUP($E651,'Product Naming'!$A$1:$P$58,9,FALSE)</f>
        <v>0</v>
      </c>
      <c r="AA651" s="1">
        <f>VLOOKUP($E651,'Product Naming'!$A$1:$P$58,10,FALSE)</f>
        <v>-1</v>
      </c>
      <c r="AB651" s="29">
        <f>VLOOKUP($E651,'Product Naming'!$A$1:$P$58,11,FALSE)</f>
        <v>4.75</v>
      </c>
      <c r="AC651" s="3">
        <f>VLOOKUP($E651,'Product Naming'!$A$1:$P$58,12,FALSE)</f>
        <v>87.095680000000002</v>
      </c>
      <c r="AD651" s="1">
        <f>VLOOKUP($E651,'Product Naming'!$A$1:$P$58,13,FALSE)</f>
        <v>155</v>
      </c>
      <c r="AE651" s="1" t="str">
        <f>VLOOKUP($E651,'Product Naming'!$A$1:$P$58,14,FALSE)</f>
        <v>Carboxylate</v>
      </c>
      <c r="AF651" s="1" t="str">
        <f>VLOOKUP($E651,'Product Naming'!$A$1:$P$58,15,FALSE)</f>
        <v>Pyruvate</v>
      </c>
      <c r="AG651" s="30" t="str">
        <f>VLOOKUP($E651,'Product Naming'!$A$1:$P$58,16,FALSE)</f>
        <v>Proton symporter</v>
      </c>
      <c r="AH651" s="3" t="str">
        <f>VLOOKUP($E651,'Product Naming'!$A$1:$Q$58,17,FALSE)</f>
        <v>ibt_c</v>
      </c>
      <c r="AI651" s="1">
        <f>VLOOKUP($E651,'Product Parameters'!$A$2:$D$59,2,FALSE)</f>
        <v>1</v>
      </c>
      <c r="AJ651" s="1">
        <f>VLOOKUP($E651,'Product Parameters'!$A$2:$D$59,3,FALSE)</f>
        <v>0</v>
      </c>
      <c r="AK651" s="1">
        <f>VLOOKUP($E651,'Product Parameters'!$A$2:$D$59,4,FALSE)</f>
        <v>0.12</v>
      </c>
      <c r="AL651" s="1">
        <f>VLOOKUP($E651,'Product Parameters'!$A$2:$E$59,5,FALSE)</f>
        <v>44.5</v>
      </c>
      <c r="AM651" s="1">
        <f>VLOOKUP($E651,'Product Parameters'!$A$2:$F$59,6,FALSE)</f>
        <v>4</v>
      </c>
      <c r="AN651" s="1">
        <f>VLOOKUP($C651,'Substrate Heating'!$A$2:$C$33,3,FALSE)</f>
        <v>280.09700000000004</v>
      </c>
      <c r="AO651" s="1">
        <f>VLOOKUP($C651,'Substrate Heating'!$A$2:$B$33,2,FALSE)</f>
        <v>10</v>
      </c>
      <c r="AP651" s="1">
        <f>VLOOKUP($C651,'Substrate Heating'!$A$2:$M$33,13,FALSE)</f>
        <v>2</v>
      </c>
      <c r="AQ651" s="1">
        <f>VLOOKUP($C651,'Substrate Heating'!$A$2:$M$33,8,FALSE)</f>
        <v>1</v>
      </c>
      <c r="AR651" s="1">
        <f t="shared" si="10"/>
        <v>0.4</v>
      </c>
    </row>
    <row r="652" spans="1:44" x14ac:dyDescent="0.2">
      <c r="A652" s="8" t="s">
        <v>34</v>
      </c>
      <c r="B652" s="9" t="s">
        <v>35</v>
      </c>
      <c r="C652" s="1" t="s">
        <v>341</v>
      </c>
      <c r="D652" s="24" t="s">
        <v>342</v>
      </c>
      <c r="E652" s="1" t="s">
        <v>247</v>
      </c>
      <c r="F652" s="1" t="s">
        <v>248</v>
      </c>
      <c r="G652" s="1">
        <v>-10</v>
      </c>
      <c r="H652" s="1">
        <v>-20</v>
      </c>
      <c r="I652" s="1" t="s">
        <v>40</v>
      </c>
      <c r="J652" s="1">
        <v>3.15</v>
      </c>
      <c r="K652" s="1">
        <v>-10</v>
      </c>
      <c r="L652" s="1">
        <v>-2.3027027027027098</v>
      </c>
      <c r="M652" s="1" t="s">
        <v>40</v>
      </c>
      <c r="N652" s="1">
        <v>18.787644787644801</v>
      </c>
      <c r="O652" s="1">
        <v>8.2424710424710401</v>
      </c>
      <c r="Q652" s="1">
        <v>0.82424710424710401</v>
      </c>
      <c r="R652" s="1">
        <v>0.31165077170968197</v>
      </c>
      <c r="S652" s="1" t="str">
        <f>VLOOKUP($E652,'Product Naming'!$A$1:$P$58,2,FALSE)</f>
        <v>Isoprene</v>
      </c>
      <c r="T652" s="1" t="str">
        <f>VLOOKUP($E652,'Product Naming'!$A$1:$P$58,3,FALSE)</f>
        <v>Isoprene</v>
      </c>
      <c r="U652" s="1" t="str">
        <f>VLOOKUP($E652,'Product Naming'!$A$1:$P$58,4,FALSE)</f>
        <v>E</v>
      </c>
      <c r="V652" s="1" t="str">
        <f>VLOOKUP($E652,'Product Naming'!$A$1:$P$58,5,FALSE)</f>
        <v>C5H8</v>
      </c>
      <c r="W652" s="1">
        <f>VLOOKUP($E652,'Product Naming'!$A$1:$P$58,6,FALSE)</f>
        <v>5</v>
      </c>
      <c r="X652" s="1">
        <f>VLOOKUP($E652,'Product Naming'!$A$1:$P$58,7,FALSE)</f>
        <v>8</v>
      </c>
      <c r="Y652" s="1">
        <f>VLOOKUP($E652,'Product Naming'!$A$1:$P$58,8,FALSE)</f>
        <v>0</v>
      </c>
      <c r="Z652" s="1">
        <f>VLOOKUP($E652,'Product Naming'!$A$1:$P$58,9,FALSE)</f>
        <v>0</v>
      </c>
      <c r="AA652" s="1">
        <f>VLOOKUP($E652,'Product Naming'!$A$1:$P$58,10,FALSE)</f>
        <v>0</v>
      </c>
      <c r="AB652" s="29">
        <f>VLOOKUP($E652,'Product Naming'!$A$1:$P$58,11,FALSE)</f>
        <v>5.6</v>
      </c>
      <c r="AC652" s="3">
        <f>VLOOKUP($E652,'Product Naming'!$A$1:$P$58,12,FALSE)</f>
        <v>68.116219999999998</v>
      </c>
      <c r="AD652" s="1">
        <f>VLOOKUP($E652,'Product Naming'!$A$1:$P$58,13,FALSE)</f>
        <v>34.07</v>
      </c>
      <c r="AE652" s="1" t="str">
        <f>VLOOKUP($E652,'Product Naming'!$A$1:$P$58,14,FALSE)</f>
        <v>Hydrocarbon</v>
      </c>
      <c r="AF652" s="1" t="str">
        <f>VLOOKUP($E652,'Product Naming'!$A$1:$P$58,15,FALSE)</f>
        <v>Acetyl-CoA</v>
      </c>
      <c r="AG652" s="30" t="str">
        <f>VLOOKUP($E652,'Product Naming'!$A$1:$P$58,16,FALSE)</f>
        <v>Diffusion</v>
      </c>
      <c r="AH652" s="3" t="str">
        <f>VLOOKUP($E652,'Product Naming'!$A$1:$Q$58,17,FALSE)</f>
        <v>iprene_c</v>
      </c>
      <c r="AI652" s="1">
        <f>VLOOKUP($E652,'Product Parameters'!$A$2:$D$59,2,FALSE)</f>
        <v>0</v>
      </c>
      <c r="AJ652" s="1">
        <f>VLOOKUP($E652,'Product Parameters'!$A$2:$D$59,3,FALSE)</f>
        <v>1</v>
      </c>
      <c r="AK652" s="1">
        <f>VLOOKUP($E652,'Product Parameters'!$A$2:$D$59,4,FALSE)</f>
        <v>0.12</v>
      </c>
      <c r="AL652" s="1">
        <f>VLOOKUP($E652,'Product Parameters'!$A$2:$E$59,5,FALSE)</f>
        <v>26.4</v>
      </c>
      <c r="AM652" s="1">
        <f>VLOOKUP($E652,'Product Parameters'!$A$2:$F$59,6,FALSE)</f>
        <v>5</v>
      </c>
      <c r="AN652" s="1">
        <f>VLOOKUP($C652,'Substrate Heating'!$A$2:$C$33,3,FALSE)</f>
        <v>2828.4492</v>
      </c>
      <c r="AO652" s="1">
        <f>VLOOKUP($C652,'Substrate Heating'!$A$2:$B$33,2,FALSE)</f>
        <v>15.7</v>
      </c>
      <c r="AP652" s="1">
        <f>VLOOKUP($C652,'Substrate Heating'!$A$2:$M$33,13,FALSE)</f>
        <v>4</v>
      </c>
      <c r="AQ652" s="1">
        <f>VLOOKUP($C652,'Substrate Heating'!$A$2:$M$33,8,FALSE)</f>
        <v>6</v>
      </c>
      <c r="AR652" s="1">
        <f t="shared" si="10"/>
        <v>0.68687258687258668</v>
      </c>
    </row>
    <row r="653" spans="1:44" x14ac:dyDescent="0.2">
      <c r="A653" s="8" t="s">
        <v>34</v>
      </c>
      <c r="B653" s="9" t="s">
        <v>35</v>
      </c>
      <c r="C653" s="1" t="s">
        <v>341</v>
      </c>
      <c r="D653" s="24" t="s">
        <v>342</v>
      </c>
      <c r="E653" s="1" t="s">
        <v>204</v>
      </c>
      <c r="F653" s="1" t="s">
        <v>205</v>
      </c>
      <c r="G653" s="1">
        <v>-10</v>
      </c>
      <c r="H653" s="1">
        <v>-20</v>
      </c>
      <c r="I653" s="1" t="s">
        <v>40</v>
      </c>
      <c r="J653" s="1">
        <v>3.15</v>
      </c>
      <c r="K653" s="1">
        <v>-10</v>
      </c>
      <c r="L653" s="1">
        <v>-2.1538064516129101</v>
      </c>
      <c r="M653" s="1" t="s">
        <v>40</v>
      </c>
      <c r="N653" s="1">
        <v>18.681290322580601</v>
      </c>
      <c r="O653" s="1">
        <v>2.75458064516129</v>
      </c>
      <c r="Q653" s="1">
        <v>0.27545806451612898</v>
      </c>
      <c r="R653" s="1">
        <v>0.31245503176570699</v>
      </c>
      <c r="S653" s="1" t="str">
        <f>VLOOKUP($E653,'Product Naming'!$A$1:$P$58,2,FALSE)</f>
        <v>Farnesene</v>
      </c>
      <c r="T653" s="1" t="str">
        <f>VLOOKUP($E653,'Product Naming'!$A$1:$P$58,3,FALSE)</f>
        <v>Farnesene</v>
      </c>
      <c r="U653" s="1" t="str">
        <f>VLOOKUP($E653,'Product Naming'!$A$1:$P$58,4,FALSE)</f>
        <v>A</v>
      </c>
      <c r="V653" s="1" t="str">
        <f>VLOOKUP($E653,'Product Naming'!$A$1:$P$58,5,FALSE)</f>
        <v>C15H24</v>
      </c>
      <c r="W653" s="1">
        <f>VLOOKUP($E653,'Product Naming'!$A$1:$P$58,6,FALSE)</f>
        <v>15</v>
      </c>
      <c r="X653" s="1">
        <f>VLOOKUP($E653,'Product Naming'!$A$1:$P$58,7,FALSE)</f>
        <v>24</v>
      </c>
      <c r="Y653" s="1">
        <f>VLOOKUP($E653,'Product Naming'!$A$1:$P$58,8,FALSE)</f>
        <v>0</v>
      </c>
      <c r="Z653" s="1">
        <f>VLOOKUP($E653,'Product Naming'!$A$1:$P$58,9,FALSE)</f>
        <v>0</v>
      </c>
      <c r="AA653" s="1">
        <f>VLOOKUP($E653,'Product Naming'!$A$1:$P$58,10,FALSE)</f>
        <v>0</v>
      </c>
      <c r="AB653" s="29">
        <f>VLOOKUP($E653,'Product Naming'!$A$1:$P$58,11,FALSE)</f>
        <v>5.6</v>
      </c>
      <c r="AC653" s="3">
        <f>VLOOKUP($E653,'Product Naming'!$A$1:$P$58,12,FALSE)</f>
        <v>204.34866000000002</v>
      </c>
      <c r="AD653" s="1" t="str">
        <f>VLOOKUP($E653,'Product Naming'!$A$1:$P$58,13,FALSE)</f>
        <v>260 (A)/272 (B)</v>
      </c>
      <c r="AE653" s="1" t="str">
        <f>VLOOKUP($E653,'Product Naming'!$A$1:$P$58,14,FALSE)</f>
        <v>Hydrocarbon</v>
      </c>
      <c r="AF653" s="1" t="str">
        <f>VLOOKUP($E653,'Product Naming'!$A$1:$P$58,15,FALSE)</f>
        <v>Acetyl-CoA</v>
      </c>
      <c r="AG653" s="30" t="str">
        <f>VLOOKUP($E653,'Product Naming'!$A$1:$P$58,16,FALSE)</f>
        <v>Proton symporter</v>
      </c>
      <c r="AH653" s="3" t="str">
        <f>VLOOKUP($E653,'Product Naming'!$A$1:$Q$58,17,FALSE)</f>
        <v>frene_c</v>
      </c>
      <c r="AI653" s="1">
        <f>VLOOKUP($E653,'Product Parameters'!$A$2:$D$59,2,FALSE)</f>
        <v>1</v>
      </c>
      <c r="AJ653" s="1">
        <f>VLOOKUP($E653,'Product Parameters'!$A$2:$D$59,3,FALSE)</f>
        <v>0</v>
      </c>
      <c r="AK653" s="1">
        <f>VLOOKUP($E653,'Product Parameters'!$A$2:$D$59,4,FALSE)</f>
        <v>0.12</v>
      </c>
      <c r="AL653" s="1">
        <f>VLOOKUP($E653,'Product Parameters'!$A$2:$E$59,5,FALSE)</f>
        <v>0</v>
      </c>
      <c r="AM653" s="1">
        <f>VLOOKUP($E653,'Product Parameters'!$A$2:$F$59,6,FALSE)</f>
        <v>15</v>
      </c>
      <c r="AN653" s="1">
        <f>VLOOKUP($C653,'Substrate Heating'!$A$2:$C$33,3,FALSE)</f>
        <v>2828.4492</v>
      </c>
      <c r="AO653" s="1">
        <f>VLOOKUP($C653,'Substrate Heating'!$A$2:$B$33,2,FALSE)</f>
        <v>15.7</v>
      </c>
      <c r="AP653" s="1">
        <f>VLOOKUP($C653,'Substrate Heating'!$A$2:$M$33,13,FALSE)</f>
        <v>4</v>
      </c>
      <c r="AQ653" s="1">
        <f>VLOOKUP($C653,'Substrate Heating'!$A$2:$M$33,8,FALSE)</f>
        <v>6</v>
      </c>
      <c r="AR653" s="1">
        <f t="shared" si="10"/>
        <v>0.68864516129032249</v>
      </c>
    </row>
    <row r="654" spans="1:44" x14ac:dyDescent="0.2">
      <c r="A654" s="8" t="s">
        <v>34</v>
      </c>
      <c r="B654" s="9" t="s">
        <v>35</v>
      </c>
      <c r="C654" s="1" t="s">
        <v>343</v>
      </c>
      <c r="D654" s="24" t="s">
        <v>342</v>
      </c>
      <c r="E654" s="1" t="s">
        <v>301</v>
      </c>
      <c r="F654" s="1" t="s">
        <v>302</v>
      </c>
      <c r="G654" s="1">
        <v>-10</v>
      </c>
      <c r="H654" s="1">
        <v>-20</v>
      </c>
      <c r="I654" s="1" t="s">
        <v>40</v>
      </c>
      <c r="J654" s="1">
        <v>3.15</v>
      </c>
      <c r="K654" s="1">
        <v>-10</v>
      </c>
      <c r="L654" s="1">
        <v>-2.3534482758620601</v>
      </c>
      <c r="M654" s="1" t="s">
        <v>40</v>
      </c>
      <c r="N654" s="1">
        <v>10.4120689655172</v>
      </c>
      <c r="O654" s="1">
        <v>6.5293103448275902</v>
      </c>
      <c r="Q654" s="1">
        <v>0.65293103448275902</v>
      </c>
      <c r="R654" s="1">
        <v>0.31262549906096898</v>
      </c>
      <c r="S654" s="1" t="str">
        <f>VLOOKUP($E654,'Product Naming'!$A$1:$P$58,2,FALSE)</f>
        <v>Propane-PW1</v>
      </c>
      <c r="T654" s="1" t="str">
        <f>VLOOKUP($E654,'Product Naming'!$A$1:$P$58,3,FALSE)</f>
        <v>Propane (PW1)</v>
      </c>
      <c r="U654" s="1" t="str">
        <f>VLOOKUP($E654,'Product Naming'!$A$1:$P$58,4,FALSE)</f>
        <v>E</v>
      </c>
      <c r="V654" s="1" t="str">
        <f>VLOOKUP($E654,'Product Naming'!$A$1:$P$58,5,FALSE)</f>
        <v>C3H8</v>
      </c>
      <c r="W654" s="1">
        <f>VLOOKUP($E654,'Product Naming'!$A$1:$P$58,6,FALSE)</f>
        <v>3</v>
      </c>
      <c r="X654" s="1">
        <f>VLOOKUP($E654,'Product Naming'!$A$1:$P$58,7,FALSE)</f>
        <v>8</v>
      </c>
      <c r="Y654" s="1">
        <f>VLOOKUP($E654,'Product Naming'!$A$1:$P$58,8,FALSE)</f>
        <v>0</v>
      </c>
      <c r="Z654" s="1">
        <f>VLOOKUP($E654,'Product Naming'!$A$1:$P$58,9,FALSE)</f>
        <v>0</v>
      </c>
      <c r="AA654" s="1">
        <f>VLOOKUP($E654,'Product Naming'!$A$1:$P$58,10,FALSE)</f>
        <v>0</v>
      </c>
      <c r="AB654" s="29">
        <f>VLOOKUP($E654,'Product Naming'!$A$1:$P$58,11,FALSE)</f>
        <v>6.666666666666667</v>
      </c>
      <c r="AC654" s="3">
        <f>VLOOKUP($E654,'Product Naming'!$A$1:$P$58,12,FALSE)</f>
        <v>44.094819999999999</v>
      </c>
      <c r="AD654" s="1">
        <f>VLOOKUP($E654,'Product Naming'!$A$1:$P$58,13,FALSE)</f>
        <v>-42</v>
      </c>
      <c r="AE654" s="1" t="str">
        <f>VLOOKUP($E654,'Product Naming'!$A$1:$P$58,14,FALSE)</f>
        <v>Hydrocarbon</v>
      </c>
      <c r="AF654" s="1" t="str">
        <f>VLOOKUP($E654,'Product Naming'!$A$1:$P$58,15,FALSE)</f>
        <v>Acetyl-CoA</v>
      </c>
      <c r="AG654" s="30" t="str">
        <f>VLOOKUP($E654,'Product Naming'!$A$1:$P$58,16,FALSE)</f>
        <v>Diffusion</v>
      </c>
      <c r="AH654" s="3" t="str">
        <f>VLOOKUP($E654,'Product Naming'!$A$1:$Q$58,17,FALSE)</f>
        <v>prop_c</v>
      </c>
      <c r="AI654" s="1">
        <f>VLOOKUP($E654,'Product Parameters'!$A$2:$D$59,2,FALSE)</f>
        <v>0</v>
      </c>
      <c r="AJ654" s="1">
        <f>VLOOKUP($E654,'Product Parameters'!$A$2:$D$59,3,FALSE)</f>
        <v>1</v>
      </c>
      <c r="AK654" s="1">
        <f>VLOOKUP($E654,'Product Parameters'!$A$2:$D$59,4,FALSE)</f>
        <v>0.12</v>
      </c>
      <c r="AL654" s="1">
        <f>VLOOKUP($E654,'Product Parameters'!$A$2:$E$59,5,FALSE)</f>
        <v>0</v>
      </c>
      <c r="AM654" s="1">
        <f>VLOOKUP($E654,'Product Parameters'!$A$2:$F$59,6,FALSE)</f>
        <v>3</v>
      </c>
      <c r="AN654" s="1">
        <f>VLOOKUP($C654,'Substrate Heating'!$A$2:$C$33,3,FALSE)</f>
        <v>1648.4793779999998</v>
      </c>
      <c r="AO654" s="1">
        <f>VLOOKUP($C654,'Substrate Heating'!$A$2:$B$33,2,FALSE)</f>
        <v>17.899999999999999</v>
      </c>
      <c r="AP654" s="1">
        <f>VLOOKUP($C654,'Substrate Heating'!$A$2:$M$33,13,FALSE)</f>
        <v>4.666666666666667</v>
      </c>
      <c r="AQ654" s="1">
        <f>VLOOKUP($C654,'Substrate Heating'!$A$2:$M$33,8,FALSE)</f>
        <v>3</v>
      </c>
      <c r="AR654" s="1">
        <f t="shared" si="10"/>
        <v>0.65293103448275902</v>
      </c>
    </row>
    <row r="655" spans="1:44" x14ac:dyDescent="0.2">
      <c r="A655" s="8" t="s">
        <v>34</v>
      </c>
      <c r="B655" s="9" t="s">
        <v>35</v>
      </c>
      <c r="C655" s="1" t="s">
        <v>348</v>
      </c>
      <c r="D655" s="23" t="s">
        <v>338</v>
      </c>
      <c r="E655" s="1" t="s">
        <v>91</v>
      </c>
      <c r="F655" s="1" t="s">
        <v>92</v>
      </c>
      <c r="G655" s="1">
        <v>-10</v>
      </c>
      <c r="H655" s="1">
        <v>-20</v>
      </c>
      <c r="I655" s="1" t="s">
        <v>40</v>
      </c>
      <c r="J655" s="1">
        <v>3.15</v>
      </c>
      <c r="K655" s="1">
        <v>-10</v>
      </c>
      <c r="L655" s="1">
        <v>-6.4711538461538503</v>
      </c>
      <c r="M655" s="1" t="s">
        <v>40</v>
      </c>
      <c r="N655" s="1">
        <v>4.3141025641025701</v>
      </c>
      <c r="O655" s="1">
        <v>1.13717948717949</v>
      </c>
      <c r="Q655" s="1">
        <v>0.11371794871794901</v>
      </c>
      <c r="R655" s="1">
        <v>0.31284384050036301</v>
      </c>
      <c r="S655" s="1" t="str">
        <f>VLOOKUP($E655,'Product Naming'!$A$1:$P$58,2,FALSE)</f>
        <v>2-Methyl-1-Butanol</v>
      </c>
      <c r="T655" s="1" t="str">
        <f>VLOOKUP($E655,'Product Naming'!$A$1:$P$58,3,FALSE)</f>
        <v>2-Methyl-1-butanol</v>
      </c>
      <c r="U655" s="1" t="str">
        <f>VLOOKUP($E655,'Product Naming'!$A$1:$P$58,4,FALSE)</f>
        <v>A</v>
      </c>
      <c r="V655" s="1" t="str">
        <f>VLOOKUP($E655,'Product Naming'!$A$1:$P$58,5,FALSE)</f>
        <v>C5H12O</v>
      </c>
      <c r="W655" s="1">
        <f>VLOOKUP($E655,'Product Naming'!$A$1:$P$58,6,FALSE)</f>
        <v>5</v>
      </c>
      <c r="X655" s="1">
        <f>VLOOKUP($E655,'Product Naming'!$A$1:$P$58,7,FALSE)</f>
        <v>12</v>
      </c>
      <c r="Y655" s="1">
        <f>VLOOKUP($E655,'Product Naming'!$A$1:$P$58,8,FALSE)</f>
        <v>1</v>
      </c>
      <c r="Z655" s="1">
        <f>VLOOKUP($E655,'Product Naming'!$A$1:$P$58,9,FALSE)</f>
        <v>0</v>
      </c>
      <c r="AA655" s="1">
        <f>VLOOKUP($E655,'Product Naming'!$A$1:$P$58,10,FALSE)</f>
        <v>0</v>
      </c>
      <c r="AB655" s="29">
        <f>VLOOKUP($E655,'Product Naming'!$A$1:$P$58,11,FALSE)</f>
        <v>6</v>
      </c>
      <c r="AC655" s="3">
        <f>VLOOKUP($E655,'Product Naming'!$A$1:$P$58,12,FALSE)</f>
        <v>88.14658</v>
      </c>
      <c r="AD655" s="1">
        <f>VLOOKUP($E655,'Product Naming'!$A$1:$P$58,13,FALSE)</f>
        <v>129</v>
      </c>
      <c r="AE655" s="1" t="str">
        <f>VLOOKUP($E655,'Product Naming'!$A$1:$P$58,14,FALSE)</f>
        <v>Alcohol</v>
      </c>
      <c r="AF655" s="1" t="str">
        <f>VLOOKUP($E655,'Product Naming'!$A$1:$P$58,15,FALSE)</f>
        <v>PEP</v>
      </c>
      <c r="AG655" s="30" t="str">
        <f>VLOOKUP($E655,'Product Naming'!$A$1:$P$58,16,FALSE)</f>
        <v>Proton symporter</v>
      </c>
      <c r="AH655" s="3" t="str">
        <f>VLOOKUP($E655,'Product Naming'!$A$1:$Q$58,17,FALSE)</f>
        <v>2mbtoh_c</v>
      </c>
      <c r="AI655" s="1">
        <f>VLOOKUP($E655,'Product Parameters'!$A$2:$D$59,2,FALSE)</f>
        <v>1</v>
      </c>
      <c r="AJ655" s="1">
        <f>VLOOKUP($E655,'Product Parameters'!$A$2:$D$59,3,FALSE)</f>
        <v>0</v>
      </c>
      <c r="AK655" s="1">
        <f>VLOOKUP($E655,'Product Parameters'!$A$2:$D$59,4,FALSE)</f>
        <v>0.12</v>
      </c>
      <c r="AL655" s="1">
        <f>VLOOKUP($E655,'Product Parameters'!$A$2:$E$59,5,FALSE)</f>
        <v>54.6</v>
      </c>
      <c r="AM655" s="1">
        <f>VLOOKUP($E655,'Product Parameters'!$A$2:$F$59,6,FALSE)</f>
        <v>5</v>
      </c>
      <c r="AN655" s="1">
        <f>VLOOKUP($C655,'Substrate Heating'!$A$2:$C$33,3,FALSE)</f>
        <v>638.57832580000002</v>
      </c>
      <c r="AO655" s="1">
        <f>VLOOKUP($C655,'Substrate Heating'!$A$2:$B$33,2,FALSE)</f>
        <v>19.93</v>
      </c>
      <c r="AP655" s="1">
        <f>VLOOKUP($C655,'Substrate Heating'!$A$2:$M$33,13,FALSE)</f>
        <v>6</v>
      </c>
      <c r="AQ655" s="1">
        <f>VLOOKUP($C655,'Substrate Heating'!$A$2:$M$33,8,FALSE)</f>
        <v>1</v>
      </c>
      <c r="AR655" s="1">
        <f t="shared" si="10"/>
        <v>0.56858974358974501</v>
      </c>
    </row>
    <row r="656" spans="1:44" x14ac:dyDescent="0.2">
      <c r="A656" s="17" t="s">
        <v>185</v>
      </c>
      <c r="B656" s="9" t="s">
        <v>35</v>
      </c>
      <c r="C656" t="s">
        <v>341</v>
      </c>
      <c r="D656" s="24" t="s">
        <v>342</v>
      </c>
      <c r="E656" t="s">
        <v>259</v>
      </c>
      <c r="F656" t="s">
        <v>260</v>
      </c>
      <c r="G656">
        <v>-10</v>
      </c>
      <c r="H656">
        <v>-20</v>
      </c>
      <c r="I656" s="1" t="s">
        <v>40</v>
      </c>
      <c r="J656">
        <v>3.15</v>
      </c>
      <c r="K656">
        <v>-10</v>
      </c>
      <c r="L656">
        <v>-2.0790697674418599</v>
      </c>
      <c r="M656" s="1" t="s">
        <v>40</v>
      </c>
      <c r="N656">
        <v>18.6279069767442</v>
      </c>
      <c r="O656">
        <v>4.13720930232558</v>
      </c>
      <c r="P656"/>
      <c r="Q656">
        <v>0.41372093023255802</v>
      </c>
      <c r="R656">
        <v>0.312858720437239</v>
      </c>
      <c r="S656" s="1" t="str">
        <f>VLOOKUP($E656,'Product Naming'!$A$1:$P$58,2,FALSE)</f>
        <v>Limonene</v>
      </c>
      <c r="T656" s="1" t="str">
        <f>VLOOKUP($E656,'Product Naming'!$A$1:$P$58,3,FALSE)</f>
        <v>Limonene</v>
      </c>
      <c r="U656" s="1" t="str">
        <f>VLOOKUP($E656,'Product Naming'!$A$1:$P$58,4,FALSE)</f>
        <v>E</v>
      </c>
      <c r="V656" s="1" t="str">
        <f>VLOOKUP($E656,'Product Naming'!$A$1:$P$58,5,FALSE)</f>
        <v>C10H16</v>
      </c>
      <c r="W656" s="1">
        <f>VLOOKUP($E656,'Product Naming'!$A$1:$P$58,6,FALSE)</f>
        <v>10</v>
      </c>
      <c r="X656" s="1">
        <f>VLOOKUP($E656,'Product Naming'!$A$1:$P$58,7,FALSE)</f>
        <v>16</v>
      </c>
      <c r="Y656" s="1">
        <f>VLOOKUP($E656,'Product Naming'!$A$1:$P$58,8,FALSE)</f>
        <v>0</v>
      </c>
      <c r="Z656" s="1">
        <f>VLOOKUP($E656,'Product Naming'!$A$1:$P$58,9,FALSE)</f>
        <v>0</v>
      </c>
      <c r="AA656" s="1">
        <f>VLOOKUP($E656,'Product Naming'!$A$1:$P$58,10,FALSE)</f>
        <v>0</v>
      </c>
      <c r="AB656" s="29">
        <f>VLOOKUP($E656,'Product Naming'!$A$1:$P$58,11,FALSE)</f>
        <v>5.6</v>
      </c>
      <c r="AC656" s="3">
        <f>VLOOKUP($E656,'Product Naming'!$A$1:$P$58,12,FALSE)</f>
        <v>136.23244</v>
      </c>
      <c r="AD656" s="1">
        <f>VLOOKUP($E656,'Product Naming'!$A$1:$P$58,13,FALSE)</f>
        <v>176</v>
      </c>
      <c r="AE656" s="1" t="str">
        <f>VLOOKUP($E656,'Product Naming'!$A$1:$P$58,14,FALSE)</f>
        <v>Isoprenoid; Aromatic (Cycloalkane)</v>
      </c>
      <c r="AF656" s="1" t="str">
        <f>VLOOKUP($E656,'Product Naming'!$A$1:$P$58,15,FALSE)</f>
        <v>Acetyl-CoA</v>
      </c>
      <c r="AG656" s="30" t="str">
        <f>VLOOKUP($E656,'Product Naming'!$A$1:$P$58,16,FALSE)</f>
        <v>Proton symporter</v>
      </c>
      <c r="AH656" s="3" t="str">
        <f>VLOOKUP($E656,'Product Naming'!$A$1:$Q$58,17,FALSE)</f>
        <v>limnen_c</v>
      </c>
      <c r="AI656" s="1">
        <f>VLOOKUP($E656,'Product Parameters'!$A$2:$D$59,2,FALSE)</f>
        <v>1</v>
      </c>
      <c r="AJ656" s="1">
        <f>VLOOKUP($E656,'Product Parameters'!$A$2:$D$59,3,FALSE)</f>
        <v>0</v>
      </c>
      <c r="AK656" s="1">
        <f>VLOOKUP($E656,'Product Parameters'!$A$2:$D$59,4,FALSE)</f>
        <v>0.12</v>
      </c>
      <c r="AL656" s="1">
        <f>VLOOKUP($E656,'Product Parameters'!$A$2:$E$59,5,FALSE)</f>
        <v>49.5</v>
      </c>
      <c r="AM656" s="1">
        <f>VLOOKUP($E656,'Product Parameters'!$A$2:$F$59,6,FALSE)</f>
        <v>10</v>
      </c>
      <c r="AN656" s="1">
        <f>VLOOKUP($C656,'Substrate Heating'!$A$2:$C$33,3,FALSE)</f>
        <v>2828.4492</v>
      </c>
      <c r="AO656" s="1">
        <f>VLOOKUP($C656,'Substrate Heating'!$A$2:$B$33,2,FALSE)</f>
        <v>15.7</v>
      </c>
      <c r="AP656" s="1">
        <f>VLOOKUP($C656,'Substrate Heating'!$A$2:$M$33,13,FALSE)</f>
        <v>4</v>
      </c>
      <c r="AQ656" s="1">
        <f>VLOOKUP($C656,'Substrate Heating'!$A$2:$M$33,8,FALSE)</f>
        <v>6</v>
      </c>
      <c r="AR656" s="1">
        <f t="shared" si="10"/>
        <v>0.68953488372092997</v>
      </c>
    </row>
    <row r="657" spans="1:44" x14ac:dyDescent="0.2">
      <c r="A657" s="8" t="s">
        <v>34</v>
      </c>
      <c r="B657" s="9" t="s">
        <v>35</v>
      </c>
      <c r="C657" s="1" t="s">
        <v>330</v>
      </c>
      <c r="D657" s="10" t="s">
        <v>37</v>
      </c>
      <c r="E657" s="1" t="s">
        <v>295</v>
      </c>
      <c r="F657" s="1" t="s">
        <v>292</v>
      </c>
      <c r="G657" s="1">
        <v>-10</v>
      </c>
      <c r="H657" s="1">
        <v>-20</v>
      </c>
      <c r="I657" s="1" t="s">
        <v>40</v>
      </c>
      <c r="J657" s="1">
        <v>3.15</v>
      </c>
      <c r="K657" s="1">
        <v>-10</v>
      </c>
      <c r="L657" s="1">
        <v>-8.4768041237113394</v>
      </c>
      <c r="M657" s="1" t="s">
        <v>40</v>
      </c>
      <c r="N657" s="1">
        <v>8.9845360824742198</v>
      </c>
      <c r="O657" s="1">
        <v>2.2030927835051499</v>
      </c>
      <c r="Q657" s="1">
        <v>0.220309278350515</v>
      </c>
      <c r="R657" s="1">
        <v>0.31288280662106999</v>
      </c>
      <c r="S657" s="1" t="str">
        <f>VLOOKUP($E657,'Product Naming'!$A$1:$P$58,2,FALSE)</f>
        <v>Pentanol-PW2</v>
      </c>
      <c r="T657" s="1" t="str">
        <f>VLOOKUP($E657,'Product Naming'!$A$1:$P$58,3,FALSE)</f>
        <v>Pentanol (PW2)</v>
      </c>
      <c r="U657" s="1" t="str">
        <f>VLOOKUP($E657,'Product Naming'!$A$1:$P$58,4,FALSE)</f>
        <v>E</v>
      </c>
      <c r="V657" s="1" t="str">
        <f>VLOOKUP($E657,'Product Naming'!$A$1:$P$58,5,FALSE)</f>
        <v>C5H12O</v>
      </c>
      <c r="W657" s="1">
        <f>VLOOKUP($E657,'Product Naming'!$A$1:$P$58,6,FALSE)</f>
        <v>5</v>
      </c>
      <c r="X657" s="1">
        <f>VLOOKUP($E657,'Product Naming'!$A$1:$P$58,7,FALSE)</f>
        <v>12</v>
      </c>
      <c r="Y657" s="1">
        <f>VLOOKUP($E657,'Product Naming'!$A$1:$P$58,8,FALSE)</f>
        <v>1</v>
      </c>
      <c r="Z657" s="1">
        <f>VLOOKUP($E657,'Product Naming'!$A$1:$P$58,9,FALSE)</f>
        <v>0</v>
      </c>
      <c r="AA657" s="1">
        <f>VLOOKUP($E657,'Product Naming'!$A$1:$P$58,10,FALSE)</f>
        <v>0</v>
      </c>
      <c r="AB657" s="29">
        <f>VLOOKUP($E657,'Product Naming'!$A$1:$P$58,11,FALSE)</f>
        <v>6</v>
      </c>
      <c r="AC657" s="3">
        <f>VLOOKUP($E657,'Product Naming'!$A$1:$P$58,12,FALSE)</f>
        <v>88.14658</v>
      </c>
      <c r="AD657" s="1">
        <f>VLOOKUP($E657,'Product Naming'!$A$1:$P$58,13,FALSE)</f>
        <v>138</v>
      </c>
      <c r="AE657" s="1" t="str">
        <f>VLOOKUP($E657,'Product Naming'!$A$1:$P$58,14,FALSE)</f>
        <v>Alcohol</v>
      </c>
      <c r="AF657" s="1" t="str">
        <f>VLOOKUP($E657,'Product Naming'!$A$1:$P$58,15,FALSE)</f>
        <v>Oxaloacetate</v>
      </c>
      <c r="AG657" s="30" t="str">
        <f>VLOOKUP($E657,'Product Naming'!$A$1:$P$58,16,FALSE)</f>
        <v>Proton symporter</v>
      </c>
      <c r="AH657" s="3" t="str">
        <f>VLOOKUP($E657,'Product Naming'!$A$1:$Q$58,17,FALSE)</f>
        <v>pentoh_c</v>
      </c>
      <c r="AI657" s="1">
        <f>VLOOKUP($E657,'Product Parameters'!$A$2:$D$59,2,FALSE)</f>
        <v>1</v>
      </c>
      <c r="AJ657" s="1">
        <f>VLOOKUP($E657,'Product Parameters'!$A$2:$D$59,3,FALSE)</f>
        <v>0</v>
      </c>
      <c r="AK657" s="1">
        <f>VLOOKUP($E657,'Product Parameters'!$A$2:$D$59,4,FALSE)</f>
        <v>0.12</v>
      </c>
      <c r="AL657" s="1">
        <f>VLOOKUP($E657,'Product Parameters'!$A$2:$E$59,5,FALSE)</f>
        <v>57</v>
      </c>
      <c r="AM657" s="1">
        <f>VLOOKUP($E657,'Product Parameters'!$A$2:$F$59,6,FALSE)</f>
        <v>5</v>
      </c>
      <c r="AN657" s="1">
        <f>VLOOKUP($C657,'Substrate Heating'!$A$2:$C$33,3,FALSE)</f>
        <v>1055.1294800000001</v>
      </c>
      <c r="AO657" s="1">
        <f>VLOOKUP($C657,'Substrate Heating'!$A$2:$B$33,2,FALSE)</f>
        <v>17</v>
      </c>
      <c r="AP657" s="1">
        <f>VLOOKUP($C657,'Substrate Heating'!$A$2:$M$33,13,FALSE)</f>
        <v>5</v>
      </c>
      <c r="AQ657" s="1">
        <f>VLOOKUP($C657,'Substrate Heating'!$A$2:$M$33,8,FALSE)</f>
        <v>2</v>
      </c>
      <c r="AR657" s="1">
        <f t="shared" si="10"/>
        <v>0.55077319587628748</v>
      </c>
    </row>
    <row r="658" spans="1:44" x14ac:dyDescent="0.2">
      <c r="A658" s="8" t="s">
        <v>34</v>
      </c>
      <c r="B658" s="9" t="s">
        <v>35</v>
      </c>
      <c r="C658" s="1" t="s">
        <v>348</v>
      </c>
      <c r="D658" s="23" t="s">
        <v>338</v>
      </c>
      <c r="E658" s="1" t="s">
        <v>169</v>
      </c>
      <c r="F658" s="1" t="s">
        <v>165</v>
      </c>
      <c r="G658" s="1">
        <v>-10</v>
      </c>
      <c r="H658" s="1">
        <v>-20</v>
      </c>
      <c r="I658" s="1" t="s">
        <v>40</v>
      </c>
      <c r="J658" s="1">
        <v>3.15</v>
      </c>
      <c r="K658" s="1">
        <v>-10</v>
      </c>
      <c r="L658" s="1">
        <v>-6.8748091603053396</v>
      </c>
      <c r="M658" s="1" t="s">
        <v>40</v>
      </c>
      <c r="N658" s="1">
        <v>4.5832061068702199</v>
      </c>
      <c r="O658" s="1">
        <v>1.3541984732824399</v>
      </c>
      <c r="Q658" s="1">
        <v>0.135419847328244</v>
      </c>
      <c r="R658" s="1">
        <v>0.31326510945452202</v>
      </c>
      <c r="S658" s="1" t="str">
        <f>VLOOKUP($E658,'Product Naming'!$A$1:$P$58,2,FALSE)</f>
        <v>Butanol-PW2</v>
      </c>
      <c r="T658" s="1" t="str">
        <f>VLOOKUP($E658,'Product Naming'!$A$1:$P$58,3,FALSE)</f>
        <v>Butanol (PW2)</v>
      </c>
      <c r="U658" s="1" t="str">
        <f>VLOOKUP($E658,'Product Naming'!$A$1:$P$58,4,FALSE)</f>
        <v>E</v>
      </c>
      <c r="V658" s="1" t="str">
        <f>VLOOKUP($E658,'Product Naming'!$A$1:$P$58,5,FALSE)</f>
        <v>C4H10O</v>
      </c>
      <c r="W658" s="1">
        <f>VLOOKUP($E658,'Product Naming'!$A$1:$P$58,6,FALSE)</f>
        <v>4</v>
      </c>
      <c r="X658" s="1">
        <f>VLOOKUP($E658,'Product Naming'!$A$1:$P$58,7,FALSE)</f>
        <v>10</v>
      </c>
      <c r="Y658" s="1">
        <f>VLOOKUP($E658,'Product Naming'!$A$1:$P$58,8,FALSE)</f>
        <v>1</v>
      </c>
      <c r="Z658" s="1">
        <f>VLOOKUP($E658,'Product Naming'!$A$1:$P$58,9,FALSE)</f>
        <v>0</v>
      </c>
      <c r="AA658" s="1">
        <f>VLOOKUP($E658,'Product Naming'!$A$1:$P$58,10,FALSE)</f>
        <v>0</v>
      </c>
      <c r="AB658" s="29">
        <f>VLOOKUP($E658,'Product Naming'!$A$1:$P$58,11,FALSE)</f>
        <v>6</v>
      </c>
      <c r="AC658" s="3">
        <f>VLOOKUP($E658,'Product Naming'!$A$1:$P$58,12,FALSE)</f>
        <v>74.120199999999997</v>
      </c>
      <c r="AD658" s="1">
        <f>VLOOKUP($E658,'Product Naming'!$A$1:$P$58,13,FALSE)</f>
        <v>117.7</v>
      </c>
      <c r="AE658" s="1" t="str">
        <f>VLOOKUP($E658,'Product Naming'!$A$1:$P$58,14,FALSE)</f>
        <v>Alcohol</v>
      </c>
      <c r="AF658" s="1" t="str">
        <f>VLOOKUP($E658,'Product Naming'!$A$1:$P$58,15,FALSE)</f>
        <v>Oxaloacetate</v>
      </c>
      <c r="AG658" s="30" t="str">
        <f>VLOOKUP($E658,'Product Naming'!$A$1:$P$58,16,FALSE)</f>
        <v>Proton symporter</v>
      </c>
      <c r="AH658" s="3" t="str">
        <f>VLOOKUP($E658,'Product Naming'!$A$1:$Q$58,17,FALSE)</f>
        <v>btoh_c</v>
      </c>
      <c r="AI658" s="1">
        <f>VLOOKUP($E658,'Product Parameters'!$A$2:$D$59,2,FALSE)</f>
        <v>1</v>
      </c>
      <c r="AJ658" s="1">
        <f>VLOOKUP($E658,'Product Parameters'!$A$2:$D$59,3,FALSE)</f>
        <v>0</v>
      </c>
      <c r="AK658" s="1">
        <f>VLOOKUP($E658,'Product Parameters'!$A$2:$D$59,4,FALSE)</f>
        <v>0.12</v>
      </c>
      <c r="AL658" s="1">
        <f>VLOOKUP($E658,'Product Parameters'!$A$2:$E$59,5,FALSE)</f>
        <v>52</v>
      </c>
      <c r="AM658" s="1">
        <f>VLOOKUP($E658,'Product Parameters'!$A$2:$F$59,6,FALSE)</f>
        <v>4</v>
      </c>
      <c r="AN658" s="1">
        <f>VLOOKUP($C658,'Substrate Heating'!$A$2:$C$33,3,FALSE)</f>
        <v>638.57832580000002</v>
      </c>
      <c r="AO658" s="1">
        <f>VLOOKUP($C658,'Substrate Heating'!$A$2:$B$33,2,FALSE)</f>
        <v>19.93</v>
      </c>
      <c r="AP658" s="1">
        <f>VLOOKUP($C658,'Substrate Heating'!$A$2:$M$33,13,FALSE)</f>
        <v>6</v>
      </c>
      <c r="AQ658" s="1">
        <f>VLOOKUP($C658,'Substrate Heating'!$A$2:$M$33,8,FALSE)</f>
        <v>1</v>
      </c>
      <c r="AR658" s="1">
        <f t="shared" si="10"/>
        <v>0.54167938931297599</v>
      </c>
    </row>
    <row r="659" spans="1:44" x14ac:dyDescent="0.2">
      <c r="A659" s="17" t="s">
        <v>323</v>
      </c>
      <c r="B659" s="18" t="s">
        <v>324</v>
      </c>
      <c r="C659" t="s">
        <v>334</v>
      </c>
      <c r="D659" s="19" t="s">
        <v>326</v>
      </c>
      <c r="E659" t="s">
        <v>275</v>
      </c>
      <c r="F659" t="s">
        <v>276</v>
      </c>
      <c r="G659">
        <v>-10</v>
      </c>
      <c r="H659">
        <v>0</v>
      </c>
      <c r="I659">
        <v>-5</v>
      </c>
      <c r="J659">
        <v>0.45</v>
      </c>
      <c r="K659">
        <v>-10</v>
      </c>
      <c r="L659">
        <v>0</v>
      </c>
      <c r="M659">
        <v>-5</v>
      </c>
      <c r="N659">
        <v>1.0549999999999999</v>
      </c>
      <c r="O659">
        <v>1.4450000000000001</v>
      </c>
      <c r="P659"/>
      <c r="Q659">
        <v>0.14449999999999999</v>
      </c>
      <c r="R659">
        <v>0.313466232918647</v>
      </c>
      <c r="S659" s="1" t="str">
        <f>VLOOKUP($E659,'Product Naming'!$A$1:$P$58,2,FALSE)</f>
        <v>Malonate</v>
      </c>
      <c r="T659" s="1" t="str">
        <f>VLOOKUP($E659,'Product Naming'!$A$1:$P$58,3,FALSE)</f>
        <v>Malonate</v>
      </c>
      <c r="U659" s="1" t="str">
        <f>VLOOKUP($E659,'Product Naming'!$A$1:$P$58,4,FALSE)</f>
        <v>A</v>
      </c>
      <c r="V659" s="1" t="str">
        <f>VLOOKUP($E659,'Product Naming'!$A$1:$P$58,5,FALSE)</f>
        <v>C3H2O4</v>
      </c>
      <c r="W659" s="1">
        <f>VLOOKUP($E659,'Product Naming'!$A$1:$P$58,6,FALSE)</f>
        <v>3</v>
      </c>
      <c r="X659" s="1">
        <f>VLOOKUP($E659,'Product Naming'!$A$1:$P$58,7,FALSE)</f>
        <v>2</v>
      </c>
      <c r="Y659" s="1">
        <f>VLOOKUP($E659,'Product Naming'!$A$1:$P$58,8,FALSE)</f>
        <v>4</v>
      </c>
      <c r="Z659" s="1">
        <f>VLOOKUP($E659,'Product Naming'!$A$1:$P$58,9,FALSE)</f>
        <v>0</v>
      </c>
      <c r="AA659" s="1">
        <f>VLOOKUP($E659,'Product Naming'!$A$1:$P$58,10,FALSE)</f>
        <v>-2</v>
      </c>
      <c r="AB659" s="29">
        <f>VLOOKUP($E659,'Product Naming'!$A$1:$P$58,11,FALSE)</f>
        <v>2</v>
      </c>
      <c r="AC659" s="3">
        <f>VLOOKUP($E659,'Product Naming'!$A$1:$P$58,12,FALSE)</f>
        <v>102.04378</v>
      </c>
      <c r="AD659" s="1">
        <f>VLOOKUP($E659,'Product Naming'!$A$1:$P$58,13,FALSE)</f>
        <v>199</v>
      </c>
      <c r="AE659" s="1" t="str">
        <f>VLOOKUP($E659,'Product Naming'!$A$1:$P$58,14,FALSE)</f>
        <v>Dicarboxylate</v>
      </c>
      <c r="AF659" s="1" t="str">
        <f>VLOOKUP($E659,'Product Naming'!$A$1:$P$58,15,FALSE)</f>
        <v>Oxaloacetate</v>
      </c>
      <c r="AG659" s="30" t="str">
        <f>VLOOKUP($E659,'Product Naming'!$A$1:$P$58,16,FALSE)</f>
        <v>Proton symporter</v>
      </c>
      <c r="AH659" s="3" t="str">
        <f>VLOOKUP($E659,'Product Naming'!$A$1:$Q$58,17,FALSE)</f>
        <v>malon_c</v>
      </c>
      <c r="AI659" s="1">
        <f>VLOOKUP($E659,'Product Parameters'!$A$2:$D$59,2,FALSE)</f>
        <v>1</v>
      </c>
      <c r="AJ659" s="1">
        <f>VLOOKUP($E659,'Product Parameters'!$A$2:$D$59,3,FALSE)</f>
        <v>0</v>
      </c>
      <c r="AK659" s="1">
        <f>VLOOKUP($E659,'Product Parameters'!$A$2:$D$59,4,FALSE)</f>
        <v>0.12</v>
      </c>
      <c r="AL659" s="1">
        <f>VLOOKUP($E659,'Product Parameters'!$A$2:$E$59,5,FALSE)</f>
        <v>40.65</v>
      </c>
      <c r="AM659" s="1">
        <f>VLOOKUP($E659,'Product Parameters'!$A$2:$F$59,6,FALSE)</f>
        <v>3</v>
      </c>
      <c r="AN659" s="1">
        <f>VLOOKUP($C659,'Substrate Heating'!$A$2:$C$33,3,FALSE)</f>
        <v>249.93333333333334</v>
      </c>
      <c r="AO659" s="1">
        <f>VLOOKUP($C659,'Substrate Heating'!$A$2:$B$33,2,FALSE)</f>
        <v>8.1456827881222953</v>
      </c>
      <c r="AP659" s="1">
        <f>VLOOKUP($C659,'Substrate Heating'!$A$2:$M$33,13,FALSE)</f>
        <v>0.66666666666666663</v>
      </c>
      <c r="AQ659" s="1">
        <f>VLOOKUP($C659,'Substrate Heating'!$A$2:$M$33,8,FALSE)</f>
        <v>0.66666666666666663</v>
      </c>
      <c r="AR659" s="1">
        <f t="shared" si="10"/>
        <v>0.65024999999999999</v>
      </c>
    </row>
    <row r="660" spans="1:44" x14ac:dyDescent="0.2">
      <c r="A660" s="8" t="s">
        <v>34</v>
      </c>
      <c r="B660" s="9" t="s">
        <v>35</v>
      </c>
      <c r="C660" s="1" t="s">
        <v>345</v>
      </c>
      <c r="D660" s="10" t="s">
        <v>37</v>
      </c>
      <c r="E660" s="1" t="s">
        <v>297</v>
      </c>
      <c r="F660" s="1" t="s">
        <v>298</v>
      </c>
      <c r="G660" s="1">
        <v>-10</v>
      </c>
      <c r="H660" s="1">
        <v>-20</v>
      </c>
      <c r="I660" s="1" t="s">
        <v>40</v>
      </c>
      <c r="J660" s="1">
        <v>3.15</v>
      </c>
      <c r="K660" s="1">
        <v>-10</v>
      </c>
      <c r="L660" s="1">
        <v>-5.9968609865470901</v>
      </c>
      <c r="M660" s="1" t="s">
        <v>40</v>
      </c>
      <c r="N660" s="1">
        <v>7.99730941704036</v>
      </c>
      <c r="O660" s="1">
        <v>2.0004484304932699</v>
      </c>
      <c r="Q660" s="1">
        <v>0.20004484304932699</v>
      </c>
      <c r="R660" s="1">
        <v>0.31349943699018401</v>
      </c>
      <c r="S660" s="1" t="str">
        <f>VLOOKUP($E660,'Product Naming'!$A$1:$P$58,2,FALSE)</f>
        <v>Phenol</v>
      </c>
      <c r="T660" s="1" t="str">
        <f>VLOOKUP($E660,'Product Naming'!$A$1:$P$58,3,FALSE)</f>
        <v>Phenol</v>
      </c>
      <c r="U660" s="1" t="str">
        <f>VLOOKUP($E660,'Product Naming'!$A$1:$P$58,4,FALSE)</f>
        <v>E-S</v>
      </c>
      <c r="V660" s="1" t="str">
        <f>VLOOKUP($E660,'Product Naming'!$A$1:$P$58,5,FALSE)</f>
        <v>C6H6O</v>
      </c>
      <c r="W660" s="1">
        <f>VLOOKUP($E660,'Product Naming'!$A$1:$P$58,6,FALSE)</f>
        <v>6</v>
      </c>
      <c r="X660" s="1">
        <f>VLOOKUP($E660,'Product Naming'!$A$1:$P$58,7,FALSE)</f>
        <v>6</v>
      </c>
      <c r="Y660" s="1">
        <f>VLOOKUP($E660,'Product Naming'!$A$1:$P$58,8,FALSE)</f>
        <v>1</v>
      </c>
      <c r="Z660" s="1">
        <f>VLOOKUP($E660,'Product Naming'!$A$1:$P$58,9,FALSE)</f>
        <v>0</v>
      </c>
      <c r="AA660" s="1">
        <f>VLOOKUP($E660,'Product Naming'!$A$1:$P$58,10,FALSE)</f>
        <v>0</v>
      </c>
      <c r="AB660" s="29">
        <f>VLOOKUP($E660,'Product Naming'!$A$1:$P$58,11,FALSE)</f>
        <v>4.666666666666667</v>
      </c>
      <c r="AC660" s="3">
        <f>VLOOKUP($E660,'Product Naming'!$A$1:$P$58,12,FALSE)</f>
        <v>94.11023999999999</v>
      </c>
      <c r="AD660" s="1">
        <f>VLOOKUP($E660,'Product Naming'!$A$1:$P$58,13,FALSE)</f>
        <v>181.7</v>
      </c>
      <c r="AE660" s="1" t="str">
        <f>VLOOKUP($E660,'Product Naming'!$A$1:$P$58,14,FALSE)</f>
        <v>Aromatic + Alcohol</v>
      </c>
      <c r="AF660" s="1" t="str">
        <f>VLOOKUP($E660,'Product Naming'!$A$1:$P$58,15,FALSE)</f>
        <v>E4P + L-glutamate</v>
      </c>
      <c r="AG660" s="30" t="str">
        <f>VLOOKUP($E660,'Product Naming'!$A$1:$P$58,16,FALSE)</f>
        <v>Proton symporter</v>
      </c>
      <c r="AH660" s="3" t="str">
        <f>VLOOKUP($E660,'Product Naming'!$A$1:$Q$58,17,FALSE)</f>
        <v>phenol_c</v>
      </c>
      <c r="AI660" s="1">
        <f>VLOOKUP($E660,'Product Parameters'!$A$2:$D$59,2,FALSE)</f>
        <v>1</v>
      </c>
      <c r="AJ660" s="1">
        <f>VLOOKUP($E660,'Product Parameters'!$A$2:$D$59,3,FALSE)</f>
        <v>0</v>
      </c>
      <c r="AK660" s="1">
        <f>VLOOKUP($E660,'Product Parameters'!$A$2:$D$59,4,FALSE)</f>
        <v>0.12</v>
      </c>
      <c r="AL660" s="1">
        <f>VLOOKUP($E660,'Product Parameters'!$A$2:$E$59,5,FALSE)</f>
        <v>58.8</v>
      </c>
      <c r="AM660" s="1">
        <f>VLOOKUP($E660,'Product Parameters'!$A$2:$F$59,6,FALSE)</f>
        <v>6</v>
      </c>
      <c r="AN660" s="1">
        <f>VLOOKUP($C660,'Substrate Heating'!$A$2:$C$33,3,FALSE)</f>
        <v>1020.8629199999999</v>
      </c>
      <c r="AO660" s="1">
        <f>VLOOKUP($C660,'Substrate Heating'!$A$2:$B$33,2,FALSE)</f>
        <v>17</v>
      </c>
      <c r="AP660" s="1">
        <f>VLOOKUP($C660,'Substrate Heating'!$A$2:$M$33,13,FALSE)</f>
        <v>4</v>
      </c>
      <c r="AQ660" s="1">
        <f>VLOOKUP($C660,'Substrate Heating'!$A$2:$M$33,8,FALSE)</f>
        <v>2</v>
      </c>
      <c r="AR660" s="1">
        <f t="shared" si="10"/>
        <v>0.60013452914798093</v>
      </c>
    </row>
    <row r="661" spans="1:44" x14ac:dyDescent="0.2">
      <c r="A661" s="8" t="s">
        <v>34</v>
      </c>
      <c r="B661" s="9" t="s">
        <v>35</v>
      </c>
      <c r="C661" s="1" t="s">
        <v>344</v>
      </c>
      <c r="D661" s="10" t="s">
        <v>37</v>
      </c>
      <c r="E661" s="1" t="s">
        <v>81</v>
      </c>
      <c r="F661" s="1" t="s">
        <v>73</v>
      </c>
      <c r="G661" s="1">
        <v>-10</v>
      </c>
      <c r="H661" s="1">
        <v>-20</v>
      </c>
      <c r="I661" s="1" t="s">
        <v>40</v>
      </c>
      <c r="J661" s="1">
        <v>3.15</v>
      </c>
      <c r="K661" s="1">
        <v>-10</v>
      </c>
      <c r="L661" s="1">
        <v>-5.8743902439024396</v>
      </c>
      <c r="M661" s="1" t="s">
        <v>40</v>
      </c>
      <c r="N661" s="1">
        <v>10.582926829268301</v>
      </c>
      <c r="O661" s="1">
        <v>3.1390243902438999</v>
      </c>
      <c r="Q661" s="1">
        <v>0.31390243902439102</v>
      </c>
      <c r="R661" s="1">
        <v>0.31412103957058402</v>
      </c>
      <c r="S661" s="1" t="str">
        <f>VLOOKUP($E661,'Product Naming'!$A$1:$P$58,2,FALSE)</f>
        <v>1-propanol-PW2</v>
      </c>
      <c r="T661" s="1" t="str">
        <f>VLOOKUP($E661,'Product Naming'!$A$1:$P$58,3,FALSE)</f>
        <v>1-Propanol (PW2)</v>
      </c>
      <c r="U661" s="1" t="str">
        <f>VLOOKUP($E661,'Product Naming'!$A$1:$P$58,4,FALSE)</f>
        <v>E-S</v>
      </c>
      <c r="V661" s="1" t="str">
        <f>VLOOKUP($E661,'Product Naming'!$A$1:$P$58,5,FALSE)</f>
        <v>C3H8O</v>
      </c>
      <c r="W661" s="1">
        <f>VLOOKUP($E661,'Product Naming'!$A$1:$P$58,6,FALSE)</f>
        <v>3</v>
      </c>
      <c r="X661" s="1">
        <f>VLOOKUP($E661,'Product Naming'!$A$1:$P$58,7,FALSE)</f>
        <v>8</v>
      </c>
      <c r="Y661" s="1">
        <f>VLOOKUP($E661,'Product Naming'!$A$1:$P$58,8,FALSE)</f>
        <v>1</v>
      </c>
      <c r="Z661" s="1">
        <f>VLOOKUP($E661,'Product Naming'!$A$1:$P$58,9,FALSE)</f>
        <v>0</v>
      </c>
      <c r="AA661" s="1">
        <f>VLOOKUP($E661,'Product Naming'!$A$1:$P$58,10,FALSE)</f>
        <v>0</v>
      </c>
      <c r="AB661" s="29">
        <f>VLOOKUP($E661,'Product Naming'!$A$1:$P$58,11,FALSE)</f>
        <v>6</v>
      </c>
      <c r="AC661" s="3">
        <f>VLOOKUP($E661,'Product Naming'!$A$1:$P$58,12,FALSE)</f>
        <v>60.093820000000001</v>
      </c>
      <c r="AD661" s="1">
        <f>VLOOKUP($E661,'Product Naming'!$A$1:$P$58,13,FALSE)</f>
        <v>97</v>
      </c>
      <c r="AE661" s="1" t="str">
        <f>VLOOKUP($E661,'Product Naming'!$A$1:$P$58,14,FALSE)</f>
        <v>Alcohol</v>
      </c>
      <c r="AF661" s="1" t="str">
        <f>VLOOKUP($E661,'Product Naming'!$A$1:$P$58,15,FALSE)</f>
        <v>Oxaloacetate</v>
      </c>
      <c r="AG661" s="30" t="str">
        <f>VLOOKUP($E661,'Product Naming'!$A$1:$P$58,16,FALSE)</f>
        <v>Proton symporter</v>
      </c>
      <c r="AH661" s="3" t="str">
        <f>VLOOKUP($E661,'Product Naming'!$A$1:$Q$58,17,FALSE)</f>
        <v>ppoh_c</v>
      </c>
      <c r="AI661" s="1">
        <f>VLOOKUP($E661,'Product Parameters'!$A$2:$D$59,2,FALSE)</f>
        <v>1</v>
      </c>
      <c r="AJ661" s="1">
        <f>VLOOKUP($E661,'Product Parameters'!$A$2:$D$59,3,FALSE)</f>
        <v>0</v>
      </c>
      <c r="AK661" s="1">
        <f>VLOOKUP($E661,'Product Parameters'!$A$2:$D$59,4,FALSE)</f>
        <v>0.12</v>
      </c>
      <c r="AL661" s="1">
        <f>VLOOKUP($E661,'Product Parameters'!$A$2:$E$59,5,FALSE)</f>
        <v>47</v>
      </c>
      <c r="AM661" s="1">
        <f>VLOOKUP($E661,'Product Parameters'!$A$2:$F$59,6,FALSE)</f>
        <v>3</v>
      </c>
      <c r="AN661" s="1">
        <f>VLOOKUP($C661,'Substrate Heating'!$A$2:$C$33,3,FALSE)</f>
        <v>1020.8629199999999</v>
      </c>
      <c r="AO661" s="1">
        <f>VLOOKUP($C661,'Substrate Heating'!$A$2:$B$33,2,FALSE)</f>
        <v>17</v>
      </c>
      <c r="AP661" s="1">
        <f>VLOOKUP($C661,'Substrate Heating'!$A$2:$M$33,13,FALSE)</f>
        <v>4</v>
      </c>
      <c r="AQ661" s="1">
        <f>VLOOKUP($C661,'Substrate Heating'!$A$2:$M$33,8,FALSE)</f>
        <v>2</v>
      </c>
      <c r="AR661" s="1">
        <f t="shared" si="10"/>
        <v>0.47085365853658656</v>
      </c>
    </row>
    <row r="662" spans="1:44" x14ac:dyDescent="0.2">
      <c r="A662" s="17" t="s">
        <v>323</v>
      </c>
      <c r="B662" s="18" t="s">
        <v>324</v>
      </c>
      <c r="C662" t="s">
        <v>325</v>
      </c>
      <c r="D662" s="19" t="s">
        <v>326</v>
      </c>
      <c r="E662" t="s">
        <v>198</v>
      </c>
      <c r="F662" t="s">
        <v>199</v>
      </c>
      <c r="G662">
        <v>-10</v>
      </c>
      <c r="H662">
        <v>0</v>
      </c>
      <c r="I662">
        <v>0</v>
      </c>
      <c r="J662">
        <v>0.45</v>
      </c>
      <c r="K662">
        <v>-10</v>
      </c>
      <c r="L662">
        <v>0</v>
      </c>
      <c r="M662">
        <v>0</v>
      </c>
      <c r="N662">
        <v>6</v>
      </c>
      <c r="O662">
        <v>1</v>
      </c>
      <c r="P662"/>
      <c r="Q662">
        <v>0.1</v>
      </c>
      <c r="R662">
        <v>0.31454309175294598</v>
      </c>
      <c r="S662" s="1" t="str">
        <f>VLOOKUP($E662,'Product Naming'!$A$1:$P$58,2,FALSE)</f>
        <v>EthylAcetate</v>
      </c>
      <c r="T662" s="1" t="str">
        <f>VLOOKUP($E662,'Product Naming'!$A$1:$P$58,3,FALSE)</f>
        <v>Ethyl acetate</v>
      </c>
      <c r="U662" s="1" t="str">
        <f>VLOOKUP($E662,'Product Naming'!$A$1:$P$58,4,FALSE)</f>
        <v>E</v>
      </c>
      <c r="V662" s="1" t="str">
        <f>VLOOKUP($E662,'Product Naming'!$A$1:$P$58,5,FALSE)</f>
        <v>C4H8O2</v>
      </c>
      <c r="W662" s="1">
        <f>VLOOKUP($E662,'Product Naming'!$A$1:$P$58,6,FALSE)</f>
        <v>4</v>
      </c>
      <c r="X662" s="1">
        <f>VLOOKUP($E662,'Product Naming'!$A$1:$P$58,7,FALSE)</f>
        <v>8</v>
      </c>
      <c r="Y662" s="1">
        <f>VLOOKUP($E662,'Product Naming'!$A$1:$P$58,8,FALSE)</f>
        <v>2</v>
      </c>
      <c r="Z662" s="1">
        <f>VLOOKUP($E662,'Product Naming'!$A$1:$P$58,9,FALSE)</f>
        <v>0</v>
      </c>
      <c r="AA662" s="1">
        <f>VLOOKUP($E662,'Product Naming'!$A$1:$P$58,10,FALSE)</f>
        <v>0</v>
      </c>
      <c r="AB662" s="29">
        <f>VLOOKUP($E662,'Product Naming'!$A$1:$P$58,11,FALSE)</f>
        <v>5</v>
      </c>
      <c r="AC662" s="3">
        <f>VLOOKUP($E662,'Product Naming'!$A$1:$P$58,12,FALSE)</f>
        <v>88.103520000000003</v>
      </c>
      <c r="AD662" s="1">
        <f>VLOOKUP($E662,'Product Naming'!$A$1:$P$58,13,FALSE)</f>
        <v>77.099999999999994</v>
      </c>
      <c r="AE662" s="1" t="str">
        <f>VLOOKUP($E662,'Product Naming'!$A$1:$P$58,14,FALSE)</f>
        <v>Carboxylate Ester</v>
      </c>
      <c r="AF662" s="1" t="str">
        <f>VLOOKUP($E662,'Product Naming'!$A$1:$P$58,15,FALSE)</f>
        <v>Acetyl-CoA</v>
      </c>
      <c r="AG662" s="30" t="str">
        <f>VLOOKUP($E662,'Product Naming'!$A$1:$P$58,16,FALSE)</f>
        <v>Proton symporter</v>
      </c>
      <c r="AH662" s="3" t="str">
        <f>VLOOKUP($E662,'Product Naming'!$A$1:$Q$58,17,FALSE)</f>
        <v>aces_c</v>
      </c>
      <c r="AI662" s="1">
        <f>VLOOKUP($E662,'Product Parameters'!$A$2:$D$59,2,FALSE)</f>
        <v>1</v>
      </c>
      <c r="AJ662" s="1">
        <f>VLOOKUP($E662,'Product Parameters'!$A$2:$D$59,3,FALSE)</f>
        <v>0</v>
      </c>
      <c r="AK662" s="1">
        <f>VLOOKUP($E662,'Product Parameters'!$A$2:$D$59,4,FALSE)</f>
        <v>0.12</v>
      </c>
      <c r="AL662" s="1">
        <f>VLOOKUP($E662,'Product Parameters'!$A$2:$E$59,5,FALSE)</f>
        <v>35</v>
      </c>
      <c r="AM662" s="1">
        <f>VLOOKUP($E662,'Product Parameters'!$A$2:$F$59,6,FALSE)</f>
        <v>4</v>
      </c>
      <c r="AN662" s="1">
        <f>VLOOKUP($C662,'Substrate Heating'!$A$2:$C$33,3,FALSE)</f>
        <v>280.09700000000004</v>
      </c>
      <c r="AO662" s="1">
        <f>VLOOKUP($C662,'Substrate Heating'!$A$2:$B$33,2,FALSE)</f>
        <v>10</v>
      </c>
      <c r="AP662" s="1">
        <f>VLOOKUP($C662,'Substrate Heating'!$A$2:$M$33,13,FALSE)</f>
        <v>2</v>
      </c>
      <c r="AQ662" s="1">
        <f>VLOOKUP($C662,'Substrate Heating'!$A$2:$M$33,8,FALSE)</f>
        <v>1</v>
      </c>
      <c r="AR662" s="1">
        <f t="shared" si="10"/>
        <v>0.4</v>
      </c>
    </row>
    <row r="663" spans="1:44" x14ac:dyDescent="0.2">
      <c r="A663" s="8" t="s">
        <v>34</v>
      </c>
      <c r="B663" s="9" t="s">
        <v>35</v>
      </c>
      <c r="C663" s="1" t="s">
        <v>331</v>
      </c>
      <c r="D663" s="10" t="s">
        <v>37</v>
      </c>
      <c r="E663" s="1" t="s">
        <v>313</v>
      </c>
      <c r="F663" s="1" t="s">
        <v>314</v>
      </c>
      <c r="G663" s="1">
        <v>-10</v>
      </c>
      <c r="H663" s="1">
        <v>-20</v>
      </c>
      <c r="I663" s="1" t="s">
        <v>40</v>
      </c>
      <c r="J663" s="1">
        <v>3.15</v>
      </c>
      <c r="K663" s="1">
        <v>-10</v>
      </c>
      <c r="L663" s="1">
        <v>-6.2231686541737599</v>
      </c>
      <c r="M663" s="1" t="s">
        <v>40</v>
      </c>
      <c r="N663" s="1">
        <v>4.9785349233390104</v>
      </c>
      <c r="O663" s="1">
        <v>1.8776831345826199</v>
      </c>
      <c r="Q663" s="1">
        <v>0.187768313458262</v>
      </c>
      <c r="R663" s="1">
        <v>0.31507795515627501</v>
      </c>
      <c r="S663" s="1" t="str">
        <f>VLOOKUP($E663,'Product Naming'!$A$1:$P$58,2,FALSE)</f>
        <v>Styrene</v>
      </c>
      <c r="T663" s="1" t="str">
        <f>VLOOKUP($E663,'Product Naming'!$A$1:$P$58,3,FALSE)</f>
        <v>Styrene</v>
      </c>
      <c r="U663" s="1" t="str">
        <f>VLOOKUP($E663,'Product Naming'!$A$1:$P$58,4,FALSE)</f>
        <v>E-S</v>
      </c>
      <c r="V663" s="1" t="str">
        <f>VLOOKUP($E663,'Product Naming'!$A$1:$P$58,5,FALSE)</f>
        <v>C8H8</v>
      </c>
      <c r="W663" s="1">
        <f>VLOOKUP($E663,'Product Naming'!$A$1:$P$58,6,FALSE)</f>
        <v>8</v>
      </c>
      <c r="X663" s="1">
        <f>VLOOKUP($E663,'Product Naming'!$A$1:$P$58,7,FALSE)</f>
        <v>8</v>
      </c>
      <c r="Y663" s="1">
        <f>VLOOKUP($E663,'Product Naming'!$A$1:$P$58,8,FALSE)</f>
        <v>0</v>
      </c>
      <c r="Z663" s="1">
        <f>VLOOKUP($E663,'Product Naming'!$A$1:$P$58,9,FALSE)</f>
        <v>0</v>
      </c>
      <c r="AA663" s="1">
        <f>VLOOKUP($E663,'Product Naming'!$A$1:$P$58,10,FALSE)</f>
        <v>0</v>
      </c>
      <c r="AB663" s="29">
        <f>VLOOKUP($E663,'Product Naming'!$A$1:$P$58,11,FALSE)</f>
        <v>5</v>
      </c>
      <c r="AC663" s="3">
        <f>VLOOKUP($E663,'Product Naming'!$A$1:$P$58,12,FALSE)</f>
        <v>104.14832</v>
      </c>
      <c r="AD663" s="1">
        <f>VLOOKUP($E663,'Product Naming'!$A$1:$P$58,13,FALSE)</f>
        <v>145</v>
      </c>
      <c r="AE663" s="1" t="str">
        <f>VLOOKUP($E663,'Product Naming'!$A$1:$P$58,14,FALSE)</f>
        <v>Cycloalkane</v>
      </c>
      <c r="AF663" s="1" t="str">
        <f>VLOOKUP($E663,'Product Naming'!$A$1:$P$58,15,FALSE)</f>
        <v>E4P</v>
      </c>
      <c r="AG663" s="30" t="str">
        <f>VLOOKUP($E663,'Product Naming'!$A$1:$P$58,16,FALSE)</f>
        <v>Proton symporter</v>
      </c>
      <c r="AH663" s="3" t="str">
        <f>VLOOKUP($E663,'Product Naming'!$A$1:$Q$58,17,FALSE)</f>
        <v>styr_c</v>
      </c>
      <c r="AI663" s="1">
        <f>VLOOKUP($E663,'Product Parameters'!$A$2:$D$59,2,FALSE)</f>
        <v>1</v>
      </c>
      <c r="AJ663" s="1">
        <f>VLOOKUP($E663,'Product Parameters'!$A$2:$D$59,3,FALSE)</f>
        <v>0</v>
      </c>
      <c r="AK663" s="1">
        <f>VLOOKUP($E663,'Product Parameters'!$A$2:$D$59,4,FALSE)</f>
        <v>0.12</v>
      </c>
      <c r="AL663" s="1">
        <f>VLOOKUP($E663,'Product Parameters'!$A$2:$E$59,5,FALSE)</f>
        <v>43.9</v>
      </c>
      <c r="AM663" s="1">
        <f>VLOOKUP($E663,'Product Parameters'!$A$2:$F$59,6,FALSE)</f>
        <v>8</v>
      </c>
      <c r="AN663" s="1">
        <f>VLOOKUP($C663,'Substrate Heating'!$A$2:$C$33,3,FALSE)</f>
        <v>1055.1294800000001</v>
      </c>
      <c r="AO663" s="1">
        <f>VLOOKUP($C663,'Substrate Heating'!$A$2:$B$33,2,FALSE)</f>
        <v>17</v>
      </c>
      <c r="AP663" s="1">
        <f>VLOOKUP($C663,'Substrate Heating'!$A$2:$M$33,13,FALSE)</f>
        <v>5</v>
      </c>
      <c r="AQ663" s="1">
        <f>VLOOKUP($C663,'Substrate Heating'!$A$2:$M$33,8,FALSE)</f>
        <v>2</v>
      </c>
      <c r="AR663" s="1">
        <f t="shared" si="10"/>
        <v>0.75107325383304802</v>
      </c>
    </row>
    <row r="664" spans="1:44" x14ac:dyDescent="0.2">
      <c r="A664" s="8" t="s">
        <v>34</v>
      </c>
      <c r="B664" s="9" t="s">
        <v>35</v>
      </c>
      <c r="C664" s="1" t="s">
        <v>345</v>
      </c>
      <c r="D664" s="10" t="s">
        <v>37</v>
      </c>
      <c r="E664" s="1" t="s">
        <v>108</v>
      </c>
      <c r="F664" s="1" t="s">
        <v>109</v>
      </c>
      <c r="G664" s="1">
        <v>-10</v>
      </c>
      <c r="H664" s="1">
        <v>-20</v>
      </c>
      <c r="I664" s="1" t="s">
        <v>40</v>
      </c>
      <c r="J664" s="1">
        <v>3.15</v>
      </c>
      <c r="K664" s="1">
        <v>-10</v>
      </c>
      <c r="L664" s="1">
        <v>-5.0249116607773798</v>
      </c>
      <c r="M664" s="1" t="s">
        <v>40</v>
      </c>
      <c r="N664" s="1">
        <v>7.3893992932862096</v>
      </c>
      <c r="O664" s="1">
        <v>1.5763250883392199</v>
      </c>
      <c r="Q664" s="1">
        <v>0.15763250883392199</v>
      </c>
      <c r="R664" s="1">
        <v>0.315378729788718</v>
      </c>
      <c r="S664" s="1" t="str">
        <f>VLOOKUP($E664,'Product Naming'!$A$1:$P$58,2,FALSE)</f>
        <v>4-Hydroxystyrene</v>
      </c>
      <c r="T664" s="1" t="str">
        <f>VLOOKUP($E664,'Product Naming'!$A$1:$P$58,3,FALSE)</f>
        <v>4-Hydroxystyrene</v>
      </c>
      <c r="U664" s="1" t="str">
        <f>VLOOKUP($E664,'Product Naming'!$A$1:$P$58,4,FALSE)</f>
        <v>E</v>
      </c>
      <c r="V664" s="1" t="str">
        <f>VLOOKUP($E664,'Product Naming'!$A$1:$P$58,5,FALSE)</f>
        <v>C8H8O</v>
      </c>
      <c r="W664" s="1">
        <f>VLOOKUP($E664,'Product Naming'!$A$1:$P$58,6,FALSE)</f>
        <v>8</v>
      </c>
      <c r="X664" s="1">
        <f>VLOOKUP($E664,'Product Naming'!$A$1:$P$58,7,FALSE)</f>
        <v>8</v>
      </c>
      <c r="Y664" s="1">
        <f>VLOOKUP($E664,'Product Naming'!$A$1:$P$58,8,FALSE)</f>
        <v>1</v>
      </c>
      <c r="Z664" s="1">
        <f>VLOOKUP($E664,'Product Naming'!$A$1:$P$58,9,FALSE)</f>
        <v>0</v>
      </c>
      <c r="AA664" s="1">
        <f>VLOOKUP($E664,'Product Naming'!$A$1:$P$58,10,FALSE)</f>
        <v>0</v>
      </c>
      <c r="AB664" s="29">
        <f>VLOOKUP($E664,'Product Naming'!$A$1:$P$58,11,FALSE)</f>
        <v>4.75</v>
      </c>
      <c r="AC664" s="3">
        <f>VLOOKUP($E664,'Product Naming'!$A$1:$P$58,12,FALSE)</f>
        <v>120.14731999999999</v>
      </c>
      <c r="AD664" s="1">
        <f>VLOOKUP($E664,'Product Naming'!$A$1:$P$58,13,FALSE)</f>
        <v>229</v>
      </c>
      <c r="AE664" s="1" t="str">
        <f>VLOOKUP($E664,'Product Naming'!$A$1:$P$58,14,FALSE)</f>
        <v>Aromatic + Alcohol</v>
      </c>
      <c r="AF664" s="1" t="str">
        <f>VLOOKUP($E664,'Product Naming'!$A$1:$P$58,15,FALSE)</f>
        <v>E4P + L-glutamate</v>
      </c>
      <c r="AG664" s="30" t="str">
        <f>VLOOKUP($E664,'Product Naming'!$A$1:$P$58,16,FALSE)</f>
        <v>Proton symporter</v>
      </c>
      <c r="AH664" s="3" t="str">
        <f>VLOOKUP($E664,'Product Naming'!$A$1:$Q$58,17,FALSE)</f>
        <v>4hxst_c</v>
      </c>
      <c r="AI664" s="1">
        <f>VLOOKUP($E664,'Product Parameters'!$A$2:$D$59,2,FALSE)</f>
        <v>1</v>
      </c>
      <c r="AJ664" s="1">
        <f>VLOOKUP($E664,'Product Parameters'!$A$2:$D$59,3,FALSE)</f>
        <v>0</v>
      </c>
      <c r="AK664" s="1">
        <f>VLOOKUP($E664,'Product Parameters'!$A$2:$D$59,4,FALSE)</f>
        <v>0.12</v>
      </c>
      <c r="AL664" s="1">
        <f>VLOOKUP($E664,'Product Parameters'!$A$2:$E$59,5,FALSE)</f>
        <v>40.65</v>
      </c>
      <c r="AM664" s="1">
        <f>VLOOKUP($E664,'Product Parameters'!$A$2:$F$59,6,FALSE)</f>
        <v>8</v>
      </c>
      <c r="AN664" s="1">
        <f>VLOOKUP($C664,'Substrate Heating'!$A$2:$C$33,3,FALSE)</f>
        <v>1020.8629199999999</v>
      </c>
      <c r="AO664" s="1">
        <f>VLOOKUP($C664,'Substrate Heating'!$A$2:$B$33,2,FALSE)</f>
        <v>17</v>
      </c>
      <c r="AP664" s="1">
        <f>VLOOKUP($C664,'Substrate Heating'!$A$2:$M$33,13,FALSE)</f>
        <v>4</v>
      </c>
      <c r="AQ664" s="1">
        <f>VLOOKUP($C664,'Substrate Heating'!$A$2:$M$33,8,FALSE)</f>
        <v>2</v>
      </c>
      <c r="AR664" s="1">
        <f t="shared" si="10"/>
        <v>0.63053003533568797</v>
      </c>
    </row>
    <row r="665" spans="1:44" x14ac:dyDescent="0.2">
      <c r="A665" s="8" t="s">
        <v>34</v>
      </c>
      <c r="B665" s="9" t="s">
        <v>35</v>
      </c>
      <c r="C665" s="1" t="s">
        <v>345</v>
      </c>
      <c r="D665" s="10" t="s">
        <v>37</v>
      </c>
      <c r="E665" s="1" t="s">
        <v>103</v>
      </c>
      <c r="F665" s="1" t="s">
        <v>104</v>
      </c>
      <c r="G665" s="1">
        <v>-10</v>
      </c>
      <c r="H665" s="1">
        <v>-20</v>
      </c>
      <c r="I665" s="1" t="s">
        <v>40</v>
      </c>
      <c r="J665" s="1">
        <v>3.15</v>
      </c>
      <c r="K665" s="1">
        <v>-10</v>
      </c>
      <c r="L665" s="1">
        <v>-3.2712500000000002</v>
      </c>
      <c r="M665" s="1" t="s">
        <v>40</v>
      </c>
      <c r="N665" s="1">
        <v>8.8475000000000108</v>
      </c>
      <c r="O665" s="1">
        <v>1.8587499999999999</v>
      </c>
      <c r="Q665" s="1">
        <v>0.18587500000000001</v>
      </c>
      <c r="R665" s="1">
        <v>0.31624923299806901</v>
      </c>
      <c r="S665" s="1" t="str">
        <f>VLOOKUP($E665,'Product Naming'!$A$1:$P$58,2,FALSE)</f>
        <v>3-Methyl-1-Pentanol</v>
      </c>
      <c r="T665" s="1" t="str">
        <f>VLOOKUP($E665,'Product Naming'!$A$1:$P$58,3,FALSE)</f>
        <v>3-Methyl-1-pentanol</v>
      </c>
      <c r="U665" s="1" t="str">
        <f>VLOOKUP($E665,'Product Naming'!$A$1:$P$58,4,FALSE)</f>
        <v>A</v>
      </c>
      <c r="V665" s="1" t="str">
        <f>VLOOKUP($E665,'Product Naming'!$A$1:$P$58,5,FALSE)</f>
        <v>C6H14O</v>
      </c>
      <c r="W665" s="1">
        <f>VLOOKUP($E665,'Product Naming'!$A$1:$P$58,6,FALSE)</f>
        <v>6</v>
      </c>
      <c r="X665" s="1">
        <f>VLOOKUP($E665,'Product Naming'!$A$1:$P$58,7,FALSE)</f>
        <v>14</v>
      </c>
      <c r="Y665" s="1">
        <f>VLOOKUP($E665,'Product Naming'!$A$1:$P$58,8,FALSE)</f>
        <v>1</v>
      </c>
      <c r="Z665" s="1">
        <f>VLOOKUP($E665,'Product Naming'!$A$1:$P$58,9,FALSE)</f>
        <v>0</v>
      </c>
      <c r="AA665" s="1">
        <f>VLOOKUP($E665,'Product Naming'!$A$1:$P$58,10,FALSE)</f>
        <v>0</v>
      </c>
      <c r="AB665" s="29">
        <f>VLOOKUP($E665,'Product Naming'!$A$1:$P$58,11,FALSE)</f>
        <v>6</v>
      </c>
      <c r="AC665" s="3">
        <f>VLOOKUP($E665,'Product Naming'!$A$1:$P$58,12,FALSE)</f>
        <v>102.17295999999999</v>
      </c>
      <c r="AD665" s="1">
        <f>VLOOKUP($E665,'Product Naming'!$A$1:$P$58,13,FALSE)</f>
        <v>153</v>
      </c>
      <c r="AE665" s="1" t="str">
        <f>VLOOKUP($E665,'Product Naming'!$A$1:$P$58,14,FALSE)</f>
        <v>Alcohol</v>
      </c>
      <c r="AF665" s="1" t="str">
        <f>VLOOKUP($E665,'Product Naming'!$A$1:$P$58,15,FALSE)</f>
        <v>Oxaloacetate</v>
      </c>
      <c r="AG665" s="30" t="str">
        <f>VLOOKUP($E665,'Product Naming'!$A$1:$P$58,16,FALSE)</f>
        <v>Proton symporter</v>
      </c>
      <c r="AH665" s="3" t="str">
        <f>VLOOKUP($E665,'Product Naming'!$A$1:$Q$58,17,FALSE)</f>
        <v>3mptoh_c</v>
      </c>
      <c r="AI665" s="1">
        <f>VLOOKUP($E665,'Product Parameters'!$A$2:$D$59,2,FALSE)</f>
        <v>1</v>
      </c>
      <c r="AJ665" s="1">
        <f>VLOOKUP($E665,'Product Parameters'!$A$2:$D$59,3,FALSE)</f>
        <v>0</v>
      </c>
      <c r="AK665" s="1">
        <f>VLOOKUP($E665,'Product Parameters'!$A$2:$D$59,4,FALSE)</f>
        <v>0.12</v>
      </c>
      <c r="AL665" s="1">
        <f>VLOOKUP($E665,'Product Parameters'!$A$2:$E$59,5,FALSE)</f>
        <v>61.7</v>
      </c>
      <c r="AM665" s="1">
        <f>VLOOKUP($E665,'Product Parameters'!$A$2:$F$59,6,FALSE)</f>
        <v>6</v>
      </c>
      <c r="AN665" s="1">
        <f>VLOOKUP($C665,'Substrate Heating'!$A$2:$C$33,3,FALSE)</f>
        <v>1020.8629199999999</v>
      </c>
      <c r="AO665" s="1">
        <f>VLOOKUP($C665,'Substrate Heating'!$A$2:$B$33,2,FALSE)</f>
        <v>17</v>
      </c>
      <c r="AP665" s="1">
        <f>VLOOKUP($C665,'Substrate Heating'!$A$2:$M$33,13,FALSE)</f>
        <v>4</v>
      </c>
      <c r="AQ665" s="1">
        <f>VLOOKUP($C665,'Substrate Heating'!$A$2:$M$33,8,FALSE)</f>
        <v>2</v>
      </c>
      <c r="AR665" s="1">
        <f t="shared" si="10"/>
        <v>0.55762500000000004</v>
      </c>
    </row>
    <row r="666" spans="1:44" x14ac:dyDescent="0.2">
      <c r="A666" s="17" t="s">
        <v>323</v>
      </c>
      <c r="B666" s="18" t="s">
        <v>324</v>
      </c>
      <c r="C666" t="s">
        <v>335</v>
      </c>
      <c r="D666" s="19" t="s">
        <v>326</v>
      </c>
      <c r="E666" t="s">
        <v>130</v>
      </c>
      <c r="F666" t="s">
        <v>125</v>
      </c>
      <c r="G666">
        <v>-10</v>
      </c>
      <c r="H666">
        <v>0</v>
      </c>
      <c r="I666">
        <v>-10</v>
      </c>
      <c r="J666">
        <v>0.45</v>
      </c>
      <c r="K666">
        <v>-10</v>
      </c>
      <c r="L666">
        <v>0</v>
      </c>
      <c r="M666">
        <v>-10</v>
      </c>
      <c r="N666">
        <v>0</v>
      </c>
      <c r="O666">
        <v>2.1411764705882299</v>
      </c>
      <c r="P666"/>
      <c r="Q666">
        <v>0.214117647058823</v>
      </c>
      <c r="R666">
        <v>0.31662769158144399</v>
      </c>
      <c r="S666" s="1" t="str">
        <f>VLOOKUP($E666,'Product Naming'!$A$1:$P$58,2,FALSE)</f>
        <v>Acrylate-PW2</v>
      </c>
      <c r="T666" s="1" t="str">
        <f>VLOOKUP($E666,'Product Naming'!$A$1:$P$58,3,FALSE)</f>
        <v>Acrylate (PW2)</v>
      </c>
      <c r="U666" s="1" t="str">
        <f>VLOOKUP($E666,'Product Naming'!$A$1:$P$58,4,FALSE)</f>
        <v>A</v>
      </c>
      <c r="V666" s="1" t="str">
        <f>VLOOKUP($E666,'Product Naming'!$A$1:$P$58,5,FALSE)</f>
        <v>C3H3O2</v>
      </c>
      <c r="W666" s="1">
        <f>VLOOKUP($E666,'Product Naming'!$A$1:$P$58,6,FALSE)</f>
        <v>3</v>
      </c>
      <c r="X666" s="1">
        <f>VLOOKUP($E666,'Product Naming'!$A$1:$P$58,7,FALSE)</f>
        <v>3</v>
      </c>
      <c r="Y666" s="1">
        <f>VLOOKUP($E666,'Product Naming'!$A$1:$P$58,8,FALSE)</f>
        <v>2</v>
      </c>
      <c r="Z666" s="1">
        <f>VLOOKUP($E666,'Product Naming'!$A$1:$P$58,9,FALSE)</f>
        <v>0</v>
      </c>
      <c r="AA666" s="1">
        <f>VLOOKUP($E666,'Product Naming'!$A$1:$P$58,10,FALSE)</f>
        <v>-1</v>
      </c>
      <c r="AB666" s="29">
        <f>VLOOKUP($E666,'Product Naming'!$A$1:$P$58,11,FALSE)</f>
        <v>3.6666666666666665</v>
      </c>
      <c r="AC666" s="3">
        <f>VLOOKUP($E666,'Product Naming'!$A$1:$P$58,12,FALSE)</f>
        <v>71.053619999999995</v>
      </c>
      <c r="AD666" s="1">
        <f>VLOOKUP($E666,'Product Naming'!$A$1:$P$58,13,FALSE)</f>
        <v>80</v>
      </c>
      <c r="AE666" s="1" t="str">
        <f>VLOOKUP($E666,'Product Naming'!$A$1:$P$58,14,FALSE)</f>
        <v>Carboxylate</v>
      </c>
      <c r="AF666" s="1" t="str">
        <f>VLOOKUP($E666,'Product Naming'!$A$1:$P$58,15,FALSE)</f>
        <v>Pyruvate</v>
      </c>
      <c r="AG666" s="30" t="str">
        <f>VLOOKUP($E666,'Product Naming'!$A$1:$P$58,16,FALSE)</f>
        <v>Proton symporter</v>
      </c>
      <c r="AH666" s="3" t="str">
        <f>VLOOKUP($E666,'Product Naming'!$A$1:$Q$58,17,FALSE)</f>
        <v>acryl_c</v>
      </c>
      <c r="AI666" s="1">
        <f>VLOOKUP($E666,'Product Parameters'!$A$2:$D$59,2,FALSE)</f>
        <v>1</v>
      </c>
      <c r="AJ666" s="1">
        <f>VLOOKUP($E666,'Product Parameters'!$A$2:$D$59,3,FALSE)</f>
        <v>0</v>
      </c>
      <c r="AK666" s="1">
        <f>VLOOKUP($E666,'Product Parameters'!$A$2:$D$59,4,FALSE)</f>
        <v>0.12</v>
      </c>
      <c r="AL666" s="1">
        <f>VLOOKUP($E666,'Product Parameters'!$A$2:$E$59,5,FALSE)</f>
        <v>53.1</v>
      </c>
      <c r="AM666" s="1">
        <f>VLOOKUP($E666,'Product Parameters'!$A$2:$F$59,6,FALSE)</f>
        <v>3</v>
      </c>
      <c r="AN666" s="1">
        <f>VLOOKUP($C666,'Substrate Heating'!$A$2:$C$33,3,FALSE)</f>
        <v>247.9</v>
      </c>
      <c r="AO666" s="1">
        <f>VLOOKUP($C666,'Substrate Heating'!$A$2:$B$33,2,FALSE)</f>
        <v>10.541709491918519</v>
      </c>
      <c r="AP666" s="1">
        <f>VLOOKUP($C666,'Substrate Heating'!$A$2:$M$33,13,FALSE)</f>
        <v>0.5</v>
      </c>
      <c r="AQ666" s="1">
        <f>VLOOKUP($C666,'Substrate Heating'!$A$2:$M$33,8,FALSE)</f>
        <v>0.5</v>
      </c>
      <c r="AR666" s="1">
        <f t="shared" si="10"/>
        <v>1.284705882352938</v>
      </c>
    </row>
    <row r="667" spans="1:44" x14ac:dyDescent="0.2">
      <c r="A667" s="17" t="s">
        <v>323</v>
      </c>
      <c r="B667" s="18" t="s">
        <v>324</v>
      </c>
      <c r="C667" t="s">
        <v>328</v>
      </c>
      <c r="D667" s="19" t="s">
        <v>326</v>
      </c>
      <c r="E667" t="s">
        <v>103</v>
      </c>
      <c r="F667" t="s">
        <v>104</v>
      </c>
      <c r="G667">
        <v>-10</v>
      </c>
      <c r="H667">
        <v>0</v>
      </c>
      <c r="I667">
        <v>-10</v>
      </c>
      <c r="J667">
        <v>0.45</v>
      </c>
      <c r="K667">
        <v>-10</v>
      </c>
      <c r="L667">
        <v>0</v>
      </c>
      <c r="M667">
        <v>-10</v>
      </c>
      <c r="N667">
        <v>2.8</v>
      </c>
      <c r="O667">
        <v>0.93333333333333302</v>
      </c>
      <c r="P667"/>
      <c r="Q667">
        <v>9.3333333333333005E-2</v>
      </c>
      <c r="R667">
        <v>0.31755387723387701</v>
      </c>
      <c r="S667" s="1" t="str">
        <f>VLOOKUP($E667,'Product Naming'!$A$1:$P$58,2,FALSE)</f>
        <v>3-Methyl-1-Pentanol</v>
      </c>
      <c r="T667" s="1" t="str">
        <f>VLOOKUP($E667,'Product Naming'!$A$1:$P$58,3,FALSE)</f>
        <v>3-Methyl-1-pentanol</v>
      </c>
      <c r="U667" s="1" t="str">
        <f>VLOOKUP($E667,'Product Naming'!$A$1:$P$58,4,FALSE)</f>
        <v>A</v>
      </c>
      <c r="V667" s="1" t="str">
        <f>VLOOKUP($E667,'Product Naming'!$A$1:$P$58,5,FALSE)</f>
        <v>C6H14O</v>
      </c>
      <c r="W667" s="1">
        <f>VLOOKUP($E667,'Product Naming'!$A$1:$P$58,6,FALSE)</f>
        <v>6</v>
      </c>
      <c r="X667" s="1">
        <f>VLOOKUP($E667,'Product Naming'!$A$1:$P$58,7,FALSE)</f>
        <v>14</v>
      </c>
      <c r="Y667" s="1">
        <f>VLOOKUP($E667,'Product Naming'!$A$1:$P$58,8,FALSE)</f>
        <v>1</v>
      </c>
      <c r="Z667" s="1">
        <f>VLOOKUP($E667,'Product Naming'!$A$1:$P$58,9,FALSE)</f>
        <v>0</v>
      </c>
      <c r="AA667" s="1">
        <f>VLOOKUP($E667,'Product Naming'!$A$1:$P$58,10,FALSE)</f>
        <v>0</v>
      </c>
      <c r="AB667" s="29">
        <f>VLOOKUP($E667,'Product Naming'!$A$1:$P$58,11,FALSE)</f>
        <v>6</v>
      </c>
      <c r="AC667" s="3">
        <f>VLOOKUP($E667,'Product Naming'!$A$1:$P$58,12,FALSE)</f>
        <v>102.17295999999999</v>
      </c>
      <c r="AD667" s="1">
        <f>VLOOKUP($E667,'Product Naming'!$A$1:$P$58,13,FALSE)</f>
        <v>153</v>
      </c>
      <c r="AE667" s="1" t="str">
        <f>VLOOKUP($E667,'Product Naming'!$A$1:$P$58,14,FALSE)</f>
        <v>Alcohol</v>
      </c>
      <c r="AF667" s="1" t="str">
        <f>VLOOKUP($E667,'Product Naming'!$A$1:$P$58,15,FALSE)</f>
        <v>Oxaloacetate</v>
      </c>
      <c r="AG667" s="30" t="str">
        <f>VLOOKUP($E667,'Product Naming'!$A$1:$P$58,16,FALSE)</f>
        <v>Proton symporter</v>
      </c>
      <c r="AH667" s="3" t="str">
        <f>VLOOKUP($E667,'Product Naming'!$A$1:$Q$58,17,FALSE)</f>
        <v>3mptoh_c</v>
      </c>
      <c r="AI667" s="1">
        <f>VLOOKUP($E667,'Product Parameters'!$A$2:$D$59,2,FALSE)</f>
        <v>1</v>
      </c>
      <c r="AJ667" s="1">
        <f>VLOOKUP($E667,'Product Parameters'!$A$2:$D$59,3,FALSE)</f>
        <v>0</v>
      </c>
      <c r="AK667" s="1">
        <f>VLOOKUP($E667,'Product Parameters'!$A$2:$D$59,4,FALSE)</f>
        <v>0.12</v>
      </c>
      <c r="AL667" s="1">
        <f>VLOOKUP($E667,'Product Parameters'!$A$2:$E$59,5,FALSE)</f>
        <v>61.7</v>
      </c>
      <c r="AM667" s="1">
        <f>VLOOKUP($E667,'Product Parameters'!$A$2:$F$59,6,FALSE)</f>
        <v>6</v>
      </c>
      <c r="AN667" s="1">
        <f>VLOOKUP($C667,'Substrate Heating'!$A$2:$C$33,3,FALSE)</f>
        <v>262.39999999999998</v>
      </c>
      <c r="AO667" s="1">
        <f>VLOOKUP($C667,'Substrate Heating'!$A$2:$B$33,2,FALSE)</f>
        <v>17.478546483008707</v>
      </c>
      <c r="AP667" s="1">
        <f>VLOOKUP($C667,'Substrate Heating'!$A$2:$M$33,13,FALSE)</f>
        <v>1</v>
      </c>
      <c r="AQ667" s="1">
        <f>VLOOKUP($C667,'Substrate Heating'!$A$2:$M$33,8,FALSE)</f>
        <v>0.5</v>
      </c>
      <c r="AR667" s="1">
        <f t="shared" si="10"/>
        <v>1.1199999999999961</v>
      </c>
    </row>
    <row r="668" spans="1:44" x14ac:dyDescent="0.2">
      <c r="A668" s="8" t="s">
        <v>34</v>
      </c>
      <c r="B668" s="9" t="s">
        <v>35</v>
      </c>
      <c r="C668" s="1" t="s">
        <v>349</v>
      </c>
      <c r="D668" s="25" t="s">
        <v>342</v>
      </c>
      <c r="E668" s="1" t="s">
        <v>313</v>
      </c>
      <c r="F668" s="1" t="s">
        <v>314</v>
      </c>
      <c r="G668" s="1">
        <v>-10</v>
      </c>
      <c r="H668" s="1">
        <v>-20</v>
      </c>
      <c r="I668" s="1" t="s">
        <v>40</v>
      </c>
      <c r="J668" s="1">
        <v>3.15</v>
      </c>
      <c r="K668" s="1">
        <v>-10</v>
      </c>
      <c r="L668" s="1">
        <v>-4.0628272251308903</v>
      </c>
      <c r="M668" s="1" t="s">
        <v>40</v>
      </c>
      <c r="N668" s="1">
        <v>13.250261780104699</v>
      </c>
      <c r="O668" s="1">
        <v>4.5937172774869097</v>
      </c>
      <c r="Q668" s="1">
        <v>0.45937172774869101</v>
      </c>
      <c r="R668" s="1">
        <v>0.31867577233413402</v>
      </c>
      <c r="S668" s="1" t="str">
        <f>VLOOKUP($E668,'Product Naming'!$A$1:$P$58,2,FALSE)</f>
        <v>Styrene</v>
      </c>
      <c r="T668" s="1" t="str">
        <f>VLOOKUP($E668,'Product Naming'!$A$1:$P$58,3,FALSE)</f>
        <v>Styrene</v>
      </c>
      <c r="U668" s="1" t="str">
        <f>VLOOKUP($E668,'Product Naming'!$A$1:$P$58,4,FALSE)</f>
        <v>E-S</v>
      </c>
      <c r="V668" s="1" t="str">
        <f>VLOOKUP($E668,'Product Naming'!$A$1:$P$58,5,FALSE)</f>
        <v>C8H8</v>
      </c>
      <c r="W668" s="1">
        <f>VLOOKUP($E668,'Product Naming'!$A$1:$P$58,6,FALSE)</f>
        <v>8</v>
      </c>
      <c r="X668" s="1">
        <f>VLOOKUP($E668,'Product Naming'!$A$1:$P$58,7,FALSE)</f>
        <v>8</v>
      </c>
      <c r="Y668" s="1">
        <f>VLOOKUP($E668,'Product Naming'!$A$1:$P$58,8,FALSE)</f>
        <v>0</v>
      </c>
      <c r="Z668" s="1">
        <f>VLOOKUP($E668,'Product Naming'!$A$1:$P$58,9,FALSE)</f>
        <v>0</v>
      </c>
      <c r="AA668" s="1">
        <f>VLOOKUP($E668,'Product Naming'!$A$1:$P$58,10,FALSE)</f>
        <v>0</v>
      </c>
      <c r="AB668" s="29">
        <f>VLOOKUP($E668,'Product Naming'!$A$1:$P$58,11,FALSE)</f>
        <v>5</v>
      </c>
      <c r="AC668" s="3">
        <f>VLOOKUP($E668,'Product Naming'!$A$1:$P$58,12,FALSE)</f>
        <v>104.14832</v>
      </c>
      <c r="AD668" s="1">
        <f>VLOOKUP($E668,'Product Naming'!$A$1:$P$58,13,FALSE)</f>
        <v>145</v>
      </c>
      <c r="AE668" s="1" t="str">
        <f>VLOOKUP($E668,'Product Naming'!$A$1:$P$58,14,FALSE)</f>
        <v>Cycloalkane</v>
      </c>
      <c r="AF668" s="1" t="str">
        <f>VLOOKUP($E668,'Product Naming'!$A$1:$P$58,15,FALSE)</f>
        <v>E4P</v>
      </c>
      <c r="AG668" s="30" t="str">
        <f>VLOOKUP($E668,'Product Naming'!$A$1:$P$58,16,FALSE)</f>
        <v>Proton symporter</v>
      </c>
      <c r="AH668" s="3" t="str">
        <f>VLOOKUP($E668,'Product Naming'!$A$1:$Q$58,17,FALSE)</f>
        <v>styr_c</v>
      </c>
      <c r="AI668" s="1">
        <f>VLOOKUP($E668,'Product Parameters'!$A$2:$D$59,2,FALSE)</f>
        <v>1</v>
      </c>
      <c r="AJ668" s="1">
        <f>VLOOKUP($E668,'Product Parameters'!$A$2:$D$59,3,FALSE)</f>
        <v>0</v>
      </c>
      <c r="AK668" s="1">
        <f>VLOOKUP($E668,'Product Parameters'!$A$2:$D$59,4,FALSE)</f>
        <v>0.12</v>
      </c>
      <c r="AL668" s="1">
        <f>VLOOKUP($E668,'Product Parameters'!$A$2:$E$59,5,FALSE)</f>
        <v>43.9</v>
      </c>
      <c r="AM668" s="1">
        <f>VLOOKUP($E668,'Product Parameters'!$A$2:$F$59,6,FALSE)</f>
        <v>8</v>
      </c>
      <c r="AN668" s="1">
        <f>VLOOKUP($C668,'Substrate Heating'!$A$2:$C$33,3,FALSE)</f>
        <v>2342.0279999999998</v>
      </c>
      <c r="AO668" s="1">
        <f>VLOOKUP($C668,'Substrate Heating'!$A$2:$B$33,2,FALSE)</f>
        <v>15.6</v>
      </c>
      <c r="AP668" s="1">
        <f>VLOOKUP($C668,'Substrate Heating'!$A$2:$M$33,13,FALSE)</f>
        <v>4</v>
      </c>
      <c r="AQ668" s="1">
        <f>VLOOKUP($C668,'Substrate Heating'!$A$2:$M$33,8,FALSE)</f>
        <v>5</v>
      </c>
      <c r="AR668" s="1">
        <f t="shared" si="10"/>
        <v>0.73499476439790556</v>
      </c>
    </row>
    <row r="669" spans="1:44" x14ac:dyDescent="0.2">
      <c r="A669" s="8" t="s">
        <v>34</v>
      </c>
      <c r="B669" s="9" t="s">
        <v>35</v>
      </c>
      <c r="C669" s="1" t="s">
        <v>343</v>
      </c>
      <c r="D669" s="24" t="s">
        <v>342</v>
      </c>
      <c r="E669" s="1" t="s">
        <v>158</v>
      </c>
      <c r="F669" s="1" t="s">
        <v>159</v>
      </c>
      <c r="G669" s="1">
        <v>-10</v>
      </c>
      <c r="H669" s="1">
        <v>-20</v>
      </c>
      <c r="I669" s="1" t="s">
        <v>40</v>
      </c>
      <c r="J669" s="1">
        <v>3.15</v>
      </c>
      <c r="K669" s="1">
        <v>-10</v>
      </c>
      <c r="L669" s="1">
        <v>-2.1300000000000101</v>
      </c>
      <c r="M669" s="1" t="s">
        <v>40</v>
      </c>
      <c r="N669" s="1">
        <v>9.7723076923076597</v>
      </c>
      <c r="O669" s="1">
        <v>5.05692307692307</v>
      </c>
      <c r="Q669" s="1">
        <v>0.505692307692307</v>
      </c>
      <c r="R669" s="1">
        <v>0.31914675440595403</v>
      </c>
      <c r="S669" s="1" t="str">
        <f>VLOOKUP($E669,'Product Naming'!$A$1:$P$58,2,FALSE)</f>
        <v>Butane</v>
      </c>
      <c r="T669" s="1" t="str">
        <f>VLOOKUP($E669,'Product Naming'!$A$1:$P$58,3,FALSE)</f>
        <v>Butane</v>
      </c>
      <c r="U669" s="1" t="str">
        <f>VLOOKUP($E669,'Product Naming'!$A$1:$P$58,4,FALSE)</f>
        <v>E</v>
      </c>
      <c r="V669" s="1" t="str">
        <f>VLOOKUP($E669,'Product Naming'!$A$1:$P$58,5,FALSE)</f>
        <v>C4H10</v>
      </c>
      <c r="W669" s="1">
        <f>VLOOKUP($E669,'Product Naming'!$A$1:$P$58,6,FALSE)</f>
        <v>4</v>
      </c>
      <c r="X669" s="1">
        <f>VLOOKUP($E669,'Product Naming'!$A$1:$P$58,7,FALSE)</f>
        <v>10</v>
      </c>
      <c r="Y669" s="1">
        <f>VLOOKUP($E669,'Product Naming'!$A$1:$P$58,8,FALSE)</f>
        <v>0</v>
      </c>
      <c r="Z669" s="1">
        <f>VLOOKUP($E669,'Product Naming'!$A$1:$P$58,9,FALSE)</f>
        <v>0</v>
      </c>
      <c r="AA669" s="1">
        <f>VLOOKUP($E669,'Product Naming'!$A$1:$P$58,10,FALSE)</f>
        <v>0</v>
      </c>
      <c r="AB669" s="29">
        <f>VLOOKUP($E669,'Product Naming'!$A$1:$P$58,11,FALSE)</f>
        <v>6.5</v>
      </c>
      <c r="AC669" s="3">
        <f>VLOOKUP($E669,'Product Naming'!$A$1:$P$58,12,FALSE)</f>
        <v>58.121200000000002</v>
      </c>
      <c r="AD669" s="1">
        <f>VLOOKUP($E669,'Product Naming'!$A$1:$P$58,13,FALSE)</f>
        <v>-1</v>
      </c>
      <c r="AE669" s="1" t="str">
        <f>VLOOKUP($E669,'Product Naming'!$A$1:$P$58,14,FALSE)</f>
        <v>Hydrocarbon (alkane)</v>
      </c>
      <c r="AF669" s="1" t="str">
        <f>VLOOKUP($E669,'Product Naming'!$A$1:$P$58,15,FALSE)</f>
        <v>Acetyl-CoA + Succinyl-CoA</v>
      </c>
      <c r="AG669" s="30" t="str">
        <f>VLOOKUP($E669,'Product Naming'!$A$1:$P$58,16,FALSE)</f>
        <v>Diffusion</v>
      </c>
      <c r="AH669" s="3" t="str">
        <f>VLOOKUP($E669,'Product Naming'!$A$1:$Q$58,17,FALSE)</f>
        <v>butn_c</v>
      </c>
      <c r="AI669" s="1">
        <f>VLOOKUP($E669,'Product Parameters'!$A$2:$D$59,2,FALSE)</f>
        <v>0</v>
      </c>
      <c r="AJ669" s="1">
        <f>VLOOKUP($E669,'Product Parameters'!$A$2:$D$59,3,FALSE)</f>
        <v>1</v>
      </c>
      <c r="AK669" s="1">
        <f>VLOOKUP($E669,'Product Parameters'!$A$2:$D$59,4,FALSE)</f>
        <v>0.12</v>
      </c>
      <c r="AL669" s="1">
        <f>VLOOKUP($E669,'Product Parameters'!$A$2:$E$59,5,FALSE)</f>
        <v>0</v>
      </c>
      <c r="AM669" s="1">
        <f>VLOOKUP($E669,'Product Parameters'!$A$2:$F$59,6,FALSE)</f>
        <v>4</v>
      </c>
      <c r="AN669" s="1">
        <f>VLOOKUP($C669,'Substrate Heating'!$A$2:$C$33,3,FALSE)</f>
        <v>1648.4793779999998</v>
      </c>
      <c r="AO669" s="1">
        <f>VLOOKUP($C669,'Substrate Heating'!$A$2:$B$33,2,FALSE)</f>
        <v>17.899999999999999</v>
      </c>
      <c r="AP669" s="1">
        <f>VLOOKUP($C669,'Substrate Heating'!$A$2:$M$33,13,FALSE)</f>
        <v>4.666666666666667</v>
      </c>
      <c r="AQ669" s="1">
        <f>VLOOKUP($C669,'Substrate Heating'!$A$2:$M$33,8,FALSE)</f>
        <v>3</v>
      </c>
      <c r="AR669" s="1">
        <f t="shared" si="10"/>
        <v>0.67425641025640937</v>
      </c>
    </row>
    <row r="670" spans="1:44" x14ac:dyDescent="0.2">
      <c r="A670" s="17" t="s">
        <v>323</v>
      </c>
      <c r="B670" s="18" t="s">
        <v>324</v>
      </c>
      <c r="C670" t="s">
        <v>327</v>
      </c>
      <c r="D670" s="19" t="s">
        <v>326</v>
      </c>
      <c r="E670" t="s">
        <v>164</v>
      </c>
      <c r="F670" t="s">
        <v>165</v>
      </c>
      <c r="G670">
        <v>-10</v>
      </c>
      <c r="H670">
        <v>0</v>
      </c>
      <c r="I670">
        <v>-5</v>
      </c>
      <c r="J670">
        <v>0.45</v>
      </c>
      <c r="K670">
        <v>-10</v>
      </c>
      <c r="L670">
        <v>0</v>
      </c>
      <c r="M670">
        <v>-5</v>
      </c>
      <c r="N670">
        <v>5</v>
      </c>
      <c r="O670">
        <v>1.25</v>
      </c>
      <c r="P670"/>
      <c r="Q670">
        <v>0.125</v>
      </c>
      <c r="R670">
        <v>0.31926343900757997</v>
      </c>
      <c r="S670" s="1" t="str">
        <f>VLOOKUP($E670,'Product Naming'!$A$1:$P$58,2,FALSE)</f>
        <v>Butanol-PW1</v>
      </c>
      <c r="T670" s="1" t="str">
        <f>VLOOKUP($E670,'Product Naming'!$A$1:$P$58,3,FALSE)</f>
        <v>Butanol (PW1)</v>
      </c>
      <c r="U670" s="1" t="str">
        <f>VLOOKUP($E670,'Product Naming'!$A$1:$P$58,4,FALSE)</f>
        <v>E</v>
      </c>
      <c r="V670" s="1" t="str">
        <f>VLOOKUP($E670,'Product Naming'!$A$1:$P$58,5,FALSE)</f>
        <v>C4H10O</v>
      </c>
      <c r="W670" s="1">
        <f>VLOOKUP($E670,'Product Naming'!$A$1:$P$58,6,FALSE)</f>
        <v>4</v>
      </c>
      <c r="X670" s="1">
        <f>VLOOKUP($E670,'Product Naming'!$A$1:$P$58,7,FALSE)</f>
        <v>10</v>
      </c>
      <c r="Y670" s="1">
        <f>VLOOKUP($E670,'Product Naming'!$A$1:$P$58,8,FALSE)</f>
        <v>1</v>
      </c>
      <c r="Z670" s="1">
        <f>VLOOKUP($E670,'Product Naming'!$A$1:$P$58,9,FALSE)</f>
        <v>0</v>
      </c>
      <c r="AA670" s="1">
        <f>VLOOKUP($E670,'Product Naming'!$A$1:$P$58,10,FALSE)</f>
        <v>0</v>
      </c>
      <c r="AB670" s="29">
        <f>VLOOKUP($E670,'Product Naming'!$A$1:$P$58,11,FALSE)</f>
        <v>6</v>
      </c>
      <c r="AC670" s="3">
        <f>VLOOKUP($E670,'Product Naming'!$A$1:$P$58,12,FALSE)</f>
        <v>74.120199999999997</v>
      </c>
      <c r="AD670" s="1">
        <f>VLOOKUP($E670,'Product Naming'!$A$1:$P$58,13,FALSE)</f>
        <v>117.7</v>
      </c>
      <c r="AE670" s="1" t="str">
        <f>VLOOKUP($E670,'Product Naming'!$A$1:$P$58,14,FALSE)</f>
        <v>Alcohol</v>
      </c>
      <c r="AF670" s="1" t="str">
        <f>VLOOKUP($E670,'Product Naming'!$A$1:$P$58,15,FALSE)</f>
        <v>Acetyl-CoA</v>
      </c>
      <c r="AG670" s="30" t="str">
        <f>VLOOKUP($E670,'Product Naming'!$A$1:$P$58,16,FALSE)</f>
        <v>Proton symporter</v>
      </c>
      <c r="AH670" s="3" t="str">
        <f>VLOOKUP($E670,'Product Naming'!$A$1:$Q$58,17,FALSE)</f>
        <v>btoh_c</v>
      </c>
      <c r="AI670" s="1">
        <f>VLOOKUP($E670,'Product Parameters'!$A$2:$D$59,2,FALSE)</f>
        <v>1</v>
      </c>
      <c r="AJ670" s="1">
        <f>VLOOKUP($E670,'Product Parameters'!$A$2:$D$59,3,FALSE)</f>
        <v>0</v>
      </c>
      <c r="AK670" s="1">
        <f>VLOOKUP($E670,'Product Parameters'!$A$2:$D$59,4,FALSE)</f>
        <v>0.12</v>
      </c>
      <c r="AL670" s="1">
        <f>VLOOKUP($E670,'Product Parameters'!$A$2:$E$59,5,FALSE)</f>
        <v>52</v>
      </c>
      <c r="AM670" s="1">
        <f>VLOOKUP($E670,'Product Parameters'!$A$2:$F$59,6,FALSE)</f>
        <v>4</v>
      </c>
      <c r="AN670" s="1">
        <f>VLOOKUP($C670,'Substrate Heating'!$A$2:$C$33,3,FALSE)</f>
        <v>269.26666666666665</v>
      </c>
      <c r="AO670" s="1">
        <f>VLOOKUP($C670,'Substrate Heating'!$A$2:$B$33,2,FALSE)</f>
        <v>13.919167510409219</v>
      </c>
      <c r="AP670" s="1">
        <f>VLOOKUP($C670,'Substrate Heating'!$A$2:$M$33,13,FALSE)</f>
        <v>1.3333333333333333</v>
      </c>
      <c r="AQ670" s="1">
        <f>VLOOKUP($C670,'Substrate Heating'!$A$2:$M$33,8,FALSE)</f>
        <v>0.66666666666666663</v>
      </c>
      <c r="AR670" s="1">
        <f t="shared" si="10"/>
        <v>0.75</v>
      </c>
    </row>
    <row r="671" spans="1:44" x14ac:dyDescent="0.2">
      <c r="A671" s="17" t="s">
        <v>323</v>
      </c>
      <c r="B671" s="18" t="s">
        <v>324</v>
      </c>
      <c r="C671" t="s">
        <v>327</v>
      </c>
      <c r="D671" s="19" t="s">
        <v>326</v>
      </c>
      <c r="E671" t="s">
        <v>169</v>
      </c>
      <c r="F671" t="s">
        <v>165</v>
      </c>
      <c r="G671">
        <v>-10</v>
      </c>
      <c r="H671">
        <v>0</v>
      </c>
      <c r="I671">
        <v>-5</v>
      </c>
      <c r="J671">
        <v>0.45</v>
      </c>
      <c r="K671">
        <v>-10</v>
      </c>
      <c r="L671">
        <v>0</v>
      </c>
      <c r="M671">
        <v>-5</v>
      </c>
      <c r="N671">
        <v>5</v>
      </c>
      <c r="O671">
        <v>1.25</v>
      </c>
      <c r="P671"/>
      <c r="Q671">
        <v>0.125</v>
      </c>
      <c r="R671">
        <v>0.31926343900758097</v>
      </c>
      <c r="S671" s="1" t="str">
        <f>VLOOKUP($E671,'Product Naming'!$A$1:$P$58,2,FALSE)</f>
        <v>Butanol-PW2</v>
      </c>
      <c r="T671" s="1" t="str">
        <f>VLOOKUP($E671,'Product Naming'!$A$1:$P$58,3,FALSE)</f>
        <v>Butanol (PW2)</v>
      </c>
      <c r="U671" s="1" t="str">
        <f>VLOOKUP($E671,'Product Naming'!$A$1:$P$58,4,FALSE)</f>
        <v>E</v>
      </c>
      <c r="V671" s="1" t="str">
        <f>VLOOKUP($E671,'Product Naming'!$A$1:$P$58,5,FALSE)</f>
        <v>C4H10O</v>
      </c>
      <c r="W671" s="1">
        <f>VLOOKUP($E671,'Product Naming'!$A$1:$P$58,6,FALSE)</f>
        <v>4</v>
      </c>
      <c r="X671" s="1">
        <f>VLOOKUP($E671,'Product Naming'!$A$1:$P$58,7,FALSE)</f>
        <v>10</v>
      </c>
      <c r="Y671" s="1">
        <f>VLOOKUP($E671,'Product Naming'!$A$1:$P$58,8,FALSE)</f>
        <v>1</v>
      </c>
      <c r="Z671" s="1">
        <f>VLOOKUP($E671,'Product Naming'!$A$1:$P$58,9,FALSE)</f>
        <v>0</v>
      </c>
      <c r="AA671" s="1">
        <f>VLOOKUP($E671,'Product Naming'!$A$1:$P$58,10,FALSE)</f>
        <v>0</v>
      </c>
      <c r="AB671" s="29">
        <f>VLOOKUP($E671,'Product Naming'!$A$1:$P$58,11,FALSE)</f>
        <v>6</v>
      </c>
      <c r="AC671" s="3">
        <f>VLOOKUP($E671,'Product Naming'!$A$1:$P$58,12,FALSE)</f>
        <v>74.120199999999997</v>
      </c>
      <c r="AD671" s="1">
        <f>VLOOKUP($E671,'Product Naming'!$A$1:$P$58,13,FALSE)</f>
        <v>117.7</v>
      </c>
      <c r="AE671" s="1" t="str">
        <f>VLOOKUP($E671,'Product Naming'!$A$1:$P$58,14,FALSE)</f>
        <v>Alcohol</v>
      </c>
      <c r="AF671" s="1" t="str">
        <f>VLOOKUP($E671,'Product Naming'!$A$1:$P$58,15,FALSE)</f>
        <v>Oxaloacetate</v>
      </c>
      <c r="AG671" s="30" t="str">
        <f>VLOOKUP($E671,'Product Naming'!$A$1:$P$58,16,FALSE)</f>
        <v>Proton symporter</v>
      </c>
      <c r="AH671" s="3" t="str">
        <f>VLOOKUP($E671,'Product Naming'!$A$1:$Q$58,17,FALSE)</f>
        <v>btoh_c</v>
      </c>
      <c r="AI671" s="1">
        <f>VLOOKUP($E671,'Product Parameters'!$A$2:$D$59,2,FALSE)</f>
        <v>1</v>
      </c>
      <c r="AJ671" s="1">
        <f>VLOOKUP($E671,'Product Parameters'!$A$2:$D$59,3,FALSE)</f>
        <v>0</v>
      </c>
      <c r="AK671" s="1">
        <f>VLOOKUP($E671,'Product Parameters'!$A$2:$D$59,4,FALSE)</f>
        <v>0.12</v>
      </c>
      <c r="AL671" s="1">
        <f>VLOOKUP($E671,'Product Parameters'!$A$2:$E$59,5,FALSE)</f>
        <v>52</v>
      </c>
      <c r="AM671" s="1">
        <f>VLOOKUP($E671,'Product Parameters'!$A$2:$F$59,6,FALSE)</f>
        <v>4</v>
      </c>
      <c r="AN671" s="1">
        <f>VLOOKUP($C671,'Substrate Heating'!$A$2:$C$33,3,FALSE)</f>
        <v>269.26666666666665</v>
      </c>
      <c r="AO671" s="1">
        <f>VLOOKUP($C671,'Substrate Heating'!$A$2:$B$33,2,FALSE)</f>
        <v>13.919167510409219</v>
      </c>
      <c r="AP671" s="1">
        <f>VLOOKUP($C671,'Substrate Heating'!$A$2:$M$33,13,FALSE)</f>
        <v>1.3333333333333333</v>
      </c>
      <c r="AQ671" s="1">
        <f>VLOOKUP($C671,'Substrate Heating'!$A$2:$M$33,8,FALSE)</f>
        <v>0.66666666666666663</v>
      </c>
      <c r="AR671" s="1">
        <f t="shared" si="10"/>
        <v>0.75</v>
      </c>
    </row>
    <row r="672" spans="1:44" x14ac:dyDescent="0.2">
      <c r="A672" s="17" t="s">
        <v>323</v>
      </c>
      <c r="B672" s="18" t="s">
        <v>324</v>
      </c>
      <c r="C672" t="s">
        <v>325</v>
      </c>
      <c r="D672" s="19" t="s">
        <v>326</v>
      </c>
      <c r="E672" t="s">
        <v>130</v>
      </c>
      <c r="F672" t="s">
        <v>125</v>
      </c>
      <c r="G672">
        <v>-10</v>
      </c>
      <c r="H672">
        <v>0</v>
      </c>
      <c r="I672">
        <v>0</v>
      </c>
      <c r="J672">
        <v>0.45</v>
      </c>
      <c r="K672">
        <v>-10</v>
      </c>
      <c r="L672">
        <v>0</v>
      </c>
      <c r="M672">
        <v>0</v>
      </c>
      <c r="N672">
        <v>5</v>
      </c>
      <c r="O672">
        <v>1.25882352941177</v>
      </c>
      <c r="P672"/>
      <c r="Q672">
        <v>0.125882352941177</v>
      </c>
      <c r="R672">
        <v>0.31932869941407499</v>
      </c>
      <c r="S672" s="1" t="str">
        <f>VLOOKUP($E672,'Product Naming'!$A$1:$P$58,2,FALSE)</f>
        <v>Acrylate-PW2</v>
      </c>
      <c r="T672" s="1" t="str">
        <f>VLOOKUP($E672,'Product Naming'!$A$1:$P$58,3,FALSE)</f>
        <v>Acrylate (PW2)</v>
      </c>
      <c r="U672" s="1" t="str">
        <f>VLOOKUP($E672,'Product Naming'!$A$1:$P$58,4,FALSE)</f>
        <v>A</v>
      </c>
      <c r="V672" s="1" t="str">
        <f>VLOOKUP($E672,'Product Naming'!$A$1:$P$58,5,FALSE)</f>
        <v>C3H3O2</v>
      </c>
      <c r="W672" s="1">
        <f>VLOOKUP($E672,'Product Naming'!$A$1:$P$58,6,FALSE)</f>
        <v>3</v>
      </c>
      <c r="X672" s="1">
        <f>VLOOKUP($E672,'Product Naming'!$A$1:$P$58,7,FALSE)</f>
        <v>3</v>
      </c>
      <c r="Y672" s="1">
        <f>VLOOKUP($E672,'Product Naming'!$A$1:$P$58,8,FALSE)</f>
        <v>2</v>
      </c>
      <c r="Z672" s="1">
        <f>VLOOKUP($E672,'Product Naming'!$A$1:$P$58,9,FALSE)</f>
        <v>0</v>
      </c>
      <c r="AA672" s="1">
        <f>VLOOKUP($E672,'Product Naming'!$A$1:$P$58,10,FALSE)</f>
        <v>-1</v>
      </c>
      <c r="AB672" s="29">
        <f>VLOOKUP($E672,'Product Naming'!$A$1:$P$58,11,FALSE)</f>
        <v>3.6666666666666665</v>
      </c>
      <c r="AC672" s="3">
        <f>VLOOKUP($E672,'Product Naming'!$A$1:$P$58,12,FALSE)</f>
        <v>71.053619999999995</v>
      </c>
      <c r="AD672" s="1">
        <f>VLOOKUP($E672,'Product Naming'!$A$1:$P$58,13,FALSE)</f>
        <v>80</v>
      </c>
      <c r="AE672" s="1" t="str">
        <f>VLOOKUP($E672,'Product Naming'!$A$1:$P$58,14,FALSE)</f>
        <v>Carboxylate</v>
      </c>
      <c r="AF672" s="1" t="str">
        <f>VLOOKUP($E672,'Product Naming'!$A$1:$P$58,15,FALSE)</f>
        <v>Pyruvate</v>
      </c>
      <c r="AG672" s="30" t="str">
        <f>VLOOKUP($E672,'Product Naming'!$A$1:$P$58,16,FALSE)</f>
        <v>Proton symporter</v>
      </c>
      <c r="AH672" s="3" t="str">
        <f>VLOOKUP($E672,'Product Naming'!$A$1:$Q$58,17,FALSE)</f>
        <v>acryl_c</v>
      </c>
      <c r="AI672" s="1">
        <f>VLOOKUP($E672,'Product Parameters'!$A$2:$D$59,2,FALSE)</f>
        <v>1</v>
      </c>
      <c r="AJ672" s="1">
        <f>VLOOKUP($E672,'Product Parameters'!$A$2:$D$59,3,FALSE)</f>
        <v>0</v>
      </c>
      <c r="AK672" s="1">
        <f>VLOOKUP($E672,'Product Parameters'!$A$2:$D$59,4,FALSE)</f>
        <v>0.12</v>
      </c>
      <c r="AL672" s="1">
        <f>VLOOKUP($E672,'Product Parameters'!$A$2:$E$59,5,FALSE)</f>
        <v>53.1</v>
      </c>
      <c r="AM672" s="1">
        <f>VLOOKUP($E672,'Product Parameters'!$A$2:$F$59,6,FALSE)</f>
        <v>3</v>
      </c>
      <c r="AN672" s="1">
        <f>VLOOKUP($C672,'Substrate Heating'!$A$2:$C$33,3,FALSE)</f>
        <v>280.09700000000004</v>
      </c>
      <c r="AO672" s="1">
        <f>VLOOKUP($C672,'Substrate Heating'!$A$2:$B$33,2,FALSE)</f>
        <v>10</v>
      </c>
      <c r="AP672" s="1">
        <f>VLOOKUP($C672,'Substrate Heating'!$A$2:$M$33,13,FALSE)</f>
        <v>2</v>
      </c>
      <c r="AQ672" s="1">
        <f>VLOOKUP($C672,'Substrate Heating'!$A$2:$M$33,8,FALSE)</f>
        <v>1</v>
      </c>
      <c r="AR672" s="1">
        <f t="shared" si="10"/>
        <v>0.377647058823531</v>
      </c>
    </row>
    <row r="673" spans="1:44" x14ac:dyDescent="0.2">
      <c r="A673" s="8" t="s">
        <v>34</v>
      </c>
      <c r="B673" s="9" t="s">
        <v>35</v>
      </c>
      <c r="C673" s="1" t="s">
        <v>341</v>
      </c>
      <c r="D673" s="24" t="s">
        <v>342</v>
      </c>
      <c r="E673" s="1" t="s">
        <v>313</v>
      </c>
      <c r="F673" s="1" t="s">
        <v>314</v>
      </c>
      <c r="G673" s="1">
        <v>-10</v>
      </c>
      <c r="H673" s="1">
        <v>-20</v>
      </c>
      <c r="I673" s="1" t="s">
        <v>40</v>
      </c>
      <c r="J673" s="1">
        <v>3.15</v>
      </c>
      <c r="K673" s="1">
        <v>-10</v>
      </c>
      <c r="L673" s="1">
        <v>-4.6387434554973801</v>
      </c>
      <c r="M673" s="1" t="s">
        <v>40</v>
      </c>
      <c r="N673" s="1">
        <v>15.710994764397901</v>
      </c>
      <c r="O673" s="1">
        <v>5.5361256544502604</v>
      </c>
      <c r="Q673" s="1">
        <v>0.55361256544502602</v>
      </c>
      <c r="R673" s="1">
        <v>0.32005045188431402</v>
      </c>
      <c r="S673" s="1" t="str">
        <f>VLOOKUP($E673,'Product Naming'!$A$1:$P$58,2,FALSE)</f>
        <v>Styrene</v>
      </c>
      <c r="T673" s="1" t="str">
        <f>VLOOKUP($E673,'Product Naming'!$A$1:$P$58,3,FALSE)</f>
        <v>Styrene</v>
      </c>
      <c r="U673" s="1" t="str">
        <f>VLOOKUP($E673,'Product Naming'!$A$1:$P$58,4,FALSE)</f>
        <v>E-S</v>
      </c>
      <c r="V673" s="1" t="str">
        <f>VLOOKUP($E673,'Product Naming'!$A$1:$P$58,5,FALSE)</f>
        <v>C8H8</v>
      </c>
      <c r="W673" s="1">
        <f>VLOOKUP($E673,'Product Naming'!$A$1:$P$58,6,FALSE)</f>
        <v>8</v>
      </c>
      <c r="X673" s="1">
        <f>VLOOKUP($E673,'Product Naming'!$A$1:$P$58,7,FALSE)</f>
        <v>8</v>
      </c>
      <c r="Y673" s="1">
        <f>VLOOKUP($E673,'Product Naming'!$A$1:$P$58,8,FALSE)</f>
        <v>0</v>
      </c>
      <c r="Z673" s="1">
        <f>VLOOKUP($E673,'Product Naming'!$A$1:$P$58,9,FALSE)</f>
        <v>0</v>
      </c>
      <c r="AA673" s="1">
        <f>VLOOKUP($E673,'Product Naming'!$A$1:$P$58,10,FALSE)</f>
        <v>0</v>
      </c>
      <c r="AB673" s="29">
        <f>VLOOKUP($E673,'Product Naming'!$A$1:$P$58,11,FALSE)</f>
        <v>5</v>
      </c>
      <c r="AC673" s="3">
        <f>VLOOKUP($E673,'Product Naming'!$A$1:$P$58,12,FALSE)</f>
        <v>104.14832</v>
      </c>
      <c r="AD673" s="1">
        <f>VLOOKUP($E673,'Product Naming'!$A$1:$P$58,13,FALSE)</f>
        <v>145</v>
      </c>
      <c r="AE673" s="1" t="str">
        <f>VLOOKUP($E673,'Product Naming'!$A$1:$P$58,14,FALSE)</f>
        <v>Cycloalkane</v>
      </c>
      <c r="AF673" s="1" t="str">
        <f>VLOOKUP($E673,'Product Naming'!$A$1:$P$58,15,FALSE)</f>
        <v>E4P</v>
      </c>
      <c r="AG673" s="30" t="str">
        <f>VLOOKUP($E673,'Product Naming'!$A$1:$P$58,16,FALSE)</f>
        <v>Proton symporter</v>
      </c>
      <c r="AH673" s="3" t="str">
        <f>VLOOKUP($E673,'Product Naming'!$A$1:$Q$58,17,FALSE)</f>
        <v>styr_c</v>
      </c>
      <c r="AI673" s="1">
        <f>VLOOKUP($E673,'Product Parameters'!$A$2:$D$59,2,FALSE)</f>
        <v>1</v>
      </c>
      <c r="AJ673" s="1">
        <f>VLOOKUP($E673,'Product Parameters'!$A$2:$D$59,3,FALSE)</f>
        <v>0</v>
      </c>
      <c r="AK673" s="1">
        <f>VLOOKUP($E673,'Product Parameters'!$A$2:$D$59,4,FALSE)</f>
        <v>0.12</v>
      </c>
      <c r="AL673" s="1">
        <f>VLOOKUP($E673,'Product Parameters'!$A$2:$E$59,5,FALSE)</f>
        <v>43.9</v>
      </c>
      <c r="AM673" s="1">
        <f>VLOOKUP($E673,'Product Parameters'!$A$2:$F$59,6,FALSE)</f>
        <v>8</v>
      </c>
      <c r="AN673" s="1">
        <f>VLOOKUP($C673,'Substrate Heating'!$A$2:$C$33,3,FALSE)</f>
        <v>2828.4492</v>
      </c>
      <c r="AO673" s="1">
        <f>VLOOKUP($C673,'Substrate Heating'!$A$2:$B$33,2,FALSE)</f>
        <v>15.7</v>
      </c>
      <c r="AP673" s="1">
        <f>VLOOKUP($C673,'Substrate Heating'!$A$2:$M$33,13,FALSE)</f>
        <v>4</v>
      </c>
      <c r="AQ673" s="1">
        <f>VLOOKUP($C673,'Substrate Heating'!$A$2:$M$33,8,FALSE)</f>
        <v>6</v>
      </c>
      <c r="AR673" s="1">
        <f t="shared" si="10"/>
        <v>0.73815008726003473</v>
      </c>
    </row>
    <row r="674" spans="1:44" x14ac:dyDescent="0.2">
      <c r="A674" s="8" t="s">
        <v>816</v>
      </c>
      <c r="B674" s="18" t="s">
        <v>324</v>
      </c>
      <c r="C674" t="s">
        <v>815</v>
      </c>
      <c r="D674" s="19" t="s">
        <v>326</v>
      </c>
      <c r="E674" t="s">
        <v>81</v>
      </c>
      <c r="F674" t="s">
        <v>73</v>
      </c>
      <c r="G674">
        <v>-10</v>
      </c>
      <c r="H674">
        <v>0</v>
      </c>
      <c r="I674">
        <v>0</v>
      </c>
      <c r="J674">
        <v>0.45</v>
      </c>
      <c r="K674">
        <v>26.666666670000001</v>
      </c>
      <c r="L674">
        <v>0</v>
      </c>
      <c r="M674">
        <v>0</v>
      </c>
      <c r="N674">
        <v>26.666666670000001</v>
      </c>
      <c r="O674">
        <v>4.4444444440000002</v>
      </c>
      <c r="P674"/>
      <c r="Q674">
        <v>0.16666666699999999</v>
      </c>
      <c r="R674">
        <v>0.32091113999999998</v>
      </c>
      <c r="S674" s="1" t="str">
        <f>VLOOKUP($E674,'Product Naming'!$A$1:$P$58,2,FALSE)</f>
        <v>1-propanol-PW2</v>
      </c>
      <c r="T674" s="1" t="str">
        <f>VLOOKUP($E674,'Product Naming'!$A$1:$P$58,3,FALSE)</f>
        <v>1-Propanol (PW2)</v>
      </c>
      <c r="U674" s="1" t="str">
        <f>VLOOKUP($E674,'Product Naming'!$A$1:$P$58,4,FALSE)</f>
        <v>E-S</v>
      </c>
      <c r="V674" s="1" t="str">
        <f>VLOOKUP($E674,'Product Naming'!$A$1:$P$58,5,FALSE)</f>
        <v>C3H8O</v>
      </c>
      <c r="W674" s="1">
        <f>VLOOKUP($E674,'Product Naming'!$A$1:$P$58,6,FALSE)</f>
        <v>3</v>
      </c>
      <c r="X674" s="1">
        <f>VLOOKUP($E674,'Product Naming'!$A$1:$P$58,7,FALSE)</f>
        <v>8</v>
      </c>
      <c r="Y674" s="1">
        <f>VLOOKUP($E674,'Product Naming'!$A$1:$P$58,8,FALSE)</f>
        <v>1</v>
      </c>
      <c r="Z674" s="1">
        <f>VLOOKUP($E674,'Product Naming'!$A$1:$P$58,9,FALSE)</f>
        <v>0</v>
      </c>
      <c r="AA674" s="1">
        <f>VLOOKUP($E674,'Product Naming'!$A$1:$P$58,10,FALSE)</f>
        <v>0</v>
      </c>
      <c r="AB674" s="29">
        <f>VLOOKUP($E674,'Product Naming'!$A$1:$P$58,11,FALSE)</f>
        <v>6</v>
      </c>
      <c r="AC674" s="3">
        <f>VLOOKUP($E674,'Product Naming'!$A$1:$P$58,12,FALSE)</f>
        <v>60.093820000000001</v>
      </c>
      <c r="AD674" s="1">
        <f>VLOOKUP($E674,'Product Naming'!$A$1:$P$58,13,FALSE)</f>
        <v>97</v>
      </c>
      <c r="AE674" s="1" t="str">
        <f>VLOOKUP($E674,'Product Naming'!$A$1:$P$58,14,FALSE)</f>
        <v>Alcohol</v>
      </c>
      <c r="AF674" s="1" t="str">
        <f>VLOOKUP($E674,'Product Naming'!$A$1:$P$58,15,FALSE)</f>
        <v>Oxaloacetate</v>
      </c>
      <c r="AG674" s="30" t="str">
        <f>VLOOKUP($E674,'Product Naming'!$A$1:$P$58,16,FALSE)</f>
        <v>Proton symporter</v>
      </c>
      <c r="AH674" s="3" t="str">
        <f>VLOOKUP($E674,'Product Naming'!$A$1:$Q$58,17,FALSE)</f>
        <v>ppoh_c</v>
      </c>
      <c r="AI674" s="1">
        <f>VLOOKUP($E674,'Product Parameters'!$A$2:$D$59,2,FALSE)</f>
        <v>1</v>
      </c>
      <c r="AJ674" s="1">
        <f>VLOOKUP($E674,'Product Parameters'!$A$2:$D$59,3,FALSE)</f>
        <v>0</v>
      </c>
      <c r="AK674" s="1">
        <f>VLOOKUP($E674,'Product Parameters'!$A$2:$D$59,4,FALSE)</f>
        <v>0.12</v>
      </c>
      <c r="AL674" s="1">
        <f>VLOOKUP($E674,'Product Parameters'!$A$2:$E$59,5,FALSE)</f>
        <v>47</v>
      </c>
      <c r="AM674" s="1">
        <f>VLOOKUP($E674,'Product Parameters'!$A$2:$F$59,6,FALSE)</f>
        <v>3</v>
      </c>
      <c r="AN674" s="1">
        <f>VLOOKUP($C674,'Substrate Heating'!$A$2:$C$33,3,FALSE)</f>
        <v>226.4</v>
      </c>
      <c r="AO674" s="1">
        <f>VLOOKUP($C674,'Substrate Heating'!$A$2:$B$33,2,FALSE)</f>
        <v>7.2542014450728134</v>
      </c>
      <c r="AP674" s="1">
        <f>VLOOKUP($C674,'Substrate Heating'!$A$2:$M$33,13,FALSE)</f>
        <v>1.6</v>
      </c>
      <c r="AQ674" s="1">
        <f>VLOOKUP($C674,'Substrate Heating'!$A$2:$M$33,8,FALSE)</f>
        <v>1</v>
      </c>
      <c r="AR674" s="1">
        <f t="shared" si="10"/>
        <v>0.50000000099999997</v>
      </c>
    </row>
    <row r="675" spans="1:44" x14ac:dyDescent="0.2">
      <c r="A675" s="8" t="s">
        <v>816</v>
      </c>
      <c r="B675" s="18" t="s">
        <v>324</v>
      </c>
      <c r="C675" t="s">
        <v>815</v>
      </c>
      <c r="D675" s="19" t="s">
        <v>326</v>
      </c>
      <c r="E675" t="s">
        <v>251</v>
      </c>
      <c r="F675" t="s">
        <v>252</v>
      </c>
      <c r="G675">
        <v>-10</v>
      </c>
      <c r="H675">
        <v>0</v>
      </c>
      <c r="I675">
        <v>0</v>
      </c>
      <c r="J675">
        <v>0.45</v>
      </c>
      <c r="K675">
        <v>26.666666670000001</v>
      </c>
      <c r="L675">
        <v>0</v>
      </c>
      <c r="M675">
        <v>0</v>
      </c>
      <c r="N675">
        <v>26.666666670000001</v>
      </c>
      <c r="O675">
        <v>4.4444444440000002</v>
      </c>
      <c r="P675"/>
      <c r="Q675">
        <v>0.16666666699999999</v>
      </c>
      <c r="R675">
        <v>0.32091113999999998</v>
      </c>
      <c r="S675" s="1" t="str">
        <f>VLOOKUP($E675,'Product Naming'!$A$1:$P$58,2,FALSE)</f>
        <v>Isopropanol</v>
      </c>
      <c r="T675" s="1" t="str">
        <f>VLOOKUP($E675,'Product Naming'!$A$1:$P$58,3,FALSE)</f>
        <v>Isopropanol</v>
      </c>
      <c r="U675" s="1" t="str">
        <f>VLOOKUP($E675,'Product Naming'!$A$1:$P$58,4,FALSE)</f>
        <v>A</v>
      </c>
      <c r="V675" s="1" t="str">
        <f>VLOOKUP($E675,'Product Naming'!$A$1:$P$58,5,FALSE)</f>
        <v>C3H8O</v>
      </c>
      <c r="W675" s="1">
        <f>VLOOKUP($E675,'Product Naming'!$A$1:$P$58,6,FALSE)</f>
        <v>3</v>
      </c>
      <c r="X675" s="1">
        <f>VLOOKUP($E675,'Product Naming'!$A$1:$P$58,7,FALSE)</f>
        <v>8</v>
      </c>
      <c r="Y675" s="1">
        <f>VLOOKUP($E675,'Product Naming'!$A$1:$P$58,8,FALSE)</f>
        <v>1</v>
      </c>
      <c r="Z675" s="1">
        <f>VLOOKUP($E675,'Product Naming'!$A$1:$P$58,9,FALSE)</f>
        <v>0</v>
      </c>
      <c r="AA675" s="1">
        <f>VLOOKUP($E675,'Product Naming'!$A$1:$P$58,10,FALSE)</f>
        <v>0</v>
      </c>
      <c r="AB675" s="29">
        <f>VLOOKUP($E675,'Product Naming'!$A$1:$P$58,11,FALSE)</f>
        <v>6</v>
      </c>
      <c r="AC675" s="3">
        <f>VLOOKUP($E675,'Product Naming'!$A$1:$P$58,12,FALSE)</f>
        <v>60.093820000000001</v>
      </c>
      <c r="AD675" s="1">
        <f>VLOOKUP($E675,'Product Naming'!$A$1:$P$58,13,FALSE)</f>
        <v>82.5</v>
      </c>
      <c r="AE675" s="1" t="str">
        <f>VLOOKUP($E675,'Product Naming'!$A$1:$P$58,14,FALSE)</f>
        <v>Alcohol</v>
      </c>
      <c r="AF675" s="1" t="str">
        <f>VLOOKUP($E675,'Product Naming'!$A$1:$P$58,15,FALSE)</f>
        <v>Acetyl-CoA</v>
      </c>
      <c r="AG675" s="30" t="str">
        <f>VLOOKUP($E675,'Product Naming'!$A$1:$P$58,16,FALSE)</f>
        <v>Proton symporter</v>
      </c>
      <c r="AH675" s="3" t="str">
        <f>VLOOKUP($E675,'Product Naming'!$A$1:$Q$58,17,FALSE)</f>
        <v>2ppoh_c</v>
      </c>
      <c r="AI675" s="1">
        <f>VLOOKUP($E675,'Product Parameters'!$A$2:$D$59,2,FALSE)</f>
        <v>1</v>
      </c>
      <c r="AJ675" s="1">
        <f>VLOOKUP($E675,'Product Parameters'!$A$2:$D$59,3,FALSE)</f>
        <v>0</v>
      </c>
      <c r="AK675" s="1">
        <f>VLOOKUP($E675,'Product Parameters'!$A$2:$D$59,4,FALSE)</f>
        <v>0.12</v>
      </c>
      <c r="AL675" s="1">
        <f>VLOOKUP($E675,'Product Parameters'!$A$2:$E$59,5,FALSE)</f>
        <v>45</v>
      </c>
      <c r="AM675" s="1">
        <f>VLOOKUP($E675,'Product Parameters'!$A$2:$F$59,6,FALSE)</f>
        <v>3</v>
      </c>
      <c r="AN675" s="1">
        <f>VLOOKUP($C675,'Substrate Heating'!$A$2:$C$33,3,FALSE)</f>
        <v>226.4</v>
      </c>
      <c r="AO675" s="1">
        <f>VLOOKUP($C675,'Substrate Heating'!$A$2:$B$33,2,FALSE)</f>
        <v>7.2542014450728134</v>
      </c>
      <c r="AP675" s="1">
        <f>VLOOKUP($C675,'Substrate Heating'!$A$2:$M$33,13,FALSE)</f>
        <v>1.6</v>
      </c>
      <c r="AQ675" s="1">
        <f>VLOOKUP($C675,'Substrate Heating'!$A$2:$M$33,8,FALSE)</f>
        <v>1</v>
      </c>
      <c r="AR675" s="1">
        <f t="shared" si="10"/>
        <v>0.50000000099999997</v>
      </c>
    </row>
    <row r="676" spans="1:44" x14ac:dyDescent="0.2">
      <c r="A676" s="8" t="s">
        <v>34</v>
      </c>
      <c r="B676" s="9" t="s">
        <v>35</v>
      </c>
      <c r="C676" s="1" t="s">
        <v>330</v>
      </c>
      <c r="D676" s="10" t="s">
        <v>37</v>
      </c>
      <c r="E676" s="1" t="s">
        <v>103</v>
      </c>
      <c r="F676" s="1" t="s">
        <v>104</v>
      </c>
      <c r="G676" s="1">
        <v>-10</v>
      </c>
      <c r="H676" s="1">
        <v>-20</v>
      </c>
      <c r="I676" s="1" t="s">
        <v>40</v>
      </c>
      <c r="J676" s="1">
        <v>3.15</v>
      </c>
      <c r="K676" s="1">
        <v>-10</v>
      </c>
      <c r="L676" s="1">
        <v>-7.4356164383561598</v>
      </c>
      <c r="M676" s="1" t="s">
        <v>40</v>
      </c>
      <c r="N676" s="1">
        <v>8.2904109589041095</v>
      </c>
      <c r="O676" s="1">
        <v>1.95159817351598</v>
      </c>
      <c r="Q676" s="1">
        <v>0.19515981735159799</v>
      </c>
      <c r="R676" s="1">
        <v>0.32126974034054101</v>
      </c>
      <c r="S676" s="1" t="str">
        <f>VLOOKUP($E676,'Product Naming'!$A$1:$P$58,2,FALSE)</f>
        <v>3-Methyl-1-Pentanol</v>
      </c>
      <c r="T676" s="1" t="str">
        <f>VLOOKUP($E676,'Product Naming'!$A$1:$P$58,3,FALSE)</f>
        <v>3-Methyl-1-pentanol</v>
      </c>
      <c r="U676" s="1" t="str">
        <f>VLOOKUP($E676,'Product Naming'!$A$1:$P$58,4,FALSE)</f>
        <v>A</v>
      </c>
      <c r="V676" s="1" t="str">
        <f>VLOOKUP($E676,'Product Naming'!$A$1:$P$58,5,FALSE)</f>
        <v>C6H14O</v>
      </c>
      <c r="W676" s="1">
        <f>VLOOKUP($E676,'Product Naming'!$A$1:$P$58,6,FALSE)</f>
        <v>6</v>
      </c>
      <c r="X676" s="1">
        <f>VLOOKUP($E676,'Product Naming'!$A$1:$P$58,7,FALSE)</f>
        <v>14</v>
      </c>
      <c r="Y676" s="1">
        <f>VLOOKUP($E676,'Product Naming'!$A$1:$P$58,8,FALSE)</f>
        <v>1</v>
      </c>
      <c r="Z676" s="1">
        <f>VLOOKUP($E676,'Product Naming'!$A$1:$P$58,9,FALSE)</f>
        <v>0</v>
      </c>
      <c r="AA676" s="1">
        <f>VLOOKUP($E676,'Product Naming'!$A$1:$P$58,10,FALSE)</f>
        <v>0</v>
      </c>
      <c r="AB676" s="29">
        <f>VLOOKUP($E676,'Product Naming'!$A$1:$P$58,11,FALSE)</f>
        <v>6</v>
      </c>
      <c r="AC676" s="3">
        <f>VLOOKUP($E676,'Product Naming'!$A$1:$P$58,12,FALSE)</f>
        <v>102.17295999999999</v>
      </c>
      <c r="AD676" s="1">
        <f>VLOOKUP($E676,'Product Naming'!$A$1:$P$58,13,FALSE)</f>
        <v>153</v>
      </c>
      <c r="AE676" s="1" t="str">
        <f>VLOOKUP($E676,'Product Naming'!$A$1:$P$58,14,FALSE)</f>
        <v>Alcohol</v>
      </c>
      <c r="AF676" s="1" t="str">
        <f>VLOOKUP($E676,'Product Naming'!$A$1:$P$58,15,FALSE)</f>
        <v>Oxaloacetate</v>
      </c>
      <c r="AG676" s="30" t="str">
        <f>VLOOKUP($E676,'Product Naming'!$A$1:$P$58,16,FALSE)</f>
        <v>Proton symporter</v>
      </c>
      <c r="AH676" s="3" t="str">
        <f>VLOOKUP($E676,'Product Naming'!$A$1:$Q$58,17,FALSE)</f>
        <v>3mptoh_c</v>
      </c>
      <c r="AI676" s="1">
        <f>VLOOKUP($E676,'Product Parameters'!$A$2:$D$59,2,FALSE)</f>
        <v>1</v>
      </c>
      <c r="AJ676" s="1">
        <f>VLOOKUP($E676,'Product Parameters'!$A$2:$D$59,3,FALSE)</f>
        <v>0</v>
      </c>
      <c r="AK676" s="1">
        <f>VLOOKUP($E676,'Product Parameters'!$A$2:$D$59,4,FALSE)</f>
        <v>0.12</v>
      </c>
      <c r="AL676" s="1">
        <f>VLOOKUP($E676,'Product Parameters'!$A$2:$E$59,5,FALSE)</f>
        <v>61.7</v>
      </c>
      <c r="AM676" s="1">
        <f>VLOOKUP($E676,'Product Parameters'!$A$2:$F$59,6,FALSE)</f>
        <v>6</v>
      </c>
      <c r="AN676" s="1">
        <f>VLOOKUP($C676,'Substrate Heating'!$A$2:$C$33,3,FALSE)</f>
        <v>1055.1294800000001</v>
      </c>
      <c r="AO676" s="1">
        <f>VLOOKUP($C676,'Substrate Heating'!$A$2:$B$33,2,FALSE)</f>
        <v>17</v>
      </c>
      <c r="AP676" s="1">
        <f>VLOOKUP($C676,'Substrate Heating'!$A$2:$M$33,13,FALSE)</f>
        <v>5</v>
      </c>
      <c r="AQ676" s="1">
        <f>VLOOKUP($C676,'Substrate Heating'!$A$2:$M$33,8,FALSE)</f>
        <v>2</v>
      </c>
      <c r="AR676" s="1">
        <f t="shared" si="10"/>
        <v>0.5854794520547939</v>
      </c>
    </row>
    <row r="677" spans="1:44" x14ac:dyDescent="0.2">
      <c r="A677" s="8" t="s">
        <v>34</v>
      </c>
      <c r="B677" s="9" t="s">
        <v>35</v>
      </c>
      <c r="C677" s="1" t="s">
        <v>331</v>
      </c>
      <c r="D677" s="10" t="s">
        <v>37</v>
      </c>
      <c r="E677" s="1" t="s">
        <v>301</v>
      </c>
      <c r="F677" s="1" t="s">
        <v>302</v>
      </c>
      <c r="G677" s="1">
        <v>-10</v>
      </c>
      <c r="H677" s="1">
        <v>-20</v>
      </c>
      <c r="I677" s="1" t="s">
        <v>40</v>
      </c>
      <c r="J677" s="1">
        <v>3.15</v>
      </c>
      <c r="K677" s="1">
        <v>-10</v>
      </c>
      <c r="L677" s="1">
        <v>-2.2931937172774899</v>
      </c>
      <c r="M677" s="1" t="s">
        <v>40</v>
      </c>
      <c r="N677" s="1">
        <v>6.3759162303664896</v>
      </c>
      <c r="O677" s="1">
        <v>4.5413612565444996</v>
      </c>
      <c r="Q677" s="1">
        <v>0.45413612565445</v>
      </c>
      <c r="R677" s="1">
        <v>0.32263915284647299</v>
      </c>
      <c r="S677" s="1" t="str">
        <f>VLOOKUP($E677,'Product Naming'!$A$1:$P$58,2,FALSE)</f>
        <v>Propane-PW1</v>
      </c>
      <c r="T677" s="1" t="str">
        <f>VLOOKUP($E677,'Product Naming'!$A$1:$P$58,3,FALSE)</f>
        <v>Propane (PW1)</v>
      </c>
      <c r="U677" s="1" t="str">
        <f>VLOOKUP($E677,'Product Naming'!$A$1:$P$58,4,FALSE)</f>
        <v>E</v>
      </c>
      <c r="V677" s="1" t="str">
        <f>VLOOKUP($E677,'Product Naming'!$A$1:$P$58,5,FALSE)</f>
        <v>C3H8</v>
      </c>
      <c r="W677" s="1">
        <f>VLOOKUP($E677,'Product Naming'!$A$1:$P$58,6,FALSE)</f>
        <v>3</v>
      </c>
      <c r="X677" s="1">
        <f>VLOOKUP($E677,'Product Naming'!$A$1:$P$58,7,FALSE)</f>
        <v>8</v>
      </c>
      <c r="Y677" s="1">
        <f>VLOOKUP($E677,'Product Naming'!$A$1:$P$58,8,FALSE)</f>
        <v>0</v>
      </c>
      <c r="Z677" s="1">
        <f>VLOOKUP($E677,'Product Naming'!$A$1:$P$58,9,FALSE)</f>
        <v>0</v>
      </c>
      <c r="AA677" s="1">
        <f>VLOOKUP($E677,'Product Naming'!$A$1:$P$58,10,FALSE)</f>
        <v>0</v>
      </c>
      <c r="AB677" s="29">
        <f>VLOOKUP($E677,'Product Naming'!$A$1:$P$58,11,FALSE)</f>
        <v>6.666666666666667</v>
      </c>
      <c r="AC677" s="3">
        <f>VLOOKUP($E677,'Product Naming'!$A$1:$P$58,12,FALSE)</f>
        <v>44.094819999999999</v>
      </c>
      <c r="AD677" s="1">
        <f>VLOOKUP($E677,'Product Naming'!$A$1:$P$58,13,FALSE)</f>
        <v>-42</v>
      </c>
      <c r="AE677" s="1" t="str">
        <f>VLOOKUP($E677,'Product Naming'!$A$1:$P$58,14,FALSE)</f>
        <v>Hydrocarbon</v>
      </c>
      <c r="AF677" s="1" t="str">
        <f>VLOOKUP($E677,'Product Naming'!$A$1:$P$58,15,FALSE)</f>
        <v>Acetyl-CoA</v>
      </c>
      <c r="AG677" s="30" t="str">
        <f>VLOOKUP($E677,'Product Naming'!$A$1:$P$58,16,FALSE)</f>
        <v>Diffusion</v>
      </c>
      <c r="AH677" s="3" t="str">
        <f>VLOOKUP($E677,'Product Naming'!$A$1:$Q$58,17,FALSE)</f>
        <v>prop_c</v>
      </c>
      <c r="AI677" s="1">
        <f>VLOOKUP($E677,'Product Parameters'!$A$2:$D$59,2,FALSE)</f>
        <v>0</v>
      </c>
      <c r="AJ677" s="1">
        <f>VLOOKUP($E677,'Product Parameters'!$A$2:$D$59,3,FALSE)</f>
        <v>1</v>
      </c>
      <c r="AK677" s="1">
        <f>VLOOKUP($E677,'Product Parameters'!$A$2:$D$59,4,FALSE)</f>
        <v>0.12</v>
      </c>
      <c r="AL677" s="1">
        <f>VLOOKUP($E677,'Product Parameters'!$A$2:$E$59,5,FALSE)</f>
        <v>0</v>
      </c>
      <c r="AM677" s="1">
        <f>VLOOKUP($E677,'Product Parameters'!$A$2:$F$59,6,FALSE)</f>
        <v>3</v>
      </c>
      <c r="AN677" s="1">
        <f>VLOOKUP($C677,'Substrate Heating'!$A$2:$C$33,3,FALSE)</f>
        <v>1055.1294800000001</v>
      </c>
      <c r="AO677" s="1">
        <f>VLOOKUP($C677,'Substrate Heating'!$A$2:$B$33,2,FALSE)</f>
        <v>17</v>
      </c>
      <c r="AP677" s="1">
        <f>VLOOKUP($C677,'Substrate Heating'!$A$2:$M$33,13,FALSE)</f>
        <v>5</v>
      </c>
      <c r="AQ677" s="1">
        <f>VLOOKUP($C677,'Substrate Heating'!$A$2:$M$33,8,FALSE)</f>
        <v>2</v>
      </c>
      <c r="AR677" s="1">
        <f t="shared" si="10"/>
        <v>0.68120418848167497</v>
      </c>
    </row>
    <row r="678" spans="1:44" x14ac:dyDescent="0.2">
      <c r="A678" s="8" t="s">
        <v>34</v>
      </c>
      <c r="B678" s="9" t="s">
        <v>35</v>
      </c>
      <c r="C678" s="1" t="s">
        <v>322</v>
      </c>
      <c r="D678" s="10" t="s">
        <v>37</v>
      </c>
      <c r="E678" s="1" t="s">
        <v>143</v>
      </c>
      <c r="F678" s="1" t="s">
        <v>137</v>
      </c>
      <c r="G678" s="1">
        <v>-10</v>
      </c>
      <c r="H678" s="1">
        <v>-20</v>
      </c>
      <c r="I678" s="1" t="s">
        <v>40</v>
      </c>
      <c r="J678" s="1">
        <v>3.15</v>
      </c>
      <c r="K678" s="1">
        <v>-10</v>
      </c>
      <c r="L678" s="1">
        <v>-8.1321721311475503</v>
      </c>
      <c r="M678" s="1" t="s">
        <v>40</v>
      </c>
      <c r="N678" s="1">
        <v>8.9233606557377207</v>
      </c>
      <c r="O678" s="1">
        <v>1.58237704918033</v>
      </c>
      <c r="Q678" s="1">
        <v>0.15823770491803299</v>
      </c>
      <c r="R678" s="1">
        <v>0.32458592396519798</v>
      </c>
      <c r="S678" s="1" t="str">
        <f>VLOOKUP($E678,'Product Naming'!$A$1:$P$58,2,FALSE)</f>
        <v>Benzoate-PW2</v>
      </c>
      <c r="T678" s="1" t="str">
        <f>VLOOKUP($E678,'Product Naming'!$A$1:$P$58,3,FALSE)</f>
        <v>Benzoate (PW2)</v>
      </c>
      <c r="U678" s="1" t="str">
        <f>VLOOKUP($E678,'Product Naming'!$A$1:$P$58,4,FALSE)</f>
        <v>A</v>
      </c>
      <c r="V678" s="1" t="str">
        <f>VLOOKUP($E678,'Product Naming'!$A$1:$P$58,5,FALSE)</f>
        <v>C7H5O2</v>
      </c>
      <c r="W678" s="1">
        <f>VLOOKUP($E678,'Product Naming'!$A$1:$P$58,6,FALSE)</f>
        <v>7</v>
      </c>
      <c r="X678" s="1">
        <f>VLOOKUP($E678,'Product Naming'!$A$1:$P$58,7,FALSE)</f>
        <v>5</v>
      </c>
      <c r="Y678" s="1">
        <f>VLOOKUP($E678,'Product Naming'!$A$1:$P$58,8,FALSE)</f>
        <v>2</v>
      </c>
      <c r="Z678" s="1">
        <f>VLOOKUP($E678,'Product Naming'!$A$1:$P$58,9,FALSE)</f>
        <v>0</v>
      </c>
      <c r="AA678" s="1">
        <f>VLOOKUP($E678,'Product Naming'!$A$1:$P$58,10,FALSE)</f>
        <v>-1</v>
      </c>
      <c r="AB678" s="29">
        <f>VLOOKUP($E678,'Product Naming'!$A$1:$P$58,11,FALSE)</f>
        <v>4.1428571428571432</v>
      </c>
      <c r="AC678" s="3">
        <f>VLOOKUP($E678,'Product Naming'!$A$1:$P$58,12,FALSE)</f>
        <v>121.1121</v>
      </c>
      <c r="AD678" s="1">
        <f>VLOOKUP($E678,'Product Naming'!$A$1:$P$58,13,FALSE)</f>
        <v>249.2</v>
      </c>
      <c r="AE678" s="1" t="str">
        <f>VLOOKUP($E678,'Product Naming'!$A$1:$P$58,14,FALSE)</f>
        <v>Aromatic + Carboxylate</v>
      </c>
      <c r="AF678" s="1" t="str">
        <f>VLOOKUP($E678,'Product Naming'!$A$1:$P$58,15,FALSE)</f>
        <v>E4P + aKG</v>
      </c>
      <c r="AG678" s="30" t="str">
        <f>VLOOKUP($E678,'Product Naming'!$A$1:$P$58,16,FALSE)</f>
        <v>Proton symporter</v>
      </c>
      <c r="AH678" s="3" t="str">
        <f>VLOOKUP($E678,'Product Naming'!$A$1:$Q$58,17,FALSE)</f>
        <v>bz_c</v>
      </c>
      <c r="AI678" s="1">
        <f>VLOOKUP($E678,'Product Parameters'!$A$2:$D$59,2,FALSE)</f>
        <v>1</v>
      </c>
      <c r="AJ678" s="1">
        <f>VLOOKUP($E678,'Product Parameters'!$A$2:$D$59,3,FALSE)</f>
        <v>0</v>
      </c>
      <c r="AK678" s="1">
        <f>VLOOKUP($E678,'Product Parameters'!$A$2:$D$59,4,FALSE)</f>
        <v>0.12</v>
      </c>
      <c r="AL678" s="1">
        <f>VLOOKUP($E678,'Product Parameters'!$A$2:$E$59,5,FALSE)</f>
        <v>40.65</v>
      </c>
      <c r="AM678" s="1">
        <f>VLOOKUP($E678,'Product Parameters'!$A$2:$F$59,6,FALSE)</f>
        <v>7</v>
      </c>
      <c r="AN678" s="1">
        <f>VLOOKUP($C678,'Substrate Heating'!$A$2:$C$33,3,FALSE)</f>
        <v>876.74109599999997</v>
      </c>
      <c r="AO678" s="1">
        <f>VLOOKUP($C678,'Substrate Heating'!$A$2:$B$33,2,FALSE)</f>
        <v>14.6</v>
      </c>
      <c r="AP678" s="1">
        <f>VLOOKUP($C678,'Substrate Heating'!$A$2:$M$33,13,FALSE)</f>
        <v>3.5</v>
      </c>
      <c r="AQ678" s="1">
        <f>VLOOKUP($C678,'Substrate Heating'!$A$2:$M$33,8,FALSE)</f>
        <v>2</v>
      </c>
      <c r="AR678" s="1">
        <f t="shared" si="10"/>
        <v>0.55383196721311545</v>
      </c>
    </row>
    <row r="679" spans="1:44" x14ac:dyDescent="0.2">
      <c r="A679" s="8" t="s">
        <v>34</v>
      </c>
      <c r="B679" s="9" t="s">
        <v>35</v>
      </c>
      <c r="C679" s="1" t="s">
        <v>322</v>
      </c>
      <c r="D679" s="10" t="s">
        <v>37</v>
      </c>
      <c r="E679" s="1" t="s">
        <v>136</v>
      </c>
      <c r="F679" s="1" t="s">
        <v>137</v>
      </c>
      <c r="G679" s="1">
        <v>-10</v>
      </c>
      <c r="H679" s="1">
        <v>-20</v>
      </c>
      <c r="I679" s="1" t="s">
        <v>40</v>
      </c>
      <c r="J679" s="1">
        <v>3.15</v>
      </c>
      <c r="K679" s="1">
        <v>-10</v>
      </c>
      <c r="L679" s="1">
        <v>-8.1321721311475397</v>
      </c>
      <c r="M679" s="1" t="s">
        <v>40</v>
      </c>
      <c r="N679" s="1">
        <v>8.9233606557377207</v>
      </c>
      <c r="O679" s="1">
        <v>1.5823770491803399</v>
      </c>
      <c r="Q679" s="1">
        <v>0.15823770491803399</v>
      </c>
      <c r="R679" s="1">
        <v>0.32458592396519997</v>
      </c>
      <c r="S679" s="1" t="str">
        <f>VLOOKUP($E679,'Product Naming'!$A$1:$P$58,2,FALSE)</f>
        <v>Benzoate-PW1</v>
      </c>
      <c r="T679" s="1" t="str">
        <f>VLOOKUP($E679,'Product Naming'!$A$1:$P$58,3,FALSE)</f>
        <v>Benzoate (PW1)</v>
      </c>
      <c r="U679" s="1" t="str">
        <f>VLOOKUP($E679,'Product Naming'!$A$1:$P$58,4,FALSE)</f>
        <v>A</v>
      </c>
      <c r="V679" s="1" t="str">
        <f>VLOOKUP($E679,'Product Naming'!$A$1:$P$58,5,FALSE)</f>
        <v>C7H5O2</v>
      </c>
      <c r="W679" s="1">
        <f>VLOOKUP($E679,'Product Naming'!$A$1:$P$58,6,FALSE)</f>
        <v>7</v>
      </c>
      <c r="X679" s="1">
        <f>VLOOKUP($E679,'Product Naming'!$A$1:$P$58,7,FALSE)</f>
        <v>5</v>
      </c>
      <c r="Y679" s="1">
        <f>VLOOKUP($E679,'Product Naming'!$A$1:$P$58,8,FALSE)</f>
        <v>2</v>
      </c>
      <c r="Z679" s="1">
        <f>VLOOKUP($E679,'Product Naming'!$A$1:$P$58,9,FALSE)</f>
        <v>0</v>
      </c>
      <c r="AA679" s="1">
        <f>VLOOKUP($E679,'Product Naming'!$A$1:$P$58,10,FALSE)</f>
        <v>-1</v>
      </c>
      <c r="AB679" s="29">
        <f>VLOOKUP($E679,'Product Naming'!$A$1:$P$58,11,FALSE)</f>
        <v>4.1428571428571432</v>
      </c>
      <c r="AC679" s="3">
        <f>VLOOKUP($E679,'Product Naming'!$A$1:$P$58,12,FALSE)</f>
        <v>121.1121</v>
      </c>
      <c r="AD679" s="1">
        <f>VLOOKUP($E679,'Product Naming'!$A$1:$P$58,13,FALSE)</f>
        <v>249.2</v>
      </c>
      <c r="AE679" s="1" t="str">
        <f>VLOOKUP($E679,'Product Naming'!$A$1:$P$58,14,FALSE)</f>
        <v>Aromatic + Carboxylate</v>
      </c>
      <c r="AF679" s="1" t="str">
        <f>VLOOKUP($E679,'Product Naming'!$A$1:$P$58,15,FALSE)</f>
        <v>E4P + aKG</v>
      </c>
      <c r="AG679" s="30" t="str">
        <f>VLOOKUP($E679,'Product Naming'!$A$1:$P$58,16,FALSE)</f>
        <v>Proton symporter</v>
      </c>
      <c r="AH679" s="3" t="str">
        <f>VLOOKUP($E679,'Product Naming'!$A$1:$Q$58,17,FALSE)</f>
        <v>bz_c</v>
      </c>
      <c r="AI679" s="1">
        <f>VLOOKUP($E679,'Product Parameters'!$A$2:$D$59,2,FALSE)</f>
        <v>1</v>
      </c>
      <c r="AJ679" s="1">
        <f>VLOOKUP($E679,'Product Parameters'!$A$2:$D$59,3,FALSE)</f>
        <v>0</v>
      </c>
      <c r="AK679" s="1">
        <f>VLOOKUP($E679,'Product Parameters'!$A$2:$D$59,4,FALSE)</f>
        <v>0.12</v>
      </c>
      <c r="AL679" s="1">
        <f>VLOOKUP($E679,'Product Parameters'!$A$2:$E$59,5,FALSE)</f>
        <v>40.65</v>
      </c>
      <c r="AM679" s="1">
        <f>VLOOKUP($E679,'Product Parameters'!$A$2:$F$59,6,FALSE)</f>
        <v>7</v>
      </c>
      <c r="AN679" s="1">
        <f>VLOOKUP($C679,'Substrate Heating'!$A$2:$C$33,3,FALSE)</f>
        <v>876.74109599999997</v>
      </c>
      <c r="AO679" s="1">
        <f>VLOOKUP($C679,'Substrate Heating'!$A$2:$B$33,2,FALSE)</f>
        <v>14.6</v>
      </c>
      <c r="AP679" s="1">
        <f>VLOOKUP($C679,'Substrate Heating'!$A$2:$M$33,13,FALSE)</f>
        <v>3.5</v>
      </c>
      <c r="AQ679" s="1">
        <f>VLOOKUP($C679,'Substrate Heating'!$A$2:$M$33,8,FALSE)</f>
        <v>2</v>
      </c>
      <c r="AR679" s="1">
        <f t="shared" si="10"/>
        <v>0.553831967213119</v>
      </c>
    </row>
    <row r="680" spans="1:44" x14ac:dyDescent="0.2">
      <c r="A680" s="8" t="s">
        <v>34</v>
      </c>
      <c r="B680" s="9" t="s">
        <v>35</v>
      </c>
      <c r="C680" s="1" t="s">
        <v>345</v>
      </c>
      <c r="D680" s="10" t="s">
        <v>37</v>
      </c>
      <c r="E680" s="1" t="s">
        <v>91</v>
      </c>
      <c r="F680" s="1" t="s">
        <v>92</v>
      </c>
      <c r="G680" s="1">
        <v>-10</v>
      </c>
      <c r="H680" s="1">
        <v>-20</v>
      </c>
      <c r="I680" s="1" t="s">
        <v>40</v>
      </c>
      <c r="J680" s="1">
        <v>3.15</v>
      </c>
      <c r="K680" s="1">
        <v>-10</v>
      </c>
      <c r="L680" s="1">
        <v>-3.3544776119402999</v>
      </c>
      <c r="M680" s="1" t="s">
        <v>40</v>
      </c>
      <c r="N680" s="1">
        <v>8.9029850746268604</v>
      </c>
      <c r="O680" s="1">
        <v>2.21940298507463</v>
      </c>
      <c r="Q680" s="1">
        <v>0.221940298507463</v>
      </c>
      <c r="R680" s="1">
        <v>0.32577230196516199</v>
      </c>
      <c r="S680" s="1" t="str">
        <f>VLOOKUP($E680,'Product Naming'!$A$1:$P$58,2,FALSE)</f>
        <v>2-Methyl-1-Butanol</v>
      </c>
      <c r="T680" s="1" t="str">
        <f>VLOOKUP($E680,'Product Naming'!$A$1:$P$58,3,FALSE)</f>
        <v>2-Methyl-1-butanol</v>
      </c>
      <c r="U680" s="1" t="str">
        <f>VLOOKUP($E680,'Product Naming'!$A$1:$P$58,4,FALSE)</f>
        <v>A</v>
      </c>
      <c r="V680" s="1" t="str">
        <f>VLOOKUP($E680,'Product Naming'!$A$1:$P$58,5,FALSE)</f>
        <v>C5H12O</v>
      </c>
      <c r="W680" s="1">
        <f>VLOOKUP($E680,'Product Naming'!$A$1:$P$58,6,FALSE)</f>
        <v>5</v>
      </c>
      <c r="X680" s="1">
        <f>VLOOKUP($E680,'Product Naming'!$A$1:$P$58,7,FALSE)</f>
        <v>12</v>
      </c>
      <c r="Y680" s="1">
        <f>VLOOKUP($E680,'Product Naming'!$A$1:$P$58,8,FALSE)</f>
        <v>1</v>
      </c>
      <c r="Z680" s="1">
        <f>VLOOKUP($E680,'Product Naming'!$A$1:$P$58,9,FALSE)</f>
        <v>0</v>
      </c>
      <c r="AA680" s="1">
        <f>VLOOKUP($E680,'Product Naming'!$A$1:$P$58,10,FALSE)</f>
        <v>0</v>
      </c>
      <c r="AB680" s="29">
        <f>VLOOKUP($E680,'Product Naming'!$A$1:$P$58,11,FALSE)</f>
        <v>6</v>
      </c>
      <c r="AC680" s="3">
        <f>VLOOKUP($E680,'Product Naming'!$A$1:$P$58,12,FALSE)</f>
        <v>88.14658</v>
      </c>
      <c r="AD680" s="1">
        <f>VLOOKUP($E680,'Product Naming'!$A$1:$P$58,13,FALSE)</f>
        <v>129</v>
      </c>
      <c r="AE680" s="1" t="str">
        <f>VLOOKUP($E680,'Product Naming'!$A$1:$P$58,14,FALSE)</f>
        <v>Alcohol</v>
      </c>
      <c r="AF680" s="1" t="str">
        <f>VLOOKUP($E680,'Product Naming'!$A$1:$P$58,15,FALSE)</f>
        <v>PEP</v>
      </c>
      <c r="AG680" s="30" t="str">
        <f>VLOOKUP($E680,'Product Naming'!$A$1:$P$58,16,FALSE)</f>
        <v>Proton symporter</v>
      </c>
      <c r="AH680" s="3" t="str">
        <f>VLOOKUP($E680,'Product Naming'!$A$1:$Q$58,17,FALSE)</f>
        <v>2mbtoh_c</v>
      </c>
      <c r="AI680" s="1">
        <f>VLOOKUP($E680,'Product Parameters'!$A$2:$D$59,2,FALSE)</f>
        <v>1</v>
      </c>
      <c r="AJ680" s="1">
        <f>VLOOKUP($E680,'Product Parameters'!$A$2:$D$59,3,FALSE)</f>
        <v>0</v>
      </c>
      <c r="AK680" s="1">
        <f>VLOOKUP($E680,'Product Parameters'!$A$2:$D$59,4,FALSE)</f>
        <v>0.12</v>
      </c>
      <c r="AL680" s="1">
        <f>VLOOKUP($E680,'Product Parameters'!$A$2:$E$59,5,FALSE)</f>
        <v>54.6</v>
      </c>
      <c r="AM680" s="1">
        <f>VLOOKUP($E680,'Product Parameters'!$A$2:$F$59,6,FALSE)</f>
        <v>5</v>
      </c>
      <c r="AN680" s="1">
        <f>VLOOKUP($C680,'Substrate Heating'!$A$2:$C$33,3,FALSE)</f>
        <v>1020.8629199999999</v>
      </c>
      <c r="AO680" s="1">
        <f>VLOOKUP($C680,'Substrate Heating'!$A$2:$B$33,2,FALSE)</f>
        <v>17</v>
      </c>
      <c r="AP680" s="1">
        <f>VLOOKUP($C680,'Substrate Heating'!$A$2:$M$33,13,FALSE)</f>
        <v>4</v>
      </c>
      <c r="AQ680" s="1">
        <f>VLOOKUP($C680,'Substrate Heating'!$A$2:$M$33,8,FALSE)</f>
        <v>2</v>
      </c>
      <c r="AR680" s="1">
        <f t="shared" si="10"/>
        <v>0.55485074626865749</v>
      </c>
    </row>
    <row r="681" spans="1:44" x14ac:dyDescent="0.2">
      <c r="A681" s="8" t="s">
        <v>807</v>
      </c>
      <c r="B681" s="18" t="s">
        <v>324</v>
      </c>
      <c r="C681" t="s">
        <v>369</v>
      </c>
      <c r="D681" s="23" t="s">
        <v>338</v>
      </c>
      <c r="E681" t="s">
        <v>264</v>
      </c>
      <c r="F681" t="s">
        <v>265</v>
      </c>
      <c r="G681">
        <v>-10</v>
      </c>
      <c r="H681">
        <v>0</v>
      </c>
      <c r="I681">
        <v>0</v>
      </c>
      <c r="J681">
        <v>0.45</v>
      </c>
      <c r="K681">
        <v>-10</v>
      </c>
      <c r="L681">
        <v>0</v>
      </c>
      <c r="M681">
        <v>2.7911111111111002</v>
      </c>
      <c r="N681">
        <v>0</v>
      </c>
      <c r="O681">
        <v>0.69777777777777605</v>
      </c>
      <c r="P681"/>
      <c r="Q681">
        <v>6.9777777777777605E-2</v>
      </c>
      <c r="R681">
        <v>0.32628162600022498</v>
      </c>
      <c r="S681" s="1" t="str">
        <f>VLOOKUP($E681,'Product Naming'!$A$1:$P$58,2,FALSE)</f>
        <v>Lysine_L</v>
      </c>
      <c r="T681" s="1" t="str">
        <f>VLOOKUP($E681,'Product Naming'!$A$1:$P$58,3,FALSE)</f>
        <v>L-Lysine</v>
      </c>
      <c r="U681" s="1" t="str">
        <f>VLOOKUP($E681,'Product Naming'!$A$1:$P$58,4,FALSE)</f>
        <v>iJO1366</v>
      </c>
      <c r="V681" s="1" t="str">
        <f>VLOOKUP($E681,'Product Naming'!$A$1:$P$58,5,FALSE)</f>
        <v>C6H15N2O2</v>
      </c>
      <c r="W681" s="1">
        <f>VLOOKUP($E681,'Product Naming'!$A$1:$P$58,6,FALSE)</f>
        <v>6</v>
      </c>
      <c r="X681" s="1">
        <f>VLOOKUP($E681,'Product Naming'!$A$1:$P$58,7,FALSE)</f>
        <v>15</v>
      </c>
      <c r="Y681" s="1">
        <f>VLOOKUP($E681,'Product Naming'!$A$1:$P$58,8,FALSE)</f>
        <v>2</v>
      </c>
      <c r="Z681" s="1">
        <f>VLOOKUP($E681,'Product Naming'!$A$1:$P$58,9,FALSE)</f>
        <v>2</v>
      </c>
      <c r="AA681" s="1">
        <f>VLOOKUP($E681,'Product Naming'!$A$1:$P$58,10,FALSE)</f>
        <v>1</v>
      </c>
      <c r="AB681" s="29">
        <f>VLOOKUP($E681,'Product Naming'!$A$1:$P$58,11,FALSE)</f>
        <v>4.833333333333333</v>
      </c>
      <c r="AC681" s="3">
        <f>VLOOKUP($E681,'Product Naming'!$A$1:$P$58,12,FALSE)</f>
        <v>147.19319999999999</v>
      </c>
      <c r="AD681" s="1" t="str">
        <f>VLOOKUP($E681,'Product Naming'!$A$1:$P$58,13,FALSE)</f>
        <v>NA</v>
      </c>
      <c r="AE681" s="1" t="str">
        <f>VLOOKUP($E681,'Product Naming'!$A$1:$P$58,14,FALSE)</f>
        <v>Amino acid</v>
      </c>
      <c r="AF681" s="1" t="str">
        <f>VLOOKUP($E681,'Product Naming'!$A$1:$P$58,15,FALSE)</f>
        <v>Oxaloacetate</v>
      </c>
      <c r="AG681" s="30" t="str">
        <f>VLOOKUP($E681,'Product Naming'!$A$1:$P$58,16,FALSE)</f>
        <v>Proton antiport</v>
      </c>
      <c r="AH681" s="3" t="str">
        <f>VLOOKUP($E681,'Product Naming'!$A$1:$Q$58,17,FALSE)</f>
        <v>lys__L_</v>
      </c>
      <c r="AI681" s="1">
        <f>VLOOKUP($E681,'Product Parameters'!$A$2:$D$59,2,FALSE)</f>
        <v>1</v>
      </c>
      <c r="AJ681" s="1">
        <f>VLOOKUP($E681,'Product Parameters'!$A$2:$D$59,3,FALSE)</f>
        <v>0</v>
      </c>
      <c r="AK681" s="1">
        <f>VLOOKUP($E681,'Product Parameters'!$A$2:$D$59,4,FALSE)</f>
        <v>0.12</v>
      </c>
      <c r="AL681" s="1">
        <f>VLOOKUP($E681,'Product Parameters'!$A$2:$E$59,5,FALSE)</f>
        <v>40.65</v>
      </c>
      <c r="AM681" s="1">
        <f>VLOOKUP($E681,'Product Parameters'!$A$2:$F$59,6,FALSE)</f>
        <v>6</v>
      </c>
      <c r="AN681" s="1">
        <f>VLOOKUP($C681,'Substrate Heating'!$A$2:$C$33,3,FALSE)</f>
        <v>638.57832580000002</v>
      </c>
      <c r="AO681" s="1">
        <f>VLOOKUP($C681,'Substrate Heating'!$A$2:$B$33,2,FALSE)</f>
        <v>19.93</v>
      </c>
      <c r="AP681" s="1">
        <f>VLOOKUP($C681,'Substrate Heating'!$A$2:$M$33,13,FALSE)</f>
        <v>6</v>
      </c>
      <c r="AQ681" s="1">
        <f>VLOOKUP($C681,'Substrate Heating'!$A$2:$M$33,8,FALSE)</f>
        <v>1</v>
      </c>
      <c r="AR681" s="1">
        <f t="shared" si="10"/>
        <v>0.41866666666666563</v>
      </c>
    </row>
    <row r="682" spans="1:44" x14ac:dyDescent="0.2">
      <c r="A682" s="8" t="s">
        <v>34</v>
      </c>
      <c r="B682" s="9" t="s">
        <v>35</v>
      </c>
      <c r="C682" s="1" t="s">
        <v>322</v>
      </c>
      <c r="D682" s="10" t="s">
        <v>37</v>
      </c>
      <c r="E682" s="1" t="s">
        <v>72</v>
      </c>
      <c r="F682" s="1" t="s">
        <v>73</v>
      </c>
      <c r="G682" s="1">
        <v>-10</v>
      </c>
      <c r="H682" s="1">
        <v>-20</v>
      </c>
      <c r="I682" s="1" t="s">
        <v>40</v>
      </c>
      <c r="J682" s="1">
        <v>3.15</v>
      </c>
      <c r="K682" s="1">
        <v>-10</v>
      </c>
      <c r="L682" s="1">
        <v>-5.5635135135135103</v>
      </c>
      <c r="M682" s="1" t="s">
        <v>40</v>
      </c>
      <c r="N682" s="1">
        <v>10.3756756756757</v>
      </c>
      <c r="O682" s="1">
        <v>3.2081081081081102</v>
      </c>
      <c r="Q682" s="1">
        <v>0.32081081081081098</v>
      </c>
      <c r="R682" s="1">
        <v>0.32652089562844999</v>
      </c>
      <c r="S682" s="1" t="str">
        <f>VLOOKUP($E682,'Product Naming'!$A$1:$P$58,2,FALSE)</f>
        <v>1-propanol-PW1</v>
      </c>
      <c r="T682" s="1" t="str">
        <f>VLOOKUP($E682,'Product Naming'!$A$1:$P$58,3,FALSE)</f>
        <v>1-Propanol (PW1)</v>
      </c>
      <c r="U682" s="1" t="str">
        <f>VLOOKUP($E682,'Product Naming'!$A$1:$P$58,4,FALSE)</f>
        <v>E-S</v>
      </c>
      <c r="V682" s="1" t="str">
        <f>VLOOKUP($E682,'Product Naming'!$A$1:$P$58,5,FALSE)</f>
        <v>C3H8O</v>
      </c>
      <c r="W682" s="1">
        <f>VLOOKUP($E682,'Product Naming'!$A$1:$P$58,6,FALSE)</f>
        <v>3</v>
      </c>
      <c r="X682" s="1">
        <f>VLOOKUP($E682,'Product Naming'!$A$1:$P$58,7,FALSE)</f>
        <v>8</v>
      </c>
      <c r="Y682" s="1">
        <f>VLOOKUP($E682,'Product Naming'!$A$1:$P$58,8,FALSE)</f>
        <v>1</v>
      </c>
      <c r="Z682" s="1">
        <f>VLOOKUP($E682,'Product Naming'!$A$1:$P$58,9,FALSE)</f>
        <v>0</v>
      </c>
      <c r="AA682" s="1">
        <f>VLOOKUP($E682,'Product Naming'!$A$1:$P$58,10,FALSE)</f>
        <v>0</v>
      </c>
      <c r="AB682" s="29">
        <f>VLOOKUP($E682,'Product Naming'!$A$1:$P$58,11,FALSE)</f>
        <v>6</v>
      </c>
      <c r="AC682" s="3">
        <f>VLOOKUP($E682,'Product Naming'!$A$1:$P$58,12,FALSE)</f>
        <v>60.093820000000001</v>
      </c>
      <c r="AD682" s="1">
        <f>VLOOKUP($E682,'Product Naming'!$A$1:$P$58,13,FALSE)</f>
        <v>97</v>
      </c>
      <c r="AE682" s="1" t="str">
        <f>VLOOKUP($E682,'Product Naming'!$A$1:$P$58,14,FALSE)</f>
        <v>Alcohol</v>
      </c>
      <c r="AF682" s="1" t="str">
        <f>VLOOKUP($E682,'Product Naming'!$A$1:$P$58,15,FALSE)</f>
        <v>Glyceraldehyde 3-P (--&gt;DHAP)</v>
      </c>
      <c r="AG682" s="30" t="str">
        <f>VLOOKUP($E682,'Product Naming'!$A$1:$P$58,16,FALSE)</f>
        <v>Proton symporter</v>
      </c>
      <c r="AH682" s="3" t="str">
        <f>VLOOKUP($E682,'Product Naming'!$A$1:$Q$58,17,FALSE)</f>
        <v>ppoh_c</v>
      </c>
      <c r="AI682" s="1">
        <f>VLOOKUP($E682,'Product Parameters'!$A$2:$D$59,2,FALSE)</f>
        <v>1</v>
      </c>
      <c r="AJ682" s="1">
        <f>VLOOKUP($E682,'Product Parameters'!$A$2:$D$59,3,FALSE)</f>
        <v>0</v>
      </c>
      <c r="AK682" s="1">
        <f>VLOOKUP($E682,'Product Parameters'!$A$2:$D$59,4,FALSE)</f>
        <v>0.12</v>
      </c>
      <c r="AL682" s="1">
        <f>VLOOKUP($E682,'Product Parameters'!$A$2:$E$59,5,FALSE)</f>
        <v>47</v>
      </c>
      <c r="AM682" s="1">
        <f>VLOOKUP($E682,'Product Parameters'!$A$2:$F$59,6,FALSE)</f>
        <v>3</v>
      </c>
      <c r="AN682" s="1">
        <f>VLOOKUP($C682,'Substrate Heating'!$A$2:$C$33,3,FALSE)</f>
        <v>876.74109599999997</v>
      </c>
      <c r="AO682" s="1">
        <f>VLOOKUP($C682,'Substrate Heating'!$A$2:$B$33,2,FALSE)</f>
        <v>14.6</v>
      </c>
      <c r="AP682" s="1">
        <f>VLOOKUP($C682,'Substrate Heating'!$A$2:$M$33,13,FALSE)</f>
        <v>3.5</v>
      </c>
      <c r="AQ682" s="1">
        <f>VLOOKUP($C682,'Substrate Heating'!$A$2:$M$33,8,FALSE)</f>
        <v>2</v>
      </c>
      <c r="AR682" s="1">
        <f t="shared" si="10"/>
        <v>0.48121621621621646</v>
      </c>
    </row>
    <row r="683" spans="1:44" x14ac:dyDescent="0.2">
      <c r="A683" s="17" t="s">
        <v>323</v>
      </c>
      <c r="B683" s="18" t="s">
        <v>324</v>
      </c>
      <c r="C683" t="s">
        <v>336</v>
      </c>
      <c r="D683" s="19" t="s">
        <v>326</v>
      </c>
      <c r="E683" t="s">
        <v>91</v>
      </c>
      <c r="F683" t="s">
        <v>92</v>
      </c>
      <c r="G683">
        <v>-10</v>
      </c>
      <c r="H683">
        <v>0</v>
      </c>
      <c r="I683">
        <v>-20</v>
      </c>
      <c r="J683">
        <v>0.45</v>
      </c>
      <c r="K683">
        <v>-10</v>
      </c>
      <c r="L683">
        <v>0</v>
      </c>
      <c r="M683">
        <v>-20</v>
      </c>
      <c r="N683">
        <v>0</v>
      </c>
      <c r="O683">
        <v>1.8560000000000001</v>
      </c>
      <c r="P683"/>
      <c r="Q683">
        <v>0.18559999999999999</v>
      </c>
      <c r="R683" s="20">
        <v>0.32674266522868001</v>
      </c>
      <c r="S683" s="1" t="str">
        <f>VLOOKUP($E683,'Product Naming'!$A$1:$P$58,2,FALSE)</f>
        <v>2-Methyl-1-Butanol</v>
      </c>
      <c r="T683" s="1" t="str">
        <f>VLOOKUP($E683,'Product Naming'!$A$1:$P$58,3,FALSE)</f>
        <v>2-Methyl-1-butanol</v>
      </c>
      <c r="U683" s="1" t="str">
        <f>VLOOKUP($E683,'Product Naming'!$A$1:$P$58,4,FALSE)</f>
        <v>A</v>
      </c>
      <c r="V683" s="1" t="str">
        <f>VLOOKUP($E683,'Product Naming'!$A$1:$P$58,5,FALSE)</f>
        <v>C5H12O</v>
      </c>
      <c r="W683" s="1">
        <f>VLOOKUP($E683,'Product Naming'!$A$1:$P$58,6,FALSE)</f>
        <v>5</v>
      </c>
      <c r="X683" s="1">
        <f>VLOOKUP($E683,'Product Naming'!$A$1:$P$58,7,FALSE)</f>
        <v>12</v>
      </c>
      <c r="Y683" s="1">
        <f>VLOOKUP($E683,'Product Naming'!$A$1:$P$58,8,FALSE)</f>
        <v>1</v>
      </c>
      <c r="Z683" s="1">
        <f>VLOOKUP($E683,'Product Naming'!$A$1:$P$58,9,FALSE)</f>
        <v>0</v>
      </c>
      <c r="AA683" s="1">
        <f>VLOOKUP($E683,'Product Naming'!$A$1:$P$58,10,FALSE)</f>
        <v>0</v>
      </c>
      <c r="AB683" s="29">
        <f>VLOOKUP($E683,'Product Naming'!$A$1:$P$58,11,FALSE)</f>
        <v>6</v>
      </c>
      <c r="AC683" s="3">
        <f>VLOOKUP($E683,'Product Naming'!$A$1:$P$58,12,FALSE)</f>
        <v>88.14658</v>
      </c>
      <c r="AD683" s="1">
        <f>VLOOKUP($E683,'Product Naming'!$A$1:$P$58,13,FALSE)</f>
        <v>129</v>
      </c>
      <c r="AE683" s="1" t="str">
        <f>VLOOKUP($E683,'Product Naming'!$A$1:$P$58,14,FALSE)</f>
        <v>Alcohol</v>
      </c>
      <c r="AF683" s="1" t="str">
        <f>VLOOKUP($E683,'Product Naming'!$A$1:$P$58,15,FALSE)</f>
        <v>PEP</v>
      </c>
      <c r="AG683" s="30" t="str">
        <f>VLOOKUP($E683,'Product Naming'!$A$1:$P$58,16,FALSE)</f>
        <v>Proton symporter</v>
      </c>
      <c r="AH683" s="3" t="str">
        <f>VLOOKUP($E683,'Product Naming'!$A$1:$Q$58,17,FALSE)</f>
        <v>2mbtoh_c</v>
      </c>
      <c r="AI683" s="1">
        <f>VLOOKUP($E683,'Product Parameters'!$A$2:$D$59,2,FALSE)</f>
        <v>1</v>
      </c>
      <c r="AJ683" s="1">
        <f>VLOOKUP($E683,'Product Parameters'!$A$2:$D$59,3,FALSE)</f>
        <v>0</v>
      </c>
      <c r="AK683" s="1">
        <f>VLOOKUP($E683,'Product Parameters'!$A$2:$D$59,4,FALSE)</f>
        <v>0.12</v>
      </c>
      <c r="AL683" s="1">
        <f>VLOOKUP($E683,'Product Parameters'!$A$2:$E$59,5,FALSE)</f>
        <v>54.6</v>
      </c>
      <c r="AM683" s="1">
        <f>VLOOKUP($E683,'Product Parameters'!$A$2:$F$59,6,FALSE)</f>
        <v>5</v>
      </c>
      <c r="AN683" s="1">
        <f>VLOOKUP($C683,'Substrate Heating'!$A$2:$C$33,3,FALSE)</f>
        <v>245.86666666666667</v>
      </c>
      <c r="AO683" s="1">
        <f>VLOOKUP($C683,'Substrate Heating'!$A$2:$B$33,2,FALSE)</f>
        <v>15.038360459876978</v>
      </c>
      <c r="AP683" s="1">
        <f>VLOOKUP($C683,'Substrate Heating'!$A$2:$M$33,13,FALSE)</f>
        <v>0.33333333333333331</v>
      </c>
      <c r="AQ683" s="1">
        <f>VLOOKUP($C683,'Substrate Heating'!$A$2:$M$33,8,FALSE)</f>
        <v>0.33333333333333331</v>
      </c>
      <c r="AR683" s="1">
        <f t="shared" si="10"/>
        <v>2.7839999999999998</v>
      </c>
    </row>
    <row r="684" spans="1:44" x14ac:dyDescent="0.2">
      <c r="A684" s="8" t="s">
        <v>34</v>
      </c>
      <c r="B684" s="9" t="s">
        <v>35</v>
      </c>
      <c r="C684" s="1" t="s">
        <v>345</v>
      </c>
      <c r="D684" s="10" t="s">
        <v>37</v>
      </c>
      <c r="E684" s="1" t="s">
        <v>295</v>
      </c>
      <c r="F684" s="1" t="s">
        <v>292</v>
      </c>
      <c r="G684" s="1">
        <v>-10</v>
      </c>
      <c r="H684" s="1">
        <v>-20</v>
      </c>
      <c r="I684" s="1" t="s">
        <v>40</v>
      </c>
      <c r="J684" s="1">
        <v>3.15</v>
      </c>
      <c r="K684" s="1">
        <v>-10</v>
      </c>
      <c r="L684" s="1">
        <v>-3.22932330827068</v>
      </c>
      <c r="M684" s="1" t="s">
        <v>40</v>
      </c>
      <c r="N684" s="1">
        <v>8.8195488721804498</v>
      </c>
      <c r="O684" s="1">
        <v>2.2360902255639101</v>
      </c>
      <c r="Q684" s="1">
        <v>0.22360902255639101</v>
      </c>
      <c r="R684" s="1">
        <v>0.328221717769412</v>
      </c>
      <c r="S684" s="1" t="str">
        <f>VLOOKUP($E684,'Product Naming'!$A$1:$P$58,2,FALSE)</f>
        <v>Pentanol-PW2</v>
      </c>
      <c r="T684" s="1" t="str">
        <f>VLOOKUP($E684,'Product Naming'!$A$1:$P$58,3,FALSE)</f>
        <v>Pentanol (PW2)</v>
      </c>
      <c r="U684" s="1" t="str">
        <f>VLOOKUP($E684,'Product Naming'!$A$1:$P$58,4,FALSE)</f>
        <v>E</v>
      </c>
      <c r="V684" s="1" t="str">
        <f>VLOOKUP($E684,'Product Naming'!$A$1:$P$58,5,FALSE)</f>
        <v>C5H12O</v>
      </c>
      <c r="W684" s="1">
        <f>VLOOKUP($E684,'Product Naming'!$A$1:$P$58,6,FALSE)</f>
        <v>5</v>
      </c>
      <c r="X684" s="1">
        <f>VLOOKUP($E684,'Product Naming'!$A$1:$P$58,7,FALSE)</f>
        <v>12</v>
      </c>
      <c r="Y684" s="1">
        <f>VLOOKUP($E684,'Product Naming'!$A$1:$P$58,8,FALSE)</f>
        <v>1</v>
      </c>
      <c r="Z684" s="1">
        <f>VLOOKUP($E684,'Product Naming'!$A$1:$P$58,9,FALSE)</f>
        <v>0</v>
      </c>
      <c r="AA684" s="1">
        <f>VLOOKUP($E684,'Product Naming'!$A$1:$P$58,10,FALSE)</f>
        <v>0</v>
      </c>
      <c r="AB684" s="29">
        <f>VLOOKUP($E684,'Product Naming'!$A$1:$P$58,11,FALSE)</f>
        <v>6</v>
      </c>
      <c r="AC684" s="3">
        <f>VLOOKUP($E684,'Product Naming'!$A$1:$P$58,12,FALSE)</f>
        <v>88.14658</v>
      </c>
      <c r="AD684" s="1">
        <f>VLOOKUP($E684,'Product Naming'!$A$1:$P$58,13,FALSE)</f>
        <v>138</v>
      </c>
      <c r="AE684" s="1" t="str">
        <f>VLOOKUP($E684,'Product Naming'!$A$1:$P$58,14,FALSE)</f>
        <v>Alcohol</v>
      </c>
      <c r="AF684" s="1" t="str">
        <f>VLOOKUP($E684,'Product Naming'!$A$1:$P$58,15,FALSE)</f>
        <v>Oxaloacetate</v>
      </c>
      <c r="AG684" s="30" t="str">
        <f>VLOOKUP($E684,'Product Naming'!$A$1:$P$58,16,FALSE)</f>
        <v>Proton symporter</v>
      </c>
      <c r="AH684" s="3" t="str">
        <f>VLOOKUP($E684,'Product Naming'!$A$1:$Q$58,17,FALSE)</f>
        <v>pentoh_c</v>
      </c>
      <c r="AI684" s="1">
        <f>VLOOKUP($E684,'Product Parameters'!$A$2:$D$59,2,FALSE)</f>
        <v>1</v>
      </c>
      <c r="AJ684" s="1">
        <f>VLOOKUP($E684,'Product Parameters'!$A$2:$D$59,3,FALSE)</f>
        <v>0</v>
      </c>
      <c r="AK684" s="1">
        <f>VLOOKUP($E684,'Product Parameters'!$A$2:$D$59,4,FALSE)</f>
        <v>0.12</v>
      </c>
      <c r="AL684" s="1">
        <f>VLOOKUP($E684,'Product Parameters'!$A$2:$E$59,5,FALSE)</f>
        <v>57</v>
      </c>
      <c r="AM684" s="1">
        <f>VLOOKUP($E684,'Product Parameters'!$A$2:$F$59,6,FALSE)</f>
        <v>5</v>
      </c>
      <c r="AN684" s="1">
        <f>VLOOKUP($C684,'Substrate Heating'!$A$2:$C$33,3,FALSE)</f>
        <v>1020.8629199999999</v>
      </c>
      <c r="AO684" s="1">
        <f>VLOOKUP($C684,'Substrate Heating'!$A$2:$B$33,2,FALSE)</f>
        <v>17</v>
      </c>
      <c r="AP684" s="1">
        <f>VLOOKUP($C684,'Substrate Heating'!$A$2:$M$33,13,FALSE)</f>
        <v>4</v>
      </c>
      <c r="AQ684" s="1">
        <f>VLOOKUP($C684,'Substrate Heating'!$A$2:$M$33,8,FALSE)</f>
        <v>2</v>
      </c>
      <c r="AR684" s="1">
        <f t="shared" si="10"/>
        <v>0.55902255639097753</v>
      </c>
    </row>
    <row r="685" spans="1:44" x14ac:dyDescent="0.2">
      <c r="A685" s="8" t="s">
        <v>812</v>
      </c>
      <c r="B685" s="18" t="s">
        <v>324</v>
      </c>
      <c r="C685" t="s">
        <v>814</v>
      </c>
      <c r="E685" t="s">
        <v>209</v>
      </c>
      <c r="F685" t="s">
        <v>210</v>
      </c>
      <c r="G685">
        <v>-10</v>
      </c>
      <c r="H685">
        <v>0</v>
      </c>
      <c r="I685">
        <v>-10</v>
      </c>
      <c r="J685">
        <v>0.45</v>
      </c>
      <c r="K685">
        <v>-9.1911111111111108</v>
      </c>
      <c r="L685">
        <v>0</v>
      </c>
      <c r="M685">
        <v>-10</v>
      </c>
      <c r="N685">
        <v>0</v>
      </c>
      <c r="O685">
        <v>0.80888888888888899</v>
      </c>
      <c r="P685"/>
      <c r="Q685">
        <v>8.8007736943907205E-2</v>
      </c>
      <c r="R685">
        <v>0.32932513563885402</v>
      </c>
      <c r="S685" s="1" t="str">
        <f>VLOOKUP($E685,'Product Naming'!$A$1:$P$58,2,FALSE)</f>
        <v>GammaButyrolactone</v>
      </c>
      <c r="T685" s="1" t="str">
        <f>VLOOKUP($E685,'Product Naming'!$A$1:$P$58,3,FALSE)</f>
        <v>Gamma butyrolactone</v>
      </c>
      <c r="U685" s="1" t="str">
        <f>VLOOKUP($E685,'Product Naming'!$A$1:$P$58,4,FALSE)</f>
        <v>A</v>
      </c>
      <c r="V685" s="1" t="str">
        <f>VLOOKUP($E685,'Product Naming'!$A$1:$P$58,5,FALSE)</f>
        <v>C4H6O2</v>
      </c>
      <c r="W685" s="1">
        <f>VLOOKUP($E685,'Product Naming'!$A$1:$P$58,6,FALSE)</f>
        <v>4</v>
      </c>
      <c r="X685" s="1">
        <f>VLOOKUP($E685,'Product Naming'!$A$1:$P$58,7,FALSE)</f>
        <v>6</v>
      </c>
      <c r="Y685" s="1">
        <f>VLOOKUP($E685,'Product Naming'!$A$1:$P$58,8,FALSE)</f>
        <v>2</v>
      </c>
      <c r="Z685" s="1">
        <f>VLOOKUP($E685,'Product Naming'!$A$1:$P$58,9,FALSE)</f>
        <v>0</v>
      </c>
      <c r="AA685" s="1">
        <f>VLOOKUP($E685,'Product Naming'!$A$1:$P$58,10,FALSE)</f>
        <v>0</v>
      </c>
      <c r="AB685" s="29">
        <f>VLOOKUP($E685,'Product Naming'!$A$1:$P$58,11,FALSE)</f>
        <v>4.5</v>
      </c>
      <c r="AC685" s="3">
        <f>VLOOKUP($E685,'Product Naming'!$A$1:$P$58,12,FALSE)</f>
        <v>86.08784</v>
      </c>
      <c r="AD685" s="1">
        <f>VLOOKUP($E685,'Product Naming'!$A$1:$P$58,13,FALSE)</f>
        <v>204</v>
      </c>
      <c r="AE685" s="1" t="str">
        <f>VLOOKUP($E685,'Product Naming'!$A$1:$P$58,14,FALSE)</f>
        <v>Lactone (cyclic ester)</v>
      </c>
      <c r="AF685" s="1" t="str">
        <f>VLOOKUP($E685,'Product Naming'!$A$1:$P$58,15,FALSE)</f>
        <v>aKG</v>
      </c>
      <c r="AG685" s="30" t="str">
        <f>VLOOKUP($E685,'Product Naming'!$A$1:$P$58,16,FALSE)</f>
        <v>Proton symporter</v>
      </c>
      <c r="AH685" s="3" t="str">
        <f>VLOOKUP($E685,'Product Naming'!$A$1:$Q$58,17,FALSE)</f>
        <v>gblt_c</v>
      </c>
      <c r="AI685" s="1">
        <f>VLOOKUP($E685,'Product Parameters'!$A$2:$D$59,2,FALSE)</f>
        <v>1</v>
      </c>
      <c r="AJ685" s="1">
        <f>VLOOKUP($E685,'Product Parameters'!$A$2:$D$59,3,FALSE)</f>
        <v>0</v>
      </c>
      <c r="AK685" s="1">
        <f>VLOOKUP($E685,'Product Parameters'!$A$2:$D$59,4,FALSE)</f>
        <v>0.12</v>
      </c>
      <c r="AL685" s="1">
        <f>VLOOKUP($E685,'Product Parameters'!$A$2:$E$59,5,FALSE)</f>
        <v>0</v>
      </c>
      <c r="AM685" s="1">
        <f>VLOOKUP($E685,'Product Parameters'!$A$2:$F$59,6,FALSE)</f>
        <v>4</v>
      </c>
      <c r="AN685" s="1">
        <f>VLOOKUP($C685,'Substrate Heating'!$A$2:$C$33,3,FALSE)</f>
        <v>209.92000000000002</v>
      </c>
      <c r="AO685" s="1">
        <f>VLOOKUP($C685,'Substrate Heating'!$A$2:$B$33,2,FALSE)</f>
        <v>10.086540906516333</v>
      </c>
      <c r="AP685" s="1">
        <f>VLOOKUP($C685,'Substrate Heating'!$A$2:$M$33,13,FALSE)</f>
        <v>0.8</v>
      </c>
      <c r="AQ685" s="1">
        <f>VLOOKUP($C685,'Substrate Heating'!$A$2:$M$33,8,FALSE)</f>
        <v>0.8</v>
      </c>
      <c r="AR685" s="1">
        <f t="shared" si="10"/>
        <v>0.440038684719536</v>
      </c>
    </row>
    <row r="686" spans="1:44" x14ac:dyDescent="0.2">
      <c r="A686" s="8" t="s">
        <v>34</v>
      </c>
      <c r="B686" s="9" t="s">
        <v>35</v>
      </c>
      <c r="C686" s="1" t="s">
        <v>343</v>
      </c>
      <c r="D686" s="24" t="s">
        <v>342</v>
      </c>
      <c r="E686" s="1" t="s">
        <v>287</v>
      </c>
      <c r="F686" s="1" t="s">
        <v>288</v>
      </c>
      <c r="G686" s="1">
        <v>-10</v>
      </c>
      <c r="H686" s="1">
        <v>-20</v>
      </c>
      <c r="I686" s="1" t="s">
        <v>40</v>
      </c>
      <c r="J686" s="1">
        <v>3.15</v>
      </c>
      <c r="K686" s="1">
        <v>-10</v>
      </c>
      <c r="L686" s="1">
        <v>-1.33777777777778</v>
      </c>
      <c r="M686" s="1" t="s">
        <v>40</v>
      </c>
      <c r="N686" s="1">
        <v>8.9611111111111104</v>
      </c>
      <c r="O686" s="1">
        <v>4.2077777777777801</v>
      </c>
      <c r="Q686" s="1">
        <v>0.42077777777777797</v>
      </c>
      <c r="R686" s="1">
        <v>0.32964316589804199</v>
      </c>
      <c r="S686" s="1" t="str">
        <f>VLOOKUP($E686,'Product Naming'!$A$1:$P$58,2,FALSE)</f>
        <v>Pentane</v>
      </c>
      <c r="T686" s="1" t="str">
        <f>VLOOKUP($E686,'Product Naming'!$A$1:$P$58,3,FALSE)</f>
        <v>Pentane</v>
      </c>
      <c r="U686" s="1" t="str">
        <f>VLOOKUP($E686,'Product Naming'!$A$1:$P$58,4,FALSE)</f>
        <v>E</v>
      </c>
      <c r="V686" s="1" t="str">
        <f>VLOOKUP($E686,'Product Naming'!$A$1:$P$58,5,FALSE)</f>
        <v>C5H12</v>
      </c>
      <c r="W686" s="1">
        <f>VLOOKUP($E686,'Product Naming'!$A$1:$P$58,6,FALSE)</f>
        <v>5</v>
      </c>
      <c r="X686" s="1">
        <f>VLOOKUP($E686,'Product Naming'!$A$1:$P$58,7,FALSE)</f>
        <v>12</v>
      </c>
      <c r="Y686" s="1">
        <f>VLOOKUP($E686,'Product Naming'!$A$1:$P$58,8,FALSE)</f>
        <v>0</v>
      </c>
      <c r="Z686" s="1">
        <f>VLOOKUP($E686,'Product Naming'!$A$1:$P$58,9,FALSE)</f>
        <v>0</v>
      </c>
      <c r="AA686" s="1">
        <f>VLOOKUP($E686,'Product Naming'!$A$1:$P$58,10,FALSE)</f>
        <v>0</v>
      </c>
      <c r="AB686" s="29">
        <f>VLOOKUP($E686,'Product Naming'!$A$1:$P$58,11,FALSE)</f>
        <v>6.4</v>
      </c>
      <c r="AC686" s="3">
        <f>VLOOKUP($E686,'Product Naming'!$A$1:$P$58,12,FALSE)</f>
        <v>72.147580000000005</v>
      </c>
      <c r="AD686" s="1">
        <f>VLOOKUP($E686,'Product Naming'!$A$1:$P$58,13,FALSE)</f>
        <v>36.1</v>
      </c>
      <c r="AE686" s="1" t="str">
        <f>VLOOKUP($E686,'Product Naming'!$A$1:$P$58,14,FALSE)</f>
        <v>Hydrocarbon (alkane)</v>
      </c>
      <c r="AF686" s="1" t="str">
        <f>VLOOKUP($E686,'Product Naming'!$A$1:$P$58,15,FALSE)</f>
        <v>Acetyl-CoA</v>
      </c>
      <c r="AG686" s="30" t="str">
        <f>VLOOKUP($E686,'Product Naming'!$A$1:$P$58,16,FALSE)</f>
        <v>Diffusion</v>
      </c>
      <c r="AH686" s="3" t="str">
        <f>VLOOKUP($E686,'Product Naming'!$A$1:$Q$58,17,FALSE)</f>
        <v>pent_c</v>
      </c>
      <c r="AI686" s="1">
        <f>VLOOKUP($E686,'Product Parameters'!$A$2:$D$59,2,FALSE)</f>
        <v>0</v>
      </c>
      <c r="AJ686" s="1">
        <f>VLOOKUP($E686,'Product Parameters'!$A$2:$D$59,3,FALSE)</f>
        <v>1</v>
      </c>
      <c r="AK686" s="1">
        <f>VLOOKUP($E686,'Product Parameters'!$A$2:$D$59,4,FALSE)</f>
        <v>0.12</v>
      </c>
      <c r="AL686" s="1">
        <f>VLOOKUP($E686,'Product Parameters'!$A$2:$E$59,5,FALSE)</f>
        <v>26.5</v>
      </c>
      <c r="AM686" s="1">
        <f>VLOOKUP($E686,'Product Parameters'!$A$2:$F$59,6,FALSE)</f>
        <v>5</v>
      </c>
      <c r="AN686" s="1">
        <f>VLOOKUP($C686,'Substrate Heating'!$A$2:$C$33,3,FALSE)</f>
        <v>1648.4793779999998</v>
      </c>
      <c r="AO686" s="1">
        <f>VLOOKUP($C686,'Substrate Heating'!$A$2:$B$33,2,FALSE)</f>
        <v>17.899999999999999</v>
      </c>
      <c r="AP686" s="1">
        <f>VLOOKUP($C686,'Substrate Heating'!$A$2:$M$33,13,FALSE)</f>
        <v>4.666666666666667</v>
      </c>
      <c r="AQ686" s="1">
        <f>VLOOKUP($C686,'Substrate Heating'!$A$2:$M$33,8,FALSE)</f>
        <v>3</v>
      </c>
      <c r="AR686" s="1">
        <f t="shared" si="10"/>
        <v>0.70129629629629664</v>
      </c>
    </row>
    <row r="687" spans="1:44" x14ac:dyDescent="0.2">
      <c r="A687" s="17" t="s">
        <v>323</v>
      </c>
      <c r="B687" s="18" t="s">
        <v>324</v>
      </c>
      <c r="C687" t="s">
        <v>329</v>
      </c>
      <c r="D687" s="19" t="s">
        <v>326</v>
      </c>
      <c r="E687" t="s">
        <v>308</v>
      </c>
      <c r="F687" t="s">
        <v>309</v>
      </c>
      <c r="G687">
        <v>-10</v>
      </c>
      <c r="H687">
        <v>0</v>
      </c>
      <c r="I687">
        <v>-20</v>
      </c>
      <c r="J687">
        <v>0.45</v>
      </c>
      <c r="K687">
        <v>-10</v>
      </c>
      <c r="L687">
        <v>0</v>
      </c>
      <c r="M687">
        <v>-15.835897435897399</v>
      </c>
      <c r="N687">
        <v>0</v>
      </c>
      <c r="O687">
        <v>0.59487179487179498</v>
      </c>
      <c r="P687"/>
      <c r="Q687">
        <v>5.9487179487179499E-2</v>
      </c>
      <c r="R687" s="20">
        <v>0.33002296455673502</v>
      </c>
      <c r="S687" s="1" t="str">
        <f>VLOOKUP($E687,'Product Naming'!$A$1:$P$58,2,FALSE)</f>
        <v>Shikimate</v>
      </c>
      <c r="T687" s="1" t="str">
        <f>VLOOKUP($E687,'Product Naming'!$A$1:$P$58,3,FALSE)</f>
        <v>Shikimate</v>
      </c>
      <c r="U687" s="1" t="str">
        <f>VLOOKUP($E687,'Product Naming'!$A$1:$P$58,4,FALSE)</f>
        <v>E</v>
      </c>
      <c r="V687" s="1" t="str">
        <f>VLOOKUP($E687,'Product Naming'!$A$1:$P$58,5,FALSE)</f>
        <v>C7H9O5</v>
      </c>
      <c r="W687" s="1">
        <f>VLOOKUP($E687,'Product Naming'!$A$1:$P$58,6,FALSE)</f>
        <v>7</v>
      </c>
      <c r="X687" s="1">
        <f>VLOOKUP($E687,'Product Naming'!$A$1:$P$58,7,FALSE)</f>
        <v>9</v>
      </c>
      <c r="Y687" s="1">
        <f>VLOOKUP($E687,'Product Naming'!$A$1:$P$58,8,FALSE)</f>
        <v>5</v>
      </c>
      <c r="Z687" s="1">
        <f>VLOOKUP($E687,'Product Naming'!$A$1:$P$58,9,FALSE)</f>
        <v>0</v>
      </c>
      <c r="AA687" s="1">
        <f>VLOOKUP($E687,'Product Naming'!$A$1:$P$58,10,FALSE)</f>
        <v>-1</v>
      </c>
      <c r="AB687" s="29">
        <f>VLOOKUP($E687,'Product Naming'!$A$1:$P$58,11,FALSE)</f>
        <v>3.8571428571428572</v>
      </c>
      <c r="AC687" s="3">
        <f>VLOOKUP($E687,'Product Naming'!$A$1:$P$58,12,FALSE)</f>
        <v>173.14046000000002</v>
      </c>
      <c r="AD687" s="1">
        <f>VLOOKUP($E687,'Product Naming'!$A$1:$P$58,13,FALSE)</f>
        <v>400.5</v>
      </c>
      <c r="AE687" s="1" t="str">
        <f>VLOOKUP($E687,'Product Naming'!$A$1:$P$58,14,FALSE)</f>
        <v>Aromatic + Alcohol + Carboxylate</v>
      </c>
      <c r="AF687" s="1" t="str">
        <f>VLOOKUP($E687,'Product Naming'!$A$1:$P$58,15,FALSE)</f>
        <v>PEP + E4P (Glyceraldehyde 3-P)</v>
      </c>
      <c r="AG687" s="30" t="str">
        <f>VLOOKUP($E687,'Product Naming'!$A$1:$P$58,16,FALSE)</f>
        <v>Proton symporter</v>
      </c>
      <c r="AH687" s="3" t="str">
        <f>VLOOKUP($E687,'Product Naming'!$A$1:$Q$58,17,FALSE)</f>
        <v>skm_c</v>
      </c>
      <c r="AI687" s="1">
        <f>VLOOKUP($E687,'Product Parameters'!$A$2:$D$59,2,FALSE)</f>
        <v>1</v>
      </c>
      <c r="AJ687" s="1">
        <f>VLOOKUP($E687,'Product Parameters'!$A$2:$D$59,3,FALSE)</f>
        <v>0</v>
      </c>
      <c r="AK687" s="1">
        <f>VLOOKUP($E687,'Product Parameters'!$A$2:$D$59,4,FALSE)</f>
        <v>0.12</v>
      </c>
      <c r="AL687" s="1">
        <f>VLOOKUP($E687,'Product Parameters'!$A$2:$E$59,5,FALSE)</f>
        <v>40.65</v>
      </c>
      <c r="AM687" s="1">
        <f>VLOOKUP($E687,'Product Parameters'!$A$2:$F$59,6,FALSE)</f>
        <v>7</v>
      </c>
      <c r="AN687" s="1">
        <f>VLOOKUP($C687,'Substrate Heating'!$A$2:$C$33,3,FALSE)</f>
        <v>255.53333333333336</v>
      </c>
      <c r="AO687" s="1">
        <f>VLOOKUP($C687,'Substrate Heating'!$A$2:$B$33,2,FALSE)</f>
        <v>23.925550527978785</v>
      </c>
      <c r="AP687" s="1">
        <f>VLOOKUP($C687,'Substrate Heating'!$A$2:$M$33,13,FALSE)</f>
        <v>0.66666666666666663</v>
      </c>
      <c r="AQ687" s="1">
        <f>VLOOKUP($C687,'Substrate Heating'!$A$2:$M$33,8,FALSE)</f>
        <v>0.33333333333333331</v>
      </c>
      <c r="AR687" s="1">
        <f t="shared" si="10"/>
        <v>1.2492307692307696</v>
      </c>
    </row>
    <row r="688" spans="1:44" x14ac:dyDescent="0.2">
      <c r="A688" s="17" t="s">
        <v>323</v>
      </c>
      <c r="B688" s="18" t="s">
        <v>324</v>
      </c>
      <c r="C688" t="s">
        <v>336</v>
      </c>
      <c r="D688" s="19" t="s">
        <v>326</v>
      </c>
      <c r="E688" t="s">
        <v>264</v>
      </c>
      <c r="F688" t="s">
        <v>265</v>
      </c>
      <c r="G688">
        <v>-10</v>
      </c>
      <c r="H688">
        <v>0</v>
      </c>
      <c r="I688">
        <v>-20</v>
      </c>
      <c r="J688">
        <v>0.45</v>
      </c>
      <c r="K688">
        <v>-10</v>
      </c>
      <c r="L688">
        <v>0</v>
      </c>
      <c r="M688">
        <v>-15.5809523809524</v>
      </c>
      <c r="N688">
        <v>0</v>
      </c>
      <c r="O688">
        <v>1.1047619047618999</v>
      </c>
      <c r="P688"/>
      <c r="Q688">
        <v>0.11047619047619001</v>
      </c>
      <c r="R688" s="20">
        <v>0.33066733389856801</v>
      </c>
      <c r="S688" s="1" t="str">
        <f>VLOOKUP($E688,'Product Naming'!$A$1:$P$58,2,FALSE)</f>
        <v>Lysine_L</v>
      </c>
      <c r="T688" s="1" t="str">
        <f>VLOOKUP($E688,'Product Naming'!$A$1:$P$58,3,FALSE)</f>
        <v>L-Lysine</v>
      </c>
      <c r="U688" s="1" t="str">
        <f>VLOOKUP($E688,'Product Naming'!$A$1:$P$58,4,FALSE)</f>
        <v>iJO1366</v>
      </c>
      <c r="V688" s="1" t="str">
        <f>VLOOKUP($E688,'Product Naming'!$A$1:$P$58,5,FALSE)</f>
        <v>C6H15N2O2</v>
      </c>
      <c r="W688" s="1">
        <f>VLOOKUP($E688,'Product Naming'!$A$1:$P$58,6,FALSE)</f>
        <v>6</v>
      </c>
      <c r="X688" s="1">
        <f>VLOOKUP($E688,'Product Naming'!$A$1:$P$58,7,FALSE)</f>
        <v>15</v>
      </c>
      <c r="Y688" s="1">
        <f>VLOOKUP($E688,'Product Naming'!$A$1:$P$58,8,FALSE)</f>
        <v>2</v>
      </c>
      <c r="Z688" s="1">
        <f>VLOOKUP($E688,'Product Naming'!$A$1:$P$58,9,FALSE)</f>
        <v>2</v>
      </c>
      <c r="AA688" s="1">
        <f>VLOOKUP($E688,'Product Naming'!$A$1:$P$58,10,FALSE)</f>
        <v>1</v>
      </c>
      <c r="AB688" s="29">
        <f>VLOOKUP($E688,'Product Naming'!$A$1:$P$58,11,FALSE)</f>
        <v>4.833333333333333</v>
      </c>
      <c r="AC688" s="3">
        <f>VLOOKUP($E688,'Product Naming'!$A$1:$P$58,12,FALSE)</f>
        <v>147.19319999999999</v>
      </c>
      <c r="AD688" s="1" t="str">
        <f>VLOOKUP($E688,'Product Naming'!$A$1:$P$58,13,FALSE)</f>
        <v>NA</v>
      </c>
      <c r="AE688" s="1" t="str">
        <f>VLOOKUP($E688,'Product Naming'!$A$1:$P$58,14,FALSE)</f>
        <v>Amino acid</v>
      </c>
      <c r="AF688" s="1" t="str">
        <f>VLOOKUP($E688,'Product Naming'!$A$1:$P$58,15,FALSE)</f>
        <v>Oxaloacetate</v>
      </c>
      <c r="AG688" s="30" t="str">
        <f>VLOOKUP($E688,'Product Naming'!$A$1:$P$58,16,FALSE)</f>
        <v>Proton antiport</v>
      </c>
      <c r="AH688" s="3" t="str">
        <f>VLOOKUP($E688,'Product Naming'!$A$1:$Q$58,17,FALSE)</f>
        <v>lys__L_</v>
      </c>
      <c r="AI688" s="1">
        <f>VLOOKUP($E688,'Product Parameters'!$A$2:$D$59,2,FALSE)</f>
        <v>1</v>
      </c>
      <c r="AJ688" s="1">
        <f>VLOOKUP($E688,'Product Parameters'!$A$2:$D$59,3,FALSE)</f>
        <v>0</v>
      </c>
      <c r="AK688" s="1">
        <f>VLOOKUP($E688,'Product Parameters'!$A$2:$D$59,4,FALSE)</f>
        <v>0.12</v>
      </c>
      <c r="AL688" s="1">
        <f>VLOOKUP($E688,'Product Parameters'!$A$2:$E$59,5,FALSE)</f>
        <v>40.65</v>
      </c>
      <c r="AM688" s="1">
        <f>VLOOKUP($E688,'Product Parameters'!$A$2:$F$59,6,FALSE)</f>
        <v>6</v>
      </c>
      <c r="AN688" s="1">
        <f>VLOOKUP($C688,'Substrate Heating'!$A$2:$C$33,3,FALSE)</f>
        <v>245.86666666666667</v>
      </c>
      <c r="AO688" s="1">
        <f>VLOOKUP($C688,'Substrate Heating'!$A$2:$B$33,2,FALSE)</f>
        <v>15.038360459876978</v>
      </c>
      <c r="AP688" s="1">
        <f>VLOOKUP($C688,'Substrate Heating'!$A$2:$M$33,13,FALSE)</f>
        <v>0.33333333333333331</v>
      </c>
      <c r="AQ688" s="1">
        <f>VLOOKUP($C688,'Substrate Heating'!$A$2:$M$33,8,FALSE)</f>
        <v>0.33333333333333331</v>
      </c>
      <c r="AR688" s="1">
        <f t="shared" si="10"/>
        <v>1.9885714285714202</v>
      </c>
    </row>
    <row r="689" spans="1:44" x14ac:dyDescent="0.2">
      <c r="A689" s="8" t="s">
        <v>34</v>
      </c>
      <c r="B689" s="9" t="s">
        <v>35</v>
      </c>
      <c r="C689" s="1" t="s">
        <v>344</v>
      </c>
      <c r="D689" s="10" t="s">
        <v>37</v>
      </c>
      <c r="E689" s="1" t="s">
        <v>251</v>
      </c>
      <c r="F689" s="1" t="s">
        <v>252</v>
      </c>
      <c r="G689" s="1">
        <v>-10</v>
      </c>
      <c r="H689" s="1">
        <v>-20</v>
      </c>
      <c r="I689" s="1" t="s">
        <v>40</v>
      </c>
      <c r="J689" s="1">
        <v>3.15</v>
      </c>
      <c r="K689" s="1">
        <v>-10</v>
      </c>
      <c r="L689" s="1">
        <v>-5.1083333333333298</v>
      </c>
      <c r="M689" s="1" t="s">
        <v>40</v>
      </c>
      <c r="N689" s="1">
        <v>10.0722222222222</v>
      </c>
      <c r="O689" s="1">
        <v>3.3092592592592598</v>
      </c>
      <c r="Q689" s="1">
        <v>0.33092592592592601</v>
      </c>
      <c r="R689" s="1">
        <v>0.33115638156807298</v>
      </c>
      <c r="S689" s="1" t="str">
        <f>VLOOKUP($E689,'Product Naming'!$A$1:$P$58,2,FALSE)</f>
        <v>Isopropanol</v>
      </c>
      <c r="T689" s="1" t="str">
        <f>VLOOKUP($E689,'Product Naming'!$A$1:$P$58,3,FALSE)</f>
        <v>Isopropanol</v>
      </c>
      <c r="U689" s="1" t="str">
        <f>VLOOKUP($E689,'Product Naming'!$A$1:$P$58,4,FALSE)</f>
        <v>A</v>
      </c>
      <c r="V689" s="1" t="str">
        <f>VLOOKUP($E689,'Product Naming'!$A$1:$P$58,5,FALSE)</f>
        <v>C3H8O</v>
      </c>
      <c r="W689" s="1">
        <f>VLOOKUP($E689,'Product Naming'!$A$1:$P$58,6,FALSE)</f>
        <v>3</v>
      </c>
      <c r="X689" s="1">
        <f>VLOOKUP($E689,'Product Naming'!$A$1:$P$58,7,FALSE)</f>
        <v>8</v>
      </c>
      <c r="Y689" s="1">
        <f>VLOOKUP($E689,'Product Naming'!$A$1:$P$58,8,FALSE)</f>
        <v>1</v>
      </c>
      <c r="Z689" s="1">
        <f>VLOOKUP($E689,'Product Naming'!$A$1:$P$58,9,FALSE)</f>
        <v>0</v>
      </c>
      <c r="AA689" s="1">
        <f>VLOOKUP($E689,'Product Naming'!$A$1:$P$58,10,FALSE)</f>
        <v>0</v>
      </c>
      <c r="AB689" s="29">
        <f>VLOOKUP($E689,'Product Naming'!$A$1:$P$58,11,FALSE)</f>
        <v>6</v>
      </c>
      <c r="AC689" s="3">
        <f>VLOOKUP($E689,'Product Naming'!$A$1:$P$58,12,FALSE)</f>
        <v>60.093820000000001</v>
      </c>
      <c r="AD689" s="1">
        <f>VLOOKUP($E689,'Product Naming'!$A$1:$P$58,13,FALSE)</f>
        <v>82.5</v>
      </c>
      <c r="AE689" s="1" t="str">
        <f>VLOOKUP($E689,'Product Naming'!$A$1:$P$58,14,FALSE)</f>
        <v>Alcohol</v>
      </c>
      <c r="AF689" s="1" t="str">
        <f>VLOOKUP($E689,'Product Naming'!$A$1:$P$58,15,FALSE)</f>
        <v>Acetyl-CoA</v>
      </c>
      <c r="AG689" s="30" t="str">
        <f>VLOOKUP($E689,'Product Naming'!$A$1:$P$58,16,FALSE)</f>
        <v>Proton symporter</v>
      </c>
      <c r="AH689" s="3" t="str">
        <f>VLOOKUP($E689,'Product Naming'!$A$1:$Q$58,17,FALSE)</f>
        <v>2ppoh_c</v>
      </c>
      <c r="AI689" s="1">
        <f>VLOOKUP($E689,'Product Parameters'!$A$2:$D$59,2,FALSE)</f>
        <v>1</v>
      </c>
      <c r="AJ689" s="1">
        <f>VLOOKUP($E689,'Product Parameters'!$A$2:$D$59,3,FALSE)</f>
        <v>0</v>
      </c>
      <c r="AK689" s="1">
        <f>VLOOKUP($E689,'Product Parameters'!$A$2:$D$59,4,FALSE)</f>
        <v>0.12</v>
      </c>
      <c r="AL689" s="1">
        <f>VLOOKUP($E689,'Product Parameters'!$A$2:$E$59,5,FALSE)</f>
        <v>45</v>
      </c>
      <c r="AM689" s="1">
        <f>VLOOKUP($E689,'Product Parameters'!$A$2:$F$59,6,FALSE)</f>
        <v>3</v>
      </c>
      <c r="AN689" s="1">
        <f>VLOOKUP($C689,'Substrate Heating'!$A$2:$C$33,3,FALSE)</f>
        <v>1020.8629199999999</v>
      </c>
      <c r="AO689" s="1">
        <f>VLOOKUP($C689,'Substrate Heating'!$A$2:$B$33,2,FALSE)</f>
        <v>17</v>
      </c>
      <c r="AP689" s="1">
        <f>VLOOKUP($C689,'Substrate Heating'!$A$2:$M$33,13,FALSE)</f>
        <v>4</v>
      </c>
      <c r="AQ689" s="1">
        <f>VLOOKUP($C689,'Substrate Heating'!$A$2:$M$33,8,FALSE)</f>
        <v>2</v>
      </c>
      <c r="AR689" s="1">
        <f t="shared" si="10"/>
        <v>0.49638888888888899</v>
      </c>
    </row>
    <row r="690" spans="1:44" x14ac:dyDescent="0.2">
      <c r="A690" s="8" t="s">
        <v>34</v>
      </c>
      <c r="B690" s="9" t="s">
        <v>35</v>
      </c>
      <c r="C690" s="1" t="s">
        <v>344</v>
      </c>
      <c r="D690" s="10" t="s">
        <v>37</v>
      </c>
      <c r="E690" s="1" t="s">
        <v>72</v>
      </c>
      <c r="F690" s="1" t="s">
        <v>73</v>
      </c>
      <c r="G690" s="1">
        <v>-10</v>
      </c>
      <c r="H690" s="1">
        <v>-20</v>
      </c>
      <c r="I690" s="1" t="s">
        <v>40</v>
      </c>
      <c r="J690" s="1">
        <v>3.15</v>
      </c>
      <c r="K690" s="1">
        <v>-10</v>
      </c>
      <c r="L690" s="1">
        <v>-5</v>
      </c>
      <c r="M690" s="1" t="s">
        <v>40</v>
      </c>
      <c r="N690" s="1">
        <v>10</v>
      </c>
      <c r="O690" s="1">
        <v>3.3333333333333299</v>
      </c>
      <c r="Q690" s="1">
        <v>0.33333333333333298</v>
      </c>
      <c r="R690" s="1">
        <v>0.333565465485468</v>
      </c>
      <c r="S690" s="1" t="str">
        <f>VLOOKUP($E690,'Product Naming'!$A$1:$P$58,2,FALSE)</f>
        <v>1-propanol-PW1</v>
      </c>
      <c r="T690" s="1" t="str">
        <f>VLOOKUP($E690,'Product Naming'!$A$1:$P$58,3,FALSE)</f>
        <v>1-Propanol (PW1)</v>
      </c>
      <c r="U690" s="1" t="str">
        <f>VLOOKUP($E690,'Product Naming'!$A$1:$P$58,4,FALSE)</f>
        <v>E-S</v>
      </c>
      <c r="V690" s="1" t="str">
        <f>VLOOKUP($E690,'Product Naming'!$A$1:$P$58,5,FALSE)</f>
        <v>C3H8O</v>
      </c>
      <c r="W690" s="1">
        <f>VLOOKUP($E690,'Product Naming'!$A$1:$P$58,6,FALSE)</f>
        <v>3</v>
      </c>
      <c r="X690" s="1">
        <f>VLOOKUP($E690,'Product Naming'!$A$1:$P$58,7,FALSE)</f>
        <v>8</v>
      </c>
      <c r="Y690" s="1">
        <f>VLOOKUP($E690,'Product Naming'!$A$1:$P$58,8,FALSE)</f>
        <v>1</v>
      </c>
      <c r="Z690" s="1">
        <f>VLOOKUP($E690,'Product Naming'!$A$1:$P$58,9,FALSE)</f>
        <v>0</v>
      </c>
      <c r="AA690" s="1">
        <f>VLOOKUP($E690,'Product Naming'!$A$1:$P$58,10,FALSE)</f>
        <v>0</v>
      </c>
      <c r="AB690" s="29">
        <f>VLOOKUP($E690,'Product Naming'!$A$1:$P$58,11,FALSE)</f>
        <v>6</v>
      </c>
      <c r="AC690" s="3">
        <f>VLOOKUP($E690,'Product Naming'!$A$1:$P$58,12,FALSE)</f>
        <v>60.093820000000001</v>
      </c>
      <c r="AD690" s="1">
        <f>VLOOKUP($E690,'Product Naming'!$A$1:$P$58,13,FALSE)</f>
        <v>97</v>
      </c>
      <c r="AE690" s="1" t="str">
        <f>VLOOKUP($E690,'Product Naming'!$A$1:$P$58,14,FALSE)</f>
        <v>Alcohol</v>
      </c>
      <c r="AF690" s="1" t="str">
        <f>VLOOKUP($E690,'Product Naming'!$A$1:$P$58,15,FALSE)</f>
        <v>Glyceraldehyde 3-P (--&gt;DHAP)</v>
      </c>
      <c r="AG690" s="30" t="str">
        <f>VLOOKUP($E690,'Product Naming'!$A$1:$P$58,16,FALSE)</f>
        <v>Proton symporter</v>
      </c>
      <c r="AH690" s="3" t="str">
        <f>VLOOKUP($E690,'Product Naming'!$A$1:$Q$58,17,FALSE)</f>
        <v>ppoh_c</v>
      </c>
      <c r="AI690" s="1">
        <f>VLOOKUP($E690,'Product Parameters'!$A$2:$D$59,2,FALSE)</f>
        <v>1</v>
      </c>
      <c r="AJ690" s="1">
        <f>VLOOKUP($E690,'Product Parameters'!$A$2:$D$59,3,FALSE)</f>
        <v>0</v>
      </c>
      <c r="AK690" s="1">
        <f>VLOOKUP($E690,'Product Parameters'!$A$2:$D$59,4,FALSE)</f>
        <v>0.12</v>
      </c>
      <c r="AL690" s="1">
        <f>VLOOKUP($E690,'Product Parameters'!$A$2:$E$59,5,FALSE)</f>
        <v>47</v>
      </c>
      <c r="AM690" s="1">
        <f>VLOOKUP($E690,'Product Parameters'!$A$2:$F$59,6,FALSE)</f>
        <v>3</v>
      </c>
      <c r="AN690" s="1">
        <f>VLOOKUP($C690,'Substrate Heating'!$A$2:$C$33,3,FALSE)</f>
        <v>1020.8629199999999</v>
      </c>
      <c r="AO690" s="1">
        <f>VLOOKUP($C690,'Substrate Heating'!$A$2:$B$33,2,FALSE)</f>
        <v>17</v>
      </c>
      <c r="AP690" s="1">
        <f>VLOOKUP($C690,'Substrate Heating'!$A$2:$M$33,13,FALSE)</f>
        <v>4</v>
      </c>
      <c r="AQ690" s="1">
        <f>VLOOKUP($C690,'Substrate Heating'!$A$2:$M$33,8,FALSE)</f>
        <v>2</v>
      </c>
      <c r="AR690" s="1">
        <f t="shared" si="10"/>
        <v>0.49999999999999944</v>
      </c>
    </row>
    <row r="691" spans="1:44" x14ac:dyDescent="0.2">
      <c r="A691" s="17" t="s">
        <v>323</v>
      </c>
      <c r="B691" s="18" t="s">
        <v>324</v>
      </c>
      <c r="C691" t="s">
        <v>335</v>
      </c>
      <c r="D691" s="19" t="s">
        <v>326</v>
      </c>
      <c r="E691" t="s">
        <v>254</v>
      </c>
      <c r="F691" t="s">
        <v>255</v>
      </c>
      <c r="G691">
        <v>-10</v>
      </c>
      <c r="H691">
        <v>0</v>
      </c>
      <c r="I691">
        <v>-10</v>
      </c>
      <c r="J691">
        <v>0.45</v>
      </c>
      <c r="K691">
        <v>-10</v>
      </c>
      <c r="L691">
        <v>0</v>
      </c>
      <c r="M691">
        <v>-10</v>
      </c>
      <c r="N691">
        <v>0</v>
      </c>
      <c r="O691">
        <v>1.2551724137931</v>
      </c>
      <c r="P691"/>
      <c r="Q691">
        <v>0.12551724137931</v>
      </c>
      <c r="R691">
        <v>0.33457835696217297</v>
      </c>
      <c r="S691" s="1" t="str">
        <f>VLOOKUP($E691,'Product Naming'!$A$1:$P$58,2,FALSE)</f>
        <v>Itaconate</v>
      </c>
      <c r="T691" s="1" t="str">
        <f>VLOOKUP($E691,'Product Naming'!$A$1:$P$58,3,FALSE)</f>
        <v>Itaconate</v>
      </c>
      <c r="U691" s="1" t="str">
        <f>VLOOKUP($E691,'Product Naming'!$A$1:$P$58,4,FALSE)</f>
        <v>E</v>
      </c>
      <c r="V691" s="1" t="str">
        <f>VLOOKUP($E691,'Product Naming'!$A$1:$P$58,5,FALSE)</f>
        <v>C5H4O4</v>
      </c>
      <c r="W691" s="1">
        <f>VLOOKUP($E691,'Product Naming'!$A$1:$P$58,6,FALSE)</f>
        <v>5</v>
      </c>
      <c r="X691" s="1">
        <f>VLOOKUP($E691,'Product Naming'!$A$1:$P$58,7,FALSE)</f>
        <v>4</v>
      </c>
      <c r="Y691" s="1">
        <f>VLOOKUP($E691,'Product Naming'!$A$1:$P$58,8,FALSE)</f>
        <v>4</v>
      </c>
      <c r="Z691" s="1">
        <f>VLOOKUP($E691,'Product Naming'!$A$1:$P$58,9,FALSE)</f>
        <v>0</v>
      </c>
      <c r="AA691" s="1">
        <f>VLOOKUP($E691,'Product Naming'!$A$1:$P$58,10,FALSE)</f>
        <v>-2</v>
      </c>
      <c r="AB691" s="29">
        <f>VLOOKUP($E691,'Product Naming'!$A$1:$P$58,11,FALSE)</f>
        <v>3.2</v>
      </c>
      <c r="AC691" s="3">
        <f>VLOOKUP($E691,'Product Naming'!$A$1:$P$58,12,FALSE)</f>
        <v>128.08086</v>
      </c>
      <c r="AD691" s="1">
        <f>VLOOKUP($E691,'Product Naming'!$A$1:$P$58,13,FALSE)</f>
        <v>381</v>
      </c>
      <c r="AE691" s="1" t="str">
        <f>VLOOKUP($E691,'Product Naming'!$A$1:$P$58,14,FALSE)</f>
        <v>Dicarboxylate</v>
      </c>
      <c r="AF691" s="1" t="str">
        <f>VLOOKUP($E691,'Product Naming'!$A$1:$P$58,15,FALSE)</f>
        <v>Acetyl-CoA + Oxaloacetate</v>
      </c>
      <c r="AG691" s="30" t="str">
        <f>VLOOKUP($E691,'Product Naming'!$A$1:$P$58,16,FALSE)</f>
        <v>Proton symporter</v>
      </c>
      <c r="AH691" s="3" t="str">
        <f>VLOOKUP($E691,'Product Naming'!$A$1:$Q$58,17,FALSE)</f>
        <v>itacon_c</v>
      </c>
      <c r="AI691" s="1">
        <f>VLOOKUP($E691,'Product Parameters'!$A$2:$D$59,2,FALSE)</f>
        <v>1</v>
      </c>
      <c r="AJ691" s="1">
        <f>VLOOKUP($E691,'Product Parameters'!$A$2:$D$59,3,FALSE)</f>
        <v>0</v>
      </c>
      <c r="AK691" s="1">
        <f>VLOOKUP($E691,'Product Parameters'!$A$2:$D$59,4,FALSE)</f>
        <v>0.12</v>
      </c>
      <c r="AL691" s="1">
        <f>VLOOKUP($E691,'Product Parameters'!$A$2:$E$59,5,FALSE)</f>
        <v>40.65</v>
      </c>
      <c r="AM691" s="1">
        <f>VLOOKUP($E691,'Product Parameters'!$A$2:$F$59,6,FALSE)</f>
        <v>5</v>
      </c>
      <c r="AN691" s="1">
        <f>VLOOKUP($C691,'Substrate Heating'!$A$2:$C$33,3,FALSE)</f>
        <v>247.9</v>
      </c>
      <c r="AO691" s="1">
        <f>VLOOKUP($C691,'Substrate Heating'!$A$2:$B$33,2,FALSE)</f>
        <v>10.541709491918519</v>
      </c>
      <c r="AP691" s="1">
        <f>VLOOKUP($C691,'Substrate Heating'!$A$2:$M$33,13,FALSE)</f>
        <v>0.5</v>
      </c>
      <c r="AQ691" s="1">
        <f>VLOOKUP($C691,'Substrate Heating'!$A$2:$M$33,8,FALSE)</f>
        <v>0.5</v>
      </c>
      <c r="AR691" s="1">
        <f t="shared" si="10"/>
        <v>1.2551724137931</v>
      </c>
    </row>
    <row r="692" spans="1:44" x14ac:dyDescent="0.2">
      <c r="A692" s="8" t="s">
        <v>34</v>
      </c>
      <c r="B692" s="9" t="s">
        <v>35</v>
      </c>
      <c r="C692" s="1" t="s">
        <v>331</v>
      </c>
      <c r="D692" s="10" t="s">
        <v>37</v>
      </c>
      <c r="E692" s="1" t="s">
        <v>151</v>
      </c>
      <c r="F692" s="1" t="s">
        <v>152</v>
      </c>
      <c r="G692" s="1">
        <v>-10</v>
      </c>
      <c r="H692" s="1">
        <v>-20</v>
      </c>
      <c r="I692" s="1" t="s">
        <v>40</v>
      </c>
      <c r="J692" s="1">
        <v>3.15</v>
      </c>
      <c r="K692" s="1">
        <v>-10</v>
      </c>
      <c r="L692" s="1">
        <v>-4.0629464285714301</v>
      </c>
      <c r="M692" s="1" t="s">
        <v>40</v>
      </c>
      <c r="N692" s="1">
        <v>4.4910714285714199</v>
      </c>
      <c r="O692" s="1">
        <v>0.38772321428571399</v>
      </c>
      <c r="Q692" s="1">
        <v>3.8772321428571399E-2</v>
      </c>
      <c r="R692" s="1">
        <v>0.33537600761902903</v>
      </c>
      <c r="S692" s="1" t="str">
        <f>VLOOKUP($E692,'Product Naming'!$A$1:$P$58,2,FALSE)</f>
        <v>BetaCarotene</v>
      </c>
      <c r="T692" s="1" t="str">
        <f>VLOOKUP($E692,'Product Naming'!$A$1:$P$58,3,FALSE)</f>
        <v>Beta carotene</v>
      </c>
      <c r="U692" s="1" t="str">
        <f>VLOOKUP($E692,'Product Naming'!$A$1:$P$58,4,FALSE)</f>
        <v>A</v>
      </c>
      <c r="V692" s="1" t="str">
        <f>VLOOKUP($E692,'Product Naming'!$A$1:$P$58,5,FALSE)</f>
        <v>C40H56</v>
      </c>
      <c r="W692" s="1">
        <f>VLOOKUP($E692,'Product Naming'!$A$1:$P$58,6,FALSE)</f>
        <v>40</v>
      </c>
      <c r="X692" s="1">
        <f>VLOOKUP($E692,'Product Naming'!$A$1:$P$58,7,FALSE)</f>
        <v>56</v>
      </c>
      <c r="Y692" s="1">
        <f>VLOOKUP($E692,'Product Naming'!$A$1:$P$58,8,FALSE)</f>
        <v>0</v>
      </c>
      <c r="Z692" s="1">
        <f>VLOOKUP($E692,'Product Naming'!$A$1:$P$58,9,FALSE)</f>
        <v>0</v>
      </c>
      <c r="AA692" s="1">
        <f>VLOOKUP($E692,'Product Naming'!$A$1:$P$58,10,FALSE)</f>
        <v>0</v>
      </c>
      <c r="AB692" s="29">
        <f>VLOOKUP($E692,'Product Naming'!$A$1:$P$58,11,FALSE)</f>
        <v>5.4</v>
      </c>
      <c r="AC692" s="3">
        <f>VLOOKUP($E692,'Product Naming'!$A$1:$P$58,12,FALSE)</f>
        <v>536.86703999999997</v>
      </c>
      <c r="AD692" s="1">
        <f>VLOOKUP($E692,'Product Naming'!$A$1:$P$58,13,FALSE)</f>
        <v>633</v>
      </c>
      <c r="AE692" s="1" t="str">
        <f>VLOOKUP($E692,'Product Naming'!$A$1:$P$58,14,FALSE)</f>
        <v>Hydrocarbon</v>
      </c>
      <c r="AF692" s="1" t="str">
        <f>VLOOKUP($E692,'Product Naming'!$A$1:$P$58,15,FALSE)</f>
        <v>Acetyl-CoA</v>
      </c>
      <c r="AG692" s="30" t="str">
        <f>VLOOKUP($E692,'Product Naming'!$A$1:$P$58,16,FALSE)</f>
        <v>ABC Transporter</v>
      </c>
      <c r="AH692" s="3" t="str">
        <f>VLOOKUP($E692,'Product Naming'!$A$1:$Q$58,17,FALSE)</f>
        <v>caro_c</v>
      </c>
      <c r="AI692" s="1">
        <f>VLOOKUP($E692,'Product Parameters'!$A$2:$D$59,2,FALSE)</f>
        <v>1</v>
      </c>
      <c r="AJ692" s="1">
        <f>VLOOKUP($E692,'Product Parameters'!$A$2:$D$59,3,FALSE)</f>
        <v>0</v>
      </c>
      <c r="AK692" s="1">
        <f>VLOOKUP($E692,'Product Parameters'!$A$2:$D$59,4,FALSE)</f>
        <v>0.12</v>
      </c>
      <c r="AL692" s="1">
        <f>VLOOKUP($E692,'Product Parameters'!$A$2:$E$59,5,FALSE)</f>
        <v>40.65</v>
      </c>
      <c r="AM692" s="1">
        <f>VLOOKUP($E692,'Product Parameters'!$A$2:$F$59,6,FALSE)</f>
        <v>40</v>
      </c>
      <c r="AN692" s="1">
        <f>VLOOKUP($C692,'Substrate Heating'!$A$2:$C$33,3,FALSE)</f>
        <v>1055.1294800000001</v>
      </c>
      <c r="AO692" s="1">
        <f>VLOOKUP($C692,'Substrate Heating'!$A$2:$B$33,2,FALSE)</f>
        <v>17</v>
      </c>
      <c r="AP692" s="1">
        <f>VLOOKUP($C692,'Substrate Heating'!$A$2:$M$33,13,FALSE)</f>
        <v>5</v>
      </c>
      <c r="AQ692" s="1">
        <f>VLOOKUP($C692,'Substrate Heating'!$A$2:$M$33,8,FALSE)</f>
        <v>2</v>
      </c>
      <c r="AR692" s="1">
        <f t="shared" si="10"/>
        <v>0.77544642857142798</v>
      </c>
    </row>
    <row r="693" spans="1:44" x14ac:dyDescent="0.2">
      <c r="A693" s="8" t="s">
        <v>34</v>
      </c>
      <c r="B693" s="9" t="s">
        <v>35</v>
      </c>
      <c r="C693" s="1" t="s">
        <v>343</v>
      </c>
      <c r="D693" s="24" t="s">
        <v>342</v>
      </c>
      <c r="E693" s="1" t="s">
        <v>151</v>
      </c>
      <c r="F693" s="1" t="s">
        <v>152</v>
      </c>
      <c r="G693" s="1">
        <v>-10</v>
      </c>
      <c r="H693" s="1">
        <v>-20</v>
      </c>
      <c r="I693" s="1" t="s">
        <v>40</v>
      </c>
      <c r="J693" s="1">
        <v>3.15</v>
      </c>
      <c r="K693" s="1">
        <v>-10</v>
      </c>
      <c r="L693" s="1">
        <v>-3.90537190082645</v>
      </c>
      <c r="M693" s="1" t="s">
        <v>40</v>
      </c>
      <c r="N693" s="1">
        <v>6.9669421487603298</v>
      </c>
      <c r="O693" s="1">
        <v>0.575826446280992</v>
      </c>
      <c r="Q693" s="1">
        <v>5.75826446280992E-2</v>
      </c>
      <c r="R693" s="1">
        <v>0.33568185114766103</v>
      </c>
      <c r="S693" s="1" t="str">
        <f>VLOOKUP($E693,'Product Naming'!$A$1:$P$58,2,FALSE)</f>
        <v>BetaCarotene</v>
      </c>
      <c r="T693" s="1" t="str">
        <f>VLOOKUP($E693,'Product Naming'!$A$1:$P$58,3,FALSE)</f>
        <v>Beta carotene</v>
      </c>
      <c r="U693" s="1" t="str">
        <f>VLOOKUP($E693,'Product Naming'!$A$1:$P$58,4,FALSE)</f>
        <v>A</v>
      </c>
      <c r="V693" s="1" t="str">
        <f>VLOOKUP($E693,'Product Naming'!$A$1:$P$58,5,FALSE)</f>
        <v>C40H56</v>
      </c>
      <c r="W693" s="1">
        <f>VLOOKUP($E693,'Product Naming'!$A$1:$P$58,6,FALSE)</f>
        <v>40</v>
      </c>
      <c r="X693" s="1">
        <f>VLOOKUP($E693,'Product Naming'!$A$1:$P$58,7,FALSE)</f>
        <v>56</v>
      </c>
      <c r="Y693" s="1">
        <f>VLOOKUP($E693,'Product Naming'!$A$1:$P$58,8,FALSE)</f>
        <v>0</v>
      </c>
      <c r="Z693" s="1">
        <f>VLOOKUP($E693,'Product Naming'!$A$1:$P$58,9,FALSE)</f>
        <v>0</v>
      </c>
      <c r="AA693" s="1">
        <f>VLOOKUP($E693,'Product Naming'!$A$1:$P$58,10,FALSE)</f>
        <v>0</v>
      </c>
      <c r="AB693" s="29">
        <f>VLOOKUP($E693,'Product Naming'!$A$1:$P$58,11,FALSE)</f>
        <v>5.4</v>
      </c>
      <c r="AC693" s="3">
        <f>VLOOKUP($E693,'Product Naming'!$A$1:$P$58,12,FALSE)</f>
        <v>536.86703999999997</v>
      </c>
      <c r="AD693" s="1">
        <f>VLOOKUP($E693,'Product Naming'!$A$1:$P$58,13,FALSE)</f>
        <v>633</v>
      </c>
      <c r="AE693" s="1" t="str">
        <f>VLOOKUP($E693,'Product Naming'!$A$1:$P$58,14,FALSE)</f>
        <v>Hydrocarbon</v>
      </c>
      <c r="AF693" s="1" t="str">
        <f>VLOOKUP($E693,'Product Naming'!$A$1:$P$58,15,FALSE)</f>
        <v>Acetyl-CoA</v>
      </c>
      <c r="AG693" s="30" t="str">
        <f>VLOOKUP($E693,'Product Naming'!$A$1:$P$58,16,FALSE)</f>
        <v>ABC Transporter</v>
      </c>
      <c r="AH693" s="3" t="str">
        <f>VLOOKUP($E693,'Product Naming'!$A$1:$Q$58,17,FALSE)</f>
        <v>caro_c</v>
      </c>
      <c r="AI693" s="1">
        <f>VLOOKUP($E693,'Product Parameters'!$A$2:$D$59,2,FALSE)</f>
        <v>1</v>
      </c>
      <c r="AJ693" s="1">
        <f>VLOOKUP($E693,'Product Parameters'!$A$2:$D$59,3,FALSE)</f>
        <v>0</v>
      </c>
      <c r="AK693" s="1">
        <f>VLOOKUP($E693,'Product Parameters'!$A$2:$D$59,4,FALSE)</f>
        <v>0.12</v>
      </c>
      <c r="AL693" s="1">
        <f>VLOOKUP($E693,'Product Parameters'!$A$2:$E$59,5,FALSE)</f>
        <v>40.65</v>
      </c>
      <c r="AM693" s="1">
        <f>VLOOKUP($E693,'Product Parameters'!$A$2:$F$59,6,FALSE)</f>
        <v>40</v>
      </c>
      <c r="AN693" s="1">
        <f>VLOOKUP($C693,'Substrate Heating'!$A$2:$C$33,3,FALSE)</f>
        <v>1648.4793779999998</v>
      </c>
      <c r="AO693" s="1">
        <f>VLOOKUP($C693,'Substrate Heating'!$A$2:$B$33,2,FALSE)</f>
        <v>17.899999999999999</v>
      </c>
      <c r="AP693" s="1">
        <f>VLOOKUP($C693,'Substrate Heating'!$A$2:$M$33,13,FALSE)</f>
        <v>4.666666666666667</v>
      </c>
      <c r="AQ693" s="1">
        <f>VLOOKUP($C693,'Substrate Heating'!$A$2:$M$33,8,FALSE)</f>
        <v>3</v>
      </c>
      <c r="AR693" s="1">
        <f t="shared" si="10"/>
        <v>0.76776859504132267</v>
      </c>
    </row>
    <row r="694" spans="1:44" x14ac:dyDescent="0.2">
      <c r="A694" s="8" t="s">
        <v>34</v>
      </c>
      <c r="B694" s="9" t="s">
        <v>35</v>
      </c>
      <c r="C694" s="1" t="s">
        <v>348</v>
      </c>
      <c r="D694" s="23" t="s">
        <v>338</v>
      </c>
      <c r="E694" s="1" t="s">
        <v>291</v>
      </c>
      <c r="F694" s="1" t="s">
        <v>292</v>
      </c>
      <c r="G694" s="1">
        <v>-10</v>
      </c>
      <c r="H694" s="1">
        <v>-20</v>
      </c>
      <c r="I694" s="1" t="s">
        <v>40</v>
      </c>
      <c r="J694" s="1">
        <v>3.15</v>
      </c>
      <c r="K694" s="1">
        <v>-10</v>
      </c>
      <c r="L694" s="1">
        <v>-5.8241379310344801</v>
      </c>
      <c r="M694" s="1" t="s">
        <v>40</v>
      </c>
      <c r="N694" s="1">
        <v>3.8827586206896698</v>
      </c>
      <c r="O694" s="1">
        <v>1.2234482758620699</v>
      </c>
      <c r="Q694" s="1">
        <v>0.122344827586207</v>
      </c>
      <c r="R694" s="1">
        <v>0.33657682150384</v>
      </c>
      <c r="S694" s="1" t="str">
        <f>VLOOKUP($E694,'Product Naming'!$A$1:$P$58,2,FALSE)</f>
        <v>Pentanol-PW1</v>
      </c>
      <c r="T694" s="1" t="str">
        <f>VLOOKUP($E694,'Product Naming'!$A$1:$P$58,3,FALSE)</f>
        <v>Pentanol (PW1)</v>
      </c>
      <c r="U694" s="1" t="str">
        <f>VLOOKUP($E694,'Product Naming'!$A$1:$P$58,4,FALSE)</f>
        <v>E</v>
      </c>
      <c r="V694" s="1" t="str">
        <f>VLOOKUP($E694,'Product Naming'!$A$1:$P$58,5,FALSE)</f>
        <v>C5H12O</v>
      </c>
      <c r="W694" s="1">
        <f>VLOOKUP($E694,'Product Naming'!$A$1:$P$58,6,FALSE)</f>
        <v>5</v>
      </c>
      <c r="X694" s="1">
        <f>VLOOKUP($E694,'Product Naming'!$A$1:$P$58,7,FALSE)</f>
        <v>12</v>
      </c>
      <c r="Y694" s="1">
        <f>VLOOKUP($E694,'Product Naming'!$A$1:$P$58,8,FALSE)</f>
        <v>1</v>
      </c>
      <c r="Z694" s="1">
        <f>VLOOKUP($E694,'Product Naming'!$A$1:$P$58,9,FALSE)</f>
        <v>0</v>
      </c>
      <c r="AA694" s="1">
        <f>VLOOKUP($E694,'Product Naming'!$A$1:$P$58,10,FALSE)</f>
        <v>0</v>
      </c>
      <c r="AB694" s="29">
        <f>VLOOKUP($E694,'Product Naming'!$A$1:$P$58,11,FALSE)</f>
        <v>6</v>
      </c>
      <c r="AC694" s="3">
        <f>VLOOKUP($E694,'Product Naming'!$A$1:$P$58,12,FALSE)</f>
        <v>88.14658</v>
      </c>
      <c r="AD694" s="1">
        <f>VLOOKUP($E694,'Product Naming'!$A$1:$P$58,13,FALSE)</f>
        <v>138</v>
      </c>
      <c r="AE694" s="1" t="str">
        <f>VLOOKUP($E694,'Product Naming'!$A$1:$P$58,14,FALSE)</f>
        <v>Alcohol</v>
      </c>
      <c r="AF694" s="1" t="str">
        <f>VLOOKUP($E694,'Product Naming'!$A$1:$P$58,15,FALSE)</f>
        <v>Acetyl-CoA + Succinyl-CoA</v>
      </c>
      <c r="AG694" s="30" t="str">
        <f>VLOOKUP($E694,'Product Naming'!$A$1:$P$58,16,FALSE)</f>
        <v>Proton symporter</v>
      </c>
      <c r="AH694" s="3" t="str">
        <f>VLOOKUP($E694,'Product Naming'!$A$1:$Q$58,17,FALSE)</f>
        <v>pentoh_c</v>
      </c>
      <c r="AI694" s="1">
        <f>VLOOKUP($E694,'Product Parameters'!$A$2:$D$59,2,FALSE)</f>
        <v>1</v>
      </c>
      <c r="AJ694" s="1">
        <f>VLOOKUP($E694,'Product Parameters'!$A$2:$D$59,3,FALSE)</f>
        <v>0</v>
      </c>
      <c r="AK694" s="1">
        <f>VLOOKUP($E694,'Product Parameters'!$A$2:$D$59,4,FALSE)</f>
        <v>0.12</v>
      </c>
      <c r="AL694" s="1">
        <f>VLOOKUP($E694,'Product Parameters'!$A$2:$E$59,5,FALSE)</f>
        <v>57</v>
      </c>
      <c r="AM694" s="1">
        <f>VLOOKUP($E694,'Product Parameters'!$A$2:$F$59,6,FALSE)</f>
        <v>5</v>
      </c>
      <c r="AN694" s="1">
        <f>VLOOKUP($C694,'Substrate Heating'!$A$2:$C$33,3,FALSE)</f>
        <v>638.57832580000002</v>
      </c>
      <c r="AO694" s="1">
        <f>VLOOKUP($C694,'Substrate Heating'!$A$2:$B$33,2,FALSE)</f>
        <v>19.93</v>
      </c>
      <c r="AP694" s="1">
        <f>VLOOKUP($C694,'Substrate Heating'!$A$2:$M$33,13,FALSE)</f>
        <v>6</v>
      </c>
      <c r="AQ694" s="1">
        <f>VLOOKUP($C694,'Substrate Heating'!$A$2:$M$33,8,FALSE)</f>
        <v>1</v>
      </c>
      <c r="AR694" s="1">
        <f t="shared" si="10"/>
        <v>0.61172413793103497</v>
      </c>
    </row>
    <row r="695" spans="1:44" x14ac:dyDescent="0.2">
      <c r="A695" s="17" t="s">
        <v>323</v>
      </c>
      <c r="B695" s="18" t="s">
        <v>324</v>
      </c>
      <c r="C695" t="s">
        <v>334</v>
      </c>
      <c r="D695" s="19" t="s">
        <v>326</v>
      </c>
      <c r="E695" t="s">
        <v>186</v>
      </c>
      <c r="F695" t="s">
        <v>187</v>
      </c>
      <c r="G695">
        <v>-10</v>
      </c>
      <c r="H695">
        <v>0</v>
      </c>
      <c r="I695">
        <v>-5</v>
      </c>
      <c r="J695">
        <v>0.45</v>
      </c>
      <c r="K695">
        <v>-10</v>
      </c>
      <c r="L695">
        <v>0</v>
      </c>
      <c r="M695">
        <v>-5</v>
      </c>
      <c r="N695">
        <v>1.24347826086956</v>
      </c>
      <c r="O695">
        <v>0.83768115942028898</v>
      </c>
      <c r="P695"/>
      <c r="Q695">
        <v>8.3768115942028903E-2</v>
      </c>
      <c r="R695">
        <v>0.33674285409357801</v>
      </c>
      <c r="S695" s="1" t="str">
        <f>VLOOKUP($E695,'Product Naming'!$A$1:$P$58,2,FALSE)</f>
        <v>Citrate</v>
      </c>
      <c r="T695" s="1" t="str">
        <f>VLOOKUP($E695,'Product Naming'!$A$1:$P$58,3,FALSE)</f>
        <v>Citrate</v>
      </c>
      <c r="U695" s="1" t="str">
        <f>VLOOKUP($E695,'Product Naming'!$A$1:$P$58,4,FALSE)</f>
        <v>iJO1366</v>
      </c>
      <c r="V695" s="1" t="str">
        <f>VLOOKUP($E695,'Product Naming'!$A$1:$P$58,5,FALSE)</f>
        <v>C6H5O7</v>
      </c>
      <c r="W695" s="1">
        <f>VLOOKUP($E695,'Product Naming'!$A$1:$P$58,6,FALSE)</f>
        <v>6</v>
      </c>
      <c r="X695" s="1">
        <f>VLOOKUP($E695,'Product Naming'!$A$1:$P$58,7,FALSE)</f>
        <v>5</v>
      </c>
      <c r="Y695" s="1">
        <f>VLOOKUP($E695,'Product Naming'!$A$1:$P$58,8,FALSE)</f>
        <v>7</v>
      </c>
      <c r="Z695" s="1">
        <f>VLOOKUP($E695,'Product Naming'!$A$1:$P$58,9,FALSE)</f>
        <v>0</v>
      </c>
      <c r="AA695" s="1">
        <f>VLOOKUP($E695,'Product Naming'!$A$1:$P$58,10,FALSE)</f>
        <v>-3</v>
      </c>
      <c r="AB695" s="29">
        <f>VLOOKUP($E695,'Product Naming'!$A$1:$P$58,11,FALSE)</f>
        <v>2.5</v>
      </c>
      <c r="AC695" s="3">
        <f>VLOOKUP($E695,'Product Naming'!$A$1:$P$58,12,FALSE)</f>
        <v>189.09640000000002</v>
      </c>
      <c r="AD695" s="1" t="str">
        <f>VLOOKUP($E695,'Product Naming'!$A$1:$P$58,13,FALSE)</f>
        <v>NA</v>
      </c>
      <c r="AE695" s="1" t="str">
        <f>VLOOKUP($E695,'Product Naming'!$A$1:$P$58,14,FALSE)</f>
        <v>Tricarboxylate + Alcohol</v>
      </c>
      <c r="AF695" s="1" t="str">
        <f>VLOOKUP($E695,'Product Naming'!$A$1:$P$58,15,FALSE)</f>
        <v>Acetyl-CoA</v>
      </c>
      <c r="AG695" s="30" t="str">
        <f>VLOOKUP($E695,'Product Naming'!$A$1:$P$58,16,FALSE)</f>
        <v>Proton antiport</v>
      </c>
      <c r="AH695" s="3" t="str">
        <f>VLOOKUP($E695,'Product Naming'!$A$1:$Q$58,17,FALSE)</f>
        <v>cit_c</v>
      </c>
      <c r="AI695" s="1">
        <f>VLOOKUP($E695,'Product Parameters'!$A$2:$D$59,2,FALSE)</f>
        <v>1</v>
      </c>
      <c r="AJ695" s="1">
        <f>VLOOKUP($E695,'Product Parameters'!$A$2:$D$59,3,FALSE)</f>
        <v>0</v>
      </c>
      <c r="AK695" s="1">
        <f>VLOOKUP($E695,'Product Parameters'!$A$2:$D$59,4,FALSE)</f>
        <v>0.12</v>
      </c>
      <c r="AL695" s="1">
        <f>VLOOKUP($E695,'Product Parameters'!$A$2:$E$59,5,FALSE)</f>
        <v>40.65</v>
      </c>
      <c r="AM695" s="1">
        <f>VLOOKUP($E695,'Product Parameters'!$A$2:$F$59,6,FALSE)</f>
        <v>6</v>
      </c>
      <c r="AN695" s="1">
        <f>VLOOKUP($C695,'Substrate Heating'!$A$2:$C$33,3,FALSE)</f>
        <v>249.93333333333334</v>
      </c>
      <c r="AO695" s="1">
        <f>VLOOKUP($C695,'Substrate Heating'!$A$2:$B$33,2,FALSE)</f>
        <v>8.1456827881222953</v>
      </c>
      <c r="AP695" s="1">
        <f>VLOOKUP($C695,'Substrate Heating'!$A$2:$M$33,13,FALSE)</f>
        <v>0.66666666666666663</v>
      </c>
      <c r="AQ695" s="1">
        <f>VLOOKUP($C695,'Substrate Heating'!$A$2:$M$33,8,FALSE)</f>
        <v>0.66666666666666663</v>
      </c>
      <c r="AR695" s="1">
        <f t="shared" si="10"/>
        <v>0.75391304347826005</v>
      </c>
    </row>
    <row r="696" spans="1:44" x14ac:dyDescent="0.2">
      <c r="A696" s="8" t="s">
        <v>34</v>
      </c>
      <c r="B696" s="9" t="s">
        <v>35</v>
      </c>
      <c r="C696" s="1" t="s">
        <v>345</v>
      </c>
      <c r="D696" s="10" t="s">
        <v>37</v>
      </c>
      <c r="E696" s="1" t="s">
        <v>169</v>
      </c>
      <c r="F696" s="1" t="s">
        <v>165</v>
      </c>
      <c r="G696" s="1">
        <v>-10</v>
      </c>
      <c r="H696" s="1">
        <v>-20</v>
      </c>
      <c r="I696" s="1" t="s">
        <v>40</v>
      </c>
      <c r="J696" s="1">
        <v>3.15</v>
      </c>
      <c r="K696" s="1">
        <v>-10</v>
      </c>
      <c r="L696" s="1">
        <v>-3.6293577981651399</v>
      </c>
      <c r="M696" s="1" t="s">
        <v>40</v>
      </c>
      <c r="N696" s="1">
        <v>9.0862385321100891</v>
      </c>
      <c r="O696" s="1">
        <v>2.7284403669724799</v>
      </c>
      <c r="Q696" s="1">
        <v>0.27284403669724799</v>
      </c>
      <c r="R696" s="1">
        <v>0.33676238208231801</v>
      </c>
      <c r="S696" s="1" t="str">
        <f>VLOOKUP($E696,'Product Naming'!$A$1:$P$58,2,FALSE)</f>
        <v>Butanol-PW2</v>
      </c>
      <c r="T696" s="1" t="str">
        <f>VLOOKUP($E696,'Product Naming'!$A$1:$P$58,3,FALSE)</f>
        <v>Butanol (PW2)</v>
      </c>
      <c r="U696" s="1" t="str">
        <f>VLOOKUP($E696,'Product Naming'!$A$1:$P$58,4,FALSE)</f>
        <v>E</v>
      </c>
      <c r="V696" s="1" t="str">
        <f>VLOOKUP($E696,'Product Naming'!$A$1:$P$58,5,FALSE)</f>
        <v>C4H10O</v>
      </c>
      <c r="W696" s="1">
        <f>VLOOKUP($E696,'Product Naming'!$A$1:$P$58,6,FALSE)</f>
        <v>4</v>
      </c>
      <c r="X696" s="1">
        <f>VLOOKUP($E696,'Product Naming'!$A$1:$P$58,7,FALSE)</f>
        <v>10</v>
      </c>
      <c r="Y696" s="1">
        <f>VLOOKUP($E696,'Product Naming'!$A$1:$P$58,8,FALSE)</f>
        <v>1</v>
      </c>
      <c r="Z696" s="1">
        <f>VLOOKUP($E696,'Product Naming'!$A$1:$P$58,9,FALSE)</f>
        <v>0</v>
      </c>
      <c r="AA696" s="1">
        <f>VLOOKUP($E696,'Product Naming'!$A$1:$P$58,10,FALSE)</f>
        <v>0</v>
      </c>
      <c r="AB696" s="29">
        <f>VLOOKUP($E696,'Product Naming'!$A$1:$P$58,11,FALSE)</f>
        <v>6</v>
      </c>
      <c r="AC696" s="3">
        <f>VLOOKUP($E696,'Product Naming'!$A$1:$P$58,12,FALSE)</f>
        <v>74.120199999999997</v>
      </c>
      <c r="AD696" s="1">
        <f>VLOOKUP($E696,'Product Naming'!$A$1:$P$58,13,FALSE)</f>
        <v>117.7</v>
      </c>
      <c r="AE696" s="1" t="str">
        <f>VLOOKUP($E696,'Product Naming'!$A$1:$P$58,14,FALSE)</f>
        <v>Alcohol</v>
      </c>
      <c r="AF696" s="1" t="str">
        <f>VLOOKUP($E696,'Product Naming'!$A$1:$P$58,15,FALSE)</f>
        <v>Oxaloacetate</v>
      </c>
      <c r="AG696" s="30" t="str">
        <f>VLOOKUP($E696,'Product Naming'!$A$1:$P$58,16,FALSE)</f>
        <v>Proton symporter</v>
      </c>
      <c r="AH696" s="3" t="str">
        <f>VLOOKUP($E696,'Product Naming'!$A$1:$Q$58,17,FALSE)</f>
        <v>btoh_c</v>
      </c>
      <c r="AI696" s="1">
        <f>VLOOKUP($E696,'Product Parameters'!$A$2:$D$59,2,FALSE)</f>
        <v>1</v>
      </c>
      <c r="AJ696" s="1">
        <f>VLOOKUP($E696,'Product Parameters'!$A$2:$D$59,3,FALSE)</f>
        <v>0</v>
      </c>
      <c r="AK696" s="1">
        <f>VLOOKUP($E696,'Product Parameters'!$A$2:$D$59,4,FALSE)</f>
        <v>0.12</v>
      </c>
      <c r="AL696" s="1">
        <f>VLOOKUP($E696,'Product Parameters'!$A$2:$E$59,5,FALSE)</f>
        <v>52</v>
      </c>
      <c r="AM696" s="1">
        <f>VLOOKUP($E696,'Product Parameters'!$A$2:$F$59,6,FALSE)</f>
        <v>4</v>
      </c>
      <c r="AN696" s="1">
        <f>VLOOKUP($C696,'Substrate Heating'!$A$2:$C$33,3,FALSE)</f>
        <v>1020.8629199999999</v>
      </c>
      <c r="AO696" s="1">
        <f>VLOOKUP($C696,'Substrate Heating'!$A$2:$B$33,2,FALSE)</f>
        <v>17</v>
      </c>
      <c r="AP696" s="1">
        <f>VLOOKUP($C696,'Substrate Heating'!$A$2:$M$33,13,FALSE)</f>
        <v>4</v>
      </c>
      <c r="AQ696" s="1">
        <f>VLOOKUP($C696,'Substrate Heating'!$A$2:$M$33,8,FALSE)</f>
        <v>2</v>
      </c>
      <c r="AR696" s="1">
        <f t="shared" si="10"/>
        <v>0.54568807339449599</v>
      </c>
    </row>
    <row r="697" spans="1:44" x14ac:dyDescent="0.2">
      <c r="A697" s="17" t="s">
        <v>323</v>
      </c>
      <c r="B697" s="18" t="s">
        <v>324</v>
      </c>
      <c r="C697" t="s">
        <v>329</v>
      </c>
      <c r="D697" s="19" t="s">
        <v>326</v>
      </c>
      <c r="E697" t="s">
        <v>66</v>
      </c>
      <c r="F697" t="s">
        <v>67</v>
      </c>
      <c r="G697">
        <v>-10</v>
      </c>
      <c r="H697">
        <v>0</v>
      </c>
      <c r="I697">
        <v>-20</v>
      </c>
      <c r="J697">
        <v>0.45</v>
      </c>
      <c r="K697">
        <v>-10</v>
      </c>
      <c r="L697">
        <v>0</v>
      </c>
      <c r="M697">
        <v>-18.8102564102564</v>
      </c>
      <c r="N697">
        <v>0</v>
      </c>
      <c r="O697">
        <v>1.18974358974359</v>
      </c>
      <c r="P697"/>
      <c r="Q697">
        <v>0.118974358974359</v>
      </c>
      <c r="R697" s="20">
        <v>0.33706333471226102</v>
      </c>
      <c r="S697" s="1" t="str">
        <f>VLOOKUP($E697,'Product Naming'!$A$1:$P$58,2,FALSE)</f>
        <v>1-4-butanediol</v>
      </c>
      <c r="T697" s="1" t="str">
        <f>VLOOKUP($E697,'Product Naming'!$A$1:$P$58,3,FALSE)</f>
        <v>1,4-Butanediol</v>
      </c>
      <c r="U697" s="1" t="str">
        <f>VLOOKUP($E697,'Product Naming'!$A$1:$P$58,4,FALSE)</f>
        <v>E</v>
      </c>
      <c r="V697" s="1" t="str">
        <f>VLOOKUP($E697,'Product Naming'!$A$1:$P$58,5,FALSE)</f>
        <v>C4H10O2</v>
      </c>
      <c r="W697" s="1">
        <f>VLOOKUP($E697,'Product Naming'!$A$1:$P$58,6,FALSE)</f>
        <v>4</v>
      </c>
      <c r="X697" s="1">
        <f>VLOOKUP($E697,'Product Naming'!$A$1:$P$58,7,FALSE)</f>
        <v>10</v>
      </c>
      <c r="Y697" s="1">
        <f>VLOOKUP($E697,'Product Naming'!$A$1:$P$58,8,FALSE)</f>
        <v>2</v>
      </c>
      <c r="Z697" s="1">
        <f>VLOOKUP($E697,'Product Naming'!$A$1:$P$58,9,FALSE)</f>
        <v>0</v>
      </c>
      <c r="AA697" s="1">
        <f>VLOOKUP($E697,'Product Naming'!$A$1:$P$58,10,FALSE)</f>
        <v>0</v>
      </c>
      <c r="AB697" s="29">
        <f>VLOOKUP($E697,'Product Naming'!$A$1:$P$58,11,FALSE)</f>
        <v>5.5</v>
      </c>
      <c r="AC697" s="3">
        <f>VLOOKUP($E697,'Product Naming'!$A$1:$P$58,12,FALSE)</f>
        <v>90.119200000000006</v>
      </c>
      <c r="AD697" s="1">
        <f>VLOOKUP($E697,'Product Naming'!$A$1:$P$58,13,FALSE)</f>
        <v>230</v>
      </c>
      <c r="AE697" s="1" t="str">
        <f>VLOOKUP($E697,'Product Naming'!$A$1:$P$58,14,FALSE)</f>
        <v>Diol</v>
      </c>
      <c r="AF697" s="1" t="str">
        <f>VLOOKUP($E697,'Product Naming'!$A$1:$P$58,15,FALSE)</f>
        <v>aKG</v>
      </c>
      <c r="AG697" s="30" t="str">
        <f>VLOOKUP($E697,'Product Naming'!$A$1:$P$58,16,FALSE)</f>
        <v>Proton symporter</v>
      </c>
      <c r="AH697" s="3" t="str">
        <f>VLOOKUP($E697,'Product Naming'!$A$1:$Q$58,17,FALSE)</f>
        <v>14bdo_c</v>
      </c>
      <c r="AI697" s="1">
        <f>VLOOKUP($E697,'Product Parameters'!$A$2:$D$59,2,FALSE)</f>
        <v>1</v>
      </c>
      <c r="AJ697" s="1">
        <f>VLOOKUP($E697,'Product Parameters'!$A$2:$D$59,3,FALSE)</f>
        <v>0</v>
      </c>
      <c r="AK697" s="1">
        <f>VLOOKUP($E697,'Product Parameters'!$A$2:$D$59,4,FALSE)</f>
        <v>0.12</v>
      </c>
      <c r="AL697" s="1">
        <f>VLOOKUP($E697,'Product Parameters'!$A$2:$E$59,5,FALSE)</f>
        <v>78</v>
      </c>
      <c r="AM697" s="1">
        <f>VLOOKUP($E697,'Product Parameters'!$A$2:$F$59,6,FALSE)</f>
        <v>4</v>
      </c>
      <c r="AN697" s="1">
        <f>VLOOKUP($C697,'Substrate Heating'!$A$2:$C$33,3,FALSE)</f>
        <v>255.53333333333336</v>
      </c>
      <c r="AO697" s="1">
        <f>VLOOKUP($C697,'Substrate Heating'!$A$2:$B$33,2,FALSE)</f>
        <v>23.925550527978785</v>
      </c>
      <c r="AP697" s="1">
        <f>VLOOKUP($C697,'Substrate Heating'!$A$2:$M$33,13,FALSE)</f>
        <v>0.66666666666666663</v>
      </c>
      <c r="AQ697" s="1">
        <f>VLOOKUP($C697,'Substrate Heating'!$A$2:$M$33,8,FALSE)</f>
        <v>0.33333333333333331</v>
      </c>
      <c r="AR697" s="1">
        <f t="shared" si="10"/>
        <v>1.427692307692308</v>
      </c>
    </row>
    <row r="698" spans="1:44" x14ac:dyDescent="0.2">
      <c r="A698" s="8" t="s">
        <v>34</v>
      </c>
      <c r="B698" s="9" t="s">
        <v>35</v>
      </c>
      <c r="C698" s="1" t="s">
        <v>331</v>
      </c>
      <c r="D698" s="10" t="s">
        <v>37</v>
      </c>
      <c r="E698" s="1" t="s">
        <v>287</v>
      </c>
      <c r="F698" s="1" t="s">
        <v>288</v>
      </c>
      <c r="G698" s="1">
        <v>-10</v>
      </c>
      <c r="H698" s="1">
        <v>-20</v>
      </c>
      <c r="I698" s="1" t="s">
        <v>40</v>
      </c>
      <c r="J698" s="1">
        <v>3.15</v>
      </c>
      <c r="K698" s="1">
        <v>-10</v>
      </c>
      <c r="L698" s="1">
        <v>-1.7919732441471501</v>
      </c>
      <c r="M698" s="1" t="s">
        <v>40</v>
      </c>
      <c r="N698" s="1">
        <v>5.4949832775919702</v>
      </c>
      <c r="O698" s="1">
        <v>2.9010033444816101</v>
      </c>
      <c r="Q698" s="1">
        <v>0.29010033444816102</v>
      </c>
      <c r="R698" s="1">
        <v>0.33722009150885901</v>
      </c>
      <c r="S698" s="1" t="str">
        <f>VLOOKUP($E698,'Product Naming'!$A$1:$P$58,2,FALSE)</f>
        <v>Pentane</v>
      </c>
      <c r="T698" s="1" t="str">
        <f>VLOOKUP($E698,'Product Naming'!$A$1:$P$58,3,FALSE)</f>
        <v>Pentane</v>
      </c>
      <c r="U698" s="1" t="str">
        <f>VLOOKUP($E698,'Product Naming'!$A$1:$P$58,4,FALSE)</f>
        <v>E</v>
      </c>
      <c r="V698" s="1" t="str">
        <f>VLOOKUP($E698,'Product Naming'!$A$1:$P$58,5,FALSE)</f>
        <v>C5H12</v>
      </c>
      <c r="W698" s="1">
        <f>VLOOKUP($E698,'Product Naming'!$A$1:$P$58,6,FALSE)</f>
        <v>5</v>
      </c>
      <c r="X698" s="1">
        <f>VLOOKUP($E698,'Product Naming'!$A$1:$P$58,7,FALSE)</f>
        <v>12</v>
      </c>
      <c r="Y698" s="1">
        <f>VLOOKUP($E698,'Product Naming'!$A$1:$P$58,8,FALSE)</f>
        <v>0</v>
      </c>
      <c r="Z698" s="1">
        <f>VLOOKUP($E698,'Product Naming'!$A$1:$P$58,9,FALSE)</f>
        <v>0</v>
      </c>
      <c r="AA698" s="1">
        <f>VLOOKUP($E698,'Product Naming'!$A$1:$P$58,10,FALSE)</f>
        <v>0</v>
      </c>
      <c r="AB698" s="29">
        <f>VLOOKUP($E698,'Product Naming'!$A$1:$P$58,11,FALSE)</f>
        <v>6.4</v>
      </c>
      <c r="AC698" s="3">
        <f>VLOOKUP($E698,'Product Naming'!$A$1:$P$58,12,FALSE)</f>
        <v>72.147580000000005</v>
      </c>
      <c r="AD698" s="1">
        <f>VLOOKUP($E698,'Product Naming'!$A$1:$P$58,13,FALSE)</f>
        <v>36.1</v>
      </c>
      <c r="AE698" s="1" t="str">
        <f>VLOOKUP($E698,'Product Naming'!$A$1:$P$58,14,FALSE)</f>
        <v>Hydrocarbon (alkane)</v>
      </c>
      <c r="AF698" s="1" t="str">
        <f>VLOOKUP($E698,'Product Naming'!$A$1:$P$58,15,FALSE)</f>
        <v>Acetyl-CoA</v>
      </c>
      <c r="AG698" s="30" t="str">
        <f>VLOOKUP($E698,'Product Naming'!$A$1:$P$58,16,FALSE)</f>
        <v>Diffusion</v>
      </c>
      <c r="AH698" s="3" t="str">
        <f>VLOOKUP($E698,'Product Naming'!$A$1:$Q$58,17,FALSE)</f>
        <v>pent_c</v>
      </c>
      <c r="AI698" s="1">
        <f>VLOOKUP($E698,'Product Parameters'!$A$2:$D$59,2,FALSE)</f>
        <v>0</v>
      </c>
      <c r="AJ698" s="1">
        <f>VLOOKUP($E698,'Product Parameters'!$A$2:$D$59,3,FALSE)</f>
        <v>1</v>
      </c>
      <c r="AK698" s="1">
        <f>VLOOKUP($E698,'Product Parameters'!$A$2:$D$59,4,FALSE)</f>
        <v>0.12</v>
      </c>
      <c r="AL698" s="1">
        <f>VLOOKUP($E698,'Product Parameters'!$A$2:$E$59,5,FALSE)</f>
        <v>26.5</v>
      </c>
      <c r="AM698" s="1">
        <f>VLOOKUP($E698,'Product Parameters'!$A$2:$F$59,6,FALSE)</f>
        <v>5</v>
      </c>
      <c r="AN698" s="1">
        <f>VLOOKUP($C698,'Substrate Heating'!$A$2:$C$33,3,FALSE)</f>
        <v>1055.1294800000001</v>
      </c>
      <c r="AO698" s="1">
        <f>VLOOKUP($C698,'Substrate Heating'!$A$2:$B$33,2,FALSE)</f>
        <v>17</v>
      </c>
      <c r="AP698" s="1">
        <f>VLOOKUP($C698,'Substrate Heating'!$A$2:$M$33,13,FALSE)</f>
        <v>5</v>
      </c>
      <c r="AQ698" s="1">
        <f>VLOOKUP($C698,'Substrate Heating'!$A$2:$M$33,8,FALSE)</f>
        <v>2</v>
      </c>
      <c r="AR698" s="1">
        <f t="shared" si="10"/>
        <v>0.72525083612040253</v>
      </c>
    </row>
    <row r="699" spans="1:44" x14ac:dyDescent="0.2">
      <c r="A699" s="8" t="s">
        <v>34</v>
      </c>
      <c r="B699" s="9" t="s">
        <v>35</v>
      </c>
      <c r="C699" s="1" t="s">
        <v>330</v>
      </c>
      <c r="D699" s="10" t="s">
        <v>37</v>
      </c>
      <c r="E699" s="1" t="s">
        <v>108</v>
      </c>
      <c r="F699" s="1" t="s">
        <v>109</v>
      </c>
      <c r="G699" s="1">
        <v>-10</v>
      </c>
      <c r="H699" s="1">
        <v>-20</v>
      </c>
      <c r="I699" s="1" t="s">
        <v>40</v>
      </c>
      <c r="J699" s="1">
        <v>3.15</v>
      </c>
      <c r="K699" s="1">
        <v>-10</v>
      </c>
      <c r="L699" s="1">
        <v>-8.3840909090909097</v>
      </c>
      <c r="M699" s="1" t="s">
        <v>40</v>
      </c>
      <c r="N699" s="1">
        <v>6.0076555023923497</v>
      </c>
      <c r="O699" s="1">
        <v>1.7490430622009601</v>
      </c>
      <c r="Q699" s="1">
        <v>0.17490430622009601</v>
      </c>
      <c r="R699" s="1">
        <v>0.33857745332102201</v>
      </c>
      <c r="S699" s="1" t="str">
        <f>VLOOKUP($E699,'Product Naming'!$A$1:$P$58,2,FALSE)</f>
        <v>4-Hydroxystyrene</v>
      </c>
      <c r="T699" s="1" t="str">
        <f>VLOOKUP($E699,'Product Naming'!$A$1:$P$58,3,FALSE)</f>
        <v>4-Hydroxystyrene</v>
      </c>
      <c r="U699" s="1" t="str">
        <f>VLOOKUP($E699,'Product Naming'!$A$1:$P$58,4,FALSE)</f>
        <v>E</v>
      </c>
      <c r="V699" s="1" t="str">
        <f>VLOOKUP($E699,'Product Naming'!$A$1:$P$58,5,FALSE)</f>
        <v>C8H8O</v>
      </c>
      <c r="W699" s="1">
        <f>VLOOKUP($E699,'Product Naming'!$A$1:$P$58,6,FALSE)</f>
        <v>8</v>
      </c>
      <c r="X699" s="1">
        <f>VLOOKUP($E699,'Product Naming'!$A$1:$P$58,7,FALSE)</f>
        <v>8</v>
      </c>
      <c r="Y699" s="1">
        <f>VLOOKUP($E699,'Product Naming'!$A$1:$P$58,8,FALSE)</f>
        <v>1</v>
      </c>
      <c r="Z699" s="1">
        <f>VLOOKUP($E699,'Product Naming'!$A$1:$P$58,9,FALSE)</f>
        <v>0</v>
      </c>
      <c r="AA699" s="1">
        <f>VLOOKUP($E699,'Product Naming'!$A$1:$P$58,10,FALSE)</f>
        <v>0</v>
      </c>
      <c r="AB699" s="29">
        <f>VLOOKUP($E699,'Product Naming'!$A$1:$P$58,11,FALSE)</f>
        <v>4.75</v>
      </c>
      <c r="AC699" s="3">
        <f>VLOOKUP($E699,'Product Naming'!$A$1:$P$58,12,FALSE)</f>
        <v>120.14731999999999</v>
      </c>
      <c r="AD699" s="1">
        <f>VLOOKUP($E699,'Product Naming'!$A$1:$P$58,13,FALSE)</f>
        <v>229</v>
      </c>
      <c r="AE699" s="1" t="str">
        <f>VLOOKUP($E699,'Product Naming'!$A$1:$P$58,14,FALSE)</f>
        <v>Aromatic + Alcohol</v>
      </c>
      <c r="AF699" s="1" t="str">
        <f>VLOOKUP($E699,'Product Naming'!$A$1:$P$58,15,FALSE)</f>
        <v>E4P + L-glutamate</v>
      </c>
      <c r="AG699" s="30" t="str">
        <f>VLOOKUP($E699,'Product Naming'!$A$1:$P$58,16,FALSE)</f>
        <v>Proton symporter</v>
      </c>
      <c r="AH699" s="3" t="str">
        <f>VLOOKUP($E699,'Product Naming'!$A$1:$Q$58,17,FALSE)</f>
        <v>4hxst_c</v>
      </c>
      <c r="AI699" s="1">
        <f>VLOOKUP($E699,'Product Parameters'!$A$2:$D$59,2,FALSE)</f>
        <v>1</v>
      </c>
      <c r="AJ699" s="1">
        <f>VLOOKUP($E699,'Product Parameters'!$A$2:$D$59,3,FALSE)</f>
        <v>0</v>
      </c>
      <c r="AK699" s="1">
        <f>VLOOKUP($E699,'Product Parameters'!$A$2:$D$59,4,FALSE)</f>
        <v>0.12</v>
      </c>
      <c r="AL699" s="1">
        <f>VLOOKUP($E699,'Product Parameters'!$A$2:$E$59,5,FALSE)</f>
        <v>40.65</v>
      </c>
      <c r="AM699" s="1">
        <f>VLOOKUP($E699,'Product Parameters'!$A$2:$F$59,6,FALSE)</f>
        <v>8</v>
      </c>
      <c r="AN699" s="1">
        <f>VLOOKUP($C699,'Substrate Heating'!$A$2:$C$33,3,FALSE)</f>
        <v>1055.1294800000001</v>
      </c>
      <c r="AO699" s="1">
        <f>VLOOKUP($C699,'Substrate Heating'!$A$2:$B$33,2,FALSE)</f>
        <v>17</v>
      </c>
      <c r="AP699" s="1">
        <f>VLOOKUP($C699,'Substrate Heating'!$A$2:$M$33,13,FALSE)</f>
        <v>5</v>
      </c>
      <c r="AQ699" s="1">
        <f>VLOOKUP($C699,'Substrate Heating'!$A$2:$M$33,8,FALSE)</f>
        <v>2</v>
      </c>
      <c r="AR699" s="1">
        <f t="shared" si="10"/>
        <v>0.69961722488038403</v>
      </c>
    </row>
    <row r="700" spans="1:44" x14ac:dyDescent="0.2">
      <c r="A700" s="8" t="s">
        <v>34</v>
      </c>
      <c r="B700" s="9" t="s">
        <v>35</v>
      </c>
      <c r="C700" s="1" t="s">
        <v>346</v>
      </c>
      <c r="D700" s="23" t="s">
        <v>338</v>
      </c>
      <c r="E700" s="1" t="s">
        <v>301</v>
      </c>
      <c r="F700" s="1" t="s">
        <v>302</v>
      </c>
      <c r="G700" s="1">
        <v>-10</v>
      </c>
      <c r="H700" s="1">
        <v>-20</v>
      </c>
      <c r="I700" s="1" t="s">
        <v>40</v>
      </c>
      <c r="J700" s="1">
        <v>3.15</v>
      </c>
      <c r="K700" s="1">
        <v>-10</v>
      </c>
      <c r="L700" s="1">
        <v>-2.6982758620689702</v>
      </c>
      <c r="M700" s="1" t="s">
        <v>40</v>
      </c>
      <c r="N700" s="1">
        <v>2.6189655172413699</v>
      </c>
      <c r="O700" s="1">
        <v>2.4603448275862099</v>
      </c>
      <c r="Q700" s="1">
        <v>0.24603448275862</v>
      </c>
      <c r="R700" s="1">
        <v>0.33859198887410302</v>
      </c>
      <c r="S700" s="1" t="str">
        <f>VLOOKUP($E700,'Product Naming'!$A$1:$P$58,2,FALSE)</f>
        <v>Propane-PW1</v>
      </c>
      <c r="T700" s="1" t="str">
        <f>VLOOKUP($E700,'Product Naming'!$A$1:$P$58,3,FALSE)</f>
        <v>Propane (PW1)</v>
      </c>
      <c r="U700" s="1" t="str">
        <f>VLOOKUP($E700,'Product Naming'!$A$1:$P$58,4,FALSE)</f>
        <v>E</v>
      </c>
      <c r="V700" s="1" t="str">
        <f>VLOOKUP($E700,'Product Naming'!$A$1:$P$58,5,FALSE)</f>
        <v>C3H8</v>
      </c>
      <c r="W700" s="1">
        <f>VLOOKUP($E700,'Product Naming'!$A$1:$P$58,6,FALSE)</f>
        <v>3</v>
      </c>
      <c r="X700" s="1">
        <f>VLOOKUP($E700,'Product Naming'!$A$1:$P$58,7,FALSE)</f>
        <v>8</v>
      </c>
      <c r="Y700" s="1">
        <f>VLOOKUP($E700,'Product Naming'!$A$1:$P$58,8,FALSE)</f>
        <v>0</v>
      </c>
      <c r="Z700" s="1">
        <f>VLOOKUP($E700,'Product Naming'!$A$1:$P$58,9,FALSE)</f>
        <v>0</v>
      </c>
      <c r="AA700" s="1">
        <f>VLOOKUP($E700,'Product Naming'!$A$1:$P$58,10,FALSE)</f>
        <v>0</v>
      </c>
      <c r="AB700" s="29">
        <f>VLOOKUP($E700,'Product Naming'!$A$1:$P$58,11,FALSE)</f>
        <v>6.666666666666667</v>
      </c>
      <c r="AC700" s="3">
        <f>VLOOKUP($E700,'Product Naming'!$A$1:$P$58,12,FALSE)</f>
        <v>44.094819999999999</v>
      </c>
      <c r="AD700" s="1">
        <f>VLOOKUP($E700,'Product Naming'!$A$1:$P$58,13,FALSE)</f>
        <v>-42</v>
      </c>
      <c r="AE700" s="1" t="str">
        <f>VLOOKUP($E700,'Product Naming'!$A$1:$P$58,14,FALSE)</f>
        <v>Hydrocarbon</v>
      </c>
      <c r="AF700" s="1" t="str">
        <f>VLOOKUP($E700,'Product Naming'!$A$1:$P$58,15,FALSE)</f>
        <v>Acetyl-CoA</v>
      </c>
      <c r="AG700" s="30" t="str">
        <f>VLOOKUP($E700,'Product Naming'!$A$1:$P$58,16,FALSE)</f>
        <v>Diffusion</v>
      </c>
      <c r="AH700" s="3" t="str">
        <f>VLOOKUP($E700,'Product Naming'!$A$1:$Q$58,17,FALSE)</f>
        <v>prop_c</v>
      </c>
      <c r="AI700" s="1">
        <f>VLOOKUP($E700,'Product Parameters'!$A$2:$D$59,2,FALSE)</f>
        <v>0</v>
      </c>
      <c r="AJ700" s="1">
        <f>VLOOKUP($E700,'Product Parameters'!$A$2:$D$59,3,FALSE)</f>
        <v>1</v>
      </c>
      <c r="AK700" s="1">
        <f>VLOOKUP($E700,'Product Parameters'!$A$2:$D$59,4,FALSE)</f>
        <v>0.12</v>
      </c>
      <c r="AL700" s="1">
        <f>VLOOKUP($E700,'Product Parameters'!$A$2:$E$59,5,FALSE)</f>
        <v>0</v>
      </c>
      <c r="AM700" s="1">
        <f>VLOOKUP($E700,'Product Parameters'!$A$2:$F$59,6,FALSE)</f>
        <v>3</v>
      </c>
      <c r="AN700" s="1">
        <f>VLOOKUP($C700,'Substrate Heating'!$A$2:$C$33,3,FALSE)</f>
        <v>638.57832580000002</v>
      </c>
      <c r="AO700" s="1">
        <f>VLOOKUP($C700,'Substrate Heating'!$A$2:$B$33,2,FALSE)</f>
        <v>19.93</v>
      </c>
      <c r="AP700" s="1">
        <f>VLOOKUP($C700,'Substrate Heating'!$A$2:$M$33,13,FALSE)</f>
        <v>6</v>
      </c>
      <c r="AQ700" s="1">
        <f>VLOOKUP($C700,'Substrate Heating'!$A$2:$M$33,8,FALSE)</f>
        <v>1</v>
      </c>
      <c r="AR700" s="1">
        <f t="shared" si="10"/>
        <v>0.73810344827585994</v>
      </c>
    </row>
    <row r="701" spans="1:44" x14ac:dyDescent="0.2">
      <c r="A701" s="8" t="s">
        <v>34</v>
      </c>
      <c r="B701" s="9" t="s">
        <v>35</v>
      </c>
      <c r="C701" s="1" t="s">
        <v>347</v>
      </c>
      <c r="D701" s="23" t="s">
        <v>338</v>
      </c>
      <c r="E701" s="1" t="s">
        <v>301</v>
      </c>
      <c r="F701" s="1" t="s">
        <v>302</v>
      </c>
      <c r="G701" s="1">
        <v>-10</v>
      </c>
      <c r="H701" s="1">
        <v>-20</v>
      </c>
      <c r="I701" s="1" t="s">
        <v>40</v>
      </c>
      <c r="J701" s="1">
        <v>3.15</v>
      </c>
      <c r="K701" s="1">
        <v>-10</v>
      </c>
      <c r="L701" s="1">
        <v>-2.6982758620689702</v>
      </c>
      <c r="M701" s="1" t="s">
        <v>40</v>
      </c>
      <c r="N701" s="1">
        <v>2.6189655172413899</v>
      </c>
      <c r="O701" s="1">
        <v>2.4603448275862099</v>
      </c>
      <c r="Q701" s="1">
        <v>0.246034482758621</v>
      </c>
      <c r="R701" s="1">
        <v>0.33859198887410402</v>
      </c>
      <c r="S701" s="1" t="str">
        <f>VLOOKUP($E701,'Product Naming'!$A$1:$P$58,2,FALSE)</f>
        <v>Propane-PW1</v>
      </c>
      <c r="T701" s="1" t="str">
        <f>VLOOKUP($E701,'Product Naming'!$A$1:$P$58,3,FALSE)</f>
        <v>Propane (PW1)</v>
      </c>
      <c r="U701" s="1" t="str">
        <f>VLOOKUP($E701,'Product Naming'!$A$1:$P$58,4,FALSE)</f>
        <v>E</v>
      </c>
      <c r="V701" s="1" t="str">
        <f>VLOOKUP($E701,'Product Naming'!$A$1:$P$58,5,FALSE)</f>
        <v>C3H8</v>
      </c>
      <c r="W701" s="1">
        <f>VLOOKUP($E701,'Product Naming'!$A$1:$P$58,6,FALSE)</f>
        <v>3</v>
      </c>
      <c r="X701" s="1">
        <f>VLOOKUP($E701,'Product Naming'!$A$1:$P$58,7,FALSE)</f>
        <v>8</v>
      </c>
      <c r="Y701" s="1">
        <f>VLOOKUP($E701,'Product Naming'!$A$1:$P$58,8,FALSE)</f>
        <v>0</v>
      </c>
      <c r="Z701" s="1">
        <f>VLOOKUP($E701,'Product Naming'!$A$1:$P$58,9,FALSE)</f>
        <v>0</v>
      </c>
      <c r="AA701" s="1">
        <f>VLOOKUP($E701,'Product Naming'!$A$1:$P$58,10,FALSE)</f>
        <v>0</v>
      </c>
      <c r="AB701" s="29">
        <f>VLOOKUP($E701,'Product Naming'!$A$1:$P$58,11,FALSE)</f>
        <v>6.666666666666667</v>
      </c>
      <c r="AC701" s="3">
        <f>VLOOKUP($E701,'Product Naming'!$A$1:$P$58,12,FALSE)</f>
        <v>44.094819999999999</v>
      </c>
      <c r="AD701" s="1">
        <f>VLOOKUP($E701,'Product Naming'!$A$1:$P$58,13,FALSE)</f>
        <v>-42</v>
      </c>
      <c r="AE701" s="1" t="str">
        <f>VLOOKUP($E701,'Product Naming'!$A$1:$P$58,14,FALSE)</f>
        <v>Hydrocarbon</v>
      </c>
      <c r="AF701" s="1" t="str">
        <f>VLOOKUP($E701,'Product Naming'!$A$1:$P$58,15,FALSE)</f>
        <v>Acetyl-CoA</v>
      </c>
      <c r="AG701" s="30" t="str">
        <f>VLOOKUP($E701,'Product Naming'!$A$1:$P$58,16,FALSE)</f>
        <v>Diffusion</v>
      </c>
      <c r="AH701" s="3" t="str">
        <f>VLOOKUP($E701,'Product Naming'!$A$1:$Q$58,17,FALSE)</f>
        <v>prop_c</v>
      </c>
      <c r="AI701" s="1">
        <f>VLOOKUP($E701,'Product Parameters'!$A$2:$D$59,2,FALSE)</f>
        <v>0</v>
      </c>
      <c r="AJ701" s="1">
        <f>VLOOKUP($E701,'Product Parameters'!$A$2:$D$59,3,FALSE)</f>
        <v>1</v>
      </c>
      <c r="AK701" s="1">
        <f>VLOOKUP($E701,'Product Parameters'!$A$2:$D$59,4,FALSE)</f>
        <v>0.12</v>
      </c>
      <c r="AL701" s="1">
        <f>VLOOKUP($E701,'Product Parameters'!$A$2:$E$59,5,FALSE)</f>
        <v>0</v>
      </c>
      <c r="AM701" s="1">
        <f>VLOOKUP($E701,'Product Parameters'!$A$2:$F$59,6,FALSE)</f>
        <v>3</v>
      </c>
      <c r="AN701" s="1">
        <f>VLOOKUP($C701,'Substrate Heating'!$A$2:$C$33,3,FALSE)</f>
        <v>638.57832580000002</v>
      </c>
      <c r="AO701" s="1">
        <f>VLOOKUP($C701,'Substrate Heating'!$A$2:$B$33,2,FALSE)</f>
        <v>19.93</v>
      </c>
      <c r="AP701" s="1">
        <f>VLOOKUP($C701,'Substrate Heating'!$A$2:$M$33,13,FALSE)</f>
        <v>6</v>
      </c>
      <c r="AQ701" s="1">
        <f>VLOOKUP($C701,'Substrate Heating'!$A$2:$M$33,8,FALSE)</f>
        <v>1</v>
      </c>
      <c r="AR701" s="1">
        <f t="shared" si="10"/>
        <v>0.73810344827586305</v>
      </c>
    </row>
    <row r="702" spans="1:44" x14ac:dyDescent="0.2">
      <c r="A702" s="17" t="s">
        <v>323</v>
      </c>
      <c r="B702" s="18" t="s">
        <v>324</v>
      </c>
      <c r="C702" t="s">
        <v>336</v>
      </c>
      <c r="D702" s="19" t="s">
        <v>326</v>
      </c>
      <c r="E702" t="s">
        <v>130</v>
      </c>
      <c r="F702" t="s">
        <v>125</v>
      </c>
      <c r="G702">
        <v>-10</v>
      </c>
      <c r="H702">
        <v>0</v>
      </c>
      <c r="I702">
        <v>-20</v>
      </c>
      <c r="J702">
        <v>0.45</v>
      </c>
      <c r="K702">
        <v>-10</v>
      </c>
      <c r="L702">
        <v>0</v>
      </c>
      <c r="M702">
        <v>-13.04</v>
      </c>
      <c r="N702">
        <v>0</v>
      </c>
      <c r="O702">
        <v>2.3199999999999998</v>
      </c>
      <c r="P702"/>
      <c r="Q702">
        <v>0.23200000000000001</v>
      </c>
      <c r="R702" s="20">
        <v>0.33873937080491401</v>
      </c>
      <c r="S702" s="1" t="str">
        <f>VLOOKUP($E702,'Product Naming'!$A$1:$P$58,2,FALSE)</f>
        <v>Acrylate-PW2</v>
      </c>
      <c r="T702" s="1" t="str">
        <f>VLOOKUP($E702,'Product Naming'!$A$1:$P$58,3,FALSE)</f>
        <v>Acrylate (PW2)</v>
      </c>
      <c r="U702" s="1" t="str">
        <f>VLOOKUP($E702,'Product Naming'!$A$1:$P$58,4,FALSE)</f>
        <v>A</v>
      </c>
      <c r="V702" s="1" t="str">
        <f>VLOOKUP($E702,'Product Naming'!$A$1:$P$58,5,FALSE)</f>
        <v>C3H3O2</v>
      </c>
      <c r="W702" s="1">
        <f>VLOOKUP($E702,'Product Naming'!$A$1:$P$58,6,FALSE)</f>
        <v>3</v>
      </c>
      <c r="X702" s="1">
        <f>VLOOKUP($E702,'Product Naming'!$A$1:$P$58,7,FALSE)</f>
        <v>3</v>
      </c>
      <c r="Y702" s="1">
        <f>VLOOKUP($E702,'Product Naming'!$A$1:$P$58,8,FALSE)</f>
        <v>2</v>
      </c>
      <c r="Z702" s="1">
        <f>VLOOKUP($E702,'Product Naming'!$A$1:$P$58,9,FALSE)</f>
        <v>0</v>
      </c>
      <c r="AA702" s="1">
        <f>VLOOKUP($E702,'Product Naming'!$A$1:$P$58,10,FALSE)</f>
        <v>-1</v>
      </c>
      <c r="AB702" s="29">
        <f>VLOOKUP($E702,'Product Naming'!$A$1:$P$58,11,FALSE)</f>
        <v>3.6666666666666665</v>
      </c>
      <c r="AC702" s="3">
        <f>VLOOKUP($E702,'Product Naming'!$A$1:$P$58,12,FALSE)</f>
        <v>71.053619999999995</v>
      </c>
      <c r="AD702" s="1">
        <f>VLOOKUP($E702,'Product Naming'!$A$1:$P$58,13,FALSE)</f>
        <v>80</v>
      </c>
      <c r="AE702" s="1" t="str">
        <f>VLOOKUP($E702,'Product Naming'!$A$1:$P$58,14,FALSE)</f>
        <v>Carboxylate</v>
      </c>
      <c r="AF702" s="1" t="str">
        <f>VLOOKUP($E702,'Product Naming'!$A$1:$P$58,15,FALSE)</f>
        <v>Pyruvate</v>
      </c>
      <c r="AG702" s="30" t="str">
        <f>VLOOKUP($E702,'Product Naming'!$A$1:$P$58,16,FALSE)</f>
        <v>Proton symporter</v>
      </c>
      <c r="AH702" s="3" t="str">
        <f>VLOOKUP($E702,'Product Naming'!$A$1:$Q$58,17,FALSE)</f>
        <v>acryl_c</v>
      </c>
      <c r="AI702" s="1">
        <f>VLOOKUP($E702,'Product Parameters'!$A$2:$D$59,2,FALSE)</f>
        <v>1</v>
      </c>
      <c r="AJ702" s="1">
        <f>VLOOKUP($E702,'Product Parameters'!$A$2:$D$59,3,FALSE)</f>
        <v>0</v>
      </c>
      <c r="AK702" s="1">
        <f>VLOOKUP($E702,'Product Parameters'!$A$2:$D$59,4,FALSE)</f>
        <v>0.12</v>
      </c>
      <c r="AL702" s="1">
        <f>VLOOKUP($E702,'Product Parameters'!$A$2:$E$59,5,FALSE)</f>
        <v>53.1</v>
      </c>
      <c r="AM702" s="1">
        <f>VLOOKUP($E702,'Product Parameters'!$A$2:$F$59,6,FALSE)</f>
        <v>3</v>
      </c>
      <c r="AN702" s="1">
        <f>VLOOKUP($C702,'Substrate Heating'!$A$2:$C$33,3,FALSE)</f>
        <v>245.86666666666667</v>
      </c>
      <c r="AO702" s="1">
        <f>VLOOKUP($C702,'Substrate Heating'!$A$2:$B$33,2,FALSE)</f>
        <v>15.038360459876978</v>
      </c>
      <c r="AP702" s="1">
        <f>VLOOKUP($C702,'Substrate Heating'!$A$2:$M$33,13,FALSE)</f>
        <v>0.33333333333333331</v>
      </c>
      <c r="AQ702" s="1">
        <f>VLOOKUP($C702,'Substrate Heating'!$A$2:$M$33,8,FALSE)</f>
        <v>0.33333333333333331</v>
      </c>
      <c r="AR702" s="1">
        <f t="shared" si="10"/>
        <v>2.0880000000000005</v>
      </c>
    </row>
    <row r="703" spans="1:44" x14ac:dyDescent="0.2">
      <c r="A703" s="8" t="s">
        <v>34</v>
      </c>
      <c r="B703" s="9" t="s">
        <v>35</v>
      </c>
      <c r="C703" s="1" t="s">
        <v>331</v>
      </c>
      <c r="D703" s="10" t="s">
        <v>37</v>
      </c>
      <c r="E703" s="1" t="s">
        <v>247</v>
      </c>
      <c r="F703" s="1" t="s">
        <v>248</v>
      </c>
      <c r="G703" s="1">
        <v>-10</v>
      </c>
      <c r="H703" s="1">
        <v>-20</v>
      </c>
      <c r="I703" s="1" t="s">
        <v>40</v>
      </c>
      <c r="J703" s="1">
        <v>3.15</v>
      </c>
      <c r="K703" s="1">
        <v>-10</v>
      </c>
      <c r="L703" s="1">
        <v>-3.3882352941176501</v>
      </c>
      <c r="M703" s="1" t="s">
        <v>40</v>
      </c>
      <c r="N703" s="1">
        <v>4.5630252100840201</v>
      </c>
      <c r="O703" s="1">
        <v>3.0873949579831899</v>
      </c>
      <c r="Q703" s="1">
        <v>0.308739495798319</v>
      </c>
      <c r="R703" s="1">
        <v>0.33883336907710698</v>
      </c>
      <c r="S703" s="1" t="str">
        <f>VLOOKUP($E703,'Product Naming'!$A$1:$P$58,2,FALSE)</f>
        <v>Isoprene</v>
      </c>
      <c r="T703" s="1" t="str">
        <f>VLOOKUP($E703,'Product Naming'!$A$1:$P$58,3,FALSE)</f>
        <v>Isoprene</v>
      </c>
      <c r="U703" s="1" t="str">
        <f>VLOOKUP($E703,'Product Naming'!$A$1:$P$58,4,FALSE)</f>
        <v>E</v>
      </c>
      <c r="V703" s="1" t="str">
        <f>VLOOKUP($E703,'Product Naming'!$A$1:$P$58,5,FALSE)</f>
        <v>C5H8</v>
      </c>
      <c r="W703" s="1">
        <f>VLOOKUP($E703,'Product Naming'!$A$1:$P$58,6,FALSE)</f>
        <v>5</v>
      </c>
      <c r="X703" s="1">
        <f>VLOOKUP($E703,'Product Naming'!$A$1:$P$58,7,FALSE)</f>
        <v>8</v>
      </c>
      <c r="Y703" s="1">
        <f>VLOOKUP($E703,'Product Naming'!$A$1:$P$58,8,FALSE)</f>
        <v>0</v>
      </c>
      <c r="Z703" s="1">
        <f>VLOOKUP($E703,'Product Naming'!$A$1:$P$58,9,FALSE)</f>
        <v>0</v>
      </c>
      <c r="AA703" s="1">
        <f>VLOOKUP($E703,'Product Naming'!$A$1:$P$58,10,FALSE)</f>
        <v>0</v>
      </c>
      <c r="AB703" s="29">
        <f>VLOOKUP($E703,'Product Naming'!$A$1:$P$58,11,FALSE)</f>
        <v>5.6</v>
      </c>
      <c r="AC703" s="3">
        <f>VLOOKUP($E703,'Product Naming'!$A$1:$P$58,12,FALSE)</f>
        <v>68.116219999999998</v>
      </c>
      <c r="AD703" s="1">
        <f>VLOOKUP($E703,'Product Naming'!$A$1:$P$58,13,FALSE)</f>
        <v>34.07</v>
      </c>
      <c r="AE703" s="1" t="str">
        <f>VLOOKUP($E703,'Product Naming'!$A$1:$P$58,14,FALSE)</f>
        <v>Hydrocarbon</v>
      </c>
      <c r="AF703" s="1" t="str">
        <f>VLOOKUP($E703,'Product Naming'!$A$1:$P$58,15,FALSE)</f>
        <v>Acetyl-CoA</v>
      </c>
      <c r="AG703" s="30" t="str">
        <f>VLOOKUP($E703,'Product Naming'!$A$1:$P$58,16,FALSE)</f>
        <v>Diffusion</v>
      </c>
      <c r="AH703" s="3" t="str">
        <f>VLOOKUP($E703,'Product Naming'!$A$1:$Q$58,17,FALSE)</f>
        <v>iprene_c</v>
      </c>
      <c r="AI703" s="1">
        <f>VLOOKUP($E703,'Product Parameters'!$A$2:$D$59,2,FALSE)</f>
        <v>0</v>
      </c>
      <c r="AJ703" s="1">
        <f>VLOOKUP($E703,'Product Parameters'!$A$2:$D$59,3,FALSE)</f>
        <v>1</v>
      </c>
      <c r="AK703" s="1">
        <f>VLOOKUP($E703,'Product Parameters'!$A$2:$D$59,4,FALSE)</f>
        <v>0.12</v>
      </c>
      <c r="AL703" s="1">
        <f>VLOOKUP($E703,'Product Parameters'!$A$2:$E$59,5,FALSE)</f>
        <v>26.4</v>
      </c>
      <c r="AM703" s="1">
        <f>VLOOKUP($E703,'Product Parameters'!$A$2:$F$59,6,FALSE)</f>
        <v>5</v>
      </c>
      <c r="AN703" s="1">
        <f>VLOOKUP($C703,'Substrate Heating'!$A$2:$C$33,3,FALSE)</f>
        <v>1055.1294800000001</v>
      </c>
      <c r="AO703" s="1">
        <f>VLOOKUP($C703,'Substrate Heating'!$A$2:$B$33,2,FALSE)</f>
        <v>17</v>
      </c>
      <c r="AP703" s="1">
        <f>VLOOKUP($C703,'Substrate Heating'!$A$2:$M$33,13,FALSE)</f>
        <v>5</v>
      </c>
      <c r="AQ703" s="1">
        <f>VLOOKUP($C703,'Substrate Heating'!$A$2:$M$33,8,FALSE)</f>
        <v>2</v>
      </c>
      <c r="AR703" s="1">
        <f t="shared" si="10"/>
        <v>0.77184873949579746</v>
      </c>
    </row>
    <row r="704" spans="1:44" x14ac:dyDescent="0.2">
      <c r="A704" s="17" t="s">
        <v>231</v>
      </c>
      <c r="B704" s="9" t="s">
        <v>35</v>
      </c>
      <c r="C704" t="s">
        <v>343</v>
      </c>
      <c r="D704" s="24" t="s">
        <v>342</v>
      </c>
      <c r="E704" t="s">
        <v>232</v>
      </c>
      <c r="F704" t="s">
        <v>233</v>
      </c>
      <c r="G704">
        <v>-10</v>
      </c>
      <c r="H704">
        <v>-20</v>
      </c>
      <c r="I704" s="1" t="s">
        <v>40</v>
      </c>
      <c r="J704">
        <v>3.15</v>
      </c>
      <c r="K704">
        <v>-10</v>
      </c>
      <c r="L704">
        <v>-0.72796208530805795</v>
      </c>
      <c r="M704" s="1" t="s">
        <v>40</v>
      </c>
      <c r="N704">
        <v>8.1905213270142205</v>
      </c>
      <c r="O704">
        <v>3.1156398104265399</v>
      </c>
      <c r="P704"/>
      <c r="Q704">
        <v>0.31156398104265398</v>
      </c>
      <c r="R704">
        <v>0.33898927020539998</v>
      </c>
      <c r="S704" s="1" t="str">
        <f>VLOOKUP($E704,'Product Naming'!$A$1:$P$58,2,FALSE)</f>
        <v>Heptane</v>
      </c>
      <c r="T704" s="1" t="str">
        <f>VLOOKUP($E704,'Product Naming'!$A$1:$P$58,3,FALSE)</f>
        <v>Heptane</v>
      </c>
      <c r="U704" s="1" t="str">
        <f>VLOOKUP($E704,'Product Naming'!$A$1:$P$58,4,FALSE)</f>
        <v>E</v>
      </c>
      <c r="V704" s="1" t="str">
        <f>VLOOKUP($E704,'Product Naming'!$A$1:$P$58,5,FALSE)</f>
        <v>C7H16</v>
      </c>
      <c r="W704" s="1">
        <f>VLOOKUP($E704,'Product Naming'!$A$1:$P$58,6,FALSE)</f>
        <v>7</v>
      </c>
      <c r="X704" s="1">
        <f>VLOOKUP($E704,'Product Naming'!$A$1:$P$58,7,FALSE)</f>
        <v>16</v>
      </c>
      <c r="Y704" s="1">
        <f>VLOOKUP($E704,'Product Naming'!$A$1:$P$58,8,FALSE)</f>
        <v>0</v>
      </c>
      <c r="Z704" s="1">
        <f>VLOOKUP($E704,'Product Naming'!$A$1:$P$58,9,FALSE)</f>
        <v>0</v>
      </c>
      <c r="AA704" s="1">
        <f>VLOOKUP($E704,'Product Naming'!$A$1:$P$58,10,FALSE)</f>
        <v>0</v>
      </c>
      <c r="AB704" s="29">
        <f>VLOOKUP($E704,'Product Naming'!$A$1:$P$58,11,FALSE)</f>
        <v>6.2857142857142856</v>
      </c>
      <c r="AC704" s="3">
        <f>VLOOKUP($E704,'Product Naming'!$A$1:$P$58,12,FALSE)</f>
        <v>100.20034</v>
      </c>
      <c r="AD704" s="1">
        <f>VLOOKUP($E704,'Product Naming'!$A$1:$P$58,13,FALSE)</f>
        <v>98</v>
      </c>
      <c r="AE704" s="1" t="str">
        <f>VLOOKUP($E704,'Product Naming'!$A$1:$P$58,14,FALSE)</f>
        <v>Hydrocarbon (alkane)</v>
      </c>
      <c r="AF704" s="1" t="str">
        <f>VLOOKUP($E704,'Product Naming'!$A$1:$P$58,15,FALSE)</f>
        <v>Acetyl-CoA</v>
      </c>
      <c r="AG704" s="30" t="str">
        <f>VLOOKUP($E704,'Product Naming'!$A$1:$P$58,16,FALSE)</f>
        <v>Proton symporter</v>
      </c>
      <c r="AH704" s="3" t="str">
        <f>VLOOKUP($E704,'Product Naming'!$A$1:$Q$58,17,FALSE)</f>
        <v>hept_c</v>
      </c>
      <c r="AI704" s="1">
        <f>VLOOKUP($E704,'Product Parameters'!$A$2:$D$59,2,FALSE)</f>
        <v>1</v>
      </c>
      <c r="AJ704" s="1">
        <f>VLOOKUP($E704,'Product Parameters'!$A$2:$D$59,3,FALSE)</f>
        <v>0</v>
      </c>
      <c r="AK704" s="1">
        <f>VLOOKUP($E704,'Product Parameters'!$A$2:$D$59,4,FALSE)</f>
        <v>0.12</v>
      </c>
      <c r="AL704" s="1">
        <f>VLOOKUP($E704,'Product Parameters'!$A$2:$E$59,5,FALSE)</f>
        <v>36</v>
      </c>
      <c r="AM704" s="1">
        <f>VLOOKUP($E704,'Product Parameters'!$A$2:$F$59,6,FALSE)</f>
        <v>7</v>
      </c>
      <c r="AN704" s="1">
        <f>VLOOKUP($C704,'Substrate Heating'!$A$2:$C$33,3,FALSE)</f>
        <v>1648.4793779999998</v>
      </c>
      <c r="AO704" s="1">
        <f>VLOOKUP($C704,'Substrate Heating'!$A$2:$B$33,2,FALSE)</f>
        <v>17.899999999999999</v>
      </c>
      <c r="AP704" s="1">
        <f>VLOOKUP($C704,'Substrate Heating'!$A$2:$M$33,13,FALSE)</f>
        <v>4.666666666666667</v>
      </c>
      <c r="AQ704" s="1">
        <f>VLOOKUP($C704,'Substrate Heating'!$A$2:$M$33,8,FALSE)</f>
        <v>3</v>
      </c>
      <c r="AR704" s="1">
        <f t="shared" si="10"/>
        <v>0.72698262243285938</v>
      </c>
    </row>
    <row r="705" spans="1:44" x14ac:dyDescent="0.2">
      <c r="A705" s="8" t="s">
        <v>34</v>
      </c>
      <c r="B705" s="9" t="s">
        <v>35</v>
      </c>
      <c r="C705" s="1" t="s">
        <v>348</v>
      </c>
      <c r="D705" s="23" t="s">
        <v>338</v>
      </c>
      <c r="E705" s="1" t="s">
        <v>81</v>
      </c>
      <c r="F705" s="1" t="s">
        <v>73</v>
      </c>
      <c r="G705" s="1">
        <v>-10</v>
      </c>
      <c r="H705" s="1">
        <v>-20</v>
      </c>
      <c r="I705" s="1" t="s">
        <v>40</v>
      </c>
      <c r="J705" s="1">
        <v>3.15</v>
      </c>
      <c r="K705" s="1">
        <v>-10</v>
      </c>
      <c r="L705" s="1">
        <v>-6.8540816326530596</v>
      </c>
      <c r="M705" s="1" t="s">
        <v>40</v>
      </c>
      <c r="N705" s="1">
        <v>4.5693877551020599</v>
      </c>
      <c r="O705" s="1">
        <v>1.8102040816326599</v>
      </c>
      <c r="Q705" s="1">
        <v>0.18102040816326601</v>
      </c>
      <c r="R705" s="1">
        <v>0.33950836284722902</v>
      </c>
      <c r="S705" s="1" t="str">
        <f>VLOOKUP($E705,'Product Naming'!$A$1:$P$58,2,FALSE)</f>
        <v>1-propanol-PW2</v>
      </c>
      <c r="T705" s="1" t="str">
        <f>VLOOKUP($E705,'Product Naming'!$A$1:$P$58,3,FALSE)</f>
        <v>1-Propanol (PW2)</v>
      </c>
      <c r="U705" s="1" t="str">
        <f>VLOOKUP($E705,'Product Naming'!$A$1:$P$58,4,FALSE)</f>
        <v>E-S</v>
      </c>
      <c r="V705" s="1" t="str">
        <f>VLOOKUP($E705,'Product Naming'!$A$1:$P$58,5,FALSE)</f>
        <v>C3H8O</v>
      </c>
      <c r="W705" s="1">
        <f>VLOOKUP($E705,'Product Naming'!$A$1:$P$58,6,FALSE)</f>
        <v>3</v>
      </c>
      <c r="X705" s="1">
        <f>VLOOKUP($E705,'Product Naming'!$A$1:$P$58,7,FALSE)</f>
        <v>8</v>
      </c>
      <c r="Y705" s="1">
        <f>VLOOKUP($E705,'Product Naming'!$A$1:$P$58,8,FALSE)</f>
        <v>1</v>
      </c>
      <c r="Z705" s="1">
        <f>VLOOKUP($E705,'Product Naming'!$A$1:$P$58,9,FALSE)</f>
        <v>0</v>
      </c>
      <c r="AA705" s="1">
        <f>VLOOKUP($E705,'Product Naming'!$A$1:$P$58,10,FALSE)</f>
        <v>0</v>
      </c>
      <c r="AB705" s="29">
        <f>VLOOKUP($E705,'Product Naming'!$A$1:$P$58,11,FALSE)</f>
        <v>6</v>
      </c>
      <c r="AC705" s="3">
        <f>VLOOKUP($E705,'Product Naming'!$A$1:$P$58,12,FALSE)</f>
        <v>60.093820000000001</v>
      </c>
      <c r="AD705" s="1">
        <f>VLOOKUP($E705,'Product Naming'!$A$1:$P$58,13,FALSE)</f>
        <v>97</v>
      </c>
      <c r="AE705" s="1" t="str">
        <f>VLOOKUP($E705,'Product Naming'!$A$1:$P$58,14,FALSE)</f>
        <v>Alcohol</v>
      </c>
      <c r="AF705" s="1" t="str">
        <f>VLOOKUP($E705,'Product Naming'!$A$1:$P$58,15,FALSE)</f>
        <v>Oxaloacetate</v>
      </c>
      <c r="AG705" s="30" t="str">
        <f>VLOOKUP($E705,'Product Naming'!$A$1:$P$58,16,FALSE)</f>
        <v>Proton symporter</v>
      </c>
      <c r="AH705" s="3" t="str">
        <f>VLOOKUP($E705,'Product Naming'!$A$1:$Q$58,17,FALSE)</f>
        <v>ppoh_c</v>
      </c>
      <c r="AI705" s="1">
        <f>VLOOKUP($E705,'Product Parameters'!$A$2:$D$59,2,FALSE)</f>
        <v>1</v>
      </c>
      <c r="AJ705" s="1">
        <f>VLOOKUP($E705,'Product Parameters'!$A$2:$D$59,3,FALSE)</f>
        <v>0</v>
      </c>
      <c r="AK705" s="1">
        <f>VLOOKUP($E705,'Product Parameters'!$A$2:$D$59,4,FALSE)</f>
        <v>0.12</v>
      </c>
      <c r="AL705" s="1">
        <f>VLOOKUP($E705,'Product Parameters'!$A$2:$E$59,5,FALSE)</f>
        <v>47</v>
      </c>
      <c r="AM705" s="1">
        <f>VLOOKUP($E705,'Product Parameters'!$A$2:$F$59,6,FALSE)</f>
        <v>3</v>
      </c>
      <c r="AN705" s="1">
        <f>VLOOKUP($C705,'Substrate Heating'!$A$2:$C$33,3,FALSE)</f>
        <v>638.57832580000002</v>
      </c>
      <c r="AO705" s="1">
        <f>VLOOKUP($C705,'Substrate Heating'!$A$2:$B$33,2,FALSE)</f>
        <v>19.93</v>
      </c>
      <c r="AP705" s="1">
        <f>VLOOKUP($C705,'Substrate Heating'!$A$2:$M$33,13,FALSE)</f>
        <v>6</v>
      </c>
      <c r="AQ705" s="1">
        <f>VLOOKUP($C705,'Substrate Heating'!$A$2:$M$33,8,FALSE)</f>
        <v>1</v>
      </c>
      <c r="AR705" s="1">
        <f t="shared" si="10"/>
        <v>0.54306122448979799</v>
      </c>
    </row>
    <row r="706" spans="1:44" x14ac:dyDescent="0.2">
      <c r="A706" s="17" t="s">
        <v>323</v>
      </c>
      <c r="B706" s="18" t="s">
        <v>324</v>
      </c>
      <c r="C706" t="s">
        <v>325</v>
      </c>
      <c r="D706" s="19" t="s">
        <v>326</v>
      </c>
      <c r="E706" t="s">
        <v>60</v>
      </c>
      <c r="F706" t="s">
        <v>61</v>
      </c>
      <c r="G706">
        <v>-10</v>
      </c>
      <c r="H706">
        <v>0</v>
      </c>
      <c r="I706">
        <v>0</v>
      </c>
      <c r="J706">
        <v>0.45</v>
      </c>
      <c r="K706">
        <v>-10</v>
      </c>
      <c r="L706">
        <v>0</v>
      </c>
      <c r="M706">
        <v>0</v>
      </c>
      <c r="N706">
        <v>6.2500000000000098</v>
      </c>
      <c r="O706">
        <v>1.25</v>
      </c>
      <c r="P706"/>
      <c r="Q706">
        <v>0.125</v>
      </c>
      <c r="R706">
        <v>0.339578811138879</v>
      </c>
      <c r="S706" s="1" t="str">
        <f>VLOOKUP($E706,'Product Naming'!$A$1:$P$58,2,FALSE)</f>
        <v>1-3-Propanediol</v>
      </c>
      <c r="T706" s="1" t="str">
        <f>VLOOKUP($E706,'Product Naming'!$A$1:$P$58,3,FALSE)</f>
        <v>1,3-Propanediol</v>
      </c>
      <c r="U706" s="1" t="str">
        <f>VLOOKUP($E706,'Product Naming'!$A$1:$P$58,4,FALSE)</f>
        <v>A</v>
      </c>
      <c r="V706" s="1" t="str">
        <f>VLOOKUP($E706,'Product Naming'!$A$1:$P$58,5,FALSE)</f>
        <v>C3H8O2</v>
      </c>
      <c r="W706" s="1">
        <f>VLOOKUP($E706,'Product Naming'!$A$1:$P$58,6,FALSE)</f>
        <v>3</v>
      </c>
      <c r="X706" s="1">
        <f>VLOOKUP($E706,'Product Naming'!$A$1:$P$58,7,FALSE)</f>
        <v>8</v>
      </c>
      <c r="Y706" s="1">
        <f>VLOOKUP($E706,'Product Naming'!$A$1:$P$58,8,FALSE)</f>
        <v>2</v>
      </c>
      <c r="Z706" s="1">
        <f>VLOOKUP($E706,'Product Naming'!$A$1:$P$58,9,FALSE)</f>
        <v>0</v>
      </c>
      <c r="AA706" s="1">
        <f>VLOOKUP($E706,'Product Naming'!$A$1:$P$58,10,FALSE)</f>
        <v>0</v>
      </c>
      <c r="AB706" s="29">
        <f>VLOOKUP($E706,'Product Naming'!$A$1:$P$58,11,FALSE)</f>
        <v>5.333333333333333</v>
      </c>
      <c r="AC706" s="3">
        <f>VLOOKUP($E706,'Product Naming'!$A$1:$P$58,12,FALSE)</f>
        <v>76.092820000000003</v>
      </c>
      <c r="AD706" s="1">
        <f>VLOOKUP($E706,'Product Naming'!$A$1:$P$58,13,FALSE)</f>
        <v>213</v>
      </c>
      <c r="AE706" s="1" t="str">
        <f>VLOOKUP($E706,'Product Naming'!$A$1:$P$58,14,FALSE)</f>
        <v>Diol</v>
      </c>
      <c r="AF706" s="1" t="str">
        <f>VLOOKUP($E706,'Product Naming'!$A$1:$P$58,15,FALSE)</f>
        <v>Glyceraldehyde 3-P</v>
      </c>
      <c r="AG706" s="30" t="str">
        <f>VLOOKUP($E706,'Product Naming'!$A$1:$P$58,16,FALSE)</f>
        <v>Proton symporter</v>
      </c>
      <c r="AH706" s="3" t="str">
        <f>VLOOKUP($E706,'Product Naming'!$A$1:$Q$58,17,FALSE)</f>
        <v>13ppd_c</v>
      </c>
      <c r="AI706" s="1">
        <f>VLOOKUP($E706,'Product Parameters'!$A$2:$D$59,2,FALSE)</f>
        <v>1</v>
      </c>
      <c r="AJ706" s="1">
        <f>VLOOKUP($E706,'Product Parameters'!$A$2:$D$59,3,FALSE)</f>
        <v>0</v>
      </c>
      <c r="AK706" s="1">
        <f>VLOOKUP($E706,'Product Parameters'!$A$2:$D$59,4,FALSE)</f>
        <v>0.12</v>
      </c>
      <c r="AL706" s="1">
        <f>VLOOKUP($E706,'Product Parameters'!$A$2:$E$59,5,FALSE)</f>
        <v>70</v>
      </c>
      <c r="AM706" s="1">
        <f>VLOOKUP($E706,'Product Parameters'!$A$2:$F$59,6,FALSE)</f>
        <v>3</v>
      </c>
      <c r="AN706" s="1">
        <f>VLOOKUP($C706,'Substrate Heating'!$A$2:$C$33,3,FALSE)</f>
        <v>280.09700000000004</v>
      </c>
      <c r="AO706" s="1">
        <f>VLOOKUP($C706,'Substrate Heating'!$A$2:$B$33,2,FALSE)</f>
        <v>10</v>
      </c>
      <c r="AP706" s="1">
        <f>VLOOKUP($C706,'Substrate Heating'!$A$2:$M$33,13,FALSE)</f>
        <v>2</v>
      </c>
      <c r="AQ706" s="1">
        <f>VLOOKUP($C706,'Substrate Heating'!$A$2:$M$33,8,FALSE)</f>
        <v>1</v>
      </c>
      <c r="AR706" s="1">
        <f t="shared" si="10"/>
        <v>0.375</v>
      </c>
    </row>
    <row r="707" spans="1:44" x14ac:dyDescent="0.2">
      <c r="A707" s="17" t="s">
        <v>231</v>
      </c>
      <c r="B707" s="9" t="s">
        <v>35</v>
      </c>
      <c r="C707" t="s">
        <v>331</v>
      </c>
      <c r="D707" s="10" t="s">
        <v>37</v>
      </c>
      <c r="E707" t="s">
        <v>236</v>
      </c>
      <c r="F707" t="s">
        <v>237</v>
      </c>
      <c r="G707">
        <v>-10</v>
      </c>
      <c r="H707">
        <v>-20</v>
      </c>
      <c r="I707" s="1" t="s">
        <v>40</v>
      </c>
      <c r="J707">
        <v>3.15</v>
      </c>
      <c r="K707">
        <v>-10</v>
      </c>
      <c r="L707">
        <v>-1.7584507042253601</v>
      </c>
      <c r="M707" s="1" t="s">
        <v>40</v>
      </c>
      <c r="N707">
        <v>5.3211267605633799</v>
      </c>
      <c r="O707">
        <v>2.4464788732394398</v>
      </c>
      <c r="P707"/>
      <c r="Q707">
        <v>0.24464788732394399</v>
      </c>
      <c r="R707">
        <v>0.33967295116742702</v>
      </c>
      <c r="S707" s="1" t="str">
        <f>VLOOKUP($E707,'Product Naming'!$A$1:$P$58,2,FALSE)</f>
        <v>Hexane</v>
      </c>
      <c r="T707" s="1" t="str">
        <f>VLOOKUP($E707,'Product Naming'!$A$1:$P$58,3,FALSE)</f>
        <v>Hexane</v>
      </c>
      <c r="U707" s="1" t="str">
        <f>VLOOKUP($E707,'Product Naming'!$A$1:$P$58,4,FALSE)</f>
        <v>E</v>
      </c>
      <c r="V707" s="1" t="str">
        <f>VLOOKUP($E707,'Product Naming'!$A$1:$P$58,5,FALSE)</f>
        <v>C6H14</v>
      </c>
      <c r="W707" s="1">
        <f>VLOOKUP($E707,'Product Naming'!$A$1:$P$58,6,FALSE)</f>
        <v>6</v>
      </c>
      <c r="X707" s="1">
        <f>VLOOKUP($E707,'Product Naming'!$A$1:$P$58,7,FALSE)</f>
        <v>14</v>
      </c>
      <c r="Y707" s="1">
        <f>VLOOKUP($E707,'Product Naming'!$A$1:$P$58,8,FALSE)</f>
        <v>0</v>
      </c>
      <c r="Z707" s="1">
        <f>VLOOKUP($E707,'Product Naming'!$A$1:$P$58,9,FALSE)</f>
        <v>0</v>
      </c>
      <c r="AA707" s="1">
        <f>VLOOKUP($E707,'Product Naming'!$A$1:$P$58,10,FALSE)</f>
        <v>0</v>
      </c>
      <c r="AB707" s="29">
        <f>VLOOKUP($E707,'Product Naming'!$A$1:$P$58,11,FALSE)</f>
        <v>6.333333333333333</v>
      </c>
      <c r="AC707" s="3">
        <f>VLOOKUP($E707,'Product Naming'!$A$1:$P$58,12,FALSE)</f>
        <v>86.173959999999994</v>
      </c>
      <c r="AD707" s="1">
        <f>VLOOKUP($E707,'Product Naming'!$A$1:$P$58,13,FALSE)</f>
        <v>69</v>
      </c>
      <c r="AE707" s="1" t="str">
        <f>VLOOKUP($E707,'Product Naming'!$A$1:$P$58,14,FALSE)</f>
        <v>Hydrocarbon (alkane)</v>
      </c>
      <c r="AF707" s="1" t="str">
        <f>VLOOKUP($E707,'Product Naming'!$A$1:$P$58,15,FALSE)</f>
        <v>Acetyl-CoA + Succinyl-CoA</v>
      </c>
      <c r="AG707" s="30" t="str">
        <f>VLOOKUP($E707,'Product Naming'!$A$1:$P$58,16,FALSE)</f>
        <v>Proton symporter</v>
      </c>
      <c r="AH707" s="3" t="str">
        <f>VLOOKUP($E707,'Product Naming'!$A$1:$Q$58,17,FALSE)</f>
        <v>hex_c</v>
      </c>
      <c r="AI707" s="1">
        <f>VLOOKUP($E707,'Product Parameters'!$A$2:$D$59,2,FALSE)</f>
        <v>1</v>
      </c>
      <c r="AJ707" s="1">
        <f>VLOOKUP($E707,'Product Parameters'!$A$2:$D$59,3,FALSE)</f>
        <v>0</v>
      </c>
      <c r="AK707" s="1">
        <f>VLOOKUP($E707,'Product Parameters'!$A$2:$D$59,4,FALSE)</f>
        <v>0.12</v>
      </c>
      <c r="AL707" s="1">
        <f>VLOOKUP($E707,'Product Parameters'!$A$2:$E$59,5,FALSE)</f>
        <v>31</v>
      </c>
      <c r="AM707" s="1">
        <f>VLOOKUP($E707,'Product Parameters'!$A$2:$F$59,6,FALSE)</f>
        <v>6</v>
      </c>
      <c r="AN707" s="1">
        <f>VLOOKUP($C707,'Substrate Heating'!$A$2:$C$33,3,FALSE)</f>
        <v>1055.1294800000001</v>
      </c>
      <c r="AO707" s="1">
        <f>VLOOKUP($C707,'Substrate Heating'!$A$2:$B$33,2,FALSE)</f>
        <v>17</v>
      </c>
      <c r="AP707" s="1">
        <f>VLOOKUP($C707,'Substrate Heating'!$A$2:$M$33,13,FALSE)</f>
        <v>5</v>
      </c>
      <c r="AQ707" s="1">
        <f>VLOOKUP($C707,'Substrate Heating'!$A$2:$M$33,8,FALSE)</f>
        <v>2</v>
      </c>
      <c r="AR707" s="1">
        <f t="shared" ref="AR707:AR770" si="11">Q707*W707/AQ707</f>
        <v>0.73394366197183203</v>
      </c>
    </row>
    <row r="708" spans="1:44" x14ac:dyDescent="0.2">
      <c r="A708" s="8" t="s">
        <v>34</v>
      </c>
      <c r="B708" s="9" t="s">
        <v>35</v>
      </c>
      <c r="C708" s="1" t="s">
        <v>331</v>
      </c>
      <c r="D708" s="10" t="s">
        <v>37</v>
      </c>
      <c r="E708" s="1" t="s">
        <v>204</v>
      </c>
      <c r="F708" s="1" t="s">
        <v>205</v>
      </c>
      <c r="G708" s="1">
        <v>-10</v>
      </c>
      <c r="H708" s="1">
        <v>-20</v>
      </c>
      <c r="I708" s="1" t="s">
        <v>40</v>
      </c>
      <c r="J708" s="1">
        <v>3.15</v>
      </c>
      <c r="K708" s="1">
        <v>-10</v>
      </c>
      <c r="L708" s="1">
        <v>-3.3275280898876298</v>
      </c>
      <c r="M708" s="1" t="s">
        <v>40</v>
      </c>
      <c r="N708" s="1">
        <v>4.5196629213482904</v>
      </c>
      <c r="O708" s="1">
        <v>1.0320224719101101</v>
      </c>
      <c r="Q708" s="1">
        <v>0.103202247191011</v>
      </c>
      <c r="R708" s="1">
        <v>0.33978514820372802</v>
      </c>
      <c r="S708" s="1" t="str">
        <f>VLOOKUP($E708,'Product Naming'!$A$1:$P$58,2,FALSE)</f>
        <v>Farnesene</v>
      </c>
      <c r="T708" s="1" t="str">
        <f>VLOOKUP($E708,'Product Naming'!$A$1:$P$58,3,FALSE)</f>
        <v>Farnesene</v>
      </c>
      <c r="U708" s="1" t="str">
        <f>VLOOKUP($E708,'Product Naming'!$A$1:$P$58,4,FALSE)</f>
        <v>A</v>
      </c>
      <c r="V708" s="1" t="str">
        <f>VLOOKUP($E708,'Product Naming'!$A$1:$P$58,5,FALSE)</f>
        <v>C15H24</v>
      </c>
      <c r="W708" s="1">
        <f>VLOOKUP($E708,'Product Naming'!$A$1:$P$58,6,FALSE)</f>
        <v>15</v>
      </c>
      <c r="X708" s="1">
        <f>VLOOKUP($E708,'Product Naming'!$A$1:$P$58,7,FALSE)</f>
        <v>24</v>
      </c>
      <c r="Y708" s="1">
        <f>VLOOKUP($E708,'Product Naming'!$A$1:$P$58,8,FALSE)</f>
        <v>0</v>
      </c>
      <c r="Z708" s="1">
        <f>VLOOKUP($E708,'Product Naming'!$A$1:$P$58,9,FALSE)</f>
        <v>0</v>
      </c>
      <c r="AA708" s="1">
        <f>VLOOKUP($E708,'Product Naming'!$A$1:$P$58,10,FALSE)</f>
        <v>0</v>
      </c>
      <c r="AB708" s="29">
        <f>VLOOKUP($E708,'Product Naming'!$A$1:$P$58,11,FALSE)</f>
        <v>5.6</v>
      </c>
      <c r="AC708" s="3">
        <f>VLOOKUP($E708,'Product Naming'!$A$1:$P$58,12,FALSE)</f>
        <v>204.34866000000002</v>
      </c>
      <c r="AD708" s="1" t="str">
        <f>VLOOKUP($E708,'Product Naming'!$A$1:$P$58,13,FALSE)</f>
        <v>260 (A)/272 (B)</v>
      </c>
      <c r="AE708" s="1" t="str">
        <f>VLOOKUP($E708,'Product Naming'!$A$1:$P$58,14,FALSE)</f>
        <v>Hydrocarbon</v>
      </c>
      <c r="AF708" s="1" t="str">
        <f>VLOOKUP($E708,'Product Naming'!$A$1:$P$58,15,FALSE)</f>
        <v>Acetyl-CoA</v>
      </c>
      <c r="AG708" s="30" t="str">
        <f>VLOOKUP($E708,'Product Naming'!$A$1:$P$58,16,FALSE)</f>
        <v>Proton symporter</v>
      </c>
      <c r="AH708" s="3" t="str">
        <f>VLOOKUP($E708,'Product Naming'!$A$1:$Q$58,17,FALSE)</f>
        <v>frene_c</v>
      </c>
      <c r="AI708" s="1">
        <f>VLOOKUP($E708,'Product Parameters'!$A$2:$D$59,2,FALSE)</f>
        <v>1</v>
      </c>
      <c r="AJ708" s="1">
        <f>VLOOKUP($E708,'Product Parameters'!$A$2:$D$59,3,FALSE)</f>
        <v>0</v>
      </c>
      <c r="AK708" s="1">
        <f>VLOOKUP($E708,'Product Parameters'!$A$2:$D$59,4,FALSE)</f>
        <v>0.12</v>
      </c>
      <c r="AL708" s="1">
        <f>VLOOKUP($E708,'Product Parameters'!$A$2:$E$59,5,FALSE)</f>
        <v>0</v>
      </c>
      <c r="AM708" s="1">
        <f>VLOOKUP($E708,'Product Parameters'!$A$2:$F$59,6,FALSE)</f>
        <v>15</v>
      </c>
      <c r="AN708" s="1">
        <f>VLOOKUP($C708,'Substrate Heating'!$A$2:$C$33,3,FALSE)</f>
        <v>1055.1294800000001</v>
      </c>
      <c r="AO708" s="1">
        <f>VLOOKUP($C708,'Substrate Heating'!$A$2:$B$33,2,FALSE)</f>
        <v>17</v>
      </c>
      <c r="AP708" s="1">
        <f>VLOOKUP($C708,'Substrate Heating'!$A$2:$M$33,13,FALSE)</f>
        <v>5</v>
      </c>
      <c r="AQ708" s="1">
        <f>VLOOKUP($C708,'Substrate Heating'!$A$2:$M$33,8,FALSE)</f>
        <v>2</v>
      </c>
      <c r="AR708" s="1">
        <f t="shared" si="11"/>
        <v>0.77401685393258246</v>
      </c>
    </row>
    <row r="709" spans="1:44" x14ac:dyDescent="0.2">
      <c r="A709" s="17" t="s">
        <v>231</v>
      </c>
      <c r="B709" s="9" t="s">
        <v>35</v>
      </c>
      <c r="C709" t="s">
        <v>343</v>
      </c>
      <c r="D709" s="24" t="s">
        <v>342</v>
      </c>
      <c r="E709" t="s">
        <v>236</v>
      </c>
      <c r="F709" t="s">
        <v>237</v>
      </c>
      <c r="G709">
        <v>-10</v>
      </c>
      <c r="H709">
        <v>-20</v>
      </c>
      <c r="I709" s="1" t="s">
        <v>40</v>
      </c>
      <c r="J709">
        <v>3.15</v>
      </c>
      <c r="K709">
        <v>-10</v>
      </c>
      <c r="L709">
        <v>-0.49558011049724499</v>
      </c>
      <c r="M709" s="1" t="s">
        <v>40</v>
      </c>
      <c r="N709">
        <v>8.2077348066298192</v>
      </c>
      <c r="O709">
        <v>3.6320441988950201</v>
      </c>
      <c r="P709"/>
      <c r="Q709">
        <v>0.36320441988950197</v>
      </c>
      <c r="R709">
        <v>0.33985736666565902</v>
      </c>
      <c r="S709" s="1" t="str">
        <f>VLOOKUP($E709,'Product Naming'!$A$1:$P$58,2,FALSE)</f>
        <v>Hexane</v>
      </c>
      <c r="T709" s="1" t="str">
        <f>VLOOKUP($E709,'Product Naming'!$A$1:$P$58,3,FALSE)</f>
        <v>Hexane</v>
      </c>
      <c r="U709" s="1" t="str">
        <f>VLOOKUP($E709,'Product Naming'!$A$1:$P$58,4,FALSE)</f>
        <v>E</v>
      </c>
      <c r="V709" s="1" t="str">
        <f>VLOOKUP($E709,'Product Naming'!$A$1:$P$58,5,FALSE)</f>
        <v>C6H14</v>
      </c>
      <c r="W709" s="1">
        <f>VLOOKUP($E709,'Product Naming'!$A$1:$P$58,6,FALSE)</f>
        <v>6</v>
      </c>
      <c r="X709" s="1">
        <f>VLOOKUP($E709,'Product Naming'!$A$1:$P$58,7,FALSE)</f>
        <v>14</v>
      </c>
      <c r="Y709" s="1">
        <f>VLOOKUP($E709,'Product Naming'!$A$1:$P$58,8,FALSE)</f>
        <v>0</v>
      </c>
      <c r="Z709" s="1">
        <f>VLOOKUP($E709,'Product Naming'!$A$1:$P$58,9,FALSE)</f>
        <v>0</v>
      </c>
      <c r="AA709" s="1">
        <f>VLOOKUP($E709,'Product Naming'!$A$1:$P$58,10,FALSE)</f>
        <v>0</v>
      </c>
      <c r="AB709" s="29">
        <f>VLOOKUP($E709,'Product Naming'!$A$1:$P$58,11,FALSE)</f>
        <v>6.333333333333333</v>
      </c>
      <c r="AC709" s="3">
        <f>VLOOKUP($E709,'Product Naming'!$A$1:$P$58,12,FALSE)</f>
        <v>86.173959999999994</v>
      </c>
      <c r="AD709" s="1">
        <f>VLOOKUP($E709,'Product Naming'!$A$1:$P$58,13,FALSE)</f>
        <v>69</v>
      </c>
      <c r="AE709" s="1" t="str">
        <f>VLOOKUP($E709,'Product Naming'!$A$1:$P$58,14,FALSE)</f>
        <v>Hydrocarbon (alkane)</v>
      </c>
      <c r="AF709" s="1" t="str">
        <f>VLOOKUP($E709,'Product Naming'!$A$1:$P$58,15,FALSE)</f>
        <v>Acetyl-CoA + Succinyl-CoA</v>
      </c>
      <c r="AG709" s="30" t="str">
        <f>VLOOKUP($E709,'Product Naming'!$A$1:$P$58,16,FALSE)</f>
        <v>Proton symporter</v>
      </c>
      <c r="AH709" s="3" t="str">
        <f>VLOOKUP($E709,'Product Naming'!$A$1:$Q$58,17,FALSE)</f>
        <v>hex_c</v>
      </c>
      <c r="AI709" s="1">
        <f>VLOOKUP($E709,'Product Parameters'!$A$2:$D$59,2,FALSE)</f>
        <v>1</v>
      </c>
      <c r="AJ709" s="1">
        <f>VLOOKUP($E709,'Product Parameters'!$A$2:$D$59,3,FALSE)</f>
        <v>0</v>
      </c>
      <c r="AK709" s="1">
        <f>VLOOKUP($E709,'Product Parameters'!$A$2:$D$59,4,FALSE)</f>
        <v>0.12</v>
      </c>
      <c r="AL709" s="1">
        <f>VLOOKUP($E709,'Product Parameters'!$A$2:$E$59,5,FALSE)</f>
        <v>31</v>
      </c>
      <c r="AM709" s="1">
        <f>VLOOKUP($E709,'Product Parameters'!$A$2:$F$59,6,FALSE)</f>
        <v>6</v>
      </c>
      <c r="AN709" s="1">
        <f>VLOOKUP($C709,'Substrate Heating'!$A$2:$C$33,3,FALSE)</f>
        <v>1648.4793779999998</v>
      </c>
      <c r="AO709" s="1">
        <f>VLOOKUP($C709,'Substrate Heating'!$A$2:$B$33,2,FALSE)</f>
        <v>17.899999999999999</v>
      </c>
      <c r="AP709" s="1">
        <f>VLOOKUP($C709,'Substrate Heating'!$A$2:$M$33,13,FALSE)</f>
        <v>4.666666666666667</v>
      </c>
      <c r="AQ709" s="1">
        <f>VLOOKUP($C709,'Substrate Heating'!$A$2:$M$33,8,FALSE)</f>
        <v>3</v>
      </c>
      <c r="AR709" s="1">
        <f t="shared" si="11"/>
        <v>0.72640883977900395</v>
      </c>
    </row>
    <row r="710" spans="1:44" x14ac:dyDescent="0.2">
      <c r="A710" s="17" t="s">
        <v>185</v>
      </c>
      <c r="B710" s="9" t="s">
        <v>35</v>
      </c>
      <c r="C710" t="s">
        <v>331</v>
      </c>
      <c r="D710" s="10" t="s">
        <v>37</v>
      </c>
      <c r="E710" t="s">
        <v>259</v>
      </c>
      <c r="F710" t="s">
        <v>260</v>
      </c>
      <c r="G710">
        <v>-10</v>
      </c>
      <c r="H710">
        <v>-20</v>
      </c>
      <c r="I710" s="1" t="s">
        <v>40</v>
      </c>
      <c r="J710">
        <v>3.15</v>
      </c>
      <c r="K710">
        <v>-10</v>
      </c>
      <c r="L710">
        <v>-3.2970464135021098</v>
      </c>
      <c r="M710" s="1" t="s">
        <v>40</v>
      </c>
      <c r="N710">
        <v>4.4978902953586601</v>
      </c>
      <c r="O710">
        <v>1.55021097046414</v>
      </c>
      <c r="P710"/>
      <c r="Q710">
        <v>0.15502109704641401</v>
      </c>
      <c r="R710">
        <v>0.34026304573987998</v>
      </c>
      <c r="S710" s="1" t="str">
        <f>VLOOKUP($E710,'Product Naming'!$A$1:$P$58,2,FALSE)</f>
        <v>Limonene</v>
      </c>
      <c r="T710" s="1" t="str">
        <f>VLOOKUP($E710,'Product Naming'!$A$1:$P$58,3,FALSE)</f>
        <v>Limonene</v>
      </c>
      <c r="U710" s="1" t="str">
        <f>VLOOKUP($E710,'Product Naming'!$A$1:$P$58,4,FALSE)</f>
        <v>E</v>
      </c>
      <c r="V710" s="1" t="str">
        <f>VLOOKUP($E710,'Product Naming'!$A$1:$P$58,5,FALSE)</f>
        <v>C10H16</v>
      </c>
      <c r="W710" s="1">
        <f>VLOOKUP($E710,'Product Naming'!$A$1:$P$58,6,FALSE)</f>
        <v>10</v>
      </c>
      <c r="X710" s="1">
        <f>VLOOKUP($E710,'Product Naming'!$A$1:$P$58,7,FALSE)</f>
        <v>16</v>
      </c>
      <c r="Y710" s="1">
        <f>VLOOKUP($E710,'Product Naming'!$A$1:$P$58,8,FALSE)</f>
        <v>0</v>
      </c>
      <c r="Z710" s="1">
        <f>VLOOKUP($E710,'Product Naming'!$A$1:$P$58,9,FALSE)</f>
        <v>0</v>
      </c>
      <c r="AA710" s="1">
        <f>VLOOKUP($E710,'Product Naming'!$A$1:$P$58,10,FALSE)</f>
        <v>0</v>
      </c>
      <c r="AB710" s="29">
        <f>VLOOKUP($E710,'Product Naming'!$A$1:$P$58,11,FALSE)</f>
        <v>5.6</v>
      </c>
      <c r="AC710" s="3">
        <f>VLOOKUP($E710,'Product Naming'!$A$1:$P$58,12,FALSE)</f>
        <v>136.23244</v>
      </c>
      <c r="AD710" s="1">
        <f>VLOOKUP($E710,'Product Naming'!$A$1:$P$58,13,FALSE)</f>
        <v>176</v>
      </c>
      <c r="AE710" s="1" t="str">
        <f>VLOOKUP($E710,'Product Naming'!$A$1:$P$58,14,FALSE)</f>
        <v>Isoprenoid; Aromatic (Cycloalkane)</v>
      </c>
      <c r="AF710" s="1" t="str">
        <f>VLOOKUP($E710,'Product Naming'!$A$1:$P$58,15,FALSE)</f>
        <v>Acetyl-CoA</v>
      </c>
      <c r="AG710" s="30" t="str">
        <f>VLOOKUP($E710,'Product Naming'!$A$1:$P$58,16,FALSE)</f>
        <v>Proton symporter</v>
      </c>
      <c r="AH710" s="3" t="str">
        <f>VLOOKUP($E710,'Product Naming'!$A$1:$Q$58,17,FALSE)</f>
        <v>limnen_c</v>
      </c>
      <c r="AI710" s="1">
        <f>VLOOKUP($E710,'Product Parameters'!$A$2:$D$59,2,FALSE)</f>
        <v>1</v>
      </c>
      <c r="AJ710" s="1">
        <f>VLOOKUP($E710,'Product Parameters'!$A$2:$D$59,3,FALSE)</f>
        <v>0</v>
      </c>
      <c r="AK710" s="1">
        <f>VLOOKUP($E710,'Product Parameters'!$A$2:$D$59,4,FALSE)</f>
        <v>0.12</v>
      </c>
      <c r="AL710" s="1">
        <f>VLOOKUP($E710,'Product Parameters'!$A$2:$E$59,5,FALSE)</f>
        <v>49.5</v>
      </c>
      <c r="AM710" s="1">
        <f>VLOOKUP($E710,'Product Parameters'!$A$2:$F$59,6,FALSE)</f>
        <v>10</v>
      </c>
      <c r="AN710" s="1">
        <f>VLOOKUP($C710,'Substrate Heating'!$A$2:$C$33,3,FALSE)</f>
        <v>1055.1294800000001</v>
      </c>
      <c r="AO710" s="1">
        <f>VLOOKUP($C710,'Substrate Heating'!$A$2:$B$33,2,FALSE)</f>
        <v>17</v>
      </c>
      <c r="AP710" s="1">
        <f>VLOOKUP($C710,'Substrate Heating'!$A$2:$M$33,13,FALSE)</f>
        <v>5</v>
      </c>
      <c r="AQ710" s="1">
        <f>VLOOKUP($C710,'Substrate Heating'!$A$2:$M$33,8,FALSE)</f>
        <v>2</v>
      </c>
      <c r="AR710" s="1">
        <f t="shared" si="11"/>
        <v>0.77510548523207001</v>
      </c>
    </row>
    <row r="711" spans="1:44" x14ac:dyDescent="0.2">
      <c r="A711" s="17" t="s">
        <v>323</v>
      </c>
      <c r="B711" s="18" t="s">
        <v>324</v>
      </c>
      <c r="C711" t="s">
        <v>335</v>
      </c>
      <c r="D711" s="19" t="s">
        <v>326</v>
      </c>
      <c r="E711" t="s">
        <v>38</v>
      </c>
      <c r="F711" t="s">
        <v>39</v>
      </c>
      <c r="G711">
        <v>-10</v>
      </c>
      <c r="H711">
        <v>0</v>
      </c>
      <c r="I711">
        <v>-10</v>
      </c>
      <c r="J711">
        <v>0.45</v>
      </c>
      <c r="K711">
        <v>-10</v>
      </c>
      <c r="L711">
        <v>0</v>
      </c>
      <c r="M711">
        <v>-10</v>
      </c>
      <c r="N711">
        <v>2.7272727272727302</v>
      </c>
      <c r="O711">
        <v>1.8181818181818199</v>
      </c>
      <c r="P711"/>
      <c r="Q711">
        <v>0.18181818181818199</v>
      </c>
      <c r="R711">
        <v>0.34100539211049102</v>
      </c>
      <c r="S711" s="1" t="str">
        <f>VLOOKUP($E711,'Product Naming'!$A$1:$P$58,2,FALSE)</f>
        <v>1-3-butanediol-PW1</v>
      </c>
      <c r="T711" s="1" t="str">
        <f>VLOOKUP($E711,'Product Naming'!$A$1:$P$58,3,FALSE)</f>
        <v>1,3-Butanediol (PW1)</v>
      </c>
      <c r="U711" s="1" t="str">
        <f>VLOOKUP($E711,'Product Naming'!$A$1:$P$58,4,FALSE)</f>
        <v>E</v>
      </c>
      <c r="V711" s="1" t="str">
        <f>VLOOKUP($E711,'Product Naming'!$A$1:$P$58,5,FALSE)</f>
        <v>C4H10O2</v>
      </c>
      <c r="W711" s="1">
        <f>VLOOKUP($E711,'Product Naming'!$A$1:$P$58,6,FALSE)</f>
        <v>4</v>
      </c>
      <c r="X711" s="1">
        <f>VLOOKUP($E711,'Product Naming'!$A$1:$P$58,7,FALSE)</f>
        <v>10</v>
      </c>
      <c r="Y711" s="1">
        <f>VLOOKUP($E711,'Product Naming'!$A$1:$P$58,8,FALSE)</f>
        <v>2</v>
      </c>
      <c r="Z711" s="1">
        <f>VLOOKUP($E711,'Product Naming'!$A$1:$P$58,9,FALSE)</f>
        <v>0</v>
      </c>
      <c r="AA711" s="1">
        <f>VLOOKUP($E711,'Product Naming'!$A$1:$P$58,10,FALSE)</f>
        <v>0</v>
      </c>
      <c r="AB711" s="29">
        <f>VLOOKUP($E711,'Product Naming'!$A$1:$P$58,11,FALSE)</f>
        <v>5.5</v>
      </c>
      <c r="AC711" s="3">
        <f>VLOOKUP($E711,'Product Naming'!$A$1:$P$58,12,FALSE)</f>
        <v>90.119200000000006</v>
      </c>
      <c r="AD711" s="1">
        <f>VLOOKUP($E711,'Product Naming'!$A$1:$P$58,13,FALSE)</f>
        <v>207</v>
      </c>
      <c r="AE711" s="1" t="str">
        <f>VLOOKUP($E711,'Product Naming'!$A$1:$P$58,14,FALSE)</f>
        <v>Diol</v>
      </c>
      <c r="AF711" s="1" t="str">
        <f>VLOOKUP($E711,'Product Naming'!$A$1:$P$58,15,FALSE)</f>
        <v>Acetyl-CoA</v>
      </c>
      <c r="AG711" s="30" t="str">
        <f>VLOOKUP($E711,'Product Naming'!$A$1:$P$58,16,FALSE)</f>
        <v>Proton symporter</v>
      </c>
      <c r="AH711" s="3" t="str">
        <f>VLOOKUP($E711,'Product Naming'!$A$1:$Q$58,17,FALSE)</f>
        <v>13bdo__R_c</v>
      </c>
      <c r="AI711" s="1">
        <f>VLOOKUP($E711,'Product Parameters'!$A$2:$D$59,2,FALSE)</f>
        <v>1</v>
      </c>
      <c r="AJ711" s="1">
        <f>VLOOKUP($E711,'Product Parameters'!$A$2:$D$59,3,FALSE)</f>
        <v>0</v>
      </c>
      <c r="AK711" s="1">
        <f>VLOOKUP($E711,'Product Parameters'!$A$2:$D$59,4,FALSE)</f>
        <v>0.12</v>
      </c>
      <c r="AL711" s="1">
        <f>VLOOKUP($E711,'Product Parameters'!$A$2:$E$59,5,FALSE)</f>
        <v>72.599999999999994</v>
      </c>
      <c r="AM711" s="1">
        <f>VLOOKUP($E711,'Product Parameters'!$A$2:$F$59,6,FALSE)</f>
        <v>4</v>
      </c>
      <c r="AN711" s="1">
        <f>VLOOKUP($C711,'Substrate Heating'!$A$2:$C$33,3,FALSE)</f>
        <v>247.9</v>
      </c>
      <c r="AO711" s="1">
        <f>VLOOKUP($C711,'Substrate Heating'!$A$2:$B$33,2,FALSE)</f>
        <v>10.541709491918519</v>
      </c>
      <c r="AP711" s="1">
        <f>VLOOKUP($C711,'Substrate Heating'!$A$2:$M$33,13,FALSE)</f>
        <v>0.5</v>
      </c>
      <c r="AQ711" s="1">
        <f>VLOOKUP($C711,'Substrate Heating'!$A$2:$M$33,8,FALSE)</f>
        <v>0.5</v>
      </c>
      <c r="AR711" s="1">
        <f t="shared" si="11"/>
        <v>1.4545454545454559</v>
      </c>
    </row>
    <row r="712" spans="1:44" x14ac:dyDescent="0.2">
      <c r="A712" s="17" t="s">
        <v>323</v>
      </c>
      <c r="B712" s="18" t="s">
        <v>324</v>
      </c>
      <c r="C712" t="s">
        <v>335</v>
      </c>
      <c r="D712" s="19" t="s">
        <v>326</v>
      </c>
      <c r="E712" t="s">
        <v>48</v>
      </c>
      <c r="F712" t="s">
        <v>39</v>
      </c>
      <c r="G712">
        <v>-10</v>
      </c>
      <c r="H712">
        <v>0</v>
      </c>
      <c r="I712">
        <v>-10</v>
      </c>
      <c r="J712">
        <v>0.45</v>
      </c>
      <c r="K712">
        <v>-10</v>
      </c>
      <c r="L712">
        <v>0</v>
      </c>
      <c r="M712">
        <v>-10</v>
      </c>
      <c r="N712">
        <v>2.7272727272727302</v>
      </c>
      <c r="O712">
        <v>1.8181818181818199</v>
      </c>
      <c r="P712"/>
      <c r="Q712">
        <v>0.18181818181818199</v>
      </c>
      <c r="R712">
        <v>0.34100823088868798</v>
      </c>
      <c r="S712" s="1" t="str">
        <f>VLOOKUP($E712,'Product Naming'!$A$1:$P$58,2,FALSE)</f>
        <v>1-3-butanediol-PW2</v>
      </c>
      <c r="T712" s="1" t="str">
        <f>VLOOKUP($E712,'Product Naming'!$A$1:$P$58,3,FALSE)</f>
        <v>1,3-Butanediol (PW2)</v>
      </c>
      <c r="U712" s="1" t="str">
        <f>VLOOKUP($E712,'Product Naming'!$A$1:$P$58,4,FALSE)</f>
        <v>E</v>
      </c>
      <c r="V712" s="1" t="str">
        <f>VLOOKUP($E712,'Product Naming'!$A$1:$P$58,5,FALSE)</f>
        <v>C4H10O2</v>
      </c>
      <c r="W712" s="1">
        <f>VLOOKUP($E712,'Product Naming'!$A$1:$P$58,6,FALSE)</f>
        <v>4</v>
      </c>
      <c r="X712" s="1">
        <f>VLOOKUP($E712,'Product Naming'!$A$1:$P$58,7,FALSE)</f>
        <v>10</v>
      </c>
      <c r="Y712" s="1">
        <f>VLOOKUP($E712,'Product Naming'!$A$1:$P$58,8,FALSE)</f>
        <v>2</v>
      </c>
      <c r="Z712" s="1">
        <f>VLOOKUP($E712,'Product Naming'!$A$1:$P$58,9,FALSE)</f>
        <v>0</v>
      </c>
      <c r="AA712" s="1">
        <f>VLOOKUP($E712,'Product Naming'!$A$1:$P$58,10,FALSE)</f>
        <v>0</v>
      </c>
      <c r="AB712" s="29">
        <f>VLOOKUP($E712,'Product Naming'!$A$1:$P$58,11,FALSE)</f>
        <v>5.5</v>
      </c>
      <c r="AC712" s="3">
        <f>VLOOKUP($E712,'Product Naming'!$A$1:$P$58,12,FALSE)</f>
        <v>90.119200000000006</v>
      </c>
      <c r="AD712" s="1">
        <f>VLOOKUP($E712,'Product Naming'!$A$1:$P$58,13,FALSE)</f>
        <v>207</v>
      </c>
      <c r="AE712" s="1" t="str">
        <f>VLOOKUP($E712,'Product Naming'!$A$1:$P$58,14,FALSE)</f>
        <v>Diol</v>
      </c>
      <c r="AF712" s="1" t="str">
        <f>VLOOKUP($E712,'Product Naming'!$A$1:$P$58,15,FALSE)</f>
        <v>Pyruvate (acetalehyde)</v>
      </c>
      <c r="AG712" s="30" t="str">
        <f>VLOOKUP($E712,'Product Naming'!$A$1:$P$58,16,FALSE)</f>
        <v>Proton symporter</v>
      </c>
      <c r="AH712" s="3" t="str">
        <f>VLOOKUP($E712,'Product Naming'!$A$1:$Q$58,17,FALSE)</f>
        <v>13bdo__R_c</v>
      </c>
      <c r="AI712" s="1">
        <f>VLOOKUP($E712,'Product Parameters'!$A$2:$D$59,2,FALSE)</f>
        <v>1</v>
      </c>
      <c r="AJ712" s="1">
        <f>VLOOKUP($E712,'Product Parameters'!$A$2:$D$59,3,FALSE)</f>
        <v>0</v>
      </c>
      <c r="AK712" s="1">
        <f>VLOOKUP($E712,'Product Parameters'!$A$2:$D$59,4,FALSE)</f>
        <v>0.12</v>
      </c>
      <c r="AL712" s="1">
        <f>VLOOKUP($E712,'Product Parameters'!$A$2:$E$59,5,FALSE)</f>
        <v>72.599999999999994</v>
      </c>
      <c r="AM712" s="1">
        <f>VLOOKUP($E712,'Product Parameters'!$A$2:$F$59,6,FALSE)</f>
        <v>4</v>
      </c>
      <c r="AN712" s="1">
        <f>VLOOKUP($C712,'Substrate Heating'!$A$2:$C$33,3,FALSE)</f>
        <v>247.9</v>
      </c>
      <c r="AO712" s="1">
        <f>VLOOKUP($C712,'Substrate Heating'!$A$2:$B$33,2,FALSE)</f>
        <v>10.541709491918519</v>
      </c>
      <c r="AP712" s="1">
        <f>VLOOKUP($C712,'Substrate Heating'!$A$2:$M$33,13,FALSE)</f>
        <v>0.5</v>
      </c>
      <c r="AQ712" s="1">
        <f>VLOOKUP($C712,'Substrate Heating'!$A$2:$M$33,8,FALSE)</f>
        <v>0.5</v>
      </c>
      <c r="AR712" s="1">
        <f t="shared" si="11"/>
        <v>1.4545454545454559</v>
      </c>
    </row>
    <row r="713" spans="1:44" x14ac:dyDescent="0.2">
      <c r="A713" s="17" t="s">
        <v>323</v>
      </c>
      <c r="B713" s="18" t="s">
        <v>324</v>
      </c>
      <c r="C713" t="s">
        <v>335</v>
      </c>
      <c r="D713" s="19" t="s">
        <v>326</v>
      </c>
      <c r="E713" t="s">
        <v>85</v>
      </c>
      <c r="F713" t="s">
        <v>86</v>
      </c>
      <c r="G713">
        <v>-10</v>
      </c>
      <c r="H713">
        <v>0</v>
      </c>
      <c r="I713">
        <v>-10</v>
      </c>
      <c r="J713">
        <v>0.45</v>
      </c>
      <c r="K713">
        <v>-10</v>
      </c>
      <c r="L713">
        <v>0</v>
      </c>
      <c r="M713">
        <v>-10</v>
      </c>
      <c r="N713">
        <v>2.7272727272727302</v>
      </c>
      <c r="O713">
        <v>1.8181818181818199</v>
      </c>
      <c r="P713"/>
      <c r="Q713">
        <v>0.18181818181818199</v>
      </c>
      <c r="R713">
        <v>0.34100823088868798</v>
      </c>
      <c r="S713" s="1" t="str">
        <f>VLOOKUP($E713,'Product Naming'!$A$1:$P$58,2,FALSE)</f>
        <v>2-3-butanediol</v>
      </c>
      <c r="T713" s="1" t="str">
        <f>VLOOKUP($E713,'Product Naming'!$A$1:$P$58,3,FALSE)</f>
        <v>2,3-Butanediol</v>
      </c>
      <c r="U713" s="1" t="str">
        <f>VLOOKUP($E713,'Product Naming'!$A$1:$P$58,4,FALSE)</f>
        <v>E</v>
      </c>
      <c r="V713" s="1" t="str">
        <f>VLOOKUP($E713,'Product Naming'!$A$1:$P$58,5,FALSE)</f>
        <v>C4H10O2</v>
      </c>
      <c r="W713" s="1">
        <f>VLOOKUP($E713,'Product Naming'!$A$1:$P$58,6,FALSE)</f>
        <v>4</v>
      </c>
      <c r="X713" s="1">
        <f>VLOOKUP($E713,'Product Naming'!$A$1:$P$58,7,FALSE)</f>
        <v>10</v>
      </c>
      <c r="Y713" s="1">
        <f>VLOOKUP($E713,'Product Naming'!$A$1:$P$58,8,FALSE)</f>
        <v>2</v>
      </c>
      <c r="Z713" s="1">
        <f>VLOOKUP($E713,'Product Naming'!$A$1:$P$58,9,FALSE)</f>
        <v>0</v>
      </c>
      <c r="AA713" s="1">
        <f>VLOOKUP($E713,'Product Naming'!$A$1:$P$58,10,FALSE)</f>
        <v>0</v>
      </c>
      <c r="AB713" s="29">
        <f>VLOOKUP($E713,'Product Naming'!$A$1:$P$58,11,FALSE)</f>
        <v>5.5</v>
      </c>
      <c r="AC713" s="3">
        <f>VLOOKUP($E713,'Product Naming'!$A$1:$P$58,12,FALSE)</f>
        <v>90.119200000000006</v>
      </c>
      <c r="AD713" s="1">
        <f>VLOOKUP($E713,'Product Naming'!$A$1:$P$58,13,FALSE)</f>
        <v>177</v>
      </c>
      <c r="AE713" s="1" t="str">
        <f>VLOOKUP($E713,'Product Naming'!$A$1:$P$58,14,FALSE)</f>
        <v>Diol</v>
      </c>
      <c r="AF713" s="1" t="str">
        <f>VLOOKUP($E713,'Product Naming'!$A$1:$P$58,15,FALSE)</f>
        <v>Pyruvate</v>
      </c>
      <c r="AG713" s="30" t="str">
        <f>VLOOKUP($E713,'Product Naming'!$A$1:$P$58,16,FALSE)</f>
        <v>Proton symporter</v>
      </c>
      <c r="AH713" s="3" t="str">
        <f>VLOOKUP($E713,'Product Naming'!$A$1:$Q$58,17,FALSE)</f>
        <v>btd_RR_c</v>
      </c>
      <c r="AI713" s="1">
        <f>VLOOKUP($E713,'Product Parameters'!$A$2:$D$59,2,FALSE)</f>
        <v>1</v>
      </c>
      <c r="AJ713" s="1">
        <f>VLOOKUP($E713,'Product Parameters'!$A$2:$D$59,3,FALSE)</f>
        <v>0</v>
      </c>
      <c r="AK713" s="1">
        <f>VLOOKUP($E713,'Product Parameters'!$A$2:$D$59,4,FALSE)</f>
        <v>0.12</v>
      </c>
      <c r="AL713" s="1">
        <f>VLOOKUP($E713,'Product Parameters'!$A$2:$E$59,5,FALSE)</f>
        <v>63</v>
      </c>
      <c r="AM713" s="1">
        <f>VLOOKUP($E713,'Product Parameters'!$A$2:$F$59,6,FALSE)</f>
        <v>4</v>
      </c>
      <c r="AN713" s="1">
        <f>VLOOKUP($C713,'Substrate Heating'!$A$2:$C$33,3,FALSE)</f>
        <v>247.9</v>
      </c>
      <c r="AO713" s="1">
        <f>VLOOKUP($C713,'Substrate Heating'!$A$2:$B$33,2,FALSE)</f>
        <v>10.541709491918519</v>
      </c>
      <c r="AP713" s="1">
        <f>VLOOKUP($C713,'Substrate Heating'!$A$2:$M$33,13,FALSE)</f>
        <v>0.5</v>
      </c>
      <c r="AQ713" s="1">
        <f>VLOOKUP($C713,'Substrate Heating'!$A$2:$M$33,8,FALSE)</f>
        <v>0.5</v>
      </c>
      <c r="AR713" s="1">
        <f t="shared" si="11"/>
        <v>1.4545454545454559</v>
      </c>
    </row>
    <row r="714" spans="1:44" x14ac:dyDescent="0.2">
      <c r="A714" s="8" t="s">
        <v>34</v>
      </c>
      <c r="B714" s="9" t="s">
        <v>35</v>
      </c>
      <c r="C714" s="1" t="s">
        <v>330</v>
      </c>
      <c r="D714" s="10" t="s">
        <v>37</v>
      </c>
      <c r="E714" s="1" t="s">
        <v>169</v>
      </c>
      <c r="F714" s="1" t="s">
        <v>165</v>
      </c>
      <c r="G714" s="1">
        <v>-10</v>
      </c>
      <c r="H714" s="1">
        <v>-20</v>
      </c>
      <c r="I714" s="1" t="s">
        <v>40</v>
      </c>
      <c r="J714" s="1">
        <v>3.15</v>
      </c>
      <c r="K714" s="1">
        <v>-10</v>
      </c>
      <c r="L714" s="1">
        <v>-7.7892617449664403</v>
      </c>
      <c r="M714" s="1" t="s">
        <v>40</v>
      </c>
      <c r="N714" s="1">
        <v>8.5261744966443</v>
      </c>
      <c r="O714" s="1">
        <v>2.8684563758389299</v>
      </c>
      <c r="Q714" s="1">
        <v>0.28684563758389298</v>
      </c>
      <c r="R714" s="1">
        <v>0.34255339486172298</v>
      </c>
      <c r="S714" s="1" t="str">
        <f>VLOOKUP($E714,'Product Naming'!$A$1:$P$58,2,FALSE)</f>
        <v>Butanol-PW2</v>
      </c>
      <c r="T714" s="1" t="str">
        <f>VLOOKUP($E714,'Product Naming'!$A$1:$P$58,3,FALSE)</f>
        <v>Butanol (PW2)</v>
      </c>
      <c r="U714" s="1" t="str">
        <f>VLOOKUP($E714,'Product Naming'!$A$1:$P$58,4,FALSE)</f>
        <v>E</v>
      </c>
      <c r="V714" s="1" t="str">
        <f>VLOOKUP($E714,'Product Naming'!$A$1:$P$58,5,FALSE)</f>
        <v>C4H10O</v>
      </c>
      <c r="W714" s="1">
        <f>VLOOKUP($E714,'Product Naming'!$A$1:$P$58,6,FALSE)</f>
        <v>4</v>
      </c>
      <c r="X714" s="1">
        <f>VLOOKUP($E714,'Product Naming'!$A$1:$P$58,7,FALSE)</f>
        <v>10</v>
      </c>
      <c r="Y714" s="1">
        <f>VLOOKUP($E714,'Product Naming'!$A$1:$P$58,8,FALSE)</f>
        <v>1</v>
      </c>
      <c r="Z714" s="1">
        <f>VLOOKUP($E714,'Product Naming'!$A$1:$P$58,9,FALSE)</f>
        <v>0</v>
      </c>
      <c r="AA714" s="1">
        <f>VLOOKUP($E714,'Product Naming'!$A$1:$P$58,10,FALSE)</f>
        <v>0</v>
      </c>
      <c r="AB714" s="29">
        <f>VLOOKUP($E714,'Product Naming'!$A$1:$P$58,11,FALSE)</f>
        <v>6</v>
      </c>
      <c r="AC714" s="3">
        <f>VLOOKUP($E714,'Product Naming'!$A$1:$P$58,12,FALSE)</f>
        <v>74.120199999999997</v>
      </c>
      <c r="AD714" s="1">
        <f>VLOOKUP($E714,'Product Naming'!$A$1:$P$58,13,FALSE)</f>
        <v>117.7</v>
      </c>
      <c r="AE714" s="1" t="str">
        <f>VLOOKUP($E714,'Product Naming'!$A$1:$P$58,14,FALSE)</f>
        <v>Alcohol</v>
      </c>
      <c r="AF714" s="1" t="str">
        <f>VLOOKUP($E714,'Product Naming'!$A$1:$P$58,15,FALSE)</f>
        <v>Oxaloacetate</v>
      </c>
      <c r="AG714" s="30" t="str">
        <f>VLOOKUP($E714,'Product Naming'!$A$1:$P$58,16,FALSE)</f>
        <v>Proton symporter</v>
      </c>
      <c r="AH714" s="3" t="str">
        <f>VLOOKUP($E714,'Product Naming'!$A$1:$Q$58,17,FALSE)</f>
        <v>btoh_c</v>
      </c>
      <c r="AI714" s="1">
        <f>VLOOKUP($E714,'Product Parameters'!$A$2:$D$59,2,FALSE)</f>
        <v>1</v>
      </c>
      <c r="AJ714" s="1">
        <f>VLOOKUP($E714,'Product Parameters'!$A$2:$D$59,3,FALSE)</f>
        <v>0</v>
      </c>
      <c r="AK714" s="1">
        <f>VLOOKUP($E714,'Product Parameters'!$A$2:$D$59,4,FALSE)</f>
        <v>0.12</v>
      </c>
      <c r="AL714" s="1">
        <f>VLOOKUP($E714,'Product Parameters'!$A$2:$E$59,5,FALSE)</f>
        <v>52</v>
      </c>
      <c r="AM714" s="1">
        <f>VLOOKUP($E714,'Product Parameters'!$A$2:$F$59,6,FALSE)</f>
        <v>4</v>
      </c>
      <c r="AN714" s="1">
        <f>VLOOKUP($C714,'Substrate Heating'!$A$2:$C$33,3,FALSE)</f>
        <v>1055.1294800000001</v>
      </c>
      <c r="AO714" s="1">
        <f>VLOOKUP($C714,'Substrate Heating'!$A$2:$B$33,2,FALSE)</f>
        <v>17</v>
      </c>
      <c r="AP714" s="1">
        <f>VLOOKUP($C714,'Substrate Heating'!$A$2:$M$33,13,FALSE)</f>
        <v>5</v>
      </c>
      <c r="AQ714" s="1">
        <f>VLOOKUP($C714,'Substrate Heating'!$A$2:$M$33,8,FALSE)</f>
        <v>2</v>
      </c>
      <c r="AR714" s="1">
        <f t="shared" si="11"/>
        <v>0.57369127516778595</v>
      </c>
    </row>
    <row r="715" spans="1:44" x14ac:dyDescent="0.2">
      <c r="A715" s="17" t="s">
        <v>231</v>
      </c>
      <c r="B715" s="9" t="s">
        <v>35</v>
      </c>
      <c r="C715" t="s">
        <v>343</v>
      </c>
      <c r="D715" s="24" t="s">
        <v>342</v>
      </c>
      <c r="E715" t="s">
        <v>279</v>
      </c>
      <c r="F715" t="s">
        <v>280</v>
      </c>
      <c r="G715">
        <v>-10</v>
      </c>
      <c r="H715">
        <v>-20</v>
      </c>
      <c r="I715" s="1" t="s">
        <v>40</v>
      </c>
      <c r="J715">
        <v>3.15</v>
      </c>
      <c r="K715">
        <v>-10</v>
      </c>
      <c r="L715">
        <v>-0.52958801498128005</v>
      </c>
      <c r="M715" s="1" t="s">
        <v>40</v>
      </c>
      <c r="N715">
        <v>7.8404494382022198</v>
      </c>
      <c r="O715">
        <v>2.4621722846441898</v>
      </c>
      <c r="P715"/>
      <c r="Q715">
        <v>0.24621722846441901</v>
      </c>
      <c r="R715">
        <v>0.34289079141217099</v>
      </c>
      <c r="S715" s="1" t="str">
        <f>VLOOKUP($E715,'Product Naming'!$A$1:$P$58,2,FALSE)</f>
        <v>Nonane</v>
      </c>
      <c r="T715" s="1" t="str">
        <f>VLOOKUP($E715,'Product Naming'!$A$1:$P$58,3,FALSE)</f>
        <v>Nonane</v>
      </c>
      <c r="U715" s="1" t="str">
        <f>VLOOKUP($E715,'Product Naming'!$A$1:$P$58,4,FALSE)</f>
        <v>E</v>
      </c>
      <c r="V715" s="1" t="str">
        <f>VLOOKUP($E715,'Product Naming'!$A$1:$P$58,5,FALSE)</f>
        <v>C9H20</v>
      </c>
      <c r="W715" s="1">
        <f>VLOOKUP($E715,'Product Naming'!$A$1:$P$58,6,FALSE)</f>
        <v>9</v>
      </c>
      <c r="X715" s="1">
        <f>VLOOKUP($E715,'Product Naming'!$A$1:$P$58,7,FALSE)</f>
        <v>20</v>
      </c>
      <c r="Y715" s="1">
        <f>VLOOKUP($E715,'Product Naming'!$A$1:$P$58,8,FALSE)</f>
        <v>0</v>
      </c>
      <c r="Z715" s="1">
        <f>VLOOKUP($E715,'Product Naming'!$A$1:$P$58,9,FALSE)</f>
        <v>0</v>
      </c>
      <c r="AA715" s="1">
        <f>VLOOKUP($E715,'Product Naming'!$A$1:$P$58,10,FALSE)</f>
        <v>0</v>
      </c>
      <c r="AB715" s="29">
        <f>VLOOKUP($E715,'Product Naming'!$A$1:$P$58,11,FALSE)</f>
        <v>6.2222222222222223</v>
      </c>
      <c r="AC715" s="3">
        <f>VLOOKUP($E715,'Product Naming'!$A$1:$P$58,12,FALSE)</f>
        <v>128.25309999999999</v>
      </c>
      <c r="AD715" s="1">
        <f>VLOOKUP($E715,'Product Naming'!$A$1:$P$58,13,FALSE)</f>
        <v>151</v>
      </c>
      <c r="AE715" s="1" t="str">
        <f>VLOOKUP($E715,'Product Naming'!$A$1:$P$58,14,FALSE)</f>
        <v>Hydrocarbon (alkane)</v>
      </c>
      <c r="AF715" s="1" t="str">
        <f>VLOOKUP($E715,'Product Naming'!$A$1:$P$58,15,FALSE)</f>
        <v>Acetyl-CoA</v>
      </c>
      <c r="AG715" s="30" t="str">
        <f>VLOOKUP($E715,'Product Naming'!$A$1:$P$58,16,FALSE)</f>
        <v>Proton symporter</v>
      </c>
      <c r="AH715" s="3" t="str">
        <f>VLOOKUP($E715,'Product Naming'!$A$1:$Q$58,17,FALSE)</f>
        <v>nonan_c</v>
      </c>
      <c r="AI715" s="1">
        <f>VLOOKUP($E715,'Product Parameters'!$A$2:$D$59,2,FALSE)</f>
        <v>1</v>
      </c>
      <c r="AJ715" s="1">
        <f>VLOOKUP($E715,'Product Parameters'!$A$2:$D$59,3,FALSE)</f>
        <v>0</v>
      </c>
      <c r="AK715" s="1">
        <f>VLOOKUP($E715,'Product Parameters'!$A$2:$D$59,4,FALSE)</f>
        <v>0.12</v>
      </c>
      <c r="AL715" s="1">
        <f>VLOOKUP($E715,'Product Parameters'!$A$2:$E$59,5,FALSE)</f>
        <v>46.5</v>
      </c>
      <c r="AM715" s="1">
        <f>VLOOKUP($E715,'Product Parameters'!$A$2:$F$59,6,FALSE)</f>
        <v>9</v>
      </c>
      <c r="AN715" s="1">
        <f>VLOOKUP($C715,'Substrate Heating'!$A$2:$C$33,3,FALSE)</f>
        <v>1648.4793779999998</v>
      </c>
      <c r="AO715" s="1">
        <f>VLOOKUP($C715,'Substrate Heating'!$A$2:$B$33,2,FALSE)</f>
        <v>17.899999999999999</v>
      </c>
      <c r="AP715" s="1">
        <f>VLOOKUP($C715,'Substrate Heating'!$A$2:$M$33,13,FALSE)</f>
        <v>4.666666666666667</v>
      </c>
      <c r="AQ715" s="1">
        <f>VLOOKUP($C715,'Substrate Heating'!$A$2:$M$33,8,FALSE)</f>
        <v>3</v>
      </c>
      <c r="AR715" s="1">
        <f t="shared" si="11"/>
        <v>0.7386516853932571</v>
      </c>
    </row>
    <row r="716" spans="1:44" x14ac:dyDescent="0.2">
      <c r="A716" s="8" t="s">
        <v>34</v>
      </c>
      <c r="B716" s="9" t="s">
        <v>35</v>
      </c>
      <c r="C716" s="1" t="s">
        <v>331</v>
      </c>
      <c r="D716" s="10" t="s">
        <v>37</v>
      </c>
      <c r="E716" s="1" t="s">
        <v>145</v>
      </c>
      <c r="F716" s="1" t="s">
        <v>146</v>
      </c>
      <c r="G716" s="1">
        <v>-10</v>
      </c>
      <c r="H716" s="1">
        <v>-20</v>
      </c>
      <c r="I716" s="1" t="s">
        <v>40</v>
      </c>
      <c r="J716" s="1">
        <v>3.15</v>
      </c>
      <c r="K716" s="1">
        <v>-10</v>
      </c>
      <c r="L716" s="1">
        <v>-8.2701785714285698</v>
      </c>
      <c r="M716" s="1" t="s">
        <v>40</v>
      </c>
      <c r="N716" s="1">
        <v>6.2225000000000001</v>
      </c>
      <c r="O716" s="1">
        <v>1.9682142857142899</v>
      </c>
      <c r="Q716" s="1">
        <v>0.19682142857142901</v>
      </c>
      <c r="R716" s="1">
        <v>0.34291668325028901</v>
      </c>
      <c r="S716" s="1" t="str">
        <f>VLOOKUP($E716,'Product Naming'!$A$1:$P$58,2,FALSE)</f>
        <v>Benzyl alcohol</v>
      </c>
      <c r="T716" s="1" t="str">
        <f>VLOOKUP($E716,'Product Naming'!$A$1:$P$58,3,FALSE)</f>
        <v>Benzyl alcohol</v>
      </c>
      <c r="U716" s="1" t="str">
        <f>VLOOKUP($E716,'Product Naming'!$A$1:$P$58,4,FALSE)</f>
        <v>E</v>
      </c>
      <c r="V716" s="1" t="str">
        <f>VLOOKUP($E716,'Product Naming'!$A$1:$P$58,5,FALSE)</f>
        <v>C7H8O</v>
      </c>
      <c r="W716" s="1">
        <f>VLOOKUP($E716,'Product Naming'!$A$1:$P$58,6,FALSE)</f>
        <v>7</v>
      </c>
      <c r="X716" s="1">
        <f>VLOOKUP($E716,'Product Naming'!$A$1:$P$58,7,FALSE)</f>
        <v>8</v>
      </c>
      <c r="Y716" s="1">
        <f>VLOOKUP($E716,'Product Naming'!$A$1:$P$58,8,FALSE)</f>
        <v>1</v>
      </c>
      <c r="Z716" s="1">
        <f>VLOOKUP($E716,'Product Naming'!$A$1:$P$58,9,FALSE)</f>
        <v>0</v>
      </c>
      <c r="AA716" s="1">
        <f>VLOOKUP($E716,'Product Naming'!$A$1:$P$58,10,FALSE)</f>
        <v>0</v>
      </c>
      <c r="AB716" s="29">
        <f>VLOOKUP($E716,'Product Naming'!$A$1:$P$58,11,FALSE)</f>
        <v>4.8571428571428568</v>
      </c>
      <c r="AC716" s="3">
        <f>VLOOKUP($E716,'Product Naming'!$A$1:$P$58,12,FALSE)</f>
        <v>108.13661999999999</v>
      </c>
      <c r="AD716" s="1">
        <f>VLOOKUP($E716,'Product Naming'!$A$1:$P$58,13,FALSE)</f>
        <v>205</v>
      </c>
      <c r="AE716" s="1" t="str">
        <f>VLOOKUP($E716,'Product Naming'!$A$1:$P$58,14,FALSE)</f>
        <v>Aromatic + Alcohol</v>
      </c>
      <c r="AF716" s="1" t="str">
        <f>VLOOKUP($E716,'Product Naming'!$A$1:$P$58,15,FALSE)</f>
        <v>E4P</v>
      </c>
      <c r="AG716" s="30" t="str">
        <f>VLOOKUP($E716,'Product Naming'!$A$1:$P$58,16,FALSE)</f>
        <v>Proton symporter</v>
      </c>
      <c r="AH716" s="3" t="str">
        <f>VLOOKUP($E716,'Product Naming'!$A$1:$Q$58,17,FALSE)</f>
        <v>bzalc_c</v>
      </c>
      <c r="AI716" s="1">
        <f>VLOOKUP($E716,'Product Parameters'!$A$2:$D$59,2,FALSE)</f>
        <v>1</v>
      </c>
      <c r="AJ716" s="1">
        <f>VLOOKUP($E716,'Product Parameters'!$A$2:$D$59,3,FALSE)</f>
        <v>0</v>
      </c>
      <c r="AK716" s="1">
        <f>VLOOKUP($E716,'Product Parameters'!$A$2:$D$59,4,FALSE)</f>
        <v>0.12</v>
      </c>
      <c r="AL716" s="1">
        <f>VLOOKUP($E716,'Product Parameters'!$A$2:$E$59,5,FALSE)</f>
        <v>63</v>
      </c>
      <c r="AM716" s="1">
        <f>VLOOKUP($E716,'Product Parameters'!$A$2:$F$59,6,FALSE)</f>
        <v>7</v>
      </c>
      <c r="AN716" s="1">
        <f>VLOOKUP($C716,'Substrate Heating'!$A$2:$C$33,3,FALSE)</f>
        <v>1055.1294800000001</v>
      </c>
      <c r="AO716" s="1">
        <f>VLOOKUP($C716,'Substrate Heating'!$A$2:$B$33,2,FALSE)</f>
        <v>17</v>
      </c>
      <c r="AP716" s="1">
        <f>VLOOKUP($C716,'Substrate Heating'!$A$2:$M$33,13,FALSE)</f>
        <v>5</v>
      </c>
      <c r="AQ716" s="1">
        <f>VLOOKUP($C716,'Substrate Heating'!$A$2:$M$33,8,FALSE)</f>
        <v>2</v>
      </c>
      <c r="AR716" s="1">
        <f t="shared" si="11"/>
        <v>0.68887500000000157</v>
      </c>
    </row>
    <row r="717" spans="1:44" x14ac:dyDescent="0.2">
      <c r="A717" s="17" t="s">
        <v>323</v>
      </c>
      <c r="B717" s="18" t="s">
        <v>324</v>
      </c>
      <c r="C717" t="s">
        <v>325</v>
      </c>
      <c r="D717" s="19" t="s">
        <v>326</v>
      </c>
      <c r="E717" t="s">
        <v>254</v>
      </c>
      <c r="F717" t="s">
        <v>255</v>
      </c>
      <c r="G717">
        <v>-10</v>
      </c>
      <c r="H717">
        <v>0</v>
      </c>
      <c r="I717">
        <v>0</v>
      </c>
      <c r="J717">
        <v>0.45</v>
      </c>
      <c r="K717">
        <v>-10</v>
      </c>
      <c r="L717">
        <v>0</v>
      </c>
      <c r="M717">
        <v>0</v>
      </c>
      <c r="N717">
        <v>4.6245614035087703</v>
      </c>
      <c r="O717">
        <v>0.75087719298245603</v>
      </c>
      <c r="P717"/>
      <c r="Q717">
        <v>7.5087719298245606E-2</v>
      </c>
      <c r="R717">
        <v>0.34335236212630799</v>
      </c>
      <c r="S717" s="1" t="str">
        <f>VLOOKUP($E717,'Product Naming'!$A$1:$P$58,2,FALSE)</f>
        <v>Itaconate</v>
      </c>
      <c r="T717" s="1" t="str">
        <f>VLOOKUP($E717,'Product Naming'!$A$1:$P$58,3,FALSE)</f>
        <v>Itaconate</v>
      </c>
      <c r="U717" s="1" t="str">
        <f>VLOOKUP($E717,'Product Naming'!$A$1:$P$58,4,FALSE)</f>
        <v>E</v>
      </c>
      <c r="V717" s="1" t="str">
        <f>VLOOKUP($E717,'Product Naming'!$A$1:$P$58,5,FALSE)</f>
        <v>C5H4O4</v>
      </c>
      <c r="W717" s="1">
        <f>VLOOKUP($E717,'Product Naming'!$A$1:$P$58,6,FALSE)</f>
        <v>5</v>
      </c>
      <c r="X717" s="1">
        <f>VLOOKUP($E717,'Product Naming'!$A$1:$P$58,7,FALSE)</f>
        <v>4</v>
      </c>
      <c r="Y717" s="1">
        <f>VLOOKUP($E717,'Product Naming'!$A$1:$P$58,8,FALSE)</f>
        <v>4</v>
      </c>
      <c r="Z717" s="1">
        <f>VLOOKUP($E717,'Product Naming'!$A$1:$P$58,9,FALSE)</f>
        <v>0</v>
      </c>
      <c r="AA717" s="1">
        <f>VLOOKUP($E717,'Product Naming'!$A$1:$P$58,10,FALSE)</f>
        <v>-2</v>
      </c>
      <c r="AB717" s="29">
        <f>VLOOKUP($E717,'Product Naming'!$A$1:$P$58,11,FALSE)</f>
        <v>3.2</v>
      </c>
      <c r="AC717" s="3">
        <f>VLOOKUP($E717,'Product Naming'!$A$1:$P$58,12,FALSE)</f>
        <v>128.08086</v>
      </c>
      <c r="AD717" s="1">
        <f>VLOOKUP($E717,'Product Naming'!$A$1:$P$58,13,FALSE)</f>
        <v>381</v>
      </c>
      <c r="AE717" s="1" t="str">
        <f>VLOOKUP($E717,'Product Naming'!$A$1:$P$58,14,FALSE)</f>
        <v>Dicarboxylate</v>
      </c>
      <c r="AF717" s="1" t="str">
        <f>VLOOKUP($E717,'Product Naming'!$A$1:$P$58,15,FALSE)</f>
        <v>Acetyl-CoA + Oxaloacetate</v>
      </c>
      <c r="AG717" s="30" t="str">
        <f>VLOOKUP($E717,'Product Naming'!$A$1:$P$58,16,FALSE)</f>
        <v>Proton symporter</v>
      </c>
      <c r="AH717" s="3" t="str">
        <f>VLOOKUP($E717,'Product Naming'!$A$1:$Q$58,17,FALSE)</f>
        <v>itacon_c</v>
      </c>
      <c r="AI717" s="1">
        <f>VLOOKUP($E717,'Product Parameters'!$A$2:$D$59,2,FALSE)</f>
        <v>1</v>
      </c>
      <c r="AJ717" s="1">
        <f>VLOOKUP($E717,'Product Parameters'!$A$2:$D$59,3,FALSE)</f>
        <v>0</v>
      </c>
      <c r="AK717" s="1">
        <f>VLOOKUP($E717,'Product Parameters'!$A$2:$D$59,4,FALSE)</f>
        <v>0.12</v>
      </c>
      <c r="AL717" s="1">
        <f>VLOOKUP($E717,'Product Parameters'!$A$2:$E$59,5,FALSE)</f>
        <v>40.65</v>
      </c>
      <c r="AM717" s="1">
        <f>VLOOKUP($E717,'Product Parameters'!$A$2:$F$59,6,FALSE)</f>
        <v>5</v>
      </c>
      <c r="AN717" s="1">
        <f>VLOOKUP($C717,'Substrate Heating'!$A$2:$C$33,3,FALSE)</f>
        <v>280.09700000000004</v>
      </c>
      <c r="AO717" s="1">
        <f>VLOOKUP($C717,'Substrate Heating'!$A$2:$B$33,2,FALSE)</f>
        <v>10</v>
      </c>
      <c r="AP717" s="1">
        <f>VLOOKUP($C717,'Substrate Heating'!$A$2:$M$33,13,FALSE)</f>
        <v>2</v>
      </c>
      <c r="AQ717" s="1">
        <f>VLOOKUP($C717,'Substrate Heating'!$A$2:$M$33,8,FALSE)</f>
        <v>1</v>
      </c>
      <c r="AR717" s="1">
        <f t="shared" si="11"/>
        <v>0.37543859649122802</v>
      </c>
    </row>
    <row r="718" spans="1:44" x14ac:dyDescent="0.2">
      <c r="A718" s="17" t="s">
        <v>231</v>
      </c>
      <c r="B718" s="9" t="s">
        <v>35</v>
      </c>
      <c r="C718" t="s">
        <v>343</v>
      </c>
      <c r="D718" s="24" t="s">
        <v>342</v>
      </c>
      <c r="E718" t="s">
        <v>283</v>
      </c>
      <c r="F718" t="s">
        <v>284</v>
      </c>
      <c r="G718">
        <v>-10</v>
      </c>
      <c r="H718">
        <v>-20</v>
      </c>
      <c r="I718" s="1" t="s">
        <v>40</v>
      </c>
      <c r="J718">
        <v>3.15</v>
      </c>
      <c r="K718">
        <v>-10</v>
      </c>
      <c r="L718">
        <v>-0.32700421940934399</v>
      </c>
      <c r="M718" s="1" t="s">
        <v>40</v>
      </c>
      <c r="N718">
        <v>7.8092827004218801</v>
      </c>
      <c r="O718">
        <v>2.7738396624472399</v>
      </c>
      <c r="P718"/>
      <c r="Q718">
        <v>0.277383966244724</v>
      </c>
      <c r="R718">
        <v>0.34404763147761203</v>
      </c>
      <c r="S718" s="1" t="str">
        <f>VLOOKUP($E718,'Product Naming'!$A$1:$P$58,2,FALSE)</f>
        <v>Octane</v>
      </c>
      <c r="T718" s="1" t="str">
        <f>VLOOKUP($E718,'Product Naming'!$A$1:$P$58,3,FALSE)</f>
        <v>Octane</v>
      </c>
      <c r="U718" s="1" t="str">
        <f>VLOOKUP($E718,'Product Naming'!$A$1:$P$58,4,FALSE)</f>
        <v>E</v>
      </c>
      <c r="V718" s="1" t="str">
        <f>VLOOKUP($E718,'Product Naming'!$A$1:$P$58,5,FALSE)</f>
        <v>C8H18</v>
      </c>
      <c r="W718" s="1">
        <f>VLOOKUP($E718,'Product Naming'!$A$1:$P$58,6,FALSE)</f>
        <v>8</v>
      </c>
      <c r="X718" s="1">
        <f>VLOOKUP($E718,'Product Naming'!$A$1:$P$58,7,FALSE)</f>
        <v>18</v>
      </c>
      <c r="Y718" s="1">
        <f>VLOOKUP($E718,'Product Naming'!$A$1:$P$58,8,FALSE)</f>
        <v>0</v>
      </c>
      <c r="Z718" s="1">
        <f>VLOOKUP($E718,'Product Naming'!$A$1:$P$58,9,FALSE)</f>
        <v>0</v>
      </c>
      <c r="AA718" s="1">
        <f>VLOOKUP($E718,'Product Naming'!$A$1:$P$58,10,FALSE)</f>
        <v>0</v>
      </c>
      <c r="AB718" s="29">
        <f>VLOOKUP($E718,'Product Naming'!$A$1:$P$58,11,FALSE)</f>
        <v>6.25</v>
      </c>
      <c r="AC718" s="3">
        <f>VLOOKUP($E718,'Product Naming'!$A$1:$P$58,12,FALSE)</f>
        <v>114.22672</v>
      </c>
      <c r="AD718" s="1">
        <f>VLOOKUP($E718,'Product Naming'!$A$1:$P$58,13,FALSE)</f>
        <v>126</v>
      </c>
      <c r="AE718" s="1" t="str">
        <f>VLOOKUP($E718,'Product Naming'!$A$1:$P$58,14,FALSE)</f>
        <v>Hydrocarbon (alkane)</v>
      </c>
      <c r="AF718" s="1" t="str">
        <f>VLOOKUP($E718,'Product Naming'!$A$1:$P$58,15,FALSE)</f>
        <v>Acetyl-CoA + Succinyl-CoA</v>
      </c>
      <c r="AG718" s="30" t="str">
        <f>VLOOKUP($E718,'Product Naming'!$A$1:$P$58,16,FALSE)</f>
        <v>Proton symporter</v>
      </c>
      <c r="AH718" s="3" t="str">
        <f>VLOOKUP($E718,'Product Naming'!$A$1:$Q$58,17,FALSE)</f>
        <v>octn_c</v>
      </c>
      <c r="AI718" s="1">
        <f>VLOOKUP($E718,'Product Parameters'!$A$2:$D$59,2,FALSE)</f>
        <v>1</v>
      </c>
      <c r="AJ718" s="1">
        <f>VLOOKUP($E718,'Product Parameters'!$A$2:$D$59,3,FALSE)</f>
        <v>0</v>
      </c>
      <c r="AK718" s="1">
        <f>VLOOKUP($E718,'Product Parameters'!$A$2:$D$59,4,FALSE)</f>
        <v>0.12</v>
      </c>
      <c r="AL718" s="1">
        <f>VLOOKUP($E718,'Product Parameters'!$A$2:$E$59,5,FALSE)</f>
        <v>41</v>
      </c>
      <c r="AM718" s="1">
        <f>VLOOKUP($E718,'Product Parameters'!$A$2:$F$59,6,FALSE)</f>
        <v>8</v>
      </c>
      <c r="AN718" s="1">
        <f>VLOOKUP($C718,'Substrate Heating'!$A$2:$C$33,3,FALSE)</f>
        <v>1648.4793779999998</v>
      </c>
      <c r="AO718" s="1">
        <f>VLOOKUP($C718,'Substrate Heating'!$A$2:$B$33,2,FALSE)</f>
        <v>17.899999999999999</v>
      </c>
      <c r="AP718" s="1">
        <f>VLOOKUP($C718,'Substrate Heating'!$A$2:$M$33,13,FALSE)</f>
        <v>4.666666666666667</v>
      </c>
      <c r="AQ718" s="1">
        <f>VLOOKUP($C718,'Substrate Heating'!$A$2:$M$33,8,FALSE)</f>
        <v>3</v>
      </c>
      <c r="AR718" s="1">
        <f t="shared" si="11"/>
        <v>0.7396905766525973</v>
      </c>
    </row>
    <row r="719" spans="1:44" x14ac:dyDescent="0.2">
      <c r="A719" s="17" t="s">
        <v>231</v>
      </c>
      <c r="B719" s="9" t="s">
        <v>35</v>
      </c>
      <c r="C719" t="s">
        <v>331</v>
      </c>
      <c r="D719" s="10" t="s">
        <v>37</v>
      </c>
      <c r="E719" t="s">
        <v>232</v>
      </c>
      <c r="F719" t="s">
        <v>233</v>
      </c>
      <c r="G719">
        <v>-10</v>
      </c>
      <c r="H719">
        <v>-20</v>
      </c>
      <c r="I719" s="1" t="s">
        <v>40</v>
      </c>
      <c r="J719">
        <v>3.15</v>
      </c>
      <c r="K719">
        <v>-10</v>
      </c>
      <c r="L719">
        <v>-1.49901477832513</v>
      </c>
      <c r="M719" s="1" t="s">
        <v>40</v>
      </c>
      <c r="N719">
        <v>5.0448275862068996</v>
      </c>
      <c r="O719">
        <v>2.1364532019704501</v>
      </c>
      <c r="P719"/>
      <c r="Q719">
        <v>0.21364532019704399</v>
      </c>
      <c r="R719">
        <v>0.34491018849414101</v>
      </c>
      <c r="S719" s="1" t="str">
        <f>VLOOKUP($E719,'Product Naming'!$A$1:$P$58,2,FALSE)</f>
        <v>Heptane</v>
      </c>
      <c r="T719" s="1" t="str">
        <f>VLOOKUP($E719,'Product Naming'!$A$1:$P$58,3,FALSE)</f>
        <v>Heptane</v>
      </c>
      <c r="U719" s="1" t="str">
        <f>VLOOKUP($E719,'Product Naming'!$A$1:$P$58,4,FALSE)</f>
        <v>E</v>
      </c>
      <c r="V719" s="1" t="str">
        <f>VLOOKUP($E719,'Product Naming'!$A$1:$P$58,5,FALSE)</f>
        <v>C7H16</v>
      </c>
      <c r="W719" s="1">
        <f>VLOOKUP($E719,'Product Naming'!$A$1:$P$58,6,FALSE)</f>
        <v>7</v>
      </c>
      <c r="X719" s="1">
        <f>VLOOKUP($E719,'Product Naming'!$A$1:$P$58,7,FALSE)</f>
        <v>16</v>
      </c>
      <c r="Y719" s="1">
        <f>VLOOKUP($E719,'Product Naming'!$A$1:$P$58,8,FALSE)</f>
        <v>0</v>
      </c>
      <c r="Z719" s="1">
        <f>VLOOKUP($E719,'Product Naming'!$A$1:$P$58,9,FALSE)</f>
        <v>0</v>
      </c>
      <c r="AA719" s="1">
        <f>VLOOKUP($E719,'Product Naming'!$A$1:$P$58,10,FALSE)</f>
        <v>0</v>
      </c>
      <c r="AB719" s="29">
        <f>VLOOKUP($E719,'Product Naming'!$A$1:$P$58,11,FALSE)</f>
        <v>6.2857142857142856</v>
      </c>
      <c r="AC719" s="3">
        <f>VLOOKUP($E719,'Product Naming'!$A$1:$P$58,12,FALSE)</f>
        <v>100.20034</v>
      </c>
      <c r="AD719" s="1">
        <f>VLOOKUP($E719,'Product Naming'!$A$1:$P$58,13,FALSE)</f>
        <v>98</v>
      </c>
      <c r="AE719" s="1" t="str">
        <f>VLOOKUP($E719,'Product Naming'!$A$1:$P$58,14,FALSE)</f>
        <v>Hydrocarbon (alkane)</v>
      </c>
      <c r="AF719" s="1" t="str">
        <f>VLOOKUP($E719,'Product Naming'!$A$1:$P$58,15,FALSE)</f>
        <v>Acetyl-CoA</v>
      </c>
      <c r="AG719" s="30" t="str">
        <f>VLOOKUP($E719,'Product Naming'!$A$1:$P$58,16,FALSE)</f>
        <v>Proton symporter</v>
      </c>
      <c r="AH719" s="3" t="str">
        <f>VLOOKUP($E719,'Product Naming'!$A$1:$Q$58,17,FALSE)</f>
        <v>hept_c</v>
      </c>
      <c r="AI719" s="1">
        <f>VLOOKUP($E719,'Product Parameters'!$A$2:$D$59,2,FALSE)</f>
        <v>1</v>
      </c>
      <c r="AJ719" s="1">
        <f>VLOOKUP($E719,'Product Parameters'!$A$2:$D$59,3,FALSE)</f>
        <v>0</v>
      </c>
      <c r="AK719" s="1">
        <f>VLOOKUP($E719,'Product Parameters'!$A$2:$D$59,4,FALSE)</f>
        <v>0.12</v>
      </c>
      <c r="AL719" s="1">
        <f>VLOOKUP($E719,'Product Parameters'!$A$2:$E$59,5,FALSE)</f>
        <v>36</v>
      </c>
      <c r="AM719" s="1">
        <f>VLOOKUP($E719,'Product Parameters'!$A$2:$F$59,6,FALSE)</f>
        <v>7</v>
      </c>
      <c r="AN719" s="1">
        <f>VLOOKUP($C719,'Substrate Heating'!$A$2:$C$33,3,FALSE)</f>
        <v>1055.1294800000001</v>
      </c>
      <c r="AO719" s="1">
        <f>VLOOKUP($C719,'Substrate Heating'!$A$2:$B$33,2,FALSE)</f>
        <v>17</v>
      </c>
      <c r="AP719" s="1">
        <f>VLOOKUP($C719,'Substrate Heating'!$A$2:$M$33,13,FALSE)</f>
        <v>5</v>
      </c>
      <c r="AQ719" s="1">
        <f>VLOOKUP($C719,'Substrate Heating'!$A$2:$M$33,8,FALSE)</f>
        <v>2</v>
      </c>
      <c r="AR719" s="1">
        <f t="shared" si="11"/>
        <v>0.74775862068965393</v>
      </c>
    </row>
    <row r="720" spans="1:44" x14ac:dyDescent="0.2">
      <c r="A720" s="8" t="s">
        <v>816</v>
      </c>
      <c r="B720" s="18" t="s">
        <v>324</v>
      </c>
      <c r="C720" t="s">
        <v>815</v>
      </c>
      <c r="D720" s="19" t="s">
        <v>326</v>
      </c>
      <c r="E720" t="s">
        <v>240</v>
      </c>
      <c r="F720" t="s">
        <v>241</v>
      </c>
      <c r="G720">
        <v>-10</v>
      </c>
      <c r="H720">
        <v>0</v>
      </c>
      <c r="I720">
        <v>0</v>
      </c>
      <c r="J720">
        <v>0.45</v>
      </c>
      <c r="K720">
        <v>26.666666670000001</v>
      </c>
      <c r="L720">
        <v>0</v>
      </c>
      <c r="M720">
        <v>0</v>
      </c>
      <c r="N720">
        <v>26.666666670000001</v>
      </c>
      <c r="O720">
        <v>3.3333333330000001</v>
      </c>
      <c r="P720"/>
      <c r="Q720">
        <v>0.125</v>
      </c>
      <c r="R720">
        <v>0.34496515500000002</v>
      </c>
      <c r="S720" s="1" t="str">
        <f>VLOOKUP($E720,'Product Naming'!$A$1:$P$58,2,FALSE)</f>
        <v>Isobutanol</v>
      </c>
      <c r="T720" s="1" t="str">
        <f>VLOOKUP($E720,'Product Naming'!$A$1:$P$58,3,FALSE)</f>
        <v>Isobutanol</v>
      </c>
      <c r="U720" s="1" t="str">
        <f>VLOOKUP($E720,'Product Naming'!$A$1:$P$58,4,FALSE)</f>
        <v>E</v>
      </c>
      <c r="V720" s="1" t="str">
        <f>VLOOKUP($E720,'Product Naming'!$A$1:$P$58,5,FALSE)</f>
        <v>C5H10O</v>
      </c>
      <c r="W720" s="1">
        <f>VLOOKUP($E720,'Product Naming'!$A$1:$P$58,6,FALSE)</f>
        <v>5</v>
      </c>
      <c r="X720" s="1">
        <f>VLOOKUP($E720,'Product Naming'!$A$1:$P$58,7,FALSE)</f>
        <v>10</v>
      </c>
      <c r="Y720" s="1">
        <f>VLOOKUP($E720,'Product Naming'!$A$1:$P$58,8,FALSE)</f>
        <v>1</v>
      </c>
      <c r="Z720" s="1">
        <f>VLOOKUP($E720,'Product Naming'!$A$1:$P$58,9,FALSE)</f>
        <v>0</v>
      </c>
      <c r="AA720" s="1">
        <f>VLOOKUP($E720,'Product Naming'!$A$1:$P$58,10,FALSE)</f>
        <v>0</v>
      </c>
      <c r="AB720" s="29">
        <f>VLOOKUP($E720,'Product Naming'!$A$1:$P$58,11,FALSE)</f>
        <v>5.6</v>
      </c>
      <c r="AC720" s="3">
        <f>VLOOKUP($E720,'Product Naming'!$A$1:$P$58,12,FALSE)</f>
        <v>86.130899999999997</v>
      </c>
      <c r="AD720" s="1">
        <f>VLOOKUP($E720,'Product Naming'!$A$1:$P$58,13,FALSE)</f>
        <v>108</v>
      </c>
      <c r="AE720" s="1" t="str">
        <f>VLOOKUP($E720,'Product Naming'!$A$1:$P$58,14,FALSE)</f>
        <v>Alcohol</v>
      </c>
      <c r="AF720" s="1" t="str">
        <f>VLOOKUP($E720,'Product Naming'!$A$1:$P$58,15,FALSE)</f>
        <v>Pyruvate</v>
      </c>
      <c r="AG720" s="30" t="str">
        <f>VLOOKUP($E720,'Product Naming'!$A$1:$P$58,16,FALSE)</f>
        <v>Proton symporter</v>
      </c>
      <c r="AH720" s="3" t="str">
        <f>VLOOKUP($E720,'Product Naming'!$A$1:$Q$58,17,FALSE)</f>
        <v>ibutoh_c</v>
      </c>
      <c r="AI720" s="1">
        <f>VLOOKUP($E720,'Product Parameters'!$A$2:$D$59,2,FALSE)</f>
        <v>1</v>
      </c>
      <c r="AJ720" s="1">
        <f>VLOOKUP($E720,'Product Parameters'!$A$2:$D$59,3,FALSE)</f>
        <v>0</v>
      </c>
      <c r="AK720" s="1">
        <f>VLOOKUP($E720,'Product Parameters'!$A$2:$D$59,4,FALSE)</f>
        <v>0.12</v>
      </c>
      <c r="AL720" s="1">
        <f>VLOOKUP($E720,'Product Parameters'!$A$2:$E$59,5,FALSE)</f>
        <v>51</v>
      </c>
      <c r="AM720" s="1">
        <f>VLOOKUP($E720,'Product Parameters'!$A$2:$F$59,6,FALSE)</f>
        <v>5</v>
      </c>
      <c r="AN720" s="1">
        <f>VLOOKUP($C720,'Substrate Heating'!$A$2:$C$33,3,FALSE)</f>
        <v>226.4</v>
      </c>
      <c r="AO720" s="1">
        <f>VLOOKUP($C720,'Substrate Heating'!$A$2:$B$33,2,FALSE)</f>
        <v>7.2542014450728134</v>
      </c>
      <c r="AP720" s="1">
        <f>VLOOKUP($C720,'Substrate Heating'!$A$2:$M$33,13,FALSE)</f>
        <v>1.6</v>
      </c>
      <c r="AQ720" s="1">
        <f>VLOOKUP($C720,'Substrate Heating'!$A$2:$M$33,8,FALSE)</f>
        <v>1</v>
      </c>
      <c r="AR720" s="1">
        <f t="shared" si="11"/>
        <v>0.625</v>
      </c>
    </row>
    <row r="721" spans="1:44" x14ac:dyDescent="0.2">
      <c r="A721" s="17" t="s">
        <v>323</v>
      </c>
      <c r="B721" s="18" t="s">
        <v>324</v>
      </c>
      <c r="C721" t="s">
        <v>327</v>
      </c>
      <c r="D721" s="19" t="s">
        <v>326</v>
      </c>
      <c r="E721" t="s">
        <v>81</v>
      </c>
      <c r="F721" t="s">
        <v>73</v>
      </c>
      <c r="G721">
        <v>-10</v>
      </c>
      <c r="H721">
        <v>0</v>
      </c>
      <c r="I721">
        <v>-5</v>
      </c>
      <c r="J721">
        <v>0.45</v>
      </c>
      <c r="K721">
        <v>-10</v>
      </c>
      <c r="L721">
        <v>0</v>
      </c>
      <c r="M721">
        <v>-5</v>
      </c>
      <c r="N721">
        <v>5</v>
      </c>
      <c r="O721">
        <v>1.6666666666666701</v>
      </c>
      <c r="P721"/>
      <c r="Q721">
        <v>0.16666666666666699</v>
      </c>
      <c r="R721">
        <v>0.345128761773489</v>
      </c>
      <c r="S721" s="1" t="str">
        <f>VLOOKUP($E721,'Product Naming'!$A$1:$P$58,2,FALSE)</f>
        <v>1-propanol-PW2</v>
      </c>
      <c r="T721" s="1" t="str">
        <f>VLOOKUP($E721,'Product Naming'!$A$1:$P$58,3,FALSE)</f>
        <v>1-Propanol (PW2)</v>
      </c>
      <c r="U721" s="1" t="str">
        <f>VLOOKUP($E721,'Product Naming'!$A$1:$P$58,4,FALSE)</f>
        <v>E-S</v>
      </c>
      <c r="V721" s="1" t="str">
        <f>VLOOKUP($E721,'Product Naming'!$A$1:$P$58,5,FALSE)</f>
        <v>C3H8O</v>
      </c>
      <c r="W721" s="1">
        <f>VLOOKUP($E721,'Product Naming'!$A$1:$P$58,6,FALSE)</f>
        <v>3</v>
      </c>
      <c r="X721" s="1">
        <f>VLOOKUP($E721,'Product Naming'!$A$1:$P$58,7,FALSE)</f>
        <v>8</v>
      </c>
      <c r="Y721" s="1">
        <f>VLOOKUP($E721,'Product Naming'!$A$1:$P$58,8,FALSE)</f>
        <v>1</v>
      </c>
      <c r="Z721" s="1">
        <f>VLOOKUP($E721,'Product Naming'!$A$1:$P$58,9,FALSE)</f>
        <v>0</v>
      </c>
      <c r="AA721" s="1">
        <f>VLOOKUP($E721,'Product Naming'!$A$1:$P$58,10,FALSE)</f>
        <v>0</v>
      </c>
      <c r="AB721" s="29">
        <f>VLOOKUP($E721,'Product Naming'!$A$1:$P$58,11,FALSE)</f>
        <v>6</v>
      </c>
      <c r="AC721" s="3">
        <f>VLOOKUP($E721,'Product Naming'!$A$1:$P$58,12,FALSE)</f>
        <v>60.093820000000001</v>
      </c>
      <c r="AD721" s="1">
        <f>VLOOKUP($E721,'Product Naming'!$A$1:$P$58,13,FALSE)</f>
        <v>97</v>
      </c>
      <c r="AE721" s="1" t="str">
        <f>VLOOKUP($E721,'Product Naming'!$A$1:$P$58,14,FALSE)</f>
        <v>Alcohol</v>
      </c>
      <c r="AF721" s="1" t="str">
        <f>VLOOKUP($E721,'Product Naming'!$A$1:$P$58,15,FALSE)</f>
        <v>Oxaloacetate</v>
      </c>
      <c r="AG721" s="30" t="str">
        <f>VLOOKUP($E721,'Product Naming'!$A$1:$P$58,16,FALSE)</f>
        <v>Proton symporter</v>
      </c>
      <c r="AH721" s="3" t="str">
        <f>VLOOKUP($E721,'Product Naming'!$A$1:$Q$58,17,FALSE)</f>
        <v>ppoh_c</v>
      </c>
      <c r="AI721" s="1">
        <f>VLOOKUP($E721,'Product Parameters'!$A$2:$D$59,2,FALSE)</f>
        <v>1</v>
      </c>
      <c r="AJ721" s="1">
        <f>VLOOKUP($E721,'Product Parameters'!$A$2:$D$59,3,FALSE)</f>
        <v>0</v>
      </c>
      <c r="AK721" s="1">
        <f>VLOOKUP($E721,'Product Parameters'!$A$2:$D$59,4,FALSE)</f>
        <v>0.12</v>
      </c>
      <c r="AL721" s="1">
        <f>VLOOKUP($E721,'Product Parameters'!$A$2:$E$59,5,FALSE)</f>
        <v>47</v>
      </c>
      <c r="AM721" s="1">
        <f>VLOOKUP($E721,'Product Parameters'!$A$2:$F$59,6,FALSE)</f>
        <v>3</v>
      </c>
      <c r="AN721" s="1">
        <f>VLOOKUP($C721,'Substrate Heating'!$A$2:$C$33,3,FALSE)</f>
        <v>269.26666666666665</v>
      </c>
      <c r="AO721" s="1">
        <f>VLOOKUP($C721,'Substrate Heating'!$A$2:$B$33,2,FALSE)</f>
        <v>13.919167510409219</v>
      </c>
      <c r="AP721" s="1">
        <f>VLOOKUP($C721,'Substrate Heating'!$A$2:$M$33,13,FALSE)</f>
        <v>1.3333333333333333</v>
      </c>
      <c r="AQ721" s="1">
        <f>VLOOKUP($C721,'Substrate Heating'!$A$2:$M$33,8,FALSE)</f>
        <v>0.66666666666666663</v>
      </c>
      <c r="AR721" s="1">
        <f t="shared" si="11"/>
        <v>0.75000000000000155</v>
      </c>
    </row>
    <row r="722" spans="1:44" x14ac:dyDescent="0.2">
      <c r="A722" s="17" t="s">
        <v>323</v>
      </c>
      <c r="B722" s="18" t="s">
        <v>324</v>
      </c>
      <c r="C722" t="s">
        <v>327</v>
      </c>
      <c r="D722" s="19" t="s">
        <v>326</v>
      </c>
      <c r="E722" t="s">
        <v>251</v>
      </c>
      <c r="F722" t="s">
        <v>252</v>
      </c>
      <c r="G722">
        <v>-10</v>
      </c>
      <c r="H722">
        <v>0</v>
      </c>
      <c r="I722">
        <v>-5</v>
      </c>
      <c r="J722">
        <v>0.45</v>
      </c>
      <c r="K722">
        <v>-10</v>
      </c>
      <c r="L722">
        <v>0</v>
      </c>
      <c r="M722">
        <v>-5</v>
      </c>
      <c r="N722">
        <v>5</v>
      </c>
      <c r="O722">
        <v>1.6666666666666701</v>
      </c>
      <c r="P722"/>
      <c r="Q722">
        <v>0.16666666666666699</v>
      </c>
      <c r="R722">
        <v>0.345128761773489</v>
      </c>
      <c r="S722" s="1" t="str">
        <f>VLOOKUP($E722,'Product Naming'!$A$1:$P$58,2,FALSE)</f>
        <v>Isopropanol</v>
      </c>
      <c r="T722" s="1" t="str">
        <f>VLOOKUP($E722,'Product Naming'!$A$1:$P$58,3,FALSE)</f>
        <v>Isopropanol</v>
      </c>
      <c r="U722" s="1" t="str">
        <f>VLOOKUP($E722,'Product Naming'!$A$1:$P$58,4,FALSE)</f>
        <v>A</v>
      </c>
      <c r="V722" s="1" t="str">
        <f>VLOOKUP($E722,'Product Naming'!$A$1:$P$58,5,FALSE)</f>
        <v>C3H8O</v>
      </c>
      <c r="W722" s="1">
        <f>VLOOKUP($E722,'Product Naming'!$A$1:$P$58,6,FALSE)</f>
        <v>3</v>
      </c>
      <c r="X722" s="1">
        <f>VLOOKUP($E722,'Product Naming'!$A$1:$P$58,7,FALSE)</f>
        <v>8</v>
      </c>
      <c r="Y722" s="1">
        <f>VLOOKUP($E722,'Product Naming'!$A$1:$P$58,8,FALSE)</f>
        <v>1</v>
      </c>
      <c r="Z722" s="1">
        <f>VLOOKUP($E722,'Product Naming'!$A$1:$P$58,9,FALSE)</f>
        <v>0</v>
      </c>
      <c r="AA722" s="1">
        <f>VLOOKUP($E722,'Product Naming'!$A$1:$P$58,10,FALSE)</f>
        <v>0</v>
      </c>
      <c r="AB722" s="29">
        <f>VLOOKUP($E722,'Product Naming'!$A$1:$P$58,11,FALSE)</f>
        <v>6</v>
      </c>
      <c r="AC722" s="3">
        <f>VLOOKUP($E722,'Product Naming'!$A$1:$P$58,12,FALSE)</f>
        <v>60.093820000000001</v>
      </c>
      <c r="AD722" s="1">
        <f>VLOOKUP($E722,'Product Naming'!$A$1:$P$58,13,FALSE)</f>
        <v>82.5</v>
      </c>
      <c r="AE722" s="1" t="str">
        <f>VLOOKUP($E722,'Product Naming'!$A$1:$P$58,14,FALSE)</f>
        <v>Alcohol</v>
      </c>
      <c r="AF722" s="1" t="str">
        <f>VLOOKUP($E722,'Product Naming'!$A$1:$P$58,15,FALSE)</f>
        <v>Acetyl-CoA</v>
      </c>
      <c r="AG722" s="30" t="str">
        <f>VLOOKUP($E722,'Product Naming'!$A$1:$P$58,16,FALSE)</f>
        <v>Proton symporter</v>
      </c>
      <c r="AH722" s="3" t="str">
        <f>VLOOKUP($E722,'Product Naming'!$A$1:$Q$58,17,FALSE)</f>
        <v>2ppoh_c</v>
      </c>
      <c r="AI722" s="1">
        <f>VLOOKUP($E722,'Product Parameters'!$A$2:$D$59,2,FALSE)</f>
        <v>1</v>
      </c>
      <c r="AJ722" s="1">
        <f>VLOOKUP($E722,'Product Parameters'!$A$2:$D$59,3,FALSE)</f>
        <v>0</v>
      </c>
      <c r="AK722" s="1">
        <f>VLOOKUP($E722,'Product Parameters'!$A$2:$D$59,4,FALSE)</f>
        <v>0.12</v>
      </c>
      <c r="AL722" s="1">
        <f>VLOOKUP($E722,'Product Parameters'!$A$2:$E$59,5,FALSE)</f>
        <v>45</v>
      </c>
      <c r="AM722" s="1">
        <f>VLOOKUP($E722,'Product Parameters'!$A$2:$F$59,6,FALSE)</f>
        <v>3</v>
      </c>
      <c r="AN722" s="1">
        <f>VLOOKUP($C722,'Substrate Heating'!$A$2:$C$33,3,FALSE)</f>
        <v>269.26666666666665</v>
      </c>
      <c r="AO722" s="1">
        <f>VLOOKUP($C722,'Substrate Heating'!$A$2:$B$33,2,FALSE)</f>
        <v>13.919167510409219</v>
      </c>
      <c r="AP722" s="1">
        <f>VLOOKUP($C722,'Substrate Heating'!$A$2:$M$33,13,FALSE)</f>
        <v>1.3333333333333333</v>
      </c>
      <c r="AQ722" s="1">
        <f>VLOOKUP($C722,'Substrate Heating'!$A$2:$M$33,8,FALSE)</f>
        <v>0.66666666666666663</v>
      </c>
      <c r="AR722" s="1">
        <f t="shared" si="11"/>
        <v>0.75000000000000155</v>
      </c>
    </row>
    <row r="723" spans="1:44" x14ac:dyDescent="0.2">
      <c r="A723" s="17" t="s">
        <v>231</v>
      </c>
      <c r="B723" s="9" t="s">
        <v>35</v>
      </c>
      <c r="C723" t="s">
        <v>331</v>
      </c>
      <c r="D723" s="10" t="s">
        <v>37</v>
      </c>
      <c r="E723" t="s">
        <v>283</v>
      </c>
      <c r="F723" t="s">
        <v>284</v>
      </c>
      <c r="G723">
        <v>-10</v>
      </c>
      <c r="H723">
        <v>-20</v>
      </c>
      <c r="I723" s="1" t="s">
        <v>40</v>
      </c>
      <c r="J723">
        <v>3.15</v>
      </c>
      <c r="K723">
        <v>-10</v>
      </c>
      <c r="L723">
        <v>-1.5270270270270301</v>
      </c>
      <c r="M723" s="1" t="s">
        <v>40</v>
      </c>
      <c r="N723">
        <v>4.9772972972972997</v>
      </c>
      <c r="O723">
        <v>1.87783783783784</v>
      </c>
      <c r="P723"/>
      <c r="Q723">
        <v>0.18778378378378399</v>
      </c>
      <c r="R723">
        <v>0.34559642078178898</v>
      </c>
      <c r="S723" s="1" t="str">
        <f>VLOOKUP($E723,'Product Naming'!$A$1:$P$58,2,FALSE)</f>
        <v>Octane</v>
      </c>
      <c r="T723" s="1" t="str">
        <f>VLOOKUP($E723,'Product Naming'!$A$1:$P$58,3,FALSE)</f>
        <v>Octane</v>
      </c>
      <c r="U723" s="1" t="str">
        <f>VLOOKUP($E723,'Product Naming'!$A$1:$P$58,4,FALSE)</f>
        <v>E</v>
      </c>
      <c r="V723" s="1" t="str">
        <f>VLOOKUP($E723,'Product Naming'!$A$1:$P$58,5,FALSE)</f>
        <v>C8H18</v>
      </c>
      <c r="W723" s="1">
        <f>VLOOKUP($E723,'Product Naming'!$A$1:$P$58,6,FALSE)</f>
        <v>8</v>
      </c>
      <c r="X723" s="1">
        <f>VLOOKUP($E723,'Product Naming'!$A$1:$P$58,7,FALSE)</f>
        <v>18</v>
      </c>
      <c r="Y723" s="1">
        <f>VLOOKUP($E723,'Product Naming'!$A$1:$P$58,8,FALSE)</f>
        <v>0</v>
      </c>
      <c r="Z723" s="1">
        <f>VLOOKUP($E723,'Product Naming'!$A$1:$P$58,9,FALSE)</f>
        <v>0</v>
      </c>
      <c r="AA723" s="1">
        <f>VLOOKUP($E723,'Product Naming'!$A$1:$P$58,10,FALSE)</f>
        <v>0</v>
      </c>
      <c r="AB723" s="29">
        <f>VLOOKUP($E723,'Product Naming'!$A$1:$P$58,11,FALSE)</f>
        <v>6.25</v>
      </c>
      <c r="AC723" s="3">
        <f>VLOOKUP($E723,'Product Naming'!$A$1:$P$58,12,FALSE)</f>
        <v>114.22672</v>
      </c>
      <c r="AD723" s="1">
        <f>VLOOKUP($E723,'Product Naming'!$A$1:$P$58,13,FALSE)</f>
        <v>126</v>
      </c>
      <c r="AE723" s="1" t="str">
        <f>VLOOKUP($E723,'Product Naming'!$A$1:$P$58,14,FALSE)</f>
        <v>Hydrocarbon (alkane)</v>
      </c>
      <c r="AF723" s="1" t="str">
        <f>VLOOKUP($E723,'Product Naming'!$A$1:$P$58,15,FALSE)</f>
        <v>Acetyl-CoA + Succinyl-CoA</v>
      </c>
      <c r="AG723" s="30" t="str">
        <f>VLOOKUP($E723,'Product Naming'!$A$1:$P$58,16,FALSE)</f>
        <v>Proton symporter</v>
      </c>
      <c r="AH723" s="3" t="str">
        <f>VLOOKUP($E723,'Product Naming'!$A$1:$Q$58,17,FALSE)</f>
        <v>octn_c</v>
      </c>
      <c r="AI723" s="1">
        <f>VLOOKUP($E723,'Product Parameters'!$A$2:$D$59,2,FALSE)</f>
        <v>1</v>
      </c>
      <c r="AJ723" s="1">
        <f>VLOOKUP($E723,'Product Parameters'!$A$2:$D$59,3,FALSE)</f>
        <v>0</v>
      </c>
      <c r="AK723" s="1">
        <f>VLOOKUP($E723,'Product Parameters'!$A$2:$D$59,4,FALSE)</f>
        <v>0.12</v>
      </c>
      <c r="AL723" s="1">
        <f>VLOOKUP($E723,'Product Parameters'!$A$2:$E$59,5,FALSE)</f>
        <v>41</v>
      </c>
      <c r="AM723" s="1">
        <f>VLOOKUP($E723,'Product Parameters'!$A$2:$F$59,6,FALSE)</f>
        <v>8</v>
      </c>
      <c r="AN723" s="1">
        <f>VLOOKUP($C723,'Substrate Heating'!$A$2:$C$33,3,FALSE)</f>
        <v>1055.1294800000001</v>
      </c>
      <c r="AO723" s="1">
        <f>VLOOKUP($C723,'Substrate Heating'!$A$2:$B$33,2,FALSE)</f>
        <v>17</v>
      </c>
      <c r="AP723" s="1">
        <f>VLOOKUP($C723,'Substrate Heating'!$A$2:$M$33,13,FALSE)</f>
        <v>5</v>
      </c>
      <c r="AQ723" s="1">
        <f>VLOOKUP($C723,'Substrate Heating'!$A$2:$M$33,8,FALSE)</f>
        <v>2</v>
      </c>
      <c r="AR723" s="1">
        <f t="shared" si="11"/>
        <v>0.75113513513513597</v>
      </c>
    </row>
    <row r="724" spans="1:44" x14ac:dyDescent="0.2">
      <c r="A724" s="8" t="s">
        <v>34</v>
      </c>
      <c r="B724" s="9" t="s">
        <v>35</v>
      </c>
      <c r="C724" s="1" t="s">
        <v>349</v>
      </c>
      <c r="D724" s="25" t="s">
        <v>342</v>
      </c>
      <c r="E724" s="1" t="s">
        <v>145</v>
      </c>
      <c r="F724" s="1" t="s">
        <v>146</v>
      </c>
      <c r="G724" s="1">
        <v>-10</v>
      </c>
      <c r="H724" s="1">
        <v>-20</v>
      </c>
      <c r="I724" s="1" t="s">
        <v>40</v>
      </c>
      <c r="J724" s="1">
        <v>3.15</v>
      </c>
      <c r="K724" s="1">
        <v>-10</v>
      </c>
      <c r="L724" s="1">
        <v>-9.0225274725274591</v>
      </c>
      <c r="M724" s="1" t="s">
        <v>40</v>
      </c>
      <c r="N724" s="1">
        <v>16.253846153846101</v>
      </c>
      <c r="O724" s="1">
        <v>4.82087912087911</v>
      </c>
      <c r="Q724" s="1">
        <v>0.48208791208791102</v>
      </c>
      <c r="R724" s="1">
        <v>0.34724143979247202</v>
      </c>
      <c r="S724" s="1" t="str">
        <f>VLOOKUP($E724,'Product Naming'!$A$1:$P$58,2,FALSE)</f>
        <v>Benzyl alcohol</v>
      </c>
      <c r="T724" s="1" t="str">
        <f>VLOOKUP($E724,'Product Naming'!$A$1:$P$58,3,FALSE)</f>
        <v>Benzyl alcohol</v>
      </c>
      <c r="U724" s="1" t="str">
        <f>VLOOKUP($E724,'Product Naming'!$A$1:$P$58,4,FALSE)</f>
        <v>E</v>
      </c>
      <c r="V724" s="1" t="str">
        <f>VLOOKUP($E724,'Product Naming'!$A$1:$P$58,5,FALSE)</f>
        <v>C7H8O</v>
      </c>
      <c r="W724" s="1">
        <f>VLOOKUP($E724,'Product Naming'!$A$1:$P$58,6,FALSE)</f>
        <v>7</v>
      </c>
      <c r="X724" s="1">
        <f>VLOOKUP($E724,'Product Naming'!$A$1:$P$58,7,FALSE)</f>
        <v>8</v>
      </c>
      <c r="Y724" s="1">
        <f>VLOOKUP($E724,'Product Naming'!$A$1:$P$58,8,FALSE)</f>
        <v>1</v>
      </c>
      <c r="Z724" s="1">
        <f>VLOOKUP($E724,'Product Naming'!$A$1:$P$58,9,FALSE)</f>
        <v>0</v>
      </c>
      <c r="AA724" s="1">
        <f>VLOOKUP($E724,'Product Naming'!$A$1:$P$58,10,FALSE)</f>
        <v>0</v>
      </c>
      <c r="AB724" s="29">
        <f>VLOOKUP($E724,'Product Naming'!$A$1:$P$58,11,FALSE)</f>
        <v>4.8571428571428568</v>
      </c>
      <c r="AC724" s="3">
        <f>VLOOKUP($E724,'Product Naming'!$A$1:$P$58,12,FALSE)</f>
        <v>108.13661999999999</v>
      </c>
      <c r="AD724" s="1">
        <f>VLOOKUP($E724,'Product Naming'!$A$1:$P$58,13,FALSE)</f>
        <v>205</v>
      </c>
      <c r="AE724" s="1" t="str">
        <f>VLOOKUP($E724,'Product Naming'!$A$1:$P$58,14,FALSE)</f>
        <v>Aromatic + Alcohol</v>
      </c>
      <c r="AF724" s="1" t="str">
        <f>VLOOKUP($E724,'Product Naming'!$A$1:$P$58,15,FALSE)</f>
        <v>E4P</v>
      </c>
      <c r="AG724" s="30" t="str">
        <f>VLOOKUP($E724,'Product Naming'!$A$1:$P$58,16,FALSE)</f>
        <v>Proton symporter</v>
      </c>
      <c r="AH724" s="3" t="str">
        <f>VLOOKUP($E724,'Product Naming'!$A$1:$Q$58,17,FALSE)</f>
        <v>bzalc_c</v>
      </c>
      <c r="AI724" s="1">
        <f>VLOOKUP($E724,'Product Parameters'!$A$2:$D$59,2,FALSE)</f>
        <v>1</v>
      </c>
      <c r="AJ724" s="1">
        <f>VLOOKUP($E724,'Product Parameters'!$A$2:$D$59,3,FALSE)</f>
        <v>0</v>
      </c>
      <c r="AK724" s="1">
        <f>VLOOKUP($E724,'Product Parameters'!$A$2:$D$59,4,FALSE)</f>
        <v>0.12</v>
      </c>
      <c r="AL724" s="1">
        <f>VLOOKUP($E724,'Product Parameters'!$A$2:$E$59,5,FALSE)</f>
        <v>63</v>
      </c>
      <c r="AM724" s="1">
        <f>VLOOKUP($E724,'Product Parameters'!$A$2:$F$59,6,FALSE)</f>
        <v>7</v>
      </c>
      <c r="AN724" s="1">
        <f>VLOOKUP($C724,'Substrate Heating'!$A$2:$C$33,3,FALSE)</f>
        <v>2342.0279999999998</v>
      </c>
      <c r="AO724" s="1">
        <f>VLOOKUP($C724,'Substrate Heating'!$A$2:$B$33,2,FALSE)</f>
        <v>15.6</v>
      </c>
      <c r="AP724" s="1">
        <f>VLOOKUP($C724,'Substrate Heating'!$A$2:$M$33,13,FALSE)</f>
        <v>4</v>
      </c>
      <c r="AQ724" s="1">
        <f>VLOOKUP($C724,'Substrate Heating'!$A$2:$M$33,8,FALSE)</f>
        <v>5</v>
      </c>
      <c r="AR724" s="1">
        <f t="shared" si="11"/>
        <v>0.6749230769230754</v>
      </c>
    </row>
    <row r="725" spans="1:44" x14ac:dyDescent="0.2">
      <c r="A725" s="8" t="s">
        <v>34</v>
      </c>
      <c r="B725" s="9" t="s">
        <v>35</v>
      </c>
      <c r="C725" s="1" t="s">
        <v>349</v>
      </c>
      <c r="D725" s="25" t="s">
        <v>342</v>
      </c>
      <c r="E725" s="1" t="s">
        <v>295</v>
      </c>
      <c r="F725" s="1" t="s">
        <v>292</v>
      </c>
      <c r="G725" s="1">
        <v>-10</v>
      </c>
      <c r="H725" s="1">
        <v>-20</v>
      </c>
      <c r="I725" s="1" t="s">
        <v>40</v>
      </c>
      <c r="J725" s="1">
        <v>3.15</v>
      </c>
      <c r="K725" s="1">
        <v>-10</v>
      </c>
      <c r="L725" s="1">
        <v>-5.6016483516483504</v>
      </c>
      <c r="M725" s="1" t="s">
        <v>40</v>
      </c>
      <c r="N725" s="1">
        <v>20.401098901098901</v>
      </c>
      <c r="O725" s="1">
        <v>5.9197802197802298</v>
      </c>
      <c r="Q725" s="1">
        <v>0.59197802197802296</v>
      </c>
      <c r="R725" s="1">
        <v>0.34757102559466801</v>
      </c>
      <c r="S725" s="1" t="str">
        <f>VLOOKUP($E725,'Product Naming'!$A$1:$P$58,2,FALSE)</f>
        <v>Pentanol-PW2</v>
      </c>
      <c r="T725" s="1" t="str">
        <f>VLOOKUP($E725,'Product Naming'!$A$1:$P$58,3,FALSE)</f>
        <v>Pentanol (PW2)</v>
      </c>
      <c r="U725" s="1" t="str">
        <f>VLOOKUP($E725,'Product Naming'!$A$1:$P$58,4,FALSE)</f>
        <v>E</v>
      </c>
      <c r="V725" s="1" t="str">
        <f>VLOOKUP($E725,'Product Naming'!$A$1:$P$58,5,FALSE)</f>
        <v>C5H12O</v>
      </c>
      <c r="W725" s="1">
        <f>VLOOKUP($E725,'Product Naming'!$A$1:$P$58,6,FALSE)</f>
        <v>5</v>
      </c>
      <c r="X725" s="1">
        <f>VLOOKUP($E725,'Product Naming'!$A$1:$P$58,7,FALSE)</f>
        <v>12</v>
      </c>
      <c r="Y725" s="1">
        <f>VLOOKUP($E725,'Product Naming'!$A$1:$P$58,8,FALSE)</f>
        <v>1</v>
      </c>
      <c r="Z725" s="1">
        <f>VLOOKUP($E725,'Product Naming'!$A$1:$P$58,9,FALSE)</f>
        <v>0</v>
      </c>
      <c r="AA725" s="1">
        <f>VLOOKUP($E725,'Product Naming'!$A$1:$P$58,10,FALSE)</f>
        <v>0</v>
      </c>
      <c r="AB725" s="29">
        <f>VLOOKUP($E725,'Product Naming'!$A$1:$P$58,11,FALSE)</f>
        <v>6</v>
      </c>
      <c r="AC725" s="3">
        <f>VLOOKUP($E725,'Product Naming'!$A$1:$P$58,12,FALSE)</f>
        <v>88.14658</v>
      </c>
      <c r="AD725" s="1">
        <f>VLOOKUP($E725,'Product Naming'!$A$1:$P$58,13,FALSE)</f>
        <v>138</v>
      </c>
      <c r="AE725" s="1" t="str">
        <f>VLOOKUP($E725,'Product Naming'!$A$1:$P$58,14,FALSE)</f>
        <v>Alcohol</v>
      </c>
      <c r="AF725" s="1" t="str">
        <f>VLOOKUP($E725,'Product Naming'!$A$1:$P$58,15,FALSE)</f>
        <v>Oxaloacetate</v>
      </c>
      <c r="AG725" s="30" t="str">
        <f>VLOOKUP($E725,'Product Naming'!$A$1:$P$58,16,FALSE)</f>
        <v>Proton symporter</v>
      </c>
      <c r="AH725" s="3" t="str">
        <f>VLOOKUP($E725,'Product Naming'!$A$1:$Q$58,17,FALSE)</f>
        <v>pentoh_c</v>
      </c>
      <c r="AI725" s="1">
        <f>VLOOKUP($E725,'Product Parameters'!$A$2:$D$59,2,FALSE)</f>
        <v>1</v>
      </c>
      <c r="AJ725" s="1">
        <f>VLOOKUP($E725,'Product Parameters'!$A$2:$D$59,3,FALSE)</f>
        <v>0</v>
      </c>
      <c r="AK725" s="1">
        <f>VLOOKUP($E725,'Product Parameters'!$A$2:$D$59,4,FALSE)</f>
        <v>0.12</v>
      </c>
      <c r="AL725" s="1">
        <f>VLOOKUP($E725,'Product Parameters'!$A$2:$E$59,5,FALSE)</f>
        <v>57</v>
      </c>
      <c r="AM725" s="1">
        <f>VLOOKUP($E725,'Product Parameters'!$A$2:$F$59,6,FALSE)</f>
        <v>5</v>
      </c>
      <c r="AN725" s="1">
        <f>VLOOKUP($C725,'Substrate Heating'!$A$2:$C$33,3,FALSE)</f>
        <v>2342.0279999999998</v>
      </c>
      <c r="AO725" s="1">
        <f>VLOOKUP($C725,'Substrate Heating'!$A$2:$B$33,2,FALSE)</f>
        <v>15.6</v>
      </c>
      <c r="AP725" s="1">
        <f>VLOOKUP($C725,'Substrate Heating'!$A$2:$M$33,13,FALSE)</f>
        <v>4</v>
      </c>
      <c r="AQ725" s="1">
        <f>VLOOKUP($C725,'Substrate Heating'!$A$2:$M$33,8,FALSE)</f>
        <v>5</v>
      </c>
      <c r="AR725" s="1">
        <f t="shared" si="11"/>
        <v>0.59197802197802296</v>
      </c>
    </row>
    <row r="726" spans="1:44" x14ac:dyDescent="0.2">
      <c r="A726" s="17" t="s">
        <v>323</v>
      </c>
      <c r="B726" s="18" t="s">
        <v>324</v>
      </c>
      <c r="C726" t="s">
        <v>334</v>
      </c>
      <c r="D726" s="19" t="s">
        <v>326</v>
      </c>
      <c r="E726" t="s">
        <v>318</v>
      </c>
      <c r="F726" t="s">
        <v>319</v>
      </c>
      <c r="G726">
        <v>-10</v>
      </c>
      <c r="H726">
        <v>0</v>
      </c>
      <c r="I726">
        <v>-5</v>
      </c>
      <c r="J726">
        <v>0.45</v>
      </c>
      <c r="K726">
        <v>-10</v>
      </c>
      <c r="L726">
        <v>0</v>
      </c>
      <c r="M726">
        <v>-5</v>
      </c>
      <c r="N726">
        <v>1.79512195121951</v>
      </c>
      <c r="O726">
        <v>1.40975609756097</v>
      </c>
      <c r="P726"/>
      <c r="Q726">
        <v>0.14097560975609699</v>
      </c>
      <c r="R726">
        <v>0.34785715823450403</v>
      </c>
      <c r="S726" s="1" t="str">
        <f>VLOOKUP($E726,'Product Naming'!$A$1:$P$58,2,FALSE)</f>
        <v>Succinate</v>
      </c>
      <c r="T726" s="1" t="str">
        <f>VLOOKUP($E726,'Product Naming'!$A$1:$P$58,3,FALSE)</f>
        <v>Succinate</v>
      </c>
      <c r="U726" s="1" t="str">
        <f>VLOOKUP($E726,'Product Naming'!$A$1:$P$58,4,FALSE)</f>
        <v>iJO1366</v>
      </c>
      <c r="V726" s="1" t="str">
        <f>VLOOKUP($E726,'Product Naming'!$A$1:$P$58,5,FALSE)</f>
        <v>C4H4O4</v>
      </c>
      <c r="W726" s="1">
        <f>VLOOKUP($E726,'Product Naming'!$A$1:$P$58,6,FALSE)</f>
        <v>4</v>
      </c>
      <c r="X726" s="1">
        <f>VLOOKUP($E726,'Product Naming'!$A$1:$P$58,7,FALSE)</f>
        <v>4</v>
      </c>
      <c r="Y726" s="1">
        <f>VLOOKUP($E726,'Product Naming'!$A$1:$P$58,8,FALSE)</f>
        <v>4</v>
      </c>
      <c r="Z726" s="1">
        <f>VLOOKUP($E726,'Product Naming'!$A$1:$P$58,9,FALSE)</f>
        <v>0</v>
      </c>
      <c r="AA726" s="1">
        <f>VLOOKUP($E726,'Product Naming'!$A$1:$P$58,10,FALSE)</f>
        <v>-2</v>
      </c>
      <c r="AB726" s="29">
        <f>VLOOKUP($E726,'Product Naming'!$A$1:$P$58,11,FALSE)</f>
        <v>3</v>
      </c>
      <c r="AC726" s="3">
        <f>VLOOKUP($E726,'Product Naming'!$A$1:$P$58,12,FALSE)</f>
        <v>116.07016</v>
      </c>
      <c r="AD726" s="1">
        <f>VLOOKUP($E726,'Product Naming'!$A$1:$P$58,13,FALSE)</f>
        <v>235</v>
      </c>
      <c r="AE726" s="1" t="str">
        <f>VLOOKUP($E726,'Product Naming'!$A$1:$P$58,14,FALSE)</f>
        <v>Dicarboxylate</v>
      </c>
      <c r="AF726" s="1" t="str">
        <f>VLOOKUP($E726,'Product Naming'!$A$1:$P$58,15,FALSE)</f>
        <v>Oxaloacetate</v>
      </c>
      <c r="AG726" s="30" t="str">
        <f>VLOOKUP($E726,'Product Naming'!$A$1:$P$58,16,FALSE)</f>
        <v>Proton symporter</v>
      </c>
      <c r="AH726" s="3" t="str">
        <f>VLOOKUP($E726,'Product Naming'!$A$1:$Q$58,17,FALSE)</f>
        <v>succ_c</v>
      </c>
      <c r="AI726" s="1">
        <f>VLOOKUP($E726,'Product Parameters'!$A$2:$D$59,2,FALSE)</f>
        <v>1</v>
      </c>
      <c r="AJ726" s="1">
        <f>VLOOKUP($E726,'Product Parameters'!$A$2:$D$59,3,FALSE)</f>
        <v>0</v>
      </c>
      <c r="AK726" s="1">
        <f>VLOOKUP($E726,'Product Parameters'!$A$2:$D$59,4,FALSE)</f>
        <v>0.12</v>
      </c>
      <c r="AL726" s="1">
        <f>VLOOKUP($E726,'Product Parameters'!$A$2:$E$59,5,FALSE)</f>
        <v>40.65</v>
      </c>
      <c r="AM726" s="1">
        <f>VLOOKUP($E726,'Product Parameters'!$A$2:$F$59,6,FALSE)</f>
        <v>4</v>
      </c>
      <c r="AN726" s="1">
        <f>VLOOKUP($C726,'Substrate Heating'!$A$2:$C$33,3,FALSE)</f>
        <v>249.93333333333334</v>
      </c>
      <c r="AO726" s="1">
        <f>VLOOKUP($C726,'Substrate Heating'!$A$2:$B$33,2,FALSE)</f>
        <v>8.1456827881222953</v>
      </c>
      <c r="AP726" s="1">
        <f>VLOOKUP($C726,'Substrate Heating'!$A$2:$M$33,13,FALSE)</f>
        <v>0.66666666666666663</v>
      </c>
      <c r="AQ726" s="1">
        <f>VLOOKUP($C726,'Substrate Heating'!$A$2:$M$33,8,FALSE)</f>
        <v>0.66666666666666663</v>
      </c>
      <c r="AR726" s="1">
        <f t="shared" si="11"/>
        <v>0.84585365853658201</v>
      </c>
    </row>
    <row r="727" spans="1:44" x14ac:dyDescent="0.2">
      <c r="A727" s="17" t="s">
        <v>323</v>
      </c>
      <c r="B727" s="18" t="s">
        <v>324</v>
      </c>
      <c r="C727" t="s">
        <v>329</v>
      </c>
      <c r="D727" s="19" t="s">
        <v>326</v>
      </c>
      <c r="E727" t="s">
        <v>72</v>
      </c>
      <c r="F727" t="s">
        <v>73</v>
      </c>
      <c r="G727">
        <v>-10</v>
      </c>
      <c r="H727">
        <v>0</v>
      </c>
      <c r="I727">
        <v>-20</v>
      </c>
      <c r="J727">
        <v>0.45</v>
      </c>
      <c r="K727">
        <v>-10</v>
      </c>
      <c r="L727">
        <v>0</v>
      </c>
      <c r="M727">
        <v>-20</v>
      </c>
      <c r="N727">
        <v>0</v>
      </c>
      <c r="O727">
        <v>1.8560000000000001</v>
      </c>
      <c r="P727"/>
      <c r="Q727">
        <v>0.18559999999999999</v>
      </c>
      <c r="R727" s="20">
        <v>0.34800040536661497</v>
      </c>
      <c r="S727" s="1" t="str">
        <f>VLOOKUP($E727,'Product Naming'!$A$1:$P$58,2,FALSE)</f>
        <v>1-propanol-PW1</v>
      </c>
      <c r="T727" s="1" t="str">
        <f>VLOOKUP($E727,'Product Naming'!$A$1:$P$58,3,FALSE)</f>
        <v>1-Propanol (PW1)</v>
      </c>
      <c r="U727" s="1" t="str">
        <f>VLOOKUP($E727,'Product Naming'!$A$1:$P$58,4,FALSE)</f>
        <v>E-S</v>
      </c>
      <c r="V727" s="1" t="str">
        <f>VLOOKUP($E727,'Product Naming'!$A$1:$P$58,5,FALSE)</f>
        <v>C3H8O</v>
      </c>
      <c r="W727" s="1">
        <f>VLOOKUP($E727,'Product Naming'!$A$1:$P$58,6,FALSE)</f>
        <v>3</v>
      </c>
      <c r="X727" s="1">
        <f>VLOOKUP($E727,'Product Naming'!$A$1:$P$58,7,FALSE)</f>
        <v>8</v>
      </c>
      <c r="Y727" s="1">
        <f>VLOOKUP($E727,'Product Naming'!$A$1:$P$58,8,FALSE)</f>
        <v>1</v>
      </c>
      <c r="Z727" s="1">
        <f>VLOOKUP($E727,'Product Naming'!$A$1:$P$58,9,FALSE)</f>
        <v>0</v>
      </c>
      <c r="AA727" s="1">
        <f>VLOOKUP($E727,'Product Naming'!$A$1:$P$58,10,FALSE)</f>
        <v>0</v>
      </c>
      <c r="AB727" s="29">
        <f>VLOOKUP($E727,'Product Naming'!$A$1:$P$58,11,FALSE)</f>
        <v>6</v>
      </c>
      <c r="AC727" s="3">
        <f>VLOOKUP($E727,'Product Naming'!$A$1:$P$58,12,FALSE)</f>
        <v>60.093820000000001</v>
      </c>
      <c r="AD727" s="1">
        <f>VLOOKUP($E727,'Product Naming'!$A$1:$P$58,13,FALSE)</f>
        <v>97</v>
      </c>
      <c r="AE727" s="1" t="str">
        <f>VLOOKUP($E727,'Product Naming'!$A$1:$P$58,14,FALSE)</f>
        <v>Alcohol</v>
      </c>
      <c r="AF727" s="1" t="str">
        <f>VLOOKUP($E727,'Product Naming'!$A$1:$P$58,15,FALSE)</f>
        <v>Glyceraldehyde 3-P (--&gt;DHAP)</v>
      </c>
      <c r="AG727" s="30" t="str">
        <f>VLOOKUP($E727,'Product Naming'!$A$1:$P$58,16,FALSE)</f>
        <v>Proton symporter</v>
      </c>
      <c r="AH727" s="3" t="str">
        <f>VLOOKUP($E727,'Product Naming'!$A$1:$Q$58,17,FALSE)</f>
        <v>ppoh_c</v>
      </c>
      <c r="AI727" s="1">
        <f>VLOOKUP($E727,'Product Parameters'!$A$2:$D$59,2,FALSE)</f>
        <v>1</v>
      </c>
      <c r="AJ727" s="1">
        <f>VLOOKUP($E727,'Product Parameters'!$A$2:$D$59,3,FALSE)</f>
        <v>0</v>
      </c>
      <c r="AK727" s="1">
        <f>VLOOKUP($E727,'Product Parameters'!$A$2:$D$59,4,FALSE)</f>
        <v>0.12</v>
      </c>
      <c r="AL727" s="1">
        <f>VLOOKUP($E727,'Product Parameters'!$A$2:$E$59,5,FALSE)</f>
        <v>47</v>
      </c>
      <c r="AM727" s="1">
        <f>VLOOKUP($E727,'Product Parameters'!$A$2:$F$59,6,FALSE)</f>
        <v>3</v>
      </c>
      <c r="AN727" s="1">
        <f>VLOOKUP($C727,'Substrate Heating'!$A$2:$C$33,3,FALSE)</f>
        <v>255.53333333333336</v>
      </c>
      <c r="AO727" s="1">
        <f>VLOOKUP($C727,'Substrate Heating'!$A$2:$B$33,2,FALSE)</f>
        <v>23.925550527978785</v>
      </c>
      <c r="AP727" s="1">
        <f>VLOOKUP($C727,'Substrate Heating'!$A$2:$M$33,13,FALSE)</f>
        <v>0.66666666666666663</v>
      </c>
      <c r="AQ727" s="1">
        <f>VLOOKUP($C727,'Substrate Heating'!$A$2:$M$33,8,FALSE)</f>
        <v>0.33333333333333331</v>
      </c>
      <c r="AR727" s="1">
        <f t="shared" si="11"/>
        <v>1.6703999999999999</v>
      </c>
    </row>
    <row r="728" spans="1:44" x14ac:dyDescent="0.2">
      <c r="A728" s="17" t="s">
        <v>231</v>
      </c>
      <c r="B728" s="9" t="s">
        <v>35</v>
      </c>
      <c r="C728" t="s">
        <v>331</v>
      </c>
      <c r="D728" s="10" t="s">
        <v>37</v>
      </c>
      <c r="E728" t="s">
        <v>279</v>
      </c>
      <c r="F728" t="s">
        <v>280</v>
      </c>
      <c r="G728">
        <v>-10</v>
      </c>
      <c r="H728">
        <v>-20</v>
      </c>
      <c r="I728" s="1" t="s">
        <v>40</v>
      </c>
      <c r="J728">
        <v>3.15</v>
      </c>
      <c r="K728">
        <v>-10</v>
      </c>
      <c r="L728">
        <v>-1.3743190661478599</v>
      </c>
      <c r="M728" s="1" t="s">
        <v>40</v>
      </c>
      <c r="N728">
        <v>4.8120622568093303</v>
      </c>
      <c r="O728">
        <v>1.6875486381322899</v>
      </c>
      <c r="P728"/>
      <c r="Q728">
        <v>0.16875486381322899</v>
      </c>
      <c r="R728">
        <v>0.34871257917527798</v>
      </c>
      <c r="S728" s="1" t="str">
        <f>VLOOKUP($E728,'Product Naming'!$A$1:$P$58,2,FALSE)</f>
        <v>Nonane</v>
      </c>
      <c r="T728" s="1" t="str">
        <f>VLOOKUP($E728,'Product Naming'!$A$1:$P$58,3,FALSE)</f>
        <v>Nonane</v>
      </c>
      <c r="U728" s="1" t="str">
        <f>VLOOKUP($E728,'Product Naming'!$A$1:$P$58,4,FALSE)</f>
        <v>E</v>
      </c>
      <c r="V728" s="1" t="str">
        <f>VLOOKUP($E728,'Product Naming'!$A$1:$P$58,5,FALSE)</f>
        <v>C9H20</v>
      </c>
      <c r="W728" s="1">
        <f>VLOOKUP($E728,'Product Naming'!$A$1:$P$58,6,FALSE)</f>
        <v>9</v>
      </c>
      <c r="X728" s="1">
        <f>VLOOKUP($E728,'Product Naming'!$A$1:$P$58,7,FALSE)</f>
        <v>20</v>
      </c>
      <c r="Y728" s="1">
        <f>VLOOKUP($E728,'Product Naming'!$A$1:$P$58,8,FALSE)</f>
        <v>0</v>
      </c>
      <c r="Z728" s="1">
        <f>VLOOKUP($E728,'Product Naming'!$A$1:$P$58,9,FALSE)</f>
        <v>0</v>
      </c>
      <c r="AA728" s="1">
        <f>VLOOKUP($E728,'Product Naming'!$A$1:$P$58,10,FALSE)</f>
        <v>0</v>
      </c>
      <c r="AB728" s="29">
        <f>VLOOKUP($E728,'Product Naming'!$A$1:$P$58,11,FALSE)</f>
        <v>6.2222222222222223</v>
      </c>
      <c r="AC728" s="3">
        <f>VLOOKUP($E728,'Product Naming'!$A$1:$P$58,12,FALSE)</f>
        <v>128.25309999999999</v>
      </c>
      <c r="AD728" s="1">
        <f>VLOOKUP($E728,'Product Naming'!$A$1:$P$58,13,FALSE)</f>
        <v>151</v>
      </c>
      <c r="AE728" s="1" t="str">
        <f>VLOOKUP($E728,'Product Naming'!$A$1:$P$58,14,FALSE)</f>
        <v>Hydrocarbon (alkane)</v>
      </c>
      <c r="AF728" s="1" t="str">
        <f>VLOOKUP($E728,'Product Naming'!$A$1:$P$58,15,FALSE)</f>
        <v>Acetyl-CoA</v>
      </c>
      <c r="AG728" s="30" t="str">
        <f>VLOOKUP($E728,'Product Naming'!$A$1:$P$58,16,FALSE)</f>
        <v>Proton symporter</v>
      </c>
      <c r="AH728" s="3" t="str">
        <f>VLOOKUP($E728,'Product Naming'!$A$1:$Q$58,17,FALSE)</f>
        <v>nonan_c</v>
      </c>
      <c r="AI728" s="1">
        <f>VLOOKUP($E728,'Product Parameters'!$A$2:$D$59,2,FALSE)</f>
        <v>1</v>
      </c>
      <c r="AJ728" s="1">
        <f>VLOOKUP($E728,'Product Parameters'!$A$2:$D$59,3,FALSE)</f>
        <v>0</v>
      </c>
      <c r="AK728" s="1">
        <f>VLOOKUP($E728,'Product Parameters'!$A$2:$D$59,4,FALSE)</f>
        <v>0.12</v>
      </c>
      <c r="AL728" s="1">
        <f>VLOOKUP($E728,'Product Parameters'!$A$2:$E$59,5,FALSE)</f>
        <v>46.5</v>
      </c>
      <c r="AM728" s="1">
        <f>VLOOKUP($E728,'Product Parameters'!$A$2:$F$59,6,FALSE)</f>
        <v>9</v>
      </c>
      <c r="AN728" s="1">
        <f>VLOOKUP($C728,'Substrate Heating'!$A$2:$C$33,3,FALSE)</f>
        <v>1055.1294800000001</v>
      </c>
      <c r="AO728" s="1">
        <f>VLOOKUP($C728,'Substrate Heating'!$A$2:$B$33,2,FALSE)</f>
        <v>17</v>
      </c>
      <c r="AP728" s="1">
        <f>VLOOKUP($C728,'Substrate Heating'!$A$2:$M$33,13,FALSE)</f>
        <v>5</v>
      </c>
      <c r="AQ728" s="1">
        <f>VLOOKUP($C728,'Substrate Heating'!$A$2:$M$33,8,FALSE)</f>
        <v>2</v>
      </c>
      <c r="AR728" s="1">
        <f t="shared" si="11"/>
        <v>0.75939688715953046</v>
      </c>
    </row>
    <row r="729" spans="1:44" x14ac:dyDescent="0.2">
      <c r="A729" s="8" t="s">
        <v>34</v>
      </c>
      <c r="B729" s="9" t="s">
        <v>35</v>
      </c>
      <c r="C729" s="1" t="s">
        <v>341</v>
      </c>
      <c r="D729" s="24" t="s">
        <v>342</v>
      </c>
      <c r="E729" s="1" t="s">
        <v>145</v>
      </c>
      <c r="F729" s="1" t="s">
        <v>146</v>
      </c>
      <c r="G729" s="1">
        <v>-10</v>
      </c>
      <c r="H729" s="1">
        <v>-20</v>
      </c>
      <c r="I729" s="1" t="s">
        <v>40</v>
      </c>
      <c r="J729" s="1">
        <v>3.15</v>
      </c>
      <c r="K729" s="1">
        <v>-10</v>
      </c>
      <c r="L729" s="1">
        <v>-10.6159340659341</v>
      </c>
      <c r="M729" s="1" t="s">
        <v>40</v>
      </c>
      <c r="N729" s="1">
        <v>19.330769230769199</v>
      </c>
      <c r="O729" s="1">
        <v>5.8098901098901097</v>
      </c>
      <c r="Q729" s="1">
        <v>0.58098901098901101</v>
      </c>
      <c r="R729" s="1">
        <v>0.34873934376791998</v>
      </c>
      <c r="S729" s="1" t="str">
        <f>VLOOKUP($E729,'Product Naming'!$A$1:$P$58,2,FALSE)</f>
        <v>Benzyl alcohol</v>
      </c>
      <c r="T729" s="1" t="str">
        <f>VLOOKUP($E729,'Product Naming'!$A$1:$P$58,3,FALSE)</f>
        <v>Benzyl alcohol</v>
      </c>
      <c r="U729" s="1" t="str">
        <f>VLOOKUP($E729,'Product Naming'!$A$1:$P$58,4,FALSE)</f>
        <v>E</v>
      </c>
      <c r="V729" s="1" t="str">
        <f>VLOOKUP($E729,'Product Naming'!$A$1:$P$58,5,FALSE)</f>
        <v>C7H8O</v>
      </c>
      <c r="W729" s="1">
        <f>VLOOKUP($E729,'Product Naming'!$A$1:$P$58,6,FALSE)</f>
        <v>7</v>
      </c>
      <c r="X729" s="1">
        <f>VLOOKUP($E729,'Product Naming'!$A$1:$P$58,7,FALSE)</f>
        <v>8</v>
      </c>
      <c r="Y729" s="1">
        <f>VLOOKUP($E729,'Product Naming'!$A$1:$P$58,8,FALSE)</f>
        <v>1</v>
      </c>
      <c r="Z729" s="1">
        <f>VLOOKUP($E729,'Product Naming'!$A$1:$P$58,9,FALSE)</f>
        <v>0</v>
      </c>
      <c r="AA729" s="1">
        <f>VLOOKUP($E729,'Product Naming'!$A$1:$P$58,10,FALSE)</f>
        <v>0</v>
      </c>
      <c r="AB729" s="29">
        <f>VLOOKUP($E729,'Product Naming'!$A$1:$P$58,11,FALSE)</f>
        <v>4.8571428571428568</v>
      </c>
      <c r="AC729" s="3">
        <f>VLOOKUP($E729,'Product Naming'!$A$1:$P$58,12,FALSE)</f>
        <v>108.13661999999999</v>
      </c>
      <c r="AD729" s="1">
        <f>VLOOKUP($E729,'Product Naming'!$A$1:$P$58,13,FALSE)</f>
        <v>205</v>
      </c>
      <c r="AE729" s="1" t="str">
        <f>VLOOKUP($E729,'Product Naming'!$A$1:$P$58,14,FALSE)</f>
        <v>Aromatic + Alcohol</v>
      </c>
      <c r="AF729" s="1" t="str">
        <f>VLOOKUP($E729,'Product Naming'!$A$1:$P$58,15,FALSE)</f>
        <v>E4P</v>
      </c>
      <c r="AG729" s="30" t="str">
        <f>VLOOKUP($E729,'Product Naming'!$A$1:$P$58,16,FALSE)</f>
        <v>Proton symporter</v>
      </c>
      <c r="AH729" s="3" t="str">
        <f>VLOOKUP($E729,'Product Naming'!$A$1:$Q$58,17,FALSE)</f>
        <v>bzalc_c</v>
      </c>
      <c r="AI729" s="1">
        <f>VLOOKUP($E729,'Product Parameters'!$A$2:$D$59,2,FALSE)</f>
        <v>1</v>
      </c>
      <c r="AJ729" s="1">
        <f>VLOOKUP($E729,'Product Parameters'!$A$2:$D$59,3,FALSE)</f>
        <v>0</v>
      </c>
      <c r="AK729" s="1">
        <f>VLOOKUP($E729,'Product Parameters'!$A$2:$D$59,4,FALSE)</f>
        <v>0.12</v>
      </c>
      <c r="AL729" s="1">
        <f>VLOOKUP($E729,'Product Parameters'!$A$2:$E$59,5,FALSE)</f>
        <v>63</v>
      </c>
      <c r="AM729" s="1">
        <f>VLOOKUP($E729,'Product Parameters'!$A$2:$F$59,6,FALSE)</f>
        <v>7</v>
      </c>
      <c r="AN729" s="1">
        <f>VLOOKUP($C729,'Substrate Heating'!$A$2:$C$33,3,FALSE)</f>
        <v>2828.4492</v>
      </c>
      <c r="AO729" s="1">
        <f>VLOOKUP($C729,'Substrate Heating'!$A$2:$B$33,2,FALSE)</f>
        <v>15.7</v>
      </c>
      <c r="AP729" s="1">
        <f>VLOOKUP($C729,'Substrate Heating'!$A$2:$M$33,13,FALSE)</f>
        <v>4</v>
      </c>
      <c r="AQ729" s="1">
        <f>VLOOKUP($C729,'Substrate Heating'!$A$2:$M$33,8,FALSE)</f>
        <v>6</v>
      </c>
      <c r="AR729" s="1">
        <f t="shared" si="11"/>
        <v>0.67782051282051281</v>
      </c>
    </row>
    <row r="730" spans="1:44" x14ac:dyDescent="0.2">
      <c r="A730" s="8" t="s">
        <v>34</v>
      </c>
      <c r="B730" s="9" t="s">
        <v>35</v>
      </c>
      <c r="C730" s="1" t="s">
        <v>346</v>
      </c>
      <c r="D730" s="23" t="s">
        <v>338</v>
      </c>
      <c r="E730" s="1" t="s">
        <v>158</v>
      </c>
      <c r="F730" s="1" t="s">
        <v>159</v>
      </c>
      <c r="G730" s="1">
        <v>-10</v>
      </c>
      <c r="H730" s="1">
        <v>-20</v>
      </c>
      <c r="I730" s="1" t="s">
        <v>40</v>
      </c>
      <c r="J730" s="1">
        <v>3.15</v>
      </c>
      <c r="K730" s="1">
        <v>-10</v>
      </c>
      <c r="L730" s="1">
        <v>-2.4993261455525602</v>
      </c>
      <c r="M730" s="1" t="s">
        <v>40</v>
      </c>
      <c r="N730" s="1">
        <v>2.3072776280323501</v>
      </c>
      <c r="O730" s="1">
        <v>1.9231805929919099</v>
      </c>
      <c r="Q730" s="1">
        <v>0.19231805929919099</v>
      </c>
      <c r="R730" s="1">
        <v>0.34885725965808101</v>
      </c>
      <c r="S730" s="1" t="str">
        <f>VLOOKUP($E730,'Product Naming'!$A$1:$P$58,2,FALSE)</f>
        <v>Butane</v>
      </c>
      <c r="T730" s="1" t="str">
        <f>VLOOKUP($E730,'Product Naming'!$A$1:$P$58,3,FALSE)</f>
        <v>Butane</v>
      </c>
      <c r="U730" s="1" t="str">
        <f>VLOOKUP($E730,'Product Naming'!$A$1:$P$58,4,FALSE)</f>
        <v>E</v>
      </c>
      <c r="V730" s="1" t="str">
        <f>VLOOKUP($E730,'Product Naming'!$A$1:$P$58,5,FALSE)</f>
        <v>C4H10</v>
      </c>
      <c r="W730" s="1">
        <f>VLOOKUP($E730,'Product Naming'!$A$1:$P$58,6,FALSE)</f>
        <v>4</v>
      </c>
      <c r="X730" s="1">
        <f>VLOOKUP($E730,'Product Naming'!$A$1:$P$58,7,FALSE)</f>
        <v>10</v>
      </c>
      <c r="Y730" s="1">
        <f>VLOOKUP($E730,'Product Naming'!$A$1:$P$58,8,FALSE)</f>
        <v>0</v>
      </c>
      <c r="Z730" s="1">
        <f>VLOOKUP($E730,'Product Naming'!$A$1:$P$58,9,FALSE)</f>
        <v>0</v>
      </c>
      <c r="AA730" s="1">
        <f>VLOOKUP($E730,'Product Naming'!$A$1:$P$58,10,FALSE)</f>
        <v>0</v>
      </c>
      <c r="AB730" s="29">
        <f>VLOOKUP($E730,'Product Naming'!$A$1:$P$58,11,FALSE)</f>
        <v>6.5</v>
      </c>
      <c r="AC730" s="3">
        <f>VLOOKUP($E730,'Product Naming'!$A$1:$P$58,12,FALSE)</f>
        <v>58.121200000000002</v>
      </c>
      <c r="AD730" s="1">
        <f>VLOOKUP($E730,'Product Naming'!$A$1:$P$58,13,FALSE)</f>
        <v>-1</v>
      </c>
      <c r="AE730" s="1" t="str">
        <f>VLOOKUP($E730,'Product Naming'!$A$1:$P$58,14,FALSE)</f>
        <v>Hydrocarbon (alkane)</v>
      </c>
      <c r="AF730" s="1" t="str">
        <f>VLOOKUP($E730,'Product Naming'!$A$1:$P$58,15,FALSE)</f>
        <v>Acetyl-CoA + Succinyl-CoA</v>
      </c>
      <c r="AG730" s="30" t="str">
        <f>VLOOKUP($E730,'Product Naming'!$A$1:$P$58,16,FALSE)</f>
        <v>Diffusion</v>
      </c>
      <c r="AH730" s="3" t="str">
        <f>VLOOKUP($E730,'Product Naming'!$A$1:$Q$58,17,FALSE)</f>
        <v>butn_c</v>
      </c>
      <c r="AI730" s="1">
        <f>VLOOKUP($E730,'Product Parameters'!$A$2:$D$59,2,FALSE)</f>
        <v>0</v>
      </c>
      <c r="AJ730" s="1">
        <f>VLOOKUP($E730,'Product Parameters'!$A$2:$D$59,3,FALSE)</f>
        <v>1</v>
      </c>
      <c r="AK730" s="1">
        <f>VLOOKUP($E730,'Product Parameters'!$A$2:$D$59,4,FALSE)</f>
        <v>0.12</v>
      </c>
      <c r="AL730" s="1">
        <f>VLOOKUP($E730,'Product Parameters'!$A$2:$E$59,5,FALSE)</f>
        <v>0</v>
      </c>
      <c r="AM730" s="1">
        <f>VLOOKUP($E730,'Product Parameters'!$A$2:$F$59,6,FALSE)</f>
        <v>4</v>
      </c>
      <c r="AN730" s="1">
        <f>VLOOKUP($C730,'Substrate Heating'!$A$2:$C$33,3,FALSE)</f>
        <v>638.57832580000002</v>
      </c>
      <c r="AO730" s="1">
        <f>VLOOKUP($C730,'Substrate Heating'!$A$2:$B$33,2,FALSE)</f>
        <v>19.93</v>
      </c>
      <c r="AP730" s="1">
        <f>VLOOKUP($C730,'Substrate Heating'!$A$2:$M$33,13,FALSE)</f>
        <v>6</v>
      </c>
      <c r="AQ730" s="1">
        <f>VLOOKUP($C730,'Substrate Heating'!$A$2:$M$33,8,FALSE)</f>
        <v>1</v>
      </c>
      <c r="AR730" s="1">
        <f t="shared" si="11"/>
        <v>0.76927223719676396</v>
      </c>
    </row>
    <row r="731" spans="1:44" x14ac:dyDescent="0.2">
      <c r="A731" s="8" t="s">
        <v>34</v>
      </c>
      <c r="B731" s="9" t="s">
        <v>35</v>
      </c>
      <c r="C731" s="1" t="s">
        <v>347</v>
      </c>
      <c r="D731" s="23" t="s">
        <v>338</v>
      </c>
      <c r="E731" s="1" t="s">
        <v>158</v>
      </c>
      <c r="F731" s="1" t="s">
        <v>159</v>
      </c>
      <c r="G731" s="1">
        <v>-10</v>
      </c>
      <c r="H731" s="1">
        <v>-20</v>
      </c>
      <c r="I731" s="1" t="s">
        <v>40</v>
      </c>
      <c r="J731" s="1">
        <v>3.15</v>
      </c>
      <c r="K731" s="1">
        <v>-10</v>
      </c>
      <c r="L731" s="1">
        <v>-2.4993261455525602</v>
      </c>
      <c r="M731" s="1" t="s">
        <v>40</v>
      </c>
      <c r="N731" s="1">
        <v>2.3072776280323501</v>
      </c>
      <c r="O731" s="1">
        <v>1.9231805929919199</v>
      </c>
      <c r="Q731" s="1">
        <v>0.19231805929919199</v>
      </c>
      <c r="R731" s="1">
        <v>0.34885725965808301</v>
      </c>
      <c r="S731" s="1" t="str">
        <f>VLOOKUP($E731,'Product Naming'!$A$1:$P$58,2,FALSE)</f>
        <v>Butane</v>
      </c>
      <c r="T731" s="1" t="str">
        <f>VLOOKUP($E731,'Product Naming'!$A$1:$P$58,3,FALSE)</f>
        <v>Butane</v>
      </c>
      <c r="U731" s="1" t="str">
        <f>VLOOKUP($E731,'Product Naming'!$A$1:$P$58,4,FALSE)</f>
        <v>E</v>
      </c>
      <c r="V731" s="1" t="str">
        <f>VLOOKUP($E731,'Product Naming'!$A$1:$P$58,5,FALSE)</f>
        <v>C4H10</v>
      </c>
      <c r="W731" s="1">
        <f>VLOOKUP($E731,'Product Naming'!$A$1:$P$58,6,FALSE)</f>
        <v>4</v>
      </c>
      <c r="X731" s="1">
        <f>VLOOKUP($E731,'Product Naming'!$A$1:$P$58,7,FALSE)</f>
        <v>10</v>
      </c>
      <c r="Y731" s="1">
        <f>VLOOKUP($E731,'Product Naming'!$A$1:$P$58,8,FALSE)</f>
        <v>0</v>
      </c>
      <c r="Z731" s="1">
        <f>VLOOKUP($E731,'Product Naming'!$A$1:$P$58,9,FALSE)</f>
        <v>0</v>
      </c>
      <c r="AA731" s="1">
        <f>VLOOKUP($E731,'Product Naming'!$A$1:$P$58,10,FALSE)</f>
        <v>0</v>
      </c>
      <c r="AB731" s="29">
        <f>VLOOKUP($E731,'Product Naming'!$A$1:$P$58,11,FALSE)</f>
        <v>6.5</v>
      </c>
      <c r="AC731" s="3">
        <f>VLOOKUP($E731,'Product Naming'!$A$1:$P$58,12,FALSE)</f>
        <v>58.121200000000002</v>
      </c>
      <c r="AD731" s="1">
        <f>VLOOKUP($E731,'Product Naming'!$A$1:$P$58,13,FALSE)</f>
        <v>-1</v>
      </c>
      <c r="AE731" s="1" t="str">
        <f>VLOOKUP($E731,'Product Naming'!$A$1:$P$58,14,FALSE)</f>
        <v>Hydrocarbon (alkane)</v>
      </c>
      <c r="AF731" s="1" t="str">
        <f>VLOOKUP($E731,'Product Naming'!$A$1:$P$58,15,FALSE)</f>
        <v>Acetyl-CoA + Succinyl-CoA</v>
      </c>
      <c r="AG731" s="30" t="str">
        <f>VLOOKUP($E731,'Product Naming'!$A$1:$P$58,16,FALSE)</f>
        <v>Diffusion</v>
      </c>
      <c r="AH731" s="3" t="str">
        <f>VLOOKUP($E731,'Product Naming'!$A$1:$Q$58,17,FALSE)</f>
        <v>butn_c</v>
      </c>
      <c r="AI731" s="1">
        <f>VLOOKUP($E731,'Product Parameters'!$A$2:$D$59,2,FALSE)</f>
        <v>0</v>
      </c>
      <c r="AJ731" s="1">
        <f>VLOOKUP($E731,'Product Parameters'!$A$2:$D$59,3,FALSE)</f>
        <v>1</v>
      </c>
      <c r="AK731" s="1">
        <f>VLOOKUP($E731,'Product Parameters'!$A$2:$D$59,4,FALSE)</f>
        <v>0.12</v>
      </c>
      <c r="AL731" s="1">
        <f>VLOOKUP($E731,'Product Parameters'!$A$2:$E$59,5,FALSE)</f>
        <v>0</v>
      </c>
      <c r="AM731" s="1">
        <f>VLOOKUP($E731,'Product Parameters'!$A$2:$F$59,6,FALSE)</f>
        <v>4</v>
      </c>
      <c r="AN731" s="1">
        <f>VLOOKUP($C731,'Substrate Heating'!$A$2:$C$33,3,FALSE)</f>
        <v>638.57832580000002</v>
      </c>
      <c r="AO731" s="1">
        <f>VLOOKUP($C731,'Substrate Heating'!$A$2:$B$33,2,FALSE)</f>
        <v>19.93</v>
      </c>
      <c r="AP731" s="1">
        <f>VLOOKUP($C731,'Substrate Heating'!$A$2:$M$33,13,FALSE)</f>
        <v>6</v>
      </c>
      <c r="AQ731" s="1">
        <f>VLOOKUP($C731,'Substrate Heating'!$A$2:$M$33,8,FALSE)</f>
        <v>1</v>
      </c>
      <c r="AR731" s="1">
        <f t="shared" si="11"/>
        <v>0.76927223719676796</v>
      </c>
    </row>
    <row r="732" spans="1:44" x14ac:dyDescent="0.2">
      <c r="A732" s="8" t="s">
        <v>34</v>
      </c>
      <c r="B732" s="9" t="s">
        <v>35</v>
      </c>
      <c r="C732" s="1" t="s">
        <v>344</v>
      </c>
      <c r="D732" s="10" t="s">
        <v>37</v>
      </c>
      <c r="E732" s="1" t="s">
        <v>119</v>
      </c>
      <c r="F732" s="1" t="s">
        <v>120</v>
      </c>
      <c r="G732" s="1">
        <v>-10</v>
      </c>
      <c r="H732" s="1">
        <v>-20</v>
      </c>
      <c r="I732" s="1" t="s">
        <v>40</v>
      </c>
      <c r="J732" s="1">
        <v>3.15</v>
      </c>
      <c r="K732" s="1">
        <v>-10</v>
      </c>
      <c r="L732" s="1">
        <v>-5.5595959595959599</v>
      </c>
      <c r="M732" s="1" t="s">
        <v>40</v>
      </c>
      <c r="N732" s="1">
        <v>9.1696969696969699</v>
      </c>
      <c r="O732" s="1">
        <v>3.61010101010101</v>
      </c>
      <c r="Q732" s="1">
        <v>0.361010101010101</v>
      </c>
      <c r="R732" s="1">
        <v>0.34914399500231103</v>
      </c>
      <c r="S732" s="1" t="str">
        <f>VLOOKUP($E732,'Product Naming'!$A$1:$P$58,2,FALSE)</f>
        <v>Acetone</v>
      </c>
      <c r="T732" s="1" t="str">
        <f>VLOOKUP($E732,'Product Naming'!$A$1:$P$58,3,FALSE)</f>
        <v>Acetone</v>
      </c>
      <c r="U732" s="1" t="str">
        <f>VLOOKUP($E732,'Product Naming'!$A$1:$P$58,4,FALSE)</f>
        <v>A</v>
      </c>
      <c r="V732" s="1" t="str">
        <f>VLOOKUP($E732,'Product Naming'!$A$1:$P$58,5,FALSE)</f>
        <v>C3H6O</v>
      </c>
      <c r="W732" s="1">
        <f>VLOOKUP($E732,'Product Naming'!$A$1:$P$58,6,FALSE)</f>
        <v>3</v>
      </c>
      <c r="X732" s="1">
        <f>VLOOKUP($E732,'Product Naming'!$A$1:$P$58,7,FALSE)</f>
        <v>6</v>
      </c>
      <c r="Y732" s="1">
        <f>VLOOKUP($E732,'Product Naming'!$A$1:$P$58,8,FALSE)</f>
        <v>1</v>
      </c>
      <c r="Z732" s="1">
        <f>VLOOKUP($E732,'Product Naming'!$A$1:$P$58,9,FALSE)</f>
        <v>0</v>
      </c>
      <c r="AA732" s="1">
        <f>VLOOKUP($E732,'Product Naming'!$A$1:$P$58,10,FALSE)</f>
        <v>0</v>
      </c>
      <c r="AB732" s="29">
        <f>VLOOKUP($E732,'Product Naming'!$A$1:$P$58,11,FALSE)</f>
        <v>5.333333333333333</v>
      </c>
      <c r="AC732" s="3">
        <f>VLOOKUP($E732,'Product Naming'!$A$1:$P$58,12,FALSE)</f>
        <v>58.078140000000005</v>
      </c>
      <c r="AD732" s="1">
        <f>VLOOKUP($E732,'Product Naming'!$A$1:$P$58,13,FALSE)</f>
        <v>56</v>
      </c>
      <c r="AE732" s="1" t="str">
        <f>VLOOKUP($E732,'Product Naming'!$A$1:$P$58,14,FALSE)</f>
        <v>Ketone</v>
      </c>
      <c r="AF732" s="1" t="str">
        <f>VLOOKUP($E732,'Product Naming'!$A$1:$P$58,15,FALSE)</f>
        <v>Acetyl-CoA</v>
      </c>
      <c r="AG732" s="30" t="str">
        <f>VLOOKUP($E732,'Product Naming'!$A$1:$P$58,16,FALSE)</f>
        <v>Proton symporter</v>
      </c>
      <c r="AH732" s="3" t="str">
        <f>VLOOKUP($E732,'Product Naming'!$A$1:$Q$58,17,FALSE)</f>
        <v>acetone_c</v>
      </c>
      <c r="AI732" s="1">
        <f>VLOOKUP($E732,'Product Parameters'!$A$2:$D$59,2,FALSE)</f>
        <v>1</v>
      </c>
      <c r="AJ732" s="1">
        <f>VLOOKUP($E732,'Product Parameters'!$A$2:$D$59,3,FALSE)</f>
        <v>0</v>
      </c>
      <c r="AK732" s="1">
        <f>VLOOKUP($E732,'Product Parameters'!$A$2:$D$59,4,FALSE)</f>
        <v>0.12</v>
      </c>
      <c r="AL732" s="1">
        <f>VLOOKUP($E732,'Product Parameters'!$A$2:$E$59,5,FALSE)</f>
        <v>31.3</v>
      </c>
      <c r="AM732" s="1">
        <f>VLOOKUP($E732,'Product Parameters'!$A$2:$F$59,6,FALSE)</f>
        <v>3</v>
      </c>
      <c r="AN732" s="1">
        <f>VLOOKUP($C732,'Substrate Heating'!$A$2:$C$33,3,FALSE)</f>
        <v>1020.8629199999999</v>
      </c>
      <c r="AO732" s="1">
        <f>VLOOKUP($C732,'Substrate Heating'!$A$2:$B$33,2,FALSE)</f>
        <v>17</v>
      </c>
      <c r="AP732" s="1">
        <f>VLOOKUP($C732,'Substrate Heating'!$A$2:$M$33,13,FALSE)</f>
        <v>4</v>
      </c>
      <c r="AQ732" s="1">
        <f>VLOOKUP($C732,'Substrate Heating'!$A$2:$M$33,8,FALSE)</f>
        <v>2</v>
      </c>
      <c r="AR732" s="1">
        <f t="shared" si="11"/>
        <v>0.5415151515151515</v>
      </c>
    </row>
    <row r="733" spans="1:44" x14ac:dyDescent="0.2">
      <c r="A733" s="8" t="s">
        <v>34</v>
      </c>
      <c r="B733" s="9" t="s">
        <v>35</v>
      </c>
      <c r="C733" s="1" t="s">
        <v>330</v>
      </c>
      <c r="D733" s="10" t="s">
        <v>37</v>
      </c>
      <c r="E733" s="1" t="s">
        <v>297</v>
      </c>
      <c r="F733" s="1" t="s">
        <v>298</v>
      </c>
      <c r="G733" s="1">
        <v>-10</v>
      </c>
      <c r="H733" s="1">
        <v>-20</v>
      </c>
      <c r="I733" s="1" t="s">
        <v>40</v>
      </c>
      <c r="J733" s="1">
        <v>3.15</v>
      </c>
      <c r="K733" s="1">
        <v>-10</v>
      </c>
      <c r="L733" s="1">
        <v>-8.8812598425196896</v>
      </c>
      <c r="M733" s="1" t="s">
        <v>40</v>
      </c>
      <c r="N733" s="1">
        <v>6.1839370078740101</v>
      </c>
      <c r="O733" s="1">
        <v>2.3026771653543299</v>
      </c>
      <c r="Q733" s="1">
        <v>0.23026771653543299</v>
      </c>
      <c r="R733" s="1">
        <v>0.34915107155242697</v>
      </c>
      <c r="S733" s="1" t="str">
        <f>VLOOKUP($E733,'Product Naming'!$A$1:$P$58,2,FALSE)</f>
        <v>Phenol</v>
      </c>
      <c r="T733" s="1" t="str">
        <f>VLOOKUP($E733,'Product Naming'!$A$1:$P$58,3,FALSE)</f>
        <v>Phenol</v>
      </c>
      <c r="U733" s="1" t="str">
        <f>VLOOKUP($E733,'Product Naming'!$A$1:$P$58,4,FALSE)</f>
        <v>E-S</v>
      </c>
      <c r="V733" s="1" t="str">
        <f>VLOOKUP($E733,'Product Naming'!$A$1:$P$58,5,FALSE)</f>
        <v>C6H6O</v>
      </c>
      <c r="W733" s="1">
        <f>VLOOKUP($E733,'Product Naming'!$A$1:$P$58,6,FALSE)</f>
        <v>6</v>
      </c>
      <c r="X733" s="1">
        <f>VLOOKUP($E733,'Product Naming'!$A$1:$P$58,7,FALSE)</f>
        <v>6</v>
      </c>
      <c r="Y733" s="1">
        <f>VLOOKUP($E733,'Product Naming'!$A$1:$P$58,8,FALSE)</f>
        <v>1</v>
      </c>
      <c r="Z733" s="1">
        <f>VLOOKUP($E733,'Product Naming'!$A$1:$P$58,9,FALSE)</f>
        <v>0</v>
      </c>
      <c r="AA733" s="1">
        <f>VLOOKUP($E733,'Product Naming'!$A$1:$P$58,10,FALSE)</f>
        <v>0</v>
      </c>
      <c r="AB733" s="29">
        <f>VLOOKUP($E733,'Product Naming'!$A$1:$P$58,11,FALSE)</f>
        <v>4.666666666666667</v>
      </c>
      <c r="AC733" s="3">
        <f>VLOOKUP($E733,'Product Naming'!$A$1:$P$58,12,FALSE)</f>
        <v>94.11023999999999</v>
      </c>
      <c r="AD733" s="1">
        <f>VLOOKUP($E733,'Product Naming'!$A$1:$P$58,13,FALSE)</f>
        <v>181.7</v>
      </c>
      <c r="AE733" s="1" t="str">
        <f>VLOOKUP($E733,'Product Naming'!$A$1:$P$58,14,FALSE)</f>
        <v>Aromatic + Alcohol</v>
      </c>
      <c r="AF733" s="1" t="str">
        <f>VLOOKUP($E733,'Product Naming'!$A$1:$P$58,15,FALSE)</f>
        <v>E4P + L-glutamate</v>
      </c>
      <c r="AG733" s="30" t="str">
        <f>VLOOKUP($E733,'Product Naming'!$A$1:$P$58,16,FALSE)</f>
        <v>Proton symporter</v>
      </c>
      <c r="AH733" s="3" t="str">
        <f>VLOOKUP($E733,'Product Naming'!$A$1:$Q$58,17,FALSE)</f>
        <v>phenol_c</v>
      </c>
      <c r="AI733" s="1">
        <f>VLOOKUP($E733,'Product Parameters'!$A$2:$D$59,2,FALSE)</f>
        <v>1</v>
      </c>
      <c r="AJ733" s="1">
        <f>VLOOKUP($E733,'Product Parameters'!$A$2:$D$59,3,FALSE)</f>
        <v>0</v>
      </c>
      <c r="AK733" s="1">
        <f>VLOOKUP($E733,'Product Parameters'!$A$2:$D$59,4,FALSE)</f>
        <v>0.12</v>
      </c>
      <c r="AL733" s="1">
        <f>VLOOKUP($E733,'Product Parameters'!$A$2:$E$59,5,FALSE)</f>
        <v>58.8</v>
      </c>
      <c r="AM733" s="1">
        <f>VLOOKUP($E733,'Product Parameters'!$A$2:$F$59,6,FALSE)</f>
        <v>6</v>
      </c>
      <c r="AN733" s="1">
        <f>VLOOKUP($C733,'Substrate Heating'!$A$2:$C$33,3,FALSE)</f>
        <v>1055.1294800000001</v>
      </c>
      <c r="AO733" s="1">
        <f>VLOOKUP($C733,'Substrate Heating'!$A$2:$B$33,2,FALSE)</f>
        <v>17</v>
      </c>
      <c r="AP733" s="1">
        <f>VLOOKUP($C733,'Substrate Heating'!$A$2:$M$33,13,FALSE)</f>
        <v>5</v>
      </c>
      <c r="AQ733" s="1">
        <f>VLOOKUP($C733,'Substrate Heating'!$A$2:$M$33,8,FALSE)</f>
        <v>2</v>
      </c>
      <c r="AR733" s="1">
        <f t="shared" si="11"/>
        <v>0.69080314960629896</v>
      </c>
    </row>
    <row r="734" spans="1:44" x14ac:dyDescent="0.2">
      <c r="A734" s="8" t="s">
        <v>34</v>
      </c>
      <c r="B734" s="9" t="s">
        <v>35</v>
      </c>
      <c r="C734" s="1" t="s">
        <v>349</v>
      </c>
      <c r="D734" s="25" t="s">
        <v>342</v>
      </c>
      <c r="E734" s="1" t="s">
        <v>103</v>
      </c>
      <c r="F734" s="1" t="s">
        <v>104</v>
      </c>
      <c r="G734" s="1">
        <v>-10</v>
      </c>
      <c r="H734" s="1">
        <v>-20</v>
      </c>
      <c r="I734" s="1" t="s">
        <v>40</v>
      </c>
      <c r="J734" s="1">
        <v>3.15</v>
      </c>
      <c r="K734" s="1">
        <v>-10</v>
      </c>
      <c r="L734" s="1">
        <v>-3.8210526315789499</v>
      </c>
      <c r="M734" s="1" t="s">
        <v>40</v>
      </c>
      <c r="N734" s="1">
        <v>19.214035087719299</v>
      </c>
      <c r="O734" s="1">
        <v>5.1309941520467799</v>
      </c>
      <c r="Q734" s="1">
        <v>0.51309941520467806</v>
      </c>
      <c r="R734" s="1">
        <v>0.34919660311550599</v>
      </c>
      <c r="S734" s="1" t="str">
        <f>VLOOKUP($E734,'Product Naming'!$A$1:$P$58,2,FALSE)</f>
        <v>3-Methyl-1-Pentanol</v>
      </c>
      <c r="T734" s="1" t="str">
        <f>VLOOKUP($E734,'Product Naming'!$A$1:$P$58,3,FALSE)</f>
        <v>3-Methyl-1-pentanol</v>
      </c>
      <c r="U734" s="1" t="str">
        <f>VLOOKUP($E734,'Product Naming'!$A$1:$P$58,4,FALSE)</f>
        <v>A</v>
      </c>
      <c r="V734" s="1" t="str">
        <f>VLOOKUP($E734,'Product Naming'!$A$1:$P$58,5,FALSE)</f>
        <v>C6H14O</v>
      </c>
      <c r="W734" s="1">
        <f>VLOOKUP($E734,'Product Naming'!$A$1:$P$58,6,FALSE)</f>
        <v>6</v>
      </c>
      <c r="X734" s="1">
        <f>VLOOKUP($E734,'Product Naming'!$A$1:$P$58,7,FALSE)</f>
        <v>14</v>
      </c>
      <c r="Y734" s="1">
        <f>VLOOKUP($E734,'Product Naming'!$A$1:$P$58,8,FALSE)</f>
        <v>1</v>
      </c>
      <c r="Z734" s="1">
        <f>VLOOKUP($E734,'Product Naming'!$A$1:$P$58,9,FALSE)</f>
        <v>0</v>
      </c>
      <c r="AA734" s="1">
        <f>VLOOKUP($E734,'Product Naming'!$A$1:$P$58,10,FALSE)</f>
        <v>0</v>
      </c>
      <c r="AB734" s="29">
        <f>VLOOKUP($E734,'Product Naming'!$A$1:$P$58,11,FALSE)</f>
        <v>6</v>
      </c>
      <c r="AC734" s="3">
        <f>VLOOKUP($E734,'Product Naming'!$A$1:$P$58,12,FALSE)</f>
        <v>102.17295999999999</v>
      </c>
      <c r="AD734" s="1">
        <f>VLOOKUP($E734,'Product Naming'!$A$1:$P$58,13,FALSE)</f>
        <v>153</v>
      </c>
      <c r="AE734" s="1" t="str">
        <f>VLOOKUP($E734,'Product Naming'!$A$1:$P$58,14,FALSE)</f>
        <v>Alcohol</v>
      </c>
      <c r="AF734" s="1" t="str">
        <f>VLOOKUP($E734,'Product Naming'!$A$1:$P$58,15,FALSE)</f>
        <v>Oxaloacetate</v>
      </c>
      <c r="AG734" s="30" t="str">
        <f>VLOOKUP($E734,'Product Naming'!$A$1:$P$58,16,FALSE)</f>
        <v>Proton symporter</v>
      </c>
      <c r="AH734" s="3" t="str">
        <f>VLOOKUP($E734,'Product Naming'!$A$1:$Q$58,17,FALSE)</f>
        <v>3mptoh_c</v>
      </c>
      <c r="AI734" s="1">
        <f>VLOOKUP($E734,'Product Parameters'!$A$2:$D$59,2,FALSE)</f>
        <v>1</v>
      </c>
      <c r="AJ734" s="1">
        <f>VLOOKUP($E734,'Product Parameters'!$A$2:$D$59,3,FALSE)</f>
        <v>0</v>
      </c>
      <c r="AK734" s="1">
        <f>VLOOKUP($E734,'Product Parameters'!$A$2:$D$59,4,FALSE)</f>
        <v>0.12</v>
      </c>
      <c r="AL734" s="1">
        <f>VLOOKUP($E734,'Product Parameters'!$A$2:$E$59,5,FALSE)</f>
        <v>61.7</v>
      </c>
      <c r="AM734" s="1">
        <f>VLOOKUP($E734,'Product Parameters'!$A$2:$F$59,6,FALSE)</f>
        <v>6</v>
      </c>
      <c r="AN734" s="1">
        <f>VLOOKUP($C734,'Substrate Heating'!$A$2:$C$33,3,FALSE)</f>
        <v>2342.0279999999998</v>
      </c>
      <c r="AO734" s="1">
        <f>VLOOKUP($C734,'Substrate Heating'!$A$2:$B$33,2,FALSE)</f>
        <v>15.6</v>
      </c>
      <c r="AP734" s="1">
        <f>VLOOKUP($C734,'Substrate Heating'!$A$2:$M$33,13,FALSE)</f>
        <v>4</v>
      </c>
      <c r="AQ734" s="1">
        <f>VLOOKUP($C734,'Substrate Heating'!$A$2:$M$33,8,FALSE)</f>
        <v>5</v>
      </c>
      <c r="AR734" s="1">
        <f t="shared" si="11"/>
        <v>0.61571929824561367</v>
      </c>
    </row>
    <row r="735" spans="1:44" x14ac:dyDescent="0.2">
      <c r="A735" s="8" t="s">
        <v>34</v>
      </c>
      <c r="B735" s="9" t="s">
        <v>35</v>
      </c>
      <c r="C735" s="1" t="s">
        <v>343</v>
      </c>
      <c r="D735" s="24" t="s">
        <v>342</v>
      </c>
      <c r="E735" s="1" t="s">
        <v>247</v>
      </c>
      <c r="F735" s="1" t="s">
        <v>248</v>
      </c>
      <c r="G735" s="1">
        <v>-10</v>
      </c>
      <c r="H735" s="1">
        <v>-20</v>
      </c>
      <c r="I735" s="1" t="s">
        <v>40</v>
      </c>
      <c r="J735" s="1">
        <v>3.15</v>
      </c>
      <c r="K735" s="1">
        <v>-10</v>
      </c>
      <c r="L735" s="1">
        <v>-1.93389830508475</v>
      </c>
      <c r="M735" s="1" t="s">
        <v>40</v>
      </c>
      <c r="N735" s="1">
        <v>6.3813559322033804</v>
      </c>
      <c r="O735" s="1">
        <v>4.7237288135593101</v>
      </c>
      <c r="Q735" s="1">
        <v>0.47237288135593097</v>
      </c>
      <c r="R735" s="1">
        <v>0.34938560598826901</v>
      </c>
      <c r="S735" s="1" t="str">
        <f>VLOOKUP($E735,'Product Naming'!$A$1:$P$58,2,FALSE)</f>
        <v>Isoprene</v>
      </c>
      <c r="T735" s="1" t="str">
        <f>VLOOKUP($E735,'Product Naming'!$A$1:$P$58,3,FALSE)</f>
        <v>Isoprene</v>
      </c>
      <c r="U735" s="1" t="str">
        <f>VLOOKUP($E735,'Product Naming'!$A$1:$P$58,4,FALSE)</f>
        <v>E</v>
      </c>
      <c r="V735" s="1" t="str">
        <f>VLOOKUP($E735,'Product Naming'!$A$1:$P$58,5,FALSE)</f>
        <v>C5H8</v>
      </c>
      <c r="W735" s="1">
        <f>VLOOKUP($E735,'Product Naming'!$A$1:$P$58,6,FALSE)</f>
        <v>5</v>
      </c>
      <c r="X735" s="1">
        <f>VLOOKUP($E735,'Product Naming'!$A$1:$P$58,7,FALSE)</f>
        <v>8</v>
      </c>
      <c r="Y735" s="1">
        <f>VLOOKUP($E735,'Product Naming'!$A$1:$P$58,8,FALSE)</f>
        <v>0</v>
      </c>
      <c r="Z735" s="1">
        <f>VLOOKUP($E735,'Product Naming'!$A$1:$P$58,9,FALSE)</f>
        <v>0</v>
      </c>
      <c r="AA735" s="1">
        <f>VLOOKUP($E735,'Product Naming'!$A$1:$P$58,10,FALSE)</f>
        <v>0</v>
      </c>
      <c r="AB735" s="29">
        <f>VLOOKUP($E735,'Product Naming'!$A$1:$P$58,11,FALSE)</f>
        <v>5.6</v>
      </c>
      <c r="AC735" s="3">
        <f>VLOOKUP($E735,'Product Naming'!$A$1:$P$58,12,FALSE)</f>
        <v>68.116219999999998</v>
      </c>
      <c r="AD735" s="1">
        <f>VLOOKUP($E735,'Product Naming'!$A$1:$P$58,13,FALSE)</f>
        <v>34.07</v>
      </c>
      <c r="AE735" s="1" t="str">
        <f>VLOOKUP($E735,'Product Naming'!$A$1:$P$58,14,FALSE)</f>
        <v>Hydrocarbon</v>
      </c>
      <c r="AF735" s="1" t="str">
        <f>VLOOKUP($E735,'Product Naming'!$A$1:$P$58,15,FALSE)</f>
        <v>Acetyl-CoA</v>
      </c>
      <c r="AG735" s="30" t="str">
        <f>VLOOKUP($E735,'Product Naming'!$A$1:$P$58,16,FALSE)</f>
        <v>Diffusion</v>
      </c>
      <c r="AH735" s="3" t="str">
        <f>VLOOKUP($E735,'Product Naming'!$A$1:$Q$58,17,FALSE)</f>
        <v>iprene_c</v>
      </c>
      <c r="AI735" s="1">
        <f>VLOOKUP($E735,'Product Parameters'!$A$2:$D$59,2,FALSE)</f>
        <v>0</v>
      </c>
      <c r="AJ735" s="1">
        <f>VLOOKUP($E735,'Product Parameters'!$A$2:$D$59,3,FALSE)</f>
        <v>1</v>
      </c>
      <c r="AK735" s="1">
        <f>VLOOKUP($E735,'Product Parameters'!$A$2:$D$59,4,FALSE)</f>
        <v>0.12</v>
      </c>
      <c r="AL735" s="1">
        <f>VLOOKUP($E735,'Product Parameters'!$A$2:$E$59,5,FALSE)</f>
        <v>26.4</v>
      </c>
      <c r="AM735" s="1">
        <f>VLOOKUP($E735,'Product Parameters'!$A$2:$F$59,6,FALSE)</f>
        <v>5</v>
      </c>
      <c r="AN735" s="1">
        <f>VLOOKUP($C735,'Substrate Heating'!$A$2:$C$33,3,FALSE)</f>
        <v>1648.4793779999998</v>
      </c>
      <c r="AO735" s="1">
        <f>VLOOKUP($C735,'Substrate Heating'!$A$2:$B$33,2,FALSE)</f>
        <v>17.899999999999999</v>
      </c>
      <c r="AP735" s="1">
        <f>VLOOKUP($C735,'Substrate Heating'!$A$2:$M$33,13,FALSE)</f>
        <v>4.666666666666667</v>
      </c>
      <c r="AQ735" s="1">
        <f>VLOOKUP($C735,'Substrate Heating'!$A$2:$M$33,8,FALSE)</f>
        <v>3</v>
      </c>
      <c r="AR735" s="1">
        <f t="shared" si="11"/>
        <v>0.78728813559321831</v>
      </c>
    </row>
    <row r="736" spans="1:44" x14ac:dyDescent="0.2">
      <c r="A736" s="8" t="s">
        <v>34</v>
      </c>
      <c r="B736" s="9" t="s">
        <v>35</v>
      </c>
      <c r="C736" s="1" t="s">
        <v>345</v>
      </c>
      <c r="D736" s="10" t="s">
        <v>37</v>
      </c>
      <c r="E736" s="1" t="s">
        <v>81</v>
      </c>
      <c r="F736" s="1" t="s">
        <v>73</v>
      </c>
      <c r="G736" s="1">
        <v>-10</v>
      </c>
      <c r="H736" s="1">
        <v>-20</v>
      </c>
      <c r="I736" s="1" t="s">
        <v>40</v>
      </c>
      <c r="J736" s="1">
        <v>3.15</v>
      </c>
      <c r="K736" s="1">
        <v>-10</v>
      </c>
      <c r="L736" s="1">
        <v>-4.2552941176470602</v>
      </c>
      <c r="M736" s="1" t="s">
        <v>40</v>
      </c>
      <c r="N736" s="1">
        <v>9.5035294117646991</v>
      </c>
      <c r="O736" s="1">
        <v>3.49882352941176</v>
      </c>
      <c r="Q736" s="1">
        <v>0.34988235294117598</v>
      </c>
      <c r="R736" s="1">
        <v>0.35012600977192299</v>
      </c>
      <c r="S736" s="1" t="str">
        <f>VLOOKUP($E736,'Product Naming'!$A$1:$P$58,2,FALSE)</f>
        <v>1-propanol-PW2</v>
      </c>
      <c r="T736" s="1" t="str">
        <f>VLOOKUP($E736,'Product Naming'!$A$1:$P$58,3,FALSE)</f>
        <v>1-Propanol (PW2)</v>
      </c>
      <c r="U736" s="1" t="str">
        <f>VLOOKUP($E736,'Product Naming'!$A$1:$P$58,4,FALSE)</f>
        <v>E-S</v>
      </c>
      <c r="V736" s="1" t="str">
        <f>VLOOKUP($E736,'Product Naming'!$A$1:$P$58,5,FALSE)</f>
        <v>C3H8O</v>
      </c>
      <c r="W736" s="1">
        <f>VLOOKUP($E736,'Product Naming'!$A$1:$P$58,6,FALSE)</f>
        <v>3</v>
      </c>
      <c r="X736" s="1">
        <f>VLOOKUP($E736,'Product Naming'!$A$1:$P$58,7,FALSE)</f>
        <v>8</v>
      </c>
      <c r="Y736" s="1">
        <f>VLOOKUP($E736,'Product Naming'!$A$1:$P$58,8,FALSE)</f>
        <v>1</v>
      </c>
      <c r="Z736" s="1">
        <f>VLOOKUP($E736,'Product Naming'!$A$1:$P$58,9,FALSE)</f>
        <v>0</v>
      </c>
      <c r="AA736" s="1">
        <f>VLOOKUP($E736,'Product Naming'!$A$1:$P$58,10,FALSE)</f>
        <v>0</v>
      </c>
      <c r="AB736" s="29">
        <f>VLOOKUP($E736,'Product Naming'!$A$1:$P$58,11,FALSE)</f>
        <v>6</v>
      </c>
      <c r="AC736" s="3">
        <f>VLOOKUP($E736,'Product Naming'!$A$1:$P$58,12,FALSE)</f>
        <v>60.093820000000001</v>
      </c>
      <c r="AD736" s="1">
        <f>VLOOKUP($E736,'Product Naming'!$A$1:$P$58,13,FALSE)</f>
        <v>97</v>
      </c>
      <c r="AE736" s="1" t="str">
        <f>VLOOKUP($E736,'Product Naming'!$A$1:$P$58,14,FALSE)</f>
        <v>Alcohol</v>
      </c>
      <c r="AF736" s="1" t="str">
        <f>VLOOKUP($E736,'Product Naming'!$A$1:$P$58,15,FALSE)</f>
        <v>Oxaloacetate</v>
      </c>
      <c r="AG736" s="30" t="str">
        <f>VLOOKUP($E736,'Product Naming'!$A$1:$P$58,16,FALSE)</f>
        <v>Proton symporter</v>
      </c>
      <c r="AH736" s="3" t="str">
        <f>VLOOKUP($E736,'Product Naming'!$A$1:$Q$58,17,FALSE)</f>
        <v>ppoh_c</v>
      </c>
      <c r="AI736" s="1">
        <f>VLOOKUP($E736,'Product Parameters'!$A$2:$D$59,2,FALSE)</f>
        <v>1</v>
      </c>
      <c r="AJ736" s="1">
        <f>VLOOKUP($E736,'Product Parameters'!$A$2:$D$59,3,FALSE)</f>
        <v>0</v>
      </c>
      <c r="AK736" s="1">
        <f>VLOOKUP($E736,'Product Parameters'!$A$2:$D$59,4,FALSE)</f>
        <v>0.12</v>
      </c>
      <c r="AL736" s="1">
        <f>VLOOKUP($E736,'Product Parameters'!$A$2:$E$59,5,FALSE)</f>
        <v>47</v>
      </c>
      <c r="AM736" s="1">
        <f>VLOOKUP($E736,'Product Parameters'!$A$2:$F$59,6,FALSE)</f>
        <v>3</v>
      </c>
      <c r="AN736" s="1">
        <f>VLOOKUP($C736,'Substrate Heating'!$A$2:$C$33,3,FALSE)</f>
        <v>1020.8629199999999</v>
      </c>
      <c r="AO736" s="1">
        <f>VLOOKUP($C736,'Substrate Heating'!$A$2:$B$33,2,FALSE)</f>
        <v>17</v>
      </c>
      <c r="AP736" s="1">
        <f>VLOOKUP($C736,'Substrate Heating'!$A$2:$M$33,13,FALSE)</f>
        <v>4</v>
      </c>
      <c r="AQ736" s="1">
        <f>VLOOKUP($C736,'Substrate Heating'!$A$2:$M$33,8,FALSE)</f>
        <v>2</v>
      </c>
      <c r="AR736" s="1">
        <f t="shared" si="11"/>
        <v>0.52482352941176402</v>
      </c>
    </row>
    <row r="737" spans="1:44" x14ac:dyDescent="0.2">
      <c r="A737" s="17" t="s">
        <v>323</v>
      </c>
      <c r="B737" s="18" t="s">
        <v>324</v>
      </c>
      <c r="C737" t="s">
        <v>336</v>
      </c>
      <c r="D737" s="19" t="s">
        <v>326</v>
      </c>
      <c r="E737" t="s">
        <v>254</v>
      </c>
      <c r="F737" t="s">
        <v>255</v>
      </c>
      <c r="G737">
        <v>-10</v>
      </c>
      <c r="H737">
        <v>0</v>
      </c>
      <c r="I737">
        <v>-20</v>
      </c>
      <c r="J737">
        <v>0.45</v>
      </c>
      <c r="K737">
        <v>-10</v>
      </c>
      <c r="L737">
        <v>0</v>
      </c>
      <c r="M737">
        <v>-12.0457142857143</v>
      </c>
      <c r="N737">
        <v>0</v>
      </c>
      <c r="O737">
        <v>1.3257142857142801</v>
      </c>
      <c r="P737"/>
      <c r="Q737">
        <v>0.13257142857142801</v>
      </c>
      <c r="R737" s="20">
        <v>0.350365856367582</v>
      </c>
      <c r="S737" s="1" t="str">
        <f>VLOOKUP($E737,'Product Naming'!$A$1:$P$58,2,FALSE)</f>
        <v>Itaconate</v>
      </c>
      <c r="T737" s="1" t="str">
        <f>VLOOKUP($E737,'Product Naming'!$A$1:$P$58,3,FALSE)</f>
        <v>Itaconate</v>
      </c>
      <c r="U737" s="1" t="str">
        <f>VLOOKUP($E737,'Product Naming'!$A$1:$P$58,4,FALSE)</f>
        <v>E</v>
      </c>
      <c r="V737" s="1" t="str">
        <f>VLOOKUP($E737,'Product Naming'!$A$1:$P$58,5,FALSE)</f>
        <v>C5H4O4</v>
      </c>
      <c r="W737" s="1">
        <f>VLOOKUP($E737,'Product Naming'!$A$1:$P$58,6,FALSE)</f>
        <v>5</v>
      </c>
      <c r="X737" s="1">
        <f>VLOOKUP($E737,'Product Naming'!$A$1:$P$58,7,FALSE)</f>
        <v>4</v>
      </c>
      <c r="Y737" s="1">
        <f>VLOOKUP($E737,'Product Naming'!$A$1:$P$58,8,FALSE)</f>
        <v>4</v>
      </c>
      <c r="Z737" s="1">
        <f>VLOOKUP($E737,'Product Naming'!$A$1:$P$58,9,FALSE)</f>
        <v>0</v>
      </c>
      <c r="AA737" s="1">
        <f>VLOOKUP($E737,'Product Naming'!$A$1:$P$58,10,FALSE)</f>
        <v>-2</v>
      </c>
      <c r="AB737" s="29">
        <f>VLOOKUP($E737,'Product Naming'!$A$1:$P$58,11,FALSE)</f>
        <v>3.2</v>
      </c>
      <c r="AC737" s="3">
        <f>VLOOKUP($E737,'Product Naming'!$A$1:$P$58,12,FALSE)</f>
        <v>128.08086</v>
      </c>
      <c r="AD737" s="1">
        <f>VLOOKUP($E737,'Product Naming'!$A$1:$P$58,13,FALSE)</f>
        <v>381</v>
      </c>
      <c r="AE737" s="1" t="str">
        <f>VLOOKUP($E737,'Product Naming'!$A$1:$P$58,14,FALSE)</f>
        <v>Dicarboxylate</v>
      </c>
      <c r="AF737" s="1" t="str">
        <f>VLOOKUP($E737,'Product Naming'!$A$1:$P$58,15,FALSE)</f>
        <v>Acetyl-CoA + Oxaloacetate</v>
      </c>
      <c r="AG737" s="30" t="str">
        <f>VLOOKUP($E737,'Product Naming'!$A$1:$P$58,16,FALSE)</f>
        <v>Proton symporter</v>
      </c>
      <c r="AH737" s="3" t="str">
        <f>VLOOKUP($E737,'Product Naming'!$A$1:$Q$58,17,FALSE)</f>
        <v>itacon_c</v>
      </c>
      <c r="AI737" s="1">
        <f>VLOOKUP($E737,'Product Parameters'!$A$2:$D$59,2,FALSE)</f>
        <v>1</v>
      </c>
      <c r="AJ737" s="1">
        <f>VLOOKUP($E737,'Product Parameters'!$A$2:$D$59,3,FALSE)</f>
        <v>0</v>
      </c>
      <c r="AK737" s="1">
        <f>VLOOKUP($E737,'Product Parameters'!$A$2:$D$59,4,FALSE)</f>
        <v>0.12</v>
      </c>
      <c r="AL737" s="1">
        <f>VLOOKUP($E737,'Product Parameters'!$A$2:$E$59,5,FALSE)</f>
        <v>40.65</v>
      </c>
      <c r="AM737" s="1">
        <f>VLOOKUP($E737,'Product Parameters'!$A$2:$F$59,6,FALSE)</f>
        <v>5</v>
      </c>
      <c r="AN737" s="1">
        <f>VLOOKUP($C737,'Substrate Heating'!$A$2:$C$33,3,FALSE)</f>
        <v>245.86666666666667</v>
      </c>
      <c r="AO737" s="1">
        <f>VLOOKUP($C737,'Substrate Heating'!$A$2:$B$33,2,FALSE)</f>
        <v>15.038360459876978</v>
      </c>
      <c r="AP737" s="1">
        <f>VLOOKUP($C737,'Substrate Heating'!$A$2:$M$33,13,FALSE)</f>
        <v>0.33333333333333331</v>
      </c>
      <c r="AQ737" s="1">
        <f>VLOOKUP($C737,'Substrate Heating'!$A$2:$M$33,8,FALSE)</f>
        <v>0.33333333333333331</v>
      </c>
      <c r="AR737" s="1">
        <f t="shared" si="11"/>
        <v>1.9885714285714202</v>
      </c>
    </row>
    <row r="738" spans="1:44" x14ac:dyDescent="0.2">
      <c r="A738" s="8" t="s">
        <v>34</v>
      </c>
      <c r="B738" s="9" t="s">
        <v>35</v>
      </c>
      <c r="C738" s="1" t="s">
        <v>343</v>
      </c>
      <c r="D738" s="24" t="s">
        <v>342</v>
      </c>
      <c r="E738" s="1" t="s">
        <v>204</v>
      </c>
      <c r="F738" s="1" t="s">
        <v>205</v>
      </c>
      <c r="G738" s="1">
        <v>-10</v>
      </c>
      <c r="H738" s="1">
        <v>-20</v>
      </c>
      <c r="I738" s="1" t="s">
        <v>40</v>
      </c>
      <c r="J738" s="1">
        <v>3.15</v>
      </c>
      <c r="K738" s="1">
        <v>-10</v>
      </c>
      <c r="L738" s="1">
        <v>-1.8402266288951801</v>
      </c>
      <c r="M738" s="1" t="s">
        <v>40</v>
      </c>
      <c r="N738" s="1">
        <v>6.3144475920680003</v>
      </c>
      <c r="O738" s="1">
        <v>1.57903682719547</v>
      </c>
      <c r="Q738" s="1">
        <v>0.15790368271954699</v>
      </c>
      <c r="R738" s="1">
        <v>0.35037536691174898</v>
      </c>
      <c r="S738" s="1" t="str">
        <f>VLOOKUP($E738,'Product Naming'!$A$1:$P$58,2,FALSE)</f>
        <v>Farnesene</v>
      </c>
      <c r="T738" s="1" t="str">
        <f>VLOOKUP($E738,'Product Naming'!$A$1:$P$58,3,FALSE)</f>
        <v>Farnesene</v>
      </c>
      <c r="U738" s="1" t="str">
        <f>VLOOKUP($E738,'Product Naming'!$A$1:$P$58,4,FALSE)</f>
        <v>A</v>
      </c>
      <c r="V738" s="1" t="str">
        <f>VLOOKUP($E738,'Product Naming'!$A$1:$P$58,5,FALSE)</f>
        <v>C15H24</v>
      </c>
      <c r="W738" s="1">
        <f>VLOOKUP($E738,'Product Naming'!$A$1:$P$58,6,FALSE)</f>
        <v>15</v>
      </c>
      <c r="X738" s="1">
        <f>VLOOKUP($E738,'Product Naming'!$A$1:$P$58,7,FALSE)</f>
        <v>24</v>
      </c>
      <c r="Y738" s="1">
        <f>VLOOKUP($E738,'Product Naming'!$A$1:$P$58,8,FALSE)</f>
        <v>0</v>
      </c>
      <c r="Z738" s="1">
        <f>VLOOKUP($E738,'Product Naming'!$A$1:$P$58,9,FALSE)</f>
        <v>0</v>
      </c>
      <c r="AA738" s="1">
        <f>VLOOKUP($E738,'Product Naming'!$A$1:$P$58,10,FALSE)</f>
        <v>0</v>
      </c>
      <c r="AB738" s="29">
        <f>VLOOKUP($E738,'Product Naming'!$A$1:$P$58,11,FALSE)</f>
        <v>5.6</v>
      </c>
      <c r="AC738" s="3">
        <f>VLOOKUP($E738,'Product Naming'!$A$1:$P$58,12,FALSE)</f>
        <v>204.34866000000002</v>
      </c>
      <c r="AD738" s="1" t="str">
        <f>VLOOKUP($E738,'Product Naming'!$A$1:$P$58,13,FALSE)</f>
        <v>260 (A)/272 (B)</v>
      </c>
      <c r="AE738" s="1" t="str">
        <f>VLOOKUP($E738,'Product Naming'!$A$1:$P$58,14,FALSE)</f>
        <v>Hydrocarbon</v>
      </c>
      <c r="AF738" s="1" t="str">
        <f>VLOOKUP($E738,'Product Naming'!$A$1:$P$58,15,FALSE)</f>
        <v>Acetyl-CoA</v>
      </c>
      <c r="AG738" s="30" t="str">
        <f>VLOOKUP($E738,'Product Naming'!$A$1:$P$58,16,FALSE)</f>
        <v>Proton symporter</v>
      </c>
      <c r="AH738" s="3" t="str">
        <f>VLOOKUP($E738,'Product Naming'!$A$1:$Q$58,17,FALSE)</f>
        <v>frene_c</v>
      </c>
      <c r="AI738" s="1">
        <f>VLOOKUP($E738,'Product Parameters'!$A$2:$D$59,2,FALSE)</f>
        <v>1</v>
      </c>
      <c r="AJ738" s="1">
        <f>VLOOKUP($E738,'Product Parameters'!$A$2:$D$59,3,FALSE)</f>
        <v>0</v>
      </c>
      <c r="AK738" s="1">
        <f>VLOOKUP($E738,'Product Parameters'!$A$2:$D$59,4,FALSE)</f>
        <v>0.12</v>
      </c>
      <c r="AL738" s="1">
        <f>VLOOKUP($E738,'Product Parameters'!$A$2:$E$59,5,FALSE)</f>
        <v>0</v>
      </c>
      <c r="AM738" s="1">
        <f>VLOOKUP($E738,'Product Parameters'!$A$2:$F$59,6,FALSE)</f>
        <v>15</v>
      </c>
      <c r="AN738" s="1">
        <f>VLOOKUP($C738,'Substrate Heating'!$A$2:$C$33,3,FALSE)</f>
        <v>1648.4793779999998</v>
      </c>
      <c r="AO738" s="1">
        <f>VLOOKUP($C738,'Substrate Heating'!$A$2:$B$33,2,FALSE)</f>
        <v>17.899999999999999</v>
      </c>
      <c r="AP738" s="1">
        <f>VLOOKUP($C738,'Substrate Heating'!$A$2:$M$33,13,FALSE)</f>
        <v>4.666666666666667</v>
      </c>
      <c r="AQ738" s="1">
        <f>VLOOKUP($C738,'Substrate Heating'!$A$2:$M$33,8,FALSE)</f>
        <v>3</v>
      </c>
      <c r="AR738" s="1">
        <f t="shared" si="11"/>
        <v>0.789518413597735</v>
      </c>
    </row>
    <row r="739" spans="1:44" x14ac:dyDescent="0.2">
      <c r="A739" s="8" t="s">
        <v>34</v>
      </c>
      <c r="B739" s="9" t="s">
        <v>35</v>
      </c>
      <c r="C739" s="1" t="s">
        <v>322</v>
      </c>
      <c r="D739" s="10" t="s">
        <v>37</v>
      </c>
      <c r="E739" s="1" t="s">
        <v>164</v>
      </c>
      <c r="F739" s="1" t="s">
        <v>165</v>
      </c>
      <c r="G739" s="1">
        <v>-10</v>
      </c>
      <c r="H739" s="1">
        <v>-20</v>
      </c>
      <c r="I739" s="1" t="s">
        <v>40</v>
      </c>
      <c r="J739" s="1">
        <v>3.15</v>
      </c>
      <c r="K739" s="1">
        <v>-10</v>
      </c>
      <c r="L739" s="1">
        <v>-3.24235294117647</v>
      </c>
      <c r="M739" s="1" t="s">
        <v>40</v>
      </c>
      <c r="N739" s="1">
        <v>8.8282352941176505</v>
      </c>
      <c r="O739" s="1">
        <v>2.79294117647059</v>
      </c>
      <c r="Q739" s="1">
        <v>0.27929411764705903</v>
      </c>
      <c r="R739" s="1">
        <v>0.35061504171581498</v>
      </c>
      <c r="S739" s="1" t="str">
        <f>VLOOKUP($E739,'Product Naming'!$A$1:$P$58,2,FALSE)</f>
        <v>Butanol-PW1</v>
      </c>
      <c r="T739" s="1" t="str">
        <f>VLOOKUP($E739,'Product Naming'!$A$1:$P$58,3,FALSE)</f>
        <v>Butanol (PW1)</v>
      </c>
      <c r="U739" s="1" t="str">
        <f>VLOOKUP($E739,'Product Naming'!$A$1:$P$58,4,FALSE)</f>
        <v>E</v>
      </c>
      <c r="V739" s="1" t="str">
        <f>VLOOKUP($E739,'Product Naming'!$A$1:$P$58,5,FALSE)</f>
        <v>C4H10O</v>
      </c>
      <c r="W739" s="1">
        <f>VLOOKUP($E739,'Product Naming'!$A$1:$P$58,6,FALSE)</f>
        <v>4</v>
      </c>
      <c r="X739" s="1">
        <f>VLOOKUP($E739,'Product Naming'!$A$1:$P$58,7,FALSE)</f>
        <v>10</v>
      </c>
      <c r="Y739" s="1">
        <f>VLOOKUP($E739,'Product Naming'!$A$1:$P$58,8,FALSE)</f>
        <v>1</v>
      </c>
      <c r="Z739" s="1">
        <f>VLOOKUP($E739,'Product Naming'!$A$1:$P$58,9,FALSE)</f>
        <v>0</v>
      </c>
      <c r="AA739" s="1">
        <f>VLOOKUP($E739,'Product Naming'!$A$1:$P$58,10,FALSE)</f>
        <v>0</v>
      </c>
      <c r="AB739" s="29">
        <f>VLOOKUP($E739,'Product Naming'!$A$1:$P$58,11,FALSE)</f>
        <v>6</v>
      </c>
      <c r="AC739" s="3">
        <f>VLOOKUP($E739,'Product Naming'!$A$1:$P$58,12,FALSE)</f>
        <v>74.120199999999997</v>
      </c>
      <c r="AD739" s="1">
        <f>VLOOKUP($E739,'Product Naming'!$A$1:$P$58,13,FALSE)</f>
        <v>117.7</v>
      </c>
      <c r="AE739" s="1" t="str">
        <f>VLOOKUP($E739,'Product Naming'!$A$1:$P$58,14,FALSE)</f>
        <v>Alcohol</v>
      </c>
      <c r="AF739" s="1" t="str">
        <f>VLOOKUP($E739,'Product Naming'!$A$1:$P$58,15,FALSE)</f>
        <v>Acetyl-CoA</v>
      </c>
      <c r="AG739" s="30" t="str">
        <f>VLOOKUP($E739,'Product Naming'!$A$1:$P$58,16,FALSE)</f>
        <v>Proton symporter</v>
      </c>
      <c r="AH739" s="3" t="str">
        <f>VLOOKUP($E739,'Product Naming'!$A$1:$Q$58,17,FALSE)</f>
        <v>btoh_c</v>
      </c>
      <c r="AI739" s="1">
        <f>VLOOKUP($E739,'Product Parameters'!$A$2:$D$59,2,FALSE)</f>
        <v>1</v>
      </c>
      <c r="AJ739" s="1">
        <f>VLOOKUP($E739,'Product Parameters'!$A$2:$D$59,3,FALSE)</f>
        <v>0</v>
      </c>
      <c r="AK739" s="1">
        <f>VLOOKUP($E739,'Product Parameters'!$A$2:$D$59,4,FALSE)</f>
        <v>0.12</v>
      </c>
      <c r="AL739" s="1">
        <f>VLOOKUP($E739,'Product Parameters'!$A$2:$E$59,5,FALSE)</f>
        <v>52</v>
      </c>
      <c r="AM739" s="1">
        <f>VLOOKUP($E739,'Product Parameters'!$A$2:$F$59,6,FALSE)</f>
        <v>4</v>
      </c>
      <c r="AN739" s="1">
        <f>VLOOKUP($C739,'Substrate Heating'!$A$2:$C$33,3,FALSE)</f>
        <v>876.74109599999997</v>
      </c>
      <c r="AO739" s="1">
        <f>VLOOKUP($C739,'Substrate Heating'!$A$2:$B$33,2,FALSE)</f>
        <v>14.6</v>
      </c>
      <c r="AP739" s="1">
        <f>VLOOKUP($C739,'Substrate Heating'!$A$2:$M$33,13,FALSE)</f>
        <v>3.5</v>
      </c>
      <c r="AQ739" s="1">
        <f>VLOOKUP($C739,'Substrate Heating'!$A$2:$M$33,8,FALSE)</f>
        <v>2</v>
      </c>
      <c r="AR739" s="1">
        <f t="shared" si="11"/>
        <v>0.55858823529411805</v>
      </c>
    </row>
    <row r="740" spans="1:44" x14ac:dyDescent="0.2">
      <c r="A740" s="17" t="s">
        <v>185</v>
      </c>
      <c r="B740" s="9" t="s">
        <v>35</v>
      </c>
      <c r="C740" t="s">
        <v>343</v>
      </c>
      <c r="D740" s="24" t="s">
        <v>342</v>
      </c>
      <c r="E740" t="s">
        <v>259</v>
      </c>
      <c r="F740" t="s">
        <v>260</v>
      </c>
      <c r="G740">
        <v>-10</v>
      </c>
      <c r="H740">
        <v>-20</v>
      </c>
      <c r="I740" s="1" t="s">
        <v>40</v>
      </c>
      <c r="J740">
        <v>3.15</v>
      </c>
      <c r="K740">
        <v>-10</v>
      </c>
      <c r="L740">
        <v>-1.7931914893617</v>
      </c>
      <c r="M740" s="1" t="s">
        <v>40</v>
      </c>
      <c r="N740">
        <v>6.2808510638297799</v>
      </c>
      <c r="O740">
        <v>2.3719148936170198</v>
      </c>
      <c r="P740"/>
      <c r="Q740">
        <v>0.23719148936170201</v>
      </c>
      <c r="R740">
        <v>0.35087235324779398</v>
      </c>
      <c r="S740" s="1" t="str">
        <f>VLOOKUP($E740,'Product Naming'!$A$1:$P$58,2,FALSE)</f>
        <v>Limonene</v>
      </c>
      <c r="T740" s="1" t="str">
        <f>VLOOKUP($E740,'Product Naming'!$A$1:$P$58,3,FALSE)</f>
        <v>Limonene</v>
      </c>
      <c r="U740" s="1" t="str">
        <f>VLOOKUP($E740,'Product Naming'!$A$1:$P$58,4,FALSE)</f>
        <v>E</v>
      </c>
      <c r="V740" s="1" t="str">
        <f>VLOOKUP($E740,'Product Naming'!$A$1:$P$58,5,FALSE)</f>
        <v>C10H16</v>
      </c>
      <c r="W740" s="1">
        <f>VLOOKUP($E740,'Product Naming'!$A$1:$P$58,6,FALSE)</f>
        <v>10</v>
      </c>
      <c r="X740" s="1">
        <f>VLOOKUP($E740,'Product Naming'!$A$1:$P$58,7,FALSE)</f>
        <v>16</v>
      </c>
      <c r="Y740" s="1">
        <f>VLOOKUP($E740,'Product Naming'!$A$1:$P$58,8,FALSE)</f>
        <v>0</v>
      </c>
      <c r="Z740" s="1">
        <f>VLOOKUP($E740,'Product Naming'!$A$1:$P$58,9,FALSE)</f>
        <v>0</v>
      </c>
      <c r="AA740" s="1">
        <f>VLOOKUP($E740,'Product Naming'!$A$1:$P$58,10,FALSE)</f>
        <v>0</v>
      </c>
      <c r="AB740" s="29">
        <f>VLOOKUP($E740,'Product Naming'!$A$1:$P$58,11,FALSE)</f>
        <v>5.6</v>
      </c>
      <c r="AC740" s="3">
        <f>VLOOKUP($E740,'Product Naming'!$A$1:$P$58,12,FALSE)</f>
        <v>136.23244</v>
      </c>
      <c r="AD740" s="1">
        <f>VLOOKUP($E740,'Product Naming'!$A$1:$P$58,13,FALSE)</f>
        <v>176</v>
      </c>
      <c r="AE740" s="1" t="str">
        <f>VLOOKUP($E740,'Product Naming'!$A$1:$P$58,14,FALSE)</f>
        <v>Isoprenoid; Aromatic (Cycloalkane)</v>
      </c>
      <c r="AF740" s="1" t="str">
        <f>VLOOKUP($E740,'Product Naming'!$A$1:$P$58,15,FALSE)</f>
        <v>Acetyl-CoA</v>
      </c>
      <c r="AG740" s="30" t="str">
        <f>VLOOKUP($E740,'Product Naming'!$A$1:$P$58,16,FALSE)</f>
        <v>Proton symporter</v>
      </c>
      <c r="AH740" s="3" t="str">
        <f>VLOOKUP($E740,'Product Naming'!$A$1:$Q$58,17,FALSE)</f>
        <v>limnen_c</v>
      </c>
      <c r="AI740" s="1">
        <f>VLOOKUP($E740,'Product Parameters'!$A$2:$D$59,2,FALSE)</f>
        <v>1</v>
      </c>
      <c r="AJ740" s="1">
        <f>VLOOKUP($E740,'Product Parameters'!$A$2:$D$59,3,FALSE)</f>
        <v>0</v>
      </c>
      <c r="AK740" s="1">
        <f>VLOOKUP($E740,'Product Parameters'!$A$2:$D$59,4,FALSE)</f>
        <v>0.12</v>
      </c>
      <c r="AL740" s="1">
        <f>VLOOKUP($E740,'Product Parameters'!$A$2:$E$59,5,FALSE)</f>
        <v>49.5</v>
      </c>
      <c r="AM740" s="1">
        <f>VLOOKUP($E740,'Product Parameters'!$A$2:$F$59,6,FALSE)</f>
        <v>10</v>
      </c>
      <c r="AN740" s="1">
        <f>VLOOKUP($C740,'Substrate Heating'!$A$2:$C$33,3,FALSE)</f>
        <v>1648.4793779999998</v>
      </c>
      <c r="AO740" s="1">
        <f>VLOOKUP($C740,'Substrate Heating'!$A$2:$B$33,2,FALSE)</f>
        <v>17.899999999999999</v>
      </c>
      <c r="AP740" s="1">
        <f>VLOOKUP($C740,'Substrate Heating'!$A$2:$M$33,13,FALSE)</f>
        <v>4.666666666666667</v>
      </c>
      <c r="AQ740" s="1">
        <f>VLOOKUP($C740,'Substrate Heating'!$A$2:$M$33,8,FALSE)</f>
        <v>3</v>
      </c>
      <c r="AR740" s="1">
        <f t="shared" si="11"/>
        <v>0.79063829787234008</v>
      </c>
    </row>
    <row r="741" spans="1:44" x14ac:dyDescent="0.2">
      <c r="A741" s="8" t="s">
        <v>34</v>
      </c>
      <c r="B741" s="9" t="s">
        <v>35</v>
      </c>
      <c r="C741" s="1" t="s">
        <v>341</v>
      </c>
      <c r="D741" s="24" t="s">
        <v>342</v>
      </c>
      <c r="E741" s="1" t="s">
        <v>295</v>
      </c>
      <c r="F741" s="1" t="s">
        <v>292</v>
      </c>
      <c r="G741" s="1">
        <v>-10</v>
      </c>
      <c r="H741" s="1">
        <v>-20</v>
      </c>
      <c r="I741" s="1" t="s">
        <v>40</v>
      </c>
      <c r="J741" s="1">
        <v>3.15</v>
      </c>
      <c r="K741" s="1">
        <v>-10</v>
      </c>
      <c r="L741" s="1">
        <v>-6.1349206349206398</v>
      </c>
      <c r="M741" s="1" t="s">
        <v>40</v>
      </c>
      <c r="N741" s="1">
        <v>24.089947089947099</v>
      </c>
      <c r="O741" s="1">
        <v>7.1820105820105802</v>
      </c>
      <c r="Q741" s="1">
        <v>0.71820105820105795</v>
      </c>
      <c r="R741" s="1">
        <v>0.35140808116779998</v>
      </c>
      <c r="S741" s="1" t="str">
        <f>VLOOKUP($E741,'Product Naming'!$A$1:$P$58,2,FALSE)</f>
        <v>Pentanol-PW2</v>
      </c>
      <c r="T741" s="1" t="str">
        <f>VLOOKUP($E741,'Product Naming'!$A$1:$P$58,3,FALSE)</f>
        <v>Pentanol (PW2)</v>
      </c>
      <c r="U741" s="1" t="str">
        <f>VLOOKUP($E741,'Product Naming'!$A$1:$P$58,4,FALSE)</f>
        <v>E</v>
      </c>
      <c r="V741" s="1" t="str">
        <f>VLOOKUP($E741,'Product Naming'!$A$1:$P$58,5,FALSE)</f>
        <v>C5H12O</v>
      </c>
      <c r="W741" s="1">
        <f>VLOOKUP($E741,'Product Naming'!$A$1:$P$58,6,FALSE)</f>
        <v>5</v>
      </c>
      <c r="X741" s="1">
        <f>VLOOKUP($E741,'Product Naming'!$A$1:$P$58,7,FALSE)</f>
        <v>12</v>
      </c>
      <c r="Y741" s="1">
        <f>VLOOKUP($E741,'Product Naming'!$A$1:$P$58,8,FALSE)</f>
        <v>1</v>
      </c>
      <c r="Z741" s="1">
        <f>VLOOKUP($E741,'Product Naming'!$A$1:$P$58,9,FALSE)</f>
        <v>0</v>
      </c>
      <c r="AA741" s="1">
        <f>VLOOKUP($E741,'Product Naming'!$A$1:$P$58,10,FALSE)</f>
        <v>0</v>
      </c>
      <c r="AB741" s="29">
        <f>VLOOKUP($E741,'Product Naming'!$A$1:$P$58,11,FALSE)</f>
        <v>6</v>
      </c>
      <c r="AC741" s="3">
        <f>VLOOKUP($E741,'Product Naming'!$A$1:$P$58,12,FALSE)</f>
        <v>88.14658</v>
      </c>
      <c r="AD741" s="1">
        <f>VLOOKUP($E741,'Product Naming'!$A$1:$P$58,13,FALSE)</f>
        <v>138</v>
      </c>
      <c r="AE741" s="1" t="str">
        <f>VLOOKUP($E741,'Product Naming'!$A$1:$P$58,14,FALSE)</f>
        <v>Alcohol</v>
      </c>
      <c r="AF741" s="1" t="str">
        <f>VLOOKUP($E741,'Product Naming'!$A$1:$P$58,15,FALSE)</f>
        <v>Oxaloacetate</v>
      </c>
      <c r="AG741" s="30" t="str">
        <f>VLOOKUP($E741,'Product Naming'!$A$1:$P$58,16,FALSE)</f>
        <v>Proton symporter</v>
      </c>
      <c r="AH741" s="3" t="str">
        <f>VLOOKUP($E741,'Product Naming'!$A$1:$Q$58,17,FALSE)</f>
        <v>pentoh_c</v>
      </c>
      <c r="AI741" s="1">
        <f>VLOOKUP($E741,'Product Parameters'!$A$2:$D$59,2,FALSE)</f>
        <v>1</v>
      </c>
      <c r="AJ741" s="1">
        <f>VLOOKUP($E741,'Product Parameters'!$A$2:$D$59,3,FALSE)</f>
        <v>0</v>
      </c>
      <c r="AK741" s="1">
        <f>VLOOKUP($E741,'Product Parameters'!$A$2:$D$59,4,FALSE)</f>
        <v>0.12</v>
      </c>
      <c r="AL741" s="1">
        <f>VLOOKUP($E741,'Product Parameters'!$A$2:$E$59,5,FALSE)</f>
        <v>57</v>
      </c>
      <c r="AM741" s="1">
        <f>VLOOKUP($E741,'Product Parameters'!$A$2:$F$59,6,FALSE)</f>
        <v>5</v>
      </c>
      <c r="AN741" s="1">
        <f>VLOOKUP($C741,'Substrate Heating'!$A$2:$C$33,3,FALSE)</f>
        <v>2828.4492</v>
      </c>
      <c r="AO741" s="1">
        <f>VLOOKUP($C741,'Substrate Heating'!$A$2:$B$33,2,FALSE)</f>
        <v>15.7</v>
      </c>
      <c r="AP741" s="1">
        <f>VLOOKUP($C741,'Substrate Heating'!$A$2:$M$33,13,FALSE)</f>
        <v>4</v>
      </c>
      <c r="AQ741" s="1">
        <f>VLOOKUP($C741,'Substrate Heating'!$A$2:$M$33,8,FALSE)</f>
        <v>6</v>
      </c>
      <c r="AR741" s="1">
        <f t="shared" si="11"/>
        <v>0.5985008818342149</v>
      </c>
    </row>
    <row r="742" spans="1:44" x14ac:dyDescent="0.2">
      <c r="A742" s="8" t="s">
        <v>34</v>
      </c>
      <c r="B742" s="9" t="s">
        <v>35</v>
      </c>
      <c r="C742" s="1" t="s">
        <v>330</v>
      </c>
      <c r="D742" s="10" t="s">
        <v>37</v>
      </c>
      <c r="E742" s="1" t="s">
        <v>91</v>
      </c>
      <c r="F742" s="1" t="s">
        <v>92</v>
      </c>
      <c r="G742" s="1">
        <v>-10</v>
      </c>
      <c r="H742" s="1">
        <v>-20</v>
      </c>
      <c r="I742" s="1" t="s">
        <v>40</v>
      </c>
      <c r="J742" s="1">
        <v>3.15</v>
      </c>
      <c r="K742" s="1">
        <v>-10</v>
      </c>
      <c r="L742" s="1">
        <v>-6.3892857142857196</v>
      </c>
      <c r="M742" s="1" t="s">
        <v>40</v>
      </c>
      <c r="N742" s="1">
        <v>7.5928571428571399</v>
      </c>
      <c r="O742" s="1">
        <v>2.48142857142857</v>
      </c>
      <c r="Q742" s="1">
        <v>0.248142857142857</v>
      </c>
      <c r="R742" s="1">
        <v>0.35241200083412899</v>
      </c>
      <c r="S742" s="1" t="str">
        <f>VLOOKUP($E742,'Product Naming'!$A$1:$P$58,2,FALSE)</f>
        <v>2-Methyl-1-Butanol</v>
      </c>
      <c r="T742" s="1" t="str">
        <f>VLOOKUP($E742,'Product Naming'!$A$1:$P$58,3,FALSE)</f>
        <v>2-Methyl-1-butanol</v>
      </c>
      <c r="U742" s="1" t="str">
        <f>VLOOKUP($E742,'Product Naming'!$A$1:$P$58,4,FALSE)</f>
        <v>A</v>
      </c>
      <c r="V742" s="1" t="str">
        <f>VLOOKUP($E742,'Product Naming'!$A$1:$P$58,5,FALSE)</f>
        <v>C5H12O</v>
      </c>
      <c r="W742" s="1">
        <f>VLOOKUP($E742,'Product Naming'!$A$1:$P$58,6,FALSE)</f>
        <v>5</v>
      </c>
      <c r="X742" s="1">
        <f>VLOOKUP($E742,'Product Naming'!$A$1:$P$58,7,FALSE)</f>
        <v>12</v>
      </c>
      <c r="Y742" s="1">
        <f>VLOOKUP($E742,'Product Naming'!$A$1:$P$58,8,FALSE)</f>
        <v>1</v>
      </c>
      <c r="Z742" s="1">
        <f>VLOOKUP($E742,'Product Naming'!$A$1:$P$58,9,FALSE)</f>
        <v>0</v>
      </c>
      <c r="AA742" s="1">
        <f>VLOOKUP($E742,'Product Naming'!$A$1:$P$58,10,FALSE)</f>
        <v>0</v>
      </c>
      <c r="AB742" s="29">
        <f>VLOOKUP($E742,'Product Naming'!$A$1:$P$58,11,FALSE)</f>
        <v>6</v>
      </c>
      <c r="AC742" s="3">
        <f>VLOOKUP($E742,'Product Naming'!$A$1:$P$58,12,FALSE)</f>
        <v>88.14658</v>
      </c>
      <c r="AD742" s="1">
        <f>VLOOKUP($E742,'Product Naming'!$A$1:$P$58,13,FALSE)</f>
        <v>129</v>
      </c>
      <c r="AE742" s="1" t="str">
        <f>VLOOKUP($E742,'Product Naming'!$A$1:$P$58,14,FALSE)</f>
        <v>Alcohol</v>
      </c>
      <c r="AF742" s="1" t="str">
        <f>VLOOKUP($E742,'Product Naming'!$A$1:$P$58,15,FALSE)</f>
        <v>PEP</v>
      </c>
      <c r="AG742" s="30" t="str">
        <f>VLOOKUP($E742,'Product Naming'!$A$1:$P$58,16,FALSE)</f>
        <v>Proton symporter</v>
      </c>
      <c r="AH742" s="3" t="str">
        <f>VLOOKUP($E742,'Product Naming'!$A$1:$Q$58,17,FALSE)</f>
        <v>2mbtoh_c</v>
      </c>
      <c r="AI742" s="1">
        <f>VLOOKUP($E742,'Product Parameters'!$A$2:$D$59,2,FALSE)</f>
        <v>1</v>
      </c>
      <c r="AJ742" s="1">
        <f>VLOOKUP($E742,'Product Parameters'!$A$2:$D$59,3,FALSE)</f>
        <v>0</v>
      </c>
      <c r="AK742" s="1">
        <f>VLOOKUP($E742,'Product Parameters'!$A$2:$D$59,4,FALSE)</f>
        <v>0.12</v>
      </c>
      <c r="AL742" s="1">
        <f>VLOOKUP($E742,'Product Parameters'!$A$2:$E$59,5,FALSE)</f>
        <v>54.6</v>
      </c>
      <c r="AM742" s="1">
        <f>VLOOKUP($E742,'Product Parameters'!$A$2:$F$59,6,FALSE)</f>
        <v>5</v>
      </c>
      <c r="AN742" s="1">
        <f>VLOOKUP($C742,'Substrate Heating'!$A$2:$C$33,3,FALSE)</f>
        <v>1055.1294800000001</v>
      </c>
      <c r="AO742" s="1">
        <f>VLOOKUP($C742,'Substrate Heating'!$A$2:$B$33,2,FALSE)</f>
        <v>17</v>
      </c>
      <c r="AP742" s="1">
        <f>VLOOKUP($C742,'Substrate Heating'!$A$2:$M$33,13,FALSE)</f>
        <v>5</v>
      </c>
      <c r="AQ742" s="1">
        <f>VLOOKUP($C742,'Substrate Heating'!$A$2:$M$33,8,FALSE)</f>
        <v>2</v>
      </c>
      <c r="AR742" s="1">
        <f t="shared" si="11"/>
        <v>0.6203571428571425</v>
      </c>
    </row>
    <row r="743" spans="1:44" x14ac:dyDescent="0.2">
      <c r="A743" s="17" t="s">
        <v>323</v>
      </c>
      <c r="B743" s="18" t="s">
        <v>324</v>
      </c>
      <c r="C743" t="s">
        <v>334</v>
      </c>
      <c r="D743" s="19" t="s">
        <v>326</v>
      </c>
      <c r="E743" t="s">
        <v>269</v>
      </c>
      <c r="F743" t="s">
        <v>270</v>
      </c>
      <c r="G743">
        <v>-10</v>
      </c>
      <c r="H743">
        <v>0</v>
      </c>
      <c r="I743">
        <v>-5</v>
      </c>
      <c r="J743">
        <v>0.45</v>
      </c>
      <c r="K743">
        <v>-10</v>
      </c>
      <c r="L743">
        <v>0</v>
      </c>
      <c r="M743">
        <v>-5</v>
      </c>
      <c r="N743">
        <v>1.24347826086956</v>
      </c>
      <c r="O743">
        <v>1.25652173913043</v>
      </c>
      <c r="P743"/>
      <c r="Q743">
        <v>0.12565217391304301</v>
      </c>
      <c r="R743">
        <v>0.35278312444981602</v>
      </c>
      <c r="S743" s="1" t="str">
        <f>VLOOKUP($E743,'Product Naming'!$A$1:$P$58,2,FALSE)</f>
        <v>Malate_L</v>
      </c>
      <c r="T743" s="1" t="str">
        <f>VLOOKUP($E743,'Product Naming'!$A$1:$P$58,3,FALSE)</f>
        <v>L-Malate</v>
      </c>
      <c r="U743" s="1" t="str">
        <f>VLOOKUP($E743,'Product Naming'!$A$1:$P$58,4,FALSE)</f>
        <v>iJO1366</v>
      </c>
      <c r="V743" s="1" t="str">
        <f>VLOOKUP($E743,'Product Naming'!$A$1:$P$58,5,FALSE)</f>
        <v>C4H4O5</v>
      </c>
      <c r="W743" s="1">
        <f>VLOOKUP($E743,'Product Naming'!$A$1:$P$58,6,FALSE)</f>
        <v>4</v>
      </c>
      <c r="X743" s="1">
        <f>VLOOKUP($E743,'Product Naming'!$A$1:$P$58,7,FALSE)</f>
        <v>4</v>
      </c>
      <c r="Y743" s="1">
        <f>VLOOKUP($E743,'Product Naming'!$A$1:$P$58,8,FALSE)</f>
        <v>5</v>
      </c>
      <c r="Z743" s="1">
        <f>VLOOKUP($E743,'Product Naming'!$A$1:$P$58,9,FALSE)</f>
        <v>0</v>
      </c>
      <c r="AA743" s="1">
        <f>VLOOKUP($E743,'Product Naming'!$A$1:$P$58,10,FALSE)</f>
        <v>-2</v>
      </c>
      <c r="AB743" s="29">
        <f>VLOOKUP($E743,'Product Naming'!$A$1:$P$58,11,FALSE)</f>
        <v>2.5</v>
      </c>
      <c r="AC743" s="3">
        <f>VLOOKUP($E743,'Product Naming'!$A$1:$P$58,12,FALSE)</f>
        <v>132.06916000000001</v>
      </c>
      <c r="AD743" s="1" t="str">
        <f>VLOOKUP($E743,'Product Naming'!$A$1:$P$58,13,FALSE)</f>
        <v>NA</v>
      </c>
      <c r="AE743" s="1" t="str">
        <f>VLOOKUP($E743,'Product Naming'!$A$1:$P$58,14,FALSE)</f>
        <v>Dicarboxylate</v>
      </c>
      <c r="AF743" s="1" t="str">
        <f>VLOOKUP($E743,'Product Naming'!$A$1:$P$58,15,FALSE)</f>
        <v>Oxaloacetate</v>
      </c>
      <c r="AG743" s="30" t="str">
        <f>VLOOKUP($E743,'Product Naming'!$A$1:$P$58,16,FALSE)</f>
        <v>Proton symporter</v>
      </c>
      <c r="AH743" s="3" t="str">
        <f>VLOOKUP($E743,'Product Naming'!$A$1:$Q$58,17,FALSE)</f>
        <v>mal__L_e</v>
      </c>
      <c r="AI743" s="1">
        <f>VLOOKUP($E743,'Product Parameters'!$A$2:$D$59,2,FALSE)</f>
        <v>1</v>
      </c>
      <c r="AJ743" s="1">
        <f>VLOOKUP($E743,'Product Parameters'!$A$2:$D$59,3,FALSE)</f>
        <v>0</v>
      </c>
      <c r="AK743" s="1">
        <f>VLOOKUP($E743,'Product Parameters'!$A$2:$D$59,4,FALSE)</f>
        <v>0.12</v>
      </c>
      <c r="AL743" s="1">
        <f>VLOOKUP($E743,'Product Parameters'!$A$2:$E$59,5,FALSE)</f>
        <v>40.65</v>
      </c>
      <c r="AM743" s="1">
        <f>VLOOKUP($E743,'Product Parameters'!$A$2:$F$59,6,FALSE)</f>
        <v>4</v>
      </c>
      <c r="AN743" s="1">
        <f>VLOOKUP($C743,'Substrate Heating'!$A$2:$C$33,3,FALSE)</f>
        <v>249.93333333333334</v>
      </c>
      <c r="AO743" s="1">
        <f>VLOOKUP($C743,'Substrate Heating'!$A$2:$B$33,2,FALSE)</f>
        <v>8.1456827881222953</v>
      </c>
      <c r="AP743" s="1">
        <f>VLOOKUP($C743,'Substrate Heating'!$A$2:$M$33,13,FALSE)</f>
        <v>0.66666666666666663</v>
      </c>
      <c r="AQ743" s="1">
        <f>VLOOKUP($C743,'Substrate Heating'!$A$2:$M$33,8,FALSE)</f>
        <v>0.66666666666666663</v>
      </c>
      <c r="AR743" s="1">
        <f t="shared" si="11"/>
        <v>0.75391304347825805</v>
      </c>
    </row>
    <row r="744" spans="1:44" x14ac:dyDescent="0.2">
      <c r="A744" s="8" t="s">
        <v>34</v>
      </c>
      <c r="B744" s="9" t="s">
        <v>35</v>
      </c>
      <c r="C744" s="1" t="s">
        <v>344</v>
      </c>
      <c r="D744" s="10" t="s">
        <v>37</v>
      </c>
      <c r="E744" s="1" t="s">
        <v>143</v>
      </c>
      <c r="F744" s="1" t="s">
        <v>137</v>
      </c>
      <c r="G744" s="1">
        <v>-10</v>
      </c>
      <c r="H744" s="1">
        <v>-20</v>
      </c>
      <c r="I744" s="1" t="s">
        <v>40</v>
      </c>
      <c r="J744" s="1">
        <v>3.15</v>
      </c>
      <c r="K744" s="1">
        <v>-10</v>
      </c>
      <c r="L744" s="1">
        <v>-6.8635371179039302</v>
      </c>
      <c r="M744" s="1" t="s">
        <v>40</v>
      </c>
      <c r="N744" s="1">
        <v>7.7393013100436701</v>
      </c>
      <c r="O744" s="1">
        <v>1.75152838427948</v>
      </c>
      <c r="Q744" s="1">
        <v>0.17515283842794799</v>
      </c>
      <c r="R744" s="1">
        <v>0.35324598819305703</v>
      </c>
      <c r="S744" s="1" t="str">
        <f>VLOOKUP($E744,'Product Naming'!$A$1:$P$58,2,FALSE)</f>
        <v>Benzoate-PW2</v>
      </c>
      <c r="T744" s="1" t="str">
        <f>VLOOKUP($E744,'Product Naming'!$A$1:$P$58,3,FALSE)</f>
        <v>Benzoate (PW2)</v>
      </c>
      <c r="U744" s="1" t="str">
        <f>VLOOKUP($E744,'Product Naming'!$A$1:$P$58,4,FALSE)</f>
        <v>A</v>
      </c>
      <c r="V744" s="1" t="str">
        <f>VLOOKUP($E744,'Product Naming'!$A$1:$P$58,5,FALSE)</f>
        <v>C7H5O2</v>
      </c>
      <c r="W744" s="1">
        <f>VLOOKUP($E744,'Product Naming'!$A$1:$P$58,6,FALSE)</f>
        <v>7</v>
      </c>
      <c r="X744" s="1">
        <f>VLOOKUP($E744,'Product Naming'!$A$1:$P$58,7,FALSE)</f>
        <v>5</v>
      </c>
      <c r="Y744" s="1">
        <f>VLOOKUP($E744,'Product Naming'!$A$1:$P$58,8,FALSE)</f>
        <v>2</v>
      </c>
      <c r="Z744" s="1">
        <f>VLOOKUP($E744,'Product Naming'!$A$1:$P$58,9,FALSE)</f>
        <v>0</v>
      </c>
      <c r="AA744" s="1">
        <f>VLOOKUP($E744,'Product Naming'!$A$1:$P$58,10,FALSE)</f>
        <v>-1</v>
      </c>
      <c r="AB744" s="29">
        <f>VLOOKUP($E744,'Product Naming'!$A$1:$P$58,11,FALSE)</f>
        <v>4.1428571428571432</v>
      </c>
      <c r="AC744" s="3">
        <f>VLOOKUP($E744,'Product Naming'!$A$1:$P$58,12,FALSE)</f>
        <v>121.1121</v>
      </c>
      <c r="AD744" s="1">
        <f>VLOOKUP($E744,'Product Naming'!$A$1:$P$58,13,FALSE)</f>
        <v>249.2</v>
      </c>
      <c r="AE744" s="1" t="str">
        <f>VLOOKUP($E744,'Product Naming'!$A$1:$P$58,14,FALSE)</f>
        <v>Aromatic + Carboxylate</v>
      </c>
      <c r="AF744" s="1" t="str">
        <f>VLOOKUP($E744,'Product Naming'!$A$1:$P$58,15,FALSE)</f>
        <v>E4P + aKG</v>
      </c>
      <c r="AG744" s="30" t="str">
        <f>VLOOKUP($E744,'Product Naming'!$A$1:$P$58,16,FALSE)</f>
        <v>Proton symporter</v>
      </c>
      <c r="AH744" s="3" t="str">
        <f>VLOOKUP($E744,'Product Naming'!$A$1:$Q$58,17,FALSE)</f>
        <v>bz_c</v>
      </c>
      <c r="AI744" s="1">
        <f>VLOOKUP($E744,'Product Parameters'!$A$2:$D$59,2,FALSE)</f>
        <v>1</v>
      </c>
      <c r="AJ744" s="1">
        <f>VLOOKUP($E744,'Product Parameters'!$A$2:$D$59,3,FALSE)</f>
        <v>0</v>
      </c>
      <c r="AK744" s="1">
        <f>VLOOKUP($E744,'Product Parameters'!$A$2:$D$59,4,FALSE)</f>
        <v>0.12</v>
      </c>
      <c r="AL744" s="1">
        <f>VLOOKUP($E744,'Product Parameters'!$A$2:$E$59,5,FALSE)</f>
        <v>40.65</v>
      </c>
      <c r="AM744" s="1">
        <f>VLOOKUP($E744,'Product Parameters'!$A$2:$F$59,6,FALSE)</f>
        <v>7</v>
      </c>
      <c r="AN744" s="1">
        <f>VLOOKUP($C744,'Substrate Heating'!$A$2:$C$33,3,FALSE)</f>
        <v>1020.8629199999999</v>
      </c>
      <c r="AO744" s="1">
        <f>VLOOKUP($C744,'Substrate Heating'!$A$2:$B$33,2,FALSE)</f>
        <v>17</v>
      </c>
      <c r="AP744" s="1">
        <f>VLOOKUP($C744,'Substrate Heating'!$A$2:$M$33,13,FALSE)</f>
        <v>4</v>
      </c>
      <c r="AQ744" s="1">
        <f>VLOOKUP($C744,'Substrate Heating'!$A$2:$M$33,8,FALSE)</f>
        <v>2</v>
      </c>
      <c r="AR744" s="1">
        <f t="shared" si="11"/>
        <v>0.61303493449781798</v>
      </c>
    </row>
    <row r="745" spans="1:44" x14ac:dyDescent="0.2">
      <c r="A745" s="8" t="s">
        <v>34</v>
      </c>
      <c r="B745" s="9" t="s">
        <v>35</v>
      </c>
      <c r="C745" s="1" t="s">
        <v>344</v>
      </c>
      <c r="D745" s="10" t="s">
        <v>37</v>
      </c>
      <c r="E745" s="1" t="s">
        <v>136</v>
      </c>
      <c r="F745" s="1" t="s">
        <v>137</v>
      </c>
      <c r="G745" s="1">
        <v>-10</v>
      </c>
      <c r="H745" s="1">
        <v>-20</v>
      </c>
      <c r="I745" s="1" t="s">
        <v>40</v>
      </c>
      <c r="J745" s="1">
        <v>3.15</v>
      </c>
      <c r="K745" s="1">
        <v>-10</v>
      </c>
      <c r="L745" s="1">
        <v>-6.8635371179039497</v>
      </c>
      <c r="M745" s="1" t="s">
        <v>40</v>
      </c>
      <c r="N745" s="1">
        <v>7.7393013100436798</v>
      </c>
      <c r="O745" s="1">
        <v>1.75152838427948</v>
      </c>
      <c r="Q745" s="1">
        <v>0.17515283842794799</v>
      </c>
      <c r="R745" s="1">
        <v>0.35324598819305802</v>
      </c>
      <c r="S745" s="1" t="str">
        <f>VLOOKUP($E745,'Product Naming'!$A$1:$P$58,2,FALSE)</f>
        <v>Benzoate-PW1</v>
      </c>
      <c r="T745" s="1" t="str">
        <f>VLOOKUP($E745,'Product Naming'!$A$1:$P$58,3,FALSE)</f>
        <v>Benzoate (PW1)</v>
      </c>
      <c r="U745" s="1" t="str">
        <f>VLOOKUP($E745,'Product Naming'!$A$1:$P$58,4,FALSE)</f>
        <v>A</v>
      </c>
      <c r="V745" s="1" t="str">
        <f>VLOOKUP($E745,'Product Naming'!$A$1:$P$58,5,FALSE)</f>
        <v>C7H5O2</v>
      </c>
      <c r="W745" s="1">
        <f>VLOOKUP($E745,'Product Naming'!$A$1:$P$58,6,FALSE)</f>
        <v>7</v>
      </c>
      <c r="X745" s="1">
        <f>VLOOKUP($E745,'Product Naming'!$A$1:$P$58,7,FALSE)</f>
        <v>5</v>
      </c>
      <c r="Y745" s="1">
        <f>VLOOKUP($E745,'Product Naming'!$A$1:$P$58,8,FALSE)</f>
        <v>2</v>
      </c>
      <c r="Z745" s="1">
        <f>VLOOKUP($E745,'Product Naming'!$A$1:$P$58,9,FALSE)</f>
        <v>0</v>
      </c>
      <c r="AA745" s="1">
        <f>VLOOKUP($E745,'Product Naming'!$A$1:$P$58,10,FALSE)</f>
        <v>-1</v>
      </c>
      <c r="AB745" s="29">
        <f>VLOOKUP($E745,'Product Naming'!$A$1:$P$58,11,FALSE)</f>
        <v>4.1428571428571432</v>
      </c>
      <c r="AC745" s="3">
        <f>VLOOKUP($E745,'Product Naming'!$A$1:$P$58,12,FALSE)</f>
        <v>121.1121</v>
      </c>
      <c r="AD745" s="1">
        <f>VLOOKUP($E745,'Product Naming'!$A$1:$P$58,13,FALSE)</f>
        <v>249.2</v>
      </c>
      <c r="AE745" s="1" t="str">
        <f>VLOOKUP($E745,'Product Naming'!$A$1:$P$58,14,FALSE)</f>
        <v>Aromatic + Carboxylate</v>
      </c>
      <c r="AF745" s="1" t="str">
        <f>VLOOKUP($E745,'Product Naming'!$A$1:$P$58,15,FALSE)</f>
        <v>E4P + aKG</v>
      </c>
      <c r="AG745" s="30" t="str">
        <f>VLOOKUP($E745,'Product Naming'!$A$1:$P$58,16,FALSE)</f>
        <v>Proton symporter</v>
      </c>
      <c r="AH745" s="3" t="str">
        <f>VLOOKUP($E745,'Product Naming'!$A$1:$Q$58,17,FALSE)</f>
        <v>bz_c</v>
      </c>
      <c r="AI745" s="1">
        <f>VLOOKUP($E745,'Product Parameters'!$A$2:$D$59,2,FALSE)</f>
        <v>1</v>
      </c>
      <c r="AJ745" s="1">
        <f>VLOOKUP($E745,'Product Parameters'!$A$2:$D$59,3,FALSE)</f>
        <v>0</v>
      </c>
      <c r="AK745" s="1">
        <f>VLOOKUP($E745,'Product Parameters'!$A$2:$D$59,4,FALSE)</f>
        <v>0.12</v>
      </c>
      <c r="AL745" s="1">
        <f>VLOOKUP($E745,'Product Parameters'!$A$2:$E$59,5,FALSE)</f>
        <v>40.65</v>
      </c>
      <c r="AM745" s="1">
        <f>VLOOKUP($E745,'Product Parameters'!$A$2:$F$59,6,FALSE)</f>
        <v>7</v>
      </c>
      <c r="AN745" s="1">
        <f>VLOOKUP($C745,'Substrate Heating'!$A$2:$C$33,3,FALSE)</f>
        <v>1020.8629199999999</v>
      </c>
      <c r="AO745" s="1">
        <f>VLOOKUP($C745,'Substrate Heating'!$A$2:$B$33,2,FALSE)</f>
        <v>17</v>
      </c>
      <c r="AP745" s="1">
        <f>VLOOKUP($C745,'Substrate Heating'!$A$2:$M$33,13,FALSE)</f>
        <v>4</v>
      </c>
      <c r="AQ745" s="1">
        <f>VLOOKUP($C745,'Substrate Heating'!$A$2:$M$33,8,FALSE)</f>
        <v>2</v>
      </c>
      <c r="AR745" s="1">
        <f t="shared" si="11"/>
        <v>0.61303493449781798</v>
      </c>
    </row>
    <row r="746" spans="1:44" x14ac:dyDescent="0.2">
      <c r="A746" s="8" t="s">
        <v>34</v>
      </c>
      <c r="B746" s="9" t="s">
        <v>35</v>
      </c>
      <c r="C746" s="1" t="s">
        <v>341</v>
      </c>
      <c r="D746" s="24" t="s">
        <v>342</v>
      </c>
      <c r="E746" s="1" t="s">
        <v>103</v>
      </c>
      <c r="F746" s="1" t="s">
        <v>104</v>
      </c>
      <c r="G746" s="1">
        <v>-10</v>
      </c>
      <c r="H746" s="1">
        <v>-20</v>
      </c>
      <c r="I746" s="1" t="s">
        <v>40</v>
      </c>
      <c r="J746" s="1">
        <v>3.15</v>
      </c>
      <c r="K746" s="1">
        <v>-10</v>
      </c>
      <c r="L746" s="1">
        <v>-3.8210526315789402</v>
      </c>
      <c r="M746" s="1" t="s">
        <v>40</v>
      </c>
      <c r="N746" s="1">
        <v>22.5473684210526</v>
      </c>
      <c r="O746" s="1">
        <v>6.2421052631579004</v>
      </c>
      <c r="Q746" s="1">
        <v>0.62421052631578999</v>
      </c>
      <c r="R746" s="1">
        <v>0.354019594627623</v>
      </c>
      <c r="S746" s="1" t="str">
        <f>VLOOKUP($E746,'Product Naming'!$A$1:$P$58,2,FALSE)</f>
        <v>3-Methyl-1-Pentanol</v>
      </c>
      <c r="T746" s="1" t="str">
        <f>VLOOKUP($E746,'Product Naming'!$A$1:$P$58,3,FALSE)</f>
        <v>3-Methyl-1-pentanol</v>
      </c>
      <c r="U746" s="1" t="str">
        <f>VLOOKUP($E746,'Product Naming'!$A$1:$P$58,4,FALSE)</f>
        <v>A</v>
      </c>
      <c r="V746" s="1" t="str">
        <f>VLOOKUP($E746,'Product Naming'!$A$1:$P$58,5,FALSE)</f>
        <v>C6H14O</v>
      </c>
      <c r="W746" s="1">
        <f>VLOOKUP($E746,'Product Naming'!$A$1:$P$58,6,FALSE)</f>
        <v>6</v>
      </c>
      <c r="X746" s="1">
        <f>VLOOKUP($E746,'Product Naming'!$A$1:$P$58,7,FALSE)</f>
        <v>14</v>
      </c>
      <c r="Y746" s="1">
        <f>VLOOKUP($E746,'Product Naming'!$A$1:$P$58,8,FALSE)</f>
        <v>1</v>
      </c>
      <c r="Z746" s="1">
        <f>VLOOKUP($E746,'Product Naming'!$A$1:$P$58,9,FALSE)</f>
        <v>0</v>
      </c>
      <c r="AA746" s="1">
        <f>VLOOKUP($E746,'Product Naming'!$A$1:$P$58,10,FALSE)</f>
        <v>0</v>
      </c>
      <c r="AB746" s="29">
        <f>VLOOKUP($E746,'Product Naming'!$A$1:$P$58,11,FALSE)</f>
        <v>6</v>
      </c>
      <c r="AC746" s="3">
        <f>VLOOKUP($E746,'Product Naming'!$A$1:$P$58,12,FALSE)</f>
        <v>102.17295999999999</v>
      </c>
      <c r="AD746" s="1">
        <f>VLOOKUP($E746,'Product Naming'!$A$1:$P$58,13,FALSE)</f>
        <v>153</v>
      </c>
      <c r="AE746" s="1" t="str">
        <f>VLOOKUP($E746,'Product Naming'!$A$1:$P$58,14,FALSE)</f>
        <v>Alcohol</v>
      </c>
      <c r="AF746" s="1" t="str">
        <f>VLOOKUP($E746,'Product Naming'!$A$1:$P$58,15,FALSE)</f>
        <v>Oxaloacetate</v>
      </c>
      <c r="AG746" s="30" t="str">
        <f>VLOOKUP($E746,'Product Naming'!$A$1:$P$58,16,FALSE)</f>
        <v>Proton symporter</v>
      </c>
      <c r="AH746" s="3" t="str">
        <f>VLOOKUP($E746,'Product Naming'!$A$1:$Q$58,17,FALSE)</f>
        <v>3mptoh_c</v>
      </c>
      <c r="AI746" s="1">
        <f>VLOOKUP($E746,'Product Parameters'!$A$2:$D$59,2,FALSE)</f>
        <v>1</v>
      </c>
      <c r="AJ746" s="1">
        <f>VLOOKUP($E746,'Product Parameters'!$A$2:$D$59,3,FALSE)</f>
        <v>0</v>
      </c>
      <c r="AK746" s="1">
        <f>VLOOKUP($E746,'Product Parameters'!$A$2:$D$59,4,FALSE)</f>
        <v>0.12</v>
      </c>
      <c r="AL746" s="1">
        <f>VLOOKUP($E746,'Product Parameters'!$A$2:$E$59,5,FALSE)</f>
        <v>61.7</v>
      </c>
      <c r="AM746" s="1">
        <f>VLOOKUP($E746,'Product Parameters'!$A$2:$F$59,6,FALSE)</f>
        <v>6</v>
      </c>
      <c r="AN746" s="1">
        <f>VLOOKUP($C746,'Substrate Heating'!$A$2:$C$33,3,FALSE)</f>
        <v>2828.4492</v>
      </c>
      <c r="AO746" s="1">
        <f>VLOOKUP($C746,'Substrate Heating'!$A$2:$B$33,2,FALSE)</f>
        <v>15.7</v>
      </c>
      <c r="AP746" s="1">
        <f>VLOOKUP($C746,'Substrate Heating'!$A$2:$M$33,13,FALSE)</f>
        <v>4</v>
      </c>
      <c r="AQ746" s="1">
        <f>VLOOKUP($C746,'Substrate Heating'!$A$2:$M$33,8,FALSE)</f>
        <v>6</v>
      </c>
      <c r="AR746" s="1">
        <f t="shared" si="11"/>
        <v>0.62421052631578999</v>
      </c>
    </row>
    <row r="747" spans="1:44" x14ac:dyDescent="0.2">
      <c r="A747" s="8" t="s">
        <v>34</v>
      </c>
      <c r="B747" s="9" t="s">
        <v>35</v>
      </c>
      <c r="C747" s="1" t="s">
        <v>345</v>
      </c>
      <c r="D747" s="10" t="s">
        <v>37</v>
      </c>
      <c r="E747" s="1" t="s">
        <v>291</v>
      </c>
      <c r="F747" s="1" t="s">
        <v>292</v>
      </c>
      <c r="G747" s="1">
        <v>-10</v>
      </c>
      <c r="H747" s="1">
        <v>-20</v>
      </c>
      <c r="I747" s="1" t="s">
        <v>40</v>
      </c>
      <c r="J747" s="1">
        <v>3.15</v>
      </c>
      <c r="K747" s="1">
        <v>-10</v>
      </c>
      <c r="L747" s="1">
        <v>-1.90869565217391</v>
      </c>
      <c r="M747" s="1" t="s">
        <v>40</v>
      </c>
      <c r="N747" s="1">
        <v>7.9391304347825997</v>
      </c>
      <c r="O747" s="1">
        <v>2.4121739130434801</v>
      </c>
      <c r="Q747" s="1">
        <v>0.24121739130434799</v>
      </c>
      <c r="R747" s="1">
        <v>0.35406794244987599</v>
      </c>
      <c r="S747" s="1" t="str">
        <f>VLOOKUP($E747,'Product Naming'!$A$1:$P$58,2,FALSE)</f>
        <v>Pentanol-PW1</v>
      </c>
      <c r="T747" s="1" t="str">
        <f>VLOOKUP($E747,'Product Naming'!$A$1:$P$58,3,FALSE)</f>
        <v>Pentanol (PW1)</v>
      </c>
      <c r="U747" s="1" t="str">
        <f>VLOOKUP($E747,'Product Naming'!$A$1:$P$58,4,FALSE)</f>
        <v>E</v>
      </c>
      <c r="V747" s="1" t="str">
        <f>VLOOKUP($E747,'Product Naming'!$A$1:$P$58,5,FALSE)</f>
        <v>C5H12O</v>
      </c>
      <c r="W747" s="1">
        <f>VLOOKUP($E747,'Product Naming'!$A$1:$P$58,6,FALSE)</f>
        <v>5</v>
      </c>
      <c r="X747" s="1">
        <f>VLOOKUP($E747,'Product Naming'!$A$1:$P$58,7,FALSE)</f>
        <v>12</v>
      </c>
      <c r="Y747" s="1">
        <f>VLOOKUP($E747,'Product Naming'!$A$1:$P$58,8,FALSE)</f>
        <v>1</v>
      </c>
      <c r="Z747" s="1">
        <f>VLOOKUP($E747,'Product Naming'!$A$1:$P$58,9,FALSE)</f>
        <v>0</v>
      </c>
      <c r="AA747" s="1">
        <f>VLOOKUP($E747,'Product Naming'!$A$1:$P$58,10,FALSE)</f>
        <v>0</v>
      </c>
      <c r="AB747" s="29">
        <f>VLOOKUP($E747,'Product Naming'!$A$1:$P$58,11,FALSE)</f>
        <v>6</v>
      </c>
      <c r="AC747" s="3">
        <f>VLOOKUP($E747,'Product Naming'!$A$1:$P$58,12,FALSE)</f>
        <v>88.14658</v>
      </c>
      <c r="AD747" s="1">
        <f>VLOOKUP($E747,'Product Naming'!$A$1:$P$58,13,FALSE)</f>
        <v>138</v>
      </c>
      <c r="AE747" s="1" t="str">
        <f>VLOOKUP($E747,'Product Naming'!$A$1:$P$58,14,FALSE)</f>
        <v>Alcohol</v>
      </c>
      <c r="AF747" s="1" t="str">
        <f>VLOOKUP($E747,'Product Naming'!$A$1:$P$58,15,FALSE)</f>
        <v>Acetyl-CoA + Succinyl-CoA</v>
      </c>
      <c r="AG747" s="30" t="str">
        <f>VLOOKUP($E747,'Product Naming'!$A$1:$P$58,16,FALSE)</f>
        <v>Proton symporter</v>
      </c>
      <c r="AH747" s="3" t="str">
        <f>VLOOKUP($E747,'Product Naming'!$A$1:$Q$58,17,FALSE)</f>
        <v>pentoh_c</v>
      </c>
      <c r="AI747" s="1">
        <f>VLOOKUP($E747,'Product Parameters'!$A$2:$D$59,2,FALSE)</f>
        <v>1</v>
      </c>
      <c r="AJ747" s="1">
        <f>VLOOKUP($E747,'Product Parameters'!$A$2:$D$59,3,FALSE)</f>
        <v>0</v>
      </c>
      <c r="AK747" s="1">
        <f>VLOOKUP($E747,'Product Parameters'!$A$2:$D$59,4,FALSE)</f>
        <v>0.12</v>
      </c>
      <c r="AL747" s="1">
        <f>VLOOKUP($E747,'Product Parameters'!$A$2:$E$59,5,FALSE)</f>
        <v>57</v>
      </c>
      <c r="AM747" s="1">
        <f>VLOOKUP($E747,'Product Parameters'!$A$2:$F$59,6,FALSE)</f>
        <v>5</v>
      </c>
      <c r="AN747" s="1">
        <f>VLOOKUP($C747,'Substrate Heating'!$A$2:$C$33,3,FALSE)</f>
        <v>1020.8629199999999</v>
      </c>
      <c r="AO747" s="1">
        <f>VLOOKUP($C747,'Substrate Heating'!$A$2:$B$33,2,FALSE)</f>
        <v>17</v>
      </c>
      <c r="AP747" s="1">
        <f>VLOOKUP($C747,'Substrate Heating'!$A$2:$M$33,13,FALSE)</f>
        <v>4</v>
      </c>
      <c r="AQ747" s="1">
        <f>VLOOKUP($C747,'Substrate Heating'!$A$2:$M$33,8,FALSE)</f>
        <v>2</v>
      </c>
      <c r="AR747" s="1">
        <f t="shared" si="11"/>
        <v>0.60304347826087001</v>
      </c>
    </row>
    <row r="748" spans="1:44" x14ac:dyDescent="0.2">
      <c r="A748" s="17" t="s">
        <v>323</v>
      </c>
      <c r="B748" s="18" t="s">
        <v>324</v>
      </c>
      <c r="C748" t="s">
        <v>328</v>
      </c>
      <c r="D748" s="19" t="s">
        <v>326</v>
      </c>
      <c r="E748" t="s">
        <v>52</v>
      </c>
      <c r="F748" t="s">
        <v>53</v>
      </c>
      <c r="G748">
        <v>-10</v>
      </c>
      <c r="H748">
        <v>0</v>
      </c>
      <c r="I748">
        <v>-10</v>
      </c>
      <c r="J748">
        <v>0.45</v>
      </c>
      <c r="K748">
        <v>-10</v>
      </c>
      <c r="L748">
        <v>0</v>
      </c>
      <c r="M748">
        <v>-10</v>
      </c>
      <c r="N748">
        <v>1.4</v>
      </c>
      <c r="O748">
        <v>1.4</v>
      </c>
      <c r="P748"/>
      <c r="Q748">
        <v>0.14000000000000001</v>
      </c>
      <c r="R748">
        <v>0.35496307692307699</v>
      </c>
      <c r="S748" s="1" t="str">
        <f>VLOOKUP($E748,'Product Naming'!$A$1:$P$58,2,FALSE)</f>
        <v>1-3-Diaminopropane</v>
      </c>
      <c r="T748" s="1" t="str">
        <f>VLOOKUP($E748,'Product Naming'!$A$1:$P$58,3,FALSE)</f>
        <v>1,3-Diaminopropane</v>
      </c>
      <c r="U748" s="1" t="str">
        <f>VLOOKUP($E748,'Product Naming'!$A$1:$P$58,4,FALSE)</f>
        <v>A</v>
      </c>
      <c r="V748" s="1" t="str">
        <f>VLOOKUP($E748,'Product Naming'!$A$1:$P$58,5,FALSE)</f>
        <v>C3H12N2</v>
      </c>
      <c r="W748" s="1">
        <f>VLOOKUP($E748,'Product Naming'!$A$1:$P$58,6,FALSE)</f>
        <v>3</v>
      </c>
      <c r="X748" s="1">
        <f>VLOOKUP($E748,'Product Naming'!$A$1:$P$58,7,FALSE)</f>
        <v>12</v>
      </c>
      <c r="Y748" s="1">
        <f>VLOOKUP($E748,'Product Naming'!$A$1:$P$58,8,FALSE)</f>
        <v>0</v>
      </c>
      <c r="Z748" s="1">
        <f>VLOOKUP($E748,'Product Naming'!$A$1:$P$58,9,FALSE)</f>
        <v>2</v>
      </c>
      <c r="AA748" s="1">
        <f>VLOOKUP($E748,'Product Naming'!$A$1:$P$58,10,FALSE)</f>
        <v>2</v>
      </c>
      <c r="AB748" s="29">
        <f>VLOOKUP($E748,'Product Naming'!$A$1:$P$58,11,FALSE)</f>
        <v>6</v>
      </c>
      <c r="AC748" s="3">
        <f>VLOOKUP($E748,'Product Naming'!$A$1:$P$58,12,FALSE)</f>
        <v>76.139580000000009</v>
      </c>
      <c r="AD748" s="1">
        <f>VLOOKUP($E748,'Product Naming'!$A$1:$P$58,13,FALSE)</f>
        <v>139.30000000000001</v>
      </c>
      <c r="AE748" s="1" t="str">
        <f>VLOOKUP($E748,'Product Naming'!$A$1:$P$58,14,FALSE)</f>
        <v>Diamine</v>
      </c>
      <c r="AF748" s="1" t="str">
        <f>VLOOKUP($E748,'Product Naming'!$A$1:$P$58,15,FALSE)</f>
        <v>Oxaloacetate + aKG</v>
      </c>
      <c r="AG748" s="30" t="str">
        <f>VLOOKUP($E748,'Product Naming'!$A$1:$P$58,16,FALSE)</f>
        <v>Proton symporter</v>
      </c>
      <c r="AH748" s="3" t="str">
        <f>VLOOKUP($E748,'Product Naming'!$A$1:$Q$58,17,FALSE)</f>
        <v>13dampp_c</v>
      </c>
      <c r="AI748" s="1">
        <f>VLOOKUP($E748,'Product Parameters'!$A$2:$D$59,2,FALSE)</f>
        <v>1</v>
      </c>
      <c r="AJ748" s="1">
        <f>VLOOKUP($E748,'Product Parameters'!$A$2:$D$59,3,FALSE)</f>
        <v>0</v>
      </c>
      <c r="AK748" s="1">
        <f>VLOOKUP($E748,'Product Parameters'!$A$2:$D$59,4,FALSE)</f>
        <v>0.12</v>
      </c>
      <c r="AL748" s="1">
        <f>VLOOKUP($E748,'Product Parameters'!$A$2:$E$59,5,FALSE)</f>
        <v>50.18</v>
      </c>
      <c r="AM748" s="1">
        <f>VLOOKUP($E748,'Product Parameters'!$A$2:$F$59,6,FALSE)</f>
        <v>3</v>
      </c>
      <c r="AN748" s="1">
        <f>VLOOKUP($C748,'Substrate Heating'!$A$2:$C$33,3,FALSE)</f>
        <v>262.39999999999998</v>
      </c>
      <c r="AO748" s="1">
        <f>VLOOKUP($C748,'Substrate Heating'!$A$2:$B$33,2,FALSE)</f>
        <v>17.478546483008707</v>
      </c>
      <c r="AP748" s="1">
        <f>VLOOKUP($C748,'Substrate Heating'!$A$2:$M$33,13,FALSE)</f>
        <v>1</v>
      </c>
      <c r="AQ748" s="1">
        <f>VLOOKUP($C748,'Substrate Heating'!$A$2:$M$33,8,FALSE)</f>
        <v>0.5</v>
      </c>
      <c r="AR748" s="1">
        <f t="shared" si="11"/>
        <v>0.84000000000000008</v>
      </c>
    </row>
    <row r="749" spans="1:44" x14ac:dyDescent="0.2">
      <c r="A749" s="8" t="s">
        <v>34</v>
      </c>
      <c r="B749" s="9" t="s">
        <v>35</v>
      </c>
      <c r="C749" s="1" t="s">
        <v>343</v>
      </c>
      <c r="D749" s="24" t="s">
        <v>342</v>
      </c>
      <c r="E749" s="1" t="s">
        <v>313</v>
      </c>
      <c r="F749" s="1" t="s">
        <v>314</v>
      </c>
      <c r="G749" s="1">
        <v>-10</v>
      </c>
      <c r="H749" s="1">
        <v>-20</v>
      </c>
      <c r="I749" s="1" t="s">
        <v>40</v>
      </c>
      <c r="J749" s="1">
        <v>3.15</v>
      </c>
      <c r="K749" s="1">
        <v>-10</v>
      </c>
      <c r="L749" s="1">
        <v>-3.5122807017543902</v>
      </c>
      <c r="M749" s="1" t="s">
        <v>40</v>
      </c>
      <c r="N749" s="1">
        <v>4.8098245614035102</v>
      </c>
      <c r="O749" s="1">
        <v>3.14877192982456</v>
      </c>
      <c r="Q749" s="1">
        <v>0.31487719298245598</v>
      </c>
      <c r="R749" s="1">
        <v>0.35609263092179899</v>
      </c>
      <c r="S749" s="1" t="str">
        <f>VLOOKUP($E749,'Product Naming'!$A$1:$P$58,2,FALSE)</f>
        <v>Styrene</v>
      </c>
      <c r="T749" s="1" t="str">
        <f>VLOOKUP($E749,'Product Naming'!$A$1:$P$58,3,FALSE)</f>
        <v>Styrene</v>
      </c>
      <c r="U749" s="1" t="str">
        <f>VLOOKUP($E749,'Product Naming'!$A$1:$P$58,4,FALSE)</f>
        <v>E-S</v>
      </c>
      <c r="V749" s="1" t="str">
        <f>VLOOKUP($E749,'Product Naming'!$A$1:$P$58,5,FALSE)</f>
        <v>C8H8</v>
      </c>
      <c r="W749" s="1">
        <f>VLOOKUP($E749,'Product Naming'!$A$1:$P$58,6,FALSE)</f>
        <v>8</v>
      </c>
      <c r="X749" s="1">
        <f>VLOOKUP($E749,'Product Naming'!$A$1:$P$58,7,FALSE)</f>
        <v>8</v>
      </c>
      <c r="Y749" s="1">
        <f>VLOOKUP($E749,'Product Naming'!$A$1:$P$58,8,FALSE)</f>
        <v>0</v>
      </c>
      <c r="Z749" s="1">
        <f>VLOOKUP($E749,'Product Naming'!$A$1:$P$58,9,FALSE)</f>
        <v>0</v>
      </c>
      <c r="AA749" s="1">
        <f>VLOOKUP($E749,'Product Naming'!$A$1:$P$58,10,FALSE)</f>
        <v>0</v>
      </c>
      <c r="AB749" s="29">
        <f>VLOOKUP($E749,'Product Naming'!$A$1:$P$58,11,FALSE)</f>
        <v>5</v>
      </c>
      <c r="AC749" s="3">
        <f>VLOOKUP($E749,'Product Naming'!$A$1:$P$58,12,FALSE)</f>
        <v>104.14832</v>
      </c>
      <c r="AD749" s="1">
        <f>VLOOKUP($E749,'Product Naming'!$A$1:$P$58,13,FALSE)</f>
        <v>145</v>
      </c>
      <c r="AE749" s="1" t="str">
        <f>VLOOKUP($E749,'Product Naming'!$A$1:$P$58,14,FALSE)</f>
        <v>Cycloalkane</v>
      </c>
      <c r="AF749" s="1" t="str">
        <f>VLOOKUP($E749,'Product Naming'!$A$1:$P$58,15,FALSE)</f>
        <v>E4P</v>
      </c>
      <c r="AG749" s="30" t="str">
        <f>VLOOKUP($E749,'Product Naming'!$A$1:$P$58,16,FALSE)</f>
        <v>Proton symporter</v>
      </c>
      <c r="AH749" s="3" t="str">
        <f>VLOOKUP($E749,'Product Naming'!$A$1:$Q$58,17,FALSE)</f>
        <v>styr_c</v>
      </c>
      <c r="AI749" s="1">
        <f>VLOOKUP($E749,'Product Parameters'!$A$2:$D$59,2,FALSE)</f>
        <v>1</v>
      </c>
      <c r="AJ749" s="1">
        <f>VLOOKUP($E749,'Product Parameters'!$A$2:$D$59,3,FALSE)</f>
        <v>0</v>
      </c>
      <c r="AK749" s="1">
        <f>VLOOKUP($E749,'Product Parameters'!$A$2:$D$59,4,FALSE)</f>
        <v>0.12</v>
      </c>
      <c r="AL749" s="1">
        <f>VLOOKUP($E749,'Product Parameters'!$A$2:$E$59,5,FALSE)</f>
        <v>43.9</v>
      </c>
      <c r="AM749" s="1">
        <f>VLOOKUP($E749,'Product Parameters'!$A$2:$F$59,6,FALSE)</f>
        <v>8</v>
      </c>
      <c r="AN749" s="1">
        <f>VLOOKUP($C749,'Substrate Heating'!$A$2:$C$33,3,FALSE)</f>
        <v>1648.4793779999998</v>
      </c>
      <c r="AO749" s="1">
        <f>VLOOKUP($C749,'Substrate Heating'!$A$2:$B$33,2,FALSE)</f>
        <v>17.899999999999999</v>
      </c>
      <c r="AP749" s="1">
        <f>VLOOKUP($C749,'Substrate Heating'!$A$2:$M$33,13,FALSE)</f>
        <v>4.666666666666667</v>
      </c>
      <c r="AQ749" s="1">
        <f>VLOOKUP($C749,'Substrate Heating'!$A$2:$M$33,8,FALSE)</f>
        <v>3</v>
      </c>
      <c r="AR749" s="1">
        <f t="shared" si="11"/>
        <v>0.83967251461988257</v>
      </c>
    </row>
    <row r="750" spans="1:44" x14ac:dyDescent="0.2">
      <c r="A750" s="8" t="s">
        <v>34</v>
      </c>
      <c r="B750" s="9" t="s">
        <v>35</v>
      </c>
      <c r="C750" s="1" t="s">
        <v>346</v>
      </c>
      <c r="D750" s="23" t="s">
        <v>338</v>
      </c>
      <c r="E750" s="1" t="s">
        <v>287</v>
      </c>
      <c r="F750" s="1" t="s">
        <v>288</v>
      </c>
      <c r="G750" s="1">
        <v>-10</v>
      </c>
      <c r="H750" s="1">
        <v>-20</v>
      </c>
      <c r="I750" s="1" t="s">
        <v>40</v>
      </c>
      <c r="J750" s="1">
        <v>3.15</v>
      </c>
      <c r="K750" s="1">
        <v>-10</v>
      </c>
      <c r="L750" s="1">
        <v>-2.31555555555556</v>
      </c>
      <c r="M750" s="1" t="s">
        <v>40</v>
      </c>
      <c r="N750" s="1">
        <v>2.0722222222222202</v>
      </c>
      <c r="O750" s="1">
        <v>1.58555555555556</v>
      </c>
      <c r="Q750" s="1">
        <v>0.158555555555556</v>
      </c>
      <c r="R750" s="1">
        <v>0.35702313309512501</v>
      </c>
      <c r="S750" s="1" t="str">
        <f>VLOOKUP($E750,'Product Naming'!$A$1:$P$58,2,FALSE)</f>
        <v>Pentane</v>
      </c>
      <c r="T750" s="1" t="str">
        <f>VLOOKUP($E750,'Product Naming'!$A$1:$P$58,3,FALSE)</f>
        <v>Pentane</v>
      </c>
      <c r="U750" s="1" t="str">
        <f>VLOOKUP($E750,'Product Naming'!$A$1:$P$58,4,FALSE)</f>
        <v>E</v>
      </c>
      <c r="V750" s="1" t="str">
        <f>VLOOKUP($E750,'Product Naming'!$A$1:$P$58,5,FALSE)</f>
        <v>C5H12</v>
      </c>
      <c r="W750" s="1">
        <f>VLOOKUP($E750,'Product Naming'!$A$1:$P$58,6,FALSE)</f>
        <v>5</v>
      </c>
      <c r="X750" s="1">
        <f>VLOOKUP($E750,'Product Naming'!$A$1:$P$58,7,FALSE)</f>
        <v>12</v>
      </c>
      <c r="Y750" s="1">
        <f>VLOOKUP($E750,'Product Naming'!$A$1:$P$58,8,FALSE)</f>
        <v>0</v>
      </c>
      <c r="Z750" s="1">
        <f>VLOOKUP($E750,'Product Naming'!$A$1:$P$58,9,FALSE)</f>
        <v>0</v>
      </c>
      <c r="AA750" s="1">
        <f>VLOOKUP($E750,'Product Naming'!$A$1:$P$58,10,FALSE)</f>
        <v>0</v>
      </c>
      <c r="AB750" s="29">
        <f>VLOOKUP($E750,'Product Naming'!$A$1:$P$58,11,FALSE)</f>
        <v>6.4</v>
      </c>
      <c r="AC750" s="3">
        <f>VLOOKUP($E750,'Product Naming'!$A$1:$P$58,12,FALSE)</f>
        <v>72.147580000000005</v>
      </c>
      <c r="AD750" s="1">
        <f>VLOOKUP($E750,'Product Naming'!$A$1:$P$58,13,FALSE)</f>
        <v>36.1</v>
      </c>
      <c r="AE750" s="1" t="str">
        <f>VLOOKUP($E750,'Product Naming'!$A$1:$P$58,14,FALSE)</f>
        <v>Hydrocarbon (alkane)</v>
      </c>
      <c r="AF750" s="1" t="str">
        <f>VLOOKUP($E750,'Product Naming'!$A$1:$P$58,15,FALSE)</f>
        <v>Acetyl-CoA</v>
      </c>
      <c r="AG750" s="30" t="str">
        <f>VLOOKUP($E750,'Product Naming'!$A$1:$P$58,16,FALSE)</f>
        <v>Diffusion</v>
      </c>
      <c r="AH750" s="3" t="str">
        <f>VLOOKUP($E750,'Product Naming'!$A$1:$Q$58,17,FALSE)</f>
        <v>pent_c</v>
      </c>
      <c r="AI750" s="1">
        <f>VLOOKUP($E750,'Product Parameters'!$A$2:$D$59,2,FALSE)</f>
        <v>0</v>
      </c>
      <c r="AJ750" s="1">
        <f>VLOOKUP($E750,'Product Parameters'!$A$2:$D$59,3,FALSE)</f>
        <v>1</v>
      </c>
      <c r="AK750" s="1">
        <f>VLOOKUP($E750,'Product Parameters'!$A$2:$D$59,4,FALSE)</f>
        <v>0.12</v>
      </c>
      <c r="AL750" s="1">
        <f>VLOOKUP($E750,'Product Parameters'!$A$2:$E$59,5,FALSE)</f>
        <v>26.5</v>
      </c>
      <c r="AM750" s="1">
        <f>VLOOKUP($E750,'Product Parameters'!$A$2:$F$59,6,FALSE)</f>
        <v>5</v>
      </c>
      <c r="AN750" s="1">
        <f>VLOOKUP($C750,'Substrate Heating'!$A$2:$C$33,3,FALSE)</f>
        <v>638.57832580000002</v>
      </c>
      <c r="AO750" s="1">
        <f>VLOOKUP($C750,'Substrate Heating'!$A$2:$B$33,2,FALSE)</f>
        <v>19.93</v>
      </c>
      <c r="AP750" s="1">
        <f>VLOOKUP($C750,'Substrate Heating'!$A$2:$M$33,13,FALSE)</f>
        <v>6</v>
      </c>
      <c r="AQ750" s="1">
        <f>VLOOKUP($C750,'Substrate Heating'!$A$2:$M$33,8,FALSE)</f>
        <v>1</v>
      </c>
      <c r="AR750" s="1">
        <f t="shared" si="11"/>
        <v>0.79277777777778002</v>
      </c>
    </row>
    <row r="751" spans="1:44" x14ac:dyDescent="0.2">
      <c r="A751" s="8" t="s">
        <v>34</v>
      </c>
      <c r="B751" s="9" t="s">
        <v>35</v>
      </c>
      <c r="C751" s="1" t="s">
        <v>347</v>
      </c>
      <c r="D751" s="23" t="s">
        <v>338</v>
      </c>
      <c r="E751" s="1" t="s">
        <v>287</v>
      </c>
      <c r="F751" s="1" t="s">
        <v>288</v>
      </c>
      <c r="G751" s="1">
        <v>-10</v>
      </c>
      <c r="H751" s="1">
        <v>-20</v>
      </c>
      <c r="I751" s="1" t="s">
        <v>40</v>
      </c>
      <c r="J751" s="1">
        <v>3.15</v>
      </c>
      <c r="K751" s="1">
        <v>-10</v>
      </c>
      <c r="L751" s="1">
        <v>-2.3155555555555498</v>
      </c>
      <c r="M751" s="1" t="s">
        <v>40</v>
      </c>
      <c r="N751" s="1">
        <v>2.0722222222222202</v>
      </c>
      <c r="O751" s="1">
        <v>1.58555555555556</v>
      </c>
      <c r="Q751" s="1">
        <v>0.158555555555556</v>
      </c>
      <c r="R751" s="1">
        <v>0.35702313309512501</v>
      </c>
      <c r="S751" s="1" t="str">
        <f>VLOOKUP($E751,'Product Naming'!$A$1:$P$58,2,FALSE)</f>
        <v>Pentane</v>
      </c>
      <c r="T751" s="1" t="str">
        <f>VLOOKUP($E751,'Product Naming'!$A$1:$P$58,3,FALSE)</f>
        <v>Pentane</v>
      </c>
      <c r="U751" s="1" t="str">
        <f>VLOOKUP($E751,'Product Naming'!$A$1:$P$58,4,FALSE)</f>
        <v>E</v>
      </c>
      <c r="V751" s="1" t="str">
        <f>VLOOKUP($E751,'Product Naming'!$A$1:$P$58,5,FALSE)</f>
        <v>C5H12</v>
      </c>
      <c r="W751" s="1">
        <f>VLOOKUP($E751,'Product Naming'!$A$1:$P$58,6,FALSE)</f>
        <v>5</v>
      </c>
      <c r="X751" s="1">
        <f>VLOOKUP($E751,'Product Naming'!$A$1:$P$58,7,FALSE)</f>
        <v>12</v>
      </c>
      <c r="Y751" s="1">
        <f>VLOOKUP($E751,'Product Naming'!$A$1:$P$58,8,FALSE)</f>
        <v>0</v>
      </c>
      <c r="Z751" s="1">
        <f>VLOOKUP($E751,'Product Naming'!$A$1:$P$58,9,FALSE)</f>
        <v>0</v>
      </c>
      <c r="AA751" s="1">
        <f>VLOOKUP($E751,'Product Naming'!$A$1:$P$58,10,FALSE)</f>
        <v>0</v>
      </c>
      <c r="AB751" s="29">
        <f>VLOOKUP($E751,'Product Naming'!$A$1:$P$58,11,FALSE)</f>
        <v>6.4</v>
      </c>
      <c r="AC751" s="3">
        <f>VLOOKUP($E751,'Product Naming'!$A$1:$P$58,12,FALSE)</f>
        <v>72.147580000000005</v>
      </c>
      <c r="AD751" s="1">
        <f>VLOOKUP($E751,'Product Naming'!$A$1:$P$58,13,FALSE)</f>
        <v>36.1</v>
      </c>
      <c r="AE751" s="1" t="str">
        <f>VLOOKUP($E751,'Product Naming'!$A$1:$P$58,14,FALSE)</f>
        <v>Hydrocarbon (alkane)</v>
      </c>
      <c r="AF751" s="1" t="str">
        <f>VLOOKUP($E751,'Product Naming'!$A$1:$P$58,15,FALSE)</f>
        <v>Acetyl-CoA</v>
      </c>
      <c r="AG751" s="30" t="str">
        <f>VLOOKUP($E751,'Product Naming'!$A$1:$P$58,16,FALSE)</f>
        <v>Diffusion</v>
      </c>
      <c r="AH751" s="3" t="str">
        <f>VLOOKUP($E751,'Product Naming'!$A$1:$Q$58,17,FALSE)</f>
        <v>pent_c</v>
      </c>
      <c r="AI751" s="1">
        <f>VLOOKUP($E751,'Product Parameters'!$A$2:$D$59,2,FALSE)</f>
        <v>0</v>
      </c>
      <c r="AJ751" s="1">
        <f>VLOOKUP($E751,'Product Parameters'!$A$2:$D$59,3,FALSE)</f>
        <v>1</v>
      </c>
      <c r="AK751" s="1">
        <f>VLOOKUP($E751,'Product Parameters'!$A$2:$D$59,4,FALSE)</f>
        <v>0.12</v>
      </c>
      <c r="AL751" s="1">
        <f>VLOOKUP($E751,'Product Parameters'!$A$2:$E$59,5,FALSE)</f>
        <v>26.5</v>
      </c>
      <c r="AM751" s="1">
        <f>VLOOKUP($E751,'Product Parameters'!$A$2:$F$59,6,FALSE)</f>
        <v>5</v>
      </c>
      <c r="AN751" s="1">
        <f>VLOOKUP($C751,'Substrate Heating'!$A$2:$C$33,3,FALSE)</f>
        <v>638.57832580000002</v>
      </c>
      <c r="AO751" s="1">
        <f>VLOOKUP($C751,'Substrate Heating'!$A$2:$B$33,2,FALSE)</f>
        <v>19.93</v>
      </c>
      <c r="AP751" s="1">
        <f>VLOOKUP($C751,'Substrate Heating'!$A$2:$M$33,13,FALSE)</f>
        <v>6</v>
      </c>
      <c r="AQ751" s="1">
        <f>VLOOKUP($C751,'Substrate Heating'!$A$2:$M$33,8,FALSE)</f>
        <v>1</v>
      </c>
      <c r="AR751" s="1">
        <f t="shared" si="11"/>
        <v>0.79277777777778002</v>
      </c>
    </row>
    <row r="752" spans="1:44" x14ac:dyDescent="0.2">
      <c r="A752" s="17" t="s">
        <v>323</v>
      </c>
      <c r="B752" s="18" t="s">
        <v>324</v>
      </c>
      <c r="C752" t="s">
        <v>335</v>
      </c>
      <c r="D752" s="19" t="s">
        <v>326</v>
      </c>
      <c r="E752" t="s">
        <v>215</v>
      </c>
      <c r="F752" t="s">
        <v>216</v>
      </c>
      <c r="G752">
        <v>-10</v>
      </c>
      <c r="H752">
        <v>0</v>
      </c>
      <c r="I752">
        <v>-10</v>
      </c>
      <c r="J752">
        <v>0.45</v>
      </c>
      <c r="K752">
        <v>-10</v>
      </c>
      <c r="L752">
        <v>0</v>
      </c>
      <c r="M752">
        <v>-10</v>
      </c>
      <c r="N752">
        <v>0</v>
      </c>
      <c r="O752">
        <v>1.1741935483871</v>
      </c>
      <c r="P752"/>
      <c r="Q752">
        <v>0.11741935483870999</v>
      </c>
      <c r="R752">
        <v>0.35707246920118002</v>
      </c>
      <c r="S752" s="1" t="str">
        <f>VLOOKUP($E752,'Product Naming'!$A$1:$P$58,2,FALSE)</f>
        <v>Glutamate_L</v>
      </c>
      <c r="T752" s="1" t="str">
        <f>VLOOKUP($E752,'Product Naming'!$A$1:$P$58,3,FALSE)</f>
        <v>L-Glutamate</v>
      </c>
      <c r="U752" s="1" t="str">
        <f>VLOOKUP($E752,'Product Naming'!$A$1:$P$58,4,FALSE)</f>
        <v>iJO1366</v>
      </c>
      <c r="V752" s="1" t="str">
        <f>VLOOKUP($E752,'Product Naming'!$A$1:$P$58,5,FALSE)</f>
        <v>C5H8NO4</v>
      </c>
      <c r="W752" s="1">
        <f>VLOOKUP($E752,'Product Naming'!$A$1:$P$58,6,FALSE)</f>
        <v>5</v>
      </c>
      <c r="X752" s="1">
        <f>VLOOKUP($E752,'Product Naming'!$A$1:$P$58,7,FALSE)</f>
        <v>8</v>
      </c>
      <c r="Y752" s="1">
        <f>VLOOKUP($E752,'Product Naming'!$A$1:$P$58,8,FALSE)</f>
        <v>4</v>
      </c>
      <c r="Z752" s="1">
        <f>VLOOKUP($E752,'Product Naming'!$A$1:$P$58,9,FALSE)</f>
        <v>1</v>
      </c>
      <c r="AA752" s="1">
        <f>VLOOKUP($E752,'Product Naming'!$A$1:$P$58,10,FALSE)</f>
        <v>-1</v>
      </c>
      <c r="AB752" s="29">
        <f>VLOOKUP($E752,'Product Naming'!$A$1:$P$58,11,FALSE)</f>
        <v>3.4</v>
      </c>
      <c r="AC752" s="3">
        <f>VLOOKUP($E752,'Product Naming'!$A$1:$P$58,12,FALSE)</f>
        <v>146.11892</v>
      </c>
      <c r="AD752" s="1">
        <f>VLOOKUP($E752,'Product Naming'!$A$1:$P$58,13,FALSE)</f>
        <v>333.8</v>
      </c>
      <c r="AE752" s="1" t="str">
        <f>VLOOKUP($E752,'Product Naming'!$A$1:$P$58,14,FALSE)</f>
        <v>Amino acid</v>
      </c>
      <c r="AF752" s="1" t="str">
        <f>VLOOKUP($E752,'Product Naming'!$A$1:$P$58,15,FALSE)</f>
        <v>aKG</v>
      </c>
      <c r="AG752" s="30" t="str">
        <f>VLOOKUP($E752,'Product Naming'!$A$1:$P$58,16,FALSE)</f>
        <v>Proton symporter</v>
      </c>
      <c r="AH752" s="3" t="str">
        <f>VLOOKUP($E752,'Product Naming'!$A$1:$Q$58,17,FALSE)</f>
        <v>glu__L_c</v>
      </c>
      <c r="AI752" s="1">
        <f>VLOOKUP($E752,'Product Parameters'!$A$2:$D$59,2,FALSE)</f>
        <v>1</v>
      </c>
      <c r="AJ752" s="1">
        <f>VLOOKUP($E752,'Product Parameters'!$A$2:$D$59,3,FALSE)</f>
        <v>0</v>
      </c>
      <c r="AK752" s="1">
        <f>VLOOKUP($E752,'Product Parameters'!$A$2:$D$59,4,FALSE)</f>
        <v>0.12</v>
      </c>
      <c r="AL752" s="1">
        <f>VLOOKUP($E752,'Product Parameters'!$A$2:$E$59,5,FALSE)</f>
        <v>40.65</v>
      </c>
      <c r="AM752" s="1">
        <f>VLOOKUP($E752,'Product Parameters'!$A$2:$F$59,6,FALSE)</f>
        <v>5</v>
      </c>
      <c r="AN752" s="1">
        <f>VLOOKUP($C752,'Substrate Heating'!$A$2:$C$33,3,FALSE)</f>
        <v>247.9</v>
      </c>
      <c r="AO752" s="1">
        <f>VLOOKUP($C752,'Substrate Heating'!$A$2:$B$33,2,FALSE)</f>
        <v>10.541709491918519</v>
      </c>
      <c r="AP752" s="1">
        <f>VLOOKUP($C752,'Substrate Heating'!$A$2:$M$33,13,FALSE)</f>
        <v>0.5</v>
      </c>
      <c r="AQ752" s="1">
        <f>VLOOKUP($C752,'Substrate Heating'!$A$2:$M$33,8,FALSE)</f>
        <v>0.5</v>
      </c>
      <c r="AR752" s="1">
        <f t="shared" si="11"/>
        <v>1.1741935483871</v>
      </c>
    </row>
    <row r="753" spans="1:44" x14ac:dyDescent="0.2">
      <c r="A753" s="8" t="s">
        <v>34</v>
      </c>
      <c r="B753" s="9" t="s">
        <v>35</v>
      </c>
      <c r="C753" s="1" t="s">
        <v>344</v>
      </c>
      <c r="D753" s="10" t="s">
        <v>37</v>
      </c>
      <c r="E753" s="1" t="s">
        <v>240</v>
      </c>
      <c r="F753" s="1" t="s">
        <v>241</v>
      </c>
      <c r="G753" s="1">
        <v>-10</v>
      </c>
      <c r="H753" s="1">
        <v>-20</v>
      </c>
      <c r="I753" s="1" t="s">
        <v>40</v>
      </c>
      <c r="J753" s="1">
        <v>3.15</v>
      </c>
      <c r="K753" s="1">
        <v>-10</v>
      </c>
      <c r="L753" s="1">
        <v>-4.9999999999999902</v>
      </c>
      <c r="M753" s="1" t="s">
        <v>40</v>
      </c>
      <c r="N753" s="1">
        <v>10</v>
      </c>
      <c r="O753" s="1">
        <v>2.5</v>
      </c>
      <c r="Q753" s="1">
        <v>0.25</v>
      </c>
      <c r="R753" s="1">
        <v>0.35856799107440201</v>
      </c>
      <c r="S753" s="1" t="str">
        <f>VLOOKUP($E753,'Product Naming'!$A$1:$P$58,2,FALSE)</f>
        <v>Isobutanol</v>
      </c>
      <c r="T753" s="1" t="str">
        <f>VLOOKUP($E753,'Product Naming'!$A$1:$P$58,3,FALSE)</f>
        <v>Isobutanol</v>
      </c>
      <c r="U753" s="1" t="str">
        <f>VLOOKUP($E753,'Product Naming'!$A$1:$P$58,4,FALSE)</f>
        <v>E</v>
      </c>
      <c r="V753" s="1" t="str">
        <f>VLOOKUP($E753,'Product Naming'!$A$1:$P$58,5,FALSE)</f>
        <v>C5H10O</v>
      </c>
      <c r="W753" s="1">
        <f>VLOOKUP($E753,'Product Naming'!$A$1:$P$58,6,FALSE)</f>
        <v>5</v>
      </c>
      <c r="X753" s="1">
        <f>VLOOKUP($E753,'Product Naming'!$A$1:$P$58,7,FALSE)</f>
        <v>10</v>
      </c>
      <c r="Y753" s="1">
        <f>VLOOKUP($E753,'Product Naming'!$A$1:$P$58,8,FALSE)</f>
        <v>1</v>
      </c>
      <c r="Z753" s="1">
        <f>VLOOKUP($E753,'Product Naming'!$A$1:$P$58,9,FALSE)</f>
        <v>0</v>
      </c>
      <c r="AA753" s="1">
        <f>VLOOKUP($E753,'Product Naming'!$A$1:$P$58,10,FALSE)</f>
        <v>0</v>
      </c>
      <c r="AB753" s="29">
        <f>VLOOKUP($E753,'Product Naming'!$A$1:$P$58,11,FALSE)</f>
        <v>5.6</v>
      </c>
      <c r="AC753" s="3">
        <f>VLOOKUP($E753,'Product Naming'!$A$1:$P$58,12,FALSE)</f>
        <v>86.130899999999997</v>
      </c>
      <c r="AD753" s="1">
        <f>VLOOKUP($E753,'Product Naming'!$A$1:$P$58,13,FALSE)</f>
        <v>108</v>
      </c>
      <c r="AE753" s="1" t="str">
        <f>VLOOKUP($E753,'Product Naming'!$A$1:$P$58,14,FALSE)</f>
        <v>Alcohol</v>
      </c>
      <c r="AF753" s="1" t="str">
        <f>VLOOKUP($E753,'Product Naming'!$A$1:$P$58,15,FALSE)</f>
        <v>Pyruvate</v>
      </c>
      <c r="AG753" s="30" t="str">
        <f>VLOOKUP($E753,'Product Naming'!$A$1:$P$58,16,FALSE)</f>
        <v>Proton symporter</v>
      </c>
      <c r="AH753" s="3" t="str">
        <f>VLOOKUP($E753,'Product Naming'!$A$1:$Q$58,17,FALSE)</f>
        <v>ibutoh_c</v>
      </c>
      <c r="AI753" s="1">
        <f>VLOOKUP($E753,'Product Parameters'!$A$2:$D$59,2,FALSE)</f>
        <v>1</v>
      </c>
      <c r="AJ753" s="1">
        <f>VLOOKUP($E753,'Product Parameters'!$A$2:$D$59,3,FALSE)</f>
        <v>0</v>
      </c>
      <c r="AK753" s="1">
        <f>VLOOKUP($E753,'Product Parameters'!$A$2:$D$59,4,FALSE)</f>
        <v>0.12</v>
      </c>
      <c r="AL753" s="1">
        <f>VLOOKUP($E753,'Product Parameters'!$A$2:$E$59,5,FALSE)</f>
        <v>51</v>
      </c>
      <c r="AM753" s="1">
        <f>VLOOKUP($E753,'Product Parameters'!$A$2:$F$59,6,FALSE)</f>
        <v>5</v>
      </c>
      <c r="AN753" s="1">
        <f>VLOOKUP($C753,'Substrate Heating'!$A$2:$C$33,3,FALSE)</f>
        <v>1020.8629199999999</v>
      </c>
      <c r="AO753" s="1">
        <f>VLOOKUP($C753,'Substrate Heating'!$A$2:$B$33,2,FALSE)</f>
        <v>17</v>
      </c>
      <c r="AP753" s="1">
        <f>VLOOKUP($C753,'Substrate Heating'!$A$2:$M$33,13,FALSE)</f>
        <v>4</v>
      </c>
      <c r="AQ753" s="1">
        <f>VLOOKUP($C753,'Substrate Heating'!$A$2:$M$33,8,FALSE)</f>
        <v>2</v>
      </c>
      <c r="AR753" s="1">
        <f t="shared" si="11"/>
        <v>0.625</v>
      </c>
    </row>
    <row r="754" spans="1:44" x14ac:dyDescent="0.2">
      <c r="A754" s="8" t="s">
        <v>809</v>
      </c>
      <c r="B754" s="18" t="s">
        <v>324</v>
      </c>
      <c r="C754" t="s">
        <v>808</v>
      </c>
      <c r="D754" s="19" t="s">
        <v>326</v>
      </c>
      <c r="E754" t="s">
        <v>240</v>
      </c>
      <c r="F754" t="s">
        <v>241</v>
      </c>
      <c r="G754">
        <v>-10</v>
      </c>
      <c r="H754">
        <v>0</v>
      </c>
      <c r="I754">
        <v>-20</v>
      </c>
      <c r="J754">
        <v>0.45</v>
      </c>
      <c r="K754">
        <v>-7.0666666666666602</v>
      </c>
      <c r="L754">
        <v>0</v>
      </c>
      <c r="M754">
        <v>-20</v>
      </c>
      <c r="N754">
        <v>-7.0666666666666602</v>
      </c>
      <c r="O754">
        <v>1.4666666666666599</v>
      </c>
      <c r="P754"/>
      <c r="Q754">
        <v>0.20754716981131999</v>
      </c>
      <c r="R754">
        <v>0.35956928647060798</v>
      </c>
      <c r="S754" s="1" t="str">
        <f>VLOOKUP($E754,'Product Naming'!$A$1:$P$58,2,FALSE)</f>
        <v>Isobutanol</v>
      </c>
      <c r="T754" s="1" t="str">
        <f>VLOOKUP($E754,'Product Naming'!$A$1:$P$58,3,FALSE)</f>
        <v>Isobutanol</v>
      </c>
      <c r="U754" s="1" t="str">
        <f>VLOOKUP($E754,'Product Naming'!$A$1:$P$58,4,FALSE)</f>
        <v>E</v>
      </c>
      <c r="V754" s="1" t="str">
        <f>VLOOKUP($E754,'Product Naming'!$A$1:$P$58,5,FALSE)</f>
        <v>C5H10O</v>
      </c>
      <c r="W754" s="1">
        <f>VLOOKUP($E754,'Product Naming'!$A$1:$P$58,6,FALSE)</f>
        <v>5</v>
      </c>
      <c r="X754" s="1">
        <f>VLOOKUP($E754,'Product Naming'!$A$1:$P$58,7,FALSE)</f>
        <v>10</v>
      </c>
      <c r="Y754" s="1">
        <f>VLOOKUP($E754,'Product Naming'!$A$1:$P$58,8,FALSE)</f>
        <v>1</v>
      </c>
      <c r="Z754" s="1">
        <f>VLOOKUP($E754,'Product Naming'!$A$1:$P$58,9,FALSE)</f>
        <v>0</v>
      </c>
      <c r="AA754" s="1">
        <f>VLOOKUP($E754,'Product Naming'!$A$1:$P$58,10,FALSE)</f>
        <v>0</v>
      </c>
      <c r="AB754" s="29">
        <f>VLOOKUP($E754,'Product Naming'!$A$1:$P$58,11,FALSE)</f>
        <v>5.6</v>
      </c>
      <c r="AC754" s="3">
        <f>VLOOKUP($E754,'Product Naming'!$A$1:$P$58,12,FALSE)</f>
        <v>86.130899999999997</v>
      </c>
      <c r="AD754" s="1">
        <f>VLOOKUP($E754,'Product Naming'!$A$1:$P$58,13,FALSE)</f>
        <v>108</v>
      </c>
      <c r="AE754" s="1" t="str">
        <f>VLOOKUP($E754,'Product Naming'!$A$1:$P$58,14,FALSE)</f>
        <v>Alcohol</v>
      </c>
      <c r="AF754" s="1" t="str">
        <f>VLOOKUP($E754,'Product Naming'!$A$1:$P$58,15,FALSE)</f>
        <v>Pyruvate</v>
      </c>
      <c r="AG754" s="30" t="str">
        <f>VLOOKUP($E754,'Product Naming'!$A$1:$P$58,16,FALSE)</f>
        <v>Proton symporter</v>
      </c>
      <c r="AH754" s="3" t="str">
        <f>VLOOKUP($E754,'Product Naming'!$A$1:$Q$58,17,FALSE)</f>
        <v>ibutoh_c</v>
      </c>
      <c r="AI754" s="1">
        <f>VLOOKUP($E754,'Product Parameters'!$A$2:$D$59,2,FALSE)</f>
        <v>1</v>
      </c>
      <c r="AJ754" s="1">
        <f>VLOOKUP($E754,'Product Parameters'!$A$2:$D$59,3,FALSE)</f>
        <v>0</v>
      </c>
      <c r="AK754" s="1">
        <f>VLOOKUP($E754,'Product Parameters'!$A$2:$D$59,4,FALSE)</f>
        <v>0.12</v>
      </c>
      <c r="AL754" s="1">
        <f>VLOOKUP($E754,'Product Parameters'!$A$2:$E$59,5,FALSE)</f>
        <v>51</v>
      </c>
      <c r="AM754" s="1">
        <f>VLOOKUP($E754,'Product Parameters'!$A$2:$F$59,6,FALSE)</f>
        <v>5</v>
      </c>
      <c r="AN754" s="1">
        <f>VLOOKUP($C754,'Substrate Heating'!$A$2:$C$33,3,FALSE)</f>
        <v>120.9</v>
      </c>
      <c r="AO754" s="1">
        <f>VLOOKUP($C754,'Substrate Heating'!$A$2:$B$33,2,FALSE)</f>
        <v>5.2537372583834907</v>
      </c>
      <c r="AP754" s="1">
        <f>VLOOKUP($C754,'Substrate Heating'!$A$2:$M$33,13,FALSE)</f>
        <v>0</v>
      </c>
      <c r="AQ754" s="1">
        <f>VLOOKUP($C754,'Substrate Heating'!$A$2:$M$33,8,FALSE)</f>
        <v>0.33333333333333331</v>
      </c>
      <c r="AR754" s="1">
        <f t="shared" si="11"/>
        <v>3.1132075471698002</v>
      </c>
    </row>
    <row r="755" spans="1:44" x14ac:dyDescent="0.2">
      <c r="A755" s="8" t="s">
        <v>34</v>
      </c>
      <c r="B755" s="9" t="s">
        <v>35</v>
      </c>
      <c r="C755" s="1" t="s">
        <v>36</v>
      </c>
      <c r="D755" s="10" t="s">
        <v>37</v>
      </c>
      <c r="E755" s="1" t="s">
        <v>306</v>
      </c>
      <c r="F755" s="1" t="s">
        <v>302</v>
      </c>
      <c r="G755" s="1">
        <v>-10</v>
      </c>
      <c r="H755" s="1">
        <v>-20</v>
      </c>
      <c r="I755" s="1" t="s">
        <v>40</v>
      </c>
      <c r="J755" s="1">
        <v>3.15</v>
      </c>
      <c r="K755" s="1">
        <v>-10</v>
      </c>
      <c r="L755" s="1">
        <v>-6.9901960784313699</v>
      </c>
      <c r="M755" s="1" t="s">
        <v>40</v>
      </c>
      <c r="N755" s="1">
        <v>9.1941176470588495</v>
      </c>
      <c r="O755" s="1">
        <v>3.60196078431373</v>
      </c>
      <c r="Q755" s="1">
        <v>0.36019607843137302</v>
      </c>
      <c r="R755" s="1">
        <v>0.36054816522965899</v>
      </c>
      <c r="S755" s="1" t="str">
        <f>VLOOKUP($E755,'Product Naming'!$A$1:$P$58,2,FALSE)</f>
        <v>Propane-PW2</v>
      </c>
      <c r="T755" s="1" t="str">
        <f>VLOOKUP($E755,'Product Naming'!$A$1:$P$58,3,FALSE)</f>
        <v>Propane (PW2)</v>
      </c>
      <c r="U755" s="1" t="str">
        <f>VLOOKUP($E755,'Product Naming'!$A$1:$P$58,4,FALSE)</f>
        <v>E</v>
      </c>
      <c r="V755" s="1" t="str">
        <f>VLOOKUP($E755,'Product Naming'!$A$1:$P$58,5,FALSE)</f>
        <v>C3H8</v>
      </c>
      <c r="W755" s="1">
        <f>VLOOKUP($E755,'Product Naming'!$A$1:$P$58,6,FALSE)</f>
        <v>3</v>
      </c>
      <c r="X755" s="1">
        <f>VLOOKUP($E755,'Product Naming'!$A$1:$P$58,7,FALSE)</f>
        <v>8</v>
      </c>
      <c r="Y755" s="1">
        <f>VLOOKUP($E755,'Product Naming'!$A$1:$P$58,8,FALSE)</f>
        <v>0</v>
      </c>
      <c r="Z755" s="1">
        <f>VLOOKUP($E755,'Product Naming'!$A$1:$P$58,9,FALSE)</f>
        <v>0</v>
      </c>
      <c r="AA755" s="1">
        <f>VLOOKUP($E755,'Product Naming'!$A$1:$P$58,10,FALSE)</f>
        <v>0</v>
      </c>
      <c r="AB755" s="29">
        <f>VLOOKUP($E755,'Product Naming'!$A$1:$P$58,11,FALSE)</f>
        <v>6.666666666666667</v>
      </c>
      <c r="AC755" s="3">
        <f>VLOOKUP($E755,'Product Naming'!$A$1:$P$58,12,FALSE)</f>
        <v>44.094819999999999</v>
      </c>
      <c r="AD755" s="1">
        <f>VLOOKUP($E755,'Product Naming'!$A$1:$P$58,13,FALSE)</f>
        <v>-42</v>
      </c>
      <c r="AE755" s="1" t="str">
        <f>VLOOKUP($E755,'Product Naming'!$A$1:$P$58,14,FALSE)</f>
        <v>Hydrocarbon</v>
      </c>
      <c r="AF755" s="1" t="str">
        <f>VLOOKUP($E755,'Product Naming'!$A$1:$P$58,15,FALSE)</f>
        <v>Oxaloacetate</v>
      </c>
      <c r="AG755" s="30" t="str">
        <f>VLOOKUP($E755,'Product Naming'!$A$1:$P$58,16,FALSE)</f>
        <v>Diffusion</v>
      </c>
      <c r="AH755" s="3" t="str">
        <f>VLOOKUP($E755,'Product Naming'!$A$1:$Q$58,17,FALSE)</f>
        <v>prop_c</v>
      </c>
      <c r="AI755" s="1">
        <f>VLOOKUP($E755,'Product Parameters'!$A$2:$D$59,2,FALSE)</f>
        <v>0</v>
      </c>
      <c r="AJ755" s="1">
        <f>VLOOKUP($E755,'Product Parameters'!$A$2:$D$59,3,FALSE)</f>
        <v>1</v>
      </c>
      <c r="AK755" s="1">
        <f>VLOOKUP($E755,'Product Parameters'!$A$2:$D$59,4,FALSE)</f>
        <v>0.12</v>
      </c>
      <c r="AL755" s="1">
        <f>VLOOKUP($E755,'Product Parameters'!$A$2:$E$59,5,FALSE)</f>
        <v>0</v>
      </c>
      <c r="AM755" s="1">
        <f>VLOOKUP($E755,'Product Parameters'!$A$2:$F$59,6,FALSE)</f>
        <v>3</v>
      </c>
      <c r="AN755" s="1">
        <f>VLOOKUP($C755,'Substrate Heating'!$A$2:$C$33,3,FALSE)</f>
        <v>1064.1143145599999</v>
      </c>
      <c r="AO755" s="1">
        <f>VLOOKUP($C755,'Substrate Heating'!$A$2:$B$33,2,FALSE)</f>
        <v>24.155999999999999</v>
      </c>
      <c r="AP755" s="1">
        <f>VLOOKUP($C755,'Substrate Heating'!$A$2:$M$33,13,FALSE)</f>
        <v>5</v>
      </c>
      <c r="AQ755" s="1">
        <f>VLOOKUP($C755,'Substrate Heating'!$A$2:$M$33,8,FALSE)</f>
        <v>2</v>
      </c>
      <c r="AR755" s="1">
        <f t="shared" si="11"/>
        <v>0.54029411764705948</v>
      </c>
    </row>
    <row r="756" spans="1:44" x14ac:dyDescent="0.2">
      <c r="A756" s="17" t="s">
        <v>323</v>
      </c>
      <c r="B756" s="18" t="s">
        <v>324</v>
      </c>
      <c r="C756" t="s">
        <v>335</v>
      </c>
      <c r="D756" s="19" t="s">
        <v>326</v>
      </c>
      <c r="E756" t="s">
        <v>244</v>
      </c>
      <c r="F756" t="s">
        <v>245</v>
      </c>
      <c r="G756">
        <v>-10</v>
      </c>
      <c r="H756">
        <v>0</v>
      </c>
      <c r="I756">
        <v>-10</v>
      </c>
      <c r="J756">
        <v>0.45</v>
      </c>
      <c r="K756">
        <v>-10</v>
      </c>
      <c r="L756">
        <v>0</v>
      </c>
      <c r="M756">
        <v>-10</v>
      </c>
      <c r="N756">
        <v>2</v>
      </c>
      <c r="O756">
        <v>2</v>
      </c>
      <c r="P756"/>
      <c r="Q756">
        <v>0.2</v>
      </c>
      <c r="R756">
        <v>0.36252405847291103</v>
      </c>
      <c r="S756" s="1" t="str">
        <f>VLOOKUP($E756,'Product Naming'!$A$1:$P$58,2,FALSE)</f>
        <v>Isobutyrate</v>
      </c>
      <c r="T756" s="1" t="str">
        <f>VLOOKUP($E756,'Product Naming'!$A$1:$P$58,3,FALSE)</f>
        <v>Isobutyrate</v>
      </c>
      <c r="U756" s="1" t="str">
        <f>VLOOKUP($E756,'Product Naming'!$A$1:$P$58,4,FALSE)</f>
        <v>A</v>
      </c>
      <c r="V756" s="1" t="str">
        <f>VLOOKUP($E756,'Product Naming'!$A$1:$P$58,5,FALSE)</f>
        <v>C4H7O2</v>
      </c>
      <c r="W756" s="1">
        <f>VLOOKUP($E756,'Product Naming'!$A$1:$P$58,6,FALSE)</f>
        <v>4</v>
      </c>
      <c r="X756" s="1">
        <f>VLOOKUP($E756,'Product Naming'!$A$1:$P$58,7,FALSE)</f>
        <v>7</v>
      </c>
      <c r="Y756" s="1">
        <f>VLOOKUP($E756,'Product Naming'!$A$1:$P$58,8,FALSE)</f>
        <v>2</v>
      </c>
      <c r="Z756" s="1">
        <f>VLOOKUP($E756,'Product Naming'!$A$1:$P$58,9,FALSE)</f>
        <v>0</v>
      </c>
      <c r="AA756" s="1">
        <f>VLOOKUP($E756,'Product Naming'!$A$1:$P$58,10,FALSE)</f>
        <v>-1</v>
      </c>
      <c r="AB756" s="29">
        <f>VLOOKUP($E756,'Product Naming'!$A$1:$P$58,11,FALSE)</f>
        <v>4.75</v>
      </c>
      <c r="AC756" s="3">
        <f>VLOOKUP($E756,'Product Naming'!$A$1:$P$58,12,FALSE)</f>
        <v>87.095680000000002</v>
      </c>
      <c r="AD756" s="1">
        <f>VLOOKUP($E756,'Product Naming'!$A$1:$P$58,13,FALSE)</f>
        <v>155</v>
      </c>
      <c r="AE756" s="1" t="str">
        <f>VLOOKUP($E756,'Product Naming'!$A$1:$P$58,14,FALSE)</f>
        <v>Carboxylate</v>
      </c>
      <c r="AF756" s="1" t="str">
        <f>VLOOKUP($E756,'Product Naming'!$A$1:$P$58,15,FALSE)</f>
        <v>Pyruvate</v>
      </c>
      <c r="AG756" s="30" t="str">
        <f>VLOOKUP($E756,'Product Naming'!$A$1:$P$58,16,FALSE)</f>
        <v>Proton symporter</v>
      </c>
      <c r="AH756" s="3" t="str">
        <f>VLOOKUP($E756,'Product Naming'!$A$1:$Q$58,17,FALSE)</f>
        <v>ibt_c</v>
      </c>
      <c r="AI756" s="1">
        <f>VLOOKUP($E756,'Product Parameters'!$A$2:$D$59,2,FALSE)</f>
        <v>1</v>
      </c>
      <c r="AJ756" s="1">
        <f>VLOOKUP($E756,'Product Parameters'!$A$2:$D$59,3,FALSE)</f>
        <v>0</v>
      </c>
      <c r="AK756" s="1">
        <f>VLOOKUP($E756,'Product Parameters'!$A$2:$D$59,4,FALSE)</f>
        <v>0.12</v>
      </c>
      <c r="AL756" s="1">
        <f>VLOOKUP($E756,'Product Parameters'!$A$2:$E$59,5,FALSE)</f>
        <v>44.5</v>
      </c>
      <c r="AM756" s="1">
        <f>VLOOKUP($E756,'Product Parameters'!$A$2:$F$59,6,FALSE)</f>
        <v>4</v>
      </c>
      <c r="AN756" s="1">
        <f>VLOOKUP($C756,'Substrate Heating'!$A$2:$C$33,3,FALSE)</f>
        <v>247.9</v>
      </c>
      <c r="AO756" s="1">
        <f>VLOOKUP($C756,'Substrate Heating'!$A$2:$B$33,2,FALSE)</f>
        <v>10.541709491918519</v>
      </c>
      <c r="AP756" s="1">
        <f>VLOOKUP($C756,'Substrate Heating'!$A$2:$M$33,13,FALSE)</f>
        <v>0.5</v>
      </c>
      <c r="AQ756" s="1">
        <f>VLOOKUP($C756,'Substrate Heating'!$A$2:$M$33,8,FALSE)</f>
        <v>0.5</v>
      </c>
      <c r="AR756" s="1">
        <f t="shared" si="11"/>
        <v>1.6</v>
      </c>
    </row>
    <row r="757" spans="1:44" x14ac:dyDescent="0.2">
      <c r="A757" s="17" t="s">
        <v>323</v>
      </c>
      <c r="B757" s="18" t="s">
        <v>324</v>
      </c>
      <c r="C757" t="s">
        <v>335</v>
      </c>
      <c r="D757" s="19" t="s">
        <v>326</v>
      </c>
      <c r="E757" t="s">
        <v>171</v>
      </c>
      <c r="F757" t="s">
        <v>172</v>
      </c>
      <c r="G757">
        <v>-10</v>
      </c>
      <c r="H757">
        <v>0</v>
      </c>
      <c r="I757">
        <v>-10</v>
      </c>
      <c r="J757">
        <v>0.45</v>
      </c>
      <c r="K757">
        <v>-10</v>
      </c>
      <c r="L757">
        <v>0</v>
      </c>
      <c r="M757">
        <v>-10</v>
      </c>
      <c r="N757">
        <v>2</v>
      </c>
      <c r="O757">
        <v>2</v>
      </c>
      <c r="P757"/>
      <c r="Q757">
        <v>0.2</v>
      </c>
      <c r="R757">
        <v>0.36252405847291203</v>
      </c>
      <c r="S757" s="1" t="str">
        <f>VLOOKUP($E757,'Product Naming'!$A$1:$P$58,2,FALSE)</f>
        <v>Butyrate</v>
      </c>
      <c r="T757" s="1" t="str">
        <f>VLOOKUP($E757,'Product Naming'!$A$1:$P$58,3,FALSE)</f>
        <v>Butyrate</v>
      </c>
      <c r="U757" s="1" t="str">
        <f>VLOOKUP($E757,'Product Naming'!$A$1:$P$58,4,FALSE)</f>
        <v>A</v>
      </c>
      <c r="V757" s="1" t="str">
        <f>VLOOKUP($E757,'Product Naming'!$A$1:$P$58,5,FALSE)</f>
        <v>C4H7O2</v>
      </c>
      <c r="W757" s="1">
        <f>VLOOKUP($E757,'Product Naming'!$A$1:$P$58,6,FALSE)</f>
        <v>4</v>
      </c>
      <c r="X757" s="1">
        <f>VLOOKUP($E757,'Product Naming'!$A$1:$P$58,7,FALSE)</f>
        <v>7</v>
      </c>
      <c r="Y757" s="1">
        <f>VLOOKUP($E757,'Product Naming'!$A$1:$P$58,8,FALSE)</f>
        <v>2</v>
      </c>
      <c r="Z757" s="1">
        <f>VLOOKUP($E757,'Product Naming'!$A$1:$P$58,9,FALSE)</f>
        <v>0</v>
      </c>
      <c r="AA757" s="1">
        <f>VLOOKUP($E757,'Product Naming'!$A$1:$P$58,10,FALSE)</f>
        <v>-1</v>
      </c>
      <c r="AB757" s="29">
        <f>VLOOKUP($E757,'Product Naming'!$A$1:$P$58,11,FALSE)</f>
        <v>4.75</v>
      </c>
      <c r="AC757" s="3">
        <f>VLOOKUP($E757,'Product Naming'!$A$1:$P$58,12,FALSE)</f>
        <v>87.095680000000002</v>
      </c>
      <c r="AD757" s="1">
        <f>VLOOKUP($E757,'Product Naming'!$A$1:$P$58,13,FALSE)</f>
        <v>163.5</v>
      </c>
      <c r="AE757" s="1" t="str">
        <f>VLOOKUP($E757,'Product Naming'!$A$1:$P$58,14,FALSE)</f>
        <v>Carboxylate</v>
      </c>
      <c r="AF757" s="1" t="str">
        <f>VLOOKUP($E757,'Product Naming'!$A$1:$P$58,15,FALSE)</f>
        <v>Acetyl-CoA</v>
      </c>
      <c r="AG757" s="30" t="str">
        <f>VLOOKUP($E757,'Product Naming'!$A$1:$P$58,16,FALSE)</f>
        <v>Proton symporter</v>
      </c>
      <c r="AH757" s="3" t="str">
        <f>VLOOKUP($E757,'Product Naming'!$A$1:$Q$58,17,FALSE)</f>
        <v>but_c</v>
      </c>
      <c r="AI757" s="1">
        <f>VLOOKUP($E757,'Product Parameters'!$A$2:$D$59,2,FALSE)</f>
        <v>1</v>
      </c>
      <c r="AJ757" s="1">
        <f>VLOOKUP($E757,'Product Parameters'!$A$2:$D$59,3,FALSE)</f>
        <v>0</v>
      </c>
      <c r="AK757" s="1">
        <f>VLOOKUP($E757,'Product Parameters'!$A$2:$D$59,4,FALSE)</f>
        <v>0.12</v>
      </c>
      <c r="AL757" s="1">
        <f>VLOOKUP($E757,'Product Parameters'!$A$2:$E$59,5,FALSE)</f>
        <v>42</v>
      </c>
      <c r="AM757" s="1">
        <f>VLOOKUP($E757,'Product Parameters'!$A$2:$F$59,6,FALSE)</f>
        <v>4</v>
      </c>
      <c r="AN757" s="1">
        <f>VLOOKUP($C757,'Substrate Heating'!$A$2:$C$33,3,FALSE)</f>
        <v>247.9</v>
      </c>
      <c r="AO757" s="1">
        <f>VLOOKUP($C757,'Substrate Heating'!$A$2:$B$33,2,FALSE)</f>
        <v>10.541709491918519</v>
      </c>
      <c r="AP757" s="1">
        <f>VLOOKUP($C757,'Substrate Heating'!$A$2:$M$33,13,FALSE)</f>
        <v>0.5</v>
      </c>
      <c r="AQ757" s="1">
        <f>VLOOKUP($C757,'Substrate Heating'!$A$2:$M$33,8,FALSE)</f>
        <v>0.5</v>
      </c>
      <c r="AR757" s="1">
        <f t="shared" si="11"/>
        <v>1.6</v>
      </c>
    </row>
    <row r="758" spans="1:44" x14ac:dyDescent="0.2">
      <c r="A758" s="8" t="s">
        <v>34</v>
      </c>
      <c r="B758" s="9" t="s">
        <v>35</v>
      </c>
      <c r="C758" s="1" t="s">
        <v>348</v>
      </c>
      <c r="D758" s="23" t="s">
        <v>338</v>
      </c>
      <c r="E758" s="1" t="s">
        <v>136</v>
      </c>
      <c r="F758" s="1" t="s">
        <v>137</v>
      </c>
      <c r="G758" s="1">
        <v>-10</v>
      </c>
      <c r="H758" s="1">
        <v>-20</v>
      </c>
      <c r="I758" s="1" t="s">
        <v>40</v>
      </c>
      <c r="J758" s="1">
        <v>3.15</v>
      </c>
      <c r="K758" s="1">
        <v>-10</v>
      </c>
      <c r="L758" s="1">
        <v>-7.7558983666061598</v>
      </c>
      <c r="M758" s="1" t="s">
        <v>40</v>
      </c>
      <c r="N758" s="1">
        <v>3.23883847549908</v>
      </c>
      <c r="O758" s="1">
        <v>0.96588021778584099</v>
      </c>
      <c r="Q758" s="1">
        <v>9.6588021778584193E-2</v>
      </c>
      <c r="R758" s="1">
        <v>0.365093356850555</v>
      </c>
      <c r="S758" s="1" t="str">
        <f>VLOOKUP($E758,'Product Naming'!$A$1:$P$58,2,FALSE)</f>
        <v>Benzoate-PW1</v>
      </c>
      <c r="T758" s="1" t="str">
        <f>VLOOKUP($E758,'Product Naming'!$A$1:$P$58,3,FALSE)</f>
        <v>Benzoate (PW1)</v>
      </c>
      <c r="U758" s="1" t="str">
        <f>VLOOKUP($E758,'Product Naming'!$A$1:$P$58,4,FALSE)</f>
        <v>A</v>
      </c>
      <c r="V758" s="1" t="str">
        <f>VLOOKUP($E758,'Product Naming'!$A$1:$P$58,5,FALSE)</f>
        <v>C7H5O2</v>
      </c>
      <c r="W758" s="1">
        <f>VLOOKUP($E758,'Product Naming'!$A$1:$P$58,6,FALSE)</f>
        <v>7</v>
      </c>
      <c r="X758" s="1">
        <f>VLOOKUP($E758,'Product Naming'!$A$1:$P$58,7,FALSE)</f>
        <v>5</v>
      </c>
      <c r="Y758" s="1">
        <f>VLOOKUP($E758,'Product Naming'!$A$1:$P$58,8,FALSE)</f>
        <v>2</v>
      </c>
      <c r="Z758" s="1">
        <f>VLOOKUP($E758,'Product Naming'!$A$1:$P$58,9,FALSE)</f>
        <v>0</v>
      </c>
      <c r="AA758" s="1">
        <f>VLOOKUP($E758,'Product Naming'!$A$1:$P$58,10,FALSE)</f>
        <v>-1</v>
      </c>
      <c r="AB758" s="29">
        <f>VLOOKUP($E758,'Product Naming'!$A$1:$P$58,11,FALSE)</f>
        <v>4.1428571428571432</v>
      </c>
      <c r="AC758" s="3">
        <f>VLOOKUP($E758,'Product Naming'!$A$1:$P$58,12,FALSE)</f>
        <v>121.1121</v>
      </c>
      <c r="AD758" s="1">
        <f>VLOOKUP($E758,'Product Naming'!$A$1:$P$58,13,FALSE)</f>
        <v>249.2</v>
      </c>
      <c r="AE758" s="1" t="str">
        <f>VLOOKUP($E758,'Product Naming'!$A$1:$P$58,14,FALSE)</f>
        <v>Aromatic + Carboxylate</v>
      </c>
      <c r="AF758" s="1" t="str">
        <f>VLOOKUP($E758,'Product Naming'!$A$1:$P$58,15,FALSE)</f>
        <v>E4P + aKG</v>
      </c>
      <c r="AG758" s="30" t="str">
        <f>VLOOKUP($E758,'Product Naming'!$A$1:$P$58,16,FALSE)</f>
        <v>Proton symporter</v>
      </c>
      <c r="AH758" s="3" t="str">
        <f>VLOOKUP($E758,'Product Naming'!$A$1:$Q$58,17,FALSE)</f>
        <v>bz_c</v>
      </c>
      <c r="AI758" s="1">
        <f>VLOOKUP($E758,'Product Parameters'!$A$2:$D$59,2,FALSE)</f>
        <v>1</v>
      </c>
      <c r="AJ758" s="1">
        <f>VLOOKUP($E758,'Product Parameters'!$A$2:$D$59,3,FALSE)</f>
        <v>0</v>
      </c>
      <c r="AK758" s="1">
        <f>VLOOKUP($E758,'Product Parameters'!$A$2:$D$59,4,FALSE)</f>
        <v>0.12</v>
      </c>
      <c r="AL758" s="1">
        <f>VLOOKUP($E758,'Product Parameters'!$A$2:$E$59,5,FALSE)</f>
        <v>40.65</v>
      </c>
      <c r="AM758" s="1">
        <f>VLOOKUP($E758,'Product Parameters'!$A$2:$F$59,6,FALSE)</f>
        <v>7</v>
      </c>
      <c r="AN758" s="1">
        <f>VLOOKUP($C758,'Substrate Heating'!$A$2:$C$33,3,FALSE)</f>
        <v>638.57832580000002</v>
      </c>
      <c r="AO758" s="1">
        <f>VLOOKUP($C758,'Substrate Heating'!$A$2:$B$33,2,FALSE)</f>
        <v>19.93</v>
      </c>
      <c r="AP758" s="1">
        <f>VLOOKUP($C758,'Substrate Heating'!$A$2:$M$33,13,FALSE)</f>
        <v>6</v>
      </c>
      <c r="AQ758" s="1">
        <f>VLOOKUP($C758,'Substrate Heating'!$A$2:$M$33,8,FALSE)</f>
        <v>1</v>
      </c>
      <c r="AR758" s="1">
        <f t="shared" si="11"/>
        <v>0.67611615245008938</v>
      </c>
    </row>
    <row r="759" spans="1:44" x14ac:dyDescent="0.2">
      <c r="A759" s="8" t="s">
        <v>34</v>
      </c>
      <c r="B759" s="9" t="s">
        <v>35</v>
      </c>
      <c r="C759" s="1" t="s">
        <v>348</v>
      </c>
      <c r="D759" s="23" t="s">
        <v>338</v>
      </c>
      <c r="E759" s="1" t="s">
        <v>143</v>
      </c>
      <c r="F759" s="1" t="s">
        <v>137</v>
      </c>
      <c r="G759" s="1">
        <v>-10</v>
      </c>
      <c r="H759" s="1">
        <v>-20</v>
      </c>
      <c r="I759" s="1" t="s">
        <v>40</v>
      </c>
      <c r="J759" s="1">
        <v>3.15</v>
      </c>
      <c r="K759" s="1">
        <v>-10</v>
      </c>
      <c r="L759" s="1">
        <v>-7.7558983666061696</v>
      </c>
      <c r="M759" s="1" t="s">
        <v>40</v>
      </c>
      <c r="N759" s="1">
        <v>3.2388384754990902</v>
      </c>
      <c r="O759" s="1">
        <v>0.96588021778584199</v>
      </c>
      <c r="Q759" s="1">
        <v>9.6588021778584193E-2</v>
      </c>
      <c r="R759" s="1">
        <v>0.36509335685055599</v>
      </c>
      <c r="S759" s="1" t="str">
        <f>VLOOKUP($E759,'Product Naming'!$A$1:$P$58,2,FALSE)</f>
        <v>Benzoate-PW2</v>
      </c>
      <c r="T759" s="1" t="str">
        <f>VLOOKUP($E759,'Product Naming'!$A$1:$P$58,3,FALSE)</f>
        <v>Benzoate (PW2)</v>
      </c>
      <c r="U759" s="1" t="str">
        <f>VLOOKUP($E759,'Product Naming'!$A$1:$P$58,4,FALSE)</f>
        <v>A</v>
      </c>
      <c r="V759" s="1" t="str">
        <f>VLOOKUP($E759,'Product Naming'!$A$1:$P$58,5,FALSE)</f>
        <v>C7H5O2</v>
      </c>
      <c r="W759" s="1">
        <f>VLOOKUP($E759,'Product Naming'!$A$1:$P$58,6,FALSE)</f>
        <v>7</v>
      </c>
      <c r="X759" s="1">
        <f>VLOOKUP($E759,'Product Naming'!$A$1:$P$58,7,FALSE)</f>
        <v>5</v>
      </c>
      <c r="Y759" s="1">
        <f>VLOOKUP($E759,'Product Naming'!$A$1:$P$58,8,FALSE)</f>
        <v>2</v>
      </c>
      <c r="Z759" s="1">
        <f>VLOOKUP($E759,'Product Naming'!$A$1:$P$58,9,FALSE)</f>
        <v>0</v>
      </c>
      <c r="AA759" s="1">
        <f>VLOOKUP($E759,'Product Naming'!$A$1:$P$58,10,FALSE)</f>
        <v>-1</v>
      </c>
      <c r="AB759" s="29">
        <f>VLOOKUP($E759,'Product Naming'!$A$1:$P$58,11,FALSE)</f>
        <v>4.1428571428571432</v>
      </c>
      <c r="AC759" s="3">
        <f>VLOOKUP($E759,'Product Naming'!$A$1:$P$58,12,FALSE)</f>
        <v>121.1121</v>
      </c>
      <c r="AD759" s="1">
        <f>VLOOKUP($E759,'Product Naming'!$A$1:$P$58,13,FALSE)</f>
        <v>249.2</v>
      </c>
      <c r="AE759" s="1" t="str">
        <f>VLOOKUP($E759,'Product Naming'!$A$1:$P$58,14,FALSE)</f>
        <v>Aromatic + Carboxylate</v>
      </c>
      <c r="AF759" s="1" t="str">
        <f>VLOOKUP($E759,'Product Naming'!$A$1:$P$58,15,FALSE)</f>
        <v>E4P + aKG</v>
      </c>
      <c r="AG759" s="30" t="str">
        <f>VLOOKUP($E759,'Product Naming'!$A$1:$P$58,16,FALSE)</f>
        <v>Proton symporter</v>
      </c>
      <c r="AH759" s="3" t="str">
        <f>VLOOKUP($E759,'Product Naming'!$A$1:$Q$58,17,FALSE)</f>
        <v>bz_c</v>
      </c>
      <c r="AI759" s="1">
        <f>VLOOKUP($E759,'Product Parameters'!$A$2:$D$59,2,FALSE)</f>
        <v>1</v>
      </c>
      <c r="AJ759" s="1">
        <f>VLOOKUP($E759,'Product Parameters'!$A$2:$D$59,3,FALSE)</f>
        <v>0</v>
      </c>
      <c r="AK759" s="1">
        <f>VLOOKUP($E759,'Product Parameters'!$A$2:$D$59,4,FALSE)</f>
        <v>0.12</v>
      </c>
      <c r="AL759" s="1">
        <f>VLOOKUP($E759,'Product Parameters'!$A$2:$E$59,5,FALSE)</f>
        <v>40.65</v>
      </c>
      <c r="AM759" s="1">
        <f>VLOOKUP($E759,'Product Parameters'!$A$2:$F$59,6,FALSE)</f>
        <v>7</v>
      </c>
      <c r="AN759" s="1">
        <f>VLOOKUP($C759,'Substrate Heating'!$A$2:$C$33,3,FALSE)</f>
        <v>638.57832580000002</v>
      </c>
      <c r="AO759" s="1">
        <f>VLOOKUP($C759,'Substrate Heating'!$A$2:$B$33,2,FALSE)</f>
        <v>19.93</v>
      </c>
      <c r="AP759" s="1">
        <f>VLOOKUP($C759,'Substrate Heating'!$A$2:$M$33,13,FALSE)</f>
        <v>6</v>
      </c>
      <c r="AQ759" s="1">
        <f>VLOOKUP($C759,'Substrate Heating'!$A$2:$M$33,8,FALSE)</f>
        <v>1</v>
      </c>
      <c r="AR759" s="1">
        <f t="shared" si="11"/>
        <v>0.67611615245008938</v>
      </c>
    </row>
    <row r="760" spans="1:44" x14ac:dyDescent="0.2">
      <c r="A760" s="17" t="s">
        <v>323</v>
      </c>
      <c r="B760" s="18" t="s">
        <v>324</v>
      </c>
      <c r="C760" t="s">
        <v>325</v>
      </c>
      <c r="D760" s="19" t="s">
        <v>326</v>
      </c>
      <c r="E760" t="s">
        <v>215</v>
      </c>
      <c r="F760" t="s">
        <v>216</v>
      </c>
      <c r="G760">
        <v>-10</v>
      </c>
      <c r="H760">
        <v>0</v>
      </c>
      <c r="I760">
        <v>0</v>
      </c>
      <c r="J760">
        <v>0.45</v>
      </c>
      <c r="K760">
        <v>-10</v>
      </c>
      <c r="L760">
        <v>0</v>
      </c>
      <c r="M760">
        <v>0</v>
      </c>
      <c r="N760">
        <v>4.6491803278688497</v>
      </c>
      <c r="O760">
        <v>0.70163934426229502</v>
      </c>
      <c r="P760"/>
      <c r="Q760">
        <v>7.0163934426229493E-2</v>
      </c>
      <c r="R760">
        <v>0.36602207502004502</v>
      </c>
      <c r="S760" s="1" t="str">
        <f>VLOOKUP($E760,'Product Naming'!$A$1:$P$58,2,FALSE)</f>
        <v>Glutamate_L</v>
      </c>
      <c r="T760" s="1" t="str">
        <f>VLOOKUP($E760,'Product Naming'!$A$1:$P$58,3,FALSE)</f>
        <v>L-Glutamate</v>
      </c>
      <c r="U760" s="1" t="str">
        <f>VLOOKUP($E760,'Product Naming'!$A$1:$P$58,4,FALSE)</f>
        <v>iJO1366</v>
      </c>
      <c r="V760" s="1" t="str">
        <f>VLOOKUP($E760,'Product Naming'!$A$1:$P$58,5,FALSE)</f>
        <v>C5H8NO4</v>
      </c>
      <c r="W760" s="1">
        <f>VLOOKUP($E760,'Product Naming'!$A$1:$P$58,6,FALSE)</f>
        <v>5</v>
      </c>
      <c r="X760" s="1">
        <f>VLOOKUP($E760,'Product Naming'!$A$1:$P$58,7,FALSE)</f>
        <v>8</v>
      </c>
      <c r="Y760" s="1">
        <f>VLOOKUP($E760,'Product Naming'!$A$1:$P$58,8,FALSE)</f>
        <v>4</v>
      </c>
      <c r="Z760" s="1">
        <f>VLOOKUP($E760,'Product Naming'!$A$1:$P$58,9,FALSE)</f>
        <v>1</v>
      </c>
      <c r="AA760" s="1">
        <f>VLOOKUP($E760,'Product Naming'!$A$1:$P$58,10,FALSE)</f>
        <v>-1</v>
      </c>
      <c r="AB760" s="29">
        <f>VLOOKUP($E760,'Product Naming'!$A$1:$P$58,11,FALSE)</f>
        <v>3.4</v>
      </c>
      <c r="AC760" s="3">
        <f>VLOOKUP($E760,'Product Naming'!$A$1:$P$58,12,FALSE)</f>
        <v>146.11892</v>
      </c>
      <c r="AD760" s="1">
        <f>VLOOKUP($E760,'Product Naming'!$A$1:$P$58,13,FALSE)</f>
        <v>333.8</v>
      </c>
      <c r="AE760" s="1" t="str">
        <f>VLOOKUP($E760,'Product Naming'!$A$1:$P$58,14,FALSE)</f>
        <v>Amino acid</v>
      </c>
      <c r="AF760" s="1" t="str">
        <f>VLOOKUP($E760,'Product Naming'!$A$1:$P$58,15,FALSE)</f>
        <v>aKG</v>
      </c>
      <c r="AG760" s="30" t="str">
        <f>VLOOKUP($E760,'Product Naming'!$A$1:$P$58,16,FALSE)</f>
        <v>Proton symporter</v>
      </c>
      <c r="AH760" s="3" t="str">
        <f>VLOOKUP($E760,'Product Naming'!$A$1:$Q$58,17,FALSE)</f>
        <v>glu__L_c</v>
      </c>
      <c r="AI760" s="1">
        <f>VLOOKUP($E760,'Product Parameters'!$A$2:$D$59,2,FALSE)</f>
        <v>1</v>
      </c>
      <c r="AJ760" s="1">
        <f>VLOOKUP($E760,'Product Parameters'!$A$2:$D$59,3,FALSE)</f>
        <v>0</v>
      </c>
      <c r="AK760" s="1">
        <f>VLOOKUP($E760,'Product Parameters'!$A$2:$D$59,4,FALSE)</f>
        <v>0.12</v>
      </c>
      <c r="AL760" s="1">
        <f>VLOOKUP($E760,'Product Parameters'!$A$2:$E$59,5,FALSE)</f>
        <v>40.65</v>
      </c>
      <c r="AM760" s="1">
        <f>VLOOKUP($E760,'Product Parameters'!$A$2:$F$59,6,FALSE)</f>
        <v>5</v>
      </c>
      <c r="AN760" s="1">
        <f>VLOOKUP($C760,'Substrate Heating'!$A$2:$C$33,3,FALSE)</f>
        <v>280.09700000000004</v>
      </c>
      <c r="AO760" s="1">
        <f>VLOOKUP($C760,'Substrate Heating'!$A$2:$B$33,2,FALSE)</f>
        <v>10</v>
      </c>
      <c r="AP760" s="1">
        <f>VLOOKUP($C760,'Substrate Heating'!$A$2:$M$33,13,FALSE)</f>
        <v>2</v>
      </c>
      <c r="AQ760" s="1">
        <f>VLOOKUP($C760,'Substrate Heating'!$A$2:$M$33,8,FALSE)</f>
        <v>1</v>
      </c>
      <c r="AR760" s="1">
        <f t="shared" si="11"/>
        <v>0.35081967213114745</v>
      </c>
    </row>
    <row r="761" spans="1:44" x14ac:dyDescent="0.2">
      <c r="A761" s="17" t="s">
        <v>323</v>
      </c>
      <c r="B761" s="18" t="s">
        <v>324</v>
      </c>
      <c r="C761" t="s">
        <v>335</v>
      </c>
      <c r="D761" s="19" t="s">
        <v>326</v>
      </c>
      <c r="E761" t="s">
        <v>198</v>
      </c>
      <c r="F761" t="s">
        <v>199</v>
      </c>
      <c r="G761">
        <v>-10</v>
      </c>
      <c r="H761">
        <v>0</v>
      </c>
      <c r="I761">
        <v>-10</v>
      </c>
      <c r="J761">
        <v>0.45</v>
      </c>
      <c r="K761">
        <v>-10</v>
      </c>
      <c r="L761">
        <v>0</v>
      </c>
      <c r="M761">
        <v>-10</v>
      </c>
      <c r="N761">
        <v>2</v>
      </c>
      <c r="O761">
        <v>2</v>
      </c>
      <c r="P761"/>
      <c r="Q761">
        <v>0.2</v>
      </c>
      <c r="R761">
        <v>0.36671905697446</v>
      </c>
      <c r="S761" s="1" t="str">
        <f>VLOOKUP($E761,'Product Naming'!$A$1:$P$58,2,FALSE)</f>
        <v>EthylAcetate</v>
      </c>
      <c r="T761" s="1" t="str">
        <f>VLOOKUP($E761,'Product Naming'!$A$1:$P$58,3,FALSE)</f>
        <v>Ethyl acetate</v>
      </c>
      <c r="U761" s="1" t="str">
        <f>VLOOKUP($E761,'Product Naming'!$A$1:$P$58,4,FALSE)</f>
        <v>E</v>
      </c>
      <c r="V761" s="1" t="str">
        <f>VLOOKUP($E761,'Product Naming'!$A$1:$P$58,5,FALSE)</f>
        <v>C4H8O2</v>
      </c>
      <c r="W761" s="1">
        <f>VLOOKUP($E761,'Product Naming'!$A$1:$P$58,6,FALSE)</f>
        <v>4</v>
      </c>
      <c r="X761" s="1">
        <f>VLOOKUP($E761,'Product Naming'!$A$1:$P$58,7,FALSE)</f>
        <v>8</v>
      </c>
      <c r="Y761" s="1">
        <f>VLOOKUP($E761,'Product Naming'!$A$1:$P$58,8,FALSE)</f>
        <v>2</v>
      </c>
      <c r="Z761" s="1">
        <f>VLOOKUP($E761,'Product Naming'!$A$1:$P$58,9,FALSE)</f>
        <v>0</v>
      </c>
      <c r="AA761" s="1">
        <f>VLOOKUP($E761,'Product Naming'!$A$1:$P$58,10,FALSE)</f>
        <v>0</v>
      </c>
      <c r="AB761" s="29">
        <f>VLOOKUP($E761,'Product Naming'!$A$1:$P$58,11,FALSE)</f>
        <v>5</v>
      </c>
      <c r="AC761" s="3">
        <f>VLOOKUP($E761,'Product Naming'!$A$1:$P$58,12,FALSE)</f>
        <v>88.103520000000003</v>
      </c>
      <c r="AD761" s="1">
        <f>VLOOKUP($E761,'Product Naming'!$A$1:$P$58,13,FALSE)</f>
        <v>77.099999999999994</v>
      </c>
      <c r="AE761" s="1" t="str">
        <f>VLOOKUP($E761,'Product Naming'!$A$1:$P$58,14,FALSE)</f>
        <v>Carboxylate Ester</v>
      </c>
      <c r="AF761" s="1" t="str">
        <f>VLOOKUP($E761,'Product Naming'!$A$1:$P$58,15,FALSE)</f>
        <v>Acetyl-CoA</v>
      </c>
      <c r="AG761" s="30" t="str">
        <f>VLOOKUP($E761,'Product Naming'!$A$1:$P$58,16,FALSE)</f>
        <v>Proton symporter</v>
      </c>
      <c r="AH761" s="3" t="str">
        <f>VLOOKUP($E761,'Product Naming'!$A$1:$Q$58,17,FALSE)</f>
        <v>aces_c</v>
      </c>
      <c r="AI761" s="1">
        <f>VLOOKUP($E761,'Product Parameters'!$A$2:$D$59,2,FALSE)</f>
        <v>1</v>
      </c>
      <c r="AJ761" s="1">
        <f>VLOOKUP($E761,'Product Parameters'!$A$2:$D$59,3,FALSE)</f>
        <v>0</v>
      </c>
      <c r="AK761" s="1">
        <f>VLOOKUP($E761,'Product Parameters'!$A$2:$D$59,4,FALSE)</f>
        <v>0.12</v>
      </c>
      <c r="AL761" s="1">
        <f>VLOOKUP($E761,'Product Parameters'!$A$2:$E$59,5,FALSE)</f>
        <v>35</v>
      </c>
      <c r="AM761" s="1">
        <f>VLOOKUP($E761,'Product Parameters'!$A$2:$F$59,6,FALSE)</f>
        <v>4</v>
      </c>
      <c r="AN761" s="1">
        <f>VLOOKUP($C761,'Substrate Heating'!$A$2:$C$33,3,FALSE)</f>
        <v>247.9</v>
      </c>
      <c r="AO761" s="1">
        <f>VLOOKUP($C761,'Substrate Heating'!$A$2:$B$33,2,FALSE)</f>
        <v>10.541709491918519</v>
      </c>
      <c r="AP761" s="1">
        <f>VLOOKUP($C761,'Substrate Heating'!$A$2:$M$33,13,FALSE)</f>
        <v>0.5</v>
      </c>
      <c r="AQ761" s="1">
        <f>VLOOKUP($C761,'Substrate Heating'!$A$2:$M$33,8,FALSE)</f>
        <v>0.5</v>
      </c>
      <c r="AR761" s="1">
        <f t="shared" si="11"/>
        <v>1.6</v>
      </c>
    </row>
    <row r="762" spans="1:44" x14ac:dyDescent="0.2">
      <c r="A762" s="17" t="s">
        <v>231</v>
      </c>
      <c r="B762" s="9" t="s">
        <v>35</v>
      </c>
      <c r="C762" t="s">
        <v>347</v>
      </c>
      <c r="D762" s="23" t="s">
        <v>338</v>
      </c>
      <c r="E762" t="s">
        <v>232</v>
      </c>
      <c r="F762" t="s">
        <v>233</v>
      </c>
      <c r="G762">
        <v>-10</v>
      </c>
      <c r="H762">
        <v>-20</v>
      </c>
      <c r="I762" s="1" t="s">
        <v>40</v>
      </c>
      <c r="J762">
        <v>3.15</v>
      </c>
      <c r="K762">
        <v>-10</v>
      </c>
      <c r="L762">
        <v>-2.0806584362139899</v>
      </c>
      <c r="M762" s="1" t="s">
        <v>40</v>
      </c>
      <c r="N762">
        <v>1.7786008230452699</v>
      </c>
      <c r="O762">
        <v>1.17448559670782</v>
      </c>
      <c r="P762"/>
      <c r="Q762">
        <v>0.11744855967078199</v>
      </c>
      <c r="R762">
        <v>0.36729077039032498</v>
      </c>
      <c r="S762" s="1" t="str">
        <f>VLOOKUP($E762,'Product Naming'!$A$1:$P$58,2,FALSE)</f>
        <v>Heptane</v>
      </c>
      <c r="T762" s="1" t="str">
        <f>VLOOKUP($E762,'Product Naming'!$A$1:$P$58,3,FALSE)</f>
        <v>Heptane</v>
      </c>
      <c r="U762" s="1" t="str">
        <f>VLOOKUP($E762,'Product Naming'!$A$1:$P$58,4,FALSE)</f>
        <v>E</v>
      </c>
      <c r="V762" s="1" t="str">
        <f>VLOOKUP($E762,'Product Naming'!$A$1:$P$58,5,FALSE)</f>
        <v>C7H16</v>
      </c>
      <c r="W762" s="1">
        <f>VLOOKUP($E762,'Product Naming'!$A$1:$P$58,6,FALSE)</f>
        <v>7</v>
      </c>
      <c r="X762" s="1">
        <f>VLOOKUP($E762,'Product Naming'!$A$1:$P$58,7,FALSE)</f>
        <v>16</v>
      </c>
      <c r="Y762" s="1">
        <f>VLOOKUP($E762,'Product Naming'!$A$1:$P$58,8,FALSE)</f>
        <v>0</v>
      </c>
      <c r="Z762" s="1">
        <f>VLOOKUP($E762,'Product Naming'!$A$1:$P$58,9,FALSE)</f>
        <v>0</v>
      </c>
      <c r="AA762" s="1">
        <f>VLOOKUP($E762,'Product Naming'!$A$1:$P$58,10,FALSE)</f>
        <v>0</v>
      </c>
      <c r="AB762" s="29">
        <f>VLOOKUP($E762,'Product Naming'!$A$1:$P$58,11,FALSE)</f>
        <v>6.2857142857142856</v>
      </c>
      <c r="AC762" s="3">
        <f>VLOOKUP($E762,'Product Naming'!$A$1:$P$58,12,FALSE)</f>
        <v>100.20034</v>
      </c>
      <c r="AD762" s="1">
        <f>VLOOKUP($E762,'Product Naming'!$A$1:$P$58,13,FALSE)</f>
        <v>98</v>
      </c>
      <c r="AE762" s="1" t="str">
        <f>VLOOKUP($E762,'Product Naming'!$A$1:$P$58,14,FALSE)</f>
        <v>Hydrocarbon (alkane)</v>
      </c>
      <c r="AF762" s="1" t="str">
        <f>VLOOKUP($E762,'Product Naming'!$A$1:$P$58,15,FALSE)</f>
        <v>Acetyl-CoA</v>
      </c>
      <c r="AG762" s="30" t="str">
        <f>VLOOKUP($E762,'Product Naming'!$A$1:$P$58,16,FALSE)</f>
        <v>Proton symporter</v>
      </c>
      <c r="AH762" s="3" t="str">
        <f>VLOOKUP($E762,'Product Naming'!$A$1:$Q$58,17,FALSE)</f>
        <v>hept_c</v>
      </c>
      <c r="AI762" s="1">
        <f>VLOOKUP($E762,'Product Parameters'!$A$2:$D$59,2,FALSE)</f>
        <v>1</v>
      </c>
      <c r="AJ762" s="1">
        <f>VLOOKUP($E762,'Product Parameters'!$A$2:$D$59,3,FALSE)</f>
        <v>0</v>
      </c>
      <c r="AK762" s="1">
        <f>VLOOKUP($E762,'Product Parameters'!$A$2:$D$59,4,FALSE)</f>
        <v>0.12</v>
      </c>
      <c r="AL762" s="1">
        <f>VLOOKUP($E762,'Product Parameters'!$A$2:$E$59,5,FALSE)</f>
        <v>36</v>
      </c>
      <c r="AM762" s="1">
        <f>VLOOKUP($E762,'Product Parameters'!$A$2:$F$59,6,FALSE)</f>
        <v>7</v>
      </c>
      <c r="AN762" s="1">
        <f>VLOOKUP($C762,'Substrate Heating'!$A$2:$C$33,3,FALSE)</f>
        <v>638.57832580000002</v>
      </c>
      <c r="AO762" s="1">
        <f>VLOOKUP($C762,'Substrate Heating'!$A$2:$B$33,2,FALSE)</f>
        <v>19.93</v>
      </c>
      <c r="AP762" s="1">
        <f>VLOOKUP($C762,'Substrate Heating'!$A$2:$M$33,13,FALSE)</f>
        <v>6</v>
      </c>
      <c r="AQ762" s="1">
        <f>VLOOKUP($C762,'Substrate Heating'!$A$2:$M$33,8,FALSE)</f>
        <v>1</v>
      </c>
      <c r="AR762" s="1">
        <f t="shared" si="11"/>
        <v>0.82213991769547401</v>
      </c>
    </row>
    <row r="763" spans="1:44" x14ac:dyDescent="0.2">
      <c r="A763" s="17" t="s">
        <v>231</v>
      </c>
      <c r="B763" s="9" t="s">
        <v>35</v>
      </c>
      <c r="C763" t="s">
        <v>346</v>
      </c>
      <c r="D763" s="23" t="s">
        <v>338</v>
      </c>
      <c r="E763" t="s">
        <v>232</v>
      </c>
      <c r="F763" t="s">
        <v>233</v>
      </c>
      <c r="G763">
        <v>-10</v>
      </c>
      <c r="H763">
        <v>-20</v>
      </c>
      <c r="I763" s="1" t="s">
        <v>40</v>
      </c>
      <c r="J763">
        <v>3.15</v>
      </c>
      <c r="K763">
        <v>-10</v>
      </c>
      <c r="L763">
        <v>-2.0806584362139899</v>
      </c>
      <c r="M763" s="1" t="s">
        <v>40</v>
      </c>
      <c r="N763">
        <v>1.7786008230452699</v>
      </c>
      <c r="O763">
        <v>1.17448559670782</v>
      </c>
      <c r="P763"/>
      <c r="Q763">
        <v>0.11744855967078199</v>
      </c>
      <c r="R763">
        <v>0.36729077039032598</v>
      </c>
      <c r="S763" s="1" t="str">
        <f>VLOOKUP($E763,'Product Naming'!$A$1:$P$58,2,FALSE)</f>
        <v>Heptane</v>
      </c>
      <c r="T763" s="1" t="str">
        <f>VLOOKUP($E763,'Product Naming'!$A$1:$P$58,3,FALSE)</f>
        <v>Heptane</v>
      </c>
      <c r="U763" s="1" t="str">
        <f>VLOOKUP($E763,'Product Naming'!$A$1:$P$58,4,FALSE)</f>
        <v>E</v>
      </c>
      <c r="V763" s="1" t="str">
        <f>VLOOKUP($E763,'Product Naming'!$A$1:$P$58,5,FALSE)</f>
        <v>C7H16</v>
      </c>
      <c r="W763" s="1">
        <f>VLOOKUP($E763,'Product Naming'!$A$1:$P$58,6,FALSE)</f>
        <v>7</v>
      </c>
      <c r="X763" s="1">
        <f>VLOOKUP($E763,'Product Naming'!$A$1:$P$58,7,FALSE)</f>
        <v>16</v>
      </c>
      <c r="Y763" s="1">
        <f>VLOOKUP($E763,'Product Naming'!$A$1:$P$58,8,FALSE)</f>
        <v>0</v>
      </c>
      <c r="Z763" s="1">
        <f>VLOOKUP($E763,'Product Naming'!$A$1:$P$58,9,FALSE)</f>
        <v>0</v>
      </c>
      <c r="AA763" s="1">
        <f>VLOOKUP($E763,'Product Naming'!$A$1:$P$58,10,FALSE)</f>
        <v>0</v>
      </c>
      <c r="AB763" s="29">
        <f>VLOOKUP($E763,'Product Naming'!$A$1:$P$58,11,FALSE)</f>
        <v>6.2857142857142856</v>
      </c>
      <c r="AC763" s="3">
        <f>VLOOKUP($E763,'Product Naming'!$A$1:$P$58,12,FALSE)</f>
        <v>100.20034</v>
      </c>
      <c r="AD763" s="1">
        <f>VLOOKUP($E763,'Product Naming'!$A$1:$P$58,13,FALSE)</f>
        <v>98</v>
      </c>
      <c r="AE763" s="1" t="str">
        <f>VLOOKUP($E763,'Product Naming'!$A$1:$P$58,14,FALSE)</f>
        <v>Hydrocarbon (alkane)</v>
      </c>
      <c r="AF763" s="1" t="str">
        <f>VLOOKUP($E763,'Product Naming'!$A$1:$P$58,15,FALSE)</f>
        <v>Acetyl-CoA</v>
      </c>
      <c r="AG763" s="30" t="str">
        <f>VLOOKUP($E763,'Product Naming'!$A$1:$P$58,16,FALSE)</f>
        <v>Proton symporter</v>
      </c>
      <c r="AH763" s="3" t="str">
        <f>VLOOKUP($E763,'Product Naming'!$A$1:$Q$58,17,FALSE)</f>
        <v>hept_c</v>
      </c>
      <c r="AI763" s="1">
        <f>VLOOKUP($E763,'Product Parameters'!$A$2:$D$59,2,FALSE)</f>
        <v>1</v>
      </c>
      <c r="AJ763" s="1">
        <f>VLOOKUP($E763,'Product Parameters'!$A$2:$D$59,3,FALSE)</f>
        <v>0</v>
      </c>
      <c r="AK763" s="1">
        <f>VLOOKUP($E763,'Product Parameters'!$A$2:$D$59,4,FALSE)</f>
        <v>0.12</v>
      </c>
      <c r="AL763" s="1">
        <f>VLOOKUP($E763,'Product Parameters'!$A$2:$E$59,5,FALSE)</f>
        <v>36</v>
      </c>
      <c r="AM763" s="1">
        <f>VLOOKUP($E763,'Product Parameters'!$A$2:$F$59,6,FALSE)</f>
        <v>7</v>
      </c>
      <c r="AN763" s="1">
        <f>VLOOKUP($C763,'Substrate Heating'!$A$2:$C$33,3,FALSE)</f>
        <v>638.57832580000002</v>
      </c>
      <c r="AO763" s="1">
        <f>VLOOKUP($C763,'Substrate Heating'!$A$2:$B$33,2,FALSE)</f>
        <v>19.93</v>
      </c>
      <c r="AP763" s="1">
        <f>VLOOKUP($C763,'Substrate Heating'!$A$2:$M$33,13,FALSE)</f>
        <v>6</v>
      </c>
      <c r="AQ763" s="1">
        <f>VLOOKUP($C763,'Substrate Heating'!$A$2:$M$33,8,FALSE)</f>
        <v>1</v>
      </c>
      <c r="AR763" s="1">
        <f t="shared" si="11"/>
        <v>0.82213991769547401</v>
      </c>
    </row>
    <row r="764" spans="1:44" x14ac:dyDescent="0.2">
      <c r="A764" s="8" t="s">
        <v>807</v>
      </c>
      <c r="B764" s="18" t="s">
        <v>324</v>
      </c>
      <c r="C764" t="s">
        <v>369</v>
      </c>
      <c r="D764" s="23" t="s">
        <v>338</v>
      </c>
      <c r="E764" t="s">
        <v>91</v>
      </c>
      <c r="F764" t="s">
        <v>92</v>
      </c>
      <c r="G764">
        <v>-10</v>
      </c>
      <c r="H764">
        <v>0</v>
      </c>
      <c r="I764">
        <v>0</v>
      </c>
      <c r="J764">
        <v>0.45</v>
      </c>
      <c r="K764">
        <v>-10</v>
      </c>
      <c r="L764">
        <v>0</v>
      </c>
      <c r="M764">
        <v>0</v>
      </c>
      <c r="N764">
        <v>0</v>
      </c>
      <c r="O764">
        <v>1.33617021276595</v>
      </c>
      <c r="P764"/>
      <c r="Q764">
        <v>0.133617021276595</v>
      </c>
      <c r="R764">
        <v>0.367587197655731</v>
      </c>
      <c r="S764" s="1" t="str">
        <f>VLOOKUP($E764,'Product Naming'!$A$1:$P$58,2,FALSE)</f>
        <v>2-Methyl-1-Butanol</v>
      </c>
      <c r="T764" s="1" t="str">
        <f>VLOOKUP($E764,'Product Naming'!$A$1:$P$58,3,FALSE)</f>
        <v>2-Methyl-1-butanol</v>
      </c>
      <c r="U764" s="1" t="str">
        <f>VLOOKUP($E764,'Product Naming'!$A$1:$P$58,4,FALSE)</f>
        <v>A</v>
      </c>
      <c r="V764" s="1" t="str">
        <f>VLOOKUP($E764,'Product Naming'!$A$1:$P$58,5,FALSE)</f>
        <v>C5H12O</v>
      </c>
      <c r="W764" s="1">
        <f>VLOOKUP($E764,'Product Naming'!$A$1:$P$58,6,FALSE)</f>
        <v>5</v>
      </c>
      <c r="X764" s="1">
        <f>VLOOKUP($E764,'Product Naming'!$A$1:$P$58,7,FALSE)</f>
        <v>12</v>
      </c>
      <c r="Y764" s="1">
        <f>VLOOKUP($E764,'Product Naming'!$A$1:$P$58,8,FALSE)</f>
        <v>1</v>
      </c>
      <c r="Z764" s="1">
        <f>VLOOKUP($E764,'Product Naming'!$A$1:$P$58,9,FALSE)</f>
        <v>0</v>
      </c>
      <c r="AA764" s="1">
        <f>VLOOKUP($E764,'Product Naming'!$A$1:$P$58,10,FALSE)</f>
        <v>0</v>
      </c>
      <c r="AB764" s="29">
        <f>VLOOKUP($E764,'Product Naming'!$A$1:$P$58,11,FALSE)</f>
        <v>6</v>
      </c>
      <c r="AC764" s="3">
        <f>VLOOKUP($E764,'Product Naming'!$A$1:$P$58,12,FALSE)</f>
        <v>88.14658</v>
      </c>
      <c r="AD764" s="1">
        <f>VLOOKUP($E764,'Product Naming'!$A$1:$P$58,13,FALSE)</f>
        <v>129</v>
      </c>
      <c r="AE764" s="1" t="str">
        <f>VLOOKUP($E764,'Product Naming'!$A$1:$P$58,14,FALSE)</f>
        <v>Alcohol</v>
      </c>
      <c r="AF764" s="1" t="str">
        <f>VLOOKUP($E764,'Product Naming'!$A$1:$P$58,15,FALSE)</f>
        <v>PEP</v>
      </c>
      <c r="AG764" s="30" t="str">
        <f>VLOOKUP($E764,'Product Naming'!$A$1:$P$58,16,FALSE)</f>
        <v>Proton symporter</v>
      </c>
      <c r="AH764" s="3" t="str">
        <f>VLOOKUP($E764,'Product Naming'!$A$1:$Q$58,17,FALSE)</f>
        <v>2mbtoh_c</v>
      </c>
      <c r="AI764" s="1">
        <f>VLOOKUP($E764,'Product Parameters'!$A$2:$D$59,2,FALSE)</f>
        <v>1</v>
      </c>
      <c r="AJ764" s="1">
        <f>VLOOKUP($E764,'Product Parameters'!$A$2:$D$59,3,FALSE)</f>
        <v>0</v>
      </c>
      <c r="AK764" s="1">
        <f>VLOOKUP($E764,'Product Parameters'!$A$2:$D$59,4,FALSE)</f>
        <v>0.12</v>
      </c>
      <c r="AL764" s="1">
        <f>VLOOKUP($E764,'Product Parameters'!$A$2:$E$59,5,FALSE)</f>
        <v>54.6</v>
      </c>
      <c r="AM764" s="1">
        <f>VLOOKUP($E764,'Product Parameters'!$A$2:$F$59,6,FALSE)</f>
        <v>5</v>
      </c>
      <c r="AN764" s="1">
        <f>VLOOKUP($C764,'Substrate Heating'!$A$2:$C$33,3,FALSE)</f>
        <v>638.57832580000002</v>
      </c>
      <c r="AO764" s="1">
        <f>VLOOKUP($C764,'Substrate Heating'!$A$2:$B$33,2,FALSE)</f>
        <v>19.93</v>
      </c>
      <c r="AP764" s="1">
        <f>VLOOKUP($C764,'Substrate Heating'!$A$2:$M$33,13,FALSE)</f>
        <v>6</v>
      </c>
      <c r="AQ764" s="1">
        <f>VLOOKUP($C764,'Substrate Heating'!$A$2:$M$33,8,FALSE)</f>
        <v>1</v>
      </c>
      <c r="AR764" s="1">
        <f t="shared" si="11"/>
        <v>0.66808510638297502</v>
      </c>
    </row>
    <row r="765" spans="1:44" x14ac:dyDescent="0.2">
      <c r="A765" s="8" t="s">
        <v>34</v>
      </c>
      <c r="B765" s="9" t="s">
        <v>35</v>
      </c>
      <c r="C765" s="1" t="s">
        <v>349</v>
      </c>
      <c r="D765" s="25" t="s">
        <v>342</v>
      </c>
      <c r="E765" s="1" t="s">
        <v>91</v>
      </c>
      <c r="F765" s="1" t="s">
        <v>92</v>
      </c>
      <c r="G765" s="1">
        <v>-10</v>
      </c>
      <c r="H765" s="1">
        <v>-20</v>
      </c>
      <c r="I765" s="1" t="s">
        <v>40</v>
      </c>
      <c r="J765" s="1">
        <v>3.15</v>
      </c>
      <c r="K765" s="1">
        <v>-10</v>
      </c>
      <c r="L765" s="1">
        <v>-2.9964285714285701</v>
      </c>
      <c r="M765" s="1" t="s">
        <v>40</v>
      </c>
      <c r="N765" s="1">
        <v>18.6642857142857</v>
      </c>
      <c r="O765" s="1">
        <v>6.2671428571428596</v>
      </c>
      <c r="Q765" s="1">
        <v>0.626714285714286</v>
      </c>
      <c r="R765" s="1">
        <v>0.367965902370327</v>
      </c>
      <c r="S765" s="1" t="str">
        <f>VLOOKUP($E765,'Product Naming'!$A$1:$P$58,2,FALSE)</f>
        <v>2-Methyl-1-Butanol</v>
      </c>
      <c r="T765" s="1" t="str">
        <f>VLOOKUP($E765,'Product Naming'!$A$1:$P$58,3,FALSE)</f>
        <v>2-Methyl-1-butanol</v>
      </c>
      <c r="U765" s="1" t="str">
        <f>VLOOKUP($E765,'Product Naming'!$A$1:$P$58,4,FALSE)</f>
        <v>A</v>
      </c>
      <c r="V765" s="1" t="str">
        <f>VLOOKUP($E765,'Product Naming'!$A$1:$P$58,5,FALSE)</f>
        <v>C5H12O</v>
      </c>
      <c r="W765" s="1">
        <f>VLOOKUP($E765,'Product Naming'!$A$1:$P$58,6,FALSE)</f>
        <v>5</v>
      </c>
      <c r="X765" s="1">
        <f>VLOOKUP($E765,'Product Naming'!$A$1:$P$58,7,FALSE)</f>
        <v>12</v>
      </c>
      <c r="Y765" s="1">
        <f>VLOOKUP($E765,'Product Naming'!$A$1:$P$58,8,FALSE)</f>
        <v>1</v>
      </c>
      <c r="Z765" s="1">
        <f>VLOOKUP($E765,'Product Naming'!$A$1:$P$58,9,FALSE)</f>
        <v>0</v>
      </c>
      <c r="AA765" s="1">
        <f>VLOOKUP($E765,'Product Naming'!$A$1:$P$58,10,FALSE)</f>
        <v>0</v>
      </c>
      <c r="AB765" s="29">
        <f>VLOOKUP($E765,'Product Naming'!$A$1:$P$58,11,FALSE)</f>
        <v>6</v>
      </c>
      <c r="AC765" s="3">
        <f>VLOOKUP($E765,'Product Naming'!$A$1:$P$58,12,FALSE)</f>
        <v>88.14658</v>
      </c>
      <c r="AD765" s="1">
        <f>VLOOKUP($E765,'Product Naming'!$A$1:$P$58,13,FALSE)</f>
        <v>129</v>
      </c>
      <c r="AE765" s="1" t="str">
        <f>VLOOKUP($E765,'Product Naming'!$A$1:$P$58,14,FALSE)</f>
        <v>Alcohol</v>
      </c>
      <c r="AF765" s="1" t="str">
        <f>VLOOKUP($E765,'Product Naming'!$A$1:$P$58,15,FALSE)</f>
        <v>PEP</v>
      </c>
      <c r="AG765" s="30" t="str">
        <f>VLOOKUP($E765,'Product Naming'!$A$1:$P$58,16,FALSE)</f>
        <v>Proton symporter</v>
      </c>
      <c r="AH765" s="3" t="str">
        <f>VLOOKUP($E765,'Product Naming'!$A$1:$Q$58,17,FALSE)</f>
        <v>2mbtoh_c</v>
      </c>
      <c r="AI765" s="1">
        <f>VLOOKUP($E765,'Product Parameters'!$A$2:$D$59,2,FALSE)</f>
        <v>1</v>
      </c>
      <c r="AJ765" s="1">
        <f>VLOOKUP($E765,'Product Parameters'!$A$2:$D$59,3,FALSE)</f>
        <v>0</v>
      </c>
      <c r="AK765" s="1">
        <f>VLOOKUP($E765,'Product Parameters'!$A$2:$D$59,4,FALSE)</f>
        <v>0.12</v>
      </c>
      <c r="AL765" s="1">
        <f>VLOOKUP($E765,'Product Parameters'!$A$2:$E$59,5,FALSE)</f>
        <v>54.6</v>
      </c>
      <c r="AM765" s="1">
        <f>VLOOKUP($E765,'Product Parameters'!$A$2:$F$59,6,FALSE)</f>
        <v>5</v>
      </c>
      <c r="AN765" s="1">
        <f>VLOOKUP($C765,'Substrate Heating'!$A$2:$C$33,3,FALSE)</f>
        <v>2342.0279999999998</v>
      </c>
      <c r="AO765" s="1">
        <f>VLOOKUP($C765,'Substrate Heating'!$A$2:$B$33,2,FALSE)</f>
        <v>15.6</v>
      </c>
      <c r="AP765" s="1">
        <f>VLOOKUP($C765,'Substrate Heating'!$A$2:$M$33,13,FALSE)</f>
        <v>4</v>
      </c>
      <c r="AQ765" s="1">
        <f>VLOOKUP($C765,'Substrate Heating'!$A$2:$M$33,8,FALSE)</f>
        <v>5</v>
      </c>
      <c r="AR765" s="1">
        <f t="shared" si="11"/>
        <v>0.626714285714286</v>
      </c>
    </row>
    <row r="766" spans="1:44" x14ac:dyDescent="0.2">
      <c r="A766" s="17" t="s">
        <v>323</v>
      </c>
      <c r="B766" s="18" t="s">
        <v>324</v>
      </c>
      <c r="C766" t="s">
        <v>335</v>
      </c>
      <c r="D766" s="19" t="s">
        <v>326</v>
      </c>
      <c r="E766" t="s">
        <v>275</v>
      </c>
      <c r="F766" t="s">
        <v>276</v>
      </c>
      <c r="G766">
        <v>-10</v>
      </c>
      <c r="H766">
        <v>0</v>
      </c>
      <c r="I766">
        <v>-10</v>
      </c>
      <c r="J766">
        <v>0.45</v>
      </c>
      <c r="K766">
        <v>-10</v>
      </c>
      <c r="L766">
        <v>0</v>
      </c>
      <c r="M766">
        <v>-10</v>
      </c>
      <c r="N766">
        <v>0</v>
      </c>
      <c r="O766">
        <v>1.7333333333333301</v>
      </c>
      <c r="P766"/>
      <c r="Q766">
        <v>0.17333333333333301</v>
      </c>
      <c r="R766">
        <v>0.36811104636320202</v>
      </c>
      <c r="S766" s="1" t="str">
        <f>VLOOKUP($E766,'Product Naming'!$A$1:$P$58,2,FALSE)</f>
        <v>Malonate</v>
      </c>
      <c r="T766" s="1" t="str">
        <f>VLOOKUP($E766,'Product Naming'!$A$1:$P$58,3,FALSE)</f>
        <v>Malonate</v>
      </c>
      <c r="U766" s="1" t="str">
        <f>VLOOKUP($E766,'Product Naming'!$A$1:$P$58,4,FALSE)</f>
        <v>A</v>
      </c>
      <c r="V766" s="1" t="str">
        <f>VLOOKUP($E766,'Product Naming'!$A$1:$P$58,5,FALSE)</f>
        <v>C3H2O4</v>
      </c>
      <c r="W766" s="1">
        <f>VLOOKUP($E766,'Product Naming'!$A$1:$P$58,6,FALSE)</f>
        <v>3</v>
      </c>
      <c r="X766" s="1">
        <f>VLOOKUP($E766,'Product Naming'!$A$1:$P$58,7,FALSE)</f>
        <v>2</v>
      </c>
      <c r="Y766" s="1">
        <f>VLOOKUP($E766,'Product Naming'!$A$1:$P$58,8,FALSE)</f>
        <v>4</v>
      </c>
      <c r="Z766" s="1">
        <f>VLOOKUP($E766,'Product Naming'!$A$1:$P$58,9,FALSE)</f>
        <v>0</v>
      </c>
      <c r="AA766" s="1">
        <f>VLOOKUP($E766,'Product Naming'!$A$1:$P$58,10,FALSE)</f>
        <v>-2</v>
      </c>
      <c r="AB766" s="29">
        <f>VLOOKUP($E766,'Product Naming'!$A$1:$P$58,11,FALSE)</f>
        <v>2</v>
      </c>
      <c r="AC766" s="3">
        <f>VLOOKUP($E766,'Product Naming'!$A$1:$P$58,12,FALSE)</f>
        <v>102.04378</v>
      </c>
      <c r="AD766" s="1">
        <f>VLOOKUP($E766,'Product Naming'!$A$1:$P$58,13,FALSE)</f>
        <v>199</v>
      </c>
      <c r="AE766" s="1" t="str">
        <f>VLOOKUP($E766,'Product Naming'!$A$1:$P$58,14,FALSE)</f>
        <v>Dicarboxylate</v>
      </c>
      <c r="AF766" s="1" t="str">
        <f>VLOOKUP($E766,'Product Naming'!$A$1:$P$58,15,FALSE)</f>
        <v>Oxaloacetate</v>
      </c>
      <c r="AG766" s="30" t="str">
        <f>VLOOKUP($E766,'Product Naming'!$A$1:$P$58,16,FALSE)</f>
        <v>Proton symporter</v>
      </c>
      <c r="AH766" s="3" t="str">
        <f>VLOOKUP($E766,'Product Naming'!$A$1:$Q$58,17,FALSE)</f>
        <v>malon_c</v>
      </c>
      <c r="AI766" s="1">
        <f>VLOOKUP($E766,'Product Parameters'!$A$2:$D$59,2,FALSE)</f>
        <v>1</v>
      </c>
      <c r="AJ766" s="1">
        <f>VLOOKUP($E766,'Product Parameters'!$A$2:$D$59,3,FALSE)</f>
        <v>0</v>
      </c>
      <c r="AK766" s="1">
        <f>VLOOKUP($E766,'Product Parameters'!$A$2:$D$59,4,FALSE)</f>
        <v>0.12</v>
      </c>
      <c r="AL766" s="1">
        <f>VLOOKUP($E766,'Product Parameters'!$A$2:$E$59,5,FALSE)</f>
        <v>40.65</v>
      </c>
      <c r="AM766" s="1">
        <f>VLOOKUP($E766,'Product Parameters'!$A$2:$F$59,6,FALSE)</f>
        <v>3</v>
      </c>
      <c r="AN766" s="1">
        <f>VLOOKUP($C766,'Substrate Heating'!$A$2:$C$33,3,FALSE)</f>
        <v>247.9</v>
      </c>
      <c r="AO766" s="1">
        <f>VLOOKUP($C766,'Substrate Heating'!$A$2:$B$33,2,FALSE)</f>
        <v>10.541709491918519</v>
      </c>
      <c r="AP766" s="1">
        <f>VLOOKUP($C766,'Substrate Heating'!$A$2:$M$33,13,FALSE)</f>
        <v>0.5</v>
      </c>
      <c r="AQ766" s="1">
        <f>VLOOKUP($C766,'Substrate Heating'!$A$2:$M$33,8,FALSE)</f>
        <v>0.5</v>
      </c>
      <c r="AR766" s="1">
        <f t="shared" si="11"/>
        <v>1.039999999999998</v>
      </c>
    </row>
    <row r="767" spans="1:44" x14ac:dyDescent="0.2">
      <c r="A767" s="8" t="s">
        <v>34</v>
      </c>
      <c r="B767" s="9" t="s">
        <v>35</v>
      </c>
      <c r="C767" s="1" t="s">
        <v>345</v>
      </c>
      <c r="D767" s="10" t="s">
        <v>37</v>
      </c>
      <c r="E767" s="1" t="s">
        <v>136</v>
      </c>
      <c r="F767" s="1" t="s">
        <v>137</v>
      </c>
      <c r="G767" s="1">
        <v>-10</v>
      </c>
      <c r="H767" s="1">
        <v>-20</v>
      </c>
      <c r="I767" s="1" t="s">
        <v>40</v>
      </c>
      <c r="J767" s="1">
        <v>3.15</v>
      </c>
      <c r="K767" s="1">
        <v>-10</v>
      </c>
      <c r="L767" s="1">
        <v>-6.2879098360655696</v>
      </c>
      <c r="M767" s="1" t="s">
        <v>40</v>
      </c>
      <c r="N767" s="1">
        <v>7.2020491803278697</v>
      </c>
      <c r="O767" s="1">
        <v>1.8282786885245901</v>
      </c>
      <c r="Q767" s="1">
        <v>0.182827868852459</v>
      </c>
      <c r="R767" s="1">
        <v>0.36872489068217401</v>
      </c>
      <c r="S767" s="1" t="str">
        <f>VLOOKUP($E767,'Product Naming'!$A$1:$P$58,2,FALSE)</f>
        <v>Benzoate-PW1</v>
      </c>
      <c r="T767" s="1" t="str">
        <f>VLOOKUP($E767,'Product Naming'!$A$1:$P$58,3,FALSE)</f>
        <v>Benzoate (PW1)</v>
      </c>
      <c r="U767" s="1" t="str">
        <f>VLOOKUP($E767,'Product Naming'!$A$1:$P$58,4,FALSE)</f>
        <v>A</v>
      </c>
      <c r="V767" s="1" t="str">
        <f>VLOOKUP($E767,'Product Naming'!$A$1:$P$58,5,FALSE)</f>
        <v>C7H5O2</v>
      </c>
      <c r="W767" s="1">
        <f>VLOOKUP($E767,'Product Naming'!$A$1:$P$58,6,FALSE)</f>
        <v>7</v>
      </c>
      <c r="X767" s="1">
        <f>VLOOKUP($E767,'Product Naming'!$A$1:$P$58,7,FALSE)</f>
        <v>5</v>
      </c>
      <c r="Y767" s="1">
        <f>VLOOKUP($E767,'Product Naming'!$A$1:$P$58,8,FALSE)</f>
        <v>2</v>
      </c>
      <c r="Z767" s="1">
        <f>VLOOKUP($E767,'Product Naming'!$A$1:$P$58,9,FALSE)</f>
        <v>0</v>
      </c>
      <c r="AA767" s="1">
        <f>VLOOKUP($E767,'Product Naming'!$A$1:$P$58,10,FALSE)</f>
        <v>-1</v>
      </c>
      <c r="AB767" s="29">
        <f>VLOOKUP($E767,'Product Naming'!$A$1:$P$58,11,FALSE)</f>
        <v>4.1428571428571432</v>
      </c>
      <c r="AC767" s="3">
        <f>VLOOKUP($E767,'Product Naming'!$A$1:$P$58,12,FALSE)</f>
        <v>121.1121</v>
      </c>
      <c r="AD767" s="1">
        <f>VLOOKUP($E767,'Product Naming'!$A$1:$P$58,13,FALSE)</f>
        <v>249.2</v>
      </c>
      <c r="AE767" s="1" t="str">
        <f>VLOOKUP($E767,'Product Naming'!$A$1:$P$58,14,FALSE)</f>
        <v>Aromatic + Carboxylate</v>
      </c>
      <c r="AF767" s="1" t="str">
        <f>VLOOKUP($E767,'Product Naming'!$A$1:$P$58,15,FALSE)</f>
        <v>E4P + aKG</v>
      </c>
      <c r="AG767" s="30" t="str">
        <f>VLOOKUP($E767,'Product Naming'!$A$1:$P$58,16,FALSE)</f>
        <v>Proton symporter</v>
      </c>
      <c r="AH767" s="3" t="str">
        <f>VLOOKUP($E767,'Product Naming'!$A$1:$Q$58,17,FALSE)</f>
        <v>bz_c</v>
      </c>
      <c r="AI767" s="1">
        <f>VLOOKUP($E767,'Product Parameters'!$A$2:$D$59,2,FALSE)</f>
        <v>1</v>
      </c>
      <c r="AJ767" s="1">
        <f>VLOOKUP($E767,'Product Parameters'!$A$2:$D$59,3,FALSE)</f>
        <v>0</v>
      </c>
      <c r="AK767" s="1">
        <f>VLOOKUP($E767,'Product Parameters'!$A$2:$D$59,4,FALSE)</f>
        <v>0.12</v>
      </c>
      <c r="AL767" s="1">
        <f>VLOOKUP($E767,'Product Parameters'!$A$2:$E$59,5,FALSE)</f>
        <v>40.65</v>
      </c>
      <c r="AM767" s="1">
        <f>VLOOKUP($E767,'Product Parameters'!$A$2:$F$59,6,FALSE)</f>
        <v>7</v>
      </c>
      <c r="AN767" s="1">
        <f>VLOOKUP($C767,'Substrate Heating'!$A$2:$C$33,3,FALSE)</f>
        <v>1020.8629199999999</v>
      </c>
      <c r="AO767" s="1">
        <f>VLOOKUP($C767,'Substrate Heating'!$A$2:$B$33,2,FALSE)</f>
        <v>17</v>
      </c>
      <c r="AP767" s="1">
        <f>VLOOKUP($C767,'Substrate Heating'!$A$2:$M$33,13,FALSE)</f>
        <v>4</v>
      </c>
      <c r="AQ767" s="1">
        <f>VLOOKUP($C767,'Substrate Heating'!$A$2:$M$33,8,FALSE)</f>
        <v>2</v>
      </c>
      <c r="AR767" s="1">
        <f t="shared" si="11"/>
        <v>0.63989754098360652</v>
      </c>
    </row>
    <row r="768" spans="1:44" x14ac:dyDescent="0.2">
      <c r="A768" s="8" t="s">
        <v>34</v>
      </c>
      <c r="B768" s="9" t="s">
        <v>35</v>
      </c>
      <c r="C768" s="1" t="s">
        <v>345</v>
      </c>
      <c r="D768" s="10" t="s">
        <v>37</v>
      </c>
      <c r="E768" s="1" t="s">
        <v>143</v>
      </c>
      <c r="F768" s="1" t="s">
        <v>137</v>
      </c>
      <c r="G768" s="1">
        <v>-10</v>
      </c>
      <c r="H768" s="1">
        <v>-20</v>
      </c>
      <c r="I768" s="1" t="s">
        <v>40</v>
      </c>
      <c r="J768" s="1">
        <v>3.15</v>
      </c>
      <c r="K768" s="1">
        <v>-10</v>
      </c>
      <c r="L768" s="1">
        <v>-6.2879098360655696</v>
      </c>
      <c r="M768" s="1" t="s">
        <v>40</v>
      </c>
      <c r="N768" s="1">
        <v>7.2020491803278697</v>
      </c>
      <c r="O768" s="1">
        <v>1.8282786885245901</v>
      </c>
      <c r="Q768" s="1">
        <v>0.182827868852459</v>
      </c>
      <c r="R768" s="1">
        <v>0.36872489068217401</v>
      </c>
      <c r="S768" s="1" t="str">
        <f>VLOOKUP($E768,'Product Naming'!$A$1:$P$58,2,FALSE)</f>
        <v>Benzoate-PW2</v>
      </c>
      <c r="T768" s="1" t="str">
        <f>VLOOKUP($E768,'Product Naming'!$A$1:$P$58,3,FALSE)</f>
        <v>Benzoate (PW2)</v>
      </c>
      <c r="U768" s="1" t="str">
        <f>VLOOKUP($E768,'Product Naming'!$A$1:$P$58,4,FALSE)</f>
        <v>A</v>
      </c>
      <c r="V768" s="1" t="str">
        <f>VLOOKUP($E768,'Product Naming'!$A$1:$P$58,5,FALSE)</f>
        <v>C7H5O2</v>
      </c>
      <c r="W768" s="1">
        <f>VLOOKUP($E768,'Product Naming'!$A$1:$P$58,6,FALSE)</f>
        <v>7</v>
      </c>
      <c r="X768" s="1">
        <f>VLOOKUP($E768,'Product Naming'!$A$1:$P$58,7,FALSE)</f>
        <v>5</v>
      </c>
      <c r="Y768" s="1">
        <f>VLOOKUP($E768,'Product Naming'!$A$1:$P$58,8,FALSE)</f>
        <v>2</v>
      </c>
      <c r="Z768" s="1">
        <f>VLOOKUP($E768,'Product Naming'!$A$1:$P$58,9,FALSE)</f>
        <v>0</v>
      </c>
      <c r="AA768" s="1">
        <f>VLOOKUP($E768,'Product Naming'!$A$1:$P$58,10,FALSE)</f>
        <v>-1</v>
      </c>
      <c r="AB768" s="29">
        <f>VLOOKUP($E768,'Product Naming'!$A$1:$P$58,11,FALSE)</f>
        <v>4.1428571428571432</v>
      </c>
      <c r="AC768" s="3">
        <f>VLOOKUP($E768,'Product Naming'!$A$1:$P$58,12,FALSE)</f>
        <v>121.1121</v>
      </c>
      <c r="AD768" s="1">
        <f>VLOOKUP($E768,'Product Naming'!$A$1:$P$58,13,FALSE)</f>
        <v>249.2</v>
      </c>
      <c r="AE768" s="1" t="str">
        <f>VLOOKUP($E768,'Product Naming'!$A$1:$P$58,14,FALSE)</f>
        <v>Aromatic + Carboxylate</v>
      </c>
      <c r="AF768" s="1" t="str">
        <f>VLOOKUP($E768,'Product Naming'!$A$1:$P$58,15,FALSE)</f>
        <v>E4P + aKG</v>
      </c>
      <c r="AG768" s="30" t="str">
        <f>VLOOKUP($E768,'Product Naming'!$A$1:$P$58,16,FALSE)</f>
        <v>Proton symporter</v>
      </c>
      <c r="AH768" s="3" t="str">
        <f>VLOOKUP($E768,'Product Naming'!$A$1:$Q$58,17,FALSE)</f>
        <v>bz_c</v>
      </c>
      <c r="AI768" s="1">
        <f>VLOOKUP($E768,'Product Parameters'!$A$2:$D$59,2,FALSE)</f>
        <v>1</v>
      </c>
      <c r="AJ768" s="1">
        <f>VLOOKUP($E768,'Product Parameters'!$A$2:$D$59,3,FALSE)</f>
        <v>0</v>
      </c>
      <c r="AK768" s="1">
        <f>VLOOKUP($E768,'Product Parameters'!$A$2:$D$59,4,FALSE)</f>
        <v>0.12</v>
      </c>
      <c r="AL768" s="1">
        <f>VLOOKUP($E768,'Product Parameters'!$A$2:$E$59,5,FALSE)</f>
        <v>40.65</v>
      </c>
      <c r="AM768" s="1">
        <f>VLOOKUP($E768,'Product Parameters'!$A$2:$F$59,6,FALSE)</f>
        <v>7</v>
      </c>
      <c r="AN768" s="1">
        <f>VLOOKUP($C768,'Substrate Heating'!$A$2:$C$33,3,FALSE)</f>
        <v>1020.8629199999999</v>
      </c>
      <c r="AO768" s="1">
        <f>VLOOKUP($C768,'Substrate Heating'!$A$2:$B$33,2,FALSE)</f>
        <v>17</v>
      </c>
      <c r="AP768" s="1">
        <f>VLOOKUP($C768,'Substrate Heating'!$A$2:$M$33,13,FALSE)</f>
        <v>4</v>
      </c>
      <c r="AQ768" s="1">
        <f>VLOOKUP($C768,'Substrate Heating'!$A$2:$M$33,8,FALSE)</f>
        <v>2</v>
      </c>
      <c r="AR768" s="1">
        <f t="shared" si="11"/>
        <v>0.63989754098360652</v>
      </c>
    </row>
    <row r="769" spans="1:44" x14ac:dyDescent="0.2">
      <c r="A769" s="17" t="s">
        <v>323</v>
      </c>
      <c r="B769" s="18" t="s">
        <v>324</v>
      </c>
      <c r="C769" t="s">
        <v>336</v>
      </c>
      <c r="D769" s="19" t="s">
        <v>326</v>
      </c>
      <c r="E769" t="s">
        <v>164</v>
      </c>
      <c r="F769" t="s">
        <v>165</v>
      </c>
      <c r="G769">
        <v>-10</v>
      </c>
      <c r="H769">
        <v>0</v>
      </c>
      <c r="I769">
        <v>-20</v>
      </c>
      <c r="J769">
        <v>0.45</v>
      </c>
      <c r="K769">
        <v>-10</v>
      </c>
      <c r="L769">
        <v>0</v>
      </c>
      <c r="M769">
        <v>-20</v>
      </c>
      <c r="N769">
        <v>0</v>
      </c>
      <c r="O769">
        <v>2.5</v>
      </c>
      <c r="P769"/>
      <c r="Q769">
        <v>0.25</v>
      </c>
      <c r="R769" s="20">
        <v>0.37008288396245198</v>
      </c>
      <c r="S769" s="1" t="str">
        <f>VLOOKUP($E769,'Product Naming'!$A$1:$P$58,2,FALSE)</f>
        <v>Butanol-PW1</v>
      </c>
      <c r="T769" s="1" t="str">
        <f>VLOOKUP($E769,'Product Naming'!$A$1:$P$58,3,FALSE)</f>
        <v>Butanol (PW1)</v>
      </c>
      <c r="U769" s="1" t="str">
        <f>VLOOKUP($E769,'Product Naming'!$A$1:$P$58,4,FALSE)</f>
        <v>E</v>
      </c>
      <c r="V769" s="1" t="str">
        <f>VLOOKUP($E769,'Product Naming'!$A$1:$P$58,5,FALSE)</f>
        <v>C4H10O</v>
      </c>
      <c r="W769" s="1">
        <f>VLOOKUP($E769,'Product Naming'!$A$1:$P$58,6,FALSE)</f>
        <v>4</v>
      </c>
      <c r="X769" s="1">
        <f>VLOOKUP($E769,'Product Naming'!$A$1:$P$58,7,FALSE)</f>
        <v>10</v>
      </c>
      <c r="Y769" s="1">
        <f>VLOOKUP($E769,'Product Naming'!$A$1:$P$58,8,FALSE)</f>
        <v>1</v>
      </c>
      <c r="Z769" s="1">
        <f>VLOOKUP($E769,'Product Naming'!$A$1:$P$58,9,FALSE)</f>
        <v>0</v>
      </c>
      <c r="AA769" s="1">
        <f>VLOOKUP($E769,'Product Naming'!$A$1:$P$58,10,FALSE)</f>
        <v>0</v>
      </c>
      <c r="AB769" s="29">
        <f>VLOOKUP($E769,'Product Naming'!$A$1:$P$58,11,FALSE)</f>
        <v>6</v>
      </c>
      <c r="AC769" s="3">
        <f>VLOOKUP($E769,'Product Naming'!$A$1:$P$58,12,FALSE)</f>
        <v>74.120199999999997</v>
      </c>
      <c r="AD769" s="1">
        <f>VLOOKUP($E769,'Product Naming'!$A$1:$P$58,13,FALSE)</f>
        <v>117.7</v>
      </c>
      <c r="AE769" s="1" t="str">
        <f>VLOOKUP($E769,'Product Naming'!$A$1:$P$58,14,FALSE)</f>
        <v>Alcohol</v>
      </c>
      <c r="AF769" s="1" t="str">
        <f>VLOOKUP($E769,'Product Naming'!$A$1:$P$58,15,FALSE)</f>
        <v>Acetyl-CoA</v>
      </c>
      <c r="AG769" s="30" t="str">
        <f>VLOOKUP($E769,'Product Naming'!$A$1:$P$58,16,FALSE)</f>
        <v>Proton symporter</v>
      </c>
      <c r="AH769" s="3" t="str">
        <f>VLOOKUP($E769,'Product Naming'!$A$1:$Q$58,17,FALSE)</f>
        <v>btoh_c</v>
      </c>
      <c r="AI769" s="1">
        <f>VLOOKUP($E769,'Product Parameters'!$A$2:$D$59,2,FALSE)</f>
        <v>1</v>
      </c>
      <c r="AJ769" s="1">
        <f>VLOOKUP($E769,'Product Parameters'!$A$2:$D$59,3,FALSE)</f>
        <v>0</v>
      </c>
      <c r="AK769" s="1">
        <f>VLOOKUP($E769,'Product Parameters'!$A$2:$D$59,4,FALSE)</f>
        <v>0.12</v>
      </c>
      <c r="AL769" s="1">
        <f>VLOOKUP($E769,'Product Parameters'!$A$2:$E$59,5,FALSE)</f>
        <v>52</v>
      </c>
      <c r="AM769" s="1">
        <f>VLOOKUP($E769,'Product Parameters'!$A$2:$F$59,6,FALSE)</f>
        <v>4</v>
      </c>
      <c r="AN769" s="1">
        <f>VLOOKUP($C769,'Substrate Heating'!$A$2:$C$33,3,FALSE)</f>
        <v>245.86666666666667</v>
      </c>
      <c r="AO769" s="1">
        <f>VLOOKUP($C769,'Substrate Heating'!$A$2:$B$33,2,FALSE)</f>
        <v>15.038360459876978</v>
      </c>
      <c r="AP769" s="1">
        <f>VLOOKUP($C769,'Substrate Heating'!$A$2:$M$33,13,FALSE)</f>
        <v>0.33333333333333331</v>
      </c>
      <c r="AQ769" s="1">
        <f>VLOOKUP($C769,'Substrate Heating'!$A$2:$M$33,8,FALSE)</f>
        <v>0.33333333333333331</v>
      </c>
      <c r="AR769" s="1">
        <f t="shared" si="11"/>
        <v>3</v>
      </c>
    </row>
    <row r="770" spans="1:44" x14ac:dyDescent="0.2">
      <c r="A770" s="17" t="s">
        <v>323</v>
      </c>
      <c r="B770" s="18" t="s">
        <v>324</v>
      </c>
      <c r="C770" t="s">
        <v>336</v>
      </c>
      <c r="D770" s="19" t="s">
        <v>326</v>
      </c>
      <c r="E770" t="s">
        <v>169</v>
      </c>
      <c r="F770" t="s">
        <v>165</v>
      </c>
      <c r="G770">
        <v>-10</v>
      </c>
      <c r="H770">
        <v>0</v>
      </c>
      <c r="I770">
        <v>-20</v>
      </c>
      <c r="J770">
        <v>0.45</v>
      </c>
      <c r="K770">
        <v>-10</v>
      </c>
      <c r="L770">
        <v>0</v>
      </c>
      <c r="M770">
        <v>-20</v>
      </c>
      <c r="N770">
        <v>0</v>
      </c>
      <c r="O770">
        <v>2.5</v>
      </c>
      <c r="P770"/>
      <c r="Q770">
        <v>0.25</v>
      </c>
      <c r="R770" s="20">
        <v>0.37008288396245198</v>
      </c>
      <c r="S770" s="1" t="str">
        <f>VLOOKUP($E770,'Product Naming'!$A$1:$P$58,2,FALSE)</f>
        <v>Butanol-PW2</v>
      </c>
      <c r="T770" s="1" t="str">
        <f>VLOOKUP($E770,'Product Naming'!$A$1:$P$58,3,FALSE)</f>
        <v>Butanol (PW2)</v>
      </c>
      <c r="U770" s="1" t="str">
        <f>VLOOKUP($E770,'Product Naming'!$A$1:$P$58,4,FALSE)</f>
        <v>E</v>
      </c>
      <c r="V770" s="1" t="str">
        <f>VLOOKUP($E770,'Product Naming'!$A$1:$P$58,5,FALSE)</f>
        <v>C4H10O</v>
      </c>
      <c r="W770" s="1">
        <f>VLOOKUP($E770,'Product Naming'!$A$1:$P$58,6,FALSE)</f>
        <v>4</v>
      </c>
      <c r="X770" s="1">
        <f>VLOOKUP($E770,'Product Naming'!$A$1:$P$58,7,FALSE)</f>
        <v>10</v>
      </c>
      <c r="Y770" s="1">
        <f>VLOOKUP($E770,'Product Naming'!$A$1:$P$58,8,FALSE)</f>
        <v>1</v>
      </c>
      <c r="Z770" s="1">
        <f>VLOOKUP($E770,'Product Naming'!$A$1:$P$58,9,FALSE)</f>
        <v>0</v>
      </c>
      <c r="AA770" s="1">
        <f>VLOOKUP($E770,'Product Naming'!$A$1:$P$58,10,FALSE)</f>
        <v>0</v>
      </c>
      <c r="AB770" s="29">
        <f>VLOOKUP($E770,'Product Naming'!$A$1:$P$58,11,FALSE)</f>
        <v>6</v>
      </c>
      <c r="AC770" s="3">
        <f>VLOOKUP($E770,'Product Naming'!$A$1:$P$58,12,FALSE)</f>
        <v>74.120199999999997</v>
      </c>
      <c r="AD770" s="1">
        <f>VLOOKUP($E770,'Product Naming'!$A$1:$P$58,13,FALSE)</f>
        <v>117.7</v>
      </c>
      <c r="AE770" s="1" t="str">
        <f>VLOOKUP($E770,'Product Naming'!$A$1:$P$58,14,FALSE)</f>
        <v>Alcohol</v>
      </c>
      <c r="AF770" s="1" t="str">
        <f>VLOOKUP($E770,'Product Naming'!$A$1:$P$58,15,FALSE)</f>
        <v>Oxaloacetate</v>
      </c>
      <c r="AG770" s="30" t="str">
        <f>VLOOKUP($E770,'Product Naming'!$A$1:$P$58,16,FALSE)</f>
        <v>Proton symporter</v>
      </c>
      <c r="AH770" s="3" t="str">
        <f>VLOOKUP($E770,'Product Naming'!$A$1:$Q$58,17,FALSE)</f>
        <v>btoh_c</v>
      </c>
      <c r="AI770" s="1">
        <f>VLOOKUP($E770,'Product Parameters'!$A$2:$D$59,2,FALSE)</f>
        <v>1</v>
      </c>
      <c r="AJ770" s="1">
        <f>VLOOKUP($E770,'Product Parameters'!$A$2:$D$59,3,FALSE)</f>
        <v>0</v>
      </c>
      <c r="AK770" s="1">
        <f>VLOOKUP($E770,'Product Parameters'!$A$2:$D$59,4,FALSE)</f>
        <v>0.12</v>
      </c>
      <c r="AL770" s="1">
        <f>VLOOKUP($E770,'Product Parameters'!$A$2:$E$59,5,FALSE)</f>
        <v>52</v>
      </c>
      <c r="AM770" s="1">
        <f>VLOOKUP($E770,'Product Parameters'!$A$2:$F$59,6,FALSE)</f>
        <v>4</v>
      </c>
      <c r="AN770" s="1">
        <f>VLOOKUP($C770,'Substrate Heating'!$A$2:$C$33,3,FALSE)</f>
        <v>245.86666666666667</v>
      </c>
      <c r="AO770" s="1">
        <f>VLOOKUP($C770,'Substrate Heating'!$A$2:$B$33,2,FALSE)</f>
        <v>15.038360459876978</v>
      </c>
      <c r="AP770" s="1">
        <f>VLOOKUP($C770,'Substrate Heating'!$A$2:$M$33,13,FALSE)</f>
        <v>0.33333333333333331</v>
      </c>
      <c r="AQ770" s="1">
        <f>VLOOKUP($C770,'Substrate Heating'!$A$2:$M$33,8,FALSE)</f>
        <v>0.33333333333333331</v>
      </c>
      <c r="AR770" s="1">
        <f t="shared" si="11"/>
        <v>3</v>
      </c>
    </row>
    <row r="771" spans="1:44" x14ac:dyDescent="0.2">
      <c r="A771" s="8" t="s">
        <v>809</v>
      </c>
      <c r="B771" s="18" t="s">
        <v>324</v>
      </c>
      <c r="C771" t="s">
        <v>808</v>
      </c>
      <c r="D771" s="19" t="s">
        <v>326</v>
      </c>
      <c r="E771" t="s">
        <v>164</v>
      </c>
      <c r="F771" t="s">
        <v>165</v>
      </c>
      <c r="G771">
        <v>-10</v>
      </c>
      <c r="H771">
        <v>0</v>
      </c>
      <c r="I771">
        <v>-20</v>
      </c>
      <c r="J771">
        <v>0.45</v>
      </c>
      <c r="K771">
        <v>-6.6666666666666599</v>
      </c>
      <c r="L771">
        <v>0</v>
      </c>
      <c r="M771">
        <v>-20</v>
      </c>
      <c r="N771">
        <v>-6.6666666666666599</v>
      </c>
      <c r="O771">
        <v>1.6666666666666601</v>
      </c>
      <c r="P771"/>
      <c r="Q771">
        <v>0.25</v>
      </c>
      <c r="R771">
        <v>0.37017160094290602</v>
      </c>
      <c r="S771" s="1" t="str">
        <f>VLOOKUP($E771,'Product Naming'!$A$1:$P$58,2,FALSE)</f>
        <v>Butanol-PW1</v>
      </c>
      <c r="T771" s="1" t="str">
        <f>VLOOKUP($E771,'Product Naming'!$A$1:$P$58,3,FALSE)</f>
        <v>Butanol (PW1)</v>
      </c>
      <c r="U771" s="1" t="str">
        <f>VLOOKUP($E771,'Product Naming'!$A$1:$P$58,4,FALSE)</f>
        <v>E</v>
      </c>
      <c r="V771" s="1" t="str">
        <f>VLOOKUP($E771,'Product Naming'!$A$1:$P$58,5,FALSE)</f>
        <v>C4H10O</v>
      </c>
      <c r="W771" s="1">
        <f>VLOOKUP($E771,'Product Naming'!$A$1:$P$58,6,FALSE)</f>
        <v>4</v>
      </c>
      <c r="X771" s="1">
        <f>VLOOKUP($E771,'Product Naming'!$A$1:$P$58,7,FALSE)</f>
        <v>10</v>
      </c>
      <c r="Y771" s="1">
        <f>VLOOKUP($E771,'Product Naming'!$A$1:$P$58,8,FALSE)</f>
        <v>1</v>
      </c>
      <c r="Z771" s="1">
        <f>VLOOKUP($E771,'Product Naming'!$A$1:$P$58,9,FALSE)</f>
        <v>0</v>
      </c>
      <c r="AA771" s="1">
        <f>VLOOKUP($E771,'Product Naming'!$A$1:$P$58,10,FALSE)</f>
        <v>0</v>
      </c>
      <c r="AB771" s="29">
        <f>VLOOKUP($E771,'Product Naming'!$A$1:$P$58,11,FALSE)</f>
        <v>6</v>
      </c>
      <c r="AC771" s="3">
        <f>VLOOKUP($E771,'Product Naming'!$A$1:$P$58,12,FALSE)</f>
        <v>74.120199999999997</v>
      </c>
      <c r="AD771" s="1">
        <f>VLOOKUP($E771,'Product Naming'!$A$1:$P$58,13,FALSE)</f>
        <v>117.7</v>
      </c>
      <c r="AE771" s="1" t="str">
        <f>VLOOKUP($E771,'Product Naming'!$A$1:$P$58,14,FALSE)</f>
        <v>Alcohol</v>
      </c>
      <c r="AF771" s="1" t="str">
        <f>VLOOKUP($E771,'Product Naming'!$A$1:$P$58,15,FALSE)</f>
        <v>Acetyl-CoA</v>
      </c>
      <c r="AG771" s="30" t="str">
        <f>VLOOKUP($E771,'Product Naming'!$A$1:$P$58,16,FALSE)</f>
        <v>Proton symporter</v>
      </c>
      <c r="AH771" s="3" t="str">
        <f>VLOOKUP($E771,'Product Naming'!$A$1:$Q$58,17,FALSE)</f>
        <v>btoh_c</v>
      </c>
      <c r="AI771" s="1">
        <f>VLOOKUP($E771,'Product Parameters'!$A$2:$D$59,2,FALSE)</f>
        <v>1</v>
      </c>
      <c r="AJ771" s="1">
        <f>VLOOKUP($E771,'Product Parameters'!$A$2:$D$59,3,FALSE)</f>
        <v>0</v>
      </c>
      <c r="AK771" s="1">
        <f>VLOOKUP($E771,'Product Parameters'!$A$2:$D$59,4,FALSE)</f>
        <v>0.12</v>
      </c>
      <c r="AL771" s="1">
        <f>VLOOKUP($E771,'Product Parameters'!$A$2:$E$59,5,FALSE)</f>
        <v>52</v>
      </c>
      <c r="AM771" s="1">
        <f>VLOOKUP($E771,'Product Parameters'!$A$2:$F$59,6,FALSE)</f>
        <v>4</v>
      </c>
      <c r="AN771" s="1">
        <f>VLOOKUP($C771,'Substrate Heating'!$A$2:$C$33,3,FALSE)</f>
        <v>120.9</v>
      </c>
      <c r="AO771" s="1">
        <f>VLOOKUP($C771,'Substrate Heating'!$A$2:$B$33,2,FALSE)</f>
        <v>5.2537372583834907</v>
      </c>
      <c r="AP771" s="1">
        <f>VLOOKUP($C771,'Substrate Heating'!$A$2:$M$33,13,FALSE)</f>
        <v>0</v>
      </c>
      <c r="AQ771" s="1">
        <f>VLOOKUP($C771,'Substrate Heating'!$A$2:$M$33,8,FALSE)</f>
        <v>0.33333333333333331</v>
      </c>
      <c r="AR771" s="1">
        <f t="shared" ref="AR771:AR834" si="12">Q771*W771/AQ771</f>
        <v>3</v>
      </c>
    </row>
    <row r="772" spans="1:44" x14ac:dyDescent="0.2">
      <c r="A772" s="8" t="s">
        <v>809</v>
      </c>
      <c r="B772" s="18" t="s">
        <v>324</v>
      </c>
      <c r="C772" t="s">
        <v>808</v>
      </c>
      <c r="D772" s="19" t="s">
        <v>326</v>
      </c>
      <c r="E772" t="s">
        <v>169</v>
      </c>
      <c r="F772" t="s">
        <v>165</v>
      </c>
      <c r="G772">
        <v>-10</v>
      </c>
      <c r="H772">
        <v>0</v>
      </c>
      <c r="I772">
        <v>-20</v>
      </c>
      <c r="J772">
        <v>0.45</v>
      </c>
      <c r="K772">
        <v>-6.6666666666666599</v>
      </c>
      <c r="L772">
        <v>0</v>
      </c>
      <c r="M772">
        <v>-20</v>
      </c>
      <c r="N772">
        <v>-6.6666666666666599</v>
      </c>
      <c r="O772">
        <v>1.6666666666666701</v>
      </c>
      <c r="P772"/>
      <c r="Q772">
        <v>0.25</v>
      </c>
      <c r="R772">
        <v>0.37017160094290702</v>
      </c>
      <c r="S772" s="1" t="str">
        <f>VLOOKUP($E772,'Product Naming'!$A$1:$P$58,2,FALSE)</f>
        <v>Butanol-PW2</v>
      </c>
      <c r="T772" s="1" t="str">
        <f>VLOOKUP($E772,'Product Naming'!$A$1:$P$58,3,FALSE)</f>
        <v>Butanol (PW2)</v>
      </c>
      <c r="U772" s="1" t="str">
        <f>VLOOKUP($E772,'Product Naming'!$A$1:$P$58,4,FALSE)</f>
        <v>E</v>
      </c>
      <c r="V772" s="1" t="str">
        <f>VLOOKUP($E772,'Product Naming'!$A$1:$P$58,5,FALSE)</f>
        <v>C4H10O</v>
      </c>
      <c r="W772" s="1">
        <f>VLOOKUP($E772,'Product Naming'!$A$1:$P$58,6,FALSE)</f>
        <v>4</v>
      </c>
      <c r="X772" s="1">
        <f>VLOOKUP($E772,'Product Naming'!$A$1:$P$58,7,FALSE)</f>
        <v>10</v>
      </c>
      <c r="Y772" s="1">
        <f>VLOOKUP($E772,'Product Naming'!$A$1:$P$58,8,FALSE)</f>
        <v>1</v>
      </c>
      <c r="Z772" s="1">
        <f>VLOOKUP($E772,'Product Naming'!$A$1:$P$58,9,FALSE)</f>
        <v>0</v>
      </c>
      <c r="AA772" s="1">
        <f>VLOOKUP($E772,'Product Naming'!$A$1:$P$58,10,FALSE)</f>
        <v>0</v>
      </c>
      <c r="AB772" s="29">
        <f>VLOOKUP($E772,'Product Naming'!$A$1:$P$58,11,FALSE)</f>
        <v>6</v>
      </c>
      <c r="AC772" s="3">
        <f>VLOOKUP($E772,'Product Naming'!$A$1:$P$58,12,FALSE)</f>
        <v>74.120199999999997</v>
      </c>
      <c r="AD772" s="1">
        <f>VLOOKUP($E772,'Product Naming'!$A$1:$P$58,13,FALSE)</f>
        <v>117.7</v>
      </c>
      <c r="AE772" s="1" t="str">
        <f>VLOOKUP($E772,'Product Naming'!$A$1:$P$58,14,FALSE)</f>
        <v>Alcohol</v>
      </c>
      <c r="AF772" s="1" t="str">
        <f>VLOOKUP($E772,'Product Naming'!$A$1:$P$58,15,FALSE)</f>
        <v>Oxaloacetate</v>
      </c>
      <c r="AG772" s="30" t="str">
        <f>VLOOKUP($E772,'Product Naming'!$A$1:$P$58,16,FALSE)</f>
        <v>Proton symporter</v>
      </c>
      <c r="AH772" s="3" t="str">
        <f>VLOOKUP($E772,'Product Naming'!$A$1:$Q$58,17,FALSE)</f>
        <v>btoh_c</v>
      </c>
      <c r="AI772" s="1">
        <f>VLOOKUP($E772,'Product Parameters'!$A$2:$D$59,2,FALSE)</f>
        <v>1</v>
      </c>
      <c r="AJ772" s="1">
        <f>VLOOKUP($E772,'Product Parameters'!$A$2:$D$59,3,FALSE)</f>
        <v>0</v>
      </c>
      <c r="AK772" s="1">
        <f>VLOOKUP($E772,'Product Parameters'!$A$2:$D$59,4,FALSE)</f>
        <v>0.12</v>
      </c>
      <c r="AL772" s="1">
        <f>VLOOKUP($E772,'Product Parameters'!$A$2:$E$59,5,FALSE)</f>
        <v>52</v>
      </c>
      <c r="AM772" s="1">
        <f>VLOOKUP($E772,'Product Parameters'!$A$2:$F$59,6,FALSE)</f>
        <v>4</v>
      </c>
      <c r="AN772" s="1">
        <f>VLOOKUP($C772,'Substrate Heating'!$A$2:$C$33,3,FALSE)</f>
        <v>120.9</v>
      </c>
      <c r="AO772" s="1">
        <f>VLOOKUP($C772,'Substrate Heating'!$A$2:$B$33,2,FALSE)</f>
        <v>5.2537372583834907</v>
      </c>
      <c r="AP772" s="1">
        <f>VLOOKUP($C772,'Substrate Heating'!$A$2:$M$33,13,FALSE)</f>
        <v>0</v>
      </c>
      <c r="AQ772" s="1">
        <f>VLOOKUP($C772,'Substrate Heating'!$A$2:$M$33,8,FALSE)</f>
        <v>0.33333333333333331</v>
      </c>
      <c r="AR772" s="1">
        <f t="shared" si="12"/>
        <v>3</v>
      </c>
    </row>
    <row r="773" spans="1:44" x14ac:dyDescent="0.2">
      <c r="A773" s="8" t="s">
        <v>34</v>
      </c>
      <c r="B773" s="9" t="s">
        <v>35</v>
      </c>
      <c r="C773" s="1" t="s">
        <v>349</v>
      </c>
      <c r="D773" s="25" t="s">
        <v>342</v>
      </c>
      <c r="E773" s="1" t="s">
        <v>169</v>
      </c>
      <c r="F773" s="1" t="s">
        <v>165</v>
      </c>
      <c r="G773" s="1">
        <v>-10</v>
      </c>
      <c r="H773" s="1">
        <v>-20</v>
      </c>
      <c r="I773" s="1" t="s">
        <v>40</v>
      </c>
      <c r="J773" s="1">
        <v>3.15</v>
      </c>
      <c r="K773" s="1">
        <v>-10</v>
      </c>
      <c r="L773" s="1">
        <v>-5.0051282051281998</v>
      </c>
      <c r="M773" s="1" t="s">
        <v>40</v>
      </c>
      <c r="N773" s="1">
        <v>20.0034188034188</v>
      </c>
      <c r="O773" s="1">
        <v>7.4991452991453</v>
      </c>
      <c r="Q773" s="1">
        <v>0.74991452991453</v>
      </c>
      <c r="R773" s="1">
        <v>0.370237893426836</v>
      </c>
      <c r="S773" s="1" t="str">
        <f>VLOOKUP($E773,'Product Naming'!$A$1:$P$58,2,FALSE)</f>
        <v>Butanol-PW2</v>
      </c>
      <c r="T773" s="1" t="str">
        <f>VLOOKUP($E773,'Product Naming'!$A$1:$P$58,3,FALSE)</f>
        <v>Butanol (PW2)</v>
      </c>
      <c r="U773" s="1" t="str">
        <f>VLOOKUP($E773,'Product Naming'!$A$1:$P$58,4,FALSE)</f>
        <v>E</v>
      </c>
      <c r="V773" s="1" t="str">
        <f>VLOOKUP($E773,'Product Naming'!$A$1:$P$58,5,FALSE)</f>
        <v>C4H10O</v>
      </c>
      <c r="W773" s="1">
        <f>VLOOKUP($E773,'Product Naming'!$A$1:$P$58,6,FALSE)</f>
        <v>4</v>
      </c>
      <c r="X773" s="1">
        <f>VLOOKUP($E773,'Product Naming'!$A$1:$P$58,7,FALSE)</f>
        <v>10</v>
      </c>
      <c r="Y773" s="1">
        <f>VLOOKUP($E773,'Product Naming'!$A$1:$P$58,8,FALSE)</f>
        <v>1</v>
      </c>
      <c r="Z773" s="1">
        <f>VLOOKUP($E773,'Product Naming'!$A$1:$P$58,9,FALSE)</f>
        <v>0</v>
      </c>
      <c r="AA773" s="1">
        <f>VLOOKUP($E773,'Product Naming'!$A$1:$P$58,10,FALSE)</f>
        <v>0</v>
      </c>
      <c r="AB773" s="29">
        <f>VLOOKUP($E773,'Product Naming'!$A$1:$P$58,11,FALSE)</f>
        <v>6</v>
      </c>
      <c r="AC773" s="3">
        <f>VLOOKUP($E773,'Product Naming'!$A$1:$P$58,12,FALSE)</f>
        <v>74.120199999999997</v>
      </c>
      <c r="AD773" s="1">
        <f>VLOOKUP($E773,'Product Naming'!$A$1:$P$58,13,FALSE)</f>
        <v>117.7</v>
      </c>
      <c r="AE773" s="1" t="str">
        <f>VLOOKUP($E773,'Product Naming'!$A$1:$P$58,14,FALSE)</f>
        <v>Alcohol</v>
      </c>
      <c r="AF773" s="1" t="str">
        <f>VLOOKUP($E773,'Product Naming'!$A$1:$P$58,15,FALSE)</f>
        <v>Oxaloacetate</v>
      </c>
      <c r="AG773" s="30" t="str">
        <f>VLOOKUP($E773,'Product Naming'!$A$1:$P$58,16,FALSE)</f>
        <v>Proton symporter</v>
      </c>
      <c r="AH773" s="3" t="str">
        <f>VLOOKUP($E773,'Product Naming'!$A$1:$Q$58,17,FALSE)</f>
        <v>btoh_c</v>
      </c>
      <c r="AI773" s="1">
        <f>VLOOKUP($E773,'Product Parameters'!$A$2:$D$59,2,FALSE)</f>
        <v>1</v>
      </c>
      <c r="AJ773" s="1">
        <f>VLOOKUP($E773,'Product Parameters'!$A$2:$D$59,3,FALSE)</f>
        <v>0</v>
      </c>
      <c r="AK773" s="1">
        <f>VLOOKUP($E773,'Product Parameters'!$A$2:$D$59,4,FALSE)</f>
        <v>0.12</v>
      </c>
      <c r="AL773" s="1">
        <f>VLOOKUP($E773,'Product Parameters'!$A$2:$E$59,5,FALSE)</f>
        <v>52</v>
      </c>
      <c r="AM773" s="1">
        <f>VLOOKUP($E773,'Product Parameters'!$A$2:$F$59,6,FALSE)</f>
        <v>4</v>
      </c>
      <c r="AN773" s="1">
        <f>VLOOKUP($C773,'Substrate Heating'!$A$2:$C$33,3,FALSE)</f>
        <v>2342.0279999999998</v>
      </c>
      <c r="AO773" s="1">
        <f>VLOOKUP($C773,'Substrate Heating'!$A$2:$B$33,2,FALSE)</f>
        <v>15.6</v>
      </c>
      <c r="AP773" s="1">
        <f>VLOOKUP($C773,'Substrate Heating'!$A$2:$M$33,13,FALSE)</f>
        <v>4</v>
      </c>
      <c r="AQ773" s="1">
        <f>VLOOKUP($C773,'Substrate Heating'!$A$2:$M$33,8,FALSE)</f>
        <v>5</v>
      </c>
      <c r="AR773" s="1">
        <f t="shared" si="12"/>
        <v>0.59993162393162403</v>
      </c>
    </row>
    <row r="774" spans="1:44" x14ac:dyDescent="0.2">
      <c r="A774" s="17" t="s">
        <v>323</v>
      </c>
      <c r="B774" s="18" t="s">
        <v>324</v>
      </c>
      <c r="C774" t="s">
        <v>327</v>
      </c>
      <c r="D774" s="19" t="s">
        <v>326</v>
      </c>
      <c r="E774" t="s">
        <v>240</v>
      </c>
      <c r="F774" t="s">
        <v>241</v>
      </c>
      <c r="G774">
        <v>-10</v>
      </c>
      <c r="H774">
        <v>0</v>
      </c>
      <c r="I774">
        <v>-5</v>
      </c>
      <c r="J774">
        <v>0.45</v>
      </c>
      <c r="K774">
        <v>-10</v>
      </c>
      <c r="L774">
        <v>0</v>
      </c>
      <c r="M774">
        <v>-5</v>
      </c>
      <c r="N774">
        <v>5</v>
      </c>
      <c r="O774">
        <v>1.25</v>
      </c>
      <c r="P774"/>
      <c r="Q774">
        <v>0.125</v>
      </c>
      <c r="R774">
        <v>0.37099801860785703</v>
      </c>
      <c r="S774" s="1" t="str">
        <f>VLOOKUP($E774,'Product Naming'!$A$1:$P$58,2,FALSE)</f>
        <v>Isobutanol</v>
      </c>
      <c r="T774" s="1" t="str">
        <f>VLOOKUP($E774,'Product Naming'!$A$1:$P$58,3,FALSE)</f>
        <v>Isobutanol</v>
      </c>
      <c r="U774" s="1" t="str">
        <f>VLOOKUP($E774,'Product Naming'!$A$1:$P$58,4,FALSE)</f>
        <v>E</v>
      </c>
      <c r="V774" s="1" t="str">
        <f>VLOOKUP($E774,'Product Naming'!$A$1:$P$58,5,FALSE)</f>
        <v>C5H10O</v>
      </c>
      <c r="W774" s="1">
        <f>VLOOKUP($E774,'Product Naming'!$A$1:$P$58,6,FALSE)</f>
        <v>5</v>
      </c>
      <c r="X774" s="1">
        <f>VLOOKUP($E774,'Product Naming'!$A$1:$P$58,7,FALSE)</f>
        <v>10</v>
      </c>
      <c r="Y774" s="1">
        <f>VLOOKUP($E774,'Product Naming'!$A$1:$P$58,8,FALSE)</f>
        <v>1</v>
      </c>
      <c r="Z774" s="1">
        <f>VLOOKUP($E774,'Product Naming'!$A$1:$P$58,9,FALSE)</f>
        <v>0</v>
      </c>
      <c r="AA774" s="1">
        <f>VLOOKUP($E774,'Product Naming'!$A$1:$P$58,10,FALSE)</f>
        <v>0</v>
      </c>
      <c r="AB774" s="29">
        <f>VLOOKUP($E774,'Product Naming'!$A$1:$P$58,11,FALSE)</f>
        <v>5.6</v>
      </c>
      <c r="AC774" s="3">
        <f>VLOOKUP($E774,'Product Naming'!$A$1:$P$58,12,FALSE)</f>
        <v>86.130899999999997</v>
      </c>
      <c r="AD774" s="1">
        <f>VLOOKUP($E774,'Product Naming'!$A$1:$P$58,13,FALSE)</f>
        <v>108</v>
      </c>
      <c r="AE774" s="1" t="str">
        <f>VLOOKUP($E774,'Product Naming'!$A$1:$P$58,14,FALSE)</f>
        <v>Alcohol</v>
      </c>
      <c r="AF774" s="1" t="str">
        <f>VLOOKUP($E774,'Product Naming'!$A$1:$P$58,15,FALSE)</f>
        <v>Pyruvate</v>
      </c>
      <c r="AG774" s="30" t="str">
        <f>VLOOKUP($E774,'Product Naming'!$A$1:$P$58,16,FALSE)</f>
        <v>Proton symporter</v>
      </c>
      <c r="AH774" s="3" t="str">
        <f>VLOOKUP($E774,'Product Naming'!$A$1:$Q$58,17,FALSE)</f>
        <v>ibutoh_c</v>
      </c>
      <c r="AI774" s="1">
        <f>VLOOKUP($E774,'Product Parameters'!$A$2:$D$59,2,FALSE)</f>
        <v>1</v>
      </c>
      <c r="AJ774" s="1">
        <f>VLOOKUP($E774,'Product Parameters'!$A$2:$D$59,3,FALSE)</f>
        <v>0</v>
      </c>
      <c r="AK774" s="1">
        <f>VLOOKUP($E774,'Product Parameters'!$A$2:$D$59,4,FALSE)</f>
        <v>0.12</v>
      </c>
      <c r="AL774" s="1">
        <f>VLOOKUP($E774,'Product Parameters'!$A$2:$E$59,5,FALSE)</f>
        <v>51</v>
      </c>
      <c r="AM774" s="1">
        <f>VLOOKUP($E774,'Product Parameters'!$A$2:$F$59,6,FALSE)</f>
        <v>5</v>
      </c>
      <c r="AN774" s="1">
        <f>VLOOKUP($C774,'Substrate Heating'!$A$2:$C$33,3,FALSE)</f>
        <v>269.26666666666665</v>
      </c>
      <c r="AO774" s="1">
        <f>VLOOKUP($C774,'Substrate Heating'!$A$2:$B$33,2,FALSE)</f>
        <v>13.919167510409219</v>
      </c>
      <c r="AP774" s="1">
        <f>VLOOKUP($C774,'Substrate Heating'!$A$2:$M$33,13,FALSE)</f>
        <v>1.3333333333333333</v>
      </c>
      <c r="AQ774" s="1">
        <f>VLOOKUP($C774,'Substrate Heating'!$A$2:$M$33,8,FALSE)</f>
        <v>0.66666666666666663</v>
      </c>
      <c r="AR774" s="1">
        <f t="shared" si="12"/>
        <v>0.9375</v>
      </c>
    </row>
    <row r="775" spans="1:44" x14ac:dyDescent="0.2">
      <c r="A775" s="17" t="s">
        <v>323</v>
      </c>
      <c r="B775" s="18" t="s">
        <v>324</v>
      </c>
      <c r="C775" t="s">
        <v>336</v>
      </c>
      <c r="D775" s="19" t="s">
        <v>326</v>
      </c>
      <c r="E775" t="s">
        <v>81</v>
      </c>
      <c r="F775" t="s">
        <v>73</v>
      </c>
      <c r="G775">
        <v>-10</v>
      </c>
      <c r="H775">
        <v>0</v>
      </c>
      <c r="I775">
        <v>-20</v>
      </c>
      <c r="J775">
        <v>0.45</v>
      </c>
      <c r="K775">
        <v>-10</v>
      </c>
      <c r="L775">
        <v>0</v>
      </c>
      <c r="M775">
        <v>-20</v>
      </c>
      <c r="N775">
        <v>0</v>
      </c>
      <c r="O775">
        <v>3.0933333333333302</v>
      </c>
      <c r="P775"/>
      <c r="Q775">
        <v>0.30933333333333302</v>
      </c>
      <c r="R775" s="20">
        <v>0.371260668131282</v>
      </c>
      <c r="S775" s="1" t="str">
        <f>VLOOKUP($E775,'Product Naming'!$A$1:$P$58,2,FALSE)</f>
        <v>1-propanol-PW2</v>
      </c>
      <c r="T775" s="1" t="str">
        <f>VLOOKUP($E775,'Product Naming'!$A$1:$P$58,3,FALSE)</f>
        <v>1-Propanol (PW2)</v>
      </c>
      <c r="U775" s="1" t="str">
        <f>VLOOKUP($E775,'Product Naming'!$A$1:$P$58,4,FALSE)</f>
        <v>E-S</v>
      </c>
      <c r="V775" s="1" t="str">
        <f>VLOOKUP($E775,'Product Naming'!$A$1:$P$58,5,FALSE)</f>
        <v>C3H8O</v>
      </c>
      <c r="W775" s="1">
        <f>VLOOKUP($E775,'Product Naming'!$A$1:$P$58,6,FALSE)</f>
        <v>3</v>
      </c>
      <c r="X775" s="1">
        <f>VLOOKUP($E775,'Product Naming'!$A$1:$P$58,7,FALSE)</f>
        <v>8</v>
      </c>
      <c r="Y775" s="1">
        <f>VLOOKUP($E775,'Product Naming'!$A$1:$P$58,8,FALSE)</f>
        <v>1</v>
      </c>
      <c r="Z775" s="1">
        <f>VLOOKUP($E775,'Product Naming'!$A$1:$P$58,9,FALSE)</f>
        <v>0</v>
      </c>
      <c r="AA775" s="1">
        <f>VLOOKUP($E775,'Product Naming'!$A$1:$P$58,10,FALSE)</f>
        <v>0</v>
      </c>
      <c r="AB775" s="29">
        <f>VLOOKUP($E775,'Product Naming'!$A$1:$P$58,11,FALSE)</f>
        <v>6</v>
      </c>
      <c r="AC775" s="3">
        <f>VLOOKUP($E775,'Product Naming'!$A$1:$P$58,12,FALSE)</f>
        <v>60.093820000000001</v>
      </c>
      <c r="AD775" s="1">
        <f>VLOOKUP($E775,'Product Naming'!$A$1:$P$58,13,FALSE)</f>
        <v>97</v>
      </c>
      <c r="AE775" s="1" t="str">
        <f>VLOOKUP($E775,'Product Naming'!$A$1:$P$58,14,FALSE)</f>
        <v>Alcohol</v>
      </c>
      <c r="AF775" s="1" t="str">
        <f>VLOOKUP($E775,'Product Naming'!$A$1:$P$58,15,FALSE)</f>
        <v>Oxaloacetate</v>
      </c>
      <c r="AG775" s="30" t="str">
        <f>VLOOKUP($E775,'Product Naming'!$A$1:$P$58,16,FALSE)</f>
        <v>Proton symporter</v>
      </c>
      <c r="AH775" s="3" t="str">
        <f>VLOOKUP($E775,'Product Naming'!$A$1:$Q$58,17,FALSE)</f>
        <v>ppoh_c</v>
      </c>
      <c r="AI775" s="1">
        <f>VLOOKUP($E775,'Product Parameters'!$A$2:$D$59,2,FALSE)</f>
        <v>1</v>
      </c>
      <c r="AJ775" s="1">
        <f>VLOOKUP($E775,'Product Parameters'!$A$2:$D$59,3,FALSE)</f>
        <v>0</v>
      </c>
      <c r="AK775" s="1">
        <f>VLOOKUP($E775,'Product Parameters'!$A$2:$D$59,4,FALSE)</f>
        <v>0.12</v>
      </c>
      <c r="AL775" s="1">
        <f>VLOOKUP($E775,'Product Parameters'!$A$2:$E$59,5,FALSE)</f>
        <v>47</v>
      </c>
      <c r="AM775" s="1">
        <f>VLOOKUP($E775,'Product Parameters'!$A$2:$F$59,6,FALSE)</f>
        <v>3</v>
      </c>
      <c r="AN775" s="1">
        <f>VLOOKUP($C775,'Substrate Heating'!$A$2:$C$33,3,FALSE)</f>
        <v>245.86666666666667</v>
      </c>
      <c r="AO775" s="1">
        <f>VLOOKUP($C775,'Substrate Heating'!$A$2:$B$33,2,FALSE)</f>
        <v>15.038360459876978</v>
      </c>
      <c r="AP775" s="1">
        <f>VLOOKUP($C775,'Substrate Heating'!$A$2:$M$33,13,FALSE)</f>
        <v>0.33333333333333331</v>
      </c>
      <c r="AQ775" s="1">
        <f>VLOOKUP($C775,'Substrate Heating'!$A$2:$M$33,8,FALSE)</f>
        <v>0.33333333333333331</v>
      </c>
      <c r="AR775" s="1">
        <f t="shared" si="12"/>
        <v>2.7839999999999971</v>
      </c>
    </row>
    <row r="776" spans="1:44" x14ac:dyDescent="0.2">
      <c r="A776" s="8" t="s">
        <v>34</v>
      </c>
      <c r="B776" s="9" t="s">
        <v>35</v>
      </c>
      <c r="C776" s="1" t="s">
        <v>346</v>
      </c>
      <c r="D776" s="23" t="s">
        <v>338</v>
      </c>
      <c r="E776" s="1" t="s">
        <v>151</v>
      </c>
      <c r="F776" s="1" t="s">
        <v>152</v>
      </c>
      <c r="G776" s="1">
        <v>-10</v>
      </c>
      <c r="H776" s="1">
        <v>-20</v>
      </c>
      <c r="I776" s="1" t="s">
        <v>40</v>
      </c>
      <c r="J776" s="1">
        <v>3.15</v>
      </c>
      <c r="K776" s="1">
        <v>-10</v>
      </c>
      <c r="L776" s="1">
        <v>-3.0175862068965502</v>
      </c>
      <c r="M776" s="1" t="s">
        <v>40</v>
      </c>
      <c r="N776" s="1">
        <v>1.1241379310344799</v>
      </c>
      <c r="O776" s="1">
        <v>0.221896551724138</v>
      </c>
      <c r="Q776" s="1">
        <v>2.2189655172413801E-2</v>
      </c>
      <c r="R776" s="1">
        <v>0.37180088583319298</v>
      </c>
      <c r="S776" s="1" t="str">
        <f>VLOOKUP($E776,'Product Naming'!$A$1:$P$58,2,FALSE)</f>
        <v>BetaCarotene</v>
      </c>
      <c r="T776" s="1" t="str">
        <f>VLOOKUP($E776,'Product Naming'!$A$1:$P$58,3,FALSE)</f>
        <v>Beta carotene</v>
      </c>
      <c r="U776" s="1" t="str">
        <f>VLOOKUP($E776,'Product Naming'!$A$1:$P$58,4,FALSE)</f>
        <v>A</v>
      </c>
      <c r="V776" s="1" t="str">
        <f>VLOOKUP($E776,'Product Naming'!$A$1:$P$58,5,FALSE)</f>
        <v>C40H56</v>
      </c>
      <c r="W776" s="1">
        <f>VLOOKUP($E776,'Product Naming'!$A$1:$P$58,6,FALSE)</f>
        <v>40</v>
      </c>
      <c r="X776" s="1">
        <f>VLOOKUP($E776,'Product Naming'!$A$1:$P$58,7,FALSE)</f>
        <v>56</v>
      </c>
      <c r="Y776" s="1">
        <f>VLOOKUP($E776,'Product Naming'!$A$1:$P$58,8,FALSE)</f>
        <v>0</v>
      </c>
      <c r="Z776" s="1">
        <f>VLOOKUP($E776,'Product Naming'!$A$1:$P$58,9,FALSE)</f>
        <v>0</v>
      </c>
      <c r="AA776" s="1">
        <f>VLOOKUP($E776,'Product Naming'!$A$1:$P$58,10,FALSE)</f>
        <v>0</v>
      </c>
      <c r="AB776" s="29">
        <f>VLOOKUP($E776,'Product Naming'!$A$1:$P$58,11,FALSE)</f>
        <v>5.4</v>
      </c>
      <c r="AC776" s="3">
        <f>VLOOKUP($E776,'Product Naming'!$A$1:$P$58,12,FALSE)</f>
        <v>536.86703999999997</v>
      </c>
      <c r="AD776" s="1">
        <f>VLOOKUP($E776,'Product Naming'!$A$1:$P$58,13,FALSE)</f>
        <v>633</v>
      </c>
      <c r="AE776" s="1" t="str">
        <f>VLOOKUP($E776,'Product Naming'!$A$1:$P$58,14,FALSE)</f>
        <v>Hydrocarbon</v>
      </c>
      <c r="AF776" s="1" t="str">
        <f>VLOOKUP($E776,'Product Naming'!$A$1:$P$58,15,FALSE)</f>
        <v>Acetyl-CoA</v>
      </c>
      <c r="AG776" s="30" t="str">
        <f>VLOOKUP($E776,'Product Naming'!$A$1:$P$58,16,FALSE)</f>
        <v>ABC Transporter</v>
      </c>
      <c r="AH776" s="3" t="str">
        <f>VLOOKUP($E776,'Product Naming'!$A$1:$Q$58,17,FALSE)</f>
        <v>caro_c</v>
      </c>
      <c r="AI776" s="1">
        <f>VLOOKUP($E776,'Product Parameters'!$A$2:$D$59,2,FALSE)</f>
        <v>1</v>
      </c>
      <c r="AJ776" s="1">
        <f>VLOOKUP($E776,'Product Parameters'!$A$2:$D$59,3,FALSE)</f>
        <v>0</v>
      </c>
      <c r="AK776" s="1">
        <f>VLOOKUP($E776,'Product Parameters'!$A$2:$D$59,4,FALSE)</f>
        <v>0.12</v>
      </c>
      <c r="AL776" s="1">
        <f>VLOOKUP($E776,'Product Parameters'!$A$2:$E$59,5,FALSE)</f>
        <v>40.65</v>
      </c>
      <c r="AM776" s="1">
        <f>VLOOKUP($E776,'Product Parameters'!$A$2:$F$59,6,FALSE)</f>
        <v>40</v>
      </c>
      <c r="AN776" s="1">
        <f>VLOOKUP($C776,'Substrate Heating'!$A$2:$C$33,3,FALSE)</f>
        <v>638.57832580000002</v>
      </c>
      <c r="AO776" s="1">
        <f>VLOOKUP($C776,'Substrate Heating'!$A$2:$B$33,2,FALSE)</f>
        <v>19.93</v>
      </c>
      <c r="AP776" s="1">
        <f>VLOOKUP($C776,'Substrate Heating'!$A$2:$M$33,13,FALSE)</f>
        <v>6</v>
      </c>
      <c r="AQ776" s="1">
        <f>VLOOKUP($C776,'Substrate Heating'!$A$2:$M$33,8,FALSE)</f>
        <v>1</v>
      </c>
      <c r="AR776" s="1">
        <f t="shared" si="12"/>
        <v>0.8875862068965521</v>
      </c>
    </row>
    <row r="777" spans="1:44" x14ac:dyDescent="0.2">
      <c r="A777" s="8" t="s">
        <v>34</v>
      </c>
      <c r="B777" s="9" t="s">
        <v>35</v>
      </c>
      <c r="C777" s="1" t="s">
        <v>347</v>
      </c>
      <c r="D777" s="23" t="s">
        <v>338</v>
      </c>
      <c r="E777" s="1" t="s">
        <v>151</v>
      </c>
      <c r="F777" s="1" t="s">
        <v>152</v>
      </c>
      <c r="G777" s="1">
        <v>-10</v>
      </c>
      <c r="H777" s="1">
        <v>-20</v>
      </c>
      <c r="I777" s="1" t="s">
        <v>40</v>
      </c>
      <c r="J777" s="1">
        <v>3.15</v>
      </c>
      <c r="K777" s="1">
        <v>-10</v>
      </c>
      <c r="L777" s="1">
        <v>-3.0175862068965502</v>
      </c>
      <c r="M777" s="1" t="s">
        <v>40</v>
      </c>
      <c r="N777" s="1">
        <v>1.1241379310344899</v>
      </c>
      <c r="O777" s="1">
        <v>0.221896551724138</v>
      </c>
      <c r="Q777" s="1">
        <v>2.2189655172413801E-2</v>
      </c>
      <c r="R777" s="1">
        <v>0.37180088583319298</v>
      </c>
      <c r="S777" s="1" t="str">
        <f>VLOOKUP($E777,'Product Naming'!$A$1:$P$58,2,FALSE)</f>
        <v>BetaCarotene</v>
      </c>
      <c r="T777" s="1" t="str">
        <f>VLOOKUP($E777,'Product Naming'!$A$1:$P$58,3,FALSE)</f>
        <v>Beta carotene</v>
      </c>
      <c r="U777" s="1" t="str">
        <f>VLOOKUP($E777,'Product Naming'!$A$1:$P$58,4,FALSE)</f>
        <v>A</v>
      </c>
      <c r="V777" s="1" t="str">
        <f>VLOOKUP($E777,'Product Naming'!$A$1:$P$58,5,FALSE)</f>
        <v>C40H56</v>
      </c>
      <c r="W777" s="1">
        <f>VLOOKUP($E777,'Product Naming'!$A$1:$P$58,6,FALSE)</f>
        <v>40</v>
      </c>
      <c r="X777" s="1">
        <f>VLOOKUP($E777,'Product Naming'!$A$1:$P$58,7,FALSE)</f>
        <v>56</v>
      </c>
      <c r="Y777" s="1">
        <f>VLOOKUP($E777,'Product Naming'!$A$1:$P$58,8,FALSE)</f>
        <v>0</v>
      </c>
      <c r="Z777" s="1">
        <f>VLOOKUP($E777,'Product Naming'!$A$1:$P$58,9,FALSE)</f>
        <v>0</v>
      </c>
      <c r="AA777" s="1">
        <f>VLOOKUP($E777,'Product Naming'!$A$1:$P$58,10,FALSE)</f>
        <v>0</v>
      </c>
      <c r="AB777" s="29">
        <f>VLOOKUP($E777,'Product Naming'!$A$1:$P$58,11,FALSE)</f>
        <v>5.4</v>
      </c>
      <c r="AC777" s="3">
        <f>VLOOKUP($E777,'Product Naming'!$A$1:$P$58,12,FALSE)</f>
        <v>536.86703999999997</v>
      </c>
      <c r="AD777" s="1">
        <f>VLOOKUP($E777,'Product Naming'!$A$1:$P$58,13,FALSE)</f>
        <v>633</v>
      </c>
      <c r="AE777" s="1" t="str">
        <f>VLOOKUP($E777,'Product Naming'!$A$1:$P$58,14,FALSE)</f>
        <v>Hydrocarbon</v>
      </c>
      <c r="AF777" s="1" t="str">
        <f>VLOOKUP($E777,'Product Naming'!$A$1:$P$58,15,FALSE)</f>
        <v>Acetyl-CoA</v>
      </c>
      <c r="AG777" s="30" t="str">
        <f>VLOOKUP($E777,'Product Naming'!$A$1:$P$58,16,FALSE)</f>
        <v>ABC Transporter</v>
      </c>
      <c r="AH777" s="3" t="str">
        <f>VLOOKUP($E777,'Product Naming'!$A$1:$Q$58,17,FALSE)</f>
        <v>caro_c</v>
      </c>
      <c r="AI777" s="1">
        <f>VLOOKUP($E777,'Product Parameters'!$A$2:$D$59,2,FALSE)</f>
        <v>1</v>
      </c>
      <c r="AJ777" s="1">
        <f>VLOOKUP($E777,'Product Parameters'!$A$2:$D$59,3,FALSE)</f>
        <v>0</v>
      </c>
      <c r="AK777" s="1">
        <f>VLOOKUP($E777,'Product Parameters'!$A$2:$D$59,4,FALSE)</f>
        <v>0.12</v>
      </c>
      <c r="AL777" s="1">
        <f>VLOOKUP($E777,'Product Parameters'!$A$2:$E$59,5,FALSE)</f>
        <v>40.65</v>
      </c>
      <c r="AM777" s="1">
        <f>VLOOKUP($E777,'Product Parameters'!$A$2:$F$59,6,FALSE)</f>
        <v>40</v>
      </c>
      <c r="AN777" s="1">
        <f>VLOOKUP($C777,'Substrate Heating'!$A$2:$C$33,3,FALSE)</f>
        <v>638.57832580000002</v>
      </c>
      <c r="AO777" s="1">
        <f>VLOOKUP($C777,'Substrate Heating'!$A$2:$B$33,2,FALSE)</f>
        <v>19.93</v>
      </c>
      <c r="AP777" s="1">
        <f>VLOOKUP($C777,'Substrate Heating'!$A$2:$M$33,13,FALSE)</f>
        <v>6</v>
      </c>
      <c r="AQ777" s="1">
        <f>VLOOKUP($C777,'Substrate Heating'!$A$2:$M$33,8,FALSE)</f>
        <v>1</v>
      </c>
      <c r="AR777" s="1">
        <f t="shared" si="12"/>
        <v>0.8875862068965521</v>
      </c>
    </row>
    <row r="778" spans="1:44" x14ac:dyDescent="0.2">
      <c r="A778" s="17" t="s">
        <v>231</v>
      </c>
      <c r="B778" s="9" t="s">
        <v>35</v>
      </c>
      <c r="C778" t="s">
        <v>346</v>
      </c>
      <c r="D778" s="23" t="s">
        <v>338</v>
      </c>
      <c r="E778" t="s">
        <v>279</v>
      </c>
      <c r="F778" t="s">
        <v>280</v>
      </c>
      <c r="G778">
        <v>-10</v>
      </c>
      <c r="H778">
        <v>-20</v>
      </c>
      <c r="I778" s="1" t="s">
        <v>40</v>
      </c>
      <c r="J778">
        <v>3.15</v>
      </c>
      <c r="K778">
        <v>-10</v>
      </c>
      <c r="L778">
        <v>-1.9850162866449499</v>
      </c>
      <c r="M778" s="1" t="s">
        <v>40</v>
      </c>
      <c r="N778">
        <v>1.6332247557003201</v>
      </c>
      <c r="O778">
        <v>0.92964169381107398</v>
      </c>
      <c r="P778"/>
      <c r="Q778">
        <v>9.2964169381107506E-2</v>
      </c>
      <c r="R778">
        <v>0.37211449658819401</v>
      </c>
      <c r="S778" s="1" t="str">
        <f>VLOOKUP($E778,'Product Naming'!$A$1:$P$58,2,FALSE)</f>
        <v>Nonane</v>
      </c>
      <c r="T778" s="1" t="str">
        <f>VLOOKUP($E778,'Product Naming'!$A$1:$P$58,3,FALSE)</f>
        <v>Nonane</v>
      </c>
      <c r="U778" s="1" t="str">
        <f>VLOOKUP($E778,'Product Naming'!$A$1:$P$58,4,FALSE)</f>
        <v>E</v>
      </c>
      <c r="V778" s="1" t="str">
        <f>VLOOKUP($E778,'Product Naming'!$A$1:$P$58,5,FALSE)</f>
        <v>C9H20</v>
      </c>
      <c r="W778" s="1">
        <f>VLOOKUP($E778,'Product Naming'!$A$1:$P$58,6,FALSE)</f>
        <v>9</v>
      </c>
      <c r="X778" s="1">
        <f>VLOOKUP($E778,'Product Naming'!$A$1:$P$58,7,FALSE)</f>
        <v>20</v>
      </c>
      <c r="Y778" s="1">
        <f>VLOOKUP($E778,'Product Naming'!$A$1:$P$58,8,FALSE)</f>
        <v>0</v>
      </c>
      <c r="Z778" s="1">
        <f>VLOOKUP($E778,'Product Naming'!$A$1:$P$58,9,FALSE)</f>
        <v>0</v>
      </c>
      <c r="AA778" s="1">
        <f>VLOOKUP($E778,'Product Naming'!$A$1:$P$58,10,FALSE)</f>
        <v>0</v>
      </c>
      <c r="AB778" s="29">
        <f>VLOOKUP($E778,'Product Naming'!$A$1:$P$58,11,FALSE)</f>
        <v>6.2222222222222223</v>
      </c>
      <c r="AC778" s="3">
        <f>VLOOKUP($E778,'Product Naming'!$A$1:$P$58,12,FALSE)</f>
        <v>128.25309999999999</v>
      </c>
      <c r="AD778" s="1">
        <f>VLOOKUP($E778,'Product Naming'!$A$1:$P$58,13,FALSE)</f>
        <v>151</v>
      </c>
      <c r="AE778" s="1" t="str">
        <f>VLOOKUP($E778,'Product Naming'!$A$1:$P$58,14,FALSE)</f>
        <v>Hydrocarbon (alkane)</v>
      </c>
      <c r="AF778" s="1" t="str">
        <f>VLOOKUP($E778,'Product Naming'!$A$1:$P$58,15,FALSE)</f>
        <v>Acetyl-CoA</v>
      </c>
      <c r="AG778" s="30" t="str">
        <f>VLOOKUP($E778,'Product Naming'!$A$1:$P$58,16,FALSE)</f>
        <v>Proton symporter</v>
      </c>
      <c r="AH778" s="3" t="str">
        <f>VLOOKUP($E778,'Product Naming'!$A$1:$Q$58,17,FALSE)</f>
        <v>nonan_c</v>
      </c>
      <c r="AI778" s="1">
        <f>VLOOKUP($E778,'Product Parameters'!$A$2:$D$59,2,FALSE)</f>
        <v>1</v>
      </c>
      <c r="AJ778" s="1">
        <f>VLOOKUP($E778,'Product Parameters'!$A$2:$D$59,3,FALSE)</f>
        <v>0</v>
      </c>
      <c r="AK778" s="1">
        <f>VLOOKUP($E778,'Product Parameters'!$A$2:$D$59,4,FALSE)</f>
        <v>0.12</v>
      </c>
      <c r="AL778" s="1">
        <f>VLOOKUP($E778,'Product Parameters'!$A$2:$E$59,5,FALSE)</f>
        <v>46.5</v>
      </c>
      <c r="AM778" s="1">
        <f>VLOOKUP($E778,'Product Parameters'!$A$2:$F$59,6,FALSE)</f>
        <v>9</v>
      </c>
      <c r="AN778" s="1">
        <f>VLOOKUP($C778,'Substrate Heating'!$A$2:$C$33,3,FALSE)</f>
        <v>638.57832580000002</v>
      </c>
      <c r="AO778" s="1">
        <f>VLOOKUP($C778,'Substrate Heating'!$A$2:$B$33,2,FALSE)</f>
        <v>19.93</v>
      </c>
      <c r="AP778" s="1">
        <f>VLOOKUP($C778,'Substrate Heating'!$A$2:$M$33,13,FALSE)</f>
        <v>6</v>
      </c>
      <c r="AQ778" s="1">
        <f>VLOOKUP($C778,'Substrate Heating'!$A$2:$M$33,8,FALSE)</f>
        <v>1</v>
      </c>
      <c r="AR778" s="1">
        <f t="shared" si="12"/>
        <v>0.83667752442996757</v>
      </c>
    </row>
    <row r="779" spans="1:44" x14ac:dyDescent="0.2">
      <c r="A779" s="17" t="s">
        <v>231</v>
      </c>
      <c r="B779" s="9" t="s">
        <v>35</v>
      </c>
      <c r="C779" t="s">
        <v>347</v>
      </c>
      <c r="D779" s="23" t="s">
        <v>338</v>
      </c>
      <c r="E779" t="s">
        <v>279</v>
      </c>
      <c r="F779" t="s">
        <v>280</v>
      </c>
      <c r="G779">
        <v>-10</v>
      </c>
      <c r="H779">
        <v>-20</v>
      </c>
      <c r="I779" s="1" t="s">
        <v>40</v>
      </c>
      <c r="J779">
        <v>3.15</v>
      </c>
      <c r="K779">
        <v>-10</v>
      </c>
      <c r="L779">
        <v>-1.9850162866449499</v>
      </c>
      <c r="M779" s="1" t="s">
        <v>40</v>
      </c>
      <c r="N779">
        <v>1.6332247557003301</v>
      </c>
      <c r="O779">
        <v>0.92964169381107498</v>
      </c>
      <c r="P779"/>
      <c r="Q779">
        <v>9.2964169381107506E-2</v>
      </c>
      <c r="R779">
        <v>0.37211449658819401</v>
      </c>
      <c r="S779" s="1" t="str">
        <f>VLOOKUP($E779,'Product Naming'!$A$1:$P$58,2,FALSE)</f>
        <v>Nonane</v>
      </c>
      <c r="T779" s="1" t="str">
        <f>VLOOKUP($E779,'Product Naming'!$A$1:$P$58,3,FALSE)</f>
        <v>Nonane</v>
      </c>
      <c r="U779" s="1" t="str">
        <f>VLOOKUP($E779,'Product Naming'!$A$1:$P$58,4,FALSE)</f>
        <v>E</v>
      </c>
      <c r="V779" s="1" t="str">
        <f>VLOOKUP($E779,'Product Naming'!$A$1:$P$58,5,FALSE)</f>
        <v>C9H20</v>
      </c>
      <c r="W779" s="1">
        <f>VLOOKUP($E779,'Product Naming'!$A$1:$P$58,6,FALSE)</f>
        <v>9</v>
      </c>
      <c r="X779" s="1">
        <f>VLOOKUP($E779,'Product Naming'!$A$1:$P$58,7,FALSE)</f>
        <v>20</v>
      </c>
      <c r="Y779" s="1">
        <f>VLOOKUP($E779,'Product Naming'!$A$1:$P$58,8,FALSE)</f>
        <v>0</v>
      </c>
      <c r="Z779" s="1">
        <f>VLOOKUP($E779,'Product Naming'!$A$1:$P$58,9,FALSE)</f>
        <v>0</v>
      </c>
      <c r="AA779" s="1">
        <f>VLOOKUP($E779,'Product Naming'!$A$1:$P$58,10,FALSE)</f>
        <v>0</v>
      </c>
      <c r="AB779" s="29">
        <f>VLOOKUP($E779,'Product Naming'!$A$1:$P$58,11,FALSE)</f>
        <v>6.2222222222222223</v>
      </c>
      <c r="AC779" s="3">
        <f>VLOOKUP($E779,'Product Naming'!$A$1:$P$58,12,FALSE)</f>
        <v>128.25309999999999</v>
      </c>
      <c r="AD779" s="1">
        <f>VLOOKUP($E779,'Product Naming'!$A$1:$P$58,13,FALSE)</f>
        <v>151</v>
      </c>
      <c r="AE779" s="1" t="str">
        <f>VLOOKUP($E779,'Product Naming'!$A$1:$P$58,14,FALSE)</f>
        <v>Hydrocarbon (alkane)</v>
      </c>
      <c r="AF779" s="1" t="str">
        <f>VLOOKUP($E779,'Product Naming'!$A$1:$P$58,15,FALSE)</f>
        <v>Acetyl-CoA</v>
      </c>
      <c r="AG779" s="30" t="str">
        <f>VLOOKUP($E779,'Product Naming'!$A$1:$P$58,16,FALSE)</f>
        <v>Proton symporter</v>
      </c>
      <c r="AH779" s="3" t="str">
        <f>VLOOKUP($E779,'Product Naming'!$A$1:$Q$58,17,FALSE)</f>
        <v>nonan_c</v>
      </c>
      <c r="AI779" s="1">
        <f>VLOOKUP($E779,'Product Parameters'!$A$2:$D$59,2,FALSE)</f>
        <v>1</v>
      </c>
      <c r="AJ779" s="1">
        <f>VLOOKUP($E779,'Product Parameters'!$A$2:$D$59,3,FALSE)</f>
        <v>0</v>
      </c>
      <c r="AK779" s="1">
        <f>VLOOKUP($E779,'Product Parameters'!$A$2:$D$59,4,FALSE)</f>
        <v>0.12</v>
      </c>
      <c r="AL779" s="1">
        <f>VLOOKUP($E779,'Product Parameters'!$A$2:$E$59,5,FALSE)</f>
        <v>46.5</v>
      </c>
      <c r="AM779" s="1">
        <f>VLOOKUP($E779,'Product Parameters'!$A$2:$F$59,6,FALSE)</f>
        <v>9</v>
      </c>
      <c r="AN779" s="1">
        <f>VLOOKUP($C779,'Substrate Heating'!$A$2:$C$33,3,FALSE)</f>
        <v>638.57832580000002</v>
      </c>
      <c r="AO779" s="1">
        <f>VLOOKUP($C779,'Substrate Heating'!$A$2:$B$33,2,FALSE)</f>
        <v>19.93</v>
      </c>
      <c r="AP779" s="1">
        <f>VLOOKUP($C779,'Substrate Heating'!$A$2:$M$33,13,FALSE)</f>
        <v>6</v>
      </c>
      <c r="AQ779" s="1">
        <f>VLOOKUP($C779,'Substrate Heating'!$A$2:$M$33,8,FALSE)</f>
        <v>1</v>
      </c>
      <c r="AR779" s="1">
        <f t="shared" si="12"/>
        <v>0.83667752442996757</v>
      </c>
    </row>
    <row r="780" spans="1:44" x14ac:dyDescent="0.2">
      <c r="A780" s="8" t="s">
        <v>816</v>
      </c>
      <c r="B780" s="18" t="s">
        <v>324</v>
      </c>
      <c r="C780" t="s">
        <v>815</v>
      </c>
      <c r="D780" s="19" t="s">
        <v>326</v>
      </c>
      <c r="E780" t="s">
        <v>119</v>
      </c>
      <c r="F780" t="s">
        <v>120</v>
      </c>
      <c r="G780">
        <v>-10</v>
      </c>
      <c r="H780">
        <v>0</v>
      </c>
      <c r="I780">
        <v>0</v>
      </c>
      <c r="J780">
        <v>0.45</v>
      </c>
      <c r="K780">
        <v>25</v>
      </c>
      <c r="L780">
        <v>0</v>
      </c>
      <c r="M780">
        <v>0</v>
      </c>
      <c r="N780">
        <v>25</v>
      </c>
      <c r="O780">
        <v>5</v>
      </c>
      <c r="P780"/>
      <c r="Q780">
        <v>0.2</v>
      </c>
      <c r="R780">
        <v>0.37217648199999998</v>
      </c>
      <c r="S780" s="1" t="str">
        <f>VLOOKUP($E780,'Product Naming'!$A$1:$P$58,2,FALSE)</f>
        <v>Acetone</v>
      </c>
      <c r="T780" s="1" t="str">
        <f>VLOOKUP($E780,'Product Naming'!$A$1:$P$58,3,FALSE)</f>
        <v>Acetone</v>
      </c>
      <c r="U780" s="1" t="str">
        <f>VLOOKUP($E780,'Product Naming'!$A$1:$P$58,4,FALSE)</f>
        <v>A</v>
      </c>
      <c r="V780" s="1" t="str">
        <f>VLOOKUP($E780,'Product Naming'!$A$1:$P$58,5,FALSE)</f>
        <v>C3H6O</v>
      </c>
      <c r="W780" s="1">
        <f>VLOOKUP($E780,'Product Naming'!$A$1:$P$58,6,FALSE)</f>
        <v>3</v>
      </c>
      <c r="X780" s="1">
        <f>VLOOKUP($E780,'Product Naming'!$A$1:$P$58,7,FALSE)</f>
        <v>6</v>
      </c>
      <c r="Y780" s="1">
        <f>VLOOKUP($E780,'Product Naming'!$A$1:$P$58,8,FALSE)</f>
        <v>1</v>
      </c>
      <c r="Z780" s="1">
        <f>VLOOKUP($E780,'Product Naming'!$A$1:$P$58,9,FALSE)</f>
        <v>0</v>
      </c>
      <c r="AA780" s="1">
        <f>VLOOKUP($E780,'Product Naming'!$A$1:$P$58,10,FALSE)</f>
        <v>0</v>
      </c>
      <c r="AB780" s="29">
        <f>VLOOKUP($E780,'Product Naming'!$A$1:$P$58,11,FALSE)</f>
        <v>5.333333333333333</v>
      </c>
      <c r="AC780" s="3">
        <f>VLOOKUP($E780,'Product Naming'!$A$1:$P$58,12,FALSE)</f>
        <v>58.078140000000005</v>
      </c>
      <c r="AD780" s="1">
        <f>VLOOKUP($E780,'Product Naming'!$A$1:$P$58,13,FALSE)</f>
        <v>56</v>
      </c>
      <c r="AE780" s="1" t="str">
        <f>VLOOKUP($E780,'Product Naming'!$A$1:$P$58,14,FALSE)</f>
        <v>Ketone</v>
      </c>
      <c r="AF780" s="1" t="str">
        <f>VLOOKUP($E780,'Product Naming'!$A$1:$P$58,15,FALSE)</f>
        <v>Acetyl-CoA</v>
      </c>
      <c r="AG780" s="30" t="str">
        <f>VLOOKUP($E780,'Product Naming'!$A$1:$P$58,16,FALSE)</f>
        <v>Proton symporter</v>
      </c>
      <c r="AH780" s="3" t="str">
        <f>VLOOKUP($E780,'Product Naming'!$A$1:$Q$58,17,FALSE)</f>
        <v>acetone_c</v>
      </c>
      <c r="AI780" s="1">
        <f>VLOOKUP($E780,'Product Parameters'!$A$2:$D$59,2,FALSE)</f>
        <v>1</v>
      </c>
      <c r="AJ780" s="1">
        <f>VLOOKUP($E780,'Product Parameters'!$A$2:$D$59,3,FALSE)</f>
        <v>0</v>
      </c>
      <c r="AK780" s="1">
        <f>VLOOKUP($E780,'Product Parameters'!$A$2:$D$59,4,FALSE)</f>
        <v>0.12</v>
      </c>
      <c r="AL780" s="1">
        <f>VLOOKUP($E780,'Product Parameters'!$A$2:$E$59,5,FALSE)</f>
        <v>31.3</v>
      </c>
      <c r="AM780" s="1">
        <f>VLOOKUP($E780,'Product Parameters'!$A$2:$F$59,6,FALSE)</f>
        <v>3</v>
      </c>
      <c r="AN780" s="1">
        <f>VLOOKUP($C780,'Substrate Heating'!$A$2:$C$33,3,FALSE)</f>
        <v>226.4</v>
      </c>
      <c r="AO780" s="1">
        <f>VLOOKUP($C780,'Substrate Heating'!$A$2:$B$33,2,FALSE)</f>
        <v>7.2542014450728134</v>
      </c>
      <c r="AP780" s="1">
        <f>VLOOKUP($C780,'Substrate Heating'!$A$2:$M$33,13,FALSE)</f>
        <v>1.6</v>
      </c>
      <c r="AQ780" s="1">
        <f>VLOOKUP($C780,'Substrate Heating'!$A$2:$M$33,8,FALSE)</f>
        <v>1</v>
      </c>
      <c r="AR780" s="1">
        <f t="shared" si="12"/>
        <v>0.60000000000000009</v>
      </c>
    </row>
    <row r="781" spans="1:44" x14ac:dyDescent="0.2">
      <c r="A781" s="17" t="s">
        <v>323</v>
      </c>
      <c r="B781" s="18" t="s">
        <v>324</v>
      </c>
      <c r="C781" t="s">
        <v>329</v>
      </c>
      <c r="D781" s="19" t="s">
        <v>326</v>
      </c>
      <c r="E781" t="s">
        <v>306</v>
      </c>
      <c r="F781" t="s">
        <v>302</v>
      </c>
      <c r="G781">
        <v>-10</v>
      </c>
      <c r="H781">
        <v>0</v>
      </c>
      <c r="I781">
        <v>-20</v>
      </c>
      <c r="J781">
        <v>0.45</v>
      </c>
      <c r="K781">
        <v>-10</v>
      </c>
      <c r="L781">
        <v>0</v>
      </c>
      <c r="M781">
        <v>-20</v>
      </c>
      <c r="N781">
        <v>0.41052631578947801</v>
      </c>
      <c r="O781">
        <v>2.7052631578947399</v>
      </c>
      <c r="P781"/>
      <c r="Q781">
        <v>0.270526315789474</v>
      </c>
      <c r="R781" s="20">
        <v>0.37219373478939199</v>
      </c>
      <c r="S781" s="1" t="str">
        <f>VLOOKUP($E781,'Product Naming'!$A$1:$P$58,2,FALSE)</f>
        <v>Propane-PW2</v>
      </c>
      <c r="T781" s="1" t="str">
        <f>VLOOKUP($E781,'Product Naming'!$A$1:$P$58,3,FALSE)</f>
        <v>Propane (PW2)</v>
      </c>
      <c r="U781" s="1" t="str">
        <f>VLOOKUP($E781,'Product Naming'!$A$1:$P$58,4,FALSE)</f>
        <v>E</v>
      </c>
      <c r="V781" s="1" t="str">
        <f>VLOOKUP($E781,'Product Naming'!$A$1:$P$58,5,FALSE)</f>
        <v>C3H8</v>
      </c>
      <c r="W781" s="1">
        <f>VLOOKUP($E781,'Product Naming'!$A$1:$P$58,6,FALSE)</f>
        <v>3</v>
      </c>
      <c r="X781" s="1">
        <f>VLOOKUP($E781,'Product Naming'!$A$1:$P$58,7,FALSE)</f>
        <v>8</v>
      </c>
      <c r="Y781" s="1">
        <f>VLOOKUP($E781,'Product Naming'!$A$1:$P$58,8,FALSE)</f>
        <v>0</v>
      </c>
      <c r="Z781" s="1">
        <f>VLOOKUP($E781,'Product Naming'!$A$1:$P$58,9,FALSE)</f>
        <v>0</v>
      </c>
      <c r="AA781" s="1">
        <f>VLOOKUP($E781,'Product Naming'!$A$1:$P$58,10,FALSE)</f>
        <v>0</v>
      </c>
      <c r="AB781" s="29">
        <f>VLOOKUP($E781,'Product Naming'!$A$1:$P$58,11,FALSE)</f>
        <v>6.666666666666667</v>
      </c>
      <c r="AC781" s="3">
        <f>VLOOKUP($E781,'Product Naming'!$A$1:$P$58,12,FALSE)</f>
        <v>44.094819999999999</v>
      </c>
      <c r="AD781" s="1">
        <f>VLOOKUP($E781,'Product Naming'!$A$1:$P$58,13,FALSE)</f>
        <v>-42</v>
      </c>
      <c r="AE781" s="1" t="str">
        <f>VLOOKUP($E781,'Product Naming'!$A$1:$P$58,14,FALSE)</f>
        <v>Hydrocarbon</v>
      </c>
      <c r="AF781" s="1" t="str">
        <f>VLOOKUP($E781,'Product Naming'!$A$1:$P$58,15,FALSE)</f>
        <v>Oxaloacetate</v>
      </c>
      <c r="AG781" s="30" t="str">
        <f>VLOOKUP($E781,'Product Naming'!$A$1:$P$58,16,FALSE)</f>
        <v>Diffusion</v>
      </c>
      <c r="AH781" s="3" t="str">
        <f>VLOOKUP($E781,'Product Naming'!$A$1:$Q$58,17,FALSE)</f>
        <v>prop_c</v>
      </c>
      <c r="AI781" s="1">
        <f>VLOOKUP($E781,'Product Parameters'!$A$2:$D$59,2,FALSE)</f>
        <v>0</v>
      </c>
      <c r="AJ781" s="1">
        <f>VLOOKUP($E781,'Product Parameters'!$A$2:$D$59,3,FALSE)</f>
        <v>1</v>
      </c>
      <c r="AK781" s="1">
        <f>VLOOKUP($E781,'Product Parameters'!$A$2:$D$59,4,FALSE)</f>
        <v>0.12</v>
      </c>
      <c r="AL781" s="1">
        <f>VLOOKUP($E781,'Product Parameters'!$A$2:$E$59,5,FALSE)</f>
        <v>0</v>
      </c>
      <c r="AM781" s="1">
        <f>VLOOKUP($E781,'Product Parameters'!$A$2:$F$59,6,FALSE)</f>
        <v>3</v>
      </c>
      <c r="AN781" s="1">
        <f>VLOOKUP($C781,'Substrate Heating'!$A$2:$C$33,3,FALSE)</f>
        <v>255.53333333333336</v>
      </c>
      <c r="AO781" s="1">
        <f>VLOOKUP($C781,'Substrate Heating'!$A$2:$B$33,2,FALSE)</f>
        <v>23.925550527978785</v>
      </c>
      <c r="AP781" s="1">
        <f>VLOOKUP($C781,'Substrate Heating'!$A$2:$M$33,13,FALSE)</f>
        <v>0.66666666666666663</v>
      </c>
      <c r="AQ781" s="1">
        <f>VLOOKUP($C781,'Substrate Heating'!$A$2:$M$33,8,FALSE)</f>
        <v>0.33333333333333331</v>
      </c>
      <c r="AR781" s="1">
        <f t="shared" si="12"/>
        <v>2.4347368421052664</v>
      </c>
    </row>
    <row r="782" spans="1:44" x14ac:dyDescent="0.2">
      <c r="A782" s="8" t="s">
        <v>34</v>
      </c>
      <c r="B782" s="9" t="s">
        <v>35</v>
      </c>
      <c r="C782" s="1" t="s">
        <v>341</v>
      </c>
      <c r="D782" s="24" t="s">
        <v>342</v>
      </c>
      <c r="E782" s="1" t="s">
        <v>91</v>
      </c>
      <c r="F782" s="1" t="s">
        <v>92</v>
      </c>
      <c r="G782" s="1">
        <v>-10</v>
      </c>
      <c r="H782" s="1">
        <v>-20</v>
      </c>
      <c r="I782" s="1" t="s">
        <v>40</v>
      </c>
      <c r="J782" s="1">
        <v>3.15</v>
      </c>
      <c r="K782" s="1">
        <v>-10</v>
      </c>
      <c r="L782" s="1">
        <v>-2.9460431654676298</v>
      </c>
      <c r="M782" s="1" t="s">
        <v>40</v>
      </c>
      <c r="N782" s="1">
        <v>21.964028776978399</v>
      </c>
      <c r="O782" s="1">
        <v>7.6071942446043099</v>
      </c>
      <c r="Q782" s="1">
        <v>0.76071942446043095</v>
      </c>
      <c r="R782" s="1">
        <v>0.372211862129946</v>
      </c>
      <c r="S782" s="1" t="str">
        <f>VLOOKUP($E782,'Product Naming'!$A$1:$P$58,2,FALSE)</f>
        <v>2-Methyl-1-Butanol</v>
      </c>
      <c r="T782" s="1" t="str">
        <f>VLOOKUP($E782,'Product Naming'!$A$1:$P$58,3,FALSE)</f>
        <v>2-Methyl-1-butanol</v>
      </c>
      <c r="U782" s="1" t="str">
        <f>VLOOKUP($E782,'Product Naming'!$A$1:$P$58,4,FALSE)</f>
        <v>A</v>
      </c>
      <c r="V782" s="1" t="str">
        <f>VLOOKUP($E782,'Product Naming'!$A$1:$P$58,5,FALSE)</f>
        <v>C5H12O</v>
      </c>
      <c r="W782" s="1">
        <f>VLOOKUP($E782,'Product Naming'!$A$1:$P$58,6,FALSE)</f>
        <v>5</v>
      </c>
      <c r="X782" s="1">
        <f>VLOOKUP($E782,'Product Naming'!$A$1:$P$58,7,FALSE)</f>
        <v>12</v>
      </c>
      <c r="Y782" s="1">
        <f>VLOOKUP($E782,'Product Naming'!$A$1:$P$58,8,FALSE)</f>
        <v>1</v>
      </c>
      <c r="Z782" s="1">
        <f>VLOOKUP($E782,'Product Naming'!$A$1:$P$58,9,FALSE)</f>
        <v>0</v>
      </c>
      <c r="AA782" s="1">
        <f>VLOOKUP($E782,'Product Naming'!$A$1:$P$58,10,FALSE)</f>
        <v>0</v>
      </c>
      <c r="AB782" s="29">
        <f>VLOOKUP($E782,'Product Naming'!$A$1:$P$58,11,FALSE)</f>
        <v>6</v>
      </c>
      <c r="AC782" s="3">
        <f>VLOOKUP($E782,'Product Naming'!$A$1:$P$58,12,FALSE)</f>
        <v>88.14658</v>
      </c>
      <c r="AD782" s="1">
        <f>VLOOKUP($E782,'Product Naming'!$A$1:$P$58,13,FALSE)</f>
        <v>129</v>
      </c>
      <c r="AE782" s="1" t="str">
        <f>VLOOKUP($E782,'Product Naming'!$A$1:$P$58,14,FALSE)</f>
        <v>Alcohol</v>
      </c>
      <c r="AF782" s="1" t="str">
        <f>VLOOKUP($E782,'Product Naming'!$A$1:$P$58,15,FALSE)</f>
        <v>PEP</v>
      </c>
      <c r="AG782" s="30" t="str">
        <f>VLOOKUP($E782,'Product Naming'!$A$1:$P$58,16,FALSE)</f>
        <v>Proton symporter</v>
      </c>
      <c r="AH782" s="3" t="str">
        <f>VLOOKUP($E782,'Product Naming'!$A$1:$Q$58,17,FALSE)</f>
        <v>2mbtoh_c</v>
      </c>
      <c r="AI782" s="1">
        <f>VLOOKUP($E782,'Product Parameters'!$A$2:$D$59,2,FALSE)</f>
        <v>1</v>
      </c>
      <c r="AJ782" s="1">
        <f>VLOOKUP($E782,'Product Parameters'!$A$2:$D$59,3,FALSE)</f>
        <v>0</v>
      </c>
      <c r="AK782" s="1">
        <f>VLOOKUP($E782,'Product Parameters'!$A$2:$D$59,4,FALSE)</f>
        <v>0.12</v>
      </c>
      <c r="AL782" s="1">
        <f>VLOOKUP($E782,'Product Parameters'!$A$2:$E$59,5,FALSE)</f>
        <v>54.6</v>
      </c>
      <c r="AM782" s="1">
        <f>VLOOKUP($E782,'Product Parameters'!$A$2:$F$59,6,FALSE)</f>
        <v>5</v>
      </c>
      <c r="AN782" s="1">
        <f>VLOOKUP($C782,'Substrate Heating'!$A$2:$C$33,3,FALSE)</f>
        <v>2828.4492</v>
      </c>
      <c r="AO782" s="1">
        <f>VLOOKUP($C782,'Substrate Heating'!$A$2:$B$33,2,FALSE)</f>
        <v>15.7</v>
      </c>
      <c r="AP782" s="1">
        <f>VLOOKUP($C782,'Substrate Heating'!$A$2:$M$33,13,FALSE)</f>
        <v>4</v>
      </c>
      <c r="AQ782" s="1">
        <f>VLOOKUP($C782,'Substrate Heating'!$A$2:$M$33,8,FALSE)</f>
        <v>6</v>
      </c>
      <c r="AR782" s="1">
        <f t="shared" si="12"/>
        <v>0.63393285371702579</v>
      </c>
    </row>
    <row r="783" spans="1:44" x14ac:dyDescent="0.2">
      <c r="A783" s="8" t="s">
        <v>34</v>
      </c>
      <c r="B783" s="9" t="s">
        <v>35</v>
      </c>
      <c r="C783" s="1" t="s">
        <v>330</v>
      </c>
      <c r="D783" s="10" t="s">
        <v>37</v>
      </c>
      <c r="E783" s="1" t="s">
        <v>291</v>
      </c>
      <c r="F783" s="1" t="s">
        <v>292</v>
      </c>
      <c r="G783" s="1">
        <v>-10</v>
      </c>
      <c r="H783" s="1">
        <v>-20</v>
      </c>
      <c r="I783" s="1" t="s">
        <v>40</v>
      </c>
      <c r="J783" s="1">
        <v>3.15</v>
      </c>
      <c r="K783" s="1">
        <v>-10</v>
      </c>
      <c r="L783" s="1">
        <v>-5.3343558282208603</v>
      </c>
      <c r="M783" s="1" t="s">
        <v>40</v>
      </c>
      <c r="N783" s="1">
        <v>6.8895705521472603</v>
      </c>
      <c r="O783" s="1">
        <v>2.6220858895705601</v>
      </c>
      <c r="Q783" s="1">
        <v>0.26220858895705601</v>
      </c>
      <c r="R783" s="1">
        <v>0.37238812567170398</v>
      </c>
      <c r="S783" s="1" t="str">
        <f>VLOOKUP($E783,'Product Naming'!$A$1:$P$58,2,FALSE)</f>
        <v>Pentanol-PW1</v>
      </c>
      <c r="T783" s="1" t="str">
        <f>VLOOKUP($E783,'Product Naming'!$A$1:$P$58,3,FALSE)</f>
        <v>Pentanol (PW1)</v>
      </c>
      <c r="U783" s="1" t="str">
        <f>VLOOKUP($E783,'Product Naming'!$A$1:$P$58,4,FALSE)</f>
        <v>E</v>
      </c>
      <c r="V783" s="1" t="str">
        <f>VLOOKUP($E783,'Product Naming'!$A$1:$P$58,5,FALSE)</f>
        <v>C5H12O</v>
      </c>
      <c r="W783" s="1">
        <f>VLOOKUP($E783,'Product Naming'!$A$1:$P$58,6,FALSE)</f>
        <v>5</v>
      </c>
      <c r="X783" s="1">
        <f>VLOOKUP($E783,'Product Naming'!$A$1:$P$58,7,FALSE)</f>
        <v>12</v>
      </c>
      <c r="Y783" s="1">
        <f>VLOOKUP($E783,'Product Naming'!$A$1:$P$58,8,FALSE)</f>
        <v>1</v>
      </c>
      <c r="Z783" s="1">
        <f>VLOOKUP($E783,'Product Naming'!$A$1:$P$58,9,FALSE)</f>
        <v>0</v>
      </c>
      <c r="AA783" s="1">
        <f>VLOOKUP($E783,'Product Naming'!$A$1:$P$58,10,FALSE)</f>
        <v>0</v>
      </c>
      <c r="AB783" s="29">
        <f>VLOOKUP($E783,'Product Naming'!$A$1:$P$58,11,FALSE)</f>
        <v>6</v>
      </c>
      <c r="AC783" s="3">
        <f>VLOOKUP($E783,'Product Naming'!$A$1:$P$58,12,FALSE)</f>
        <v>88.14658</v>
      </c>
      <c r="AD783" s="1">
        <f>VLOOKUP($E783,'Product Naming'!$A$1:$P$58,13,FALSE)</f>
        <v>138</v>
      </c>
      <c r="AE783" s="1" t="str">
        <f>VLOOKUP($E783,'Product Naming'!$A$1:$P$58,14,FALSE)</f>
        <v>Alcohol</v>
      </c>
      <c r="AF783" s="1" t="str">
        <f>VLOOKUP($E783,'Product Naming'!$A$1:$P$58,15,FALSE)</f>
        <v>Acetyl-CoA + Succinyl-CoA</v>
      </c>
      <c r="AG783" s="30" t="str">
        <f>VLOOKUP($E783,'Product Naming'!$A$1:$P$58,16,FALSE)</f>
        <v>Proton symporter</v>
      </c>
      <c r="AH783" s="3" t="str">
        <f>VLOOKUP($E783,'Product Naming'!$A$1:$Q$58,17,FALSE)</f>
        <v>pentoh_c</v>
      </c>
      <c r="AI783" s="1">
        <f>VLOOKUP($E783,'Product Parameters'!$A$2:$D$59,2,FALSE)</f>
        <v>1</v>
      </c>
      <c r="AJ783" s="1">
        <f>VLOOKUP($E783,'Product Parameters'!$A$2:$D$59,3,FALSE)</f>
        <v>0</v>
      </c>
      <c r="AK783" s="1">
        <f>VLOOKUP($E783,'Product Parameters'!$A$2:$D$59,4,FALSE)</f>
        <v>0.12</v>
      </c>
      <c r="AL783" s="1">
        <f>VLOOKUP($E783,'Product Parameters'!$A$2:$E$59,5,FALSE)</f>
        <v>57</v>
      </c>
      <c r="AM783" s="1">
        <f>VLOOKUP($E783,'Product Parameters'!$A$2:$F$59,6,FALSE)</f>
        <v>5</v>
      </c>
      <c r="AN783" s="1">
        <f>VLOOKUP($C783,'Substrate Heating'!$A$2:$C$33,3,FALSE)</f>
        <v>1055.1294800000001</v>
      </c>
      <c r="AO783" s="1">
        <f>VLOOKUP($C783,'Substrate Heating'!$A$2:$B$33,2,FALSE)</f>
        <v>17</v>
      </c>
      <c r="AP783" s="1">
        <f>VLOOKUP($C783,'Substrate Heating'!$A$2:$M$33,13,FALSE)</f>
        <v>5</v>
      </c>
      <c r="AQ783" s="1">
        <f>VLOOKUP($C783,'Substrate Heating'!$A$2:$M$33,8,FALSE)</f>
        <v>2</v>
      </c>
      <c r="AR783" s="1">
        <f t="shared" si="12"/>
        <v>0.65552147239264003</v>
      </c>
    </row>
    <row r="784" spans="1:44" x14ac:dyDescent="0.2">
      <c r="A784" s="8" t="s">
        <v>34</v>
      </c>
      <c r="B784" s="9" t="s">
        <v>35</v>
      </c>
      <c r="C784" s="1" t="s">
        <v>345</v>
      </c>
      <c r="D784" s="10" t="s">
        <v>37</v>
      </c>
      <c r="E784" s="1" t="s">
        <v>72</v>
      </c>
      <c r="F784" s="1" t="s">
        <v>73</v>
      </c>
      <c r="G784" s="1">
        <v>-10</v>
      </c>
      <c r="H784" s="1">
        <v>-20</v>
      </c>
      <c r="I784" s="1" t="s">
        <v>40</v>
      </c>
      <c r="J784" s="1">
        <v>3.15</v>
      </c>
      <c r="K784" s="1">
        <v>-10</v>
      </c>
      <c r="L784" s="1">
        <v>-3.20389610389612</v>
      </c>
      <c r="M784" s="1" t="s">
        <v>40</v>
      </c>
      <c r="N784" s="1">
        <v>8.8025974025974492</v>
      </c>
      <c r="O784" s="1">
        <v>3.73246753246756</v>
      </c>
      <c r="Q784" s="1">
        <v>0.37324675324675599</v>
      </c>
      <c r="R784" s="1">
        <v>0.37350668096308098</v>
      </c>
      <c r="S784" s="1" t="str">
        <f>VLOOKUP($E784,'Product Naming'!$A$1:$P$58,2,FALSE)</f>
        <v>1-propanol-PW1</v>
      </c>
      <c r="T784" s="1" t="str">
        <f>VLOOKUP($E784,'Product Naming'!$A$1:$P$58,3,FALSE)</f>
        <v>1-Propanol (PW1)</v>
      </c>
      <c r="U784" s="1" t="str">
        <f>VLOOKUP($E784,'Product Naming'!$A$1:$P$58,4,FALSE)</f>
        <v>E-S</v>
      </c>
      <c r="V784" s="1" t="str">
        <f>VLOOKUP($E784,'Product Naming'!$A$1:$P$58,5,FALSE)</f>
        <v>C3H8O</v>
      </c>
      <c r="W784" s="1">
        <f>VLOOKUP($E784,'Product Naming'!$A$1:$P$58,6,FALSE)</f>
        <v>3</v>
      </c>
      <c r="X784" s="1">
        <f>VLOOKUP($E784,'Product Naming'!$A$1:$P$58,7,FALSE)</f>
        <v>8</v>
      </c>
      <c r="Y784" s="1">
        <f>VLOOKUP($E784,'Product Naming'!$A$1:$P$58,8,FALSE)</f>
        <v>1</v>
      </c>
      <c r="Z784" s="1">
        <f>VLOOKUP($E784,'Product Naming'!$A$1:$P$58,9,FALSE)</f>
        <v>0</v>
      </c>
      <c r="AA784" s="1">
        <f>VLOOKUP($E784,'Product Naming'!$A$1:$P$58,10,FALSE)</f>
        <v>0</v>
      </c>
      <c r="AB784" s="29">
        <f>VLOOKUP($E784,'Product Naming'!$A$1:$P$58,11,FALSE)</f>
        <v>6</v>
      </c>
      <c r="AC784" s="3">
        <f>VLOOKUP($E784,'Product Naming'!$A$1:$P$58,12,FALSE)</f>
        <v>60.093820000000001</v>
      </c>
      <c r="AD784" s="1">
        <f>VLOOKUP($E784,'Product Naming'!$A$1:$P$58,13,FALSE)</f>
        <v>97</v>
      </c>
      <c r="AE784" s="1" t="str">
        <f>VLOOKUP($E784,'Product Naming'!$A$1:$P$58,14,FALSE)</f>
        <v>Alcohol</v>
      </c>
      <c r="AF784" s="1" t="str">
        <f>VLOOKUP($E784,'Product Naming'!$A$1:$P$58,15,FALSE)</f>
        <v>Glyceraldehyde 3-P (--&gt;DHAP)</v>
      </c>
      <c r="AG784" s="30" t="str">
        <f>VLOOKUP($E784,'Product Naming'!$A$1:$P$58,16,FALSE)</f>
        <v>Proton symporter</v>
      </c>
      <c r="AH784" s="3" t="str">
        <f>VLOOKUP($E784,'Product Naming'!$A$1:$Q$58,17,FALSE)</f>
        <v>ppoh_c</v>
      </c>
      <c r="AI784" s="1">
        <f>VLOOKUP($E784,'Product Parameters'!$A$2:$D$59,2,FALSE)</f>
        <v>1</v>
      </c>
      <c r="AJ784" s="1">
        <f>VLOOKUP($E784,'Product Parameters'!$A$2:$D$59,3,FALSE)</f>
        <v>0</v>
      </c>
      <c r="AK784" s="1">
        <f>VLOOKUP($E784,'Product Parameters'!$A$2:$D$59,4,FALSE)</f>
        <v>0.12</v>
      </c>
      <c r="AL784" s="1">
        <f>VLOOKUP($E784,'Product Parameters'!$A$2:$E$59,5,FALSE)</f>
        <v>47</v>
      </c>
      <c r="AM784" s="1">
        <f>VLOOKUP($E784,'Product Parameters'!$A$2:$F$59,6,FALSE)</f>
        <v>3</v>
      </c>
      <c r="AN784" s="1">
        <f>VLOOKUP($C784,'Substrate Heating'!$A$2:$C$33,3,FALSE)</f>
        <v>1020.8629199999999</v>
      </c>
      <c r="AO784" s="1">
        <f>VLOOKUP($C784,'Substrate Heating'!$A$2:$B$33,2,FALSE)</f>
        <v>17</v>
      </c>
      <c r="AP784" s="1">
        <f>VLOOKUP($C784,'Substrate Heating'!$A$2:$M$33,13,FALSE)</f>
        <v>4</v>
      </c>
      <c r="AQ784" s="1">
        <f>VLOOKUP($C784,'Substrate Heating'!$A$2:$M$33,8,FALSE)</f>
        <v>2</v>
      </c>
      <c r="AR784" s="1">
        <f t="shared" si="12"/>
        <v>0.55987012987013396</v>
      </c>
    </row>
    <row r="785" spans="1:44" x14ac:dyDescent="0.2">
      <c r="A785" s="17" t="s">
        <v>231</v>
      </c>
      <c r="B785" s="9" t="s">
        <v>35</v>
      </c>
      <c r="C785" t="s">
        <v>347</v>
      </c>
      <c r="D785" s="23" t="s">
        <v>338</v>
      </c>
      <c r="E785" t="s">
        <v>236</v>
      </c>
      <c r="F785" t="s">
        <v>237</v>
      </c>
      <c r="G785">
        <v>-10</v>
      </c>
      <c r="H785">
        <v>-20</v>
      </c>
      <c r="I785" s="1" t="s">
        <v>40</v>
      </c>
      <c r="J785">
        <v>3.15</v>
      </c>
      <c r="K785">
        <v>-10</v>
      </c>
      <c r="L785">
        <v>-1.7999026290165401</v>
      </c>
      <c r="M785" s="1" t="s">
        <v>40</v>
      </c>
      <c r="N785">
        <v>1.6630963972736099</v>
      </c>
      <c r="O785">
        <v>1.3894839337877301</v>
      </c>
      <c r="P785"/>
      <c r="Q785">
        <v>0.13894839337877299</v>
      </c>
      <c r="R785">
        <v>0.37369966203011401</v>
      </c>
      <c r="S785" s="1" t="str">
        <f>VLOOKUP($E785,'Product Naming'!$A$1:$P$58,2,FALSE)</f>
        <v>Hexane</v>
      </c>
      <c r="T785" s="1" t="str">
        <f>VLOOKUP($E785,'Product Naming'!$A$1:$P$58,3,FALSE)</f>
        <v>Hexane</v>
      </c>
      <c r="U785" s="1" t="str">
        <f>VLOOKUP($E785,'Product Naming'!$A$1:$P$58,4,FALSE)</f>
        <v>E</v>
      </c>
      <c r="V785" s="1" t="str">
        <f>VLOOKUP($E785,'Product Naming'!$A$1:$P$58,5,FALSE)</f>
        <v>C6H14</v>
      </c>
      <c r="W785" s="1">
        <f>VLOOKUP($E785,'Product Naming'!$A$1:$P$58,6,FALSE)</f>
        <v>6</v>
      </c>
      <c r="X785" s="1">
        <f>VLOOKUP($E785,'Product Naming'!$A$1:$P$58,7,FALSE)</f>
        <v>14</v>
      </c>
      <c r="Y785" s="1">
        <f>VLOOKUP($E785,'Product Naming'!$A$1:$P$58,8,FALSE)</f>
        <v>0</v>
      </c>
      <c r="Z785" s="1">
        <f>VLOOKUP($E785,'Product Naming'!$A$1:$P$58,9,FALSE)</f>
        <v>0</v>
      </c>
      <c r="AA785" s="1">
        <f>VLOOKUP($E785,'Product Naming'!$A$1:$P$58,10,FALSE)</f>
        <v>0</v>
      </c>
      <c r="AB785" s="29">
        <f>VLOOKUP($E785,'Product Naming'!$A$1:$P$58,11,FALSE)</f>
        <v>6.333333333333333</v>
      </c>
      <c r="AC785" s="3">
        <f>VLOOKUP($E785,'Product Naming'!$A$1:$P$58,12,FALSE)</f>
        <v>86.173959999999994</v>
      </c>
      <c r="AD785" s="1">
        <f>VLOOKUP($E785,'Product Naming'!$A$1:$P$58,13,FALSE)</f>
        <v>69</v>
      </c>
      <c r="AE785" s="1" t="str">
        <f>VLOOKUP($E785,'Product Naming'!$A$1:$P$58,14,FALSE)</f>
        <v>Hydrocarbon (alkane)</v>
      </c>
      <c r="AF785" s="1" t="str">
        <f>VLOOKUP($E785,'Product Naming'!$A$1:$P$58,15,FALSE)</f>
        <v>Acetyl-CoA + Succinyl-CoA</v>
      </c>
      <c r="AG785" s="30" t="str">
        <f>VLOOKUP($E785,'Product Naming'!$A$1:$P$58,16,FALSE)</f>
        <v>Proton symporter</v>
      </c>
      <c r="AH785" s="3" t="str">
        <f>VLOOKUP($E785,'Product Naming'!$A$1:$Q$58,17,FALSE)</f>
        <v>hex_c</v>
      </c>
      <c r="AI785" s="1">
        <f>VLOOKUP($E785,'Product Parameters'!$A$2:$D$59,2,FALSE)</f>
        <v>1</v>
      </c>
      <c r="AJ785" s="1">
        <f>VLOOKUP($E785,'Product Parameters'!$A$2:$D$59,3,FALSE)</f>
        <v>0</v>
      </c>
      <c r="AK785" s="1">
        <f>VLOOKUP($E785,'Product Parameters'!$A$2:$D$59,4,FALSE)</f>
        <v>0.12</v>
      </c>
      <c r="AL785" s="1">
        <f>VLOOKUP($E785,'Product Parameters'!$A$2:$E$59,5,FALSE)</f>
        <v>31</v>
      </c>
      <c r="AM785" s="1">
        <f>VLOOKUP($E785,'Product Parameters'!$A$2:$F$59,6,FALSE)</f>
        <v>6</v>
      </c>
      <c r="AN785" s="1">
        <f>VLOOKUP($C785,'Substrate Heating'!$A$2:$C$33,3,FALSE)</f>
        <v>638.57832580000002</v>
      </c>
      <c r="AO785" s="1">
        <f>VLOOKUP($C785,'Substrate Heating'!$A$2:$B$33,2,FALSE)</f>
        <v>19.93</v>
      </c>
      <c r="AP785" s="1">
        <f>VLOOKUP($C785,'Substrate Heating'!$A$2:$M$33,13,FALSE)</f>
        <v>6</v>
      </c>
      <c r="AQ785" s="1">
        <f>VLOOKUP($C785,'Substrate Heating'!$A$2:$M$33,8,FALSE)</f>
        <v>1</v>
      </c>
      <c r="AR785" s="1">
        <f t="shared" si="12"/>
        <v>0.83369036027263799</v>
      </c>
    </row>
    <row r="786" spans="1:44" x14ac:dyDescent="0.2">
      <c r="A786" s="17" t="s">
        <v>231</v>
      </c>
      <c r="B786" s="9" t="s">
        <v>35</v>
      </c>
      <c r="C786" t="s">
        <v>346</v>
      </c>
      <c r="D786" s="23" t="s">
        <v>338</v>
      </c>
      <c r="E786" t="s">
        <v>236</v>
      </c>
      <c r="F786" t="s">
        <v>237</v>
      </c>
      <c r="G786">
        <v>-10</v>
      </c>
      <c r="H786">
        <v>-20</v>
      </c>
      <c r="I786" s="1" t="s">
        <v>40</v>
      </c>
      <c r="J786">
        <v>3.15</v>
      </c>
      <c r="K786">
        <v>-10</v>
      </c>
      <c r="L786">
        <v>-1.7999026290165501</v>
      </c>
      <c r="M786" s="1" t="s">
        <v>40</v>
      </c>
      <c r="N786">
        <v>1.6630963972736099</v>
      </c>
      <c r="O786">
        <v>1.3894839337877301</v>
      </c>
      <c r="P786"/>
      <c r="Q786">
        <v>0.13894839337877299</v>
      </c>
      <c r="R786">
        <v>0.37369966203011601</v>
      </c>
      <c r="S786" s="1" t="str">
        <f>VLOOKUP($E786,'Product Naming'!$A$1:$P$58,2,FALSE)</f>
        <v>Hexane</v>
      </c>
      <c r="T786" s="1" t="str">
        <f>VLOOKUP($E786,'Product Naming'!$A$1:$P$58,3,FALSE)</f>
        <v>Hexane</v>
      </c>
      <c r="U786" s="1" t="str">
        <f>VLOOKUP($E786,'Product Naming'!$A$1:$P$58,4,FALSE)</f>
        <v>E</v>
      </c>
      <c r="V786" s="1" t="str">
        <f>VLOOKUP($E786,'Product Naming'!$A$1:$P$58,5,FALSE)</f>
        <v>C6H14</v>
      </c>
      <c r="W786" s="1">
        <f>VLOOKUP($E786,'Product Naming'!$A$1:$P$58,6,FALSE)</f>
        <v>6</v>
      </c>
      <c r="X786" s="1">
        <f>VLOOKUP($E786,'Product Naming'!$A$1:$P$58,7,FALSE)</f>
        <v>14</v>
      </c>
      <c r="Y786" s="1">
        <f>VLOOKUP($E786,'Product Naming'!$A$1:$P$58,8,FALSE)</f>
        <v>0</v>
      </c>
      <c r="Z786" s="1">
        <f>VLOOKUP($E786,'Product Naming'!$A$1:$P$58,9,FALSE)</f>
        <v>0</v>
      </c>
      <c r="AA786" s="1">
        <f>VLOOKUP($E786,'Product Naming'!$A$1:$P$58,10,FALSE)</f>
        <v>0</v>
      </c>
      <c r="AB786" s="29">
        <f>VLOOKUP($E786,'Product Naming'!$A$1:$P$58,11,FALSE)</f>
        <v>6.333333333333333</v>
      </c>
      <c r="AC786" s="3">
        <f>VLOOKUP($E786,'Product Naming'!$A$1:$P$58,12,FALSE)</f>
        <v>86.173959999999994</v>
      </c>
      <c r="AD786" s="1">
        <f>VLOOKUP($E786,'Product Naming'!$A$1:$P$58,13,FALSE)</f>
        <v>69</v>
      </c>
      <c r="AE786" s="1" t="str">
        <f>VLOOKUP($E786,'Product Naming'!$A$1:$P$58,14,FALSE)</f>
        <v>Hydrocarbon (alkane)</v>
      </c>
      <c r="AF786" s="1" t="str">
        <f>VLOOKUP($E786,'Product Naming'!$A$1:$P$58,15,FALSE)</f>
        <v>Acetyl-CoA + Succinyl-CoA</v>
      </c>
      <c r="AG786" s="30" t="str">
        <f>VLOOKUP($E786,'Product Naming'!$A$1:$P$58,16,FALSE)</f>
        <v>Proton symporter</v>
      </c>
      <c r="AH786" s="3" t="str">
        <f>VLOOKUP($E786,'Product Naming'!$A$1:$Q$58,17,FALSE)</f>
        <v>hex_c</v>
      </c>
      <c r="AI786" s="1">
        <f>VLOOKUP($E786,'Product Parameters'!$A$2:$D$59,2,FALSE)</f>
        <v>1</v>
      </c>
      <c r="AJ786" s="1">
        <f>VLOOKUP($E786,'Product Parameters'!$A$2:$D$59,3,FALSE)</f>
        <v>0</v>
      </c>
      <c r="AK786" s="1">
        <f>VLOOKUP($E786,'Product Parameters'!$A$2:$D$59,4,FALSE)</f>
        <v>0.12</v>
      </c>
      <c r="AL786" s="1">
        <f>VLOOKUP($E786,'Product Parameters'!$A$2:$E$59,5,FALSE)</f>
        <v>31</v>
      </c>
      <c r="AM786" s="1">
        <f>VLOOKUP($E786,'Product Parameters'!$A$2:$F$59,6,FALSE)</f>
        <v>6</v>
      </c>
      <c r="AN786" s="1">
        <f>VLOOKUP($C786,'Substrate Heating'!$A$2:$C$33,3,FALSE)</f>
        <v>638.57832580000002</v>
      </c>
      <c r="AO786" s="1">
        <f>VLOOKUP($C786,'Substrate Heating'!$A$2:$B$33,2,FALSE)</f>
        <v>19.93</v>
      </c>
      <c r="AP786" s="1">
        <f>VLOOKUP($C786,'Substrate Heating'!$A$2:$M$33,13,FALSE)</f>
        <v>6</v>
      </c>
      <c r="AQ786" s="1">
        <f>VLOOKUP($C786,'Substrate Heating'!$A$2:$M$33,8,FALSE)</f>
        <v>1</v>
      </c>
      <c r="AR786" s="1">
        <f t="shared" si="12"/>
        <v>0.83369036027263799</v>
      </c>
    </row>
    <row r="787" spans="1:44" x14ac:dyDescent="0.2">
      <c r="A787" s="8" t="s">
        <v>34</v>
      </c>
      <c r="B787" s="9" t="s">
        <v>35</v>
      </c>
      <c r="C787" s="1" t="s">
        <v>331</v>
      </c>
      <c r="D787" s="10" t="s">
        <v>37</v>
      </c>
      <c r="E787" s="1" t="s">
        <v>297</v>
      </c>
      <c r="F787" s="1" t="s">
        <v>298</v>
      </c>
      <c r="G787" s="1">
        <v>-10</v>
      </c>
      <c r="H787" s="1">
        <v>-20</v>
      </c>
      <c r="I787" s="1" t="s">
        <v>40</v>
      </c>
      <c r="J787" s="1">
        <v>3.15</v>
      </c>
      <c r="K787" s="1">
        <v>-10</v>
      </c>
      <c r="L787" s="1">
        <v>-7.7008968609865498</v>
      </c>
      <c r="M787" s="1" t="s">
        <v>40</v>
      </c>
      <c r="N787" s="1">
        <v>5.1721973094170499</v>
      </c>
      <c r="O787" s="1">
        <v>2.4713004484304899</v>
      </c>
      <c r="Q787" s="1">
        <v>0.24713004484304901</v>
      </c>
      <c r="R787" s="1">
        <v>0.37471913678560598</v>
      </c>
      <c r="S787" s="1" t="str">
        <f>VLOOKUP($E787,'Product Naming'!$A$1:$P$58,2,FALSE)</f>
        <v>Phenol</v>
      </c>
      <c r="T787" s="1" t="str">
        <f>VLOOKUP($E787,'Product Naming'!$A$1:$P$58,3,FALSE)</f>
        <v>Phenol</v>
      </c>
      <c r="U787" s="1" t="str">
        <f>VLOOKUP($E787,'Product Naming'!$A$1:$P$58,4,FALSE)</f>
        <v>E-S</v>
      </c>
      <c r="V787" s="1" t="str">
        <f>VLOOKUP($E787,'Product Naming'!$A$1:$P$58,5,FALSE)</f>
        <v>C6H6O</v>
      </c>
      <c r="W787" s="1">
        <f>VLOOKUP($E787,'Product Naming'!$A$1:$P$58,6,FALSE)</f>
        <v>6</v>
      </c>
      <c r="X787" s="1">
        <f>VLOOKUP($E787,'Product Naming'!$A$1:$P$58,7,FALSE)</f>
        <v>6</v>
      </c>
      <c r="Y787" s="1">
        <f>VLOOKUP($E787,'Product Naming'!$A$1:$P$58,8,FALSE)</f>
        <v>1</v>
      </c>
      <c r="Z787" s="1">
        <f>VLOOKUP($E787,'Product Naming'!$A$1:$P$58,9,FALSE)</f>
        <v>0</v>
      </c>
      <c r="AA787" s="1">
        <f>VLOOKUP($E787,'Product Naming'!$A$1:$P$58,10,FALSE)</f>
        <v>0</v>
      </c>
      <c r="AB787" s="29">
        <f>VLOOKUP($E787,'Product Naming'!$A$1:$P$58,11,FALSE)</f>
        <v>4.666666666666667</v>
      </c>
      <c r="AC787" s="3">
        <f>VLOOKUP($E787,'Product Naming'!$A$1:$P$58,12,FALSE)</f>
        <v>94.11023999999999</v>
      </c>
      <c r="AD787" s="1">
        <f>VLOOKUP($E787,'Product Naming'!$A$1:$P$58,13,FALSE)</f>
        <v>181.7</v>
      </c>
      <c r="AE787" s="1" t="str">
        <f>VLOOKUP($E787,'Product Naming'!$A$1:$P$58,14,FALSE)</f>
        <v>Aromatic + Alcohol</v>
      </c>
      <c r="AF787" s="1" t="str">
        <f>VLOOKUP($E787,'Product Naming'!$A$1:$P$58,15,FALSE)</f>
        <v>E4P + L-glutamate</v>
      </c>
      <c r="AG787" s="30" t="str">
        <f>VLOOKUP($E787,'Product Naming'!$A$1:$P$58,16,FALSE)</f>
        <v>Proton symporter</v>
      </c>
      <c r="AH787" s="3" t="str">
        <f>VLOOKUP($E787,'Product Naming'!$A$1:$Q$58,17,FALSE)</f>
        <v>phenol_c</v>
      </c>
      <c r="AI787" s="1">
        <f>VLOOKUP($E787,'Product Parameters'!$A$2:$D$59,2,FALSE)</f>
        <v>1</v>
      </c>
      <c r="AJ787" s="1">
        <f>VLOOKUP($E787,'Product Parameters'!$A$2:$D$59,3,FALSE)</f>
        <v>0</v>
      </c>
      <c r="AK787" s="1">
        <f>VLOOKUP($E787,'Product Parameters'!$A$2:$D$59,4,FALSE)</f>
        <v>0.12</v>
      </c>
      <c r="AL787" s="1">
        <f>VLOOKUP($E787,'Product Parameters'!$A$2:$E$59,5,FALSE)</f>
        <v>58.8</v>
      </c>
      <c r="AM787" s="1">
        <f>VLOOKUP($E787,'Product Parameters'!$A$2:$F$59,6,FALSE)</f>
        <v>6</v>
      </c>
      <c r="AN787" s="1">
        <f>VLOOKUP($C787,'Substrate Heating'!$A$2:$C$33,3,FALSE)</f>
        <v>1055.1294800000001</v>
      </c>
      <c r="AO787" s="1">
        <f>VLOOKUP($C787,'Substrate Heating'!$A$2:$B$33,2,FALSE)</f>
        <v>17</v>
      </c>
      <c r="AP787" s="1">
        <f>VLOOKUP($C787,'Substrate Heating'!$A$2:$M$33,13,FALSE)</f>
        <v>5</v>
      </c>
      <c r="AQ787" s="1">
        <f>VLOOKUP($C787,'Substrate Heating'!$A$2:$M$33,8,FALSE)</f>
        <v>2</v>
      </c>
      <c r="AR787" s="1">
        <f t="shared" si="12"/>
        <v>0.74139013452914704</v>
      </c>
    </row>
    <row r="788" spans="1:44" x14ac:dyDescent="0.2">
      <c r="A788" s="8" t="s">
        <v>34</v>
      </c>
      <c r="B788" s="9" t="s">
        <v>35</v>
      </c>
      <c r="C788" s="1" t="s">
        <v>322</v>
      </c>
      <c r="D788" s="10" t="s">
        <v>37</v>
      </c>
      <c r="E788" s="1" t="s">
        <v>192</v>
      </c>
      <c r="F788" s="1" t="s">
        <v>193</v>
      </c>
      <c r="G788" s="1">
        <v>-10</v>
      </c>
      <c r="H788" s="1">
        <v>-20</v>
      </c>
      <c r="I788" s="1" t="s">
        <v>40</v>
      </c>
      <c r="J788" s="1">
        <v>3.15</v>
      </c>
      <c r="K788" s="1">
        <v>-10</v>
      </c>
      <c r="L788" s="1">
        <v>-7.1073813708260101</v>
      </c>
      <c r="M788" s="1" t="s">
        <v>40</v>
      </c>
      <c r="N788" s="1">
        <v>7.7859402460456897</v>
      </c>
      <c r="O788" s="1">
        <v>1.3571177504393701</v>
      </c>
      <c r="Q788" s="1">
        <v>0.135711775043937</v>
      </c>
      <c r="R788" s="1">
        <v>0.37500057759656302</v>
      </c>
      <c r="S788" s="1" t="str">
        <f>VLOOKUP($E788,'Product Naming'!$A$1:$P$58,2,FALSE)</f>
        <v>Coumaric acid</v>
      </c>
      <c r="T788" s="1" t="str">
        <f>VLOOKUP($E788,'Product Naming'!$A$1:$P$58,3,FALSE)</f>
        <v>Coumaric acid</v>
      </c>
      <c r="U788" s="1" t="str">
        <f>VLOOKUP($E788,'Product Naming'!$A$1:$P$58,4,FALSE)</f>
        <v>E</v>
      </c>
      <c r="V788" s="1" t="str">
        <f>VLOOKUP($E788,'Product Naming'!$A$1:$P$58,5,FALSE)</f>
        <v>C9H7O3</v>
      </c>
      <c r="W788" s="1">
        <f>VLOOKUP($E788,'Product Naming'!$A$1:$P$58,6,FALSE)</f>
        <v>9</v>
      </c>
      <c r="X788" s="1">
        <f>VLOOKUP($E788,'Product Naming'!$A$1:$P$58,7,FALSE)</f>
        <v>7</v>
      </c>
      <c r="Y788" s="1">
        <f>VLOOKUP($E788,'Product Naming'!$A$1:$P$58,8,FALSE)</f>
        <v>3</v>
      </c>
      <c r="Z788" s="1">
        <f>VLOOKUP($E788,'Product Naming'!$A$1:$P$58,9,FALSE)</f>
        <v>0</v>
      </c>
      <c r="AA788" s="1">
        <f>VLOOKUP($E788,'Product Naming'!$A$1:$P$58,10,FALSE)</f>
        <v>-1</v>
      </c>
      <c r="AB788" s="29">
        <f>VLOOKUP($E788,'Product Naming'!$A$1:$P$58,11,FALSE)</f>
        <v>4.1111111111111107</v>
      </c>
      <c r="AC788" s="3">
        <f>VLOOKUP($E788,'Product Naming'!$A$1:$P$58,12,FALSE)</f>
        <v>163.14818</v>
      </c>
      <c r="AD788" s="1">
        <f>VLOOKUP($E788,'Product Naming'!$A$1:$P$58,13,FALSE)</f>
        <v>346</v>
      </c>
      <c r="AE788" s="1" t="str">
        <f>VLOOKUP($E788,'Product Naming'!$A$1:$P$58,14,FALSE)</f>
        <v>Aromatic + Alcohol + Carboxylate</v>
      </c>
      <c r="AF788" s="1" t="str">
        <f>VLOOKUP($E788,'Product Naming'!$A$1:$P$58,15,FALSE)</f>
        <v>E4P + L-glutamate</v>
      </c>
      <c r="AG788" s="30" t="str">
        <f>VLOOKUP($E788,'Product Naming'!$A$1:$P$58,16,FALSE)</f>
        <v>Proton symporter</v>
      </c>
      <c r="AH788" s="3" t="str">
        <f>VLOOKUP($E788,'Product Naming'!$A$1:$Q$58,17,FALSE)</f>
        <v>T4hcinnm_c</v>
      </c>
      <c r="AI788" s="1">
        <f>VLOOKUP($E788,'Product Parameters'!$A$2:$D$59,2,FALSE)</f>
        <v>1</v>
      </c>
      <c r="AJ788" s="1">
        <f>VLOOKUP($E788,'Product Parameters'!$A$2:$D$59,3,FALSE)</f>
        <v>0</v>
      </c>
      <c r="AK788" s="1">
        <f>VLOOKUP($E788,'Product Parameters'!$A$2:$D$59,4,FALSE)</f>
        <v>0.12</v>
      </c>
      <c r="AL788" s="1">
        <f>VLOOKUP($E788,'Product Parameters'!$A$2:$E$59,5,FALSE)</f>
        <v>40.65</v>
      </c>
      <c r="AM788" s="1">
        <f>VLOOKUP($E788,'Product Parameters'!$A$2:$F$59,6,FALSE)</f>
        <v>9</v>
      </c>
      <c r="AN788" s="1">
        <f>VLOOKUP($C788,'Substrate Heating'!$A$2:$C$33,3,FALSE)</f>
        <v>876.74109599999997</v>
      </c>
      <c r="AO788" s="1">
        <f>VLOOKUP($C788,'Substrate Heating'!$A$2:$B$33,2,FALSE)</f>
        <v>14.6</v>
      </c>
      <c r="AP788" s="1">
        <f>VLOOKUP($C788,'Substrate Heating'!$A$2:$M$33,13,FALSE)</f>
        <v>3.5</v>
      </c>
      <c r="AQ788" s="1">
        <f>VLOOKUP($C788,'Substrate Heating'!$A$2:$M$33,8,FALSE)</f>
        <v>2</v>
      </c>
      <c r="AR788" s="1">
        <f t="shared" si="12"/>
        <v>0.61070298769771647</v>
      </c>
    </row>
    <row r="789" spans="1:44" x14ac:dyDescent="0.2">
      <c r="A789" s="8" t="s">
        <v>34</v>
      </c>
      <c r="B789" s="9" t="s">
        <v>35</v>
      </c>
      <c r="C789" s="1" t="s">
        <v>341</v>
      </c>
      <c r="D789" s="24" t="s">
        <v>342</v>
      </c>
      <c r="E789" s="1" t="s">
        <v>169</v>
      </c>
      <c r="F789" s="1" t="s">
        <v>165</v>
      </c>
      <c r="G789" s="1">
        <v>-10</v>
      </c>
      <c r="H789" s="1">
        <v>-20</v>
      </c>
      <c r="I789" s="1" t="s">
        <v>40</v>
      </c>
      <c r="J789" s="1">
        <v>3.15</v>
      </c>
      <c r="K789" s="1">
        <v>-10</v>
      </c>
      <c r="L789" s="1">
        <v>-5.3068965517241402</v>
      </c>
      <c r="M789" s="1" t="s">
        <v>40</v>
      </c>
      <c r="N789" s="1">
        <v>23.537931034482799</v>
      </c>
      <c r="O789" s="1">
        <v>9.11551724137931</v>
      </c>
      <c r="Q789" s="1">
        <v>0.91155172413793095</v>
      </c>
      <c r="R789" s="1">
        <v>0.375040471891048</v>
      </c>
      <c r="S789" s="1" t="str">
        <f>VLOOKUP($E789,'Product Naming'!$A$1:$P$58,2,FALSE)</f>
        <v>Butanol-PW2</v>
      </c>
      <c r="T789" s="1" t="str">
        <f>VLOOKUP($E789,'Product Naming'!$A$1:$P$58,3,FALSE)</f>
        <v>Butanol (PW2)</v>
      </c>
      <c r="U789" s="1" t="str">
        <f>VLOOKUP($E789,'Product Naming'!$A$1:$P$58,4,FALSE)</f>
        <v>E</v>
      </c>
      <c r="V789" s="1" t="str">
        <f>VLOOKUP($E789,'Product Naming'!$A$1:$P$58,5,FALSE)</f>
        <v>C4H10O</v>
      </c>
      <c r="W789" s="1">
        <f>VLOOKUP($E789,'Product Naming'!$A$1:$P$58,6,FALSE)</f>
        <v>4</v>
      </c>
      <c r="X789" s="1">
        <f>VLOOKUP($E789,'Product Naming'!$A$1:$P$58,7,FALSE)</f>
        <v>10</v>
      </c>
      <c r="Y789" s="1">
        <f>VLOOKUP($E789,'Product Naming'!$A$1:$P$58,8,FALSE)</f>
        <v>1</v>
      </c>
      <c r="Z789" s="1">
        <f>VLOOKUP($E789,'Product Naming'!$A$1:$P$58,9,FALSE)</f>
        <v>0</v>
      </c>
      <c r="AA789" s="1">
        <f>VLOOKUP($E789,'Product Naming'!$A$1:$P$58,10,FALSE)</f>
        <v>0</v>
      </c>
      <c r="AB789" s="29">
        <f>VLOOKUP($E789,'Product Naming'!$A$1:$P$58,11,FALSE)</f>
        <v>6</v>
      </c>
      <c r="AC789" s="3">
        <f>VLOOKUP($E789,'Product Naming'!$A$1:$P$58,12,FALSE)</f>
        <v>74.120199999999997</v>
      </c>
      <c r="AD789" s="1">
        <f>VLOOKUP($E789,'Product Naming'!$A$1:$P$58,13,FALSE)</f>
        <v>117.7</v>
      </c>
      <c r="AE789" s="1" t="str">
        <f>VLOOKUP($E789,'Product Naming'!$A$1:$P$58,14,FALSE)</f>
        <v>Alcohol</v>
      </c>
      <c r="AF789" s="1" t="str">
        <f>VLOOKUP($E789,'Product Naming'!$A$1:$P$58,15,FALSE)</f>
        <v>Oxaloacetate</v>
      </c>
      <c r="AG789" s="30" t="str">
        <f>VLOOKUP($E789,'Product Naming'!$A$1:$P$58,16,FALSE)</f>
        <v>Proton symporter</v>
      </c>
      <c r="AH789" s="3" t="str">
        <f>VLOOKUP($E789,'Product Naming'!$A$1:$Q$58,17,FALSE)</f>
        <v>btoh_c</v>
      </c>
      <c r="AI789" s="1">
        <f>VLOOKUP($E789,'Product Parameters'!$A$2:$D$59,2,FALSE)</f>
        <v>1</v>
      </c>
      <c r="AJ789" s="1">
        <f>VLOOKUP($E789,'Product Parameters'!$A$2:$D$59,3,FALSE)</f>
        <v>0</v>
      </c>
      <c r="AK789" s="1">
        <f>VLOOKUP($E789,'Product Parameters'!$A$2:$D$59,4,FALSE)</f>
        <v>0.12</v>
      </c>
      <c r="AL789" s="1">
        <f>VLOOKUP($E789,'Product Parameters'!$A$2:$E$59,5,FALSE)</f>
        <v>52</v>
      </c>
      <c r="AM789" s="1">
        <f>VLOOKUP($E789,'Product Parameters'!$A$2:$F$59,6,FALSE)</f>
        <v>4</v>
      </c>
      <c r="AN789" s="1">
        <f>VLOOKUP($C789,'Substrate Heating'!$A$2:$C$33,3,FALSE)</f>
        <v>2828.4492</v>
      </c>
      <c r="AO789" s="1">
        <f>VLOOKUP($C789,'Substrate Heating'!$A$2:$B$33,2,FALSE)</f>
        <v>15.7</v>
      </c>
      <c r="AP789" s="1">
        <f>VLOOKUP($C789,'Substrate Heating'!$A$2:$M$33,13,FALSE)</f>
        <v>4</v>
      </c>
      <c r="AQ789" s="1">
        <f>VLOOKUP($C789,'Substrate Heating'!$A$2:$M$33,8,FALSE)</f>
        <v>6</v>
      </c>
      <c r="AR789" s="1">
        <f t="shared" si="12"/>
        <v>0.6077011494252873</v>
      </c>
    </row>
    <row r="790" spans="1:44" x14ac:dyDescent="0.2">
      <c r="A790" s="17" t="s">
        <v>323</v>
      </c>
      <c r="B790" s="18" t="s">
        <v>324</v>
      </c>
      <c r="C790" t="s">
        <v>327</v>
      </c>
      <c r="D790" s="19" t="s">
        <v>326</v>
      </c>
      <c r="E790" t="s">
        <v>119</v>
      </c>
      <c r="F790" t="s">
        <v>120</v>
      </c>
      <c r="G790">
        <v>-10</v>
      </c>
      <c r="H790">
        <v>0</v>
      </c>
      <c r="I790">
        <v>-5</v>
      </c>
      <c r="J790">
        <v>0.45</v>
      </c>
      <c r="K790">
        <v>-10</v>
      </c>
      <c r="L790">
        <v>0</v>
      </c>
      <c r="M790">
        <v>-5</v>
      </c>
      <c r="N790">
        <v>4.375</v>
      </c>
      <c r="O790">
        <v>1.875</v>
      </c>
      <c r="P790"/>
      <c r="Q790">
        <v>0.1875</v>
      </c>
      <c r="R790">
        <v>0.37524642487939303</v>
      </c>
      <c r="S790" s="1" t="str">
        <f>VLOOKUP($E790,'Product Naming'!$A$1:$P$58,2,FALSE)</f>
        <v>Acetone</v>
      </c>
      <c r="T790" s="1" t="str">
        <f>VLOOKUP($E790,'Product Naming'!$A$1:$P$58,3,FALSE)</f>
        <v>Acetone</v>
      </c>
      <c r="U790" s="1" t="str">
        <f>VLOOKUP($E790,'Product Naming'!$A$1:$P$58,4,FALSE)</f>
        <v>A</v>
      </c>
      <c r="V790" s="1" t="str">
        <f>VLOOKUP($E790,'Product Naming'!$A$1:$P$58,5,FALSE)</f>
        <v>C3H6O</v>
      </c>
      <c r="W790" s="1">
        <f>VLOOKUP($E790,'Product Naming'!$A$1:$P$58,6,FALSE)</f>
        <v>3</v>
      </c>
      <c r="X790" s="1">
        <f>VLOOKUP($E790,'Product Naming'!$A$1:$P$58,7,FALSE)</f>
        <v>6</v>
      </c>
      <c r="Y790" s="1">
        <f>VLOOKUP($E790,'Product Naming'!$A$1:$P$58,8,FALSE)</f>
        <v>1</v>
      </c>
      <c r="Z790" s="1">
        <f>VLOOKUP($E790,'Product Naming'!$A$1:$P$58,9,FALSE)</f>
        <v>0</v>
      </c>
      <c r="AA790" s="1">
        <f>VLOOKUP($E790,'Product Naming'!$A$1:$P$58,10,FALSE)</f>
        <v>0</v>
      </c>
      <c r="AB790" s="29">
        <f>VLOOKUP($E790,'Product Naming'!$A$1:$P$58,11,FALSE)</f>
        <v>5.333333333333333</v>
      </c>
      <c r="AC790" s="3">
        <f>VLOOKUP($E790,'Product Naming'!$A$1:$P$58,12,FALSE)</f>
        <v>58.078140000000005</v>
      </c>
      <c r="AD790" s="1">
        <f>VLOOKUP($E790,'Product Naming'!$A$1:$P$58,13,FALSE)</f>
        <v>56</v>
      </c>
      <c r="AE790" s="1" t="str">
        <f>VLOOKUP($E790,'Product Naming'!$A$1:$P$58,14,FALSE)</f>
        <v>Ketone</v>
      </c>
      <c r="AF790" s="1" t="str">
        <f>VLOOKUP($E790,'Product Naming'!$A$1:$P$58,15,FALSE)</f>
        <v>Acetyl-CoA</v>
      </c>
      <c r="AG790" s="30" t="str">
        <f>VLOOKUP($E790,'Product Naming'!$A$1:$P$58,16,FALSE)</f>
        <v>Proton symporter</v>
      </c>
      <c r="AH790" s="3" t="str">
        <f>VLOOKUP($E790,'Product Naming'!$A$1:$Q$58,17,FALSE)</f>
        <v>acetone_c</v>
      </c>
      <c r="AI790" s="1">
        <f>VLOOKUP($E790,'Product Parameters'!$A$2:$D$59,2,FALSE)</f>
        <v>1</v>
      </c>
      <c r="AJ790" s="1">
        <f>VLOOKUP($E790,'Product Parameters'!$A$2:$D$59,3,FALSE)</f>
        <v>0</v>
      </c>
      <c r="AK790" s="1">
        <f>VLOOKUP($E790,'Product Parameters'!$A$2:$D$59,4,FALSE)</f>
        <v>0.12</v>
      </c>
      <c r="AL790" s="1">
        <f>VLOOKUP($E790,'Product Parameters'!$A$2:$E$59,5,FALSE)</f>
        <v>31.3</v>
      </c>
      <c r="AM790" s="1">
        <f>VLOOKUP($E790,'Product Parameters'!$A$2:$F$59,6,FALSE)</f>
        <v>3</v>
      </c>
      <c r="AN790" s="1">
        <f>VLOOKUP($C790,'Substrate Heating'!$A$2:$C$33,3,FALSE)</f>
        <v>269.26666666666665</v>
      </c>
      <c r="AO790" s="1">
        <f>VLOOKUP($C790,'Substrate Heating'!$A$2:$B$33,2,FALSE)</f>
        <v>13.919167510409219</v>
      </c>
      <c r="AP790" s="1">
        <f>VLOOKUP($C790,'Substrate Heating'!$A$2:$M$33,13,FALSE)</f>
        <v>1.3333333333333333</v>
      </c>
      <c r="AQ790" s="1">
        <f>VLOOKUP($C790,'Substrate Heating'!$A$2:$M$33,8,FALSE)</f>
        <v>0.66666666666666663</v>
      </c>
      <c r="AR790" s="1">
        <f t="shared" si="12"/>
        <v>0.84375</v>
      </c>
    </row>
    <row r="791" spans="1:44" x14ac:dyDescent="0.2">
      <c r="A791" s="17" t="s">
        <v>323</v>
      </c>
      <c r="B791" s="18" t="s">
        <v>324</v>
      </c>
      <c r="C791" t="s">
        <v>327</v>
      </c>
      <c r="D791" s="19" t="s">
        <v>326</v>
      </c>
      <c r="E791" t="s">
        <v>264</v>
      </c>
      <c r="F791" t="s">
        <v>265</v>
      </c>
      <c r="G791">
        <v>-10</v>
      </c>
      <c r="H791">
        <v>0</v>
      </c>
      <c r="I791">
        <v>-5</v>
      </c>
      <c r="J791">
        <v>0.45</v>
      </c>
      <c r="K791">
        <v>-10</v>
      </c>
      <c r="L791">
        <v>0</v>
      </c>
      <c r="M791">
        <v>-5</v>
      </c>
      <c r="N791">
        <v>3.2410256410256402</v>
      </c>
      <c r="O791">
        <v>0.74102564102563995</v>
      </c>
      <c r="P791"/>
      <c r="Q791">
        <v>7.4102564102563995E-2</v>
      </c>
      <c r="R791">
        <v>0.37585780628744098</v>
      </c>
      <c r="S791" s="1" t="str">
        <f>VLOOKUP($E791,'Product Naming'!$A$1:$P$58,2,FALSE)</f>
        <v>Lysine_L</v>
      </c>
      <c r="T791" s="1" t="str">
        <f>VLOOKUP($E791,'Product Naming'!$A$1:$P$58,3,FALSE)</f>
        <v>L-Lysine</v>
      </c>
      <c r="U791" s="1" t="str">
        <f>VLOOKUP($E791,'Product Naming'!$A$1:$P$58,4,FALSE)</f>
        <v>iJO1366</v>
      </c>
      <c r="V791" s="1" t="str">
        <f>VLOOKUP($E791,'Product Naming'!$A$1:$P$58,5,FALSE)</f>
        <v>C6H15N2O2</v>
      </c>
      <c r="W791" s="1">
        <f>VLOOKUP($E791,'Product Naming'!$A$1:$P$58,6,FALSE)</f>
        <v>6</v>
      </c>
      <c r="X791" s="1">
        <f>VLOOKUP($E791,'Product Naming'!$A$1:$P$58,7,FALSE)</f>
        <v>15</v>
      </c>
      <c r="Y791" s="1">
        <f>VLOOKUP($E791,'Product Naming'!$A$1:$P$58,8,FALSE)</f>
        <v>2</v>
      </c>
      <c r="Z791" s="1">
        <f>VLOOKUP($E791,'Product Naming'!$A$1:$P$58,9,FALSE)</f>
        <v>2</v>
      </c>
      <c r="AA791" s="1">
        <f>VLOOKUP($E791,'Product Naming'!$A$1:$P$58,10,FALSE)</f>
        <v>1</v>
      </c>
      <c r="AB791" s="29">
        <f>VLOOKUP($E791,'Product Naming'!$A$1:$P$58,11,FALSE)</f>
        <v>4.833333333333333</v>
      </c>
      <c r="AC791" s="3">
        <f>VLOOKUP($E791,'Product Naming'!$A$1:$P$58,12,FALSE)</f>
        <v>147.19319999999999</v>
      </c>
      <c r="AD791" s="1" t="str">
        <f>VLOOKUP($E791,'Product Naming'!$A$1:$P$58,13,FALSE)</f>
        <v>NA</v>
      </c>
      <c r="AE791" s="1" t="str">
        <f>VLOOKUP($E791,'Product Naming'!$A$1:$P$58,14,FALSE)</f>
        <v>Amino acid</v>
      </c>
      <c r="AF791" s="1" t="str">
        <f>VLOOKUP($E791,'Product Naming'!$A$1:$P$58,15,FALSE)</f>
        <v>Oxaloacetate</v>
      </c>
      <c r="AG791" s="30" t="str">
        <f>VLOOKUP($E791,'Product Naming'!$A$1:$P$58,16,FALSE)</f>
        <v>Proton antiport</v>
      </c>
      <c r="AH791" s="3" t="str">
        <f>VLOOKUP($E791,'Product Naming'!$A$1:$Q$58,17,FALSE)</f>
        <v>lys__L_</v>
      </c>
      <c r="AI791" s="1">
        <f>VLOOKUP($E791,'Product Parameters'!$A$2:$D$59,2,FALSE)</f>
        <v>1</v>
      </c>
      <c r="AJ791" s="1">
        <f>VLOOKUP($E791,'Product Parameters'!$A$2:$D$59,3,FALSE)</f>
        <v>0</v>
      </c>
      <c r="AK791" s="1">
        <f>VLOOKUP($E791,'Product Parameters'!$A$2:$D$59,4,FALSE)</f>
        <v>0.12</v>
      </c>
      <c r="AL791" s="1">
        <f>VLOOKUP($E791,'Product Parameters'!$A$2:$E$59,5,FALSE)</f>
        <v>40.65</v>
      </c>
      <c r="AM791" s="1">
        <f>VLOOKUP($E791,'Product Parameters'!$A$2:$F$59,6,FALSE)</f>
        <v>6</v>
      </c>
      <c r="AN791" s="1">
        <f>VLOOKUP($C791,'Substrate Heating'!$A$2:$C$33,3,FALSE)</f>
        <v>269.26666666666665</v>
      </c>
      <c r="AO791" s="1">
        <f>VLOOKUP($C791,'Substrate Heating'!$A$2:$B$33,2,FALSE)</f>
        <v>13.919167510409219</v>
      </c>
      <c r="AP791" s="1">
        <f>VLOOKUP($C791,'Substrate Heating'!$A$2:$M$33,13,FALSE)</f>
        <v>1.3333333333333333</v>
      </c>
      <c r="AQ791" s="1">
        <f>VLOOKUP($C791,'Substrate Heating'!$A$2:$M$33,8,FALSE)</f>
        <v>0.66666666666666663</v>
      </c>
      <c r="AR791" s="1">
        <f t="shared" si="12"/>
        <v>0.66692307692307595</v>
      </c>
    </row>
    <row r="792" spans="1:44" x14ac:dyDescent="0.2">
      <c r="A792" s="8" t="s">
        <v>816</v>
      </c>
      <c r="B792" s="18" t="s">
        <v>324</v>
      </c>
      <c r="C792" t="s">
        <v>815</v>
      </c>
      <c r="D792" s="19" t="s">
        <v>326</v>
      </c>
      <c r="E792" t="s">
        <v>308</v>
      </c>
      <c r="F792" t="s">
        <v>309</v>
      </c>
      <c r="G792">
        <v>-10</v>
      </c>
      <c r="H792">
        <v>0</v>
      </c>
      <c r="I792">
        <v>0</v>
      </c>
      <c r="J792">
        <v>0.45</v>
      </c>
      <c r="K792">
        <v>20</v>
      </c>
      <c r="L792">
        <v>0</v>
      </c>
      <c r="M792">
        <v>0</v>
      </c>
      <c r="N792">
        <v>20</v>
      </c>
      <c r="O792">
        <v>1.357746479</v>
      </c>
      <c r="P792"/>
      <c r="Q792">
        <v>6.7887323999999999E-2</v>
      </c>
      <c r="R792">
        <v>0.37661142199999997</v>
      </c>
      <c r="S792" s="1" t="str">
        <f>VLOOKUP($E792,'Product Naming'!$A$1:$P$58,2,FALSE)</f>
        <v>Shikimate</v>
      </c>
      <c r="T792" s="1" t="str">
        <f>VLOOKUP($E792,'Product Naming'!$A$1:$P$58,3,FALSE)</f>
        <v>Shikimate</v>
      </c>
      <c r="U792" s="1" t="str">
        <f>VLOOKUP($E792,'Product Naming'!$A$1:$P$58,4,FALSE)</f>
        <v>E</v>
      </c>
      <c r="V792" s="1" t="str">
        <f>VLOOKUP($E792,'Product Naming'!$A$1:$P$58,5,FALSE)</f>
        <v>C7H9O5</v>
      </c>
      <c r="W792" s="1">
        <f>VLOOKUP($E792,'Product Naming'!$A$1:$P$58,6,FALSE)</f>
        <v>7</v>
      </c>
      <c r="X792" s="1">
        <f>VLOOKUP($E792,'Product Naming'!$A$1:$P$58,7,FALSE)</f>
        <v>9</v>
      </c>
      <c r="Y792" s="1">
        <f>VLOOKUP($E792,'Product Naming'!$A$1:$P$58,8,FALSE)</f>
        <v>5</v>
      </c>
      <c r="Z792" s="1">
        <f>VLOOKUP($E792,'Product Naming'!$A$1:$P$58,9,FALSE)</f>
        <v>0</v>
      </c>
      <c r="AA792" s="1">
        <f>VLOOKUP($E792,'Product Naming'!$A$1:$P$58,10,FALSE)</f>
        <v>-1</v>
      </c>
      <c r="AB792" s="29">
        <f>VLOOKUP($E792,'Product Naming'!$A$1:$P$58,11,FALSE)</f>
        <v>3.8571428571428572</v>
      </c>
      <c r="AC792" s="3">
        <f>VLOOKUP($E792,'Product Naming'!$A$1:$P$58,12,FALSE)</f>
        <v>173.14046000000002</v>
      </c>
      <c r="AD792" s="1">
        <f>VLOOKUP($E792,'Product Naming'!$A$1:$P$58,13,FALSE)</f>
        <v>400.5</v>
      </c>
      <c r="AE792" s="1" t="str">
        <f>VLOOKUP($E792,'Product Naming'!$A$1:$P$58,14,FALSE)</f>
        <v>Aromatic + Alcohol + Carboxylate</v>
      </c>
      <c r="AF792" s="1" t="str">
        <f>VLOOKUP($E792,'Product Naming'!$A$1:$P$58,15,FALSE)</f>
        <v>PEP + E4P (Glyceraldehyde 3-P)</v>
      </c>
      <c r="AG792" s="30" t="str">
        <f>VLOOKUP($E792,'Product Naming'!$A$1:$P$58,16,FALSE)</f>
        <v>Proton symporter</v>
      </c>
      <c r="AH792" s="3" t="str">
        <f>VLOOKUP($E792,'Product Naming'!$A$1:$Q$58,17,FALSE)</f>
        <v>skm_c</v>
      </c>
      <c r="AI792" s="1">
        <f>VLOOKUP($E792,'Product Parameters'!$A$2:$D$59,2,FALSE)</f>
        <v>1</v>
      </c>
      <c r="AJ792" s="1">
        <f>VLOOKUP($E792,'Product Parameters'!$A$2:$D$59,3,FALSE)</f>
        <v>0</v>
      </c>
      <c r="AK792" s="1">
        <f>VLOOKUP($E792,'Product Parameters'!$A$2:$D$59,4,FALSE)</f>
        <v>0.12</v>
      </c>
      <c r="AL792" s="1">
        <f>VLOOKUP($E792,'Product Parameters'!$A$2:$E$59,5,FALSE)</f>
        <v>40.65</v>
      </c>
      <c r="AM792" s="1">
        <f>VLOOKUP($E792,'Product Parameters'!$A$2:$F$59,6,FALSE)</f>
        <v>7</v>
      </c>
      <c r="AN792" s="1">
        <f>VLOOKUP($C792,'Substrate Heating'!$A$2:$C$33,3,FALSE)</f>
        <v>226.4</v>
      </c>
      <c r="AO792" s="1">
        <f>VLOOKUP($C792,'Substrate Heating'!$A$2:$B$33,2,FALSE)</f>
        <v>7.2542014450728134</v>
      </c>
      <c r="AP792" s="1">
        <f>VLOOKUP($C792,'Substrate Heating'!$A$2:$M$33,13,FALSE)</f>
        <v>1.6</v>
      </c>
      <c r="AQ792" s="1">
        <f>VLOOKUP($C792,'Substrate Heating'!$A$2:$M$33,8,FALSE)</f>
        <v>1</v>
      </c>
      <c r="AR792" s="1">
        <f t="shared" si="12"/>
        <v>0.47521126800000002</v>
      </c>
    </row>
    <row r="793" spans="1:44" x14ac:dyDescent="0.2">
      <c r="A793" s="8" t="s">
        <v>34</v>
      </c>
      <c r="B793" s="9" t="s">
        <v>35</v>
      </c>
      <c r="C793" s="1" t="s">
        <v>331</v>
      </c>
      <c r="D793" s="10" t="s">
        <v>37</v>
      </c>
      <c r="E793" s="1" t="s">
        <v>108</v>
      </c>
      <c r="F793" s="1" t="s">
        <v>109</v>
      </c>
      <c r="G793" s="1">
        <v>-10</v>
      </c>
      <c r="H793" s="1">
        <v>-20</v>
      </c>
      <c r="I793" s="1" t="s">
        <v>40</v>
      </c>
      <c r="J793" s="1">
        <v>3.15</v>
      </c>
      <c r="K793" s="1">
        <v>-10</v>
      </c>
      <c r="L793" s="1">
        <v>-6.5001766784452304</v>
      </c>
      <c r="M793" s="1" t="s">
        <v>40</v>
      </c>
      <c r="N793" s="1">
        <v>4.4212014134275703</v>
      </c>
      <c r="O793" s="1">
        <v>1.94734982332156</v>
      </c>
      <c r="Q793" s="1">
        <v>0.194734982332156</v>
      </c>
      <c r="R793" s="1">
        <v>0.37696541506283299</v>
      </c>
      <c r="S793" s="1" t="str">
        <f>VLOOKUP($E793,'Product Naming'!$A$1:$P$58,2,FALSE)</f>
        <v>4-Hydroxystyrene</v>
      </c>
      <c r="T793" s="1" t="str">
        <f>VLOOKUP($E793,'Product Naming'!$A$1:$P$58,3,FALSE)</f>
        <v>4-Hydroxystyrene</v>
      </c>
      <c r="U793" s="1" t="str">
        <f>VLOOKUP($E793,'Product Naming'!$A$1:$P$58,4,FALSE)</f>
        <v>E</v>
      </c>
      <c r="V793" s="1" t="str">
        <f>VLOOKUP($E793,'Product Naming'!$A$1:$P$58,5,FALSE)</f>
        <v>C8H8O</v>
      </c>
      <c r="W793" s="1">
        <f>VLOOKUP($E793,'Product Naming'!$A$1:$P$58,6,FALSE)</f>
        <v>8</v>
      </c>
      <c r="X793" s="1">
        <f>VLOOKUP($E793,'Product Naming'!$A$1:$P$58,7,FALSE)</f>
        <v>8</v>
      </c>
      <c r="Y793" s="1">
        <f>VLOOKUP($E793,'Product Naming'!$A$1:$P$58,8,FALSE)</f>
        <v>1</v>
      </c>
      <c r="Z793" s="1">
        <f>VLOOKUP($E793,'Product Naming'!$A$1:$P$58,9,FALSE)</f>
        <v>0</v>
      </c>
      <c r="AA793" s="1">
        <f>VLOOKUP($E793,'Product Naming'!$A$1:$P$58,10,FALSE)</f>
        <v>0</v>
      </c>
      <c r="AB793" s="29">
        <f>VLOOKUP($E793,'Product Naming'!$A$1:$P$58,11,FALSE)</f>
        <v>4.75</v>
      </c>
      <c r="AC793" s="3">
        <f>VLOOKUP($E793,'Product Naming'!$A$1:$P$58,12,FALSE)</f>
        <v>120.14731999999999</v>
      </c>
      <c r="AD793" s="1">
        <f>VLOOKUP($E793,'Product Naming'!$A$1:$P$58,13,FALSE)</f>
        <v>229</v>
      </c>
      <c r="AE793" s="1" t="str">
        <f>VLOOKUP($E793,'Product Naming'!$A$1:$P$58,14,FALSE)</f>
        <v>Aromatic + Alcohol</v>
      </c>
      <c r="AF793" s="1" t="str">
        <f>VLOOKUP($E793,'Product Naming'!$A$1:$P$58,15,FALSE)</f>
        <v>E4P + L-glutamate</v>
      </c>
      <c r="AG793" s="30" t="str">
        <f>VLOOKUP($E793,'Product Naming'!$A$1:$P$58,16,FALSE)</f>
        <v>Proton symporter</v>
      </c>
      <c r="AH793" s="3" t="str">
        <f>VLOOKUP($E793,'Product Naming'!$A$1:$Q$58,17,FALSE)</f>
        <v>4hxst_c</v>
      </c>
      <c r="AI793" s="1">
        <f>VLOOKUP($E793,'Product Parameters'!$A$2:$D$59,2,FALSE)</f>
        <v>1</v>
      </c>
      <c r="AJ793" s="1">
        <f>VLOOKUP($E793,'Product Parameters'!$A$2:$D$59,3,FALSE)</f>
        <v>0</v>
      </c>
      <c r="AK793" s="1">
        <f>VLOOKUP($E793,'Product Parameters'!$A$2:$D$59,4,FALSE)</f>
        <v>0.12</v>
      </c>
      <c r="AL793" s="1">
        <f>VLOOKUP($E793,'Product Parameters'!$A$2:$E$59,5,FALSE)</f>
        <v>40.65</v>
      </c>
      <c r="AM793" s="1">
        <f>VLOOKUP($E793,'Product Parameters'!$A$2:$F$59,6,FALSE)</f>
        <v>8</v>
      </c>
      <c r="AN793" s="1">
        <f>VLOOKUP($C793,'Substrate Heating'!$A$2:$C$33,3,FALSE)</f>
        <v>1055.1294800000001</v>
      </c>
      <c r="AO793" s="1">
        <f>VLOOKUP($C793,'Substrate Heating'!$A$2:$B$33,2,FALSE)</f>
        <v>17</v>
      </c>
      <c r="AP793" s="1">
        <f>VLOOKUP($C793,'Substrate Heating'!$A$2:$M$33,13,FALSE)</f>
        <v>5</v>
      </c>
      <c r="AQ793" s="1">
        <f>VLOOKUP($C793,'Substrate Heating'!$A$2:$M$33,8,FALSE)</f>
        <v>2</v>
      </c>
      <c r="AR793" s="1">
        <f t="shared" si="12"/>
        <v>0.77893992932862399</v>
      </c>
    </row>
    <row r="794" spans="1:44" x14ac:dyDescent="0.2">
      <c r="A794" s="17" t="s">
        <v>323</v>
      </c>
      <c r="B794" s="18" t="s">
        <v>324</v>
      </c>
      <c r="C794" t="s">
        <v>336</v>
      </c>
      <c r="D794" s="19" t="s">
        <v>326</v>
      </c>
      <c r="E794" t="s">
        <v>275</v>
      </c>
      <c r="F794" t="s">
        <v>276</v>
      </c>
      <c r="G794">
        <v>-10</v>
      </c>
      <c r="H794">
        <v>0</v>
      </c>
      <c r="I794">
        <v>-20</v>
      </c>
      <c r="J794">
        <v>0.45</v>
      </c>
      <c r="K794">
        <v>-10</v>
      </c>
      <c r="L794">
        <v>0</v>
      </c>
      <c r="M794">
        <v>-11.0769230769231</v>
      </c>
      <c r="N794">
        <v>0</v>
      </c>
      <c r="O794">
        <v>1.7846153846153801</v>
      </c>
      <c r="P794"/>
      <c r="Q794">
        <v>0.17846153846153801</v>
      </c>
      <c r="R794" s="20">
        <v>0.37729062947226699</v>
      </c>
      <c r="S794" s="1" t="str">
        <f>VLOOKUP($E794,'Product Naming'!$A$1:$P$58,2,FALSE)</f>
        <v>Malonate</v>
      </c>
      <c r="T794" s="1" t="str">
        <f>VLOOKUP($E794,'Product Naming'!$A$1:$P$58,3,FALSE)</f>
        <v>Malonate</v>
      </c>
      <c r="U794" s="1" t="str">
        <f>VLOOKUP($E794,'Product Naming'!$A$1:$P$58,4,FALSE)</f>
        <v>A</v>
      </c>
      <c r="V794" s="1" t="str">
        <f>VLOOKUP($E794,'Product Naming'!$A$1:$P$58,5,FALSE)</f>
        <v>C3H2O4</v>
      </c>
      <c r="W794" s="1">
        <f>VLOOKUP($E794,'Product Naming'!$A$1:$P$58,6,FALSE)</f>
        <v>3</v>
      </c>
      <c r="X794" s="1">
        <f>VLOOKUP($E794,'Product Naming'!$A$1:$P$58,7,FALSE)</f>
        <v>2</v>
      </c>
      <c r="Y794" s="1">
        <f>VLOOKUP($E794,'Product Naming'!$A$1:$P$58,8,FALSE)</f>
        <v>4</v>
      </c>
      <c r="Z794" s="1">
        <f>VLOOKUP($E794,'Product Naming'!$A$1:$P$58,9,FALSE)</f>
        <v>0</v>
      </c>
      <c r="AA794" s="1">
        <f>VLOOKUP($E794,'Product Naming'!$A$1:$P$58,10,FALSE)</f>
        <v>-2</v>
      </c>
      <c r="AB794" s="29">
        <f>VLOOKUP($E794,'Product Naming'!$A$1:$P$58,11,FALSE)</f>
        <v>2</v>
      </c>
      <c r="AC794" s="3">
        <f>VLOOKUP($E794,'Product Naming'!$A$1:$P$58,12,FALSE)</f>
        <v>102.04378</v>
      </c>
      <c r="AD794" s="1">
        <f>VLOOKUP($E794,'Product Naming'!$A$1:$P$58,13,FALSE)</f>
        <v>199</v>
      </c>
      <c r="AE794" s="1" t="str">
        <f>VLOOKUP($E794,'Product Naming'!$A$1:$P$58,14,FALSE)</f>
        <v>Dicarboxylate</v>
      </c>
      <c r="AF794" s="1" t="str">
        <f>VLOOKUP($E794,'Product Naming'!$A$1:$P$58,15,FALSE)</f>
        <v>Oxaloacetate</v>
      </c>
      <c r="AG794" s="30" t="str">
        <f>VLOOKUP($E794,'Product Naming'!$A$1:$P$58,16,FALSE)</f>
        <v>Proton symporter</v>
      </c>
      <c r="AH794" s="3" t="str">
        <f>VLOOKUP($E794,'Product Naming'!$A$1:$Q$58,17,FALSE)</f>
        <v>malon_c</v>
      </c>
      <c r="AI794" s="1">
        <f>VLOOKUP($E794,'Product Parameters'!$A$2:$D$59,2,FALSE)</f>
        <v>1</v>
      </c>
      <c r="AJ794" s="1">
        <f>VLOOKUP($E794,'Product Parameters'!$A$2:$D$59,3,FALSE)</f>
        <v>0</v>
      </c>
      <c r="AK794" s="1">
        <f>VLOOKUP($E794,'Product Parameters'!$A$2:$D$59,4,FALSE)</f>
        <v>0.12</v>
      </c>
      <c r="AL794" s="1">
        <f>VLOOKUP($E794,'Product Parameters'!$A$2:$E$59,5,FALSE)</f>
        <v>40.65</v>
      </c>
      <c r="AM794" s="1">
        <f>VLOOKUP($E794,'Product Parameters'!$A$2:$F$59,6,FALSE)</f>
        <v>3</v>
      </c>
      <c r="AN794" s="1">
        <f>VLOOKUP($C794,'Substrate Heating'!$A$2:$C$33,3,FALSE)</f>
        <v>245.86666666666667</v>
      </c>
      <c r="AO794" s="1">
        <f>VLOOKUP($C794,'Substrate Heating'!$A$2:$B$33,2,FALSE)</f>
        <v>15.038360459876978</v>
      </c>
      <c r="AP794" s="1">
        <f>VLOOKUP($C794,'Substrate Heating'!$A$2:$M$33,13,FALSE)</f>
        <v>0.33333333333333331</v>
      </c>
      <c r="AQ794" s="1">
        <f>VLOOKUP($C794,'Substrate Heating'!$A$2:$M$33,8,FALSE)</f>
        <v>0.33333333333333331</v>
      </c>
      <c r="AR794" s="1">
        <f t="shared" si="12"/>
        <v>1.606153846153842</v>
      </c>
    </row>
    <row r="795" spans="1:44" x14ac:dyDescent="0.2">
      <c r="A795" s="17" t="s">
        <v>323</v>
      </c>
      <c r="B795" s="18" t="s">
        <v>324</v>
      </c>
      <c r="C795" t="s">
        <v>336</v>
      </c>
      <c r="D795" s="19" t="s">
        <v>326</v>
      </c>
      <c r="E795" t="s">
        <v>215</v>
      </c>
      <c r="F795" t="s">
        <v>216</v>
      </c>
      <c r="G795">
        <v>-10</v>
      </c>
      <c r="H795">
        <v>0</v>
      </c>
      <c r="I795">
        <v>-20</v>
      </c>
      <c r="J795">
        <v>0.45</v>
      </c>
      <c r="K795">
        <v>-10</v>
      </c>
      <c r="L795">
        <v>0</v>
      </c>
      <c r="M795">
        <v>-12.475675675675699</v>
      </c>
      <c r="N795">
        <v>0</v>
      </c>
      <c r="O795">
        <v>1.2540540540540499</v>
      </c>
      <c r="P795"/>
      <c r="Q795">
        <v>0.12540540540540501</v>
      </c>
      <c r="R795" s="20">
        <v>0.37742677152800302</v>
      </c>
      <c r="S795" s="1" t="str">
        <f>VLOOKUP($E795,'Product Naming'!$A$1:$P$58,2,FALSE)</f>
        <v>Glutamate_L</v>
      </c>
      <c r="T795" s="1" t="str">
        <f>VLOOKUP($E795,'Product Naming'!$A$1:$P$58,3,FALSE)</f>
        <v>L-Glutamate</v>
      </c>
      <c r="U795" s="1" t="str">
        <f>VLOOKUP($E795,'Product Naming'!$A$1:$P$58,4,FALSE)</f>
        <v>iJO1366</v>
      </c>
      <c r="V795" s="1" t="str">
        <f>VLOOKUP($E795,'Product Naming'!$A$1:$P$58,5,FALSE)</f>
        <v>C5H8NO4</v>
      </c>
      <c r="W795" s="1">
        <f>VLOOKUP($E795,'Product Naming'!$A$1:$P$58,6,FALSE)</f>
        <v>5</v>
      </c>
      <c r="X795" s="1">
        <f>VLOOKUP($E795,'Product Naming'!$A$1:$P$58,7,FALSE)</f>
        <v>8</v>
      </c>
      <c r="Y795" s="1">
        <f>VLOOKUP($E795,'Product Naming'!$A$1:$P$58,8,FALSE)</f>
        <v>4</v>
      </c>
      <c r="Z795" s="1">
        <f>VLOOKUP($E795,'Product Naming'!$A$1:$P$58,9,FALSE)</f>
        <v>1</v>
      </c>
      <c r="AA795" s="1">
        <f>VLOOKUP($E795,'Product Naming'!$A$1:$P$58,10,FALSE)</f>
        <v>-1</v>
      </c>
      <c r="AB795" s="29">
        <f>VLOOKUP($E795,'Product Naming'!$A$1:$P$58,11,FALSE)</f>
        <v>3.4</v>
      </c>
      <c r="AC795" s="3">
        <f>VLOOKUP($E795,'Product Naming'!$A$1:$P$58,12,FALSE)</f>
        <v>146.11892</v>
      </c>
      <c r="AD795" s="1">
        <f>VLOOKUP($E795,'Product Naming'!$A$1:$P$58,13,FALSE)</f>
        <v>333.8</v>
      </c>
      <c r="AE795" s="1" t="str">
        <f>VLOOKUP($E795,'Product Naming'!$A$1:$P$58,14,FALSE)</f>
        <v>Amino acid</v>
      </c>
      <c r="AF795" s="1" t="str">
        <f>VLOOKUP($E795,'Product Naming'!$A$1:$P$58,15,FALSE)</f>
        <v>aKG</v>
      </c>
      <c r="AG795" s="30" t="str">
        <f>VLOOKUP($E795,'Product Naming'!$A$1:$P$58,16,FALSE)</f>
        <v>Proton symporter</v>
      </c>
      <c r="AH795" s="3" t="str">
        <f>VLOOKUP($E795,'Product Naming'!$A$1:$Q$58,17,FALSE)</f>
        <v>glu__L_c</v>
      </c>
      <c r="AI795" s="1">
        <f>VLOOKUP($E795,'Product Parameters'!$A$2:$D$59,2,FALSE)</f>
        <v>1</v>
      </c>
      <c r="AJ795" s="1">
        <f>VLOOKUP($E795,'Product Parameters'!$A$2:$D$59,3,FALSE)</f>
        <v>0</v>
      </c>
      <c r="AK795" s="1">
        <f>VLOOKUP($E795,'Product Parameters'!$A$2:$D$59,4,FALSE)</f>
        <v>0.12</v>
      </c>
      <c r="AL795" s="1">
        <f>VLOOKUP($E795,'Product Parameters'!$A$2:$E$59,5,FALSE)</f>
        <v>40.65</v>
      </c>
      <c r="AM795" s="1">
        <f>VLOOKUP($E795,'Product Parameters'!$A$2:$F$59,6,FALSE)</f>
        <v>5</v>
      </c>
      <c r="AN795" s="1">
        <f>VLOOKUP($C795,'Substrate Heating'!$A$2:$C$33,3,FALSE)</f>
        <v>245.86666666666667</v>
      </c>
      <c r="AO795" s="1">
        <f>VLOOKUP($C795,'Substrate Heating'!$A$2:$B$33,2,FALSE)</f>
        <v>15.038360459876978</v>
      </c>
      <c r="AP795" s="1">
        <f>VLOOKUP($C795,'Substrate Heating'!$A$2:$M$33,13,FALSE)</f>
        <v>0.33333333333333331</v>
      </c>
      <c r="AQ795" s="1">
        <f>VLOOKUP($C795,'Substrate Heating'!$A$2:$M$33,8,FALSE)</f>
        <v>0.33333333333333331</v>
      </c>
      <c r="AR795" s="1">
        <f t="shared" si="12"/>
        <v>1.8810810810810752</v>
      </c>
    </row>
    <row r="796" spans="1:44" x14ac:dyDescent="0.2">
      <c r="A796" s="17" t="s">
        <v>231</v>
      </c>
      <c r="B796" s="9" t="s">
        <v>35</v>
      </c>
      <c r="C796" t="s">
        <v>346</v>
      </c>
      <c r="D796" s="23" t="s">
        <v>338</v>
      </c>
      <c r="E796" t="s">
        <v>283</v>
      </c>
      <c r="F796" t="s">
        <v>284</v>
      </c>
      <c r="G796">
        <v>-10</v>
      </c>
      <c r="H796">
        <v>-20</v>
      </c>
      <c r="I796" s="1" t="s">
        <v>40</v>
      </c>
      <c r="J796">
        <v>3.15</v>
      </c>
      <c r="K796">
        <v>-10</v>
      </c>
      <c r="L796">
        <v>-1.75760950259837</v>
      </c>
      <c r="M796" s="1" t="s">
        <v>40</v>
      </c>
      <c r="N796">
        <v>1.5248700816629599</v>
      </c>
      <c r="O796">
        <v>1.0593912397921299</v>
      </c>
      <c r="P796"/>
      <c r="Q796">
        <v>0.105939123979213</v>
      </c>
      <c r="R796">
        <v>0.377674104783639</v>
      </c>
      <c r="S796" s="1" t="str">
        <f>VLOOKUP($E796,'Product Naming'!$A$1:$P$58,2,FALSE)</f>
        <v>Octane</v>
      </c>
      <c r="T796" s="1" t="str">
        <f>VLOOKUP($E796,'Product Naming'!$A$1:$P$58,3,FALSE)</f>
        <v>Octane</v>
      </c>
      <c r="U796" s="1" t="str">
        <f>VLOOKUP($E796,'Product Naming'!$A$1:$P$58,4,FALSE)</f>
        <v>E</v>
      </c>
      <c r="V796" s="1" t="str">
        <f>VLOOKUP($E796,'Product Naming'!$A$1:$P$58,5,FALSE)</f>
        <v>C8H18</v>
      </c>
      <c r="W796" s="1">
        <f>VLOOKUP($E796,'Product Naming'!$A$1:$P$58,6,FALSE)</f>
        <v>8</v>
      </c>
      <c r="X796" s="1">
        <f>VLOOKUP($E796,'Product Naming'!$A$1:$P$58,7,FALSE)</f>
        <v>18</v>
      </c>
      <c r="Y796" s="1">
        <f>VLOOKUP($E796,'Product Naming'!$A$1:$P$58,8,FALSE)</f>
        <v>0</v>
      </c>
      <c r="Z796" s="1">
        <f>VLOOKUP($E796,'Product Naming'!$A$1:$P$58,9,FALSE)</f>
        <v>0</v>
      </c>
      <c r="AA796" s="1">
        <f>VLOOKUP($E796,'Product Naming'!$A$1:$P$58,10,FALSE)</f>
        <v>0</v>
      </c>
      <c r="AB796" s="29">
        <f>VLOOKUP($E796,'Product Naming'!$A$1:$P$58,11,FALSE)</f>
        <v>6.25</v>
      </c>
      <c r="AC796" s="3">
        <f>VLOOKUP($E796,'Product Naming'!$A$1:$P$58,12,FALSE)</f>
        <v>114.22672</v>
      </c>
      <c r="AD796" s="1">
        <f>VLOOKUP($E796,'Product Naming'!$A$1:$P$58,13,FALSE)</f>
        <v>126</v>
      </c>
      <c r="AE796" s="1" t="str">
        <f>VLOOKUP($E796,'Product Naming'!$A$1:$P$58,14,FALSE)</f>
        <v>Hydrocarbon (alkane)</v>
      </c>
      <c r="AF796" s="1" t="str">
        <f>VLOOKUP($E796,'Product Naming'!$A$1:$P$58,15,FALSE)</f>
        <v>Acetyl-CoA + Succinyl-CoA</v>
      </c>
      <c r="AG796" s="30" t="str">
        <f>VLOOKUP($E796,'Product Naming'!$A$1:$P$58,16,FALSE)</f>
        <v>Proton symporter</v>
      </c>
      <c r="AH796" s="3" t="str">
        <f>VLOOKUP($E796,'Product Naming'!$A$1:$Q$58,17,FALSE)</f>
        <v>octn_c</v>
      </c>
      <c r="AI796" s="1">
        <f>VLOOKUP($E796,'Product Parameters'!$A$2:$D$59,2,FALSE)</f>
        <v>1</v>
      </c>
      <c r="AJ796" s="1">
        <f>VLOOKUP($E796,'Product Parameters'!$A$2:$D$59,3,FALSE)</f>
        <v>0</v>
      </c>
      <c r="AK796" s="1">
        <f>VLOOKUP($E796,'Product Parameters'!$A$2:$D$59,4,FALSE)</f>
        <v>0.12</v>
      </c>
      <c r="AL796" s="1">
        <f>VLOOKUP($E796,'Product Parameters'!$A$2:$E$59,5,FALSE)</f>
        <v>41</v>
      </c>
      <c r="AM796" s="1">
        <f>VLOOKUP($E796,'Product Parameters'!$A$2:$F$59,6,FALSE)</f>
        <v>8</v>
      </c>
      <c r="AN796" s="1">
        <f>VLOOKUP($C796,'Substrate Heating'!$A$2:$C$33,3,FALSE)</f>
        <v>638.57832580000002</v>
      </c>
      <c r="AO796" s="1">
        <f>VLOOKUP($C796,'Substrate Heating'!$A$2:$B$33,2,FALSE)</f>
        <v>19.93</v>
      </c>
      <c r="AP796" s="1">
        <f>VLOOKUP($C796,'Substrate Heating'!$A$2:$M$33,13,FALSE)</f>
        <v>6</v>
      </c>
      <c r="AQ796" s="1">
        <f>VLOOKUP($C796,'Substrate Heating'!$A$2:$M$33,8,FALSE)</f>
        <v>1</v>
      </c>
      <c r="AR796" s="1">
        <f t="shared" si="12"/>
        <v>0.84751299183370399</v>
      </c>
    </row>
    <row r="797" spans="1:44" x14ac:dyDescent="0.2">
      <c r="A797" s="17" t="s">
        <v>231</v>
      </c>
      <c r="B797" s="9" t="s">
        <v>35</v>
      </c>
      <c r="C797" t="s">
        <v>347</v>
      </c>
      <c r="D797" s="23" t="s">
        <v>338</v>
      </c>
      <c r="E797" t="s">
        <v>283</v>
      </c>
      <c r="F797" t="s">
        <v>284</v>
      </c>
      <c r="G797">
        <v>-10</v>
      </c>
      <c r="H797">
        <v>-20</v>
      </c>
      <c r="I797" s="1" t="s">
        <v>40</v>
      </c>
      <c r="J797">
        <v>3.15</v>
      </c>
      <c r="K797">
        <v>-10</v>
      </c>
      <c r="L797">
        <v>-1.75760950259837</v>
      </c>
      <c r="M797" s="1" t="s">
        <v>40</v>
      </c>
      <c r="N797">
        <v>1.5248700816629599</v>
      </c>
      <c r="O797">
        <v>1.0593912397921299</v>
      </c>
      <c r="P797"/>
      <c r="Q797">
        <v>0.105939123979213</v>
      </c>
      <c r="R797">
        <v>0.377674104783639</v>
      </c>
      <c r="S797" s="1" t="str">
        <f>VLOOKUP($E797,'Product Naming'!$A$1:$P$58,2,FALSE)</f>
        <v>Octane</v>
      </c>
      <c r="T797" s="1" t="str">
        <f>VLOOKUP($E797,'Product Naming'!$A$1:$P$58,3,FALSE)</f>
        <v>Octane</v>
      </c>
      <c r="U797" s="1" t="str">
        <f>VLOOKUP($E797,'Product Naming'!$A$1:$P$58,4,FALSE)</f>
        <v>E</v>
      </c>
      <c r="V797" s="1" t="str">
        <f>VLOOKUP($E797,'Product Naming'!$A$1:$P$58,5,FALSE)</f>
        <v>C8H18</v>
      </c>
      <c r="W797" s="1">
        <f>VLOOKUP($E797,'Product Naming'!$A$1:$P$58,6,FALSE)</f>
        <v>8</v>
      </c>
      <c r="X797" s="1">
        <f>VLOOKUP($E797,'Product Naming'!$A$1:$P$58,7,FALSE)</f>
        <v>18</v>
      </c>
      <c r="Y797" s="1">
        <f>VLOOKUP($E797,'Product Naming'!$A$1:$P$58,8,FALSE)</f>
        <v>0</v>
      </c>
      <c r="Z797" s="1">
        <f>VLOOKUP($E797,'Product Naming'!$A$1:$P$58,9,FALSE)</f>
        <v>0</v>
      </c>
      <c r="AA797" s="1">
        <f>VLOOKUP($E797,'Product Naming'!$A$1:$P$58,10,FALSE)</f>
        <v>0</v>
      </c>
      <c r="AB797" s="29">
        <f>VLOOKUP($E797,'Product Naming'!$A$1:$P$58,11,FALSE)</f>
        <v>6.25</v>
      </c>
      <c r="AC797" s="3">
        <f>VLOOKUP($E797,'Product Naming'!$A$1:$P$58,12,FALSE)</f>
        <v>114.22672</v>
      </c>
      <c r="AD797" s="1">
        <f>VLOOKUP($E797,'Product Naming'!$A$1:$P$58,13,FALSE)</f>
        <v>126</v>
      </c>
      <c r="AE797" s="1" t="str">
        <f>VLOOKUP($E797,'Product Naming'!$A$1:$P$58,14,FALSE)</f>
        <v>Hydrocarbon (alkane)</v>
      </c>
      <c r="AF797" s="1" t="str">
        <f>VLOOKUP($E797,'Product Naming'!$A$1:$P$58,15,FALSE)</f>
        <v>Acetyl-CoA + Succinyl-CoA</v>
      </c>
      <c r="AG797" s="30" t="str">
        <f>VLOOKUP($E797,'Product Naming'!$A$1:$P$58,16,FALSE)</f>
        <v>Proton symporter</v>
      </c>
      <c r="AH797" s="3" t="str">
        <f>VLOOKUP($E797,'Product Naming'!$A$1:$Q$58,17,FALSE)</f>
        <v>octn_c</v>
      </c>
      <c r="AI797" s="1">
        <f>VLOOKUP($E797,'Product Parameters'!$A$2:$D$59,2,FALSE)</f>
        <v>1</v>
      </c>
      <c r="AJ797" s="1">
        <f>VLOOKUP($E797,'Product Parameters'!$A$2:$D$59,3,FALSE)</f>
        <v>0</v>
      </c>
      <c r="AK797" s="1">
        <f>VLOOKUP($E797,'Product Parameters'!$A$2:$D$59,4,FALSE)</f>
        <v>0.12</v>
      </c>
      <c r="AL797" s="1">
        <f>VLOOKUP($E797,'Product Parameters'!$A$2:$E$59,5,FALSE)</f>
        <v>41</v>
      </c>
      <c r="AM797" s="1">
        <f>VLOOKUP($E797,'Product Parameters'!$A$2:$F$59,6,FALSE)</f>
        <v>8</v>
      </c>
      <c r="AN797" s="1">
        <f>VLOOKUP($C797,'Substrate Heating'!$A$2:$C$33,3,FALSE)</f>
        <v>638.57832580000002</v>
      </c>
      <c r="AO797" s="1">
        <f>VLOOKUP($C797,'Substrate Heating'!$A$2:$B$33,2,FALSE)</f>
        <v>19.93</v>
      </c>
      <c r="AP797" s="1">
        <f>VLOOKUP($C797,'Substrate Heating'!$A$2:$M$33,13,FALSE)</f>
        <v>6</v>
      </c>
      <c r="AQ797" s="1">
        <f>VLOOKUP($C797,'Substrate Heating'!$A$2:$M$33,8,FALSE)</f>
        <v>1</v>
      </c>
      <c r="AR797" s="1">
        <f t="shared" si="12"/>
        <v>0.84751299183370399</v>
      </c>
    </row>
    <row r="798" spans="1:44" x14ac:dyDescent="0.2">
      <c r="A798" s="8" t="s">
        <v>34</v>
      </c>
      <c r="B798" s="9" t="s">
        <v>35</v>
      </c>
      <c r="C798" s="1" t="s">
        <v>331</v>
      </c>
      <c r="D798" s="10" t="s">
        <v>37</v>
      </c>
      <c r="E798" s="1" t="s">
        <v>103</v>
      </c>
      <c r="F798" s="1" t="s">
        <v>104</v>
      </c>
      <c r="G798" s="1">
        <v>-10</v>
      </c>
      <c r="H798" s="1">
        <v>-20</v>
      </c>
      <c r="I798" s="1" t="s">
        <v>40</v>
      </c>
      <c r="J798" s="1">
        <v>3.15</v>
      </c>
      <c r="K798" s="1">
        <v>-10</v>
      </c>
      <c r="L798" s="1">
        <v>-4.3337499999999904</v>
      </c>
      <c r="M798" s="1" t="s">
        <v>40</v>
      </c>
      <c r="N798" s="1">
        <v>6.2225000000000099</v>
      </c>
      <c r="O798" s="1">
        <v>2.2962500000000001</v>
      </c>
      <c r="Q798" s="1">
        <v>0.229625</v>
      </c>
      <c r="R798" s="1">
        <v>0.37800590883312102</v>
      </c>
      <c r="S798" s="1" t="str">
        <f>VLOOKUP($E798,'Product Naming'!$A$1:$P$58,2,FALSE)</f>
        <v>3-Methyl-1-Pentanol</v>
      </c>
      <c r="T798" s="1" t="str">
        <f>VLOOKUP($E798,'Product Naming'!$A$1:$P$58,3,FALSE)</f>
        <v>3-Methyl-1-pentanol</v>
      </c>
      <c r="U798" s="1" t="str">
        <f>VLOOKUP($E798,'Product Naming'!$A$1:$P$58,4,FALSE)</f>
        <v>A</v>
      </c>
      <c r="V798" s="1" t="str">
        <f>VLOOKUP($E798,'Product Naming'!$A$1:$P$58,5,FALSE)</f>
        <v>C6H14O</v>
      </c>
      <c r="W798" s="1">
        <f>VLOOKUP($E798,'Product Naming'!$A$1:$P$58,6,FALSE)</f>
        <v>6</v>
      </c>
      <c r="X798" s="1">
        <f>VLOOKUP($E798,'Product Naming'!$A$1:$P$58,7,FALSE)</f>
        <v>14</v>
      </c>
      <c r="Y798" s="1">
        <f>VLOOKUP($E798,'Product Naming'!$A$1:$P$58,8,FALSE)</f>
        <v>1</v>
      </c>
      <c r="Z798" s="1">
        <f>VLOOKUP($E798,'Product Naming'!$A$1:$P$58,9,FALSE)</f>
        <v>0</v>
      </c>
      <c r="AA798" s="1">
        <f>VLOOKUP($E798,'Product Naming'!$A$1:$P$58,10,FALSE)</f>
        <v>0</v>
      </c>
      <c r="AB798" s="29">
        <f>VLOOKUP($E798,'Product Naming'!$A$1:$P$58,11,FALSE)</f>
        <v>6</v>
      </c>
      <c r="AC798" s="3">
        <f>VLOOKUP($E798,'Product Naming'!$A$1:$P$58,12,FALSE)</f>
        <v>102.17295999999999</v>
      </c>
      <c r="AD798" s="1">
        <f>VLOOKUP($E798,'Product Naming'!$A$1:$P$58,13,FALSE)</f>
        <v>153</v>
      </c>
      <c r="AE798" s="1" t="str">
        <f>VLOOKUP($E798,'Product Naming'!$A$1:$P$58,14,FALSE)</f>
        <v>Alcohol</v>
      </c>
      <c r="AF798" s="1" t="str">
        <f>VLOOKUP($E798,'Product Naming'!$A$1:$P$58,15,FALSE)</f>
        <v>Oxaloacetate</v>
      </c>
      <c r="AG798" s="30" t="str">
        <f>VLOOKUP($E798,'Product Naming'!$A$1:$P$58,16,FALSE)</f>
        <v>Proton symporter</v>
      </c>
      <c r="AH798" s="3" t="str">
        <f>VLOOKUP($E798,'Product Naming'!$A$1:$Q$58,17,FALSE)</f>
        <v>3mptoh_c</v>
      </c>
      <c r="AI798" s="1">
        <f>VLOOKUP($E798,'Product Parameters'!$A$2:$D$59,2,FALSE)</f>
        <v>1</v>
      </c>
      <c r="AJ798" s="1">
        <f>VLOOKUP($E798,'Product Parameters'!$A$2:$D$59,3,FALSE)</f>
        <v>0</v>
      </c>
      <c r="AK798" s="1">
        <f>VLOOKUP($E798,'Product Parameters'!$A$2:$D$59,4,FALSE)</f>
        <v>0.12</v>
      </c>
      <c r="AL798" s="1">
        <f>VLOOKUP($E798,'Product Parameters'!$A$2:$E$59,5,FALSE)</f>
        <v>61.7</v>
      </c>
      <c r="AM798" s="1">
        <f>VLOOKUP($E798,'Product Parameters'!$A$2:$F$59,6,FALSE)</f>
        <v>6</v>
      </c>
      <c r="AN798" s="1">
        <f>VLOOKUP($C798,'Substrate Heating'!$A$2:$C$33,3,FALSE)</f>
        <v>1055.1294800000001</v>
      </c>
      <c r="AO798" s="1">
        <f>VLOOKUP($C798,'Substrate Heating'!$A$2:$B$33,2,FALSE)</f>
        <v>17</v>
      </c>
      <c r="AP798" s="1">
        <f>VLOOKUP($C798,'Substrate Heating'!$A$2:$M$33,13,FALSE)</f>
        <v>5</v>
      </c>
      <c r="AQ798" s="1">
        <f>VLOOKUP($C798,'Substrate Heating'!$A$2:$M$33,8,FALSE)</f>
        <v>2</v>
      </c>
      <c r="AR798" s="1">
        <f t="shared" si="12"/>
        <v>0.68887500000000002</v>
      </c>
    </row>
    <row r="799" spans="1:44" x14ac:dyDescent="0.2">
      <c r="A799" s="8" t="s">
        <v>34</v>
      </c>
      <c r="B799" s="9" t="s">
        <v>35</v>
      </c>
      <c r="C799" s="1" t="s">
        <v>348</v>
      </c>
      <c r="D799" s="23" t="s">
        <v>338</v>
      </c>
      <c r="E799" s="1" t="s">
        <v>72</v>
      </c>
      <c r="F799" s="1" t="s">
        <v>73</v>
      </c>
      <c r="G799" s="1">
        <v>-10</v>
      </c>
      <c r="H799" s="1">
        <v>-20</v>
      </c>
      <c r="I799" s="1" t="s">
        <v>40</v>
      </c>
      <c r="J799" s="1">
        <v>3.15</v>
      </c>
      <c r="K799" s="1">
        <v>-10</v>
      </c>
      <c r="L799" s="1">
        <v>-5.9284090909090903</v>
      </c>
      <c r="M799" s="1" t="s">
        <v>40</v>
      </c>
      <c r="N799" s="1">
        <v>3.9522727272727098</v>
      </c>
      <c r="O799" s="1">
        <v>2.01590909090908</v>
      </c>
      <c r="Q799" s="1">
        <v>0.20159090909090799</v>
      </c>
      <c r="R799" s="1">
        <v>0.37808885862531999</v>
      </c>
      <c r="S799" s="1" t="str">
        <f>VLOOKUP($E799,'Product Naming'!$A$1:$P$58,2,FALSE)</f>
        <v>1-propanol-PW1</v>
      </c>
      <c r="T799" s="1" t="str">
        <f>VLOOKUP($E799,'Product Naming'!$A$1:$P$58,3,FALSE)</f>
        <v>1-Propanol (PW1)</v>
      </c>
      <c r="U799" s="1" t="str">
        <f>VLOOKUP($E799,'Product Naming'!$A$1:$P$58,4,FALSE)</f>
        <v>E-S</v>
      </c>
      <c r="V799" s="1" t="str">
        <f>VLOOKUP($E799,'Product Naming'!$A$1:$P$58,5,FALSE)</f>
        <v>C3H8O</v>
      </c>
      <c r="W799" s="1">
        <f>VLOOKUP($E799,'Product Naming'!$A$1:$P$58,6,FALSE)</f>
        <v>3</v>
      </c>
      <c r="X799" s="1">
        <f>VLOOKUP($E799,'Product Naming'!$A$1:$P$58,7,FALSE)</f>
        <v>8</v>
      </c>
      <c r="Y799" s="1">
        <f>VLOOKUP($E799,'Product Naming'!$A$1:$P$58,8,FALSE)</f>
        <v>1</v>
      </c>
      <c r="Z799" s="1">
        <f>VLOOKUP($E799,'Product Naming'!$A$1:$P$58,9,FALSE)</f>
        <v>0</v>
      </c>
      <c r="AA799" s="1">
        <f>VLOOKUP($E799,'Product Naming'!$A$1:$P$58,10,FALSE)</f>
        <v>0</v>
      </c>
      <c r="AB799" s="29">
        <f>VLOOKUP($E799,'Product Naming'!$A$1:$P$58,11,FALSE)</f>
        <v>6</v>
      </c>
      <c r="AC799" s="3">
        <f>VLOOKUP($E799,'Product Naming'!$A$1:$P$58,12,FALSE)</f>
        <v>60.093820000000001</v>
      </c>
      <c r="AD799" s="1">
        <f>VLOOKUP($E799,'Product Naming'!$A$1:$P$58,13,FALSE)</f>
        <v>97</v>
      </c>
      <c r="AE799" s="1" t="str">
        <f>VLOOKUP($E799,'Product Naming'!$A$1:$P$58,14,FALSE)</f>
        <v>Alcohol</v>
      </c>
      <c r="AF799" s="1" t="str">
        <f>VLOOKUP($E799,'Product Naming'!$A$1:$P$58,15,FALSE)</f>
        <v>Glyceraldehyde 3-P (--&gt;DHAP)</v>
      </c>
      <c r="AG799" s="30" t="str">
        <f>VLOOKUP($E799,'Product Naming'!$A$1:$P$58,16,FALSE)</f>
        <v>Proton symporter</v>
      </c>
      <c r="AH799" s="3" t="str">
        <f>VLOOKUP($E799,'Product Naming'!$A$1:$Q$58,17,FALSE)</f>
        <v>ppoh_c</v>
      </c>
      <c r="AI799" s="1">
        <f>VLOOKUP($E799,'Product Parameters'!$A$2:$D$59,2,FALSE)</f>
        <v>1</v>
      </c>
      <c r="AJ799" s="1">
        <f>VLOOKUP($E799,'Product Parameters'!$A$2:$D$59,3,FALSE)</f>
        <v>0</v>
      </c>
      <c r="AK799" s="1">
        <f>VLOOKUP($E799,'Product Parameters'!$A$2:$D$59,4,FALSE)</f>
        <v>0.12</v>
      </c>
      <c r="AL799" s="1">
        <f>VLOOKUP($E799,'Product Parameters'!$A$2:$E$59,5,FALSE)</f>
        <v>47</v>
      </c>
      <c r="AM799" s="1">
        <f>VLOOKUP($E799,'Product Parameters'!$A$2:$F$59,6,FALSE)</f>
        <v>3</v>
      </c>
      <c r="AN799" s="1">
        <f>VLOOKUP($C799,'Substrate Heating'!$A$2:$C$33,3,FALSE)</f>
        <v>638.57832580000002</v>
      </c>
      <c r="AO799" s="1">
        <f>VLOOKUP($C799,'Substrate Heating'!$A$2:$B$33,2,FALSE)</f>
        <v>19.93</v>
      </c>
      <c r="AP799" s="1">
        <f>VLOOKUP($C799,'Substrate Heating'!$A$2:$M$33,13,FALSE)</f>
        <v>6</v>
      </c>
      <c r="AQ799" s="1">
        <f>VLOOKUP($C799,'Substrate Heating'!$A$2:$M$33,8,FALSE)</f>
        <v>1</v>
      </c>
      <c r="AR799" s="1">
        <f t="shared" si="12"/>
        <v>0.60477272727272391</v>
      </c>
    </row>
    <row r="800" spans="1:44" x14ac:dyDescent="0.2">
      <c r="A800" s="8" t="s">
        <v>34</v>
      </c>
      <c r="B800" s="9" t="s">
        <v>35</v>
      </c>
      <c r="C800" s="1" t="s">
        <v>346</v>
      </c>
      <c r="D800" s="23" t="s">
        <v>338</v>
      </c>
      <c r="E800" s="1" t="s">
        <v>313</v>
      </c>
      <c r="F800" s="1" t="s">
        <v>314</v>
      </c>
      <c r="G800" s="1">
        <v>-10</v>
      </c>
      <c r="H800" s="1">
        <v>-20</v>
      </c>
      <c r="I800" s="1" t="s">
        <v>40</v>
      </c>
      <c r="J800" s="1">
        <v>3.15</v>
      </c>
      <c r="K800" s="1">
        <v>-10</v>
      </c>
      <c r="L800" s="1">
        <v>-3.3681125439624799</v>
      </c>
      <c r="M800" s="1" t="s">
        <v>40</v>
      </c>
      <c r="N800" s="1">
        <v>0.69449003516998697</v>
      </c>
      <c r="O800" s="1">
        <v>1.16318874560375</v>
      </c>
      <c r="Q800" s="1">
        <v>0.116318874560375</v>
      </c>
      <c r="R800" s="1">
        <v>0.378090343133274</v>
      </c>
      <c r="S800" s="1" t="str">
        <f>VLOOKUP($E800,'Product Naming'!$A$1:$P$58,2,FALSE)</f>
        <v>Styrene</v>
      </c>
      <c r="T800" s="1" t="str">
        <f>VLOOKUP($E800,'Product Naming'!$A$1:$P$58,3,FALSE)</f>
        <v>Styrene</v>
      </c>
      <c r="U800" s="1" t="str">
        <f>VLOOKUP($E800,'Product Naming'!$A$1:$P$58,4,FALSE)</f>
        <v>E-S</v>
      </c>
      <c r="V800" s="1" t="str">
        <f>VLOOKUP($E800,'Product Naming'!$A$1:$P$58,5,FALSE)</f>
        <v>C8H8</v>
      </c>
      <c r="W800" s="1">
        <f>VLOOKUP($E800,'Product Naming'!$A$1:$P$58,6,FALSE)</f>
        <v>8</v>
      </c>
      <c r="X800" s="1">
        <f>VLOOKUP($E800,'Product Naming'!$A$1:$P$58,7,FALSE)</f>
        <v>8</v>
      </c>
      <c r="Y800" s="1">
        <f>VLOOKUP($E800,'Product Naming'!$A$1:$P$58,8,FALSE)</f>
        <v>0</v>
      </c>
      <c r="Z800" s="1">
        <f>VLOOKUP($E800,'Product Naming'!$A$1:$P$58,9,FALSE)</f>
        <v>0</v>
      </c>
      <c r="AA800" s="1">
        <f>VLOOKUP($E800,'Product Naming'!$A$1:$P$58,10,FALSE)</f>
        <v>0</v>
      </c>
      <c r="AB800" s="29">
        <f>VLOOKUP($E800,'Product Naming'!$A$1:$P$58,11,FALSE)</f>
        <v>5</v>
      </c>
      <c r="AC800" s="3">
        <f>VLOOKUP($E800,'Product Naming'!$A$1:$P$58,12,FALSE)</f>
        <v>104.14832</v>
      </c>
      <c r="AD800" s="1">
        <f>VLOOKUP($E800,'Product Naming'!$A$1:$P$58,13,FALSE)</f>
        <v>145</v>
      </c>
      <c r="AE800" s="1" t="str">
        <f>VLOOKUP($E800,'Product Naming'!$A$1:$P$58,14,FALSE)</f>
        <v>Cycloalkane</v>
      </c>
      <c r="AF800" s="1" t="str">
        <f>VLOOKUP($E800,'Product Naming'!$A$1:$P$58,15,FALSE)</f>
        <v>E4P</v>
      </c>
      <c r="AG800" s="30" t="str">
        <f>VLOOKUP($E800,'Product Naming'!$A$1:$P$58,16,FALSE)</f>
        <v>Proton symporter</v>
      </c>
      <c r="AH800" s="3" t="str">
        <f>VLOOKUP($E800,'Product Naming'!$A$1:$Q$58,17,FALSE)</f>
        <v>styr_c</v>
      </c>
      <c r="AI800" s="1">
        <f>VLOOKUP($E800,'Product Parameters'!$A$2:$D$59,2,FALSE)</f>
        <v>1</v>
      </c>
      <c r="AJ800" s="1">
        <f>VLOOKUP($E800,'Product Parameters'!$A$2:$D$59,3,FALSE)</f>
        <v>0</v>
      </c>
      <c r="AK800" s="1">
        <f>VLOOKUP($E800,'Product Parameters'!$A$2:$D$59,4,FALSE)</f>
        <v>0.12</v>
      </c>
      <c r="AL800" s="1">
        <f>VLOOKUP($E800,'Product Parameters'!$A$2:$E$59,5,FALSE)</f>
        <v>43.9</v>
      </c>
      <c r="AM800" s="1">
        <f>VLOOKUP($E800,'Product Parameters'!$A$2:$F$59,6,FALSE)</f>
        <v>8</v>
      </c>
      <c r="AN800" s="1">
        <f>VLOOKUP($C800,'Substrate Heating'!$A$2:$C$33,3,FALSE)</f>
        <v>638.57832580000002</v>
      </c>
      <c r="AO800" s="1">
        <f>VLOOKUP($C800,'Substrate Heating'!$A$2:$B$33,2,FALSE)</f>
        <v>19.93</v>
      </c>
      <c r="AP800" s="1">
        <f>VLOOKUP($C800,'Substrate Heating'!$A$2:$M$33,13,FALSE)</f>
        <v>6</v>
      </c>
      <c r="AQ800" s="1">
        <f>VLOOKUP($C800,'Substrate Heating'!$A$2:$M$33,8,FALSE)</f>
        <v>1</v>
      </c>
      <c r="AR800" s="1">
        <f t="shared" si="12"/>
        <v>0.93055099648299999</v>
      </c>
    </row>
    <row r="801" spans="1:44" x14ac:dyDescent="0.2">
      <c r="A801" s="8" t="s">
        <v>34</v>
      </c>
      <c r="B801" s="9" t="s">
        <v>35</v>
      </c>
      <c r="C801" s="1" t="s">
        <v>347</v>
      </c>
      <c r="D801" s="23" t="s">
        <v>338</v>
      </c>
      <c r="E801" s="1" t="s">
        <v>313</v>
      </c>
      <c r="F801" s="1" t="s">
        <v>314</v>
      </c>
      <c r="G801" s="1">
        <v>-10</v>
      </c>
      <c r="H801" s="1">
        <v>-20</v>
      </c>
      <c r="I801" s="1" t="s">
        <v>40</v>
      </c>
      <c r="J801" s="1">
        <v>3.15</v>
      </c>
      <c r="K801" s="1">
        <v>-10</v>
      </c>
      <c r="L801" s="1">
        <v>-3.3681125439624902</v>
      </c>
      <c r="M801" s="1" t="s">
        <v>40</v>
      </c>
      <c r="N801" s="1">
        <v>0.69449003516998697</v>
      </c>
      <c r="O801" s="1">
        <v>1.16318874560375</v>
      </c>
      <c r="Q801" s="1">
        <v>0.116318874560375</v>
      </c>
      <c r="R801" s="1">
        <v>0.378090343133274</v>
      </c>
      <c r="S801" s="1" t="str">
        <f>VLOOKUP($E801,'Product Naming'!$A$1:$P$58,2,FALSE)</f>
        <v>Styrene</v>
      </c>
      <c r="T801" s="1" t="str">
        <f>VLOOKUP($E801,'Product Naming'!$A$1:$P$58,3,FALSE)</f>
        <v>Styrene</v>
      </c>
      <c r="U801" s="1" t="str">
        <f>VLOOKUP($E801,'Product Naming'!$A$1:$P$58,4,FALSE)</f>
        <v>E-S</v>
      </c>
      <c r="V801" s="1" t="str">
        <f>VLOOKUP($E801,'Product Naming'!$A$1:$P$58,5,FALSE)</f>
        <v>C8H8</v>
      </c>
      <c r="W801" s="1">
        <f>VLOOKUP($E801,'Product Naming'!$A$1:$P$58,6,FALSE)</f>
        <v>8</v>
      </c>
      <c r="X801" s="1">
        <f>VLOOKUP($E801,'Product Naming'!$A$1:$P$58,7,FALSE)</f>
        <v>8</v>
      </c>
      <c r="Y801" s="1">
        <f>VLOOKUP($E801,'Product Naming'!$A$1:$P$58,8,FALSE)</f>
        <v>0</v>
      </c>
      <c r="Z801" s="1">
        <f>VLOOKUP($E801,'Product Naming'!$A$1:$P$58,9,FALSE)</f>
        <v>0</v>
      </c>
      <c r="AA801" s="1">
        <f>VLOOKUP($E801,'Product Naming'!$A$1:$P$58,10,FALSE)</f>
        <v>0</v>
      </c>
      <c r="AB801" s="29">
        <f>VLOOKUP($E801,'Product Naming'!$A$1:$P$58,11,FALSE)</f>
        <v>5</v>
      </c>
      <c r="AC801" s="3">
        <f>VLOOKUP($E801,'Product Naming'!$A$1:$P$58,12,FALSE)</f>
        <v>104.14832</v>
      </c>
      <c r="AD801" s="1">
        <f>VLOOKUP($E801,'Product Naming'!$A$1:$P$58,13,FALSE)</f>
        <v>145</v>
      </c>
      <c r="AE801" s="1" t="str">
        <f>VLOOKUP($E801,'Product Naming'!$A$1:$P$58,14,FALSE)</f>
        <v>Cycloalkane</v>
      </c>
      <c r="AF801" s="1" t="str">
        <f>VLOOKUP($E801,'Product Naming'!$A$1:$P$58,15,FALSE)</f>
        <v>E4P</v>
      </c>
      <c r="AG801" s="30" t="str">
        <f>VLOOKUP($E801,'Product Naming'!$A$1:$P$58,16,FALSE)</f>
        <v>Proton symporter</v>
      </c>
      <c r="AH801" s="3" t="str">
        <f>VLOOKUP($E801,'Product Naming'!$A$1:$Q$58,17,FALSE)</f>
        <v>styr_c</v>
      </c>
      <c r="AI801" s="1">
        <f>VLOOKUP($E801,'Product Parameters'!$A$2:$D$59,2,FALSE)</f>
        <v>1</v>
      </c>
      <c r="AJ801" s="1">
        <f>VLOOKUP($E801,'Product Parameters'!$A$2:$D$59,3,FALSE)</f>
        <v>0</v>
      </c>
      <c r="AK801" s="1">
        <f>VLOOKUP($E801,'Product Parameters'!$A$2:$D$59,4,FALSE)</f>
        <v>0.12</v>
      </c>
      <c r="AL801" s="1">
        <f>VLOOKUP($E801,'Product Parameters'!$A$2:$E$59,5,FALSE)</f>
        <v>43.9</v>
      </c>
      <c r="AM801" s="1">
        <f>VLOOKUP($E801,'Product Parameters'!$A$2:$F$59,6,FALSE)</f>
        <v>8</v>
      </c>
      <c r="AN801" s="1">
        <f>VLOOKUP($C801,'Substrate Heating'!$A$2:$C$33,3,FALSE)</f>
        <v>638.57832580000002</v>
      </c>
      <c r="AO801" s="1">
        <f>VLOOKUP($C801,'Substrate Heating'!$A$2:$B$33,2,FALSE)</f>
        <v>19.93</v>
      </c>
      <c r="AP801" s="1">
        <f>VLOOKUP($C801,'Substrate Heating'!$A$2:$M$33,13,FALSE)</f>
        <v>6</v>
      </c>
      <c r="AQ801" s="1">
        <f>VLOOKUP($C801,'Substrate Heating'!$A$2:$M$33,8,FALSE)</f>
        <v>1</v>
      </c>
      <c r="AR801" s="1">
        <f t="shared" si="12"/>
        <v>0.93055099648299999</v>
      </c>
    </row>
    <row r="802" spans="1:44" x14ac:dyDescent="0.2">
      <c r="A802" s="8" t="s">
        <v>34</v>
      </c>
      <c r="B802" s="9" t="s">
        <v>35</v>
      </c>
      <c r="C802" s="1" t="s">
        <v>349</v>
      </c>
      <c r="D802" s="25" t="s">
        <v>342</v>
      </c>
      <c r="E802" s="1" t="s">
        <v>297</v>
      </c>
      <c r="F802" s="1" t="s">
        <v>298</v>
      </c>
      <c r="G802" s="1">
        <v>-10</v>
      </c>
      <c r="H802" s="1">
        <v>-20</v>
      </c>
      <c r="I802" s="1" t="s">
        <v>40</v>
      </c>
      <c r="J802" s="1">
        <v>3.15</v>
      </c>
      <c r="K802" s="1">
        <v>-10</v>
      </c>
      <c r="L802" s="1">
        <v>-7.6741889985895604</v>
      </c>
      <c r="M802" s="1" t="s">
        <v>40</v>
      </c>
      <c r="N802" s="1">
        <v>13.7207334273625</v>
      </c>
      <c r="O802" s="1">
        <v>6.0465444287729202</v>
      </c>
      <c r="Q802" s="1">
        <v>0.60465444287729198</v>
      </c>
      <c r="R802" s="1">
        <v>0.379032669927718</v>
      </c>
      <c r="S802" s="1" t="str">
        <f>VLOOKUP($E802,'Product Naming'!$A$1:$P$58,2,FALSE)</f>
        <v>Phenol</v>
      </c>
      <c r="T802" s="1" t="str">
        <f>VLOOKUP($E802,'Product Naming'!$A$1:$P$58,3,FALSE)</f>
        <v>Phenol</v>
      </c>
      <c r="U802" s="1" t="str">
        <f>VLOOKUP($E802,'Product Naming'!$A$1:$P$58,4,FALSE)</f>
        <v>E-S</v>
      </c>
      <c r="V802" s="1" t="str">
        <f>VLOOKUP($E802,'Product Naming'!$A$1:$P$58,5,FALSE)</f>
        <v>C6H6O</v>
      </c>
      <c r="W802" s="1">
        <f>VLOOKUP($E802,'Product Naming'!$A$1:$P$58,6,FALSE)</f>
        <v>6</v>
      </c>
      <c r="X802" s="1">
        <f>VLOOKUP($E802,'Product Naming'!$A$1:$P$58,7,FALSE)</f>
        <v>6</v>
      </c>
      <c r="Y802" s="1">
        <f>VLOOKUP($E802,'Product Naming'!$A$1:$P$58,8,FALSE)</f>
        <v>1</v>
      </c>
      <c r="Z802" s="1">
        <f>VLOOKUP($E802,'Product Naming'!$A$1:$P$58,9,FALSE)</f>
        <v>0</v>
      </c>
      <c r="AA802" s="1">
        <f>VLOOKUP($E802,'Product Naming'!$A$1:$P$58,10,FALSE)</f>
        <v>0</v>
      </c>
      <c r="AB802" s="29">
        <f>VLOOKUP($E802,'Product Naming'!$A$1:$P$58,11,FALSE)</f>
        <v>4.666666666666667</v>
      </c>
      <c r="AC802" s="3">
        <f>VLOOKUP($E802,'Product Naming'!$A$1:$P$58,12,FALSE)</f>
        <v>94.11023999999999</v>
      </c>
      <c r="AD802" s="1">
        <f>VLOOKUP($E802,'Product Naming'!$A$1:$P$58,13,FALSE)</f>
        <v>181.7</v>
      </c>
      <c r="AE802" s="1" t="str">
        <f>VLOOKUP($E802,'Product Naming'!$A$1:$P$58,14,FALSE)</f>
        <v>Aromatic + Alcohol</v>
      </c>
      <c r="AF802" s="1" t="str">
        <f>VLOOKUP($E802,'Product Naming'!$A$1:$P$58,15,FALSE)</f>
        <v>E4P + L-glutamate</v>
      </c>
      <c r="AG802" s="30" t="str">
        <f>VLOOKUP($E802,'Product Naming'!$A$1:$P$58,16,FALSE)</f>
        <v>Proton symporter</v>
      </c>
      <c r="AH802" s="3" t="str">
        <f>VLOOKUP($E802,'Product Naming'!$A$1:$Q$58,17,FALSE)</f>
        <v>phenol_c</v>
      </c>
      <c r="AI802" s="1">
        <f>VLOOKUP($E802,'Product Parameters'!$A$2:$D$59,2,FALSE)</f>
        <v>1</v>
      </c>
      <c r="AJ802" s="1">
        <f>VLOOKUP($E802,'Product Parameters'!$A$2:$D$59,3,FALSE)</f>
        <v>0</v>
      </c>
      <c r="AK802" s="1">
        <f>VLOOKUP($E802,'Product Parameters'!$A$2:$D$59,4,FALSE)</f>
        <v>0.12</v>
      </c>
      <c r="AL802" s="1">
        <f>VLOOKUP($E802,'Product Parameters'!$A$2:$E$59,5,FALSE)</f>
        <v>58.8</v>
      </c>
      <c r="AM802" s="1">
        <f>VLOOKUP($E802,'Product Parameters'!$A$2:$F$59,6,FALSE)</f>
        <v>6</v>
      </c>
      <c r="AN802" s="1">
        <f>VLOOKUP($C802,'Substrate Heating'!$A$2:$C$33,3,FALSE)</f>
        <v>2342.0279999999998</v>
      </c>
      <c r="AO802" s="1">
        <f>VLOOKUP($C802,'Substrate Heating'!$A$2:$B$33,2,FALSE)</f>
        <v>15.6</v>
      </c>
      <c r="AP802" s="1">
        <f>VLOOKUP($C802,'Substrate Heating'!$A$2:$M$33,13,FALSE)</f>
        <v>4</v>
      </c>
      <c r="AQ802" s="1">
        <f>VLOOKUP($C802,'Substrate Heating'!$A$2:$M$33,8,FALSE)</f>
        <v>5</v>
      </c>
      <c r="AR802" s="1">
        <f t="shared" si="12"/>
        <v>0.72558533145275039</v>
      </c>
    </row>
    <row r="803" spans="1:44" x14ac:dyDescent="0.2">
      <c r="A803" s="8" t="s">
        <v>34</v>
      </c>
      <c r="B803" s="9" t="s">
        <v>35</v>
      </c>
      <c r="C803" s="1" t="s">
        <v>346</v>
      </c>
      <c r="D803" s="23" t="s">
        <v>338</v>
      </c>
      <c r="E803" s="1" t="s">
        <v>247</v>
      </c>
      <c r="F803" s="1" t="s">
        <v>248</v>
      </c>
      <c r="G803" s="1">
        <v>-10</v>
      </c>
      <c r="H803" s="1">
        <v>-20</v>
      </c>
      <c r="I803" s="1" t="s">
        <v>40</v>
      </c>
      <c r="J803" s="1">
        <v>3.15</v>
      </c>
      <c r="K803" s="1">
        <v>-10</v>
      </c>
      <c r="L803" s="1">
        <v>-2.4796078431372499</v>
      </c>
      <c r="M803" s="1" t="s">
        <v>40</v>
      </c>
      <c r="N803" s="1">
        <v>1.0568627450980399</v>
      </c>
      <c r="O803" s="1">
        <v>1.7886274509803901</v>
      </c>
      <c r="Q803" s="1">
        <v>0.17886274509803901</v>
      </c>
      <c r="R803" s="1">
        <v>0.38024503855059599</v>
      </c>
      <c r="S803" s="1" t="str">
        <f>VLOOKUP($E803,'Product Naming'!$A$1:$P$58,2,FALSE)</f>
        <v>Isoprene</v>
      </c>
      <c r="T803" s="1" t="str">
        <f>VLOOKUP($E803,'Product Naming'!$A$1:$P$58,3,FALSE)</f>
        <v>Isoprene</v>
      </c>
      <c r="U803" s="1" t="str">
        <f>VLOOKUP($E803,'Product Naming'!$A$1:$P$58,4,FALSE)</f>
        <v>E</v>
      </c>
      <c r="V803" s="1" t="str">
        <f>VLOOKUP($E803,'Product Naming'!$A$1:$P$58,5,FALSE)</f>
        <v>C5H8</v>
      </c>
      <c r="W803" s="1">
        <f>VLOOKUP($E803,'Product Naming'!$A$1:$P$58,6,FALSE)</f>
        <v>5</v>
      </c>
      <c r="X803" s="1">
        <f>VLOOKUP($E803,'Product Naming'!$A$1:$P$58,7,FALSE)</f>
        <v>8</v>
      </c>
      <c r="Y803" s="1">
        <f>VLOOKUP($E803,'Product Naming'!$A$1:$P$58,8,FALSE)</f>
        <v>0</v>
      </c>
      <c r="Z803" s="1">
        <f>VLOOKUP($E803,'Product Naming'!$A$1:$P$58,9,FALSE)</f>
        <v>0</v>
      </c>
      <c r="AA803" s="1">
        <f>VLOOKUP($E803,'Product Naming'!$A$1:$P$58,10,FALSE)</f>
        <v>0</v>
      </c>
      <c r="AB803" s="29">
        <f>VLOOKUP($E803,'Product Naming'!$A$1:$P$58,11,FALSE)</f>
        <v>5.6</v>
      </c>
      <c r="AC803" s="3">
        <f>VLOOKUP($E803,'Product Naming'!$A$1:$P$58,12,FALSE)</f>
        <v>68.116219999999998</v>
      </c>
      <c r="AD803" s="1">
        <f>VLOOKUP($E803,'Product Naming'!$A$1:$P$58,13,FALSE)</f>
        <v>34.07</v>
      </c>
      <c r="AE803" s="1" t="str">
        <f>VLOOKUP($E803,'Product Naming'!$A$1:$P$58,14,FALSE)</f>
        <v>Hydrocarbon</v>
      </c>
      <c r="AF803" s="1" t="str">
        <f>VLOOKUP($E803,'Product Naming'!$A$1:$P$58,15,FALSE)</f>
        <v>Acetyl-CoA</v>
      </c>
      <c r="AG803" s="30" t="str">
        <f>VLOOKUP($E803,'Product Naming'!$A$1:$P$58,16,FALSE)</f>
        <v>Diffusion</v>
      </c>
      <c r="AH803" s="3" t="str">
        <f>VLOOKUP($E803,'Product Naming'!$A$1:$Q$58,17,FALSE)</f>
        <v>iprene_c</v>
      </c>
      <c r="AI803" s="1">
        <f>VLOOKUP($E803,'Product Parameters'!$A$2:$D$59,2,FALSE)</f>
        <v>0</v>
      </c>
      <c r="AJ803" s="1">
        <f>VLOOKUP($E803,'Product Parameters'!$A$2:$D$59,3,FALSE)</f>
        <v>1</v>
      </c>
      <c r="AK803" s="1">
        <f>VLOOKUP($E803,'Product Parameters'!$A$2:$D$59,4,FALSE)</f>
        <v>0.12</v>
      </c>
      <c r="AL803" s="1">
        <f>VLOOKUP($E803,'Product Parameters'!$A$2:$E$59,5,FALSE)</f>
        <v>26.4</v>
      </c>
      <c r="AM803" s="1">
        <f>VLOOKUP($E803,'Product Parameters'!$A$2:$F$59,6,FALSE)</f>
        <v>5</v>
      </c>
      <c r="AN803" s="1">
        <f>VLOOKUP($C803,'Substrate Heating'!$A$2:$C$33,3,FALSE)</f>
        <v>638.57832580000002</v>
      </c>
      <c r="AO803" s="1">
        <f>VLOOKUP($C803,'Substrate Heating'!$A$2:$B$33,2,FALSE)</f>
        <v>19.93</v>
      </c>
      <c r="AP803" s="1">
        <f>VLOOKUP($C803,'Substrate Heating'!$A$2:$M$33,13,FALSE)</f>
        <v>6</v>
      </c>
      <c r="AQ803" s="1">
        <f>VLOOKUP($C803,'Substrate Heating'!$A$2:$M$33,8,FALSE)</f>
        <v>1</v>
      </c>
      <c r="AR803" s="1">
        <f t="shared" si="12"/>
        <v>0.89431372549019506</v>
      </c>
    </row>
    <row r="804" spans="1:44" x14ac:dyDescent="0.2">
      <c r="A804" s="8" t="s">
        <v>34</v>
      </c>
      <c r="B804" s="9" t="s">
        <v>35</v>
      </c>
      <c r="C804" s="1" t="s">
        <v>347</v>
      </c>
      <c r="D804" s="23" t="s">
        <v>338</v>
      </c>
      <c r="E804" s="1" t="s">
        <v>247</v>
      </c>
      <c r="F804" s="1" t="s">
        <v>248</v>
      </c>
      <c r="G804" s="1">
        <v>-10</v>
      </c>
      <c r="H804" s="1">
        <v>-20</v>
      </c>
      <c r="I804" s="1" t="s">
        <v>40</v>
      </c>
      <c r="J804" s="1">
        <v>3.15</v>
      </c>
      <c r="K804" s="1">
        <v>-10</v>
      </c>
      <c r="L804" s="1">
        <v>-2.4796078431372601</v>
      </c>
      <c r="M804" s="1" t="s">
        <v>40</v>
      </c>
      <c r="N804" s="1">
        <v>1.0568627450980299</v>
      </c>
      <c r="O804" s="1">
        <v>1.7886274509803901</v>
      </c>
      <c r="Q804" s="1">
        <v>0.17886274509803901</v>
      </c>
      <c r="R804" s="1">
        <v>0.38024503855059599</v>
      </c>
      <c r="S804" s="1" t="str">
        <f>VLOOKUP($E804,'Product Naming'!$A$1:$P$58,2,FALSE)</f>
        <v>Isoprene</v>
      </c>
      <c r="T804" s="1" t="str">
        <f>VLOOKUP($E804,'Product Naming'!$A$1:$P$58,3,FALSE)</f>
        <v>Isoprene</v>
      </c>
      <c r="U804" s="1" t="str">
        <f>VLOOKUP($E804,'Product Naming'!$A$1:$P$58,4,FALSE)</f>
        <v>E</v>
      </c>
      <c r="V804" s="1" t="str">
        <f>VLOOKUP($E804,'Product Naming'!$A$1:$P$58,5,FALSE)</f>
        <v>C5H8</v>
      </c>
      <c r="W804" s="1">
        <f>VLOOKUP($E804,'Product Naming'!$A$1:$P$58,6,FALSE)</f>
        <v>5</v>
      </c>
      <c r="X804" s="1">
        <f>VLOOKUP($E804,'Product Naming'!$A$1:$P$58,7,FALSE)</f>
        <v>8</v>
      </c>
      <c r="Y804" s="1">
        <f>VLOOKUP($E804,'Product Naming'!$A$1:$P$58,8,FALSE)</f>
        <v>0</v>
      </c>
      <c r="Z804" s="1">
        <f>VLOOKUP($E804,'Product Naming'!$A$1:$P$58,9,FALSE)</f>
        <v>0</v>
      </c>
      <c r="AA804" s="1">
        <f>VLOOKUP($E804,'Product Naming'!$A$1:$P$58,10,FALSE)</f>
        <v>0</v>
      </c>
      <c r="AB804" s="29">
        <f>VLOOKUP($E804,'Product Naming'!$A$1:$P$58,11,FALSE)</f>
        <v>5.6</v>
      </c>
      <c r="AC804" s="3">
        <f>VLOOKUP($E804,'Product Naming'!$A$1:$P$58,12,FALSE)</f>
        <v>68.116219999999998</v>
      </c>
      <c r="AD804" s="1">
        <f>VLOOKUP($E804,'Product Naming'!$A$1:$P$58,13,FALSE)</f>
        <v>34.07</v>
      </c>
      <c r="AE804" s="1" t="str">
        <f>VLOOKUP($E804,'Product Naming'!$A$1:$P$58,14,FALSE)</f>
        <v>Hydrocarbon</v>
      </c>
      <c r="AF804" s="1" t="str">
        <f>VLOOKUP($E804,'Product Naming'!$A$1:$P$58,15,FALSE)</f>
        <v>Acetyl-CoA</v>
      </c>
      <c r="AG804" s="30" t="str">
        <f>VLOOKUP($E804,'Product Naming'!$A$1:$P$58,16,FALSE)</f>
        <v>Diffusion</v>
      </c>
      <c r="AH804" s="3" t="str">
        <f>VLOOKUP($E804,'Product Naming'!$A$1:$Q$58,17,FALSE)</f>
        <v>iprene_c</v>
      </c>
      <c r="AI804" s="1">
        <f>VLOOKUP($E804,'Product Parameters'!$A$2:$D$59,2,FALSE)</f>
        <v>0</v>
      </c>
      <c r="AJ804" s="1">
        <f>VLOOKUP($E804,'Product Parameters'!$A$2:$D$59,3,FALSE)</f>
        <v>1</v>
      </c>
      <c r="AK804" s="1">
        <f>VLOOKUP($E804,'Product Parameters'!$A$2:$D$59,4,FALSE)</f>
        <v>0.12</v>
      </c>
      <c r="AL804" s="1">
        <f>VLOOKUP($E804,'Product Parameters'!$A$2:$E$59,5,FALSE)</f>
        <v>26.4</v>
      </c>
      <c r="AM804" s="1">
        <f>VLOOKUP($E804,'Product Parameters'!$A$2:$F$59,6,FALSE)</f>
        <v>5</v>
      </c>
      <c r="AN804" s="1">
        <f>VLOOKUP($C804,'Substrate Heating'!$A$2:$C$33,3,FALSE)</f>
        <v>638.57832580000002</v>
      </c>
      <c r="AO804" s="1">
        <f>VLOOKUP($C804,'Substrate Heating'!$A$2:$B$33,2,FALSE)</f>
        <v>19.93</v>
      </c>
      <c r="AP804" s="1">
        <f>VLOOKUP($C804,'Substrate Heating'!$A$2:$M$33,13,FALSE)</f>
        <v>6</v>
      </c>
      <c r="AQ804" s="1">
        <f>VLOOKUP($C804,'Substrate Heating'!$A$2:$M$33,8,FALSE)</f>
        <v>1</v>
      </c>
      <c r="AR804" s="1">
        <f t="shared" si="12"/>
        <v>0.89431372549019506</v>
      </c>
    </row>
    <row r="805" spans="1:44" x14ac:dyDescent="0.2">
      <c r="A805" s="8" t="s">
        <v>34</v>
      </c>
      <c r="B805" s="9" t="s">
        <v>35</v>
      </c>
      <c r="C805" s="1" t="s">
        <v>322</v>
      </c>
      <c r="D805" s="10" t="s">
        <v>37</v>
      </c>
      <c r="E805" s="1" t="s">
        <v>175</v>
      </c>
      <c r="F805" s="1" t="s">
        <v>176</v>
      </c>
      <c r="G805" s="1">
        <v>-10</v>
      </c>
      <c r="H805" s="1">
        <v>-20</v>
      </c>
      <c r="I805" s="1" t="s">
        <v>40</v>
      </c>
      <c r="J805" s="1">
        <v>3.15</v>
      </c>
      <c r="K805" s="1">
        <v>-10</v>
      </c>
      <c r="L805" s="1">
        <v>-6.7355300859598897</v>
      </c>
      <c r="M805" s="1" t="s">
        <v>40</v>
      </c>
      <c r="N805" s="1">
        <v>7.7558739255014402</v>
      </c>
      <c r="O805" s="1">
        <v>2.0406876790831001</v>
      </c>
      <c r="Q805" s="1">
        <v>0.20406876790830999</v>
      </c>
      <c r="R805" s="1">
        <v>0.38056818568797701</v>
      </c>
      <c r="S805" s="1" t="str">
        <f>VLOOKUP($E805,'Product Naming'!$A$1:$P$58,2,FALSE)</f>
        <v>Catechol</v>
      </c>
      <c r="T805" s="1" t="str">
        <f>VLOOKUP($E805,'Product Naming'!$A$1:$P$58,3,FALSE)</f>
        <v>Catechol</v>
      </c>
      <c r="U805" s="1" t="str">
        <f>VLOOKUP($E805,'Product Naming'!$A$1:$P$58,4,FALSE)</f>
        <v>E</v>
      </c>
      <c r="V805" s="1" t="str">
        <f>VLOOKUP($E805,'Product Naming'!$A$1:$P$58,5,FALSE)</f>
        <v>C6H6O2</v>
      </c>
      <c r="W805" s="1">
        <f>VLOOKUP($E805,'Product Naming'!$A$1:$P$58,6,FALSE)</f>
        <v>6</v>
      </c>
      <c r="X805" s="1">
        <f>VLOOKUP($E805,'Product Naming'!$A$1:$P$58,7,FALSE)</f>
        <v>6</v>
      </c>
      <c r="Y805" s="1">
        <f>VLOOKUP($E805,'Product Naming'!$A$1:$P$58,8,FALSE)</f>
        <v>2</v>
      </c>
      <c r="Z805" s="1">
        <f>VLOOKUP($E805,'Product Naming'!$A$1:$P$58,9,FALSE)</f>
        <v>0</v>
      </c>
      <c r="AA805" s="1">
        <f>VLOOKUP($E805,'Product Naming'!$A$1:$P$58,10,FALSE)</f>
        <v>0</v>
      </c>
      <c r="AB805" s="29">
        <f>VLOOKUP($E805,'Product Naming'!$A$1:$P$58,11,FALSE)</f>
        <v>4.333333333333333</v>
      </c>
      <c r="AC805" s="3">
        <f>VLOOKUP($E805,'Product Naming'!$A$1:$P$58,12,FALSE)</f>
        <v>110.10924</v>
      </c>
      <c r="AD805" s="1">
        <f>VLOOKUP($E805,'Product Naming'!$A$1:$P$58,13,FALSE)</f>
        <v>245</v>
      </c>
      <c r="AE805" s="1" t="str">
        <f>VLOOKUP($E805,'Product Naming'!$A$1:$P$58,14,FALSE)</f>
        <v>Aromatic + Diol</v>
      </c>
      <c r="AF805" s="1" t="str">
        <f>VLOOKUP($E805,'Product Naming'!$A$1:$P$58,15,FALSE)</f>
        <v>Glyceraldehyde 3-P</v>
      </c>
      <c r="AG805" s="30" t="str">
        <f>VLOOKUP($E805,'Product Naming'!$A$1:$P$58,16,FALSE)</f>
        <v>Proton symporter</v>
      </c>
      <c r="AH805" s="3" t="str">
        <f>VLOOKUP($E805,'Product Naming'!$A$1:$Q$58,17,FALSE)</f>
        <v>catechol_c</v>
      </c>
      <c r="AI805" s="1">
        <f>VLOOKUP($E805,'Product Parameters'!$A$2:$D$59,2,FALSE)</f>
        <v>1</v>
      </c>
      <c r="AJ805" s="1">
        <f>VLOOKUP($E805,'Product Parameters'!$A$2:$D$59,3,FALSE)</f>
        <v>0</v>
      </c>
      <c r="AK805" s="1">
        <f>VLOOKUP($E805,'Product Parameters'!$A$2:$D$59,4,FALSE)</f>
        <v>0.12</v>
      </c>
      <c r="AL805" s="1">
        <f>VLOOKUP($E805,'Product Parameters'!$A$2:$E$59,5,FALSE)</f>
        <v>40.65</v>
      </c>
      <c r="AM805" s="1">
        <f>VLOOKUP($E805,'Product Parameters'!$A$2:$F$59,6,FALSE)</f>
        <v>6</v>
      </c>
      <c r="AN805" s="1">
        <f>VLOOKUP($C805,'Substrate Heating'!$A$2:$C$33,3,FALSE)</f>
        <v>876.74109599999997</v>
      </c>
      <c r="AO805" s="1">
        <f>VLOOKUP($C805,'Substrate Heating'!$A$2:$B$33,2,FALSE)</f>
        <v>14.6</v>
      </c>
      <c r="AP805" s="1">
        <f>VLOOKUP($C805,'Substrate Heating'!$A$2:$M$33,13,FALSE)</f>
        <v>3.5</v>
      </c>
      <c r="AQ805" s="1">
        <f>VLOOKUP($C805,'Substrate Heating'!$A$2:$M$33,8,FALSE)</f>
        <v>2</v>
      </c>
      <c r="AR805" s="1">
        <f t="shared" si="12"/>
        <v>0.61220630372493001</v>
      </c>
    </row>
    <row r="806" spans="1:44" x14ac:dyDescent="0.2">
      <c r="A806" s="8" t="s">
        <v>34</v>
      </c>
      <c r="B806" s="9" t="s">
        <v>35</v>
      </c>
      <c r="C806" s="1" t="s">
        <v>341</v>
      </c>
      <c r="D806" s="24" t="s">
        <v>342</v>
      </c>
      <c r="E806" s="1" t="s">
        <v>297</v>
      </c>
      <c r="F806" s="1" t="s">
        <v>298</v>
      </c>
      <c r="G806" s="1">
        <v>-10</v>
      </c>
      <c r="H806" s="1">
        <v>-20</v>
      </c>
      <c r="I806" s="1" t="s">
        <v>40</v>
      </c>
      <c r="J806" s="1">
        <v>3.15</v>
      </c>
      <c r="K806" s="1">
        <v>-10</v>
      </c>
      <c r="L806" s="1">
        <v>-8.9858956276445703</v>
      </c>
      <c r="M806" s="1" t="s">
        <v>40</v>
      </c>
      <c r="N806" s="1">
        <v>16.2736248236954</v>
      </c>
      <c r="O806" s="1">
        <v>7.2877291960507904</v>
      </c>
      <c r="Q806" s="1">
        <v>0.72877291960507895</v>
      </c>
      <c r="R806" s="1">
        <v>0.38070566950101697</v>
      </c>
      <c r="S806" s="1" t="str">
        <f>VLOOKUP($E806,'Product Naming'!$A$1:$P$58,2,FALSE)</f>
        <v>Phenol</v>
      </c>
      <c r="T806" s="1" t="str">
        <f>VLOOKUP($E806,'Product Naming'!$A$1:$P$58,3,FALSE)</f>
        <v>Phenol</v>
      </c>
      <c r="U806" s="1" t="str">
        <f>VLOOKUP($E806,'Product Naming'!$A$1:$P$58,4,FALSE)</f>
        <v>E-S</v>
      </c>
      <c r="V806" s="1" t="str">
        <f>VLOOKUP($E806,'Product Naming'!$A$1:$P$58,5,FALSE)</f>
        <v>C6H6O</v>
      </c>
      <c r="W806" s="1">
        <f>VLOOKUP($E806,'Product Naming'!$A$1:$P$58,6,FALSE)</f>
        <v>6</v>
      </c>
      <c r="X806" s="1">
        <f>VLOOKUP($E806,'Product Naming'!$A$1:$P$58,7,FALSE)</f>
        <v>6</v>
      </c>
      <c r="Y806" s="1">
        <f>VLOOKUP($E806,'Product Naming'!$A$1:$P$58,8,FALSE)</f>
        <v>1</v>
      </c>
      <c r="Z806" s="1">
        <f>VLOOKUP($E806,'Product Naming'!$A$1:$P$58,9,FALSE)</f>
        <v>0</v>
      </c>
      <c r="AA806" s="1">
        <f>VLOOKUP($E806,'Product Naming'!$A$1:$P$58,10,FALSE)</f>
        <v>0</v>
      </c>
      <c r="AB806" s="29">
        <f>VLOOKUP($E806,'Product Naming'!$A$1:$P$58,11,FALSE)</f>
        <v>4.666666666666667</v>
      </c>
      <c r="AC806" s="3">
        <f>VLOOKUP($E806,'Product Naming'!$A$1:$P$58,12,FALSE)</f>
        <v>94.11023999999999</v>
      </c>
      <c r="AD806" s="1">
        <f>VLOOKUP($E806,'Product Naming'!$A$1:$P$58,13,FALSE)</f>
        <v>181.7</v>
      </c>
      <c r="AE806" s="1" t="str">
        <f>VLOOKUP($E806,'Product Naming'!$A$1:$P$58,14,FALSE)</f>
        <v>Aromatic + Alcohol</v>
      </c>
      <c r="AF806" s="1" t="str">
        <f>VLOOKUP($E806,'Product Naming'!$A$1:$P$58,15,FALSE)</f>
        <v>E4P + L-glutamate</v>
      </c>
      <c r="AG806" s="30" t="str">
        <f>VLOOKUP($E806,'Product Naming'!$A$1:$P$58,16,FALSE)</f>
        <v>Proton symporter</v>
      </c>
      <c r="AH806" s="3" t="str">
        <f>VLOOKUP($E806,'Product Naming'!$A$1:$Q$58,17,FALSE)</f>
        <v>phenol_c</v>
      </c>
      <c r="AI806" s="1">
        <f>VLOOKUP($E806,'Product Parameters'!$A$2:$D$59,2,FALSE)</f>
        <v>1</v>
      </c>
      <c r="AJ806" s="1">
        <f>VLOOKUP($E806,'Product Parameters'!$A$2:$D$59,3,FALSE)</f>
        <v>0</v>
      </c>
      <c r="AK806" s="1">
        <f>VLOOKUP($E806,'Product Parameters'!$A$2:$D$59,4,FALSE)</f>
        <v>0.12</v>
      </c>
      <c r="AL806" s="1">
        <f>VLOOKUP($E806,'Product Parameters'!$A$2:$E$59,5,FALSE)</f>
        <v>58.8</v>
      </c>
      <c r="AM806" s="1">
        <f>VLOOKUP($E806,'Product Parameters'!$A$2:$F$59,6,FALSE)</f>
        <v>6</v>
      </c>
      <c r="AN806" s="1">
        <f>VLOOKUP($C806,'Substrate Heating'!$A$2:$C$33,3,FALSE)</f>
        <v>2828.4492</v>
      </c>
      <c r="AO806" s="1">
        <f>VLOOKUP($C806,'Substrate Heating'!$A$2:$B$33,2,FALSE)</f>
        <v>15.7</v>
      </c>
      <c r="AP806" s="1">
        <f>VLOOKUP($C806,'Substrate Heating'!$A$2:$M$33,13,FALSE)</f>
        <v>4</v>
      </c>
      <c r="AQ806" s="1">
        <f>VLOOKUP($C806,'Substrate Heating'!$A$2:$M$33,8,FALSE)</f>
        <v>6</v>
      </c>
      <c r="AR806" s="1">
        <f t="shared" si="12"/>
        <v>0.72877291960507895</v>
      </c>
    </row>
    <row r="807" spans="1:44" x14ac:dyDescent="0.2">
      <c r="A807" s="8" t="s">
        <v>34</v>
      </c>
      <c r="B807" s="9" t="s">
        <v>35</v>
      </c>
      <c r="C807" s="1" t="s">
        <v>346</v>
      </c>
      <c r="D807" s="23" t="s">
        <v>338</v>
      </c>
      <c r="E807" s="1" t="s">
        <v>204</v>
      </c>
      <c r="F807" s="1" t="s">
        <v>205</v>
      </c>
      <c r="G807" s="1">
        <v>-10</v>
      </c>
      <c r="H807" s="1">
        <v>-20</v>
      </c>
      <c r="I807" s="1" t="s">
        <v>40</v>
      </c>
      <c r="J807" s="1">
        <v>3.15</v>
      </c>
      <c r="K807" s="1">
        <v>-10</v>
      </c>
      <c r="L807" s="1">
        <v>-2.45500982318271</v>
      </c>
      <c r="M807" s="1" t="s">
        <v>40</v>
      </c>
      <c r="N807" s="1">
        <v>1.0392927308447899</v>
      </c>
      <c r="O807" s="1">
        <v>0.59738048461034698</v>
      </c>
      <c r="Q807" s="1">
        <v>5.9738048461034698E-2</v>
      </c>
      <c r="R807" s="1">
        <v>0.38099208184833799</v>
      </c>
      <c r="S807" s="1" t="str">
        <f>VLOOKUP($E807,'Product Naming'!$A$1:$P$58,2,FALSE)</f>
        <v>Farnesene</v>
      </c>
      <c r="T807" s="1" t="str">
        <f>VLOOKUP($E807,'Product Naming'!$A$1:$P$58,3,FALSE)</f>
        <v>Farnesene</v>
      </c>
      <c r="U807" s="1" t="str">
        <f>VLOOKUP($E807,'Product Naming'!$A$1:$P$58,4,FALSE)</f>
        <v>A</v>
      </c>
      <c r="V807" s="1" t="str">
        <f>VLOOKUP($E807,'Product Naming'!$A$1:$P$58,5,FALSE)</f>
        <v>C15H24</v>
      </c>
      <c r="W807" s="1">
        <f>VLOOKUP($E807,'Product Naming'!$A$1:$P$58,6,FALSE)</f>
        <v>15</v>
      </c>
      <c r="X807" s="1">
        <f>VLOOKUP($E807,'Product Naming'!$A$1:$P$58,7,FALSE)</f>
        <v>24</v>
      </c>
      <c r="Y807" s="1">
        <f>VLOOKUP($E807,'Product Naming'!$A$1:$P$58,8,FALSE)</f>
        <v>0</v>
      </c>
      <c r="Z807" s="1">
        <f>VLOOKUP($E807,'Product Naming'!$A$1:$P$58,9,FALSE)</f>
        <v>0</v>
      </c>
      <c r="AA807" s="1">
        <f>VLOOKUP($E807,'Product Naming'!$A$1:$P$58,10,FALSE)</f>
        <v>0</v>
      </c>
      <c r="AB807" s="29">
        <f>VLOOKUP($E807,'Product Naming'!$A$1:$P$58,11,FALSE)</f>
        <v>5.6</v>
      </c>
      <c r="AC807" s="3">
        <f>VLOOKUP($E807,'Product Naming'!$A$1:$P$58,12,FALSE)</f>
        <v>204.34866000000002</v>
      </c>
      <c r="AD807" s="1" t="str">
        <f>VLOOKUP($E807,'Product Naming'!$A$1:$P$58,13,FALSE)</f>
        <v>260 (A)/272 (B)</v>
      </c>
      <c r="AE807" s="1" t="str">
        <f>VLOOKUP($E807,'Product Naming'!$A$1:$P$58,14,FALSE)</f>
        <v>Hydrocarbon</v>
      </c>
      <c r="AF807" s="1" t="str">
        <f>VLOOKUP($E807,'Product Naming'!$A$1:$P$58,15,FALSE)</f>
        <v>Acetyl-CoA</v>
      </c>
      <c r="AG807" s="30" t="str">
        <f>VLOOKUP($E807,'Product Naming'!$A$1:$P$58,16,FALSE)</f>
        <v>Proton symporter</v>
      </c>
      <c r="AH807" s="3" t="str">
        <f>VLOOKUP($E807,'Product Naming'!$A$1:$Q$58,17,FALSE)</f>
        <v>frene_c</v>
      </c>
      <c r="AI807" s="1">
        <f>VLOOKUP($E807,'Product Parameters'!$A$2:$D$59,2,FALSE)</f>
        <v>1</v>
      </c>
      <c r="AJ807" s="1">
        <f>VLOOKUP($E807,'Product Parameters'!$A$2:$D$59,3,FALSE)</f>
        <v>0</v>
      </c>
      <c r="AK807" s="1">
        <f>VLOOKUP($E807,'Product Parameters'!$A$2:$D$59,4,FALSE)</f>
        <v>0.12</v>
      </c>
      <c r="AL807" s="1">
        <f>VLOOKUP($E807,'Product Parameters'!$A$2:$E$59,5,FALSE)</f>
        <v>0</v>
      </c>
      <c r="AM807" s="1">
        <f>VLOOKUP($E807,'Product Parameters'!$A$2:$F$59,6,FALSE)</f>
        <v>15</v>
      </c>
      <c r="AN807" s="1">
        <f>VLOOKUP($C807,'Substrate Heating'!$A$2:$C$33,3,FALSE)</f>
        <v>638.57832580000002</v>
      </c>
      <c r="AO807" s="1">
        <f>VLOOKUP($C807,'Substrate Heating'!$A$2:$B$33,2,FALSE)</f>
        <v>19.93</v>
      </c>
      <c r="AP807" s="1">
        <f>VLOOKUP($C807,'Substrate Heating'!$A$2:$M$33,13,FALSE)</f>
        <v>6</v>
      </c>
      <c r="AQ807" s="1">
        <f>VLOOKUP($C807,'Substrate Heating'!$A$2:$M$33,8,FALSE)</f>
        <v>1</v>
      </c>
      <c r="AR807" s="1">
        <f t="shared" si="12"/>
        <v>0.89607072691552048</v>
      </c>
    </row>
    <row r="808" spans="1:44" x14ac:dyDescent="0.2">
      <c r="A808" s="8" t="s">
        <v>34</v>
      </c>
      <c r="B808" s="9" t="s">
        <v>35</v>
      </c>
      <c r="C808" s="1" t="s">
        <v>347</v>
      </c>
      <c r="D808" s="23" t="s">
        <v>338</v>
      </c>
      <c r="E808" s="1" t="s">
        <v>204</v>
      </c>
      <c r="F808" s="1" t="s">
        <v>205</v>
      </c>
      <c r="G808" s="1">
        <v>-10</v>
      </c>
      <c r="H808" s="1">
        <v>-20</v>
      </c>
      <c r="I808" s="1" t="s">
        <v>40</v>
      </c>
      <c r="J808" s="1">
        <v>3.15</v>
      </c>
      <c r="K808" s="1">
        <v>-10</v>
      </c>
      <c r="L808" s="1">
        <v>-2.45500982318271</v>
      </c>
      <c r="M808" s="1" t="s">
        <v>40</v>
      </c>
      <c r="N808" s="1">
        <v>1.0392927308447899</v>
      </c>
      <c r="O808" s="1">
        <v>0.59738048461034698</v>
      </c>
      <c r="Q808" s="1">
        <v>5.9738048461034698E-2</v>
      </c>
      <c r="R808" s="1">
        <v>0.38099208184833799</v>
      </c>
      <c r="S808" s="1" t="str">
        <f>VLOOKUP($E808,'Product Naming'!$A$1:$P$58,2,FALSE)</f>
        <v>Farnesene</v>
      </c>
      <c r="T808" s="1" t="str">
        <f>VLOOKUP($E808,'Product Naming'!$A$1:$P$58,3,FALSE)</f>
        <v>Farnesene</v>
      </c>
      <c r="U808" s="1" t="str">
        <f>VLOOKUP($E808,'Product Naming'!$A$1:$P$58,4,FALSE)</f>
        <v>A</v>
      </c>
      <c r="V808" s="1" t="str">
        <f>VLOOKUP($E808,'Product Naming'!$A$1:$P$58,5,FALSE)</f>
        <v>C15H24</v>
      </c>
      <c r="W808" s="1">
        <f>VLOOKUP($E808,'Product Naming'!$A$1:$P$58,6,FALSE)</f>
        <v>15</v>
      </c>
      <c r="X808" s="1">
        <f>VLOOKUP($E808,'Product Naming'!$A$1:$P$58,7,FALSE)</f>
        <v>24</v>
      </c>
      <c r="Y808" s="1">
        <f>VLOOKUP($E808,'Product Naming'!$A$1:$P$58,8,FALSE)</f>
        <v>0</v>
      </c>
      <c r="Z808" s="1">
        <f>VLOOKUP($E808,'Product Naming'!$A$1:$P$58,9,FALSE)</f>
        <v>0</v>
      </c>
      <c r="AA808" s="1">
        <f>VLOOKUP($E808,'Product Naming'!$A$1:$P$58,10,FALSE)</f>
        <v>0</v>
      </c>
      <c r="AB808" s="29">
        <f>VLOOKUP($E808,'Product Naming'!$A$1:$P$58,11,FALSE)</f>
        <v>5.6</v>
      </c>
      <c r="AC808" s="3">
        <f>VLOOKUP($E808,'Product Naming'!$A$1:$P$58,12,FALSE)</f>
        <v>204.34866000000002</v>
      </c>
      <c r="AD808" s="1" t="str">
        <f>VLOOKUP($E808,'Product Naming'!$A$1:$P$58,13,FALSE)</f>
        <v>260 (A)/272 (B)</v>
      </c>
      <c r="AE808" s="1" t="str">
        <f>VLOOKUP($E808,'Product Naming'!$A$1:$P$58,14,FALSE)</f>
        <v>Hydrocarbon</v>
      </c>
      <c r="AF808" s="1" t="str">
        <f>VLOOKUP($E808,'Product Naming'!$A$1:$P$58,15,FALSE)</f>
        <v>Acetyl-CoA</v>
      </c>
      <c r="AG808" s="30" t="str">
        <f>VLOOKUP($E808,'Product Naming'!$A$1:$P$58,16,FALSE)</f>
        <v>Proton symporter</v>
      </c>
      <c r="AH808" s="3" t="str">
        <f>VLOOKUP($E808,'Product Naming'!$A$1:$Q$58,17,FALSE)</f>
        <v>frene_c</v>
      </c>
      <c r="AI808" s="1">
        <f>VLOOKUP($E808,'Product Parameters'!$A$2:$D$59,2,FALSE)</f>
        <v>1</v>
      </c>
      <c r="AJ808" s="1">
        <f>VLOOKUP($E808,'Product Parameters'!$A$2:$D$59,3,FALSE)</f>
        <v>0</v>
      </c>
      <c r="AK808" s="1">
        <f>VLOOKUP($E808,'Product Parameters'!$A$2:$D$59,4,FALSE)</f>
        <v>0.12</v>
      </c>
      <c r="AL808" s="1">
        <f>VLOOKUP($E808,'Product Parameters'!$A$2:$E$59,5,FALSE)</f>
        <v>0</v>
      </c>
      <c r="AM808" s="1">
        <f>VLOOKUP($E808,'Product Parameters'!$A$2:$F$59,6,FALSE)</f>
        <v>15</v>
      </c>
      <c r="AN808" s="1">
        <f>VLOOKUP($C808,'Substrate Heating'!$A$2:$C$33,3,FALSE)</f>
        <v>638.57832580000002</v>
      </c>
      <c r="AO808" s="1">
        <f>VLOOKUP($C808,'Substrate Heating'!$A$2:$B$33,2,FALSE)</f>
        <v>19.93</v>
      </c>
      <c r="AP808" s="1">
        <f>VLOOKUP($C808,'Substrate Heating'!$A$2:$M$33,13,FALSE)</f>
        <v>6</v>
      </c>
      <c r="AQ808" s="1">
        <f>VLOOKUP($C808,'Substrate Heating'!$A$2:$M$33,8,FALSE)</f>
        <v>1</v>
      </c>
      <c r="AR808" s="1">
        <f t="shared" si="12"/>
        <v>0.89607072691552048</v>
      </c>
    </row>
    <row r="809" spans="1:44" x14ac:dyDescent="0.2">
      <c r="A809" s="8" t="s">
        <v>34</v>
      </c>
      <c r="B809" s="9" t="s">
        <v>35</v>
      </c>
      <c r="C809" s="1" t="s">
        <v>343</v>
      </c>
      <c r="D809" s="24" t="s">
        <v>342</v>
      </c>
      <c r="E809" s="1" t="s">
        <v>145</v>
      </c>
      <c r="F809" s="1" t="s">
        <v>146</v>
      </c>
      <c r="G809" s="1">
        <v>-10</v>
      </c>
      <c r="H809" s="1">
        <v>-20</v>
      </c>
      <c r="I809" s="1" t="s">
        <v>40</v>
      </c>
      <c r="J809" s="1">
        <v>3.15</v>
      </c>
      <c r="K809" s="1">
        <v>-10</v>
      </c>
      <c r="L809" s="1">
        <v>-7.4089999999999998</v>
      </c>
      <c r="M809" s="1" t="s">
        <v>40</v>
      </c>
      <c r="N809" s="1">
        <v>7.2779999999999996</v>
      </c>
      <c r="O809" s="1">
        <v>3.246</v>
      </c>
      <c r="Q809" s="1">
        <v>0.3246</v>
      </c>
      <c r="R809" s="1">
        <v>0.38114551934103702</v>
      </c>
      <c r="S809" s="1" t="str">
        <f>VLOOKUP($E809,'Product Naming'!$A$1:$P$58,2,FALSE)</f>
        <v>Benzyl alcohol</v>
      </c>
      <c r="T809" s="1" t="str">
        <f>VLOOKUP($E809,'Product Naming'!$A$1:$P$58,3,FALSE)</f>
        <v>Benzyl alcohol</v>
      </c>
      <c r="U809" s="1" t="str">
        <f>VLOOKUP($E809,'Product Naming'!$A$1:$P$58,4,FALSE)</f>
        <v>E</v>
      </c>
      <c r="V809" s="1" t="str">
        <f>VLOOKUP($E809,'Product Naming'!$A$1:$P$58,5,FALSE)</f>
        <v>C7H8O</v>
      </c>
      <c r="W809" s="1">
        <f>VLOOKUP($E809,'Product Naming'!$A$1:$P$58,6,FALSE)</f>
        <v>7</v>
      </c>
      <c r="X809" s="1">
        <f>VLOOKUP($E809,'Product Naming'!$A$1:$P$58,7,FALSE)</f>
        <v>8</v>
      </c>
      <c r="Y809" s="1">
        <f>VLOOKUP($E809,'Product Naming'!$A$1:$P$58,8,FALSE)</f>
        <v>1</v>
      </c>
      <c r="Z809" s="1">
        <f>VLOOKUP($E809,'Product Naming'!$A$1:$P$58,9,FALSE)</f>
        <v>0</v>
      </c>
      <c r="AA809" s="1">
        <f>VLOOKUP($E809,'Product Naming'!$A$1:$P$58,10,FALSE)</f>
        <v>0</v>
      </c>
      <c r="AB809" s="29">
        <f>VLOOKUP($E809,'Product Naming'!$A$1:$P$58,11,FALSE)</f>
        <v>4.8571428571428568</v>
      </c>
      <c r="AC809" s="3">
        <f>VLOOKUP($E809,'Product Naming'!$A$1:$P$58,12,FALSE)</f>
        <v>108.13661999999999</v>
      </c>
      <c r="AD809" s="1">
        <f>VLOOKUP($E809,'Product Naming'!$A$1:$P$58,13,FALSE)</f>
        <v>205</v>
      </c>
      <c r="AE809" s="1" t="str">
        <f>VLOOKUP($E809,'Product Naming'!$A$1:$P$58,14,FALSE)</f>
        <v>Aromatic + Alcohol</v>
      </c>
      <c r="AF809" s="1" t="str">
        <f>VLOOKUP($E809,'Product Naming'!$A$1:$P$58,15,FALSE)</f>
        <v>E4P</v>
      </c>
      <c r="AG809" s="30" t="str">
        <f>VLOOKUP($E809,'Product Naming'!$A$1:$P$58,16,FALSE)</f>
        <v>Proton symporter</v>
      </c>
      <c r="AH809" s="3" t="str">
        <f>VLOOKUP($E809,'Product Naming'!$A$1:$Q$58,17,FALSE)</f>
        <v>bzalc_c</v>
      </c>
      <c r="AI809" s="1">
        <f>VLOOKUP($E809,'Product Parameters'!$A$2:$D$59,2,FALSE)</f>
        <v>1</v>
      </c>
      <c r="AJ809" s="1">
        <f>VLOOKUP($E809,'Product Parameters'!$A$2:$D$59,3,FALSE)</f>
        <v>0</v>
      </c>
      <c r="AK809" s="1">
        <f>VLOOKUP($E809,'Product Parameters'!$A$2:$D$59,4,FALSE)</f>
        <v>0.12</v>
      </c>
      <c r="AL809" s="1">
        <f>VLOOKUP($E809,'Product Parameters'!$A$2:$E$59,5,FALSE)</f>
        <v>63</v>
      </c>
      <c r="AM809" s="1">
        <f>VLOOKUP($E809,'Product Parameters'!$A$2:$F$59,6,FALSE)</f>
        <v>7</v>
      </c>
      <c r="AN809" s="1">
        <f>VLOOKUP($C809,'Substrate Heating'!$A$2:$C$33,3,FALSE)</f>
        <v>1648.4793779999998</v>
      </c>
      <c r="AO809" s="1">
        <f>VLOOKUP($C809,'Substrate Heating'!$A$2:$B$33,2,FALSE)</f>
        <v>17.899999999999999</v>
      </c>
      <c r="AP809" s="1">
        <f>VLOOKUP($C809,'Substrate Heating'!$A$2:$M$33,13,FALSE)</f>
        <v>4.666666666666667</v>
      </c>
      <c r="AQ809" s="1">
        <f>VLOOKUP($C809,'Substrate Heating'!$A$2:$M$33,8,FALSE)</f>
        <v>3</v>
      </c>
      <c r="AR809" s="1">
        <f t="shared" si="12"/>
        <v>0.75739999999999996</v>
      </c>
    </row>
    <row r="810" spans="1:44" x14ac:dyDescent="0.2">
      <c r="A810" s="17" t="s">
        <v>185</v>
      </c>
      <c r="B810" s="9" t="s">
        <v>35</v>
      </c>
      <c r="C810" t="s">
        <v>346</v>
      </c>
      <c r="D810" s="23" t="s">
        <v>338</v>
      </c>
      <c r="E810" t="s">
        <v>259</v>
      </c>
      <c r="F810" t="s">
        <v>260</v>
      </c>
      <c r="G810">
        <v>-10</v>
      </c>
      <c r="H810">
        <v>-20</v>
      </c>
      <c r="I810" s="1" t="s">
        <v>40</v>
      </c>
      <c r="J810">
        <v>3.15</v>
      </c>
      <c r="K810">
        <v>-10</v>
      </c>
      <c r="L810">
        <v>-2.4426745329400199</v>
      </c>
      <c r="M810" s="1" t="s">
        <v>40</v>
      </c>
      <c r="N810">
        <v>1.03048180924287</v>
      </c>
      <c r="O810">
        <v>0.89695181907571397</v>
      </c>
      <c r="P810"/>
      <c r="Q810">
        <v>8.9695181907571406E-2</v>
      </c>
      <c r="R810">
        <v>0.38136670533098099</v>
      </c>
      <c r="S810" s="1" t="str">
        <f>VLOOKUP($E810,'Product Naming'!$A$1:$P$58,2,FALSE)</f>
        <v>Limonene</v>
      </c>
      <c r="T810" s="1" t="str">
        <f>VLOOKUP($E810,'Product Naming'!$A$1:$P$58,3,FALSE)</f>
        <v>Limonene</v>
      </c>
      <c r="U810" s="1" t="str">
        <f>VLOOKUP($E810,'Product Naming'!$A$1:$P$58,4,FALSE)</f>
        <v>E</v>
      </c>
      <c r="V810" s="1" t="str">
        <f>VLOOKUP($E810,'Product Naming'!$A$1:$P$58,5,FALSE)</f>
        <v>C10H16</v>
      </c>
      <c r="W810" s="1">
        <f>VLOOKUP($E810,'Product Naming'!$A$1:$P$58,6,FALSE)</f>
        <v>10</v>
      </c>
      <c r="X810" s="1">
        <f>VLOOKUP($E810,'Product Naming'!$A$1:$P$58,7,FALSE)</f>
        <v>16</v>
      </c>
      <c r="Y810" s="1">
        <f>VLOOKUP($E810,'Product Naming'!$A$1:$P$58,8,FALSE)</f>
        <v>0</v>
      </c>
      <c r="Z810" s="1">
        <f>VLOOKUP($E810,'Product Naming'!$A$1:$P$58,9,FALSE)</f>
        <v>0</v>
      </c>
      <c r="AA810" s="1">
        <f>VLOOKUP($E810,'Product Naming'!$A$1:$P$58,10,FALSE)</f>
        <v>0</v>
      </c>
      <c r="AB810" s="29">
        <f>VLOOKUP($E810,'Product Naming'!$A$1:$P$58,11,FALSE)</f>
        <v>5.6</v>
      </c>
      <c r="AC810" s="3">
        <f>VLOOKUP($E810,'Product Naming'!$A$1:$P$58,12,FALSE)</f>
        <v>136.23244</v>
      </c>
      <c r="AD810" s="1">
        <f>VLOOKUP($E810,'Product Naming'!$A$1:$P$58,13,FALSE)</f>
        <v>176</v>
      </c>
      <c r="AE810" s="1" t="str">
        <f>VLOOKUP($E810,'Product Naming'!$A$1:$P$58,14,FALSE)</f>
        <v>Isoprenoid; Aromatic (Cycloalkane)</v>
      </c>
      <c r="AF810" s="1" t="str">
        <f>VLOOKUP($E810,'Product Naming'!$A$1:$P$58,15,FALSE)</f>
        <v>Acetyl-CoA</v>
      </c>
      <c r="AG810" s="30" t="str">
        <f>VLOOKUP($E810,'Product Naming'!$A$1:$P$58,16,FALSE)</f>
        <v>Proton symporter</v>
      </c>
      <c r="AH810" s="3" t="str">
        <f>VLOOKUP($E810,'Product Naming'!$A$1:$Q$58,17,FALSE)</f>
        <v>limnen_c</v>
      </c>
      <c r="AI810" s="1">
        <f>VLOOKUP($E810,'Product Parameters'!$A$2:$D$59,2,FALSE)</f>
        <v>1</v>
      </c>
      <c r="AJ810" s="1">
        <f>VLOOKUP($E810,'Product Parameters'!$A$2:$D$59,3,FALSE)</f>
        <v>0</v>
      </c>
      <c r="AK810" s="1">
        <f>VLOOKUP($E810,'Product Parameters'!$A$2:$D$59,4,FALSE)</f>
        <v>0.12</v>
      </c>
      <c r="AL810" s="1">
        <f>VLOOKUP($E810,'Product Parameters'!$A$2:$E$59,5,FALSE)</f>
        <v>49.5</v>
      </c>
      <c r="AM810" s="1">
        <f>VLOOKUP($E810,'Product Parameters'!$A$2:$F$59,6,FALSE)</f>
        <v>10</v>
      </c>
      <c r="AN810" s="1">
        <f>VLOOKUP($C810,'Substrate Heating'!$A$2:$C$33,3,FALSE)</f>
        <v>638.57832580000002</v>
      </c>
      <c r="AO810" s="1">
        <f>VLOOKUP($C810,'Substrate Heating'!$A$2:$B$33,2,FALSE)</f>
        <v>19.93</v>
      </c>
      <c r="AP810" s="1">
        <f>VLOOKUP($C810,'Substrate Heating'!$A$2:$M$33,13,FALSE)</f>
        <v>6</v>
      </c>
      <c r="AQ810" s="1">
        <f>VLOOKUP($C810,'Substrate Heating'!$A$2:$M$33,8,FALSE)</f>
        <v>1</v>
      </c>
      <c r="AR810" s="1">
        <f t="shared" si="12"/>
        <v>0.89695181907571409</v>
      </c>
    </row>
    <row r="811" spans="1:44" x14ac:dyDescent="0.2">
      <c r="A811" s="17" t="s">
        <v>185</v>
      </c>
      <c r="B811" s="9" t="s">
        <v>35</v>
      </c>
      <c r="C811" t="s">
        <v>347</v>
      </c>
      <c r="D811" s="23" t="s">
        <v>338</v>
      </c>
      <c r="E811" t="s">
        <v>259</v>
      </c>
      <c r="F811" t="s">
        <v>260</v>
      </c>
      <c r="G811">
        <v>-10</v>
      </c>
      <c r="H811">
        <v>-20</v>
      </c>
      <c r="I811" s="1" t="s">
        <v>40</v>
      </c>
      <c r="J811">
        <v>3.15</v>
      </c>
      <c r="K811">
        <v>-10</v>
      </c>
      <c r="L811">
        <v>-2.4426745329400199</v>
      </c>
      <c r="M811" s="1" t="s">
        <v>40</v>
      </c>
      <c r="N811">
        <v>1.03048180924287</v>
      </c>
      <c r="O811">
        <v>0.89695181907571297</v>
      </c>
      <c r="P811"/>
      <c r="Q811">
        <v>8.9695181907571406E-2</v>
      </c>
      <c r="R811">
        <v>0.38136670533098099</v>
      </c>
      <c r="S811" s="1" t="str">
        <f>VLOOKUP($E811,'Product Naming'!$A$1:$P$58,2,FALSE)</f>
        <v>Limonene</v>
      </c>
      <c r="T811" s="1" t="str">
        <f>VLOOKUP($E811,'Product Naming'!$A$1:$P$58,3,FALSE)</f>
        <v>Limonene</v>
      </c>
      <c r="U811" s="1" t="str">
        <f>VLOOKUP($E811,'Product Naming'!$A$1:$P$58,4,FALSE)</f>
        <v>E</v>
      </c>
      <c r="V811" s="1" t="str">
        <f>VLOOKUP($E811,'Product Naming'!$A$1:$P$58,5,FALSE)</f>
        <v>C10H16</v>
      </c>
      <c r="W811" s="1">
        <f>VLOOKUP($E811,'Product Naming'!$A$1:$P$58,6,FALSE)</f>
        <v>10</v>
      </c>
      <c r="X811" s="1">
        <f>VLOOKUP($E811,'Product Naming'!$A$1:$P$58,7,FALSE)</f>
        <v>16</v>
      </c>
      <c r="Y811" s="1">
        <f>VLOOKUP($E811,'Product Naming'!$A$1:$P$58,8,FALSE)</f>
        <v>0</v>
      </c>
      <c r="Z811" s="1">
        <f>VLOOKUP($E811,'Product Naming'!$A$1:$P$58,9,FALSE)</f>
        <v>0</v>
      </c>
      <c r="AA811" s="1">
        <f>VLOOKUP($E811,'Product Naming'!$A$1:$P$58,10,FALSE)</f>
        <v>0</v>
      </c>
      <c r="AB811" s="29">
        <f>VLOOKUP($E811,'Product Naming'!$A$1:$P$58,11,FALSE)</f>
        <v>5.6</v>
      </c>
      <c r="AC811" s="3">
        <f>VLOOKUP($E811,'Product Naming'!$A$1:$P$58,12,FALSE)</f>
        <v>136.23244</v>
      </c>
      <c r="AD811" s="1">
        <f>VLOOKUP($E811,'Product Naming'!$A$1:$P$58,13,FALSE)</f>
        <v>176</v>
      </c>
      <c r="AE811" s="1" t="str">
        <f>VLOOKUP($E811,'Product Naming'!$A$1:$P$58,14,FALSE)</f>
        <v>Isoprenoid; Aromatic (Cycloalkane)</v>
      </c>
      <c r="AF811" s="1" t="str">
        <f>VLOOKUP($E811,'Product Naming'!$A$1:$P$58,15,FALSE)</f>
        <v>Acetyl-CoA</v>
      </c>
      <c r="AG811" s="30" t="str">
        <f>VLOOKUP($E811,'Product Naming'!$A$1:$P$58,16,FALSE)</f>
        <v>Proton symporter</v>
      </c>
      <c r="AH811" s="3" t="str">
        <f>VLOOKUP($E811,'Product Naming'!$A$1:$Q$58,17,FALSE)</f>
        <v>limnen_c</v>
      </c>
      <c r="AI811" s="1">
        <f>VLOOKUP($E811,'Product Parameters'!$A$2:$D$59,2,FALSE)</f>
        <v>1</v>
      </c>
      <c r="AJ811" s="1">
        <f>VLOOKUP($E811,'Product Parameters'!$A$2:$D$59,3,FALSE)</f>
        <v>0</v>
      </c>
      <c r="AK811" s="1">
        <f>VLOOKUP($E811,'Product Parameters'!$A$2:$D$59,4,FALSE)</f>
        <v>0.12</v>
      </c>
      <c r="AL811" s="1">
        <f>VLOOKUP($E811,'Product Parameters'!$A$2:$E$59,5,FALSE)</f>
        <v>49.5</v>
      </c>
      <c r="AM811" s="1">
        <f>VLOOKUP($E811,'Product Parameters'!$A$2:$F$59,6,FALSE)</f>
        <v>10</v>
      </c>
      <c r="AN811" s="1">
        <f>VLOOKUP($C811,'Substrate Heating'!$A$2:$C$33,3,FALSE)</f>
        <v>638.57832580000002</v>
      </c>
      <c r="AO811" s="1">
        <f>VLOOKUP($C811,'Substrate Heating'!$A$2:$B$33,2,FALSE)</f>
        <v>19.93</v>
      </c>
      <c r="AP811" s="1">
        <f>VLOOKUP($C811,'Substrate Heating'!$A$2:$M$33,13,FALSE)</f>
        <v>6</v>
      </c>
      <c r="AQ811" s="1">
        <f>VLOOKUP($C811,'Substrate Heating'!$A$2:$M$33,8,FALSE)</f>
        <v>1</v>
      </c>
      <c r="AR811" s="1">
        <f t="shared" si="12"/>
        <v>0.89695181907571409</v>
      </c>
    </row>
    <row r="812" spans="1:44" x14ac:dyDescent="0.2">
      <c r="A812" s="8" t="s">
        <v>816</v>
      </c>
      <c r="B812" s="18" t="s">
        <v>324</v>
      </c>
      <c r="C812" t="s">
        <v>815</v>
      </c>
      <c r="D812" s="19" t="s">
        <v>326</v>
      </c>
      <c r="E812" t="s">
        <v>52</v>
      </c>
      <c r="F812" t="s">
        <v>53</v>
      </c>
      <c r="G812">
        <v>-10</v>
      </c>
      <c r="H812">
        <v>0</v>
      </c>
      <c r="I812">
        <v>0</v>
      </c>
      <c r="J812">
        <v>0.45</v>
      </c>
      <c r="K812">
        <v>23.707692309999999</v>
      </c>
      <c r="L812">
        <v>0</v>
      </c>
      <c r="M812">
        <v>0</v>
      </c>
      <c r="N812">
        <v>23.707692309999999</v>
      </c>
      <c r="O812">
        <v>3.7076923079999999</v>
      </c>
      <c r="P812"/>
      <c r="Q812">
        <v>0.156391953</v>
      </c>
      <c r="R812">
        <v>0.38153212600000003</v>
      </c>
      <c r="S812" s="1" t="str">
        <f>VLOOKUP($E812,'Product Naming'!$A$1:$P$58,2,FALSE)</f>
        <v>1-3-Diaminopropane</v>
      </c>
      <c r="T812" s="1" t="str">
        <f>VLOOKUP($E812,'Product Naming'!$A$1:$P$58,3,FALSE)</f>
        <v>1,3-Diaminopropane</v>
      </c>
      <c r="U812" s="1" t="str">
        <f>VLOOKUP($E812,'Product Naming'!$A$1:$P$58,4,FALSE)</f>
        <v>A</v>
      </c>
      <c r="V812" s="1" t="str">
        <f>VLOOKUP($E812,'Product Naming'!$A$1:$P$58,5,FALSE)</f>
        <v>C3H12N2</v>
      </c>
      <c r="W812" s="1">
        <f>VLOOKUP($E812,'Product Naming'!$A$1:$P$58,6,FALSE)</f>
        <v>3</v>
      </c>
      <c r="X812" s="1">
        <f>VLOOKUP($E812,'Product Naming'!$A$1:$P$58,7,FALSE)</f>
        <v>12</v>
      </c>
      <c r="Y812" s="1">
        <f>VLOOKUP($E812,'Product Naming'!$A$1:$P$58,8,FALSE)</f>
        <v>0</v>
      </c>
      <c r="Z812" s="1">
        <f>VLOOKUP($E812,'Product Naming'!$A$1:$P$58,9,FALSE)</f>
        <v>2</v>
      </c>
      <c r="AA812" s="1">
        <f>VLOOKUP($E812,'Product Naming'!$A$1:$P$58,10,FALSE)</f>
        <v>2</v>
      </c>
      <c r="AB812" s="29">
        <f>VLOOKUP($E812,'Product Naming'!$A$1:$P$58,11,FALSE)</f>
        <v>6</v>
      </c>
      <c r="AC812" s="3">
        <f>VLOOKUP($E812,'Product Naming'!$A$1:$P$58,12,FALSE)</f>
        <v>76.139580000000009</v>
      </c>
      <c r="AD812" s="1">
        <f>VLOOKUP($E812,'Product Naming'!$A$1:$P$58,13,FALSE)</f>
        <v>139.30000000000001</v>
      </c>
      <c r="AE812" s="1" t="str">
        <f>VLOOKUP($E812,'Product Naming'!$A$1:$P$58,14,FALSE)</f>
        <v>Diamine</v>
      </c>
      <c r="AF812" s="1" t="str">
        <f>VLOOKUP($E812,'Product Naming'!$A$1:$P$58,15,FALSE)</f>
        <v>Oxaloacetate + aKG</v>
      </c>
      <c r="AG812" s="30" t="str">
        <f>VLOOKUP($E812,'Product Naming'!$A$1:$P$58,16,FALSE)</f>
        <v>Proton symporter</v>
      </c>
      <c r="AH812" s="3" t="str">
        <f>VLOOKUP($E812,'Product Naming'!$A$1:$Q$58,17,FALSE)</f>
        <v>13dampp_c</v>
      </c>
      <c r="AI812" s="1">
        <f>VLOOKUP($E812,'Product Parameters'!$A$2:$D$59,2,FALSE)</f>
        <v>1</v>
      </c>
      <c r="AJ812" s="1">
        <f>VLOOKUP($E812,'Product Parameters'!$A$2:$D$59,3,FALSE)</f>
        <v>0</v>
      </c>
      <c r="AK812" s="1">
        <f>VLOOKUP($E812,'Product Parameters'!$A$2:$D$59,4,FALSE)</f>
        <v>0.12</v>
      </c>
      <c r="AL812" s="1">
        <f>VLOOKUP($E812,'Product Parameters'!$A$2:$E$59,5,FALSE)</f>
        <v>50.18</v>
      </c>
      <c r="AM812" s="1">
        <f>VLOOKUP($E812,'Product Parameters'!$A$2:$F$59,6,FALSE)</f>
        <v>3</v>
      </c>
      <c r="AN812" s="1">
        <f>VLOOKUP($C812,'Substrate Heating'!$A$2:$C$33,3,FALSE)</f>
        <v>226.4</v>
      </c>
      <c r="AO812" s="1">
        <f>VLOOKUP($C812,'Substrate Heating'!$A$2:$B$33,2,FALSE)</f>
        <v>7.2542014450728134</v>
      </c>
      <c r="AP812" s="1">
        <f>VLOOKUP($C812,'Substrate Heating'!$A$2:$M$33,13,FALSE)</f>
        <v>1.6</v>
      </c>
      <c r="AQ812" s="1">
        <f>VLOOKUP($C812,'Substrate Heating'!$A$2:$M$33,8,FALSE)</f>
        <v>1</v>
      </c>
      <c r="AR812" s="1">
        <f t="shared" si="12"/>
        <v>0.46917585900000003</v>
      </c>
    </row>
    <row r="813" spans="1:44" x14ac:dyDescent="0.2">
      <c r="A813" s="8" t="s">
        <v>34</v>
      </c>
      <c r="B813" s="9" t="s">
        <v>35</v>
      </c>
      <c r="C813" s="1" t="s">
        <v>349</v>
      </c>
      <c r="D813" s="25" t="s">
        <v>342</v>
      </c>
      <c r="E813" s="1" t="s">
        <v>108</v>
      </c>
      <c r="F813" s="1" t="s">
        <v>109</v>
      </c>
      <c r="G813" s="1">
        <v>-10</v>
      </c>
      <c r="H813" s="1">
        <v>-20</v>
      </c>
      <c r="I813" s="1" t="s">
        <v>40</v>
      </c>
      <c r="J813" s="1">
        <v>3.15</v>
      </c>
      <c r="K813" s="1">
        <v>-10</v>
      </c>
      <c r="L813" s="1">
        <v>-4.6994565217391298</v>
      </c>
      <c r="M813" s="1" t="s">
        <v>40</v>
      </c>
      <c r="N813" s="1">
        <v>11.852173913043501</v>
      </c>
      <c r="O813" s="1">
        <v>4.7684782608695704</v>
      </c>
      <c r="Q813" s="1">
        <v>0.47684782608695597</v>
      </c>
      <c r="R813" s="1">
        <v>0.38161585527325598</v>
      </c>
      <c r="S813" s="1" t="str">
        <f>VLOOKUP($E813,'Product Naming'!$A$1:$P$58,2,FALSE)</f>
        <v>4-Hydroxystyrene</v>
      </c>
      <c r="T813" s="1" t="str">
        <f>VLOOKUP($E813,'Product Naming'!$A$1:$P$58,3,FALSE)</f>
        <v>4-Hydroxystyrene</v>
      </c>
      <c r="U813" s="1" t="str">
        <f>VLOOKUP($E813,'Product Naming'!$A$1:$P$58,4,FALSE)</f>
        <v>E</v>
      </c>
      <c r="V813" s="1" t="str">
        <f>VLOOKUP($E813,'Product Naming'!$A$1:$P$58,5,FALSE)</f>
        <v>C8H8O</v>
      </c>
      <c r="W813" s="1">
        <f>VLOOKUP($E813,'Product Naming'!$A$1:$P$58,6,FALSE)</f>
        <v>8</v>
      </c>
      <c r="X813" s="1">
        <f>VLOOKUP($E813,'Product Naming'!$A$1:$P$58,7,FALSE)</f>
        <v>8</v>
      </c>
      <c r="Y813" s="1">
        <f>VLOOKUP($E813,'Product Naming'!$A$1:$P$58,8,FALSE)</f>
        <v>1</v>
      </c>
      <c r="Z813" s="1">
        <f>VLOOKUP($E813,'Product Naming'!$A$1:$P$58,9,FALSE)</f>
        <v>0</v>
      </c>
      <c r="AA813" s="1">
        <f>VLOOKUP($E813,'Product Naming'!$A$1:$P$58,10,FALSE)</f>
        <v>0</v>
      </c>
      <c r="AB813" s="29">
        <f>VLOOKUP($E813,'Product Naming'!$A$1:$P$58,11,FALSE)</f>
        <v>4.75</v>
      </c>
      <c r="AC813" s="3">
        <f>VLOOKUP($E813,'Product Naming'!$A$1:$P$58,12,FALSE)</f>
        <v>120.14731999999999</v>
      </c>
      <c r="AD813" s="1">
        <f>VLOOKUP($E813,'Product Naming'!$A$1:$P$58,13,FALSE)</f>
        <v>229</v>
      </c>
      <c r="AE813" s="1" t="str">
        <f>VLOOKUP($E813,'Product Naming'!$A$1:$P$58,14,FALSE)</f>
        <v>Aromatic + Alcohol</v>
      </c>
      <c r="AF813" s="1" t="str">
        <f>VLOOKUP($E813,'Product Naming'!$A$1:$P$58,15,FALSE)</f>
        <v>E4P + L-glutamate</v>
      </c>
      <c r="AG813" s="30" t="str">
        <f>VLOOKUP($E813,'Product Naming'!$A$1:$P$58,16,FALSE)</f>
        <v>Proton symporter</v>
      </c>
      <c r="AH813" s="3" t="str">
        <f>VLOOKUP($E813,'Product Naming'!$A$1:$Q$58,17,FALSE)</f>
        <v>4hxst_c</v>
      </c>
      <c r="AI813" s="1">
        <f>VLOOKUP($E813,'Product Parameters'!$A$2:$D$59,2,FALSE)</f>
        <v>1</v>
      </c>
      <c r="AJ813" s="1">
        <f>VLOOKUP($E813,'Product Parameters'!$A$2:$D$59,3,FALSE)</f>
        <v>0</v>
      </c>
      <c r="AK813" s="1">
        <f>VLOOKUP($E813,'Product Parameters'!$A$2:$D$59,4,FALSE)</f>
        <v>0.12</v>
      </c>
      <c r="AL813" s="1">
        <f>VLOOKUP($E813,'Product Parameters'!$A$2:$E$59,5,FALSE)</f>
        <v>40.65</v>
      </c>
      <c r="AM813" s="1">
        <f>VLOOKUP($E813,'Product Parameters'!$A$2:$F$59,6,FALSE)</f>
        <v>8</v>
      </c>
      <c r="AN813" s="1">
        <f>VLOOKUP($C813,'Substrate Heating'!$A$2:$C$33,3,FALSE)</f>
        <v>2342.0279999999998</v>
      </c>
      <c r="AO813" s="1">
        <f>VLOOKUP($C813,'Substrate Heating'!$A$2:$B$33,2,FALSE)</f>
        <v>15.6</v>
      </c>
      <c r="AP813" s="1">
        <f>VLOOKUP($C813,'Substrate Heating'!$A$2:$M$33,13,FALSE)</f>
        <v>4</v>
      </c>
      <c r="AQ813" s="1">
        <f>VLOOKUP($C813,'Substrate Heating'!$A$2:$M$33,8,FALSE)</f>
        <v>5</v>
      </c>
      <c r="AR813" s="1">
        <f t="shared" si="12"/>
        <v>0.76295652173912953</v>
      </c>
    </row>
    <row r="814" spans="1:44" x14ac:dyDescent="0.2">
      <c r="A814" s="8" t="s">
        <v>34</v>
      </c>
      <c r="B814" s="9" t="s">
        <v>35</v>
      </c>
      <c r="C814" s="1" t="s">
        <v>330</v>
      </c>
      <c r="D814" s="10" t="s">
        <v>37</v>
      </c>
      <c r="E814" s="1" t="s">
        <v>81</v>
      </c>
      <c r="F814" s="1" t="s">
        <v>73</v>
      </c>
      <c r="G814" s="1">
        <v>-10</v>
      </c>
      <c r="H814" s="1">
        <v>-20</v>
      </c>
      <c r="I814" s="1" t="s">
        <v>40</v>
      </c>
      <c r="J814" s="1">
        <v>3.15</v>
      </c>
      <c r="K814" s="1">
        <v>-10</v>
      </c>
      <c r="L814" s="1">
        <v>-7.2352272727272702</v>
      </c>
      <c r="M814" s="1" t="s">
        <v>40</v>
      </c>
      <c r="N814" s="1">
        <v>8.1568181818181902</v>
      </c>
      <c r="O814" s="1">
        <v>3.9477272727272799</v>
      </c>
      <c r="Q814" s="1">
        <v>0.394772727272728</v>
      </c>
      <c r="R814" s="1">
        <v>0.382226151567296</v>
      </c>
      <c r="S814" s="1" t="str">
        <f>VLOOKUP($E814,'Product Naming'!$A$1:$P$58,2,FALSE)</f>
        <v>1-propanol-PW2</v>
      </c>
      <c r="T814" s="1" t="str">
        <f>VLOOKUP($E814,'Product Naming'!$A$1:$P$58,3,FALSE)</f>
        <v>1-Propanol (PW2)</v>
      </c>
      <c r="U814" s="1" t="str">
        <f>VLOOKUP($E814,'Product Naming'!$A$1:$P$58,4,FALSE)</f>
        <v>E-S</v>
      </c>
      <c r="V814" s="1" t="str">
        <f>VLOOKUP($E814,'Product Naming'!$A$1:$P$58,5,FALSE)</f>
        <v>C3H8O</v>
      </c>
      <c r="W814" s="1">
        <f>VLOOKUP($E814,'Product Naming'!$A$1:$P$58,6,FALSE)</f>
        <v>3</v>
      </c>
      <c r="X814" s="1">
        <f>VLOOKUP($E814,'Product Naming'!$A$1:$P$58,7,FALSE)</f>
        <v>8</v>
      </c>
      <c r="Y814" s="1">
        <f>VLOOKUP($E814,'Product Naming'!$A$1:$P$58,8,FALSE)</f>
        <v>1</v>
      </c>
      <c r="Z814" s="1">
        <f>VLOOKUP($E814,'Product Naming'!$A$1:$P$58,9,FALSE)</f>
        <v>0</v>
      </c>
      <c r="AA814" s="1">
        <f>VLOOKUP($E814,'Product Naming'!$A$1:$P$58,10,FALSE)</f>
        <v>0</v>
      </c>
      <c r="AB814" s="29">
        <f>VLOOKUP($E814,'Product Naming'!$A$1:$P$58,11,FALSE)</f>
        <v>6</v>
      </c>
      <c r="AC814" s="3">
        <f>VLOOKUP($E814,'Product Naming'!$A$1:$P$58,12,FALSE)</f>
        <v>60.093820000000001</v>
      </c>
      <c r="AD814" s="1">
        <f>VLOOKUP($E814,'Product Naming'!$A$1:$P$58,13,FALSE)</f>
        <v>97</v>
      </c>
      <c r="AE814" s="1" t="str">
        <f>VLOOKUP($E814,'Product Naming'!$A$1:$P$58,14,FALSE)</f>
        <v>Alcohol</v>
      </c>
      <c r="AF814" s="1" t="str">
        <f>VLOOKUP($E814,'Product Naming'!$A$1:$P$58,15,FALSE)</f>
        <v>Oxaloacetate</v>
      </c>
      <c r="AG814" s="30" t="str">
        <f>VLOOKUP($E814,'Product Naming'!$A$1:$P$58,16,FALSE)</f>
        <v>Proton symporter</v>
      </c>
      <c r="AH814" s="3" t="str">
        <f>VLOOKUP($E814,'Product Naming'!$A$1:$Q$58,17,FALSE)</f>
        <v>ppoh_c</v>
      </c>
      <c r="AI814" s="1">
        <f>VLOOKUP($E814,'Product Parameters'!$A$2:$D$59,2,FALSE)</f>
        <v>1</v>
      </c>
      <c r="AJ814" s="1">
        <f>VLOOKUP($E814,'Product Parameters'!$A$2:$D$59,3,FALSE)</f>
        <v>0</v>
      </c>
      <c r="AK814" s="1">
        <f>VLOOKUP($E814,'Product Parameters'!$A$2:$D$59,4,FALSE)</f>
        <v>0.12</v>
      </c>
      <c r="AL814" s="1">
        <f>VLOOKUP($E814,'Product Parameters'!$A$2:$E$59,5,FALSE)</f>
        <v>47</v>
      </c>
      <c r="AM814" s="1">
        <f>VLOOKUP($E814,'Product Parameters'!$A$2:$F$59,6,FALSE)</f>
        <v>3</v>
      </c>
      <c r="AN814" s="1">
        <f>VLOOKUP($C814,'Substrate Heating'!$A$2:$C$33,3,FALSE)</f>
        <v>1055.1294800000001</v>
      </c>
      <c r="AO814" s="1">
        <f>VLOOKUP($C814,'Substrate Heating'!$A$2:$B$33,2,FALSE)</f>
        <v>17</v>
      </c>
      <c r="AP814" s="1">
        <f>VLOOKUP($C814,'Substrate Heating'!$A$2:$M$33,13,FALSE)</f>
        <v>5</v>
      </c>
      <c r="AQ814" s="1">
        <f>VLOOKUP($C814,'Substrate Heating'!$A$2:$M$33,8,FALSE)</f>
        <v>2</v>
      </c>
      <c r="AR814" s="1">
        <f t="shared" si="12"/>
        <v>0.59215909090909202</v>
      </c>
    </row>
    <row r="815" spans="1:44" x14ac:dyDescent="0.2">
      <c r="A815" s="8" t="s">
        <v>34</v>
      </c>
      <c r="B815" s="9" t="s">
        <v>35</v>
      </c>
      <c r="C815" s="1" t="s">
        <v>345</v>
      </c>
      <c r="D815" s="10" t="s">
        <v>37</v>
      </c>
      <c r="E815" s="1" t="s">
        <v>164</v>
      </c>
      <c r="F815" s="1" t="s">
        <v>165</v>
      </c>
      <c r="G815" s="1">
        <v>-10</v>
      </c>
      <c r="H815" s="1">
        <v>-20</v>
      </c>
      <c r="I815" s="1" t="s">
        <v>40</v>
      </c>
      <c r="J815" s="1">
        <v>3.15</v>
      </c>
      <c r="K815" s="1">
        <v>-10</v>
      </c>
      <c r="L815" s="1">
        <v>-1.37488372093023</v>
      </c>
      <c r="M815" s="1" t="s">
        <v>40</v>
      </c>
      <c r="N815" s="1">
        <v>7.58325581395348</v>
      </c>
      <c r="O815" s="1">
        <v>3.10418604651163</v>
      </c>
      <c r="Q815" s="1">
        <v>0.310418604651163</v>
      </c>
      <c r="R815" s="1">
        <v>0.38313943016827301</v>
      </c>
      <c r="S815" s="1" t="str">
        <f>VLOOKUP($E815,'Product Naming'!$A$1:$P$58,2,FALSE)</f>
        <v>Butanol-PW1</v>
      </c>
      <c r="T815" s="1" t="str">
        <f>VLOOKUP($E815,'Product Naming'!$A$1:$P$58,3,FALSE)</f>
        <v>Butanol (PW1)</v>
      </c>
      <c r="U815" s="1" t="str">
        <f>VLOOKUP($E815,'Product Naming'!$A$1:$P$58,4,FALSE)</f>
        <v>E</v>
      </c>
      <c r="V815" s="1" t="str">
        <f>VLOOKUP($E815,'Product Naming'!$A$1:$P$58,5,FALSE)</f>
        <v>C4H10O</v>
      </c>
      <c r="W815" s="1">
        <f>VLOOKUP($E815,'Product Naming'!$A$1:$P$58,6,FALSE)</f>
        <v>4</v>
      </c>
      <c r="X815" s="1">
        <f>VLOOKUP($E815,'Product Naming'!$A$1:$P$58,7,FALSE)</f>
        <v>10</v>
      </c>
      <c r="Y815" s="1">
        <f>VLOOKUP($E815,'Product Naming'!$A$1:$P$58,8,FALSE)</f>
        <v>1</v>
      </c>
      <c r="Z815" s="1">
        <f>VLOOKUP($E815,'Product Naming'!$A$1:$P$58,9,FALSE)</f>
        <v>0</v>
      </c>
      <c r="AA815" s="1">
        <f>VLOOKUP($E815,'Product Naming'!$A$1:$P$58,10,FALSE)</f>
        <v>0</v>
      </c>
      <c r="AB815" s="29">
        <f>VLOOKUP($E815,'Product Naming'!$A$1:$P$58,11,FALSE)</f>
        <v>6</v>
      </c>
      <c r="AC815" s="3">
        <f>VLOOKUP($E815,'Product Naming'!$A$1:$P$58,12,FALSE)</f>
        <v>74.120199999999997</v>
      </c>
      <c r="AD815" s="1">
        <f>VLOOKUP($E815,'Product Naming'!$A$1:$P$58,13,FALSE)</f>
        <v>117.7</v>
      </c>
      <c r="AE815" s="1" t="str">
        <f>VLOOKUP($E815,'Product Naming'!$A$1:$P$58,14,FALSE)</f>
        <v>Alcohol</v>
      </c>
      <c r="AF815" s="1" t="str">
        <f>VLOOKUP($E815,'Product Naming'!$A$1:$P$58,15,FALSE)</f>
        <v>Acetyl-CoA</v>
      </c>
      <c r="AG815" s="30" t="str">
        <f>VLOOKUP($E815,'Product Naming'!$A$1:$P$58,16,FALSE)</f>
        <v>Proton symporter</v>
      </c>
      <c r="AH815" s="3" t="str">
        <f>VLOOKUP($E815,'Product Naming'!$A$1:$Q$58,17,FALSE)</f>
        <v>btoh_c</v>
      </c>
      <c r="AI815" s="1">
        <f>VLOOKUP($E815,'Product Parameters'!$A$2:$D$59,2,FALSE)</f>
        <v>1</v>
      </c>
      <c r="AJ815" s="1">
        <f>VLOOKUP($E815,'Product Parameters'!$A$2:$D$59,3,FALSE)</f>
        <v>0</v>
      </c>
      <c r="AK815" s="1">
        <f>VLOOKUP($E815,'Product Parameters'!$A$2:$D$59,4,FALSE)</f>
        <v>0.12</v>
      </c>
      <c r="AL815" s="1">
        <f>VLOOKUP($E815,'Product Parameters'!$A$2:$E$59,5,FALSE)</f>
        <v>52</v>
      </c>
      <c r="AM815" s="1">
        <f>VLOOKUP($E815,'Product Parameters'!$A$2:$F$59,6,FALSE)</f>
        <v>4</v>
      </c>
      <c r="AN815" s="1">
        <f>VLOOKUP($C815,'Substrate Heating'!$A$2:$C$33,3,FALSE)</f>
        <v>1020.8629199999999</v>
      </c>
      <c r="AO815" s="1">
        <f>VLOOKUP($C815,'Substrate Heating'!$A$2:$B$33,2,FALSE)</f>
        <v>17</v>
      </c>
      <c r="AP815" s="1">
        <f>VLOOKUP($C815,'Substrate Heating'!$A$2:$M$33,13,FALSE)</f>
        <v>4</v>
      </c>
      <c r="AQ815" s="1">
        <f>VLOOKUP($C815,'Substrate Heating'!$A$2:$M$33,8,FALSE)</f>
        <v>2</v>
      </c>
      <c r="AR815" s="1">
        <f t="shared" si="12"/>
        <v>0.620837209302326</v>
      </c>
    </row>
    <row r="816" spans="1:44" x14ac:dyDescent="0.2">
      <c r="A816" s="8" t="s">
        <v>34</v>
      </c>
      <c r="B816" s="9" t="s">
        <v>35</v>
      </c>
      <c r="C816" s="1" t="s">
        <v>330</v>
      </c>
      <c r="D816" s="10" t="s">
        <v>37</v>
      </c>
      <c r="E816" s="1" t="s">
        <v>251</v>
      </c>
      <c r="F816" s="1" t="s">
        <v>252</v>
      </c>
      <c r="G816" s="1">
        <v>-10</v>
      </c>
      <c r="H816" s="1">
        <v>-20</v>
      </c>
      <c r="I816" s="1" t="s">
        <v>40</v>
      </c>
      <c r="J816" s="1">
        <v>3.15</v>
      </c>
      <c r="K816" s="1">
        <v>-10</v>
      </c>
      <c r="L816" s="1">
        <v>-7.19166666666667</v>
      </c>
      <c r="M816" s="1" t="s">
        <v>40</v>
      </c>
      <c r="N816" s="1">
        <v>8.12777777777778</v>
      </c>
      <c r="O816" s="1">
        <v>3.9574074074074099</v>
      </c>
      <c r="Q816" s="1">
        <v>0.395740740740741</v>
      </c>
      <c r="R816" s="1">
        <v>0.38316339985468401</v>
      </c>
      <c r="S816" s="1" t="str">
        <f>VLOOKUP($E816,'Product Naming'!$A$1:$P$58,2,FALSE)</f>
        <v>Isopropanol</v>
      </c>
      <c r="T816" s="1" t="str">
        <f>VLOOKUP($E816,'Product Naming'!$A$1:$P$58,3,FALSE)</f>
        <v>Isopropanol</v>
      </c>
      <c r="U816" s="1" t="str">
        <f>VLOOKUP($E816,'Product Naming'!$A$1:$P$58,4,FALSE)</f>
        <v>A</v>
      </c>
      <c r="V816" s="1" t="str">
        <f>VLOOKUP($E816,'Product Naming'!$A$1:$P$58,5,FALSE)</f>
        <v>C3H8O</v>
      </c>
      <c r="W816" s="1">
        <f>VLOOKUP($E816,'Product Naming'!$A$1:$P$58,6,FALSE)</f>
        <v>3</v>
      </c>
      <c r="X816" s="1">
        <f>VLOOKUP($E816,'Product Naming'!$A$1:$P$58,7,FALSE)</f>
        <v>8</v>
      </c>
      <c r="Y816" s="1">
        <f>VLOOKUP($E816,'Product Naming'!$A$1:$P$58,8,FALSE)</f>
        <v>1</v>
      </c>
      <c r="Z816" s="1">
        <f>VLOOKUP($E816,'Product Naming'!$A$1:$P$58,9,FALSE)</f>
        <v>0</v>
      </c>
      <c r="AA816" s="1">
        <f>VLOOKUP($E816,'Product Naming'!$A$1:$P$58,10,FALSE)</f>
        <v>0</v>
      </c>
      <c r="AB816" s="29">
        <f>VLOOKUP($E816,'Product Naming'!$A$1:$P$58,11,FALSE)</f>
        <v>6</v>
      </c>
      <c r="AC816" s="3">
        <f>VLOOKUP($E816,'Product Naming'!$A$1:$P$58,12,FALSE)</f>
        <v>60.093820000000001</v>
      </c>
      <c r="AD816" s="1">
        <f>VLOOKUP($E816,'Product Naming'!$A$1:$P$58,13,FALSE)</f>
        <v>82.5</v>
      </c>
      <c r="AE816" s="1" t="str">
        <f>VLOOKUP($E816,'Product Naming'!$A$1:$P$58,14,FALSE)</f>
        <v>Alcohol</v>
      </c>
      <c r="AF816" s="1" t="str">
        <f>VLOOKUP($E816,'Product Naming'!$A$1:$P$58,15,FALSE)</f>
        <v>Acetyl-CoA</v>
      </c>
      <c r="AG816" s="30" t="str">
        <f>VLOOKUP($E816,'Product Naming'!$A$1:$P$58,16,FALSE)</f>
        <v>Proton symporter</v>
      </c>
      <c r="AH816" s="3" t="str">
        <f>VLOOKUP($E816,'Product Naming'!$A$1:$Q$58,17,FALSE)</f>
        <v>2ppoh_c</v>
      </c>
      <c r="AI816" s="1">
        <f>VLOOKUP($E816,'Product Parameters'!$A$2:$D$59,2,FALSE)</f>
        <v>1</v>
      </c>
      <c r="AJ816" s="1">
        <f>VLOOKUP($E816,'Product Parameters'!$A$2:$D$59,3,FALSE)</f>
        <v>0</v>
      </c>
      <c r="AK816" s="1">
        <f>VLOOKUP($E816,'Product Parameters'!$A$2:$D$59,4,FALSE)</f>
        <v>0.12</v>
      </c>
      <c r="AL816" s="1">
        <f>VLOOKUP($E816,'Product Parameters'!$A$2:$E$59,5,FALSE)</f>
        <v>45</v>
      </c>
      <c r="AM816" s="1">
        <f>VLOOKUP($E816,'Product Parameters'!$A$2:$F$59,6,FALSE)</f>
        <v>3</v>
      </c>
      <c r="AN816" s="1">
        <f>VLOOKUP($C816,'Substrate Heating'!$A$2:$C$33,3,FALSE)</f>
        <v>1055.1294800000001</v>
      </c>
      <c r="AO816" s="1">
        <f>VLOOKUP($C816,'Substrate Heating'!$A$2:$B$33,2,FALSE)</f>
        <v>17</v>
      </c>
      <c r="AP816" s="1">
        <f>VLOOKUP($C816,'Substrate Heating'!$A$2:$M$33,13,FALSE)</f>
        <v>5</v>
      </c>
      <c r="AQ816" s="1">
        <f>VLOOKUP($C816,'Substrate Heating'!$A$2:$M$33,8,FALSE)</f>
        <v>2</v>
      </c>
      <c r="AR816" s="1">
        <f t="shared" si="12"/>
        <v>0.59361111111111153</v>
      </c>
    </row>
    <row r="817" spans="1:44" x14ac:dyDescent="0.2">
      <c r="A817" s="8" t="s">
        <v>34</v>
      </c>
      <c r="B817" s="9" t="s">
        <v>35</v>
      </c>
      <c r="C817" s="1" t="s">
        <v>341</v>
      </c>
      <c r="D817" s="24" t="s">
        <v>342</v>
      </c>
      <c r="E817" s="1" t="s">
        <v>108</v>
      </c>
      <c r="F817" s="1" t="s">
        <v>109</v>
      </c>
      <c r="G817" s="1">
        <v>-10</v>
      </c>
      <c r="H817" s="1">
        <v>-20</v>
      </c>
      <c r="I817" s="1" t="s">
        <v>40</v>
      </c>
      <c r="J817" s="1">
        <v>3.15</v>
      </c>
      <c r="K817" s="1">
        <v>-10</v>
      </c>
      <c r="L817" s="1">
        <v>-5.4059782608695697</v>
      </c>
      <c r="M817" s="1" t="s">
        <v>40</v>
      </c>
      <c r="N817" s="1">
        <v>14.0260869565217</v>
      </c>
      <c r="O817" s="1">
        <v>5.7467391304347801</v>
      </c>
      <c r="Q817" s="1">
        <v>0.57467391304347804</v>
      </c>
      <c r="R817" s="1">
        <v>0.38326204101378503</v>
      </c>
      <c r="S817" s="1" t="str">
        <f>VLOOKUP($E817,'Product Naming'!$A$1:$P$58,2,FALSE)</f>
        <v>4-Hydroxystyrene</v>
      </c>
      <c r="T817" s="1" t="str">
        <f>VLOOKUP($E817,'Product Naming'!$A$1:$P$58,3,FALSE)</f>
        <v>4-Hydroxystyrene</v>
      </c>
      <c r="U817" s="1" t="str">
        <f>VLOOKUP($E817,'Product Naming'!$A$1:$P$58,4,FALSE)</f>
        <v>E</v>
      </c>
      <c r="V817" s="1" t="str">
        <f>VLOOKUP($E817,'Product Naming'!$A$1:$P$58,5,FALSE)</f>
        <v>C8H8O</v>
      </c>
      <c r="W817" s="1">
        <f>VLOOKUP($E817,'Product Naming'!$A$1:$P$58,6,FALSE)</f>
        <v>8</v>
      </c>
      <c r="X817" s="1">
        <f>VLOOKUP($E817,'Product Naming'!$A$1:$P$58,7,FALSE)</f>
        <v>8</v>
      </c>
      <c r="Y817" s="1">
        <f>VLOOKUP($E817,'Product Naming'!$A$1:$P$58,8,FALSE)</f>
        <v>1</v>
      </c>
      <c r="Z817" s="1">
        <f>VLOOKUP($E817,'Product Naming'!$A$1:$P$58,9,FALSE)</f>
        <v>0</v>
      </c>
      <c r="AA817" s="1">
        <f>VLOOKUP($E817,'Product Naming'!$A$1:$P$58,10,FALSE)</f>
        <v>0</v>
      </c>
      <c r="AB817" s="29">
        <f>VLOOKUP($E817,'Product Naming'!$A$1:$P$58,11,FALSE)</f>
        <v>4.75</v>
      </c>
      <c r="AC817" s="3">
        <f>VLOOKUP($E817,'Product Naming'!$A$1:$P$58,12,FALSE)</f>
        <v>120.14731999999999</v>
      </c>
      <c r="AD817" s="1">
        <f>VLOOKUP($E817,'Product Naming'!$A$1:$P$58,13,FALSE)</f>
        <v>229</v>
      </c>
      <c r="AE817" s="1" t="str">
        <f>VLOOKUP($E817,'Product Naming'!$A$1:$P$58,14,FALSE)</f>
        <v>Aromatic + Alcohol</v>
      </c>
      <c r="AF817" s="1" t="str">
        <f>VLOOKUP($E817,'Product Naming'!$A$1:$P$58,15,FALSE)</f>
        <v>E4P + L-glutamate</v>
      </c>
      <c r="AG817" s="30" t="str">
        <f>VLOOKUP($E817,'Product Naming'!$A$1:$P$58,16,FALSE)</f>
        <v>Proton symporter</v>
      </c>
      <c r="AH817" s="3" t="str">
        <f>VLOOKUP($E817,'Product Naming'!$A$1:$Q$58,17,FALSE)</f>
        <v>4hxst_c</v>
      </c>
      <c r="AI817" s="1">
        <f>VLOOKUP($E817,'Product Parameters'!$A$2:$D$59,2,FALSE)</f>
        <v>1</v>
      </c>
      <c r="AJ817" s="1">
        <f>VLOOKUP($E817,'Product Parameters'!$A$2:$D$59,3,FALSE)</f>
        <v>0</v>
      </c>
      <c r="AK817" s="1">
        <f>VLOOKUP($E817,'Product Parameters'!$A$2:$D$59,4,FALSE)</f>
        <v>0.12</v>
      </c>
      <c r="AL817" s="1">
        <f>VLOOKUP($E817,'Product Parameters'!$A$2:$E$59,5,FALSE)</f>
        <v>40.65</v>
      </c>
      <c r="AM817" s="1">
        <f>VLOOKUP($E817,'Product Parameters'!$A$2:$F$59,6,FALSE)</f>
        <v>8</v>
      </c>
      <c r="AN817" s="1">
        <f>VLOOKUP($C817,'Substrate Heating'!$A$2:$C$33,3,FALSE)</f>
        <v>2828.4492</v>
      </c>
      <c r="AO817" s="1">
        <f>VLOOKUP($C817,'Substrate Heating'!$A$2:$B$33,2,FALSE)</f>
        <v>15.7</v>
      </c>
      <c r="AP817" s="1">
        <f>VLOOKUP($C817,'Substrate Heating'!$A$2:$M$33,13,FALSE)</f>
        <v>4</v>
      </c>
      <c r="AQ817" s="1">
        <f>VLOOKUP($C817,'Substrate Heating'!$A$2:$M$33,8,FALSE)</f>
        <v>6</v>
      </c>
      <c r="AR817" s="1">
        <f t="shared" si="12"/>
        <v>0.76623188405797071</v>
      </c>
    </row>
    <row r="818" spans="1:44" x14ac:dyDescent="0.2">
      <c r="A818" s="8" t="s">
        <v>34</v>
      </c>
      <c r="B818" s="9" t="s">
        <v>35</v>
      </c>
      <c r="C818" s="1" t="s">
        <v>348</v>
      </c>
      <c r="D818" s="23" t="s">
        <v>338</v>
      </c>
      <c r="E818" s="1" t="s">
        <v>164</v>
      </c>
      <c r="F818" s="1" t="s">
        <v>165</v>
      </c>
      <c r="G818" s="1">
        <v>-10</v>
      </c>
      <c r="H818" s="1">
        <v>-20</v>
      </c>
      <c r="I818" s="1" t="s">
        <v>40</v>
      </c>
      <c r="J818" s="1">
        <v>3.15</v>
      </c>
      <c r="K818" s="1">
        <v>-10</v>
      </c>
      <c r="L818" s="1">
        <v>-5.0523364485981297</v>
      </c>
      <c r="M818" s="1" t="s">
        <v>40</v>
      </c>
      <c r="N818" s="1">
        <v>3.3682242990654201</v>
      </c>
      <c r="O818" s="1">
        <v>1.6579439252336501</v>
      </c>
      <c r="Q818" s="1">
        <v>0.165794392523365</v>
      </c>
      <c r="R818" s="1">
        <v>0.38353018073404199</v>
      </c>
      <c r="S818" s="1" t="str">
        <f>VLOOKUP($E818,'Product Naming'!$A$1:$P$58,2,FALSE)</f>
        <v>Butanol-PW1</v>
      </c>
      <c r="T818" s="1" t="str">
        <f>VLOOKUP($E818,'Product Naming'!$A$1:$P$58,3,FALSE)</f>
        <v>Butanol (PW1)</v>
      </c>
      <c r="U818" s="1" t="str">
        <f>VLOOKUP($E818,'Product Naming'!$A$1:$P$58,4,FALSE)</f>
        <v>E</v>
      </c>
      <c r="V818" s="1" t="str">
        <f>VLOOKUP($E818,'Product Naming'!$A$1:$P$58,5,FALSE)</f>
        <v>C4H10O</v>
      </c>
      <c r="W818" s="1">
        <f>VLOOKUP($E818,'Product Naming'!$A$1:$P$58,6,FALSE)</f>
        <v>4</v>
      </c>
      <c r="X818" s="1">
        <f>VLOOKUP($E818,'Product Naming'!$A$1:$P$58,7,FALSE)</f>
        <v>10</v>
      </c>
      <c r="Y818" s="1">
        <f>VLOOKUP($E818,'Product Naming'!$A$1:$P$58,8,FALSE)</f>
        <v>1</v>
      </c>
      <c r="Z818" s="1">
        <f>VLOOKUP($E818,'Product Naming'!$A$1:$P$58,9,FALSE)</f>
        <v>0</v>
      </c>
      <c r="AA818" s="1">
        <f>VLOOKUP($E818,'Product Naming'!$A$1:$P$58,10,FALSE)</f>
        <v>0</v>
      </c>
      <c r="AB818" s="29">
        <f>VLOOKUP($E818,'Product Naming'!$A$1:$P$58,11,FALSE)</f>
        <v>6</v>
      </c>
      <c r="AC818" s="3">
        <f>VLOOKUP($E818,'Product Naming'!$A$1:$P$58,12,FALSE)</f>
        <v>74.120199999999997</v>
      </c>
      <c r="AD818" s="1">
        <f>VLOOKUP($E818,'Product Naming'!$A$1:$P$58,13,FALSE)</f>
        <v>117.7</v>
      </c>
      <c r="AE818" s="1" t="str">
        <f>VLOOKUP($E818,'Product Naming'!$A$1:$P$58,14,FALSE)</f>
        <v>Alcohol</v>
      </c>
      <c r="AF818" s="1" t="str">
        <f>VLOOKUP($E818,'Product Naming'!$A$1:$P$58,15,FALSE)</f>
        <v>Acetyl-CoA</v>
      </c>
      <c r="AG818" s="30" t="str">
        <f>VLOOKUP($E818,'Product Naming'!$A$1:$P$58,16,FALSE)</f>
        <v>Proton symporter</v>
      </c>
      <c r="AH818" s="3" t="str">
        <f>VLOOKUP($E818,'Product Naming'!$A$1:$Q$58,17,FALSE)</f>
        <v>btoh_c</v>
      </c>
      <c r="AI818" s="1">
        <f>VLOOKUP($E818,'Product Parameters'!$A$2:$D$59,2,FALSE)</f>
        <v>1</v>
      </c>
      <c r="AJ818" s="1">
        <f>VLOOKUP($E818,'Product Parameters'!$A$2:$D$59,3,FALSE)</f>
        <v>0</v>
      </c>
      <c r="AK818" s="1">
        <f>VLOOKUP($E818,'Product Parameters'!$A$2:$D$59,4,FALSE)</f>
        <v>0.12</v>
      </c>
      <c r="AL818" s="1">
        <f>VLOOKUP($E818,'Product Parameters'!$A$2:$E$59,5,FALSE)</f>
        <v>52</v>
      </c>
      <c r="AM818" s="1">
        <f>VLOOKUP($E818,'Product Parameters'!$A$2:$F$59,6,FALSE)</f>
        <v>4</v>
      </c>
      <c r="AN818" s="1">
        <f>VLOOKUP($C818,'Substrate Heating'!$A$2:$C$33,3,FALSE)</f>
        <v>638.57832580000002</v>
      </c>
      <c r="AO818" s="1">
        <f>VLOOKUP($C818,'Substrate Heating'!$A$2:$B$33,2,FALSE)</f>
        <v>19.93</v>
      </c>
      <c r="AP818" s="1">
        <f>VLOOKUP($C818,'Substrate Heating'!$A$2:$M$33,13,FALSE)</f>
        <v>6</v>
      </c>
      <c r="AQ818" s="1">
        <f>VLOOKUP($C818,'Substrate Heating'!$A$2:$M$33,8,FALSE)</f>
        <v>1</v>
      </c>
      <c r="AR818" s="1">
        <f t="shared" si="12"/>
        <v>0.66317757009346001</v>
      </c>
    </row>
    <row r="819" spans="1:44" x14ac:dyDescent="0.2">
      <c r="A819" s="8" t="s">
        <v>34</v>
      </c>
      <c r="B819" s="9" t="s">
        <v>35</v>
      </c>
      <c r="C819" s="1" t="s">
        <v>343</v>
      </c>
      <c r="D819" s="24" t="s">
        <v>342</v>
      </c>
      <c r="E819" s="1" t="s">
        <v>295</v>
      </c>
      <c r="F819" s="1" t="s">
        <v>292</v>
      </c>
      <c r="G819" s="1">
        <v>-10</v>
      </c>
      <c r="H819" s="1">
        <v>-20</v>
      </c>
      <c r="I819" s="1" t="s">
        <v>40</v>
      </c>
      <c r="J819" s="1">
        <v>3.15</v>
      </c>
      <c r="K819" s="1">
        <v>-10</v>
      </c>
      <c r="L819" s="1">
        <v>-4.9458762886597896</v>
      </c>
      <c r="M819" s="1" t="s">
        <v>40</v>
      </c>
      <c r="N819" s="1">
        <v>9.96391752577318</v>
      </c>
      <c r="O819" s="1">
        <v>4.0072164948453599</v>
      </c>
      <c r="Q819" s="1">
        <v>0.40072164948453598</v>
      </c>
      <c r="R819" s="1">
        <v>0.38354628936035701</v>
      </c>
      <c r="S819" s="1" t="str">
        <f>VLOOKUP($E819,'Product Naming'!$A$1:$P$58,2,FALSE)</f>
        <v>Pentanol-PW2</v>
      </c>
      <c r="T819" s="1" t="str">
        <f>VLOOKUP($E819,'Product Naming'!$A$1:$P$58,3,FALSE)</f>
        <v>Pentanol (PW2)</v>
      </c>
      <c r="U819" s="1" t="str">
        <f>VLOOKUP($E819,'Product Naming'!$A$1:$P$58,4,FALSE)</f>
        <v>E</v>
      </c>
      <c r="V819" s="1" t="str">
        <f>VLOOKUP($E819,'Product Naming'!$A$1:$P$58,5,FALSE)</f>
        <v>C5H12O</v>
      </c>
      <c r="W819" s="1">
        <f>VLOOKUP($E819,'Product Naming'!$A$1:$P$58,6,FALSE)</f>
        <v>5</v>
      </c>
      <c r="X819" s="1">
        <f>VLOOKUP($E819,'Product Naming'!$A$1:$P$58,7,FALSE)</f>
        <v>12</v>
      </c>
      <c r="Y819" s="1">
        <f>VLOOKUP($E819,'Product Naming'!$A$1:$P$58,8,FALSE)</f>
        <v>1</v>
      </c>
      <c r="Z819" s="1">
        <f>VLOOKUP($E819,'Product Naming'!$A$1:$P$58,9,FALSE)</f>
        <v>0</v>
      </c>
      <c r="AA819" s="1">
        <f>VLOOKUP($E819,'Product Naming'!$A$1:$P$58,10,FALSE)</f>
        <v>0</v>
      </c>
      <c r="AB819" s="29">
        <f>VLOOKUP($E819,'Product Naming'!$A$1:$P$58,11,FALSE)</f>
        <v>6</v>
      </c>
      <c r="AC819" s="3">
        <f>VLOOKUP($E819,'Product Naming'!$A$1:$P$58,12,FALSE)</f>
        <v>88.14658</v>
      </c>
      <c r="AD819" s="1">
        <f>VLOOKUP($E819,'Product Naming'!$A$1:$P$58,13,FALSE)</f>
        <v>138</v>
      </c>
      <c r="AE819" s="1" t="str">
        <f>VLOOKUP($E819,'Product Naming'!$A$1:$P$58,14,FALSE)</f>
        <v>Alcohol</v>
      </c>
      <c r="AF819" s="1" t="str">
        <f>VLOOKUP($E819,'Product Naming'!$A$1:$P$58,15,FALSE)</f>
        <v>Oxaloacetate</v>
      </c>
      <c r="AG819" s="30" t="str">
        <f>VLOOKUP($E819,'Product Naming'!$A$1:$P$58,16,FALSE)</f>
        <v>Proton symporter</v>
      </c>
      <c r="AH819" s="3" t="str">
        <f>VLOOKUP($E819,'Product Naming'!$A$1:$Q$58,17,FALSE)</f>
        <v>pentoh_c</v>
      </c>
      <c r="AI819" s="1">
        <f>VLOOKUP($E819,'Product Parameters'!$A$2:$D$59,2,FALSE)</f>
        <v>1</v>
      </c>
      <c r="AJ819" s="1">
        <f>VLOOKUP($E819,'Product Parameters'!$A$2:$D$59,3,FALSE)</f>
        <v>0</v>
      </c>
      <c r="AK819" s="1">
        <f>VLOOKUP($E819,'Product Parameters'!$A$2:$D$59,4,FALSE)</f>
        <v>0.12</v>
      </c>
      <c r="AL819" s="1">
        <f>VLOOKUP($E819,'Product Parameters'!$A$2:$E$59,5,FALSE)</f>
        <v>57</v>
      </c>
      <c r="AM819" s="1">
        <f>VLOOKUP($E819,'Product Parameters'!$A$2:$F$59,6,FALSE)</f>
        <v>5</v>
      </c>
      <c r="AN819" s="1">
        <f>VLOOKUP($C819,'Substrate Heating'!$A$2:$C$33,3,FALSE)</f>
        <v>1648.4793779999998</v>
      </c>
      <c r="AO819" s="1">
        <f>VLOOKUP($C819,'Substrate Heating'!$A$2:$B$33,2,FALSE)</f>
        <v>17.899999999999999</v>
      </c>
      <c r="AP819" s="1">
        <f>VLOOKUP($C819,'Substrate Heating'!$A$2:$M$33,13,FALSE)</f>
        <v>4.666666666666667</v>
      </c>
      <c r="AQ819" s="1">
        <f>VLOOKUP($C819,'Substrate Heating'!$A$2:$M$33,8,FALSE)</f>
        <v>3</v>
      </c>
      <c r="AR819" s="1">
        <f t="shared" si="12"/>
        <v>0.66786941580755999</v>
      </c>
    </row>
    <row r="820" spans="1:44" x14ac:dyDescent="0.2">
      <c r="A820" s="17" t="s">
        <v>323</v>
      </c>
      <c r="B820" s="18" t="s">
        <v>324</v>
      </c>
      <c r="C820" t="s">
        <v>329</v>
      </c>
      <c r="D820" s="19" t="s">
        <v>326</v>
      </c>
      <c r="E820" t="s">
        <v>291</v>
      </c>
      <c r="F820" t="s">
        <v>292</v>
      </c>
      <c r="G820">
        <v>-10</v>
      </c>
      <c r="H820">
        <v>0</v>
      </c>
      <c r="I820">
        <v>-20</v>
      </c>
      <c r="J820">
        <v>0.45</v>
      </c>
      <c r="K820">
        <v>-10</v>
      </c>
      <c r="L820">
        <v>0</v>
      </c>
      <c r="M820">
        <v>-20</v>
      </c>
      <c r="N820">
        <v>0</v>
      </c>
      <c r="O820">
        <v>1.4060606060606</v>
      </c>
      <c r="P820"/>
      <c r="Q820">
        <v>0.14060606060606001</v>
      </c>
      <c r="R820" s="20">
        <v>0.3867065013946</v>
      </c>
      <c r="S820" s="1" t="str">
        <f>VLOOKUP($E820,'Product Naming'!$A$1:$P$58,2,FALSE)</f>
        <v>Pentanol-PW1</v>
      </c>
      <c r="T820" s="1" t="str">
        <f>VLOOKUP($E820,'Product Naming'!$A$1:$P$58,3,FALSE)</f>
        <v>Pentanol (PW1)</v>
      </c>
      <c r="U820" s="1" t="str">
        <f>VLOOKUP($E820,'Product Naming'!$A$1:$P$58,4,FALSE)</f>
        <v>E</v>
      </c>
      <c r="V820" s="1" t="str">
        <f>VLOOKUP($E820,'Product Naming'!$A$1:$P$58,5,FALSE)</f>
        <v>C5H12O</v>
      </c>
      <c r="W820" s="1">
        <f>VLOOKUP($E820,'Product Naming'!$A$1:$P$58,6,FALSE)</f>
        <v>5</v>
      </c>
      <c r="X820" s="1">
        <f>VLOOKUP($E820,'Product Naming'!$A$1:$P$58,7,FALSE)</f>
        <v>12</v>
      </c>
      <c r="Y820" s="1">
        <f>VLOOKUP($E820,'Product Naming'!$A$1:$P$58,8,FALSE)</f>
        <v>1</v>
      </c>
      <c r="Z820" s="1">
        <f>VLOOKUP($E820,'Product Naming'!$A$1:$P$58,9,FALSE)</f>
        <v>0</v>
      </c>
      <c r="AA820" s="1">
        <f>VLOOKUP($E820,'Product Naming'!$A$1:$P$58,10,FALSE)</f>
        <v>0</v>
      </c>
      <c r="AB820" s="29">
        <f>VLOOKUP($E820,'Product Naming'!$A$1:$P$58,11,FALSE)</f>
        <v>6</v>
      </c>
      <c r="AC820" s="3">
        <f>VLOOKUP($E820,'Product Naming'!$A$1:$P$58,12,FALSE)</f>
        <v>88.14658</v>
      </c>
      <c r="AD820" s="1">
        <f>VLOOKUP($E820,'Product Naming'!$A$1:$P$58,13,FALSE)</f>
        <v>138</v>
      </c>
      <c r="AE820" s="1" t="str">
        <f>VLOOKUP($E820,'Product Naming'!$A$1:$P$58,14,FALSE)</f>
        <v>Alcohol</v>
      </c>
      <c r="AF820" s="1" t="str">
        <f>VLOOKUP($E820,'Product Naming'!$A$1:$P$58,15,FALSE)</f>
        <v>Acetyl-CoA + Succinyl-CoA</v>
      </c>
      <c r="AG820" s="30" t="str">
        <f>VLOOKUP($E820,'Product Naming'!$A$1:$P$58,16,FALSE)</f>
        <v>Proton symporter</v>
      </c>
      <c r="AH820" s="3" t="str">
        <f>VLOOKUP($E820,'Product Naming'!$A$1:$Q$58,17,FALSE)</f>
        <v>pentoh_c</v>
      </c>
      <c r="AI820" s="1">
        <f>VLOOKUP($E820,'Product Parameters'!$A$2:$D$59,2,FALSE)</f>
        <v>1</v>
      </c>
      <c r="AJ820" s="1">
        <f>VLOOKUP($E820,'Product Parameters'!$A$2:$D$59,3,FALSE)</f>
        <v>0</v>
      </c>
      <c r="AK820" s="1">
        <f>VLOOKUP($E820,'Product Parameters'!$A$2:$D$59,4,FALSE)</f>
        <v>0.12</v>
      </c>
      <c r="AL820" s="1">
        <f>VLOOKUP($E820,'Product Parameters'!$A$2:$E$59,5,FALSE)</f>
        <v>57</v>
      </c>
      <c r="AM820" s="1">
        <f>VLOOKUP($E820,'Product Parameters'!$A$2:$F$59,6,FALSE)</f>
        <v>5</v>
      </c>
      <c r="AN820" s="1">
        <f>VLOOKUP($C820,'Substrate Heating'!$A$2:$C$33,3,FALSE)</f>
        <v>255.53333333333336</v>
      </c>
      <c r="AO820" s="1">
        <f>VLOOKUP($C820,'Substrate Heating'!$A$2:$B$33,2,FALSE)</f>
        <v>23.925550527978785</v>
      </c>
      <c r="AP820" s="1">
        <f>VLOOKUP($C820,'Substrate Heating'!$A$2:$M$33,13,FALSE)</f>
        <v>0.66666666666666663</v>
      </c>
      <c r="AQ820" s="1">
        <f>VLOOKUP($C820,'Substrate Heating'!$A$2:$M$33,8,FALSE)</f>
        <v>0.33333333333333331</v>
      </c>
      <c r="AR820" s="1">
        <f t="shared" si="12"/>
        <v>2.1090909090909</v>
      </c>
    </row>
    <row r="821" spans="1:44" x14ac:dyDescent="0.2">
      <c r="A821" s="17" t="s">
        <v>323</v>
      </c>
      <c r="B821" s="18" t="s">
        <v>324</v>
      </c>
      <c r="C821" t="s">
        <v>329</v>
      </c>
      <c r="D821" s="19" t="s">
        <v>326</v>
      </c>
      <c r="E821" t="s">
        <v>295</v>
      </c>
      <c r="F821" t="s">
        <v>292</v>
      </c>
      <c r="G821">
        <v>-10</v>
      </c>
      <c r="H821">
        <v>0</v>
      </c>
      <c r="I821">
        <v>-20</v>
      </c>
      <c r="J821">
        <v>0.45</v>
      </c>
      <c r="K821">
        <v>-10</v>
      </c>
      <c r="L821">
        <v>0</v>
      </c>
      <c r="M821">
        <v>-20</v>
      </c>
      <c r="N821">
        <v>0</v>
      </c>
      <c r="O821">
        <v>1.40606060606061</v>
      </c>
      <c r="P821"/>
      <c r="Q821">
        <v>0.14060606060606101</v>
      </c>
      <c r="R821" s="20">
        <v>0.386706501394602</v>
      </c>
      <c r="S821" s="1" t="str">
        <f>VLOOKUP($E821,'Product Naming'!$A$1:$P$58,2,FALSE)</f>
        <v>Pentanol-PW2</v>
      </c>
      <c r="T821" s="1" t="str">
        <f>VLOOKUP($E821,'Product Naming'!$A$1:$P$58,3,FALSE)</f>
        <v>Pentanol (PW2)</v>
      </c>
      <c r="U821" s="1" t="str">
        <f>VLOOKUP($E821,'Product Naming'!$A$1:$P$58,4,FALSE)</f>
        <v>E</v>
      </c>
      <c r="V821" s="1" t="str">
        <f>VLOOKUP($E821,'Product Naming'!$A$1:$P$58,5,FALSE)</f>
        <v>C5H12O</v>
      </c>
      <c r="W821" s="1">
        <f>VLOOKUP($E821,'Product Naming'!$A$1:$P$58,6,FALSE)</f>
        <v>5</v>
      </c>
      <c r="X821" s="1">
        <f>VLOOKUP($E821,'Product Naming'!$A$1:$P$58,7,FALSE)</f>
        <v>12</v>
      </c>
      <c r="Y821" s="1">
        <f>VLOOKUP($E821,'Product Naming'!$A$1:$P$58,8,FALSE)</f>
        <v>1</v>
      </c>
      <c r="Z821" s="1">
        <f>VLOOKUP($E821,'Product Naming'!$A$1:$P$58,9,FALSE)</f>
        <v>0</v>
      </c>
      <c r="AA821" s="1">
        <f>VLOOKUP($E821,'Product Naming'!$A$1:$P$58,10,FALSE)</f>
        <v>0</v>
      </c>
      <c r="AB821" s="29">
        <f>VLOOKUP($E821,'Product Naming'!$A$1:$P$58,11,FALSE)</f>
        <v>6</v>
      </c>
      <c r="AC821" s="3">
        <f>VLOOKUP($E821,'Product Naming'!$A$1:$P$58,12,FALSE)</f>
        <v>88.14658</v>
      </c>
      <c r="AD821" s="1">
        <f>VLOOKUP($E821,'Product Naming'!$A$1:$P$58,13,FALSE)</f>
        <v>138</v>
      </c>
      <c r="AE821" s="1" t="str">
        <f>VLOOKUP($E821,'Product Naming'!$A$1:$P$58,14,FALSE)</f>
        <v>Alcohol</v>
      </c>
      <c r="AF821" s="1" t="str">
        <f>VLOOKUP($E821,'Product Naming'!$A$1:$P$58,15,FALSE)</f>
        <v>Oxaloacetate</v>
      </c>
      <c r="AG821" s="30" t="str">
        <f>VLOOKUP($E821,'Product Naming'!$A$1:$P$58,16,FALSE)</f>
        <v>Proton symporter</v>
      </c>
      <c r="AH821" s="3" t="str">
        <f>VLOOKUP($E821,'Product Naming'!$A$1:$Q$58,17,FALSE)</f>
        <v>pentoh_c</v>
      </c>
      <c r="AI821" s="1">
        <f>VLOOKUP($E821,'Product Parameters'!$A$2:$D$59,2,FALSE)</f>
        <v>1</v>
      </c>
      <c r="AJ821" s="1">
        <f>VLOOKUP($E821,'Product Parameters'!$A$2:$D$59,3,FALSE)</f>
        <v>0</v>
      </c>
      <c r="AK821" s="1">
        <f>VLOOKUP($E821,'Product Parameters'!$A$2:$D$59,4,FALSE)</f>
        <v>0.12</v>
      </c>
      <c r="AL821" s="1">
        <f>VLOOKUP($E821,'Product Parameters'!$A$2:$E$59,5,FALSE)</f>
        <v>57</v>
      </c>
      <c r="AM821" s="1">
        <f>VLOOKUP($E821,'Product Parameters'!$A$2:$F$59,6,FALSE)</f>
        <v>5</v>
      </c>
      <c r="AN821" s="1">
        <f>VLOOKUP($C821,'Substrate Heating'!$A$2:$C$33,3,FALSE)</f>
        <v>255.53333333333336</v>
      </c>
      <c r="AO821" s="1">
        <f>VLOOKUP($C821,'Substrate Heating'!$A$2:$B$33,2,FALSE)</f>
        <v>23.925550527978785</v>
      </c>
      <c r="AP821" s="1">
        <f>VLOOKUP($C821,'Substrate Heating'!$A$2:$M$33,13,FALSE)</f>
        <v>0.66666666666666663</v>
      </c>
      <c r="AQ821" s="1">
        <f>VLOOKUP($C821,'Substrate Heating'!$A$2:$M$33,8,FALSE)</f>
        <v>0.33333333333333331</v>
      </c>
      <c r="AR821" s="1">
        <f t="shared" si="12"/>
        <v>2.1090909090909156</v>
      </c>
    </row>
    <row r="822" spans="1:44" x14ac:dyDescent="0.2">
      <c r="A822" s="8" t="s">
        <v>34</v>
      </c>
      <c r="B822" s="9" t="s">
        <v>35</v>
      </c>
      <c r="C822" s="1" t="s">
        <v>349</v>
      </c>
      <c r="D822" s="25" t="s">
        <v>342</v>
      </c>
      <c r="E822" s="1" t="s">
        <v>291</v>
      </c>
      <c r="F822" s="1" t="s">
        <v>292</v>
      </c>
      <c r="G822" s="1">
        <v>-10</v>
      </c>
      <c r="H822" s="1">
        <v>-20</v>
      </c>
      <c r="I822" s="1" t="s">
        <v>40</v>
      </c>
      <c r="J822" s="1">
        <v>3.15</v>
      </c>
      <c r="K822" s="1">
        <v>-10</v>
      </c>
      <c r="L822" s="1">
        <v>-0.58898305084746105</v>
      </c>
      <c r="M822" s="1" t="s">
        <v>40</v>
      </c>
      <c r="N822" s="1">
        <v>17.059322033898301</v>
      </c>
      <c r="O822" s="1">
        <v>6.58813559322033</v>
      </c>
      <c r="Q822" s="1">
        <v>0.658813559322033</v>
      </c>
      <c r="R822" s="1">
        <v>0.38681250990384602</v>
      </c>
      <c r="S822" s="1" t="str">
        <f>VLOOKUP($E822,'Product Naming'!$A$1:$P$58,2,FALSE)</f>
        <v>Pentanol-PW1</v>
      </c>
      <c r="T822" s="1" t="str">
        <f>VLOOKUP($E822,'Product Naming'!$A$1:$P$58,3,FALSE)</f>
        <v>Pentanol (PW1)</v>
      </c>
      <c r="U822" s="1" t="str">
        <f>VLOOKUP($E822,'Product Naming'!$A$1:$P$58,4,FALSE)</f>
        <v>E</v>
      </c>
      <c r="V822" s="1" t="str">
        <f>VLOOKUP($E822,'Product Naming'!$A$1:$P$58,5,FALSE)</f>
        <v>C5H12O</v>
      </c>
      <c r="W822" s="1">
        <f>VLOOKUP($E822,'Product Naming'!$A$1:$P$58,6,FALSE)</f>
        <v>5</v>
      </c>
      <c r="X822" s="1">
        <f>VLOOKUP($E822,'Product Naming'!$A$1:$P$58,7,FALSE)</f>
        <v>12</v>
      </c>
      <c r="Y822" s="1">
        <f>VLOOKUP($E822,'Product Naming'!$A$1:$P$58,8,FALSE)</f>
        <v>1</v>
      </c>
      <c r="Z822" s="1">
        <f>VLOOKUP($E822,'Product Naming'!$A$1:$P$58,9,FALSE)</f>
        <v>0</v>
      </c>
      <c r="AA822" s="1">
        <f>VLOOKUP($E822,'Product Naming'!$A$1:$P$58,10,FALSE)</f>
        <v>0</v>
      </c>
      <c r="AB822" s="29">
        <f>VLOOKUP($E822,'Product Naming'!$A$1:$P$58,11,FALSE)</f>
        <v>6</v>
      </c>
      <c r="AC822" s="3">
        <f>VLOOKUP($E822,'Product Naming'!$A$1:$P$58,12,FALSE)</f>
        <v>88.14658</v>
      </c>
      <c r="AD822" s="1">
        <f>VLOOKUP($E822,'Product Naming'!$A$1:$P$58,13,FALSE)</f>
        <v>138</v>
      </c>
      <c r="AE822" s="1" t="str">
        <f>VLOOKUP($E822,'Product Naming'!$A$1:$P$58,14,FALSE)</f>
        <v>Alcohol</v>
      </c>
      <c r="AF822" s="1" t="str">
        <f>VLOOKUP($E822,'Product Naming'!$A$1:$P$58,15,FALSE)</f>
        <v>Acetyl-CoA + Succinyl-CoA</v>
      </c>
      <c r="AG822" s="30" t="str">
        <f>VLOOKUP($E822,'Product Naming'!$A$1:$P$58,16,FALSE)</f>
        <v>Proton symporter</v>
      </c>
      <c r="AH822" s="3" t="str">
        <f>VLOOKUP($E822,'Product Naming'!$A$1:$Q$58,17,FALSE)</f>
        <v>pentoh_c</v>
      </c>
      <c r="AI822" s="1">
        <f>VLOOKUP($E822,'Product Parameters'!$A$2:$D$59,2,FALSE)</f>
        <v>1</v>
      </c>
      <c r="AJ822" s="1">
        <f>VLOOKUP($E822,'Product Parameters'!$A$2:$D$59,3,FALSE)</f>
        <v>0</v>
      </c>
      <c r="AK822" s="1">
        <f>VLOOKUP($E822,'Product Parameters'!$A$2:$D$59,4,FALSE)</f>
        <v>0.12</v>
      </c>
      <c r="AL822" s="1">
        <f>VLOOKUP($E822,'Product Parameters'!$A$2:$E$59,5,FALSE)</f>
        <v>57</v>
      </c>
      <c r="AM822" s="1">
        <f>VLOOKUP($E822,'Product Parameters'!$A$2:$F$59,6,FALSE)</f>
        <v>5</v>
      </c>
      <c r="AN822" s="1">
        <f>VLOOKUP($C822,'Substrate Heating'!$A$2:$C$33,3,FALSE)</f>
        <v>2342.0279999999998</v>
      </c>
      <c r="AO822" s="1">
        <f>VLOOKUP($C822,'Substrate Heating'!$A$2:$B$33,2,FALSE)</f>
        <v>15.6</v>
      </c>
      <c r="AP822" s="1">
        <f>VLOOKUP($C822,'Substrate Heating'!$A$2:$M$33,13,FALSE)</f>
        <v>4</v>
      </c>
      <c r="AQ822" s="1">
        <f>VLOOKUP($C822,'Substrate Heating'!$A$2:$M$33,8,FALSE)</f>
        <v>5</v>
      </c>
      <c r="AR822" s="1">
        <f t="shared" si="12"/>
        <v>0.658813559322033</v>
      </c>
    </row>
    <row r="823" spans="1:44" x14ac:dyDescent="0.2">
      <c r="A823" s="8" t="s">
        <v>812</v>
      </c>
      <c r="B823" s="18" t="s">
        <v>324</v>
      </c>
      <c r="C823" t="s">
        <v>814</v>
      </c>
      <c r="E823" t="s">
        <v>66</v>
      </c>
      <c r="F823" t="s">
        <v>67</v>
      </c>
      <c r="G823">
        <v>-10</v>
      </c>
      <c r="H823">
        <v>0</v>
      </c>
      <c r="I823">
        <v>-10</v>
      </c>
      <c r="J823">
        <v>0.45</v>
      </c>
      <c r="K823">
        <v>-7.6765957446808502</v>
      </c>
      <c r="L823">
        <v>0</v>
      </c>
      <c r="M823">
        <v>-10</v>
      </c>
      <c r="N823">
        <v>0</v>
      </c>
      <c r="O823">
        <v>0.77446808510638199</v>
      </c>
      <c r="P823"/>
      <c r="Q823">
        <v>0.100886917960088</v>
      </c>
      <c r="R823">
        <v>0.38790125137638598</v>
      </c>
      <c r="S823" s="1" t="str">
        <f>VLOOKUP($E823,'Product Naming'!$A$1:$P$58,2,FALSE)</f>
        <v>1-4-butanediol</v>
      </c>
      <c r="T823" s="1" t="str">
        <f>VLOOKUP($E823,'Product Naming'!$A$1:$P$58,3,FALSE)</f>
        <v>1,4-Butanediol</v>
      </c>
      <c r="U823" s="1" t="str">
        <f>VLOOKUP($E823,'Product Naming'!$A$1:$P$58,4,FALSE)</f>
        <v>E</v>
      </c>
      <c r="V823" s="1" t="str">
        <f>VLOOKUP($E823,'Product Naming'!$A$1:$P$58,5,FALSE)</f>
        <v>C4H10O2</v>
      </c>
      <c r="W823" s="1">
        <f>VLOOKUP($E823,'Product Naming'!$A$1:$P$58,6,FALSE)</f>
        <v>4</v>
      </c>
      <c r="X823" s="1">
        <f>VLOOKUP($E823,'Product Naming'!$A$1:$P$58,7,FALSE)</f>
        <v>10</v>
      </c>
      <c r="Y823" s="1">
        <f>VLOOKUP($E823,'Product Naming'!$A$1:$P$58,8,FALSE)</f>
        <v>2</v>
      </c>
      <c r="Z823" s="1">
        <f>VLOOKUP($E823,'Product Naming'!$A$1:$P$58,9,FALSE)</f>
        <v>0</v>
      </c>
      <c r="AA823" s="1">
        <f>VLOOKUP($E823,'Product Naming'!$A$1:$P$58,10,FALSE)</f>
        <v>0</v>
      </c>
      <c r="AB823" s="29">
        <f>VLOOKUP($E823,'Product Naming'!$A$1:$P$58,11,FALSE)</f>
        <v>5.5</v>
      </c>
      <c r="AC823" s="3">
        <f>VLOOKUP($E823,'Product Naming'!$A$1:$P$58,12,FALSE)</f>
        <v>90.119200000000006</v>
      </c>
      <c r="AD823" s="1">
        <f>VLOOKUP($E823,'Product Naming'!$A$1:$P$58,13,FALSE)</f>
        <v>230</v>
      </c>
      <c r="AE823" s="1" t="str">
        <f>VLOOKUP($E823,'Product Naming'!$A$1:$P$58,14,FALSE)</f>
        <v>Diol</v>
      </c>
      <c r="AF823" s="1" t="str">
        <f>VLOOKUP($E823,'Product Naming'!$A$1:$P$58,15,FALSE)</f>
        <v>aKG</v>
      </c>
      <c r="AG823" s="30" t="str">
        <f>VLOOKUP($E823,'Product Naming'!$A$1:$P$58,16,FALSE)</f>
        <v>Proton symporter</v>
      </c>
      <c r="AH823" s="3" t="str">
        <f>VLOOKUP($E823,'Product Naming'!$A$1:$Q$58,17,FALSE)</f>
        <v>14bdo_c</v>
      </c>
      <c r="AI823" s="1">
        <f>VLOOKUP($E823,'Product Parameters'!$A$2:$D$59,2,FALSE)</f>
        <v>1</v>
      </c>
      <c r="AJ823" s="1">
        <f>VLOOKUP($E823,'Product Parameters'!$A$2:$D$59,3,FALSE)</f>
        <v>0</v>
      </c>
      <c r="AK823" s="1">
        <f>VLOOKUP($E823,'Product Parameters'!$A$2:$D$59,4,FALSE)</f>
        <v>0.12</v>
      </c>
      <c r="AL823" s="1">
        <f>VLOOKUP($E823,'Product Parameters'!$A$2:$E$59,5,FALSE)</f>
        <v>78</v>
      </c>
      <c r="AM823" s="1">
        <f>VLOOKUP($E823,'Product Parameters'!$A$2:$F$59,6,FALSE)</f>
        <v>4</v>
      </c>
      <c r="AN823" s="1">
        <f>VLOOKUP($C823,'Substrate Heating'!$A$2:$C$33,3,FALSE)</f>
        <v>209.92000000000002</v>
      </c>
      <c r="AO823" s="1">
        <f>VLOOKUP($C823,'Substrate Heating'!$A$2:$B$33,2,FALSE)</f>
        <v>10.086540906516333</v>
      </c>
      <c r="AP823" s="1">
        <f>VLOOKUP($C823,'Substrate Heating'!$A$2:$M$33,13,FALSE)</f>
        <v>0.8</v>
      </c>
      <c r="AQ823" s="1">
        <f>VLOOKUP($C823,'Substrate Heating'!$A$2:$M$33,8,FALSE)</f>
        <v>0.8</v>
      </c>
      <c r="AR823" s="1">
        <f t="shared" si="12"/>
        <v>0.50443458980043998</v>
      </c>
    </row>
    <row r="824" spans="1:44" x14ac:dyDescent="0.2">
      <c r="A824" s="8" t="s">
        <v>34</v>
      </c>
      <c r="B824" s="9" t="s">
        <v>35</v>
      </c>
      <c r="C824" s="1" t="s">
        <v>331</v>
      </c>
      <c r="D824" s="10" t="s">
        <v>37</v>
      </c>
      <c r="E824" s="1" t="s">
        <v>295</v>
      </c>
      <c r="F824" s="1" t="s">
        <v>292</v>
      </c>
      <c r="G824" s="1">
        <v>-10</v>
      </c>
      <c r="H824" s="1">
        <v>-20</v>
      </c>
      <c r="I824" s="1" t="s">
        <v>40</v>
      </c>
      <c r="J824" s="1">
        <v>3.15</v>
      </c>
      <c r="K824" s="1">
        <v>-10</v>
      </c>
      <c r="L824" s="1">
        <v>-4.4932885906040303</v>
      </c>
      <c r="M824" s="1" t="s">
        <v>40</v>
      </c>
      <c r="N824" s="1">
        <v>6.3288590604026904</v>
      </c>
      <c r="O824" s="1">
        <v>2.7342281879194599</v>
      </c>
      <c r="Q824" s="1">
        <v>0.27342281879194602</v>
      </c>
      <c r="R824" s="1">
        <v>0.38831455297020301</v>
      </c>
      <c r="S824" s="1" t="str">
        <f>VLOOKUP($E824,'Product Naming'!$A$1:$P$58,2,FALSE)</f>
        <v>Pentanol-PW2</v>
      </c>
      <c r="T824" s="1" t="str">
        <f>VLOOKUP($E824,'Product Naming'!$A$1:$P$58,3,FALSE)</f>
        <v>Pentanol (PW2)</v>
      </c>
      <c r="U824" s="1" t="str">
        <f>VLOOKUP($E824,'Product Naming'!$A$1:$P$58,4,FALSE)</f>
        <v>E</v>
      </c>
      <c r="V824" s="1" t="str">
        <f>VLOOKUP($E824,'Product Naming'!$A$1:$P$58,5,FALSE)</f>
        <v>C5H12O</v>
      </c>
      <c r="W824" s="1">
        <f>VLOOKUP($E824,'Product Naming'!$A$1:$P$58,6,FALSE)</f>
        <v>5</v>
      </c>
      <c r="X824" s="1">
        <f>VLOOKUP($E824,'Product Naming'!$A$1:$P$58,7,FALSE)</f>
        <v>12</v>
      </c>
      <c r="Y824" s="1">
        <f>VLOOKUP($E824,'Product Naming'!$A$1:$P$58,8,FALSE)</f>
        <v>1</v>
      </c>
      <c r="Z824" s="1">
        <f>VLOOKUP($E824,'Product Naming'!$A$1:$P$58,9,FALSE)</f>
        <v>0</v>
      </c>
      <c r="AA824" s="1">
        <f>VLOOKUP($E824,'Product Naming'!$A$1:$P$58,10,FALSE)</f>
        <v>0</v>
      </c>
      <c r="AB824" s="29">
        <f>VLOOKUP($E824,'Product Naming'!$A$1:$P$58,11,FALSE)</f>
        <v>6</v>
      </c>
      <c r="AC824" s="3">
        <f>VLOOKUP($E824,'Product Naming'!$A$1:$P$58,12,FALSE)</f>
        <v>88.14658</v>
      </c>
      <c r="AD824" s="1">
        <f>VLOOKUP($E824,'Product Naming'!$A$1:$P$58,13,FALSE)</f>
        <v>138</v>
      </c>
      <c r="AE824" s="1" t="str">
        <f>VLOOKUP($E824,'Product Naming'!$A$1:$P$58,14,FALSE)</f>
        <v>Alcohol</v>
      </c>
      <c r="AF824" s="1" t="str">
        <f>VLOOKUP($E824,'Product Naming'!$A$1:$P$58,15,FALSE)</f>
        <v>Oxaloacetate</v>
      </c>
      <c r="AG824" s="30" t="str">
        <f>VLOOKUP($E824,'Product Naming'!$A$1:$P$58,16,FALSE)</f>
        <v>Proton symporter</v>
      </c>
      <c r="AH824" s="3" t="str">
        <f>VLOOKUP($E824,'Product Naming'!$A$1:$Q$58,17,FALSE)</f>
        <v>pentoh_c</v>
      </c>
      <c r="AI824" s="1">
        <f>VLOOKUP($E824,'Product Parameters'!$A$2:$D$59,2,FALSE)</f>
        <v>1</v>
      </c>
      <c r="AJ824" s="1">
        <f>VLOOKUP($E824,'Product Parameters'!$A$2:$D$59,3,FALSE)</f>
        <v>0</v>
      </c>
      <c r="AK824" s="1">
        <f>VLOOKUP($E824,'Product Parameters'!$A$2:$D$59,4,FALSE)</f>
        <v>0.12</v>
      </c>
      <c r="AL824" s="1">
        <f>VLOOKUP($E824,'Product Parameters'!$A$2:$E$59,5,FALSE)</f>
        <v>57</v>
      </c>
      <c r="AM824" s="1">
        <f>VLOOKUP($E824,'Product Parameters'!$A$2:$F$59,6,FALSE)</f>
        <v>5</v>
      </c>
      <c r="AN824" s="1">
        <f>VLOOKUP($C824,'Substrate Heating'!$A$2:$C$33,3,FALSE)</f>
        <v>1055.1294800000001</v>
      </c>
      <c r="AO824" s="1">
        <f>VLOOKUP($C824,'Substrate Heating'!$A$2:$B$33,2,FALSE)</f>
        <v>17</v>
      </c>
      <c r="AP824" s="1">
        <f>VLOOKUP($C824,'Substrate Heating'!$A$2:$M$33,13,FALSE)</f>
        <v>5</v>
      </c>
      <c r="AQ824" s="1">
        <f>VLOOKUP($C824,'Substrate Heating'!$A$2:$M$33,8,FALSE)</f>
        <v>2</v>
      </c>
      <c r="AR824" s="1">
        <f t="shared" si="12"/>
        <v>0.68355704697986508</v>
      </c>
    </row>
    <row r="825" spans="1:44" x14ac:dyDescent="0.2">
      <c r="A825" s="17" t="s">
        <v>323</v>
      </c>
      <c r="B825" s="18" t="s">
        <v>324</v>
      </c>
      <c r="C825" t="s">
        <v>328</v>
      </c>
      <c r="D825" s="19" t="s">
        <v>326</v>
      </c>
      <c r="E825" t="s">
        <v>91</v>
      </c>
      <c r="F825" t="s">
        <v>92</v>
      </c>
      <c r="G825">
        <v>-10</v>
      </c>
      <c r="H825">
        <v>0</v>
      </c>
      <c r="I825">
        <v>-10</v>
      </c>
      <c r="J825">
        <v>0.45</v>
      </c>
      <c r="K825">
        <v>-10</v>
      </c>
      <c r="L825">
        <v>0</v>
      </c>
      <c r="M825">
        <v>-10</v>
      </c>
      <c r="N825">
        <v>3.3090909090909202</v>
      </c>
      <c r="O825">
        <v>1.3236363636363599</v>
      </c>
      <c r="P825"/>
      <c r="Q825">
        <v>0.13236363636363599</v>
      </c>
      <c r="R825">
        <v>0.388524870523416</v>
      </c>
      <c r="S825" s="1" t="str">
        <f>VLOOKUP($E825,'Product Naming'!$A$1:$P$58,2,FALSE)</f>
        <v>2-Methyl-1-Butanol</v>
      </c>
      <c r="T825" s="1" t="str">
        <f>VLOOKUP($E825,'Product Naming'!$A$1:$P$58,3,FALSE)</f>
        <v>2-Methyl-1-butanol</v>
      </c>
      <c r="U825" s="1" t="str">
        <f>VLOOKUP($E825,'Product Naming'!$A$1:$P$58,4,FALSE)</f>
        <v>A</v>
      </c>
      <c r="V825" s="1" t="str">
        <f>VLOOKUP($E825,'Product Naming'!$A$1:$P$58,5,FALSE)</f>
        <v>C5H12O</v>
      </c>
      <c r="W825" s="1">
        <f>VLOOKUP($E825,'Product Naming'!$A$1:$P$58,6,FALSE)</f>
        <v>5</v>
      </c>
      <c r="X825" s="1">
        <f>VLOOKUP($E825,'Product Naming'!$A$1:$P$58,7,FALSE)</f>
        <v>12</v>
      </c>
      <c r="Y825" s="1">
        <f>VLOOKUP($E825,'Product Naming'!$A$1:$P$58,8,FALSE)</f>
        <v>1</v>
      </c>
      <c r="Z825" s="1">
        <f>VLOOKUP($E825,'Product Naming'!$A$1:$P$58,9,FALSE)</f>
        <v>0</v>
      </c>
      <c r="AA825" s="1">
        <f>VLOOKUP($E825,'Product Naming'!$A$1:$P$58,10,FALSE)</f>
        <v>0</v>
      </c>
      <c r="AB825" s="29">
        <f>VLOOKUP($E825,'Product Naming'!$A$1:$P$58,11,FALSE)</f>
        <v>6</v>
      </c>
      <c r="AC825" s="3">
        <f>VLOOKUP($E825,'Product Naming'!$A$1:$P$58,12,FALSE)</f>
        <v>88.14658</v>
      </c>
      <c r="AD825" s="1">
        <f>VLOOKUP($E825,'Product Naming'!$A$1:$P$58,13,FALSE)</f>
        <v>129</v>
      </c>
      <c r="AE825" s="1" t="str">
        <f>VLOOKUP($E825,'Product Naming'!$A$1:$P$58,14,FALSE)</f>
        <v>Alcohol</v>
      </c>
      <c r="AF825" s="1" t="str">
        <f>VLOOKUP($E825,'Product Naming'!$A$1:$P$58,15,FALSE)</f>
        <v>PEP</v>
      </c>
      <c r="AG825" s="30" t="str">
        <f>VLOOKUP($E825,'Product Naming'!$A$1:$P$58,16,FALSE)</f>
        <v>Proton symporter</v>
      </c>
      <c r="AH825" s="3" t="str">
        <f>VLOOKUP($E825,'Product Naming'!$A$1:$Q$58,17,FALSE)</f>
        <v>2mbtoh_c</v>
      </c>
      <c r="AI825" s="1">
        <f>VLOOKUP($E825,'Product Parameters'!$A$2:$D$59,2,FALSE)</f>
        <v>1</v>
      </c>
      <c r="AJ825" s="1">
        <f>VLOOKUP($E825,'Product Parameters'!$A$2:$D$59,3,FALSE)</f>
        <v>0</v>
      </c>
      <c r="AK825" s="1">
        <f>VLOOKUP($E825,'Product Parameters'!$A$2:$D$59,4,FALSE)</f>
        <v>0.12</v>
      </c>
      <c r="AL825" s="1">
        <f>VLOOKUP($E825,'Product Parameters'!$A$2:$E$59,5,FALSE)</f>
        <v>54.6</v>
      </c>
      <c r="AM825" s="1">
        <f>VLOOKUP($E825,'Product Parameters'!$A$2:$F$59,6,FALSE)</f>
        <v>5</v>
      </c>
      <c r="AN825" s="1">
        <f>VLOOKUP($C825,'Substrate Heating'!$A$2:$C$33,3,FALSE)</f>
        <v>262.39999999999998</v>
      </c>
      <c r="AO825" s="1">
        <f>VLOOKUP($C825,'Substrate Heating'!$A$2:$B$33,2,FALSE)</f>
        <v>17.478546483008707</v>
      </c>
      <c r="AP825" s="1">
        <f>VLOOKUP($C825,'Substrate Heating'!$A$2:$M$33,13,FALSE)</f>
        <v>1</v>
      </c>
      <c r="AQ825" s="1">
        <f>VLOOKUP($C825,'Substrate Heating'!$A$2:$M$33,8,FALSE)</f>
        <v>0.5</v>
      </c>
      <c r="AR825" s="1">
        <f t="shared" si="12"/>
        <v>1.3236363636363599</v>
      </c>
    </row>
    <row r="826" spans="1:44" x14ac:dyDescent="0.2">
      <c r="A826" s="8" t="s">
        <v>812</v>
      </c>
      <c r="B826" s="18" t="s">
        <v>324</v>
      </c>
      <c r="C826" t="s">
        <v>814</v>
      </c>
      <c r="E826" t="s">
        <v>308</v>
      </c>
      <c r="F826" t="s">
        <v>309</v>
      </c>
      <c r="G826">
        <v>-10</v>
      </c>
      <c r="H826">
        <v>0</v>
      </c>
      <c r="I826">
        <v>-10</v>
      </c>
      <c r="J826">
        <v>0.45</v>
      </c>
      <c r="K826">
        <v>-10</v>
      </c>
      <c r="L826">
        <v>0</v>
      </c>
      <c r="M826">
        <v>-10</v>
      </c>
      <c r="N826">
        <v>0</v>
      </c>
      <c r="O826">
        <v>0.51267605633802804</v>
      </c>
      <c r="P826"/>
      <c r="Q826">
        <v>5.1267605633802803E-2</v>
      </c>
      <c r="R826">
        <v>0.38883569687473502</v>
      </c>
      <c r="S826" s="1" t="str">
        <f>VLOOKUP($E826,'Product Naming'!$A$1:$P$58,2,FALSE)</f>
        <v>Shikimate</v>
      </c>
      <c r="T826" s="1" t="str">
        <f>VLOOKUP($E826,'Product Naming'!$A$1:$P$58,3,FALSE)</f>
        <v>Shikimate</v>
      </c>
      <c r="U826" s="1" t="str">
        <f>VLOOKUP($E826,'Product Naming'!$A$1:$P$58,4,FALSE)</f>
        <v>E</v>
      </c>
      <c r="V826" s="1" t="str">
        <f>VLOOKUP($E826,'Product Naming'!$A$1:$P$58,5,FALSE)</f>
        <v>C7H9O5</v>
      </c>
      <c r="W826" s="1">
        <f>VLOOKUP($E826,'Product Naming'!$A$1:$P$58,6,FALSE)</f>
        <v>7</v>
      </c>
      <c r="X826" s="1">
        <f>VLOOKUP($E826,'Product Naming'!$A$1:$P$58,7,FALSE)</f>
        <v>9</v>
      </c>
      <c r="Y826" s="1">
        <f>VLOOKUP($E826,'Product Naming'!$A$1:$P$58,8,FALSE)</f>
        <v>5</v>
      </c>
      <c r="Z826" s="1">
        <f>VLOOKUP($E826,'Product Naming'!$A$1:$P$58,9,FALSE)</f>
        <v>0</v>
      </c>
      <c r="AA826" s="1">
        <f>VLOOKUP($E826,'Product Naming'!$A$1:$P$58,10,FALSE)</f>
        <v>-1</v>
      </c>
      <c r="AB826" s="29">
        <f>VLOOKUP($E826,'Product Naming'!$A$1:$P$58,11,FALSE)</f>
        <v>3.8571428571428572</v>
      </c>
      <c r="AC826" s="3">
        <f>VLOOKUP($E826,'Product Naming'!$A$1:$P$58,12,FALSE)</f>
        <v>173.14046000000002</v>
      </c>
      <c r="AD826" s="1">
        <f>VLOOKUP($E826,'Product Naming'!$A$1:$P$58,13,FALSE)</f>
        <v>400.5</v>
      </c>
      <c r="AE826" s="1" t="str">
        <f>VLOOKUP($E826,'Product Naming'!$A$1:$P$58,14,FALSE)</f>
        <v>Aromatic + Alcohol + Carboxylate</v>
      </c>
      <c r="AF826" s="1" t="str">
        <f>VLOOKUP($E826,'Product Naming'!$A$1:$P$58,15,FALSE)</f>
        <v>PEP + E4P (Glyceraldehyde 3-P)</v>
      </c>
      <c r="AG826" s="30" t="str">
        <f>VLOOKUP($E826,'Product Naming'!$A$1:$P$58,16,FALSE)</f>
        <v>Proton symporter</v>
      </c>
      <c r="AH826" s="3" t="str">
        <f>VLOOKUP($E826,'Product Naming'!$A$1:$Q$58,17,FALSE)</f>
        <v>skm_c</v>
      </c>
      <c r="AI826" s="1">
        <f>VLOOKUP($E826,'Product Parameters'!$A$2:$D$59,2,FALSE)</f>
        <v>1</v>
      </c>
      <c r="AJ826" s="1">
        <f>VLOOKUP($E826,'Product Parameters'!$A$2:$D$59,3,FALSE)</f>
        <v>0</v>
      </c>
      <c r="AK826" s="1">
        <f>VLOOKUP($E826,'Product Parameters'!$A$2:$D$59,4,FALSE)</f>
        <v>0.12</v>
      </c>
      <c r="AL826" s="1">
        <f>VLOOKUP($E826,'Product Parameters'!$A$2:$E$59,5,FALSE)</f>
        <v>40.65</v>
      </c>
      <c r="AM826" s="1">
        <f>VLOOKUP($E826,'Product Parameters'!$A$2:$F$59,6,FALSE)</f>
        <v>7</v>
      </c>
      <c r="AN826" s="1">
        <f>VLOOKUP($C826,'Substrate Heating'!$A$2:$C$33,3,FALSE)</f>
        <v>209.92000000000002</v>
      </c>
      <c r="AO826" s="1">
        <f>VLOOKUP($C826,'Substrate Heating'!$A$2:$B$33,2,FALSE)</f>
        <v>10.086540906516333</v>
      </c>
      <c r="AP826" s="1">
        <f>VLOOKUP($C826,'Substrate Heating'!$A$2:$M$33,13,FALSE)</f>
        <v>0.8</v>
      </c>
      <c r="AQ826" s="1">
        <f>VLOOKUP($C826,'Substrate Heating'!$A$2:$M$33,8,FALSE)</f>
        <v>0.8</v>
      </c>
      <c r="AR826" s="1">
        <f t="shared" si="12"/>
        <v>0.44859154929577455</v>
      </c>
    </row>
    <row r="827" spans="1:44" x14ac:dyDescent="0.2">
      <c r="A827" s="8" t="s">
        <v>34</v>
      </c>
      <c r="B827" s="9" t="s">
        <v>35</v>
      </c>
      <c r="C827" s="1" t="s">
        <v>331</v>
      </c>
      <c r="D827" s="10" t="s">
        <v>37</v>
      </c>
      <c r="E827" s="1" t="s">
        <v>91</v>
      </c>
      <c r="F827" s="1" t="s">
        <v>92</v>
      </c>
      <c r="G827" s="1">
        <v>-10</v>
      </c>
      <c r="H827" s="1">
        <v>-20</v>
      </c>
      <c r="I827" s="1" t="s">
        <v>40</v>
      </c>
      <c r="J827" s="1">
        <v>3.15</v>
      </c>
      <c r="K827" s="1">
        <v>-10</v>
      </c>
      <c r="L827" s="1">
        <v>-4.4365671641791096</v>
      </c>
      <c r="M827" s="1" t="s">
        <v>40</v>
      </c>
      <c r="N827" s="1">
        <v>6.2910447761194099</v>
      </c>
      <c r="O827" s="1">
        <v>2.7417910447761198</v>
      </c>
      <c r="Q827" s="1">
        <v>0.27417910447761201</v>
      </c>
      <c r="R827" s="1">
        <v>0.38938862842317501</v>
      </c>
      <c r="S827" s="1" t="str">
        <f>VLOOKUP($E827,'Product Naming'!$A$1:$P$58,2,FALSE)</f>
        <v>2-Methyl-1-Butanol</v>
      </c>
      <c r="T827" s="1" t="str">
        <f>VLOOKUP($E827,'Product Naming'!$A$1:$P$58,3,FALSE)</f>
        <v>2-Methyl-1-butanol</v>
      </c>
      <c r="U827" s="1" t="str">
        <f>VLOOKUP($E827,'Product Naming'!$A$1:$P$58,4,FALSE)</f>
        <v>A</v>
      </c>
      <c r="V827" s="1" t="str">
        <f>VLOOKUP($E827,'Product Naming'!$A$1:$P$58,5,FALSE)</f>
        <v>C5H12O</v>
      </c>
      <c r="W827" s="1">
        <f>VLOOKUP($E827,'Product Naming'!$A$1:$P$58,6,FALSE)</f>
        <v>5</v>
      </c>
      <c r="X827" s="1">
        <f>VLOOKUP($E827,'Product Naming'!$A$1:$P$58,7,FALSE)</f>
        <v>12</v>
      </c>
      <c r="Y827" s="1">
        <f>VLOOKUP($E827,'Product Naming'!$A$1:$P$58,8,FALSE)</f>
        <v>1</v>
      </c>
      <c r="Z827" s="1">
        <f>VLOOKUP($E827,'Product Naming'!$A$1:$P$58,9,FALSE)</f>
        <v>0</v>
      </c>
      <c r="AA827" s="1">
        <f>VLOOKUP($E827,'Product Naming'!$A$1:$P$58,10,FALSE)</f>
        <v>0</v>
      </c>
      <c r="AB827" s="29">
        <f>VLOOKUP($E827,'Product Naming'!$A$1:$P$58,11,FALSE)</f>
        <v>6</v>
      </c>
      <c r="AC827" s="3">
        <f>VLOOKUP($E827,'Product Naming'!$A$1:$P$58,12,FALSE)</f>
        <v>88.14658</v>
      </c>
      <c r="AD827" s="1">
        <f>VLOOKUP($E827,'Product Naming'!$A$1:$P$58,13,FALSE)</f>
        <v>129</v>
      </c>
      <c r="AE827" s="1" t="str">
        <f>VLOOKUP($E827,'Product Naming'!$A$1:$P$58,14,FALSE)</f>
        <v>Alcohol</v>
      </c>
      <c r="AF827" s="1" t="str">
        <f>VLOOKUP($E827,'Product Naming'!$A$1:$P$58,15,FALSE)</f>
        <v>PEP</v>
      </c>
      <c r="AG827" s="30" t="str">
        <f>VLOOKUP($E827,'Product Naming'!$A$1:$P$58,16,FALSE)</f>
        <v>Proton symporter</v>
      </c>
      <c r="AH827" s="3" t="str">
        <f>VLOOKUP($E827,'Product Naming'!$A$1:$Q$58,17,FALSE)</f>
        <v>2mbtoh_c</v>
      </c>
      <c r="AI827" s="1">
        <f>VLOOKUP($E827,'Product Parameters'!$A$2:$D$59,2,FALSE)</f>
        <v>1</v>
      </c>
      <c r="AJ827" s="1">
        <f>VLOOKUP($E827,'Product Parameters'!$A$2:$D$59,3,FALSE)</f>
        <v>0</v>
      </c>
      <c r="AK827" s="1">
        <f>VLOOKUP($E827,'Product Parameters'!$A$2:$D$59,4,FALSE)</f>
        <v>0.12</v>
      </c>
      <c r="AL827" s="1">
        <f>VLOOKUP($E827,'Product Parameters'!$A$2:$E$59,5,FALSE)</f>
        <v>54.6</v>
      </c>
      <c r="AM827" s="1">
        <f>VLOOKUP($E827,'Product Parameters'!$A$2:$F$59,6,FALSE)</f>
        <v>5</v>
      </c>
      <c r="AN827" s="1">
        <f>VLOOKUP($C827,'Substrate Heating'!$A$2:$C$33,3,FALSE)</f>
        <v>1055.1294800000001</v>
      </c>
      <c r="AO827" s="1">
        <f>VLOOKUP($C827,'Substrate Heating'!$A$2:$B$33,2,FALSE)</f>
        <v>17</v>
      </c>
      <c r="AP827" s="1">
        <f>VLOOKUP($C827,'Substrate Heating'!$A$2:$M$33,13,FALSE)</f>
        <v>5</v>
      </c>
      <c r="AQ827" s="1">
        <f>VLOOKUP($C827,'Substrate Heating'!$A$2:$M$33,8,FALSE)</f>
        <v>2</v>
      </c>
      <c r="AR827" s="1">
        <f t="shared" si="12"/>
        <v>0.68544776119403006</v>
      </c>
    </row>
    <row r="828" spans="1:44" x14ac:dyDescent="0.2">
      <c r="A828" s="8" t="s">
        <v>34</v>
      </c>
      <c r="B828" s="9" t="s">
        <v>35</v>
      </c>
      <c r="C828" s="1" t="s">
        <v>330</v>
      </c>
      <c r="D828" s="10" t="s">
        <v>37</v>
      </c>
      <c r="E828" s="1" t="s">
        <v>164</v>
      </c>
      <c r="F828" s="1" t="s">
        <v>165</v>
      </c>
      <c r="G828" s="1">
        <v>-10</v>
      </c>
      <c r="H828" s="1">
        <v>-20</v>
      </c>
      <c r="I828" s="1" t="s">
        <v>40</v>
      </c>
      <c r="J828" s="1">
        <v>3.15</v>
      </c>
      <c r="K828" s="1">
        <v>-10</v>
      </c>
      <c r="L828" s="1">
        <v>-5.4244274809160302</v>
      </c>
      <c r="M828" s="1" t="s">
        <v>40</v>
      </c>
      <c r="N828" s="1">
        <v>6.9496183206106901</v>
      </c>
      <c r="O828" s="1">
        <v>3.2625954198473202</v>
      </c>
      <c r="Q828" s="1">
        <v>0.326259541984732</v>
      </c>
      <c r="R828" s="1">
        <v>0.38962180026256998</v>
      </c>
      <c r="S828" s="1" t="str">
        <f>VLOOKUP($E828,'Product Naming'!$A$1:$P$58,2,FALSE)</f>
        <v>Butanol-PW1</v>
      </c>
      <c r="T828" s="1" t="str">
        <f>VLOOKUP($E828,'Product Naming'!$A$1:$P$58,3,FALSE)</f>
        <v>Butanol (PW1)</v>
      </c>
      <c r="U828" s="1" t="str">
        <f>VLOOKUP($E828,'Product Naming'!$A$1:$P$58,4,FALSE)</f>
        <v>E</v>
      </c>
      <c r="V828" s="1" t="str">
        <f>VLOOKUP($E828,'Product Naming'!$A$1:$P$58,5,FALSE)</f>
        <v>C4H10O</v>
      </c>
      <c r="W828" s="1">
        <f>VLOOKUP($E828,'Product Naming'!$A$1:$P$58,6,FALSE)</f>
        <v>4</v>
      </c>
      <c r="X828" s="1">
        <f>VLOOKUP($E828,'Product Naming'!$A$1:$P$58,7,FALSE)</f>
        <v>10</v>
      </c>
      <c r="Y828" s="1">
        <f>VLOOKUP($E828,'Product Naming'!$A$1:$P$58,8,FALSE)</f>
        <v>1</v>
      </c>
      <c r="Z828" s="1">
        <f>VLOOKUP($E828,'Product Naming'!$A$1:$P$58,9,FALSE)</f>
        <v>0</v>
      </c>
      <c r="AA828" s="1">
        <f>VLOOKUP($E828,'Product Naming'!$A$1:$P$58,10,FALSE)</f>
        <v>0</v>
      </c>
      <c r="AB828" s="29">
        <f>VLOOKUP($E828,'Product Naming'!$A$1:$P$58,11,FALSE)</f>
        <v>6</v>
      </c>
      <c r="AC828" s="3">
        <f>VLOOKUP($E828,'Product Naming'!$A$1:$P$58,12,FALSE)</f>
        <v>74.120199999999997</v>
      </c>
      <c r="AD828" s="1">
        <f>VLOOKUP($E828,'Product Naming'!$A$1:$P$58,13,FALSE)</f>
        <v>117.7</v>
      </c>
      <c r="AE828" s="1" t="str">
        <f>VLOOKUP($E828,'Product Naming'!$A$1:$P$58,14,FALSE)</f>
        <v>Alcohol</v>
      </c>
      <c r="AF828" s="1" t="str">
        <f>VLOOKUP($E828,'Product Naming'!$A$1:$P$58,15,FALSE)</f>
        <v>Acetyl-CoA</v>
      </c>
      <c r="AG828" s="30" t="str">
        <f>VLOOKUP($E828,'Product Naming'!$A$1:$P$58,16,FALSE)</f>
        <v>Proton symporter</v>
      </c>
      <c r="AH828" s="3" t="str">
        <f>VLOOKUP($E828,'Product Naming'!$A$1:$Q$58,17,FALSE)</f>
        <v>btoh_c</v>
      </c>
      <c r="AI828" s="1">
        <f>VLOOKUP($E828,'Product Parameters'!$A$2:$D$59,2,FALSE)</f>
        <v>1</v>
      </c>
      <c r="AJ828" s="1">
        <f>VLOOKUP($E828,'Product Parameters'!$A$2:$D$59,3,FALSE)</f>
        <v>0</v>
      </c>
      <c r="AK828" s="1">
        <f>VLOOKUP($E828,'Product Parameters'!$A$2:$D$59,4,FALSE)</f>
        <v>0.12</v>
      </c>
      <c r="AL828" s="1">
        <f>VLOOKUP($E828,'Product Parameters'!$A$2:$E$59,5,FALSE)</f>
        <v>52</v>
      </c>
      <c r="AM828" s="1">
        <f>VLOOKUP($E828,'Product Parameters'!$A$2:$F$59,6,FALSE)</f>
        <v>4</v>
      </c>
      <c r="AN828" s="1">
        <f>VLOOKUP($C828,'Substrate Heating'!$A$2:$C$33,3,FALSE)</f>
        <v>1055.1294800000001</v>
      </c>
      <c r="AO828" s="1">
        <f>VLOOKUP($C828,'Substrate Heating'!$A$2:$B$33,2,FALSE)</f>
        <v>17</v>
      </c>
      <c r="AP828" s="1">
        <f>VLOOKUP($C828,'Substrate Heating'!$A$2:$M$33,13,FALSE)</f>
        <v>5</v>
      </c>
      <c r="AQ828" s="1">
        <f>VLOOKUP($C828,'Substrate Heating'!$A$2:$M$33,8,FALSE)</f>
        <v>2</v>
      </c>
      <c r="AR828" s="1">
        <f t="shared" si="12"/>
        <v>0.65251908396946401</v>
      </c>
    </row>
    <row r="829" spans="1:44" x14ac:dyDescent="0.2">
      <c r="A829" s="17" t="s">
        <v>323</v>
      </c>
      <c r="B829" s="18" t="s">
        <v>324</v>
      </c>
      <c r="C829" t="s">
        <v>325</v>
      </c>
      <c r="D829" s="19" t="s">
        <v>326</v>
      </c>
      <c r="E829" t="s">
        <v>275</v>
      </c>
      <c r="F829" t="s">
        <v>276</v>
      </c>
      <c r="G829">
        <v>-10</v>
      </c>
      <c r="H829">
        <v>0</v>
      </c>
      <c r="I829">
        <v>0</v>
      </c>
      <c r="J829">
        <v>0.45</v>
      </c>
      <c r="K829">
        <v>-10</v>
      </c>
      <c r="L829">
        <v>0</v>
      </c>
      <c r="M829">
        <v>0</v>
      </c>
      <c r="N829">
        <v>3.93</v>
      </c>
      <c r="O829">
        <v>1.07</v>
      </c>
      <c r="P829"/>
      <c r="Q829">
        <v>0.107</v>
      </c>
      <c r="R829">
        <v>0.38981379721527998</v>
      </c>
      <c r="S829" s="1" t="str">
        <f>VLOOKUP($E829,'Product Naming'!$A$1:$P$58,2,FALSE)</f>
        <v>Malonate</v>
      </c>
      <c r="T829" s="1" t="str">
        <f>VLOOKUP($E829,'Product Naming'!$A$1:$P$58,3,FALSE)</f>
        <v>Malonate</v>
      </c>
      <c r="U829" s="1" t="str">
        <f>VLOOKUP($E829,'Product Naming'!$A$1:$P$58,4,FALSE)</f>
        <v>A</v>
      </c>
      <c r="V829" s="1" t="str">
        <f>VLOOKUP($E829,'Product Naming'!$A$1:$P$58,5,FALSE)</f>
        <v>C3H2O4</v>
      </c>
      <c r="W829" s="1">
        <f>VLOOKUP($E829,'Product Naming'!$A$1:$P$58,6,FALSE)</f>
        <v>3</v>
      </c>
      <c r="X829" s="1">
        <f>VLOOKUP($E829,'Product Naming'!$A$1:$P$58,7,FALSE)</f>
        <v>2</v>
      </c>
      <c r="Y829" s="1">
        <f>VLOOKUP($E829,'Product Naming'!$A$1:$P$58,8,FALSE)</f>
        <v>4</v>
      </c>
      <c r="Z829" s="1">
        <f>VLOOKUP($E829,'Product Naming'!$A$1:$P$58,9,FALSE)</f>
        <v>0</v>
      </c>
      <c r="AA829" s="1">
        <f>VLOOKUP($E829,'Product Naming'!$A$1:$P$58,10,FALSE)</f>
        <v>-2</v>
      </c>
      <c r="AB829" s="29">
        <f>VLOOKUP($E829,'Product Naming'!$A$1:$P$58,11,FALSE)</f>
        <v>2</v>
      </c>
      <c r="AC829" s="3">
        <f>VLOOKUP($E829,'Product Naming'!$A$1:$P$58,12,FALSE)</f>
        <v>102.04378</v>
      </c>
      <c r="AD829" s="1">
        <f>VLOOKUP($E829,'Product Naming'!$A$1:$P$58,13,FALSE)</f>
        <v>199</v>
      </c>
      <c r="AE829" s="1" t="str">
        <f>VLOOKUP($E829,'Product Naming'!$A$1:$P$58,14,FALSE)</f>
        <v>Dicarboxylate</v>
      </c>
      <c r="AF829" s="1" t="str">
        <f>VLOOKUP($E829,'Product Naming'!$A$1:$P$58,15,FALSE)</f>
        <v>Oxaloacetate</v>
      </c>
      <c r="AG829" s="30" t="str">
        <f>VLOOKUP($E829,'Product Naming'!$A$1:$P$58,16,FALSE)</f>
        <v>Proton symporter</v>
      </c>
      <c r="AH829" s="3" t="str">
        <f>VLOOKUP($E829,'Product Naming'!$A$1:$Q$58,17,FALSE)</f>
        <v>malon_c</v>
      </c>
      <c r="AI829" s="1">
        <f>VLOOKUP($E829,'Product Parameters'!$A$2:$D$59,2,FALSE)</f>
        <v>1</v>
      </c>
      <c r="AJ829" s="1">
        <f>VLOOKUP($E829,'Product Parameters'!$A$2:$D$59,3,FALSE)</f>
        <v>0</v>
      </c>
      <c r="AK829" s="1">
        <f>VLOOKUP($E829,'Product Parameters'!$A$2:$D$59,4,FALSE)</f>
        <v>0.12</v>
      </c>
      <c r="AL829" s="1">
        <f>VLOOKUP($E829,'Product Parameters'!$A$2:$E$59,5,FALSE)</f>
        <v>40.65</v>
      </c>
      <c r="AM829" s="1">
        <f>VLOOKUP($E829,'Product Parameters'!$A$2:$F$59,6,FALSE)</f>
        <v>3</v>
      </c>
      <c r="AN829" s="1">
        <f>VLOOKUP($C829,'Substrate Heating'!$A$2:$C$33,3,FALSE)</f>
        <v>280.09700000000004</v>
      </c>
      <c r="AO829" s="1">
        <f>VLOOKUP($C829,'Substrate Heating'!$A$2:$B$33,2,FALSE)</f>
        <v>10</v>
      </c>
      <c r="AP829" s="1">
        <f>VLOOKUP($C829,'Substrate Heating'!$A$2:$M$33,13,FALSE)</f>
        <v>2</v>
      </c>
      <c r="AQ829" s="1">
        <f>VLOOKUP($C829,'Substrate Heating'!$A$2:$M$33,8,FALSE)</f>
        <v>1</v>
      </c>
      <c r="AR829" s="1">
        <f t="shared" si="12"/>
        <v>0.32100000000000001</v>
      </c>
    </row>
    <row r="830" spans="1:44" x14ac:dyDescent="0.2">
      <c r="A830" s="8" t="s">
        <v>807</v>
      </c>
      <c r="B830" s="18" t="s">
        <v>324</v>
      </c>
      <c r="C830" t="s">
        <v>371</v>
      </c>
      <c r="D830" s="23" t="s">
        <v>338</v>
      </c>
      <c r="E830" t="s">
        <v>103</v>
      </c>
      <c r="F830" t="s">
        <v>104</v>
      </c>
      <c r="G830">
        <v>-10</v>
      </c>
      <c r="H830">
        <v>0</v>
      </c>
      <c r="I830">
        <v>0</v>
      </c>
      <c r="J830">
        <v>0.45</v>
      </c>
      <c r="K830">
        <v>-10</v>
      </c>
      <c r="L830">
        <v>0</v>
      </c>
      <c r="M830">
        <v>0</v>
      </c>
      <c r="N830">
        <v>0</v>
      </c>
      <c r="O830">
        <v>1.2259887005649699</v>
      </c>
      <c r="P830"/>
      <c r="Q830">
        <v>0.122598870056497</v>
      </c>
      <c r="R830">
        <v>0.39094491400495901</v>
      </c>
      <c r="S830" s="1" t="str">
        <f>VLOOKUP($E830,'Product Naming'!$A$1:$P$58,2,FALSE)</f>
        <v>3-Methyl-1-Pentanol</v>
      </c>
      <c r="T830" s="1" t="str">
        <f>VLOOKUP($E830,'Product Naming'!$A$1:$P$58,3,FALSE)</f>
        <v>3-Methyl-1-pentanol</v>
      </c>
      <c r="U830" s="1" t="str">
        <f>VLOOKUP($E830,'Product Naming'!$A$1:$P$58,4,FALSE)</f>
        <v>A</v>
      </c>
      <c r="V830" s="1" t="str">
        <f>VLOOKUP($E830,'Product Naming'!$A$1:$P$58,5,FALSE)</f>
        <v>C6H14O</v>
      </c>
      <c r="W830" s="1">
        <f>VLOOKUP($E830,'Product Naming'!$A$1:$P$58,6,FALSE)</f>
        <v>6</v>
      </c>
      <c r="X830" s="1">
        <f>VLOOKUP($E830,'Product Naming'!$A$1:$P$58,7,FALSE)</f>
        <v>14</v>
      </c>
      <c r="Y830" s="1">
        <f>VLOOKUP($E830,'Product Naming'!$A$1:$P$58,8,FALSE)</f>
        <v>1</v>
      </c>
      <c r="Z830" s="1">
        <f>VLOOKUP($E830,'Product Naming'!$A$1:$P$58,9,FALSE)</f>
        <v>0</v>
      </c>
      <c r="AA830" s="1">
        <f>VLOOKUP($E830,'Product Naming'!$A$1:$P$58,10,FALSE)</f>
        <v>0</v>
      </c>
      <c r="AB830" s="29">
        <f>VLOOKUP($E830,'Product Naming'!$A$1:$P$58,11,FALSE)</f>
        <v>6</v>
      </c>
      <c r="AC830" s="3">
        <f>VLOOKUP($E830,'Product Naming'!$A$1:$P$58,12,FALSE)</f>
        <v>102.17295999999999</v>
      </c>
      <c r="AD830" s="1">
        <f>VLOOKUP($E830,'Product Naming'!$A$1:$P$58,13,FALSE)</f>
        <v>153</v>
      </c>
      <c r="AE830" s="1" t="str">
        <f>VLOOKUP($E830,'Product Naming'!$A$1:$P$58,14,FALSE)</f>
        <v>Alcohol</v>
      </c>
      <c r="AF830" s="1" t="str">
        <f>VLOOKUP($E830,'Product Naming'!$A$1:$P$58,15,FALSE)</f>
        <v>Oxaloacetate</v>
      </c>
      <c r="AG830" s="30" t="str">
        <f>VLOOKUP($E830,'Product Naming'!$A$1:$P$58,16,FALSE)</f>
        <v>Proton symporter</v>
      </c>
      <c r="AH830" s="3" t="str">
        <f>VLOOKUP($E830,'Product Naming'!$A$1:$Q$58,17,FALSE)</f>
        <v>3mptoh_c</v>
      </c>
      <c r="AI830" s="1">
        <f>VLOOKUP($E830,'Product Parameters'!$A$2:$D$59,2,FALSE)</f>
        <v>1</v>
      </c>
      <c r="AJ830" s="1">
        <f>VLOOKUP($E830,'Product Parameters'!$A$2:$D$59,3,FALSE)</f>
        <v>0</v>
      </c>
      <c r="AK830" s="1">
        <f>VLOOKUP($E830,'Product Parameters'!$A$2:$D$59,4,FALSE)</f>
        <v>0.12</v>
      </c>
      <c r="AL830" s="1">
        <f>VLOOKUP($E830,'Product Parameters'!$A$2:$E$59,5,FALSE)</f>
        <v>61.7</v>
      </c>
      <c r="AM830" s="1">
        <f>VLOOKUP($E830,'Product Parameters'!$A$2:$F$59,6,FALSE)</f>
        <v>6</v>
      </c>
      <c r="AN830" s="1">
        <f>VLOOKUP($C830,'Substrate Heating'!$A$2:$C$33,3,FALSE)</f>
        <v>638.57832580000002</v>
      </c>
      <c r="AO830" s="1">
        <f>VLOOKUP($C830,'Substrate Heating'!$A$2:$B$33,2,FALSE)</f>
        <v>19.93</v>
      </c>
      <c r="AP830" s="1">
        <f>VLOOKUP($C830,'Substrate Heating'!$A$2:$M$33,13,FALSE)</f>
        <v>6</v>
      </c>
      <c r="AQ830" s="1">
        <f>VLOOKUP($C830,'Substrate Heating'!$A$2:$M$33,8,FALSE)</f>
        <v>1</v>
      </c>
      <c r="AR830" s="1">
        <f t="shared" si="12"/>
        <v>0.735593220338982</v>
      </c>
    </row>
    <row r="831" spans="1:44" x14ac:dyDescent="0.2">
      <c r="A831" s="8" t="s">
        <v>34</v>
      </c>
      <c r="B831" s="9" t="s">
        <v>35</v>
      </c>
      <c r="C831" s="1" t="s">
        <v>341</v>
      </c>
      <c r="D831" s="24" t="s">
        <v>342</v>
      </c>
      <c r="E831" s="1" t="s">
        <v>291</v>
      </c>
      <c r="F831" s="1" t="s">
        <v>292</v>
      </c>
      <c r="G831" s="1">
        <v>-10</v>
      </c>
      <c r="H831" s="1">
        <v>-20</v>
      </c>
      <c r="I831" s="1" t="s">
        <v>40</v>
      </c>
      <c r="J831" s="1">
        <v>3.15</v>
      </c>
      <c r="K831" s="1">
        <v>-10</v>
      </c>
      <c r="L831" s="1">
        <v>0</v>
      </c>
      <c r="M831" s="1" t="s">
        <v>40</v>
      </c>
      <c r="N831" s="1">
        <v>20</v>
      </c>
      <c r="O831" s="1">
        <v>8</v>
      </c>
      <c r="Q831" s="1">
        <v>0.8</v>
      </c>
      <c r="R831" s="1">
        <v>0.39143142679071302</v>
      </c>
      <c r="S831" s="1" t="str">
        <f>VLOOKUP($E831,'Product Naming'!$A$1:$P$58,2,FALSE)</f>
        <v>Pentanol-PW1</v>
      </c>
      <c r="T831" s="1" t="str">
        <f>VLOOKUP($E831,'Product Naming'!$A$1:$P$58,3,FALSE)</f>
        <v>Pentanol (PW1)</v>
      </c>
      <c r="U831" s="1" t="str">
        <f>VLOOKUP($E831,'Product Naming'!$A$1:$P$58,4,FALSE)</f>
        <v>E</v>
      </c>
      <c r="V831" s="1" t="str">
        <f>VLOOKUP($E831,'Product Naming'!$A$1:$P$58,5,FALSE)</f>
        <v>C5H12O</v>
      </c>
      <c r="W831" s="1">
        <f>VLOOKUP($E831,'Product Naming'!$A$1:$P$58,6,FALSE)</f>
        <v>5</v>
      </c>
      <c r="X831" s="1">
        <f>VLOOKUP($E831,'Product Naming'!$A$1:$P$58,7,FALSE)</f>
        <v>12</v>
      </c>
      <c r="Y831" s="1">
        <f>VLOOKUP($E831,'Product Naming'!$A$1:$P$58,8,FALSE)</f>
        <v>1</v>
      </c>
      <c r="Z831" s="1">
        <f>VLOOKUP($E831,'Product Naming'!$A$1:$P$58,9,FALSE)</f>
        <v>0</v>
      </c>
      <c r="AA831" s="1">
        <f>VLOOKUP($E831,'Product Naming'!$A$1:$P$58,10,FALSE)</f>
        <v>0</v>
      </c>
      <c r="AB831" s="29">
        <f>VLOOKUP($E831,'Product Naming'!$A$1:$P$58,11,FALSE)</f>
        <v>6</v>
      </c>
      <c r="AC831" s="3">
        <f>VLOOKUP($E831,'Product Naming'!$A$1:$P$58,12,FALSE)</f>
        <v>88.14658</v>
      </c>
      <c r="AD831" s="1">
        <f>VLOOKUP($E831,'Product Naming'!$A$1:$P$58,13,FALSE)</f>
        <v>138</v>
      </c>
      <c r="AE831" s="1" t="str">
        <f>VLOOKUP($E831,'Product Naming'!$A$1:$P$58,14,FALSE)</f>
        <v>Alcohol</v>
      </c>
      <c r="AF831" s="1" t="str">
        <f>VLOOKUP($E831,'Product Naming'!$A$1:$P$58,15,FALSE)</f>
        <v>Acetyl-CoA + Succinyl-CoA</v>
      </c>
      <c r="AG831" s="30" t="str">
        <f>VLOOKUP($E831,'Product Naming'!$A$1:$P$58,16,FALSE)</f>
        <v>Proton symporter</v>
      </c>
      <c r="AH831" s="3" t="str">
        <f>VLOOKUP($E831,'Product Naming'!$A$1:$Q$58,17,FALSE)</f>
        <v>pentoh_c</v>
      </c>
      <c r="AI831" s="1">
        <f>VLOOKUP($E831,'Product Parameters'!$A$2:$D$59,2,FALSE)</f>
        <v>1</v>
      </c>
      <c r="AJ831" s="1">
        <f>VLOOKUP($E831,'Product Parameters'!$A$2:$D$59,3,FALSE)</f>
        <v>0</v>
      </c>
      <c r="AK831" s="1">
        <f>VLOOKUP($E831,'Product Parameters'!$A$2:$D$59,4,FALSE)</f>
        <v>0.12</v>
      </c>
      <c r="AL831" s="1">
        <f>VLOOKUP($E831,'Product Parameters'!$A$2:$E$59,5,FALSE)</f>
        <v>57</v>
      </c>
      <c r="AM831" s="1">
        <f>VLOOKUP($E831,'Product Parameters'!$A$2:$F$59,6,FALSE)</f>
        <v>5</v>
      </c>
      <c r="AN831" s="1">
        <f>VLOOKUP($C831,'Substrate Heating'!$A$2:$C$33,3,FALSE)</f>
        <v>2828.4492</v>
      </c>
      <c r="AO831" s="1">
        <f>VLOOKUP($C831,'Substrate Heating'!$A$2:$B$33,2,FALSE)</f>
        <v>15.7</v>
      </c>
      <c r="AP831" s="1">
        <f>VLOOKUP($C831,'Substrate Heating'!$A$2:$M$33,13,FALSE)</f>
        <v>4</v>
      </c>
      <c r="AQ831" s="1">
        <f>VLOOKUP($C831,'Substrate Heating'!$A$2:$M$33,8,FALSE)</f>
        <v>6</v>
      </c>
      <c r="AR831" s="1">
        <f t="shared" si="12"/>
        <v>0.66666666666666663</v>
      </c>
    </row>
    <row r="832" spans="1:44" x14ac:dyDescent="0.2">
      <c r="A832" s="17" t="s">
        <v>323</v>
      </c>
      <c r="B832" s="18" t="s">
        <v>324</v>
      </c>
      <c r="C832" t="s">
        <v>336</v>
      </c>
      <c r="D832" s="19" t="s">
        <v>326</v>
      </c>
      <c r="E832" t="s">
        <v>119</v>
      </c>
      <c r="F832" t="s">
        <v>120</v>
      </c>
      <c r="G832">
        <v>-10</v>
      </c>
      <c r="H832">
        <v>0</v>
      </c>
      <c r="I832">
        <v>-20</v>
      </c>
      <c r="J832">
        <v>0.45</v>
      </c>
      <c r="K832">
        <v>-10</v>
      </c>
      <c r="L832">
        <v>0</v>
      </c>
      <c r="M832">
        <v>-16.6666666666667</v>
      </c>
      <c r="N832">
        <v>0</v>
      </c>
      <c r="O832">
        <v>3.3333333333333401</v>
      </c>
      <c r="P832"/>
      <c r="Q832">
        <v>0.33333333333333398</v>
      </c>
      <c r="R832" s="20">
        <v>0.39191672852419301</v>
      </c>
      <c r="S832" s="1" t="str">
        <f>VLOOKUP($E832,'Product Naming'!$A$1:$P$58,2,FALSE)</f>
        <v>Acetone</v>
      </c>
      <c r="T832" s="1" t="str">
        <f>VLOOKUP($E832,'Product Naming'!$A$1:$P$58,3,FALSE)</f>
        <v>Acetone</v>
      </c>
      <c r="U832" s="1" t="str">
        <f>VLOOKUP($E832,'Product Naming'!$A$1:$P$58,4,FALSE)</f>
        <v>A</v>
      </c>
      <c r="V832" s="1" t="str">
        <f>VLOOKUP($E832,'Product Naming'!$A$1:$P$58,5,FALSE)</f>
        <v>C3H6O</v>
      </c>
      <c r="W832" s="1">
        <f>VLOOKUP($E832,'Product Naming'!$A$1:$P$58,6,FALSE)</f>
        <v>3</v>
      </c>
      <c r="X832" s="1">
        <f>VLOOKUP($E832,'Product Naming'!$A$1:$P$58,7,FALSE)</f>
        <v>6</v>
      </c>
      <c r="Y832" s="1">
        <f>VLOOKUP($E832,'Product Naming'!$A$1:$P$58,8,FALSE)</f>
        <v>1</v>
      </c>
      <c r="Z832" s="1">
        <f>VLOOKUP($E832,'Product Naming'!$A$1:$P$58,9,FALSE)</f>
        <v>0</v>
      </c>
      <c r="AA832" s="1">
        <f>VLOOKUP($E832,'Product Naming'!$A$1:$P$58,10,FALSE)</f>
        <v>0</v>
      </c>
      <c r="AB832" s="29">
        <f>VLOOKUP($E832,'Product Naming'!$A$1:$P$58,11,FALSE)</f>
        <v>5.333333333333333</v>
      </c>
      <c r="AC832" s="3">
        <f>VLOOKUP($E832,'Product Naming'!$A$1:$P$58,12,FALSE)</f>
        <v>58.078140000000005</v>
      </c>
      <c r="AD832" s="1">
        <f>VLOOKUP($E832,'Product Naming'!$A$1:$P$58,13,FALSE)</f>
        <v>56</v>
      </c>
      <c r="AE832" s="1" t="str">
        <f>VLOOKUP($E832,'Product Naming'!$A$1:$P$58,14,FALSE)</f>
        <v>Ketone</v>
      </c>
      <c r="AF832" s="1" t="str">
        <f>VLOOKUP($E832,'Product Naming'!$A$1:$P$58,15,FALSE)</f>
        <v>Acetyl-CoA</v>
      </c>
      <c r="AG832" s="30" t="str">
        <f>VLOOKUP($E832,'Product Naming'!$A$1:$P$58,16,FALSE)</f>
        <v>Proton symporter</v>
      </c>
      <c r="AH832" s="3" t="str">
        <f>VLOOKUP($E832,'Product Naming'!$A$1:$Q$58,17,FALSE)</f>
        <v>acetone_c</v>
      </c>
      <c r="AI832" s="1">
        <f>VLOOKUP($E832,'Product Parameters'!$A$2:$D$59,2,FALSE)</f>
        <v>1</v>
      </c>
      <c r="AJ832" s="1">
        <f>VLOOKUP($E832,'Product Parameters'!$A$2:$D$59,3,FALSE)</f>
        <v>0</v>
      </c>
      <c r="AK832" s="1">
        <f>VLOOKUP($E832,'Product Parameters'!$A$2:$D$59,4,FALSE)</f>
        <v>0.12</v>
      </c>
      <c r="AL832" s="1">
        <f>VLOOKUP($E832,'Product Parameters'!$A$2:$E$59,5,FALSE)</f>
        <v>31.3</v>
      </c>
      <c r="AM832" s="1">
        <f>VLOOKUP($E832,'Product Parameters'!$A$2:$F$59,6,FALSE)</f>
        <v>3</v>
      </c>
      <c r="AN832" s="1">
        <f>VLOOKUP($C832,'Substrate Heating'!$A$2:$C$33,3,FALSE)</f>
        <v>245.86666666666667</v>
      </c>
      <c r="AO832" s="1">
        <f>VLOOKUP($C832,'Substrate Heating'!$A$2:$B$33,2,FALSE)</f>
        <v>15.038360459876978</v>
      </c>
      <c r="AP832" s="1">
        <f>VLOOKUP($C832,'Substrate Heating'!$A$2:$M$33,13,FALSE)</f>
        <v>0.33333333333333331</v>
      </c>
      <c r="AQ832" s="1">
        <f>VLOOKUP($C832,'Substrate Heating'!$A$2:$M$33,8,FALSE)</f>
        <v>0.33333333333333331</v>
      </c>
      <c r="AR832" s="1">
        <f t="shared" si="12"/>
        <v>3.0000000000000062</v>
      </c>
    </row>
    <row r="833" spans="1:44" x14ac:dyDescent="0.2">
      <c r="A833" s="8" t="s">
        <v>809</v>
      </c>
      <c r="B833" s="18" t="s">
        <v>324</v>
      </c>
      <c r="C833" t="s">
        <v>808</v>
      </c>
      <c r="D833" s="19" t="s">
        <v>326</v>
      </c>
      <c r="E833" t="s">
        <v>119</v>
      </c>
      <c r="F833" t="s">
        <v>120</v>
      </c>
      <c r="G833">
        <v>-10</v>
      </c>
      <c r="H833">
        <v>0</v>
      </c>
      <c r="I833">
        <v>-20</v>
      </c>
      <c r="J833">
        <v>0.45</v>
      </c>
      <c r="K833">
        <v>-7.5</v>
      </c>
      <c r="L833">
        <v>0</v>
      </c>
      <c r="M833">
        <v>-20</v>
      </c>
      <c r="N833">
        <v>-7.5</v>
      </c>
      <c r="O833">
        <v>2.5</v>
      </c>
      <c r="P833"/>
      <c r="Q833">
        <v>0.33333333333333298</v>
      </c>
      <c r="R833">
        <v>0.39200137690843501</v>
      </c>
      <c r="S833" s="1" t="str">
        <f>VLOOKUP($E833,'Product Naming'!$A$1:$P$58,2,FALSE)</f>
        <v>Acetone</v>
      </c>
      <c r="T833" s="1" t="str">
        <f>VLOOKUP($E833,'Product Naming'!$A$1:$P$58,3,FALSE)</f>
        <v>Acetone</v>
      </c>
      <c r="U833" s="1" t="str">
        <f>VLOOKUP($E833,'Product Naming'!$A$1:$P$58,4,FALSE)</f>
        <v>A</v>
      </c>
      <c r="V833" s="1" t="str">
        <f>VLOOKUP($E833,'Product Naming'!$A$1:$P$58,5,FALSE)</f>
        <v>C3H6O</v>
      </c>
      <c r="W833" s="1">
        <f>VLOOKUP($E833,'Product Naming'!$A$1:$P$58,6,FALSE)</f>
        <v>3</v>
      </c>
      <c r="X833" s="1">
        <f>VLOOKUP($E833,'Product Naming'!$A$1:$P$58,7,FALSE)</f>
        <v>6</v>
      </c>
      <c r="Y833" s="1">
        <f>VLOOKUP($E833,'Product Naming'!$A$1:$P$58,8,FALSE)</f>
        <v>1</v>
      </c>
      <c r="Z833" s="1">
        <f>VLOOKUP($E833,'Product Naming'!$A$1:$P$58,9,FALSE)</f>
        <v>0</v>
      </c>
      <c r="AA833" s="1">
        <f>VLOOKUP($E833,'Product Naming'!$A$1:$P$58,10,FALSE)</f>
        <v>0</v>
      </c>
      <c r="AB833" s="29">
        <f>VLOOKUP($E833,'Product Naming'!$A$1:$P$58,11,FALSE)</f>
        <v>5.333333333333333</v>
      </c>
      <c r="AC833" s="3">
        <f>VLOOKUP($E833,'Product Naming'!$A$1:$P$58,12,FALSE)</f>
        <v>58.078140000000005</v>
      </c>
      <c r="AD833" s="1">
        <f>VLOOKUP($E833,'Product Naming'!$A$1:$P$58,13,FALSE)</f>
        <v>56</v>
      </c>
      <c r="AE833" s="1" t="str">
        <f>VLOOKUP($E833,'Product Naming'!$A$1:$P$58,14,FALSE)</f>
        <v>Ketone</v>
      </c>
      <c r="AF833" s="1" t="str">
        <f>VLOOKUP($E833,'Product Naming'!$A$1:$P$58,15,FALSE)</f>
        <v>Acetyl-CoA</v>
      </c>
      <c r="AG833" s="30" t="str">
        <f>VLOOKUP($E833,'Product Naming'!$A$1:$P$58,16,FALSE)</f>
        <v>Proton symporter</v>
      </c>
      <c r="AH833" s="3" t="str">
        <f>VLOOKUP($E833,'Product Naming'!$A$1:$Q$58,17,FALSE)</f>
        <v>acetone_c</v>
      </c>
      <c r="AI833" s="1">
        <f>VLOOKUP($E833,'Product Parameters'!$A$2:$D$59,2,FALSE)</f>
        <v>1</v>
      </c>
      <c r="AJ833" s="1">
        <f>VLOOKUP($E833,'Product Parameters'!$A$2:$D$59,3,FALSE)</f>
        <v>0</v>
      </c>
      <c r="AK833" s="1">
        <f>VLOOKUP($E833,'Product Parameters'!$A$2:$D$59,4,FALSE)</f>
        <v>0.12</v>
      </c>
      <c r="AL833" s="1">
        <f>VLOOKUP($E833,'Product Parameters'!$A$2:$E$59,5,FALSE)</f>
        <v>31.3</v>
      </c>
      <c r="AM833" s="1">
        <f>VLOOKUP($E833,'Product Parameters'!$A$2:$F$59,6,FALSE)</f>
        <v>3</v>
      </c>
      <c r="AN833" s="1">
        <f>VLOOKUP($C833,'Substrate Heating'!$A$2:$C$33,3,FALSE)</f>
        <v>120.9</v>
      </c>
      <c r="AO833" s="1">
        <f>VLOOKUP($C833,'Substrate Heating'!$A$2:$B$33,2,FALSE)</f>
        <v>5.2537372583834907</v>
      </c>
      <c r="AP833" s="1">
        <f>VLOOKUP($C833,'Substrate Heating'!$A$2:$M$33,13,FALSE)</f>
        <v>0</v>
      </c>
      <c r="AQ833" s="1">
        <f>VLOOKUP($C833,'Substrate Heating'!$A$2:$M$33,8,FALSE)</f>
        <v>0.33333333333333331</v>
      </c>
      <c r="AR833" s="1">
        <f t="shared" si="12"/>
        <v>2.9999999999999969</v>
      </c>
    </row>
    <row r="834" spans="1:44" x14ac:dyDescent="0.2">
      <c r="A834" s="8" t="s">
        <v>34</v>
      </c>
      <c r="B834" s="9" t="s">
        <v>35</v>
      </c>
      <c r="C834" s="1" t="s">
        <v>343</v>
      </c>
      <c r="D834" s="24" t="s">
        <v>342</v>
      </c>
      <c r="E834" s="1" t="s">
        <v>103</v>
      </c>
      <c r="F834" s="1" t="s">
        <v>104</v>
      </c>
      <c r="G834" s="1">
        <v>-10</v>
      </c>
      <c r="H834" s="1">
        <v>-20</v>
      </c>
      <c r="I834" s="1" t="s">
        <v>40</v>
      </c>
      <c r="J834" s="1">
        <v>3.15</v>
      </c>
      <c r="K834" s="1">
        <v>-10</v>
      </c>
      <c r="L834" s="1">
        <v>-3.0520547945205299</v>
      </c>
      <c r="M834" s="1" t="s">
        <v>40</v>
      </c>
      <c r="N834" s="1">
        <v>8.7013698630137402</v>
      </c>
      <c r="O834" s="1">
        <v>3.5497716894977298</v>
      </c>
      <c r="Q834" s="1">
        <v>0.35497716894977299</v>
      </c>
      <c r="R834" s="1">
        <v>0.393827382597642</v>
      </c>
      <c r="S834" s="1" t="str">
        <f>VLOOKUP($E834,'Product Naming'!$A$1:$P$58,2,FALSE)</f>
        <v>3-Methyl-1-Pentanol</v>
      </c>
      <c r="T834" s="1" t="str">
        <f>VLOOKUP($E834,'Product Naming'!$A$1:$P$58,3,FALSE)</f>
        <v>3-Methyl-1-pentanol</v>
      </c>
      <c r="U834" s="1" t="str">
        <f>VLOOKUP($E834,'Product Naming'!$A$1:$P$58,4,FALSE)</f>
        <v>A</v>
      </c>
      <c r="V834" s="1" t="str">
        <f>VLOOKUP($E834,'Product Naming'!$A$1:$P$58,5,FALSE)</f>
        <v>C6H14O</v>
      </c>
      <c r="W834" s="1">
        <f>VLOOKUP($E834,'Product Naming'!$A$1:$P$58,6,FALSE)</f>
        <v>6</v>
      </c>
      <c r="X834" s="1">
        <f>VLOOKUP($E834,'Product Naming'!$A$1:$P$58,7,FALSE)</f>
        <v>14</v>
      </c>
      <c r="Y834" s="1">
        <f>VLOOKUP($E834,'Product Naming'!$A$1:$P$58,8,FALSE)</f>
        <v>1</v>
      </c>
      <c r="Z834" s="1">
        <f>VLOOKUP($E834,'Product Naming'!$A$1:$P$58,9,FALSE)</f>
        <v>0</v>
      </c>
      <c r="AA834" s="1">
        <f>VLOOKUP($E834,'Product Naming'!$A$1:$P$58,10,FALSE)</f>
        <v>0</v>
      </c>
      <c r="AB834" s="29">
        <f>VLOOKUP($E834,'Product Naming'!$A$1:$P$58,11,FALSE)</f>
        <v>6</v>
      </c>
      <c r="AC834" s="3">
        <f>VLOOKUP($E834,'Product Naming'!$A$1:$P$58,12,FALSE)</f>
        <v>102.17295999999999</v>
      </c>
      <c r="AD834" s="1">
        <f>VLOOKUP($E834,'Product Naming'!$A$1:$P$58,13,FALSE)</f>
        <v>153</v>
      </c>
      <c r="AE834" s="1" t="str">
        <f>VLOOKUP($E834,'Product Naming'!$A$1:$P$58,14,FALSE)</f>
        <v>Alcohol</v>
      </c>
      <c r="AF834" s="1" t="str">
        <f>VLOOKUP($E834,'Product Naming'!$A$1:$P$58,15,FALSE)</f>
        <v>Oxaloacetate</v>
      </c>
      <c r="AG834" s="30" t="str">
        <f>VLOOKUP($E834,'Product Naming'!$A$1:$P$58,16,FALSE)</f>
        <v>Proton symporter</v>
      </c>
      <c r="AH834" s="3" t="str">
        <f>VLOOKUP($E834,'Product Naming'!$A$1:$Q$58,17,FALSE)</f>
        <v>3mptoh_c</v>
      </c>
      <c r="AI834" s="1">
        <f>VLOOKUP($E834,'Product Parameters'!$A$2:$D$59,2,FALSE)</f>
        <v>1</v>
      </c>
      <c r="AJ834" s="1">
        <f>VLOOKUP($E834,'Product Parameters'!$A$2:$D$59,3,FALSE)</f>
        <v>0</v>
      </c>
      <c r="AK834" s="1">
        <f>VLOOKUP($E834,'Product Parameters'!$A$2:$D$59,4,FALSE)</f>
        <v>0.12</v>
      </c>
      <c r="AL834" s="1">
        <f>VLOOKUP($E834,'Product Parameters'!$A$2:$E$59,5,FALSE)</f>
        <v>61.7</v>
      </c>
      <c r="AM834" s="1">
        <f>VLOOKUP($E834,'Product Parameters'!$A$2:$F$59,6,FALSE)</f>
        <v>6</v>
      </c>
      <c r="AN834" s="1">
        <f>VLOOKUP($C834,'Substrate Heating'!$A$2:$C$33,3,FALSE)</f>
        <v>1648.4793779999998</v>
      </c>
      <c r="AO834" s="1">
        <f>VLOOKUP($C834,'Substrate Heating'!$A$2:$B$33,2,FALSE)</f>
        <v>17.899999999999999</v>
      </c>
      <c r="AP834" s="1">
        <f>VLOOKUP($C834,'Substrate Heating'!$A$2:$M$33,13,FALSE)</f>
        <v>4.666666666666667</v>
      </c>
      <c r="AQ834" s="1">
        <f>VLOOKUP($C834,'Substrate Heating'!$A$2:$M$33,8,FALSE)</f>
        <v>3</v>
      </c>
      <c r="AR834" s="1">
        <f t="shared" si="12"/>
        <v>0.70995433789954598</v>
      </c>
    </row>
    <row r="835" spans="1:44" x14ac:dyDescent="0.2">
      <c r="A835" s="8" t="s">
        <v>34</v>
      </c>
      <c r="B835" s="9" t="s">
        <v>35</v>
      </c>
      <c r="C835" s="1" t="s">
        <v>349</v>
      </c>
      <c r="D835" s="25" t="s">
        <v>342</v>
      </c>
      <c r="E835" s="1" t="s">
        <v>81</v>
      </c>
      <c r="F835" s="1" t="s">
        <v>73</v>
      </c>
      <c r="G835" s="1">
        <v>-10</v>
      </c>
      <c r="H835" s="1">
        <v>-20</v>
      </c>
      <c r="I835" s="1" t="s">
        <v>40</v>
      </c>
      <c r="J835" s="1">
        <v>3.15</v>
      </c>
      <c r="K835" s="1">
        <v>-10</v>
      </c>
      <c r="L835" s="1">
        <v>-5.7177215189873403</v>
      </c>
      <c r="M835" s="1" t="s">
        <v>40</v>
      </c>
      <c r="N835" s="1">
        <v>20.4784810126582</v>
      </c>
      <c r="O835" s="1">
        <v>9.8405063291139303</v>
      </c>
      <c r="Q835" s="1">
        <v>0.98405063291139305</v>
      </c>
      <c r="R835" s="1">
        <v>0.39389436891403001</v>
      </c>
      <c r="S835" s="1" t="str">
        <f>VLOOKUP($E835,'Product Naming'!$A$1:$P$58,2,FALSE)</f>
        <v>1-propanol-PW2</v>
      </c>
      <c r="T835" s="1" t="str">
        <f>VLOOKUP($E835,'Product Naming'!$A$1:$P$58,3,FALSE)</f>
        <v>1-Propanol (PW2)</v>
      </c>
      <c r="U835" s="1" t="str">
        <f>VLOOKUP($E835,'Product Naming'!$A$1:$P$58,4,FALSE)</f>
        <v>E-S</v>
      </c>
      <c r="V835" s="1" t="str">
        <f>VLOOKUP($E835,'Product Naming'!$A$1:$P$58,5,FALSE)</f>
        <v>C3H8O</v>
      </c>
      <c r="W835" s="1">
        <f>VLOOKUP($E835,'Product Naming'!$A$1:$P$58,6,FALSE)</f>
        <v>3</v>
      </c>
      <c r="X835" s="1">
        <f>VLOOKUP($E835,'Product Naming'!$A$1:$P$58,7,FALSE)</f>
        <v>8</v>
      </c>
      <c r="Y835" s="1">
        <f>VLOOKUP($E835,'Product Naming'!$A$1:$P$58,8,FALSE)</f>
        <v>1</v>
      </c>
      <c r="Z835" s="1">
        <f>VLOOKUP($E835,'Product Naming'!$A$1:$P$58,9,FALSE)</f>
        <v>0</v>
      </c>
      <c r="AA835" s="1">
        <f>VLOOKUP($E835,'Product Naming'!$A$1:$P$58,10,FALSE)</f>
        <v>0</v>
      </c>
      <c r="AB835" s="29">
        <f>VLOOKUP($E835,'Product Naming'!$A$1:$P$58,11,FALSE)</f>
        <v>6</v>
      </c>
      <c r="AC835" s="3">
        <f>VLOOKUP($E835,'Product Naming'!$A$1:$P$58,12,FALSE)</f>
        <v>60.093820000000001</v>
      </c>
      <c r="AD835" s="1">
        <f>VLOOKUP($E835,'Product Naming'!$A$1:$P$58,13,FALSE)</f>
        <v>97</v>
      </c>
      <c r="AE835" s="1" t="str">
        <f>VLOOKUP($E835,'Product Naming'!$A$1:$P$58,14,FALSE)</f>
        <v>Alcohol</v>
      </c>
      <c r="AF835" s="1" t="str">
        <f>VLOOKUP($E835,'Product Naming'!$A$1:$P$58,15,FALSE)</f>
        <v>Oxaloacetate</v>
      </c>
      <c r="AG835" s="30" t="str">
        <f>VLOOKUP($E835,'Product Naming'!$A$1:$P$58,16,FALSE)</f>
        <v>Proton symporter</v>
      </c>
      <c r="AH835" s="3" t="str">
        <f>VLOOKUP($E835,'Product Naming'!$A$1:$Q$58,17,FALSE)</f>
        <v>ppoh_c</v>
      </c>
      <c r="AI835" s="1">
        <f>VLOOKUP($E835,'Product Parameters'!$A$2:$D$59,2,FALSE)</f>
        <v>1</v>
      </c>
      <c r="AJ835" s="1">
        <f>VLOOKUP($E835,'Product Parameters'!$A$2:$D$59,3,FALSE)</f>
        <v>0</v>
      </c>
      <c r="AK835" s="1">
        <f>VLOOKUP($E835,'Product Parameters'!$A$2:$D$59,4,FALSE)</f>
        <v>0.12</v>
      </c>
      <c r="AL835" s="1">
        <f>VLOOKUP($E835,'Product Parameters'!$A$2:$E$59,5,FALSE)</f>
        <v>47</v>
      </c>
      <c r="AM835" s="1">
        <f>VLOOKUP($E835,'Product Parameters'!$A$2:$F$59,6,FALSE)</f>
        <v>3</v>
      </c>
      <c r="AN835" s="1">
        <f>VLOOKUP($C835,'Substrate Heating'!$A$2:$C$33,3,FALSE)</f>
        <v>2342.0279999999998</v>
      </c>
      <c r="AO835" s="1">
        <f>VLOOKUP($C835,'Substrate Heating'!$A$2:$B$33,2,FALSE)</f>
        <v>15.6</v>
      </c>
      <c r="AP835" s="1">
        <f>VLOOKUP($C835,'Substrate Heating'!$A$2:$M$33,13,FALSE)</f>
        <v>4</v>
      </c>
      <c r="AQ835" s="1">
        <f>VLOOKUP($C835,'Substrate Heating'!$A$2:$M$33,8,FALSE)</f>
        <v>5</v>
      </c>
      <c r="AR835" s="1">
        <f t="shared" ref="AR835:AR898" si="13">Q835*W835/AQ835</f>
        <v>0.59043037974683588</v>
      </c>
    </row>
    <row r="836" spans="1:44" x14ac:dyDescent="0.2">
      <c r="A836" s="8" t="s">
        <v>34</v>
      </c>
      <c r="B836" s="9" t="s">
        <v>35</v>
      </c>
      <c r="C836" s="1" t="s">
        <v>322</v>
      </c>
      <c r="D836" s="10" t="s">
        <v>37</v>
      </c>
      <c r="E836" s="1" t="s">
        <v>240</v>
      </c>
      <c r="F836" s="1" t="s">
        <v>241</v>
      </c>
      <c r="G836" s="1">
        <v>-10</v>
      </c>
      <c r="H836" s="1">
        <v>-20</v>
      </c>
      <c r="I836" s="1" t="s">
        <v>40</v>
      </c>
      <c r="J836" s="1">
        <v>3.15</v>
      </c>
      <c r="K836" s="1">
        <v>-10</v>
      </c>
      <c r="L836" s="1">
        <v>-3.7431578947368398</v>
      </c>
      <c r="M836" s="1" t="s">
        <v>40</v>
      </c>
      <c r="N836" s="1">
        <v>9.1621052631578994</v>
      </c>
      <c r="O836" s="1">
        <v>2.70947368421053</v>
      </c>
      <c r="Q836" s="1">
        <v>0.27094736842105299</v>
      </c>
      <c r="R836" s="1">
        <v>0.39525383728882102</v>
      </c>
      <c r="S836" s="1" t="str">
        <f>VLOOKUP($E836,'Product Naming'!$A$1:$P$58,2,FALSE)</f>
        <v>Isobutanol</v>
      </c>
      <c r="T836" s="1" t="str">
        <f>VLOOKUP($E836,'Product Naming'!$A$1:$P$58,3,FALSE)</f>
        <v>Isobutanol</v>
      </c>
      <c r="U836" s="1" t="str">
        <f>VLOOKUP($E836,'Product Naming'!$A$1:$P$58,4,FALSE)</f>
        <v>E</v>
      </c>
      <c r="V836" s="1" t="str">
        <f>VLOOKUP($E836,'Product Naming'!$A$1:$P$58,5,FALSE)</f>
        <v>C5H10O</v>
      </c>
      <c r="W836" s="1">
        <f>VLOOKUP($E836,'Product Naming'!$A$1:$P$58,6,FALSE)</f>
        <v>5</v>
      </c>
      <c r="X836" s="1">
        <f>VLOOKUP($E836,'Product Naming'!$A$1:$P$58,7,FALSE)</f>
        <v>10</v>
      </c>
      <c r="Y836" s="1">
        <f>VLOOKUP($E836,'Product Naming'!$A$1:$P$58,8,FALSE)</f>
        <v>1</v>
      </c>
      <c r="Z836" s="1">
        <f>VLOOKUP($E836,'Product Naming'!$A$1:$P$58,9,FALSE)</f>
        <v>0</v>
      </c>
      <c r="AA836" s="1">
        <f>VLOOKUP($E836,'Product Naming'!$A$1:$P$58,10,FALSE)</f>
        <v>0</v>
      </c>
      <c r="AB836" s="29">
        <f>VLOOKUP($E836,'Product Naming'!$A$1:$P$58,11,FALSE)</f>
        <v>5.6</v>
      </c>
      <c r="AC836" s="3">
        <f>VLOOKUP($E836,'Product Naming'!$A$1:$P$58,12,FALSE)</f>
        <v>86.130899999999997</v>
      </c>
      <c r="AD836" s="1">
        <f>VLOOKUP($E836,'Product Naming'!$A$1:$P$58,13,FALSE)</f>
        <v>108</v>
      </c>
      <c r="AE836" s="1" t="str">
        <f>VLOOKUP($E836,'Product Naming'!$A$1:$P$58,14,FALSE)</f>
        <v>Alcohol</v>
      </c>
      <c r="AF836" s="1" t="str">
        <f>VLOOKUP($E836,'Product Naming'!$A$1:$P$58,15,FALSE)</f>
        <v>Pyruvate</v>
      </c>
      <c r="AG836" s="30" t="str">
        <f>VLOOKUP($E836,'Product Naming'!$A$1:$P$58,16,FALSE)</f>
        <v>Proton symporter</v>
      </c>
      <c r="AH836" s="3" t="str">
        <f>VLOOKUP($E836,'Product Naming'!$A$1:$Q$58,17,FALSE)</f>
        <v>ibutoh_c</v>
      </c>
      <c r="AI836" s="1">
        <f>VLOOKUP($E836,'Product Parameters'!$A$2:$D$59,2,FALSE)</f>
        <v>1</v>
      </c>
      <c r="AJ836" s="1">
        <f>VLOOKUP($E836,'Product Parameters'!$A$2:$D$59,3,FALSE)</f>
        <v>0</v>
      </c>
      <c r="AK836" s="1">
        <f>VLOOKUP($E836,'Product Parameters'!$A$2:$D$59,4,FALSE)</f>
        <v>0.12</v>
      </c>
      <c r="AL836" s="1">
        <f>VLOOKUP($E836,'Product Parameters'!$A$2:$E$59,5,FALSE)</f>
        <v>51</v>
      </c>
      <c r="AM836" s="1">
        <f>VLOOKUP($E836,'Product Parameters'!$A$2:$F$59,6,FALSE)</f>
        <v>5</v>
      </c>
      <c r="AN836" s="1">
        <f>VLOOKUP($C836,'Substrate Heating'!$A$2:$C$33,3,FALSE)</f>
        <v>876.74109599999997</v>
      </c>
      <c r="AO836" s="1">
        <f>VLOOKUP($C836,'Substrate Heating'!$A$2:$B$33,2,FALSE)</f>
        <v>14.6</v>
      </c>
      <c r="AP836" s="1">
        <f>VLOOKUP($C836,'Substrate Heating'!$A$2:$M$33,13,FALSE)</f>
        <v>3.5</v>
      </c>
      <c r="AQ836" s="1">
        <f>VLOOKUP($C836,'Substrate Heating'!$A$2:$M$33,8,FALSE)</f>
        <v>2</v>
      </c>
      <c r="AR836" s="1">
        <f t="shared" si="13"/>
        <v>0.67736842105263251</v>
      </c>
    </row>
    <row r="837" spans="1:44" x14ac:dyDescent="0.2">
      <c r="A837" s="17" t="s">
        <v>323</v>
      </c>
      <c r="B837" s="18" t="s">
        <v>324</v>
      </c>
      <c r="C837" t="s">
        <v>335</v>
      </c>
      <c r="D837" s="19" t="s">
        <v>326</v>
      </c>
      <c r="E837" t="s">
        <v>60</v>
      </c>
      <c r="F837" t="s">
        <v>61</v>
      </c>
      <c r="G837">
        <v>-10</v>
      </c>
      <c r="H837">
        <v>0</v>
      </c>
      <c r="I837">
        <v>-10</v>
      </c>
      <c r="J837">
        <v>0.45</v>
      </c>
      <c r="K837">
        <v>-10</v>
      </c>
      <c r="L837">
        <v>0</v>
      </c>
      <c r="M837">
        <v>-10</v>
      </c>
      <c r="N837">
        <v>2.5</v>
      </c>
      <c r="O837">
        <v>2.5</v>
      </c>
      <c r="P837"/>
      <c r="Q837">
        <v>0.25</v>
      </c>
      <c r="R837">
        <v>0.39590766624488</v>
      </c>
      <c r="S837" s="1" t="str">
        <f>VLOOKUP($E837,'Product Naming'!$A$1:$P$58,2,FALSE)</f>
        <v>1-3-Propanediol</v>
      </c>
      <c r="T837" s="1" t="str">
        <f>VLOOKUP($E837,'Product Naming'!$A$1:$P$58,3,FALSE)</f>
        <v>1,3-Propanediol</v>
      </c>
      <c r="U837" s="1" t="str">
        <f>VLOOKUP($E837,'Product Naming'!$A$1:$P$58,4,FALSE)</f>
        <v>A</v>
      </c>
      <c r="V837" s="1" t="str">
        <f>VLOOKUP($E837,'Product Naming'!$A$1:$P$58,5,FALSE)</f>
        <v>C3H8O2</v>
      </c>
      <c r="W837" s="1">
        <f>VLOOKUP($E837,'Product Naming'!$A$1:$P$58,6,FALSE)</f>
        <v>3</v>
      </c>
      <c r="X837" s="1">
        <f>VLOOKUP($E837,'Product Naming'!$A$1:$P$58,7,FALSE)</f>
        <v>8</v>
      </c>
      <c r="Y837" s="1">
        <f>VLOOKUP($E837,'Product Naming'!$A$1:$P$58,8,FALSE)</f>
        <v>2</v>
      </c>
      <c r="Z837" s="1">
        <f>VLOOKUP($E837,'Product Naming'!$A$1:$P$58,9,FALSE)</f>
        <v>0</v>
      </c>
      <c r="AA837" s="1">
        <f>VLOOKUP($E837,'Product Naming'!$A$1:$P$58,10,FALSE)</f>
        <v>0</v>
      </c>
      <c r="AB837" s="29">
        <f>VLOOKUP($E837,'Product Naming'!$A$1:$P$58,11,FALSE)</f>
        <v>5.333333333333333</v>
      </c>
      <c r="AC837" s="3">
        <f>VLOOKUP($E837,'Product Naming'!$A$1:$P$58,12,FALSE)</f>
        <v>76.092820000000003</v>
      </c>
      <c r="AD837" s="1">
        <f>VLOOKUP($E837,'Product Naming'!$A$1:$P$58,13,FALSE)</f>
        <v>213</v>
      </c>
      <c r="AE837" s="1" t="str">
        <f>VLOOKUP($E837,'Product Naming'!$A$1:$P$58,14,FALSE)</f>
        <v>Diol</v>
      </c>
      <c r="AF837" s="1" t="str">
        <f>VLOOKUP($E837,'Product Naming'!$A$1:$P$58,15,FALSE)</f>
        <v>Glyceraldehyde 3-P</v>
      </c>
      <c r="AG837" s="30" t="str">
        <f>VLOOKUP($E837,'Product Naming'!$A$1:$P$58,16,FALSE)</f>
        <v>Proton symporter</v>
      </c>
      <c r="AH837" s="3" t="str">
        <f>VLOOKUP($E837,'Product Naming'!$A$1:$Q$58,17,FALSE)</f>
        <v>13ppd_c</v>
      </c>
      <c r="AI837" s="1">
        <f>VLOOKUP($E837,'Product Parameters'!$A$2:$D$59,2,FALSE)</f>
        <v>1</v>
      </c>
      <c r="AJ837" s="1">
        <f>VLOOKUP($E837,'Product Parameters'!$A$2:$D$59,3,FALSE)</f>
        <v>0</v>
      </c>
      <c r="AK837" s="1">
        <f>VLOOKUP($E837,'Product Parameters'!$A$2:$D$59,4,FALSE)</f>
        <v>0.12</v>
      </c>
      <c r="AL837" s="1">
        <f>VLOOKUP($E837,'Product Parameters'!$A$2:$E$59,5,FALSE)</f>
        <v>70</v>
      </c>
      <c r="AM837" s="1">
        <f>VLOOKUP($E837,'Product Parameters'!$A$2:$F$59,6,FALSE)</f>
        <v>3</v>
      </c>
      <c r="AN837" s="1">
        <f>VLOOKUP($C837,'Substrate Heating'!$A$2:$C$33,3,FALSE)</f>
        <v>247.9</v>
      </c>
      <c r="AO837" s="1">
        <f>VLOOKUP($C837,'Substrate Heating'!$A$2:$B$33,2,FALSE)</f>
        <v>10.541709491918519</v>
      </c>
      <c r="AP837" s="1">
        <f>VLOOKUP($C837,'Substrate Heating'!$A$2:$M$33,13,FALSE)</f>
        <v>0.5</v>
      </c>
      <c r="AQ837" s="1">
        <f>VLOOKUP($C837,'Substrate Heating'!$A$2:$M$33,8,FALSE)</f>
        <v>0.5</v>
      </c>
      <c r="AR837" s="1">
        <f t="shared" si="13"/>
        <v>1.5</v>
      </c>
    </row>
    <row r="838" spans="1:44" x14ac:dyDescent="0.2">
      <c r="A838" s="8" t="s">
        <v>34</v>
      </c>
      <c r="B838" s="9" t="s">
        <v>35</v>
      </c>
      <c r="C838" s="1" t="s">
        <v>348</v>
      </c>
      <c r="D838" s="23" t="s">
        <v>338</v>
      </c>
      <c r="E838" s="1" t="s">
        <v>251</v>
      </c>
      <c r="F838" s="1" t="s">
        <v>252</v>
      </c>
      <c r="G838" s="1">
        <v>-10</v>
      </c>
      <c r="H838" s="1">
        <v>-20</v>
      </c>
      <c r="I838" s="1" t="s">
        <v>40</v>
      </c>
      <c r="J838" s="1">
        <v>3.15</v>
      </c>
      <c r="K838" s="1">
        <v>-10</v>
      </c>
      <c r="L838" s="1">
        <v>-5.4964285714285399</v>
      </c>
      <c r="M838" s="1" t="s">
        <v>40</v>
      </c>
      <c r="N838" s="1">
        <v>3.6642857142857399</v>
      </c>
      <c r="O838" s="1">
        <v>2.1119047619047802</v>
      </c>
      <c r="Q838" s="1">
        <v>0.21119047619047801</v>
      </c>
      <c r="R838" s="1">
        <v>0.39609308998843601</v>
      </c>
      <c r="S838" s="1" t="str">
        <f>VLOOKUP($E838,'Product Naming'!$A$1:$P$58,2,FALSE)</f>
        <v>Isopropanol</v>
      </c>
      <c r="T838" s="1" t="str">
        <f>VLOOKUP($E838,'Product Naming'!$A$1:$P$58,3,FALSE)</f>
        <v>Isopropanol</v>
      </c>
      <c r="U838" s="1" t="str">
        <f>VLOOKUP($E838,'Product Naming'!$A$1:$P$58,4,FALSE)</f>
        <v>A</v>
      </c>
      <c r="V838" s="1" t="str">
        <f>VLOOKUP($E838,'Product Naming'!$A$1:$P$58,5,FALSE)</f>
        <v>C3H8O</v>
      </c>
      <c r="W838" s="1">
        <f>VLOOKUP($E838,'Product Naming'!$A$1:$P$58,6,FALSE)</f>
        <v>3</v>
      </c>
      <c r="X838" s="1">
        <f>VLOOKUP($E838,'Product Naming'!$A$1:$P$58,7,FALSE)</f>
        <v>8</v>
      </c>
      <c r="Y838" s="1">
        <f>VLOOKUP($E838,'Product Naming'!$A$1:$P$58,8,FALSE)</f>
        <v>1</v>
      </c>
      <c r="Z838" s="1">
        <f>VLOOKUP($E838,'Product Naming'!$A$1:$P$58,9,FALSE)</f>
        <v>0</v>
      </c>
      <c r="AA838" s="1">
        <f>VLOOKUP($E838,'Product Naming'!$A$1:$P$58,10,FALSE)</f>
        <v>0</v>
      </c>
      <c r="AB838" s="29">
        <f>VLOOKUP($E838,'Product Naming'!$A$1:$P$58,11,FALSE)</f>
        <v>6</v>
      </c>
      <c r="AC838" s="3">
        <f>VLOOKUP($E838,'Product Naming'!$A$1:$P$58,12,FALSE)</f>
        <v>60.093820000000001</v>
      </c>
      <c r="AD838" s="1">
        <f>VLOOKUP($E838,'Product Naming'!$A$1:$P$58,13,FALSE)</f>
        <v>82.5</v>
      </c>
      <c r="AE838" s="1" t="str">
        <f>VLOOKUP($E838,'Product Naming'!$A$1:$P$58,14,FALSE)</f>
        <v>Alcohol</v>
      </c>
      <c r="AF838" s="1" t="str">
        <f>VLOOKUP($E838,'Product Naming'!$A$1:$P$58,15,FALSE)</f>
        <v>Acetyl-CoA</v>
      </c>
      <c r="AG838" s="30" t="str">
        <f>VLOOKUP($E838,'Product Naming'!$A$1:$P$58,16,FALSE)</f>
        <v>Proton symporter</v>
      </c>
      <c r="AH838" s="3" t="str">
        <f>VLOOKUP($E838,'Product Naming'!$A$1:$Q$58,17,FALSE)</f>
        <v>2ppoh_c</v>
      </c>
      <c r="AI838" s="1">
        <f>VLOOKUP($E838,'Product Parameters'!$A$2:$D$59,2,FALSE)</f>
        <v>1</v>
      </c>
      <c r="AJ838" s="1">
        <f>VLOOKUP($E838,'Product Parameters'!$A$2:$D$59,3,FALSE)</f>
        <v>0</v>
      </c>
      <c r="AK838" s="1">
        <f>VLOOKUP($E838,'Product Parameters'!$A$2:$D$59,4,FALSE)</f>
        <v>0.12</v>
      </c>
      <c r="AL838" s="1">
        <f>VLOOKUP($E838,'Product Parameters'!$A$2:$E$59,5,FALSE)</f>
        <v>45</v>
      </c>
      <c r="AM838" s="1">
        <f>VLOOKUP($E838,'Product Parameters'!$A$2:$F$59,6,FALSE)</f>
        <v>3</v>
      </c>
      <c r="AN838" s="1">
        <f>VLOOKUP($C838,'Substrate Heating'!$A$2:$C$33,3,FALSE)</f>
        <v>638.57832580000002</v>
      </c>
      <c r="AO838" s="1">
        <f>VLOOKUP($C838,'Substrate Heating'!$A$2:$B$33,2,FALSE)</f>
        <v>19.93</v>
      </c>
      <c r="AP838" s="1">
        <f>VLOOKUP($C838,'Substrate Heating'!$A$2:$M$33,13,FALSE)</f>
        <v>6</v>
      </c>
      <c r="AQ838" s="1">
        <f>VLOOKUP($C838,'Substrate Heating'!$A$2:$M$33,8,FALSE)</f>
        <v>1</v>
      </c>
      <c r="AR838" s="1">
        <f t="shared" si="13"/>
        <v>0.633571428571434</v>
      </c>
    </row>
    <row r="839" spans="1:44" x14ac:dyDescent="0.2">
      <c r="A839" s="8" t="s">
        <v>34</v>
      </c>
      <c r="B839" s="9" t="s">
        <v>35</v>
      </c>
      <c r="C839" s="1" t="s">
        <v>341</v>
      </c>
      <c r="D839" s="24" t="s">
        <v>342</v>
      </c>
      <c r="E839" s="1" t="s">
        <v>81</v>
      </c>
      <c r="F839" s="1" t="s">
        <v>73</v>
      </c>
      <c r="G839" s="1">
        <v>-10</v>
      </c>
      <c r="H839" s="1">
        <v>-20</v>
      </c>
      <c r="I839" s="1" t="s">
        <v>40</v>
      </c>
      <c r="J839" s="1">
        <v>3.15</v>
      </c>
      <c r="K839" s="1">
        <v>-10</v>
      </c>
      <c r="L839" s="1">
        <v>-6.4566831683168298</v>
      </c>
      <c r="M839" s="1" t="s">
        <v>40</v>
      </c>
      <c r="N839" s="1">
        <v>24.304455445544601</v>
      </c>
      <c r="O839" s="1">
        <v>11.898514851485199</v>
      </c>
      <c r="Q839" s="1">
        <v>1.18985148514852</v>
      </c>
      <c r="R839" s="1">
        <v>0.396901560031589</v>
      </c>
      <c r="S839" s="1" t="str">
        <f>VLOOKUP($E839,'Product Naming'!$A$1:$P$58,2,FALSE)</f>
        <v>1-propanol-PW2</v>
      </c>
      <c r="T839" s="1" t="str">
        <f>VLOOKUP($E839,'Product Naming'!$A$1:$P$58,3,FALSE)</f>
        <v>1-Propanol (PW2)</v>
      </c>
      <c r="U839" s="1" t="str">
        <f>VLOOKUP($E839,'Product Naming'!$A$1:$P$58,4,FALSE)</f>
        <v>E-S</v>
      </c>
      <c r="V839" s="1" t="str">
        <f>VLOOKUP($E839,'Product Naming'!$A$1:$P$58,5,FALSE)</f>
        <v>C3H8O</v>
      </c>
      <c r="W839" s="1">
        <f>VLOOKUP($E839,'Product Naming'!$A$1:$P$58,6,FALSE)</f>
        <v>3</v>
      </c>
      <c r="X839" s="1">
        <f>VLOOKUP($E839,'Product Naming'!$A$1:$P$58,7,FALSE)</f>
        <v>8</v>
      </c>
      <c r="Y839" s="1">
        <f>VLOOKUP($E839,'Product Naming'!$A$1:$P$58,8,FALSE)</f>
        <v>1</v>
      </c>
      <c r="Z839" s="1">
        <f>VLOOKUP($E839,'Product Naming'!$A$1:$P$58,9,FALSE)</f>
        <v>0</v>
      </c>
      <c r="AA839" s="1">
        <f>VLOOKUP($E839,'Product Naming'!$A$1:$P$58,10,FALSE)</f>
        <v>0</v>
      </c>
      <c r="AB839" s="29">
        <f>VLOOKUP($E839,'Product Naming'!$A$1:$P$58,11,FALSE)</f>
        <v>6</v>
      </c>
      <c r="AC839" s="3">
        <f>VLOOKUP($E839,'Product Naming'!$A$1:$P$58,12,FALSE)</f>
        <v>60.093820000000001</v>
      </c>
      <c r="AD839" s="1">
        <f>VLOOKUP($E839,'Product Naming'!$A$1:$P$58,13,FALSE)</f>
        <v>97</v>
      </c>
      <c r="AE839" s="1" t="str">
        <f>VLOOKUP($E839,'Product Naming'!$A$1:$P$58,14,FALSE)</f>
        <v>Alcohol</v>
      </c>
      <c r="AF839" s="1" t="str">
        <f>VLOOKUP($E839,'Product Naming'!$A$1:$P$58,15,FALSE)</f>
        <v>Oxaloacetate</v>
      </c>
      <c r="AG839" s="30" t="str">
        <f>VLOOKUP($E839,'Product Naming'!$A$1:$P$58,16,FALSE)</f>
        <v>Proton symporter</v>
      </c>
      <c r="AH839" s="3" t="str">
        <f>VLOOKUP($E839,'Product Naming'!$A$1:$Q$58,17,FALSE)</f>
        <v>ppoh_c</v>
      </c>
      <c r="AI839" s="1">
        <f>VLOOKUP($E839,'Product Parameters'!$A$2:$D$59,2,FALSE)</f>
        <v>1</v>
      </c>
      <c r="AJ839" s="1">
        <f>VLOOKUP($E839,'Product Parameters'!$A$2:$D$59,3,FALSE)</f>
        <v>0</v>
      </c>
      <c r="AK839" s="1">
        <f>VLOOKUP($E839,'Product Parameters'!$A$2:$D$59,4,FALSE)</f>
        <v>0.12</v>
      </c>
      <c r="AL839" s="1">
        <f>VLOOKUP($E839,'Product Parameters'!$A$2:$E$59,5,FALSE)</f>
        <v>47</v>
      </c>
      <c r="AM839" s="1">
        <f>VLOOKUP($E839,'Product Parameters'!$A$2:$F$59,6,FALSE)</f>
        <v>3</v>
      </c>
      <c r="AN839" s="1">
        <f>VLOOKUP($C839,'Substrate Heating'!$A$2:$C$33,3,FALSE)</f>
        <v>2828.4492</v>
      </c>
      <c r="AO839" s="1">
        <f>VLOOKUP($C839,'Substrate Heating'!$A$2:$B$33,2,FALSE)</f>
        <v>15.7</v>
      </c>
      <c r="AP839" s="1">
        <f>VLOOKUP($C839,'Substrate Heating'!$A$2:$M$33,13,FALSE)</f>
        <v>4</v>
      </c>
      <c r="AQ839" s="1">
        <f>VLOOKUP($C839,'Substrate Heating'!$A$2:$M$33,8,FALSE)</f>
        <v>6</v>
      </c>
      <c r="AR839" s="1">
        <f t="shared" si="13"/>
        <v>0.59492574257426001</v>
      </c>
    </row>
    <row r="840" spans="1:44" x14ac:dyDescent="0.2">
      <c r="A840" s="8" t="s">
        <v>34</v>
      </c>
      <c r="B840" s="9" t="s">
        <v>35</v>
      </c>
      <c r="C840" s="1" t="s">
        <v>322</v>
      </c>
      <c r="D840" s="10" t="s">
        <v>37</v>
      </c>
      <c r="E840" s="1" t="s">
        <v>251</v>
      </c>
      <c r="F840" s="1" t="s">
        <v>252</v>
      </c>
      <c r="G840" s="1">
        <v>-10</v>
      </c>
      <c r="H840" s="1">
        <v>-20</v>
      </c>
      <c r="I840" s="1" t="s">
        <v>40</v>
      </c>
      <c r="J840" s="1">
        <v>3.15</v>
      </c>
      <c r="K840" s="1">
        <v>-10</v>
      </c>
      <c r="L840" s="1">
        <v>-2.4500000000000002</v>
      </c>
      <c r="M840" s="1" t="s">
        <v>40</v>
      </c>
      <c r="N840" s="1">
        <v>8.3000000000000007</v>
      </c>
      <c r="O840" s="1">
        <v>3.9</v>
      </c>
      <c r="Q840" s="1">
        <v>0.39</v>
      </c>
      <c r="R840" s="1">
        <v>0.39694157741520902</v>
      </c>
      <c r="S840" s="1" t="str">
        <f>VLOOKUP($E840,'Product Naming'!$A$1:$P$58,2,FALSE)</f>
        <v>Isopropanol</v>
      </c>
      <c r="T840" s="1" t="str">
        <f>VLOOKUP($E840,'Product Naming'!$A$1:$P$58,3,FALSE)</f>
        <v>Isopropanol</v>
      </c>
      <c r="U840" s="1" t="str">
        <f>VLOOKUP($E840,'Product Naming'!$A$1:$P$58,4,FALSE)</f>
        <v>A</v>
      </c>
      <c r="V840" s="1" t="str">
        <f>VLOOKUP($E840,'Product Naming'!$A$1:$P$58,5,FALSE)</f>
        <v>C3H8O</v>
      </c>
      <c r="W840" s="1">
        <f>VLOOKUP($E840,'Product Naming'!$A$1:$P$58,6,FALSE)</f>
        <v>3</v>
      </c>
      <c r="X840" s="1">
        <f>VLOOKUP($E840,'Product Naming'!$A$1:$P$58,7,FALSE)</f>
        <v>8</v>
      </c>
      <c r="Y840" s="1">
        <f>VLOOKUP($E840,'Product Naming'!$A$1:$P$58,8,FALSE)</f>
        <v>1</v>
      </c>
      <c r="Z840" s="1">
        <f>VLOOKUP($E840,'Product Naming'!$A$1:$P$58,9,FALSE)</f>
        <v>0</v>
      </c>
      <c r="AA840" s="1">
        <f>VLOOKUP($E840,'Product Naming'!$A$1:$P$58,10,FALSE)</f>
        <v>0</v>
      </c>
      <c r="AB840" s="29">
        <f>VLOOKUP($E840,'Product Naming'!$A$1:$P$58,11,FALSE)</f>
        <v>6</v>
      </c>
      <c r="AC840" s="3">
        <f>VLOOKUP($E840,'Product Naming'!$A$1:$P$58,12,FALSE)</f>
        <v>60.093820000000001</v>
      </c>
      <c r="AD840" s="1">
        <f>VLOOKUP($E840,'Product Naming'!$A$1:$P$58,13,FALSE)</f>
        <v>82.5</v>
      </c>
      <c r="AE840" s="1" t="str">
        <f>VLOOKUP($E840,'Product Naming'!$A$1:$P$58,14,FALSE)</f>
        <v>Alcohol</v>
      </c>
      <c r="AF840" s="1" t="str">
        <f>VLOOKUP($E840,'Product Naming'!$A$1:$P$58,15,FALSE)</f>
        <v>Acetyl-CoA</v>
      </c>
      <c r="AG840" s="30" t="str">
        <f>VLOOKUP($E840,'Product Naming'!$A$1:$P$58,16,FALSE)</f>
        <v>Proton symporter</v>
      </c>
      <c r="AH840" s="3" t="str">
        <f>VLOOKUP($E840,'Product Naming'!$A$1:$Q$58,17,FALSE)</f>
        <v>2ppoh_c</v>
      </c>
      <c r="AI840" s="1">
        <f>VLOOKUP($E840,'Product Parameters'!$A$2:$D$59,2,FALSE)</f>
        <v>1</v>
      </c>
      <c r="AJ840" s="1">
        <f>VLOOKUP($E840,'Product Parameters'!$A$2:$D$59,3,FALSE)</f>
        <v>0</v>
      </c>
      <c r="AK840" s="1">
        <f>VLOOKUP($E840,'Product Parameters'!$A$2:$D$59,4,FALSE)</f>
        <v>0.12</v>
      </c>
      <c r="AL840" s="1">
        <f>VLOOKUP($E840,'Product Parameters'!$A$2:$E$59,5,FALSE)</f>
        <v>45</v>
      </c>
      <c r="AM840" s="1">
        <f>VLOOKUP($E840,'Product Parameters'!$A$2:$F$59,6,FALSE)</f>
        <v>3</v>
      </c>
      <c r="AN840" s="1">
        <f>VLOOKUP($C840,'Substrate Heating'!$A$2:$C$33,3,FALSE)</f>
        <v>876.74109599999997</v>
      </c>
      <c r="AO840" s="1">
        <f>VLOOKUP($C840,'Substrate Heating'!$A$2:$B$33,2,FALSE)</f>
        <v>14.6</v>
      </c>
      <c r="AP840" s="1">
        <f>VLOOKUP($C840,'Substrate Heating'!$A$2:$M$33,13,FALSE)</f>
        <v>3.5</v>
      </c>
      <c r="AQ840" s="1">
        <f>VLOOKUP($C840,'Substrate Heating'!$A$2:$M$33,8,FALSE)</f>
        <v>2</v>
      </c>
      <c r="AR840" s="1">
        <f t="shared" si="13"/>
        <v>0.58499999999999996</v>
      </c>
    </row>
    <row r="841" spans="1:44" x14ac:dyDescent="0.2">
      <c r="A841" s="17" t="s">
        <v>323</v>
      </c>
      <c r="B841" s="18" t="s">
        <v>324</v>
      </c>
      <c r="C841" t="s">
        <v>335</v>
      </c>
      <c r="D841" s="19" t="s">
        <v>326</v>
      </c>
      <c r="E841" t="s">
        <v>186</v>
      </c>
      <c r="F841" t="s">
        <v>187</v>
      </c>
      <c r="G841">
        <v>-10</v>
      </c>
      <c r="H841">
        <v>0</v>
      </c>
      <c r="I841">
        <v>-10</v>
      </c>
      <c r="J841">
        <v>0.45</v>
      </c>
      <c r="K841">
        <v>-10</v>
      </c>
      <c r="L841">
        <v>0</v>
      </c>
      <c r="M841">
        <v>-10</v>
      </c>
      <c r="N841">
        <v>0</v>
      </c>
      <c r="O841">
        <v>1.01111111111111</v>
      </c>
      <c r="P841"/>
      <c r="Q841">
        <v>0.101111111111111</v>
      </c>
      <c r="R841">
        <v>0.39791688403464498</v>
      </c>
      <c r="S841" s="1" t="str">
        <f>VLOOKUP($E841,'Product Naming'!$A$1:$P$58,2,FALSE)</f>
        <v>Citrate</v>
      </c>
      <c r="T841" s="1" t="str">
        <f>VLOOKUP($E841,'Product Naming'!$A$1:$P$58,3,FALSE)</f>
        <v>Citrate</v>
      </c>
      <c r="U841" s="1" t="str">
        <f>VLOOKUP($E841,'Product Naming'!$A$1:$P$58,4,FALSE)</f>
        <v>iJO1366</v>
      </c>
      <c r="V841" s="1" t="str">
        <f>VLOOKUP($E841,'Product Naming'!$A$1:$P$58,5,FALSE)</f>
        <v>C6H5O7</v>
      </c>
      <c r="W841" s="1">
        <f>VLOOKUP($E841,'Product Naming'!$A$1:$P$58,6,FALSE)</f>
        <v>6</v>
      </c>
      <c r="X841" s="1">
        <f>VLOOKUP($E841,'Product Naming'!$A$1:$P$58,7,FALSE)</f>
        <v>5</v>
      </c>
      <c r="Y841" s="1">
        <f>VLOOKUP($E841,'Product Naming'!$A$1:$P$58,8,FALSE)</f>
        <v>7</v>
      </c>
      <c r="Z841" s="1">
        <f>VLOOKUP($E841,'Product Naming'!$A$1:$P$58,9,FALSE)</f>
        <v>0</v>
      </c>
      <c r="AA841" s="1">
        <f>VLOOKUP($E841,'Product Naming'!$A$1:$P$58,10,FALSE)</f>
        <v>-3</v>
      </c>
      <c r="AB841" s="29">
        <f>VLOOKUP($E841,'Product Naming'!$A$1:$P$58,11,FALSE)</f>
        <v>2.5</v>
      </c>
      <c r="AC841" s="3">
        <f>VLOOKUP($E841,'Product Naming'!$A$1:$P$58,12,FALSE)</f>
        <v>189.09640000000002</v>
      </c>
      <c r="AD841" s="1" t="str">
        <f>VLOOKUP($E841,'Product Naming'!$A$1:$P$58,13,FALSE)</f>
        <v>NA</v>
      </c>
      <c r="AE841" s="1" t="str">
        <f>VLOOKUP($E841,'Product Naming'!$A$1:$P$58,14,FALSE)</f>
        <v>Tricarboxylate + Alcohol</v>
      </c>
      <c r="AF841" s="1" t="str">
        <f>VLOOKUP($E841,'Product Naming'!$A$1:$P$58,15,FALSE)</f>
        <v>Acetyl-CoA</v>
      </c>
      <c r="AG841" s="30" t="str">
        <f>VLOOKUP($E841,'Product Naming'!$A$1:$P$58,16,FALSE)</f>
        <v>Proton antiport</v>
      </c>
      <c r="AH841" s="3" t="str">
        <f>VLOOKUP($E841,'Product Naming'!$A$1:$Q$58,17,FALSE)</f>
        <v>cit_c</v>
      </c>
      <c r="AI841" s="1">
        <f>VLOOKUP($E841,'Product Parameters'!$A$2:$D$59,2,FALSE)</f>
        <v>1</v>
      </c>
      <c r="AJ841" s="1">
        <f>VLOOKUP($E841,'Product Parameters'!$A$2:$D$59,3,FALSE)</f>
        <v>0</v>
      </c>
      <c r="AK841" s="1">
        <f>VLOOKUP($E841,'Product Parameters'!$A$2:$D$59,4,FALSE)</f>
        <v>0.12</v>
      </c>
      <c r="AL841" s="1">
        <f>VLOOKUP($E841,'Product Parameters'!$A$2:$E$59,5,FALSE)</f>
        <v>40.65</v>
      </c>
      <c r="AM841" s="1">
        <f>VLOOKUP($E841,'Product Parameters'!$A$2:$F$59,6,FALSE)</f>
        <v>6</v>
      </c>
      <c r="AN841" s="1">
        <f>VLOOKUP($C841,'Substrate Heating'!$A$2:$C$33,3,FALSE)</f>
        <v>247.9</v>
      </c>
      <c r="AO841" s="1">
        <f>VLOOKUP($C841,'Substrate Heating'!$A$2:$B$33,2,FALSE)</f>
        <v>10.541709491918519</v>
      </c>
      <c r="AP841" s="1">
        <f>VLOOKUP($C841,'Substrate Heating'!$A$2:$M$33,13,FALSE)</f>
        <v>0.5</v>
      </c>
      <c r="AQ841" s="1">
        <f>VLOOKUP($C841,'Substrate Heating'!$A$2:$M$33,8,FALSE)</f>
        <v>0.5</v>
      </c>
      <c r="AR841" s="1">
        <f t="shared" si="13"/>
        <v>1.213333333333332</v>
      </c>
    </row>
    <row r="842" spans="1:44" x14ac:dyDescent="0.2">
      <c r="A842" s="8" t="s">
        <v>812</v>
      </c>
      <c r="B842" s="18" t="s">
        <v>324</v>
      </c>
      <c r="C842" t="s">
        <v>814</v>
      </c>
      <c r="E842" t="s">
        <v>72</v>
      </c>
      <c r="F842" t="s">
        <v>73</v>
      </c>
      <c r="G842">
        <v>-10</v>
      </c>
      <c r="H842">
        <v>0</v>
      </c>
      <c r="I842">
        <v>-10</v>
      </c>
      <c r="J842">
        <v>0.45</v>
      </c>
      <c r="K842">
        <v>-6.7882352941176398</v>
      </c>
      <c r="L842">
        <v>0</v>
      </c>
      <c r="M842">
        <v>-10</v>
      </c>
      <c r="N842">
        <v>0</v>
      </c>
      <c r="O842">
        <v>1.0705882352941101</v>
      </c>
      <c r="P842"/>
      <c r="Q842">
        <v>0.15771230502599601</v>
      </c>
      <c r="R842">
        <v>0.39851306132967801</v>
      </c>
      <c r="S842" s="1" t="str">
        <f>VLOOKUP($E842,'Product Naming'!$A$1:$P$58,2,FALSE)</f>
        <v>1-propanol-PW1</v>
      </c>
      <c r="T842" s="1" t="str">
        <f>VLOOKUP($E842,'Product Naming'!$A$1:$P$58,3,FALSE)</f>
        <v>1-Propanol (PW1)</v>
      </c>
      <c r="U842" s="1" t="str">
        <f>VLOOKUP($E842,'Product Naming'!$A$1:$P$58,4,FALSE)</f>
        <v>E-S</v>
      </c>
      <c r="V842" s="1" t="str">
        <f>VLOOKUP($E842,'Product Naming'!$A$1:$P$58,5,FALSE)</f>
        <v>C3H8O</v>
      </c>
      <c r="W842" s="1">
        <f>VLOOKUP($E842,'Product Naming'!$A$1:$P$58,6,FALSE)</f>
        <v>3</v>
      </c>
      <c r="X842" s="1">
        <f>VLOOKUP($E842,'Product Naming'!$A$1:$P$58,7,FALSE)</f>
        <v>8</v>
      </c>
      <c r="Y842" s="1">
        <f>VLOOKUP($E842,'Product Naming'!$A$1:$P$58,8,FALSE)</f>
        <v>1</v>
      </c>
      <c r="Z842" s="1">
        <f>VLOOKUP($E842,'Product Naming'!$A$1:$P$58,9,FALSE)</f>
        <v>0</v>
      </c>
      <c r="AA842" s="1">
        <f>VLOOKUP($E842,'Product Naming'!$A$1:$P$58,10,FALSE)</f>
        <v>0</v>
      </c>
      <c r="AB842" s="29">
        <f>VLOOKUP($E842,'Product Naming'!$A$1:$P$58,11,FALSE)</f>
        <v>6</v>
      </c>
      <c r="AC842" s="3">
        <f>VLOOKUP($E842,'Product Naming'!$A$1:$P$58,12,FALSE)</f>
        <v>60.093820000000001</v>
      </c>
      <c r="AD842" s="1">
        <f>VLOOKUP($E842,'Product Naming'!$A$1:$P$58,13,FALSE)</f>
        <v>97</v>
      </c>
      <c r="AE842" s="1" t="str">
        <f>VLOOKUP($E842,'Product Naming'!$A$1:$P$58,14,FALSE)</f>
        <v>Alcohol</v>
      </c>
      <c r="AF842" s="1" t="str">
        <f>VLOOKUP($E842,'Product Naming'!$A$1:$P$58,15,FALSE)</f>
        <v>Glyceraldehyde 3-P (--&gt;DHAP)</v>
      </c>
      <c r="AG842" s="30" t="str">
        <f>VLOOKUP($E842,'Product Naming'!$A$1:$P$58,16,FALSE)</f>
        <v>Proton symporter</v>
      </c>
      <c r="AH842" s="3" t="str">
        <f>VLOOKUP($E842,'Product Naming'!$A$1:$Q$58,17,FALSE)</f>
        <v>ppoh_c</v>
      </c>
      <c r="AI842" s="1">
        <f>VLOOKUP($E842,'Product Parameters'!$A$2:$D$59,2,FALSE)</f>
        <v>1</v>
      </c>
      <c r="AJ842" s="1">
        <f>VLOOKUP($E842,'Product Parameters'!$A$2:$D$59,3,FALSE)</f>
        <v>0</v>
      </c>
      <c r="AK842" s="1">
        <f>VLOOKUP($E842,'Product Parameters'!$A$2:$D$59,4,FALSE)</f>
        <v>0.12</v>
      </c>
      <c r="AL842" s="1">
        <f>VLOOKUP($E842,'Product Parameters'!$A$2:$E$59,5,FALSE)</f>
        <v>47</v>
      </c>
      <c r="AM842" s="1">
        <f>VLOOKUP($E842,'Product Parameters'!$A$2:$F$59,6,FALSE)</f>
        <v>3</v>
      </c>
      <c r="AN842" s="1">
        <f>VLOOKUP($C842,'Substrate Heating'!$A$2:$C$33,3,FALSE)</f>
        <v>209.92000000000002</v>
      </c>
      <c r="AO842" s="1">
        <f>VLOOKUP($C842,'Substrate Heating'!$A$2:$B$33,2,FALSE)</f>
        <v>10.086540906516333</v>
      </c>
      <c r="AP842" s="1">
        <f>VLOOKUP($C842,'Substrate Heating'!$A$2:$M$33,13,FALSE)</f>
        <v>0.8</v>
      </c>
      <c r="AQ842" s="1">
        <f>VLOOKUP($C842,'Substrate Heating'!$A$2:$M$33,8,FALSE)</f>
        <v>0.8</v>
      </c>
      <c r="AR842" s="1">
        <f t="shared" si="13"/>
        <v>0.59142114384748501</v>
      </c>
    </row>
    <row r="843" spans="1:44" x14ac:dyDescent="0.2">
      <c r="A843" s="8" t="s">
        <v>34</v>
      </c>
      <c r="B843" s="9" t="s">
        <v>35</v>
      </c>
      <c r="C843" s="1" t="s">
        <v>322</v>
      </c>
      <c r="D843" s="10" t="s">
        <v>37</v>
      </c>
      <c r="E843" s="1" t="s">
        <v>114</v>
      </c>
      <c r="F843" s="1" t="s">
        <v>115</v>
      </c>
      <c r="G843" s="1">
        <v>-10</v>
      </c>
      <c r="H843" s="1">
        <v>-20</v>
      </c>
      <c r="I843" s="1" t="s">
        <v>40</v>
      </c>
      <c r="J843" s="1">
        <v>3.15</v>
      </c>
      <c r="K843" s="1">
        <v>-10</v>
      </c>
      <c r="L843" s="1">
        <v>-7.9343750000000002</v>
      </c>
      <c r="M843" s="1" t="s">
        <v>40</v>
      </c>
      <c r="N843" s="1">
        <v>9.9453124999999893</v>
      </c>
      <c r="O843" s="1">
        <v>2.0109374999999998</v>
      </c>
      <c r="Q843" s="1">
        <v>0.20109374999999999</v>
      </c>
      <c r="R843" s="1">
        <v>0.398981194210076</v>
      </c>
      <c r="S843" s="1" t="str">
        <f>VLOOKUP($E843,'Product Naming'!$A$1:$P$58,2,FALSE)</f>
        <v>5-Aminopentanoate</v>
      </c>
      <c r="T843" s="1" t="str">
        <f>VLOOKUP($E843,'Product Naming'!$A$1:$P$58,3,FALSE)</f>
        <v>5-Aminopentanoate</v>
      </c>
      <c r="U843" s="1" t="str">
        <f>VLOOKUP($E843,'Product Naming'!$A$1:$P$58,4,FALSE)</f>
        <v>A</v>
      </c>
      <c r="V843" s="1" t="str">
        <f>VLOOKUP($E843,'Product Naming'!$A$1:$P$58,5,FALSE)</f>
        <v>C5H11NO2</v>
      </c>
      <c r="W843" s="1">
        <f>VLOOKUP($E843,'Product Naming'!$A$1:$P$58,6,FALSE)</f>
        <v>5</v>
      </c>
      <c r="X843" s="1">
        <f>VLOOKUP($E843,'Product Naming'!$A$1:$P$58,7,FALSE)</f>
        <v>11</v>
      </c>
      <c r="Y843" s="1">
        <f>VLOOKUP($E843,'Product Naming'!$A$1:$P$58,8,FALSE)</f>
        <v>2</v>
      </c>
      <c r="Z843" s="1">
        <f>VLOOKUP($E843,'Product Naming'!$A$1:$P$58,9,FALSE)</f>
        <v>1</v>
      </c>
      <c r="AA843" s="1">
        <f>VLOOKUP($E843,'Product Naming'!$A$1:$P$58,10,FALSE)</f>
        <v>0</v>
      </c>
      <c r="AB843" s="29">
        <f>VLOOKUP($E843,'Product Naming'!$A$1:$P$58,11,FALSE)</f>
        <v>4.8</v>
      </c>
      <c r="AC843" s="3">
        <f>VLOOKUP($E843,'Product Naming'!$A$1:$P$58,12,FALSE)</f>
        <v>117.14444</v>
      </c>
      <c r="AD843" s="1">
        <f>VLOOKUP($E843,'Product Naming'!$A$1:$P$58,13,FALSE)</f>
        <v>247.5</v>
      </c>
      <c r="AE843" s="1" t="str">
        <f>VLOOKUP($E843,'Product Naming'!$A$1:$P$58,14,FALSE)</f>
        <v>D-Amino Acid</v>
      </c>
      <c r="AF843" s="1" t="str">
        <f>VLOOKUP($E843,'Product Naming'!$A$1:$P$58,15,FALSE)</f>
        <v>Oxaloacetate</v>
      </c>
      <c r="AG843" s="30" t="str">
        <f>VLOOKUP($E843,'Product Naming'!$A$1:$P$58,16,FALSE)</f>
        <v>Proton symporter</v>
      </c>
      <c r="AH843" s="3" t="str">
        <f>VLOOKUP($E843,'Product Naming'!$A$1:$Q$58,17,FALSE)</f>
        <v>5aptn_c</v>
      </c>
      <c r="AI843" s="1">
        <f>VLOOKUP($E843,'Product Parameters'!$A$2:$D$59,2,FALSE)</f>
        <v>1</v>
      </c>
      <c r="AJ843" s="1">
        <f>VLOOKUP($E843,'Product Parameters'!$A$2:$D$59,3,FALSE)</f>
        <v>0</v>
      </c>
      <c r="AK843" s="1">
        <f>VLOOKUP($E843,'Product Parameters'!$A$2:$D$59,4,FALSE)</f>
        <v>0.12</v>
      </c>
      <c r="AL843" s="1">
        <f>VLOOKUP($E843,'Product Parameters'!$A$2:$E$59,5,FALSE)</f>
        <v>40.65</v>
      </c>
      <c r="AM843" s="1">
        <f>VLOOKUP($E843,'Product Parameters'!$A$2:$F$59,6,FALSE)</f>
        <v>5</v>
      </c>
      <c r="AN843" s="1">
        <f>VLOOKUP($C843,'Substrate Heating'!$A$2:$C$33,3,FALSE)</f>
        <v>876.74109599999997</v>
      </c>
      <c r="AO843" s="1">
        <f>VLOOKUP($C843,'Substrate Heating'!$A$2:$B$33,2,FALSE)</f>
        <v>14.6</v>
      </c>
      <c r="AP843" s="1">
        <f>VLOOKUP($C843,'Substrate Heating'!$A$2:$M$33,13,FALSE)</f>
        <v>3.5</v>
      </c>
      <c r="AQ843" s="1">
        <f>VLOOKUP($C843,'Substrate Heating'!$A$2:$M$33,8,FALSE)</f>
        <v>2</v>
      </c>
      <c r="AR843" s="1">
        <f t="shared" si="13"/>
        <v>0.50273437499999996</v>
      </c>
    </row>
    <row r="844" spans="1:44" x14ac:dyDescent="0.2">
      <c r="A844" s="17" t="s">
        <v>323</v>
      </c>
      <c r="B844" s="18" t="s">
        <v>324</v>
      </c>
      <c r="C844" t="s">
        <v>336</v>
      </c>
      <c r="D844" s="19" t="s">
        <v>326</v>
      </c>
      <c r="E844" t="s">
        <v>251</v>
      </c>
      <c r="F844" t="s">
        <v>252</v>
      </c>
      <c r="G844">
        <v>-10</v>
      </c>
      <c r="H844">
        <v>0</v>
      </c>
      <c r="I844">
        <v>-20</v>
      </c>
      <c r="J844">
        <v>0.45</v>
      </c>
      <c r="K844">
        <v>-10</v>
      </c>
      <c r="L844">
        <v>0</v>
      </c>
      <c r="M844">
        <v>-20</v>
      </c>
      <c r="N844">
        <v>0</v>
      </c>
      <c r="O844">
        <v>3.3333333333333299</v>
      </c>
      <c r="P844"/>
      <c r="Q844">
        <v>0.33333333333333298</v>
      </c>
      <c r="R844" s="20">
        <v>0.400065375141468</v>
      </c>
      <c r="S844" s="1" t="str">
        <f>VLOOKUP($E844,'Product Naming'!$A$1:$P$58,2,FALSE)</f>
        <v>Isopropanol</v>
      </c>
      <c r="T844" s="1" t="str">
        <f>VLOOKUP($E844,'Product Naming'!$A$1:$P$58,3,FALSE)</f>
        <v>Isopropanol</v>
      </c>
      <c r="U844" s="1" t="str">
        <f>VLOOKUP($E844,'Product Naming'!$A$1:$P$58,4,FALSE)</f>
        <v>A</v>
      </c>
      <c r="V844" s="1" t="str">
        <f>VLOOKUP($E844,'Product Naming'!$A$1:$P$58,5,FALSE)</f>
        <v>C3H8O</v>
      </c>
      <c r="W844" s="1">
        <f>VLOOKUP($E844,'Product Naming'!$A$1:$P$58,6,FALSE)</f>
        <v>3</v>
      </c>
      <c r="X844" s="1">
        <f>VLOOKUP($E844,'Product Naming'!$A$1:$P$58,7,FALSE)</f>
        <v>8</v>
      </c>
      <c r="Y844" s="1">
        <f>VLOOKUP($E844,'Product Naming'!$A$1:$P$58,8,FALSE)</f>
        <v>1</v>
      </c>
      <c r="Z844" s="1">
        <f>VLOOKUP($E844,'Product Naming'!$A$1:$P$58,9,FALSE)</f>
        <v>0</v>
      </c>
      <c r="AA844" s="1">
        <f>VLOOKUP($E844,'Product Naming'!$A$1:$P$58,10,FALSE)</f>
        <v>0</v>
      </c>
      <c r="AB844" s="29">
        <f>VLOOKUP($E844,'Product Naming'!$A$1:$P$58,11,FALSE)</f>
        <v>6</v>
      </c>
      <c r="AC844" s="3">
        <f>VLOOKUP($E844,'Product Naming'!$A$1:$P$58,12,FALSE)</f>
        <v>60.093820000000001</v>
      </c>
      <c r="AD844" s="1">
        <f>VLOOKUP($E844,'Product Naming'!$A$1:$P$58,13,FALSE)</f>
        <v>82.5</v>
      </c>
      <c r="AE844" s="1" t="str">
        <f>VLOOKUP($E844,'Product Naming'!$A$1:$P$58,14,FALSE)</f>
        <v>Alcohol</v>
      </c>
      <c r="AF844" s="1" t="str">
        <f>VLOOKUP($E844,'Product Naming'!$A$1:$P$58,15,FALSE)</f>
        <v>Acetyl-CoA</v>
      </c>
      <c r="AG844" s="30" t="str">
        <f>VLOOKUP($E844,'Product Naming'!$A$1:$P$58,16,FALSE)</f>
        <v>Proton symporter</v>
      </c>
      <c r="AH844" s="3" t="str">
        <f>VLOOKUP($E844,'Product Naming'!$A$1:$Q$58,17,FALSE)</f>
        <v>2ppoh_c</v>
      </c>
      <c r="AI844" s="1">
        <f>VLOOKUP($E844,'Product Parameters'!$A$2:$D$59,2,FALSE)</f>
        <v>1</v>
      </c>
      <c r="AJ844" s="1">
        <f>VLOOKUP($E844,'Product Parameters'!$A$2:$D$59,3,FALSE)</f>
        <v>0</v>
      </c>
      <c r="AK844" s="1">
        <f>VLOOKUP($E844,'Product Parameters'!$A$2:$D$59,4,FALSE)</f>
        <v>0.12</v>
      </c>
      <c r="AL844" s="1">
        <f>VLOOKUP($E844,'Product Parameters'!$A$2:$E$59,5,FALSE)</f>
        <v>45</v>
      </c>
      <c r="AM844" s="1">
        <f>VLOOKUP($E844,'Product Parameters'!$A$2:$F$59,6,FALSE)</f>
        <v>3</v>
      </c>
      <c r="AN844" s="1">
        <f>VLOOKUP($C844,'Substrate Heating'!$A$2:$C$33,3,FALSE)</f>
        <v>245.86666666666667</v>
      </c>
      <c r="AO844" s="1">
        <f>VLOOKUP($C844,'Substrate Heating'!$A$2:$B$33,2,FALSE)</f>
        <v>15.038360459876978</v>
      </c>
      <c r="AP844" s="1">
        <f>VLOOKUP($C844,'Substrate Heating'!$A$2:$M$33,13,FALSE)</f>
        <v>0.33333333333333331</v>
      </c>
      <c r="AQ844" s="1">
        <f>VLOOKUP($C844,'Substrate Heating'!$A$2:$M$33,8,FALSE)</f>
        <v>0.33333333333333331</v>
      </c>
      <c r="AR844" s="1">
        <f t="shared" si="13"/>
        <v>2.9999999999999969</v>
      </c>
    </row>
    <row r="845" spans="1:44" x14ac:dyDescent="0.2">
      <c r="A845" s="8" t="s">
        <v>809</v>
      </c>
      <c r="B845" s="18" t="s">
        <v>324</v>
      </c>
      <c r="C845" t="s">
        <v>808</v>
      </c>
      <c r="D845" s="19" t="s">
        <v>326</v>
      </c>
      <c r="E845" t="s">
        <v>251</v>
      </c>
      <c r="F845" t="s">
        <v>252</v>
      </c>
      <c r="G845">
        <v>-10</v>
      </c>
      <c r="H845">
        <v>0</v>
      </c>
      <c r="I845">
        <v>-20</v>
      </c>
      <c r="J845">
        <v>0.45</v>
      </c>
      <c r="K845">
        <v>-6.6666666666666599</v>
      </c>
      <c r="L845">
        <v>0</v>
      </c>
      <c r="M845">
        <v>-20</v>
      </c>
      <c r="N845">
        <v>-6.6666666666666599</v>
      </c>
      <c r="O845">
        <v>2.2222222222222201</v>
      </c>
      <c r="P845"/>
      <c r="Q845">
        <v>0.33333333333333298</v>
      </c>
      <c r="R845">
        <v>0.40016127958235098</v>
      </c>
      <c r="S845" s="1" t="str">
        <f>VLOOKUP($E845,'Product Naming'!$A$1:$P$58,2,FALSE)</f>
        <v>Isopropanol</v>
      </c>
      <c r="T845" s="1" t="str">
        <f>VLOOKUP($E845,'Product Naming'!$A$1:$P$58,3,FALSE)</f>
        <v>Isopropanol</v>
      </c>
      <c r="U845" s="1" t="str">
        <f>VLOOKUP($E845,'Product Naming'!$A$1:$P$58,4,FALSE)</f>
        <v>A</v>
      </c>
      <c r="V845" s="1" t="str">
        <f>VLOOKUP($E845,'Product Naming'!$A$1:$P$58,5,FALSE)</f>
        <v>C3H8O</v>
      </c>
      <c r="W845" s="1">
        <f>VLOOKUP($E845,'Product Naming'!$A$1:$P$58,6,FALSE)</f>
        <v>3</v>
      </c>
      <c r="X845" s="1">
        <f>VLOOKUP($E845,'Product Naming'!$A$1:$P$58,7,FALSE)</f>
        <v>8</v>
      </c>
      <c r="Y845" s="1">
        <f>VLOOKUP($E845,'Product Naming'!$A$1:$P$58,8,FALSE)</f>
        <v>1</v>
      </c>
      <c r="Z845" s="1">
        <f>VLOOKUP($E845,'Product Naming'!$A$1:$P$58,9,FALSE)</f>
        <v>0</v>
      </c>
      <c r="AA845" s="1">
        <f>VLOOKUP($E845,'Product Naming'!$A$1:$P$58,10,FALSE)</f>
        <v>0</v>
      </c>
      <c r="AB845" s="29">
        <f>VLOOKUP($E845,'Product Naming'!$A$1:$P$58,11,FALSE)</f>
        <v>6</v>
      </c>
      <c r="AC845" s="3">
        <f>VLOOKUP($E845,'Product Naming'!$A$1:$P$58,12,FALSE)</f>
        <v>60.093820000000001</v>
      </c>
      <c r="AD845" s="1">
        <f>VLOOKUP($E845,'Product Naming'!$A$1:$P$58,13,FALSE)</f>
        <v>82.5</v>
      </c>
      <c r="AE845" s="1" t="str">
        <f>VLOOKUP($E845,'Product Naming'!$A$1:$P$58,14,FALSE)</f>
        <v>Alcohol</v>
      </c>
      <c r="AF845" s="1" t="str">
        <f>VLOOKUP($E845,'Product Naming'!$A$1:$P$58,15,FALSE)</f>
        <v>Acetyl-CoA</v>
      </c>
      <c r="AG845" s="30" t="str">
        <f>VLOOKUP($E845,'Product Naming'!$A$1:$P$58,16,FALSE)</f>
        <v>Proton symporter</v>
      </c>
      <c r="AH845" s="3" t="str">
        <f>VLOOKUP($E845,'Product Naming'!$A$1:$Q$58,17,FALSE)</f>
        <v>2ppoh_c</v>
      </c>
      <c r="AI845" s="1">
        <f>VLOOKUP($E845,'Product Parameters'!$A$2:$D$59,2,FALSE)</f>
        <v>1</v>
      </c>
      <c r="AJ845" s="1">
        <f>VLOOKUP($E845,'Product Parameters'!$A$2:$D$59,3,FALSE)</f>
        <v>0</v>
      </c>
      <c r="AK845" s="1">
        <f>VLOOKUP($E845,'Product Parameters'!$A$2:$D$59,4,FALSE)</f>
        <v>0.12</v>
      </c>
      <c r="AL845" s="1">
        <f>VLOOKUP($E845,'Product Parameters'!$A$2:$E$59,5,FALSE)</f>
        <v>45</v>
      </c>
      <c r="AM845" s="1">
        <f>VLOOKUP($E845,'Product Parameters'!$A$2:$F$59,6,FALSE)</f>
        <v>3</v>
      </c>
      <c r="AN845" s="1">
        <f>VLOOKUP($C845,'Substrate Heating'!$A$2:$C$33,3,FALSE)</f>
        <v>120.9</v>
      </c>
      <c r="AO845" s="1">
        <f>VLOOKUP($C845,'Substrate Heating'!$A$2:$B$33,2,FALSE)</f>
        <v>5.2537372583834907</v>
      </c>
      <c r="AP845" s="1">
        <f>VLOOKUP($C845,'Substrate Heating'!$A$2:$M$33,13,FALSE)</f>
        <v>0</v>
      </c>
      <c r="AQ845" s="1">
        <f>VLOOKUP($C845,'Substrate Heating'!$A$2:$M$33,8,FALSE)</f>
        <v>0.33333333333333331</v>
      </c>
      <c r="AR845" s="1">
        <f t="shared" si="13"/>
        <v>2.9999999999999969</v>
      </c>
    </row>
    <row r="846" spans="1:44" x14ac:dyDescent="0.2">
      <c r="A846" s="8" t="s">
        <v>34</v>
      </c>
      <c r="B846" s="9" t="s">
        <v>35</v>
      </c>
      <c r="C846" s="1" t="s">
        <v>331</v>
      </c>
      <c r="D846" s="10" t="s">
        <v>37</v>
      </c>
      <c r="E846" s="1" t="s">
        <v>169</v>
      </c>
      <c r="F846" s="1" t="s">
        <v>165</v>
      </c>
      <c r="G846" s="1">
        <v>-10</v>
      </c>
      <c r="H846" s="1">
        <v>-20</v>
      </c>
      <c r="I846" s="1" t="s">
        <v>40</v>
      </c>
      <c r="J846" s="1">
        <v>3.15</v>
      </c>
      <c r="K846" s="1">
        <v>-10</v>
      </c>
      <c r="L846" s="1">
        <v>-4.79834710743802</v>
      </c>
      <c r="M846" s="1" t="s">
        <v>40</v>
      </c>
      <c r="N846" s="1">
        <v>6.5322314049586696</v>
      </c>
      <c r="O846" s="1">
        <v>3.3669421487603302</v>
      </c>
      <c r="Q846" s="1">
        <v>0.33669421487603302</v>
      </c>
      <c r="R846" s="1">
        <v>0.40208297155070299</v>
      </c>
      <c r="S846" s="1" t="str">
        <f>VLOOKUP($E846,'Product Naming'!$A$1:$P$58,2,FALSE)</f>
        <v>Butanol-PW2</v>
      </c>
      <c r="T846" s="1" t="str">
        <f>VLOOKUP($E846,'Product Naming'!$A$1:$P$58,3,FALSE)</f>
        <v>Butanol (PW2)</v>
      </c>
      <c r="U846" s="1" t="str">
        <f>VLOOKUP($E846,'Product Naming'!$A$1:$P$58,4,FALSE)</f>
        <v>E</v>
      </c>
      <c r="V846" s="1" t="str">
        <f>VLOOKUP($E846,'Product Naming'!$A$1:$P$58,5,FALSE)</f>
        <v>C4H10O</v>
      </c>
      <c r="W846" s="1">
        <f>VLOOKUP($E846,'Product Naming'!$A$1:$P$58,6,FALSE)</f>
        <v>4</v>
      </c>
      <c r="X846" s="1">
        <f>VLOOKUP($E846,'Product Naming'!$A$1:$P$58,7,FALSE)</f>
        <v>10</v>
      </c>
      <c r="Y846" s="1">
        <f>VLOOKUP($E846,'Product Naming'!$A$1:$P$58,8,FALSE)</f>
        <v>1</v>
      </c>
      <c r="Z846" s="1">
        <f>VLOOKUP($E846,'Product Naming'!$A$1:$P$58,9,FALSE)</f>
        <v>0</v>
      </c>
      <c r="AA846" s="1">
        <f>VLOOKUP($E846,'Product Naming'!$A$1:$P$58,10,FALSE)</f>
        <v>0</v>
      </c>
      <c r="AB846" s="29">
        <f>VLOOKUP($E846,'Product Naming'!$A$1:$P$58,11,FALSE)</f>
        <v>6</v>
      </c>
      <c r="AC846" s="3">
        <f>VLOOKUP($E846,'Product Naming'!$A$1:$P$58,12,FALSE)</f>
        <v>74.120199999999997</v>
      </c>
      <c r="AD846" s="1">
        <f>VLOOKUP($E846,'Product Naming'!$A$1:$P$58,13,FALSE)</f>
        <v>117.7</v>
      </c>
      <c r="AE846" s="1" t="str">
        <f>VLOOKUP($E846,'Product Naming'!$A$1:$P$58,14,FALSE)</f>
        <v>Alcohol</v>
      </c>
      <c r="AF846" s="1" t="str">
        <f>VLOOKUP($E846,'Product Naming'!$A$1:$P$58,15,FALSE)</f>
        <v>Oxaloacetate</v>
      </c>
      <c r="AG846" s="30" t="str">
        <f>VLOOKUP($E846,'Product Naming'!$A$1:$P$58,16,FALSE)</f>
        <v>Proton symporter</v>
      </c>
      <c r="AH846" s="3" t="str">
        <f>VLOOKUP($E846,'Product Naming'!$A$1:$Q$58,17,FALSE)</f>
        <v>btoh_c</v>
      </c>
      <c r="AI846" s="1">
        <f>VLOOKUP($E846,'Product Parameters'!$A$2:$D$59,2,FALSE)</f>
        <v>1</v>
      </c>
      <c r="AJ846" s="1">
        <f>VLOOKUP($E846,'Product Parameters'!$A$2:$D$59,3,FALSE)</f>
        <v>0</v>
      </c>
      <c r="AK846" s="1">
        <f>VLOOKUP($E846,'Product Parameters'!$A$2:$D$59,4,FALSE)</f>
        <v>0.12</v>
      </c>
      <c r="AL846" s="1">
        <f>VLOOKUP($E846,'Product Parameters'!$A$2:$E$59,5,FALSE)</f>
        <v>52</v>
      </c>
      <c r="AM846" s="1">
        <f>VLOOKUP($E846,'Product Parameters'!$A$2:$F$59,6,FALSE)</f>
        <v>4</v>
      </c>
      <c r="AN846" s="1">
        <f>VLOOKUP($C846,'Substrate Heating'!$A$2:$C$33,3,FALSE)</f>
        <v>1055.1294800000001</v>
      </c>
      <c r="AO846" s="1">
        <f>VLOOKUP($C846,'Substrate Heating'!$A$2:$B$33,2,FALSE)</f>
        <v>17</v>
      </c>
      <c r="AP846" s="1">
        <f>VLOOKUP($C846,'Substrate Heating'!$A$2:$M$33,13,FALSE)</f>
        <v>5</v>
      </c>
      <c r="AQ846" s="1">
        <f>VLOOKUP($C846,'Substrate Heating'!$A$2:$M$33,8,FALSE)</f>
        <v>2</v>
      </c>
      <c r="AR846" s="1">
        <f t="shared" si="13"/>
        <v>0.67338842975206603</v>
      </c>
    </row>
    <row r="847" spans="1:44" x14ac:dyDescent="0.2">
      <c r="A847" s="8" t="s">
        <v>34</v>
      </c>
      <c r="B847" s="9" t="s">
        <v>35</v>
      </c>
      <c r="C847" s="1" t="s">
        <v>344</v>
      </c>
      <c r="D847" s="10" t="s">
        <v>37</v>
      </c>
      <c r="E847" s="1" t="s">
        <v>114</v>
      </c>
      <c r="F847" s="1" t="s">
        <v>115</v>
      </c>
      <c r="G847" s="1">
        <v>-10</v>
      </c>
      <c r="H847" s="1">
        <v>-20</v>
      </c>
      <c r="I847" s="1" t="s">
        <v>40</v>
      </c>
      <c r="J847" s="1">
        <v>3.15</v>
      </c>
      <c r="K847" s="1">
        <v>-10</v>
      </c>
      <c r="L847" s="1">
        <v>-7.5791044776119501</v>
      </c>
      <c r="M847" s="1" t="s">
        <v>40</v>
      </c>
      <c r="N847" s="1">
        <v>9.6492537313433004</v>
      </c>
      <c r="O847" s="1">
        <v>2.0701492537313499</v>
      </c>
      <c r="Q847" s="1">
        <v>0.20701492537313501</v>
      </c>
      <c r="R847" s="1">
        <v>0.40382747459664398</v>
      </c>
      <c r="S847" s="1" t="str">
        <f>VLOOKUP($E847,'Product Naming'!$A$1:$P$58,2,FALSE)</f>
        <v>5-Aminopentanoate</v>
      </c>
      <c r="T847" s="1" t="str">
        <f>VLOOKUP($E847,'Product Naming'!$A$1:$P$58,3,FALSE)</f>
        <v>5-Aminopentanoate</v>
      </c>
      <c r="U847" s="1" t="str">
        <f>VLOOKUP($E847,'Product Naming'!$A$1:$P$58,4,FALSE)</f>
        <v>A</v>
      </c>
      <c r="V847" s="1" t="str">
        <f>VLOOKUP($E847,'Product Naming'!$A$1:$P$58,5,FALSE)</f>
        <v>C5H11NO2</v>
      </c>
      <c r="W847" s="1">
        <f>VLOOKUP($E847,'Product Naming'!$A$1:$P$58,6,FALSE)</f>
        <v>5</v>
      </c>
      <c r="X847" s="1">
        <f>VLOOKUP($E847,'Product Naming'!$A$1:$P$58,7,FALSE)</f>
        <v>11</v>
      </c>
      <c r="Y847" s="1">
        <f>VLOOKUP($E847,'Product Naming'!$A$1:$P$58,8,FALSE)</f>
        <v>2</v>
      </c>
      <c r="Z847" s="1">
        <f>VLOOKUP($E847,'Product Naming'!$A$1:$P$58,9,FALSE)</f>
        <v>1</v>
      </c>
      <c r="AA847" s="1">
        <f>VLOOKUP($E847,'Product Naming'!$A$1:$P$58,10,FALSE)</f>
        <v>0</v>
      </c>
      <c r="AB847" s="29">
        <f>VLOOKUP($E847,'Product Naming'!$A$1:$P$58,11,FALSE)</f>
        <v>4.8</v>
      </c>
      <c r="AC847" s="3">
        <f>VLOOKUP($E847,'Product Naming'!$A$1:$P$58,12,FALSE)</f>
        <v>117.14444</v>
      </c>
      <c r="AD847" s="1">
        <f>VLOOKUP($E847,'Product Naming'!$A$1:$P$58,13,FALSE)</f>
        <v>247.5</v>
      </c>
      <c r="AE847" s="1" t="str">
        <f>VLOOKUP($E847,'Product Naming'!$A$1:$P$58,14,FALSE)</f>
        <v>D-Amino Acid</v>
      </c>
      <c r="AF847" s="1" t="str">
        <f>VLOOKUP($E847,'Product Naming'!$A$1:$P$58,15,FALSE)</f>
        <v>Oxaloacetate</v>
      </c>
      <c r="AG847" s="30" t="str">
        <f>VLOOKUP($E847,'Product Naming'!$A$1:$P$58,16,FALSE)</f>
        <v>Proton symporter</v>
      </c>
      <c r="AH847" s="3" t="str">
        <f>VLOOKUP($E847,'Product Naming'!$A$1:$Q$58,17,FALSE)</f>
        <v>5aptn_c</v>
      </c>
      <c r="AI847" s="1">
        <f>VLOOKUP($E847,'Product Parameters'!$A$2:$D$59,2,FALSE)</f>
        <v>1</v>
      </c>
      <c r="AJ847" s="1">
        <f>VLOOKUP($E847,'Product Parameters'!$A$2:$D$59,3,FALSE)</f>
        <v>0</v>
      </c>
      <c r="AK847" s="1">
        <f>VLOOKUP($E847,'Product Parameters'!$A$2:$D$59,4,FALSE)</f>
        <v>0.12</v>
      </c>
      <c r="AL847" s="1">
        <f>VLOOKUP($E847,'Product Parameters'!$A$2:$E$59,5,FALSE)</f>
        <v>40.65</v>
      </c>
      <c r="AM847" s="1">
        <f>VLOOKUP($E847,'Product Parameters'!$A$2:$F$59,6,FALSE)</f>
        <v>5</v>
      </c>
      <c r="AN847" s="1">
        <f>VLOOKUP($C847,'Substrate Heating'!$A$2:$C$33,3,FALSE)</f>
        <v>1020.8629199999999</v>
      </c>
      <c r="AO847" s="1">
        <f>VLOOKUP($C847,'Substrate Heating'!$A$2:$B$33,2,FALSE)</f>
        <v>17</v>
      </c>
      <c r="AP847" s="1">
        <f>VLOOKUP($C847,'Substrate Heating'!$A$2:$M$33,13,FALSE)</f>
        <v>4</v>
      </c>
      <c r="AQ847" s="1">
        <f>VLOOKUP($C847,'Substrate Heating'!$A$2:$M$33,8,FALSE)</f>
        <v>2</v>
      </c>
      <c r="AR847" s="1">
        <f t="shared" si="13"/>
        <v>0.51753731343283749</v>
      </c>
    </row>
    <row r="848" spans="1:44" x14ac:dyDescent="0.2">
      <c r="A848" s="8" t="s">
        <v>34</v>
      </c>
      <c r="B848" s="9" t="s">
        <v>35</v>
      </c>
      <c r="C848" s="1" t="s">
        <v>330</v>
      </c>
      <c r="D848" s="10" t="s">
        <v>37</v>
      </c>
      <c r="E848" s="1" t="s">
        <v>119</v>
      </c>
      <c r="F848" s="1" t="s">
        <v>120</v>
      </c>
      <c r="G848" s="1">
        <v>-10</v>
      </c>
      <c r="H848" s="1">
        <v>-20</v>
      </c>
      <c r="I848" s="1" t="s">
        <v>40</v>
      </c>
      <c r="J848" s="1">
        <v>3.15</v>
      </c>
      <c r="K848" s="1">
        <v>-10</v>
      </c>
      <c r="L848" s="1">
        <v>-7.7313131313131302</v>
      </c>
      <c r="M848" s="1" t="s">
        <v>40</v>
      </c>
      <c r="N848" s="1">
        <v>7.0484848484848399</v>
      </c>
      <c r="O848" s="1">
        <v>4.3171717171717203</v>
      </c>
      <c r="Q848" s="1">
        <v>0.431717171717172</v>
      </c>
      <c r="R848" s="1">
        <v>0.40397590869446198</v>
      </c>
      <c r="S848" s="1" t="str">
        <f>VLOOKUP($E848,'Product Naming'!$A$1:$P$58,2,FALSE)</f>
        <v>Acetone</v>
      </c>
      <c r="T848" s="1" t="str">
        <f>VLOOKUP($E848,'Product Naming'!$A$1:$P$58,3,FALSE)</f>
        <v>Acetone</v>
      </c>
      <c r="U848" s="1" t="str">
        <f>VLOOKUP($E848,'Product Naming'!$A$1:$P$58,4,FALSE)</f>
        <v>A</v>
      </c>
      <c r="V848" s="1" t="str">
        <f>VLOOKUP($E848,'Product Naming'!$A$1:$P$58,5,FALSE)</f>
        <v>C3H6O</v>
      </c>
      <c r="W848" s="1">
        <f>VLOOKUP($E848,'Product Naming'!$A$1:$P$58,6,FALSE)</f>
        <v>3</v>
      </c>
      <c r="X848" s="1">
        <f>VLOOKUP($E848,'Product Naming'!$A$1:$P$58,7,FALSE)</f>
        <v>6</v>
      </c>
      <c r="Y848" s="1">
        <f>VLOOKUP($E848,'Product Naming'!$A$1:$P$58,8,FALSE)</f>
        <v>1</v>
      </c>
      <c r="Z848" s="1">
        <f>VLOOKUP($E848,'Product Naming'!$A$1:$P$58,9,FALSE)</f>
        <v>0</v>
      </c>
      <c r="AA848" s="1">
        <f>VLOOKUP($E848,'Product Naming'!$A$1:$P$58,10,FALSE)</f>
        <v>0</v>
      </c>
      <c r="AB848" s="29">
        <f>VLOOKUP($E848,'Product Naming'!$A$1:$P$58,11,FALSE)</f>
        <v>5.333333333333333</v>
      </c>
      <c r="AC848" s="3">
        <f>VLOOKUP($E848,'Product Naming'!$A$1:$P$58,12,FALSE)</f>
        <v>58.078140000000005</v>
      </c>
      <c r="AD848" s="1">
        <f>VLOOKUP($E848,'Product Naming'!$A$1:$P$58,13,FALSE)</f>
        <v>56</v>
      </c>
      <c r="AE848" s="1" t="str">
        <f>VLOOKUP($E848,'Product Naming'!$A$1:$P$58,14,FALSE)</f>
        <v>Ketone</v>
      </c>
      <c r="AF848" s="1" t="str">
        <f>VLOOKUP($E848,'Product Naming'!$A$1:$P$58,15,FALSE)</f>
        <v>Acetyl-CoA</v>
      </c>
      <c r="AG848" s="30" t="str">
        <f>VLOOKUP($E848,'Product Naming'!$A$1:$P$58,16,FALSE)</f>
        <v>Proton symporter</v>
      </c>
      <c r="AH848" s="3" t="str">
        <f>VLOOKUP($E848,'Product Naming'!$A$1:$Q$58,17,FALSE)</f>
        <v>acetone_c</v>
      </c>
      <c r="AI848" s="1">
        <f>VLOOKUP($E848,'Product Parameters'!$A$2:$D$59,2,FALSE)</f>
        <v>1</v>
      </c>
      <c r="AJ848" s="1">
        <f>VLOOKUP($E848,'Product Parameters'!$A$2:$D$59,3,FALSE)</f>
        <v>0</v>
      </c>
      <c r="AK848" s="1">
        <f>VLOOKUP($E848,'Product Parameters'!$A$2:$D$59,4,FALSE)</f>
        <v>0.12</v>
      </c>
      <c r="AL848" s="1">
        <f>VLOOKUP($E848,'Product Parameters'!$A$2:$E$59,5,FALSE)</f>
        <v>31.3</v>
      </c>
      <c r="AM848" s="1">
        <f>VLOOKUP($E848,'Product Parameters'!$A$2:$F$59,6,FALSE)</f>
        <v>3</v>
      </c>
      <c r="AN848" s="1">
        <f>VLOOKUP($C848,'Substrate Heating'!$A$2:$C$33,3,FALSE)</f>
        <v>1055.1294800000001</v>
      </c>
      <c r="AO848" s="1">
        <f>VLOOKUP($C848,'Substrate Heating'!$A$2:$B$33,2,FALSE)</f>
        <v>17</v>
      </c>
      <c r="AP848" s="1">
        <f>VLOOKUP($C848,'Substrate Heating'!$A$2:$M$33,13,FALSE)</f>
        <v>5</v>
      </c>
      <c r="AQ848" s="1">
        <f>VLOOKUP($C848,'Substrate Heating'!$A$2:$M$33,8,FALSE)</f>
        <v>2</v>
      </c>
      <c r="AR848" s="1">
        <f t="shared" si="13"/>
        <v>0.64757575757575803</v>
      </c>
    </row>
    <row r="849" spans="1:44" x14ac:dyDescent="0.2">
      <c r="A849" s="8" t="s">
        <v>34</v>
      </c>
      <c r="B849" s="9" t="s">
        <v>35</v>
      </c>
      <c r="C849" s="1" t="s">
        <v>344</v>
      </c>
      <c r="D849" s="10" t="s">
        <v>37</v>
      </c>
      <c r="E849" s="1" t="s">
        <v>192</v>
      </c>
      <c r="F849" s="1" t="s">
        <v>193</v>
      </c>
      <c r="G849" s="1">
        <v>-10</v>
      </c>
      <c r="H849" s="1">
        <v>-20</v>
      </c>
      <c r="I849" s="1" t="s">
        <v>40</v>
      </c>
      <c r="J849" s="1">
        <v>3.15</v>
      </c>
      <c r="K849" s="1">
        <v>-10</v>
      </c>
      <c r="L849" s="1">
        <v>-5.8653179190751503</v>
      </c>
      <c r="M849" s="1" t="s">
        <v>40</v>
      </c>
      <c r="N849" s="1">
        <v>6.6092485549133002</v>
      </c>
      <c r="O849" s="1">
        <v>1.4878612716763</v>
      </c>
      <c r="Q849" s="1">
        <v>0.14878612716763001</v>
      </c>
      <c r="R849" s="1">
        <v>0.40421944076213001</v>
      </c>
      <c r="S849" s="1" t="str">
        <f>VLOOKUP($E849,'Product Naming'!$A$1:$P$58,2,FALSE)</f>
        <v>Coumaric acid</v>
      </c>
      <c r="T849" s="1" t="str">
        <f>VLOOKUP($E849,'Product Naming'!$A$1:$P$58,3,FALSE)</f>
        <v>Coumaric acid</v>
      </c>
      <c r="U849" s="1" t="str">
        <f>VLOOKUP($E849,'Product Naming'!$A$1:$P$58,4,FALSE)</f>
        <v>E</v>
      </c>
      <c r="V849" s="1" t="str">
        <f>VLOOKUP($E849,'Product Naming'!$A$1:$P$58,5,FALSE)</f>
        <v>C9H7O3</v>
      </c>
      <c r="W849" s="1">
        <f>VLOOKUP($E849,'Product Naming'!$A$1:$P$58,6,FALSE)</f>
        <v>9</v>
      </c>
      <c r="X849" s="1">
        <f>VLOOKUP($E849,'Product Naming'!$A$1:$P$58,7,FALSE)</f>
        <v>7</v>
      </c>
      <c r="Y849" s="1">
        <f>VLOOKUP($E849,'Product Naming'!$A$1:$P$58,8,FALSE)</f>
        <v>3</v>
      </c>
      <c r="Z849" s="1">
        <f>VLOOKUP($E849,'Product Naming'!$A$1:$P$58,9,FALSE)</f>
        <v>0</v>
      </c>
      <c r="AA849" s="1">
        <f>VLOOKUP($E849,'Product Naming'!$A$1:$P$58,10,FALSE)</f>
        <v>-1</v>
      </c>
      <c r="AB849" s="29">
        <f>VLOOKUP($E849,'Product Naming'!$A$1:$P$58,11,FALSE)</f>
        <v>4.1111111111111107</v>
      </c>
      <c r="AC849" s="3">
        <f>VLOOKUP($E849,'Product Naming'!$A$1:$P$58,12,FALSE)</f>
        <v>163.14818</v>
      </c>
      <c r="AD849" s="1">
        <f>VLOOKUP($E849,'Product Naming'!$A$1:$P$58,13,FALSE)</f>
        <v>346</v>
      </c>
      <c r="AE849" s="1" t="str">
        <f>VLOOKUP($E849,'Product Naming'!$A$1:$P$58,14,FALSE)</f>
        <v>Aromatic + Alcohol + Carboxylate</v>
      </c>
      <c r="AF849" s="1" t="str">
        <f>VLOOKUP($E849,'Product Naming'!$A$1:$P$58,15,FALSE)</f>
        <v>E4P + L-glutamate</v>
      </c>
      <c r="AG849" s="30" t="str">
        <f>VLOOKUP($E849,'Product Naming'!$A$1:$P$58,16,FALSE)</f>
        <v>Proton symporter</v>
      </c>
      <c r="AH849" s="3" t="str">
        <f>VLOOKUP($E849,'Product Naming'!$A$1:$Q$58,17,FALSE)</f>
        <v>T4hcinnm_c</v>
      </c>
      <c r="AI849" s="1">
        <f>VLOOKUP($E849,'Product Parameters'!$A$2:$D$59,2,FALSE)</f>
        <v>1</v>
      </c>
      <c r="AJ849" s="1">
        <f>VLOOKUP($E849,'Product Parameters'!$A$2:$D$59,3,FALSE)</f>
        <v>0</v>
      </c>
      <c r="AK849" s="1">
        <f>VLOOKUP($E849,'Product Parameters'!$A$2:$D$59,4,FALSE)</f>
        <v>0.12</v>
      </c>
      <c r="AL849" s="1">
        <f>VLOOKUP($E849,'Product Parameters'!$A$2:$E$59,5,FALSE)</f>
        <v>40.65</v>
      </c>
      <c r="AM849" s="1">
        <f>VLOOKUP($E849,'Product Parameters'!$A$2:$F$59,6,FALSE)</f>
        <v>9</v>
      </c>
      <c r="AN849" s="1">
        <f>VLOOKUP($C849,'Substrate Heating'!$A$2:$C$33,3,FALSE)</f>
        <v>1020.8629199999999</v>
      </c>
      <c r="AO849" s="1">
        <f>VLOOKUP($C849,'Substrate Heating'!$A$2:$B$33,2,FALSE)</f>
        <v>17</v>
      </c>
      <c r="AP849" s="1">
        <f>VLOOKUP($C849,'Substrate Heating'!$A$2:$M$33,13,FALSE)</f>
        <v>4</v>
      </c>
      <c r="AQ849" s="1">
        <f>VLOOKUP($C849,'Substrate Heating'!$A$2:$M$33,8,FALSE)</f>
        <v>2</v>
      </c>
      <c r="AR849" s="1">
        <f t="shared" si="13"/>
        <v>0.66953757225433508</v>
      </c>
    </row>
    <row r="850" spans="1:44" x14ac:dyDescent="0.2">
      <c r="A850" s="17" t="s">
        <v>323</v>
      </c>
      <c r="B850" s="18" t="s">
        <v>324</v>
      </c>
      <c r="C850" t="s">
        <v>336</v>
      </c>
      <c r="D850" s="19" t="s">
        <v>326</v>
      </c>
      <c r="E850" t="s">
        <v>186</v>
      </c>
      <c r="F850" t="s">
        <v>187</v>
      </c>
      <c r="G850">
        <v>-10</v>
      </c>
      <c r="H850">
        <v>0</v>
      </c>
      <c r="I850">
        <v>-20</v>
      </c>
      <c r="J850">
        <v>0.45</v>
      </c>
      <c r="K850">
        <v>-10</v>
      </c>
      <c r="L850">
        <v>0</v>
      </c>
      <c r="M850">
        <v>-10.72</v>
      </c>
      <c r="N850">
        <v>0</v>
      </c>
      <c r="O850">
        <v>1.03111111111111</v>
      </c>
      <c r="P850"/>
      <c r="Q850">
        <v>0.103111111111111</v>
      </c>
      <c r="R850" s="20">
        <v>0.40455984863113797</v>
      </c>
      <c r="S850" s="1" t="str">
        <f>VLOOKUP($E850,'Product Naming'!$A$1:$P$58,2,FALSE)</f>
        <v>Citrate</v>
      </c>
      <c r="T850" s="1" t="str">
        <f>VLOOKUP($E850,'Product Naming'!$A$1:$P$58,3,FALSE)</f>
        <v>Citrate</v>
      </c>
      <c r="U850" s="1" t="str">
        <f>VLOOKUP($E850,'Product Naming'!$A$1:$P$58,4,FALSE)</f>
        <v>iJO1366</v>
      </c>
      <c r="V850" s="1" t="str">
        <f>VLOOKUP($E850,'Product Naming'!$A$1:$P$58,5,FALSE)</f>
        <v>C6H5O7</v>
      </c>
      <c r="W850" s="1">
        <f>VLOOKUP($E850,'Product Naming'!$A$1:$P$58,6,FALSE)</f>
        <v>6</v>
      </c>
      <c r="X850" s="1">
        <f>VLOOKUP($E850,'Product Naming'!$A$1:$P$58,7,FALSE)</f>
        <v>5</v>
      </c>
      <c r="Y850" s="1">
        <f>VLOOKUP($E850,'Product Naming'!$A$1:$P$58,8,FALSE)</f>
        <v>7</v>
      </c>
      <c r="Z850" s="1">
        <f>VLOOKUP($E850,'Product Naming'!$A$1:$P$58,9,FALSE)</f>
        <v>0</v>
      </c>
      <c r="AA850" s="1">
        <f>VLOOKUP($E850,'Product Naming'!$A$1:$P$58,10,FALSE)</f>
        <v>-3</v>
      </c>
      <c r="AB850" s="29">
        <f>VLOOKUP($E850,'Product Naming'!$A$1:$P$58,11,FALSE)</f>
        <v>2.5</v>
      </c>
      <c r="AC850" s="3">
        <f>VLOOKUP($E850,'Product Naming'!$A$1:$P$58,12,FALSE)</f>
        <v>189.09640000000002</v>
      </c>
      <c r="AD850" s="1" t="str">
        <f>VLOOKUP($E850,'Product Naming'!$A$1:$P$58,13,FALSE)</f>
        <v>NA</v>
      </c>
      <c r="AE850" s="1" t="str">
        <f>VLOOKUP($E850,'Product Naming'!$A$1:$P$58,14,FALSE)</f>
        <v>Tricarboxylate + Alcohol</v>
      </c>
      <c r="AF850" s="1" t="str">
        <f>VLOOKUP($E850,'Product Naming'!$A$1:$P$58,15,FALSE)</f>
        <v>Acetyl-CoA</v>
      </c>
      <c r="AG850" s="30" t="str">
        <f>VLOOKUP($E850,'Product Naming'!$A$1:$P$58,16,FALSE)</f>
        <v>Proton antiport</v>
      </c>
      <c r="AH850" s="3" t="str">
        <f>VLOOKUP($E850,'Product Naming'!$A$1:$Q$58,17,FALSE)</f>
        <v>cit_c</v>
      </c>
      <c r="AI850" s="1">
        <f>VLOOKUP($E850,'Product Parameters'!$A$2:$D$59,2,FALSE)</f>
        <v>1</v>
      </c>
      <c r="AJ850" s="1">
        <f>VLOOKUP($E850,'Product Parameters'!$A$2:$D$59,3,FALSE)</f>
        <v>0</v>
      </c>
      <c r="AK850" s="1">
        <f>VLOOKUP($E850,'Product Parameters'!$A$2:$D$59,4,FALSE)</f>
        <v>0.12</v>
      </c>
      <c r="AL850" s="1">
        <f>VLOOKUP($E850,'Product Parameters'!$A$2:$E$59,5,FALSE)</f>
        <v>40.65</v>
      </c>
      <c r="AM850" s="1">
        <f>VLOOKUP($E850,'Product Parameters'!$A$2:$F$59,6,FALSE)</f>
        <v>6</v>
      </c>
      <c r="AN850" s="1">
        <f>VLOOKUP($C850,'Substrate Heating'!$A$2:$C$33,3,FALSE)</f>
        <v>245.86666666666667</v>
      </c>
      <c r="AO850" s="1">
        <f>VLOOKUP($C850,'Substrate Heating'!$A$2:$B$33,2,FALSE)</f>
        <v>15.038360459876978</v>
      </c>
      <c r="AP850" s="1">
        <f>VLOOKUP($C850,'Substrate Heating'!$A$2:$M$33,13,FALSE)</f>
        <v>0.33333333333333331</v>
      </c>
      <c r="AQ850" s="1">
        <f>VLOOKUP($C850,'Substrate Heating'!$A$2:$M$33,8,FALSE)</f>
        <v>0.33333333333333331</v>
      </c>
      <c r="AR850" s="1">
        <f t="shared" si="13"/>
        <v>1.8559999999999981</v>
      </c>
    </row>
    <row r="851" spans="1:44" x14ac:dyDescent="0.2">
      <c r="A851" s="8" t="s">
        <v>34</v>
      </c>
      <c r="B851" s="9" t="s">
        <v>35</v>
      </c>
      <c r="C851" s="1" t="s">
        <v>347</v>
      </c>
      <c r="D851" s="23" t="s">
        <v>338</v>
      </c>
      <c r="E851" s="1" t="s">
        <v>145</v>
      </c>
      <c r="F851" s="1" t="s">
        <v>146</v>
      </c>
      <c r="G851" s="1">
        <v>-10</v>
      </c>
      <c r="H851" s="1">
        <v>-20</v>
      </c>
      <c r="I851" s="1" t="s">
        <v>40</v>
      </c>
      <c r="J851" s="1">
        <v>3.15</v>
      </c>
      <c r="K851" s="1">
        <v>-10</v>
      </c>
      <c r="L851" s="1">
        <v>-4.7897094430992704</v>
      </c>
      <c r="M851" s="1" t="s">
        <v>40</v>
      </c>
      <c r="N851" s="1">
        <v>1.5915254237287999</v>
      </c>
      <c r="O851" s="1">
        <v>1.2012106537530201</v>
      </c>
      <c r="Q851" s="1">
        <v>0.120121065375302</v>
      </c>
      <c r="R851" s="1">
        <v>0.40540125702720903</v>
      </c>
      <c r="S851" s="1" t="str">
        <f>VLOOKUP($E851,'Product Naming'!$A$1:$P$58,2,FALSE)</f>
        <v>Benzyl alcohol</v>
      </c>
      <c r="T851" s="1" t="str">
        <f>VLOOKUP($E851,'Product Naming'!$A$1:$P$58,3,FALSE)</f>
        <v>Benzyl alcohol</v>
      </c>
      <c r="U851" s="1" t="str">
        <f>VLOOKUP($E851,'Product Naming'!$A$1:$P$58,4,FALSE)</f>
        <v>E</v>
      </c>
      <c r="V851" s="1" t="str">
        <f>VLOOKUP($E851,'Product Naming'!$A$1:$P$58,5,FALSE)</f>
        <v>C7H8O</v>
      </c>
      <c r="W851" s="1">
        <f>VLOOKUP($E851,'Product Naming'!$A$1:$P$58,6,FALSE)</f>
        <v>7</v>
      </c>
      <c r="X851" s="1">
        <f>VLOOKUP($E851,'Product Naming'!$A$1:$P$58,7,FALSE)</f>
        <v>8</v>
      </c>
      <c r="Y851" s="1">
        <f>VLOOKUP($E851,'Product Naming'!$A$1:$P$58,8,FALSE)</f>
        <v>1</v>
      </c>
      <c r="Z851" s="1">
        <f>VLOOKUP($E851,'Product Naming'!$A$1:$P$58,9,FALSE)</f>
        <v>0</v>
      </c>
      <c r="AA851" s="1">
        <f>VLOOKUP($E851,'Product Naming'!$A$1:$P$58,10,FALSE)</f>
        <v>0</v>
      </c>
      <c r="AB851" s="29">
        <f>VLOOKUP($E851,'Product Naming'!$A$1:$P$58,11,FALSE)</f>
        <v>4.8571428571428568</v>
      </c>
      <c r="AC851" s="3">
        <f>VLOOKUP($E851,'Product Naming'!$A$1:$P$58,12,FALSE)</f>
        <v>108.13661999999999</v>
      </c>
      <c r="AD851" s="1">
        <f>VLOOKUP($E851,'Product Naming'!$A$1:$P$58,13,FALSE)</f>
        <v>205</v>
      </c>
      <c r="AE851" s="1" t="str">
        <f>VLOOKUP($E851,'Product Naming'!$A$1:$P$58,14,FALSE)</f>
        <v>Aromatic + Alcohol</v>
      </c>
      <c r="AF851" s="1" t="str">
        <f>VLOOKUP($E851,'Product Naming'!$A$1:$P$58,15,FALSE)</f>
        <v>E4P</v>
      </c>
      <c r="AG851" s="30" t="str">
        <f>VLOOKUP($E851,'Product Naming'!$A$1:$P$58,16,FALSE)</f>
        <v>Proton symporter</v>
      </c>
      <c r="AH851" s="3" t="str">
        <f>VLOOKUP($E851,'Product Naming'!$A$1:$Q$58,17,FALSE)</f>
        <v>bzalc_c</v>
      </c>
      <c r="AI851" s="1">
        <f>VLOOKUP($E851,'Product Parameters'!$A$2:$D$59,2,FALSE)</f>
        <v>1</v>
      </c>
      <c r="AJ851" s="1">
        <f>VLOOKUP($E851,'Product Parameters'!$A$2:$D$59,3,FALSE)</f>
        <v>0</v>
      </c>
      <c r="AK851" s="1">
        <f>VLOOKUP($E851,'Product Parameters'!$A$2:$D$59,4,FALSE)</f>
        <v>0.12</v>
      </c>
      <c r="AL851" s="1">
        <f>VLOOKUP($E851,'Product Parameters'!$A$2:$E$59,5,FALSE)</f>
        <v>63</v>
      </c>
      <c r="AM851" s="1">
        <f>VLOOKUP($E851,'Product Parameters'!$A$2:$F$59,6,FALSE)</f>
        <v>7</v>
      </c>
      <c r="AN851" s="1">
        <f>VLOOKUP($C851,'Substrate Heating'!$A$2:$C$33,3,FALSE)</f>
        <v>638.57832580000002</v>
      </c>
      <c r="AO851" s="1">
        <f>VLOOKUP($C851,'Substrate Heating'!$A$2:$B$33,2,FALSE)</f>
        <v>19.93</v>
      </c>
      <c r="AP851" s="1">
        <f>VLOOKUP($C851,'Substrate Heating'!$A$2:$M$33,13,FALSE)</f>
        <v>6</v>
      </c>
      <c r="AQ851" s="1">
        <f>VLOOKUP($C851,'Substrate Heating'!$A$2:$M$33,8,FALSE)</f>
        <v>1</v>
      </c>
      <c r="AR851" s="1">
        <f t="shared" si="13"/>
        <v>0.84084745762711399</v>
      </c>
    </row>
    <row r="852" spans="1:44" x14ac:dyDescent="0.2">
      <c r="A852" s="8" t="s">
        <v>34</v>
      </c>
      <c r="B852" s="9" t="s">
        <v>35</v>
      </c>
      <c r="C852" s="1" t="s">
        <v>346</v>
      </c>
      <c r="D852" s="23" t="s">
        <v>338</v>
      </c>
      <c r="E852" s="1" t="s">
        <v>145</v>
      </c>
      <c r="F852" s="1" t="s">
        <v>146</v>
      </c>
      <c r="G852" s="1">
        <v>-10</v>
      </c>
      <c r="H852" s="1">
        <v>-20</v>
      </c>
      <c r="I852" s="1" t="s">
        <v>40</v>
      </c>
      <c r="J852" s="1">
        <v>3.15</v>
      </c>
      <c r="K852" s="1">
        <v>-10</v>
      </c>
      <c r="L852" s="1">
        <v>-4.7897094430992802</v>
      </c>
      <c r="M852" s="1" t="s">
        <v>40</v>
      </c>
      <c r="N852" s="1">
        <v>1.5915254237288201</v>
      </c>
      <c r="O852" s="1">
        <v>1.20121065375303</v>
      </c>
      <c r="Q852" s="1">
        <v>0.120121065375303</v>
      </c>
      <c r="R852" s="1">
        <v>0.40540125702721003</v>
      </c>
      <c r="S852" s="1" t="str">
        <f>VLOOKUP($E852,'Product Naming'!$A$1:$P$58,2,FALSE)</f>
        <v>Benzyl alcohol</v>
      </c>
      <c r="T852" s="1" t="str">
        <f>VLOOKUP($E852,'Product Naming'!$A$1:$P$58,3,FALSE)</f>
        <v>Benzyl alcohol</v>
      </c>
      <c r="U852" s="1" t="str">
        <f>VLOOKUP($E852,'Product Naming'!$A$1:$P$58,4,FALSE)</f>
        <v>E</v>
      </c>
      <c r="V852" s="1" t="str">
        <f>VLOOKUP($E852,'Product Naming'!$A$1:$P$58,5,FALSE)</f>
        <v>C7H8O</v>
      </c>
      <c r="W852" s="1">
        <f>VLOOKUP($E852,'Product Naming'!$A$1:$P$58,6,FALSE)</f>
        <v>7</v>
      </c>
      <c r="X852" s="1">
        <f>VLOOKUP($E852,'Product Naming'!$A$1:$P$58,7,FALSE)</f>
        <v>8</v>
      </c>
      <c r="Y852" s="1">
        <f>VLOOKUP($E852,'Product Naming'!$A$1:$P$58,8,FALSE)</f>
        <v>1</v>
      </c>
      <c r="Z852" s="1">
        <f>VLOOKUP($E852,'Product Naming'!$A$1:$P$58,9,FALSE)</f>
        <v>0</v>
      </c>
      <c r="AA852" s="1">
        <f>VLOOKUP($E852,'Product Naming'!$A$1:$P$58,10,FALSE)</f>
        <v>0</v>
      </c>
      <c r="AB852" s="29">
        <f>VLOOKUP($E852,'Product Naming'!$A$1:$P$58,11,FALSE)</f>
        <v>4.8571428571428568</v>
      </c>
      <c r="AC852" s="3">
        <f>VLOOKUP($E852,'Product Naming'!$A$1:$P$58,12,FALSE)</f>
        <v>108.13661999999999</v>
      </c>
      <c r="AD852" s="1">
        <f>VLOOKUP($E852,'Product Naming'!$A$1:$P$58,13,FALSE)</f>
        <v>205</v>
      </c>
      <c r="AE852" s="1" t="str">
        <f>VLOOKUP($E852,'Product Naming'!$A$1:$P$58,14,FALSE)</f>
        <v>Aromatic + Alcohol</v>
      </c>
      <c r="AF852" s="1" t="str">
        <f>VLOOKUP($E852,'Product Naming'!$A$1:$P$58,15,FALSE)</f>
        <v>E4P</v>
      </c>
      <c r="AG852" s="30" t="str">
        <f>VLOOKUP($E852,'Product Naming'!$A$1:$P$58,16,FALSE)</f>
        <v>Proton symporter</v>
      </c>
      <c r="AH852" s="3" t="str">
        <f>VLOOKUP($E852,'Product Naming'!$A$1:$Q$58,17,FALSE)</f>
        <v>bzalc_c</v>
      </c>
      <c r="AI852" s="1">
        <f>VLOOKUP($E852,'Product Parameters'!$A$2:$D$59,2,FALSE)</f>
        <v>1</v>
      </c>
      <c r="AJ852" s="1">
        <f>VLOOKUP($E852,'Product Parameters'!$A$2:$D$59,3,FALSE)</f>
        <v>0</v>
      </c>
      <c r="AK852" s="1">
        <f>VLOOKUP($E852,'Product Parameters'!$A$2:$D$59,4,FALSE)</f>
        <v>0.12</v>
      </c>
      <c r="AL852" s="1">
        <f>VLOOKUP($E852,'Product Parameters'!$A$2:$E$59,5,FALSE)</f>
        <v>63</v>
      </c>
      <c r="AM852" s="1">
        <f>VLOOKUP($E852,'Product Parameters'!$A$2:$F$59,6,FALSE)</f>
        <v>7</v>
      </c>
      <c r="AN852" s="1">
        <f>VLOOKUP($C852,'Substrate Heating'!$A$2:$C$33,3,FALSE)</f>
        <v>638.57832580000002</v>
      </c>
      <c r="AO852" s="1">
        <f>VLOOKUP($C852,'Substrate Heating'!$A$2:$B$33,2,FALSE)</f>
        <v>19.93</v>
      </c>
      <c r="AP852" s="1">
        <f>VLOOKUP($C852,'Substrate Heating'!$A$2:$M$33,13,FALSE)</f>
        <v>6</v>
      </c>
      <c r="AQ852" s="1">
        <f>VLOOKUP($C852,'Substrate Heating'!$A$2:$M$33,8,FALSE)</f>
        <v>1</v>
      </c>
      <c r="AR852" s="1">
        <f t="shared" si="13"/>
        <v>0.84084745762712099</v>
      </c>
    </row>
    <row r="853" spans="1:44" x14ac:dyDescent="0.2">
      <c r="A853" s="8" t="s">
        <v>34</v>
      </c>
      <c r="B853" s="9" t="s">
        <v>35</v>
      </c>
      <c r="C853" s="1" t="s">
        <v>344</v>
      </c>
      <c r="D853" s="10" t="s">
        <v>37</v>
      </c>
      <c r="E853" s="1" t="s">
        <v>175</v>
      </c>
      <c r="F853" s="1" t="s">
        <v>176</v>
      </c>
      <c r="G853" s="1">
        <v>-10</v>
      </c>
      <c r="H853" s="1">
        <v>-20</v>
      </c>
      <c r="I853" s="1" t="s">
        <v>40</v>
      </c>
      <c r="J853" s="1">
        <v>3.15</v>
      </c>
      <c r="K853" s="1">
        <v>-10</v>
      </c>
      <c r="L853" s="1">
        <v>-5.6196113074204899</v>
      </c>
      <c r="M853" s="1" t="s">
        <v>40</v>
      </c>
      <c r="N853" s="1">
        <v>6.7257950530035302</v>
      </c>
      <c r="O853" s="1">
        <v>2.2123674911660798</v>
      </c>
      <c r="Q853" s="1">
        <v>0.22123674911660801</v>
      </c>
      <c r="R853" s="1">
        <v>0.405651940073609</v>
      </c>
      <c r="S853" s="1" t="str">
        <f>VLOOKUP($E853,'Product Naming'!$A$1:$P$58,2,FALSE)</f>
        <v>Catechol</v>
      </c>
      <c r="T853" s="1" t="str">
        <f>VLOOKUP($E853,'Product Naming'!$A$1:$P$58,3,FALSE)</f>
        <v>Catechol</v>
      </c>
      <c r="U853" s="1" t="str">
        <f>VLOOKUP($E853,'Product Naming'!$A$1:$P$58,4,FALSE)</f>
        <v>E</v>
      </c>
      <c r="V853" s="1" t="str">
        <f>VLOOKUP($E853,'Product Naming'!$A$1:$P$58,5,FALSE)</f>
        <v>C6H6O2</v>
      </c>
      <c r="W853" s="1">
        <f>VLOOKUP($E853,'Product Naming'!$A$1:$P$58,6,FALSE)</f>
        <v>6</v>
      </c>
      <c r="X853" s="1">
        <f>VLOOKUP($E853,'Product Naming'!$A$1:$P$58,7,FALSE)</f>
        <v>6</v>
      </c>
      <c r="Y853" s="1">
        <f>VLOOKUP($E853,'Product Naming'!$A$1:$P$58,8,FALSE)</f>
        <v>2</v>
      </c>
      <c r="Z853" s="1">
        <f>VLOOKUP($E853,'Product Naming'!$A$1:$P$58,9,FALSE)</f>
        <v>0</v>
      </c>
      <c r="AA853" s="1">
        <f>VLOOKUP($E853,'Product Naming'!$A$1:$P$58,10,FALSE)</f>
        <v>0</v>
      </c>
      <c r="AB853" s="29">
        <f>VLOOKUP($E853,'Product Naming'!$A$1:$P$58,11,FALSE)</f>
        <v>4.333333333333333</v>
      </c>
      <c r="AC853" s="3">
        <f>VLOOKUP($E853,'Product Naming'!$A$1:$P$58,12,FALSE)</f>
        <v>110.10924</v>
      </c>
      <c r="AD853" s="1">
        <f>VLOOKUP($E853,'Product Naming'!$A$1:$P$58,13,FALSE)</f>
        <v>245</v>
      </c>
      <c r="AE853" s="1" t="str">
        <f>VLOOKUP($E853,'Product Naming'!$A$1:$P$58,14,FALSE)</f>
        <v>Aromatic + Diol</v>
      </c>
      <c r="AF853" s="1" t="str">
        <f>VLOOKUP($E853,'Product Naming'!$A$1:$P$58,15,FALSE)</f>
        <v>Glyceraldehyde 3-P</v>
      </c>
      <c r="AG853" s="30" t="str">
        <f>VLOOKUP($E853,'Product Naming'!$A$1:$P$58,16,FALSE)</f>
        <v>Proton symporter</v>
      </c>
      <c r="AH853" s="3" t="str">
        <f>VLOOKUP($E853,'Product Naming'!$A$1:$Q$58,17,FALSE)</f>
        <v>catechol_c</v>
      </c>
      <c r="AI853" s="1">
        <f>VLOOKUP($E853,'Product Parameters'!$A$2:$D$59,2,FALSE)</f>
        <v>1</v>
      </c>
      <c r="AJ853" s="1">
        <f>VLOOKUP($E853,'Product Parameters'!$A$2:$D$59,3,FALSE)</f>
        <v>0</v>
      </c>
      <c r="AK853" s="1">
        <f>VLOOKUP($E853,'Product Parameters'!$A$2:$D$59,4,FALSE)</f>
        <v>0.12</v>
      </c>
      <c r="AL853" s="1">
        <f>VLOOKUP($E853,'Product Parameters'!$A$2:$E$59,5,FALSE)</f>
        <v>40.65</v>
      </c>
      <c r="AM853" s="1">
        <f>VLOOKUP($E853,'Product Parameters'!$A$2:$F$59,6,FALSE)</f>
        <v>6</v>
      </c>
      <c r="AN853" s="1">
        <f>VLOOKUP($C853,'Substrate Heating'!$A$2:$C$33,3,FALSE)</f>
        <v>1020.8629199999999</v>
      </c>
      <c r="AO853" s="1">
        <f>VLOOKUP($C853,'Substrate Heating'!$A$2:$B$33,2,FALSE)</f>
        <v>17</v>
      </c>
      <c r="AP853" s="1">
        <f>VLOOKUP($C853,'Substrate Heating'!$A$2:$M$33,13,FALSE)</f>
        <v>4</v>
      </c>
      <c r="AQ853" s="1">
        <f>VLOOKUP($C853,'Substrate Heating'!$A$2:$M$33,8,FALSE)</f>
        <v>2</v>
      </c>
      <c r="AR853" s="1">
        <f t="shared" si="13"/>
        <v>0.66371024734982398</v>
      </c>
    </row>
    <row r="854" spans="1:44" x14ac:dyDescent="0.2">
      <c r="A854" s="8" t="s">
        <v>34</v>
      </c>
      <c r="B854" s="9" t="s">
        <v>35</v>
      </c>
      <c r="C854" s="1" t="s">
        <v>344</v>
      </c>
      <c r="D854" s="10" t="s">
        <v>37</v>
      </c>
      <c r="E854" s="1" t="s">
        <v>48</v>
      </c>
      <c r="F854" s="1" t="s">
        <v>39</v>
      </c>
      <c r="G854" s="1">
        <v>-10</v>
      </c>
      <c r="H854" s="1">
        <v>-20</v>
      </c>
      <c r="I854" s="1" t="s">
        <v>40</v>
      </c>
      <c r="J854" s="1">
        <v>3.15</v>
      </c>
      <c r="K854" s="1">
        <v>-10</v>
      </c>
      <c r="L854" s="1">
        <v>-5</v>
      </c>
      <c r="M854" s="1" t="s">
        <v>40</v>
      </c>
      <c r="N854" s="1">
        <v>9.0909090909090793</v>
      </c>
      <c r="O854" s="1">
        <v>2.7272727272727302</v>
      </c>
      <c r="Q854" s="1">
        <v>0.27272727272727298</v>
      </c>
      <c r="R854" s="1">
        <v>0.40927801965569199</v>
      </c>
      <c r="S854" s="1" t="str">
        <f>VLOOKUP($E854,'Product Naming'!$A$1:$P$58,2,FALSE)</f>
        <v>1-3-butanediol-PW2</v>
      </c>
      <c r="T854" s="1" t="str">
        <f>VLOOKUP($E854,'Product Naming'!$A$1:$P$58,3,FALSE)</f>
        <v>1,3-Butanediol (PW2)</v>
      </c>
      <c r="U854" s="1" t="str">
        <f>VLOOKUP($E854,'Product Naming'!$A$1:$P$58,4,FALSE)</f>
        <v>E</v>
      </c>
      <c r="V854" s="1" t="str">
        <f>VLOOKUP($E854,'Product Naming'!$A$1:$P$58,5,FALSE)</f>
        <v>C4H10O2</v>
      </c>
      <c r="W854" s="1">
        <f>VLOOKUP($E854,'Product Naming'!$A$1:$P$58,6,FALSE)</f>
        <v>4</v>
      </c>
      <c r="X854" s="1">
        <f>VLOOKUP($E854,'Product Naming'!$A$1:$P$58,7,FALSE)</f>
        <v>10</v>
      </c>
      <c r="Y854" s="1">
        <f>VLOOKUP($E854,'Product Naming'!$A$1:$P$58,8,FALSE)</f>
        <v>2</v>
      </c>
      <c r="Z854" s="1">
        <f>VLOOKUP($E854,'Product Naming'!$A$1:$P$58,9,FALSE)</f>
        <v>0</v>
      </c>
      <c r="AA854" s="1">
        <f>VLOOKUP($E854,'Product Naming'!$A$1:$P$58,10,FALSE)</f>
        <v>0</v>
      </c>
      <c r="AB854" s="29">
        <f>VLOOKUP($E854,'Product Naming'!$A$1:$P$58,11,FALSE)</f>
        <v>5.5</v>
      </c>
      <c r="AC854" s="3">
        <f>VLOOKUP($E854,'Product Naming'!$A$1:$P$58,12,FALSE)</f>
        <v>90.119200000000006</v>
      </c>
      <c r="AD854" s="1">
        <f>VLOOKUP($E854,'Product Naming'!$A$1:$P$58,13,FALSE)</f>
        <v>207</v>
      </c>
      <c r="AE854" s="1" t="str">
        <f>VLOOKUP($E854,'Product Naming'!$A$1:$P$58,14,FALSE)</f>
        <v>Diol</v>
      </c>
      <c r="AF854" s="1" t="str">
        <f>VLOOKUP($E854,'Product Naming'!$A$1:$P$58,15,FALSE)</f>
        <v>Pyruvate (acetalehyde)</v>
      </c>
      <c r="AG854" s="30" t="str">
        <f>VLOOKUP($E854,'Product Naming'!$A$1:$P$58,16,FALSE)</f>
        <v>Proton symporter</v>
      </c>
      <c r="AH854" s="3" t="str">
        <f>VLOOKUP($E854,'Product Naming'!$A$1:$Q$58,17,FALSE)</f>
        <v>13bdo__R_c</v>
      </c>
      <c r="AI854" s="1">
        <f>VLOOKUP($E854,'Product Parameters'!$A$2:$D$59,2,FALSE)</f>
        <v>1</v>
      </c>
      <c r="AJ854" s="1">
        <f>VLOOKUP($E854,'Product Parameters'!$A$2:$D$59,3,FALSE)</f>
        <v>0</v>
      </c>
      <c r="AK854" s="1">
        <f>VLOOKUP($E854,'Product Parameters'!$A$2:$D$59,4,FALSE)</f>
        <v>0.12</v>
      </c>
      <c r="AL854" s="1">
        <f>VLOOKUP($E854,'Product Parameters'!$A$2:$E$59,5,FALSE)</f>
        <v>72.599999999999994</v>
      </c>
      <c r="AM854" s="1">
        <f>VLOOKUP($E854,'Product Parameters'!$A$2:$F$59,6,FALSE)</f>
        <v>4</v>
      </c>
      <c r="AN854" s="1">
        <f>VLOOKUP($C854,'Substrate Heating'!$A$2:$C$33,3,FALSE)</f>
        <v>1020.8629199999999</v>
      </c>
      <c r="AO854" s="1">
        <f>VLOOKUP($C854,'Substrate Heating'!$A$2:$B$33,2,FALSE)</f>
        <v>17</v>
      </c>
      <c r="AP854" s="1">
        <f>VLOOKUP($C854,'Substrate Heating'!$A$2:$M$33,13,FALSE)</f>
        <v>4</v>
      </c>
      <c r="AQ854" s="1">
        <f>VLOOKUP($C854,'Substrate Heating'!$A$2:$M$33,8,FALSE)</f>
        <v>2</v>
      </c>
      <c r="AR854" s="1">
        <f t="shared" si="13"/>
        <v>0.54545454545454597</v>
      </c>
    </row>
    <row r="855" spans="1:44" x14ac:dyDescent="0.2">
      <c r="A855" s="8" t="s">
        <v>34</v>
      </c>
      <c r="B855" s="9" t="s">
        <v>35</v>
      </c>
      <c r="C855" s="1" t="s">
        <v>344</v>
      </c>
      <c r="D855" s="10" t="s">
        <v>37</v>
      </c>
      <c r="E855" s="1" t="s">
        <v>38</v>
      </c>
      <c r="F855" s="1" t="s">
        <v>39</v>
      </c>
      <c r="G855" s="1">
        <v>-10</v>
      </c>
      <c r="H855" s="1">
        <v>-20</v>
      </c>
      <c r="I855" s="1" t="s">
        <v>40</v>
      </c>
      <c r="J855" s="1">
        <v>3.15</v>
      </c>
      <c r="K855" s="1">
        <v>-10</v>
      </c>
      <c r="L855" s="1">
        <v>-5</v>
      </c>
      <c r="M855" s="1" t="s">
        <v>40</v>
      </c>
      <c r="N855" s="1">
        <v>9.0909090909091006</v>
      </c>
      <c r="O855" s="1">
        <v>2.7272727272727302</v>
      </c>
      <c r="Q855" s="1">
        <v>0.27272727272727298</v>
      </c>
      <c r="R855" s="1">
        <v>0.40927801965569299</v>
      </c>
      <c r="S855" s="1" t="str">
        <f>VLOOKUP($E855,'Product Naming'!$A$1:$P$58,2,FALSE)</f>
        <v>1-3-butanediol-PW1</v>
      </c>
      <c r="T855" s="1" t="str">
        <f>VLOOKUP($E855,'Product Naming'!$A$1:$P$58,3,FALSE)</f>
        <v>1,3-Butanediol (PW1)</v>
      </c>
      <c r="U855" s="1" t="str">
        <f>VLOOKUP($E855,'Product Naming'!$A$1:$P$58,4,FALSE)</f>
        <v>E</v>
      </c>
      <c r="V855" s="1" t="str">
        <f>VLOOKUP($E855,'Product Naming'!$A$1:$P$58,5,FALSE)</f>
        <v>C4H10O2</v>
      </c>
      <c r="W855" s="1">
        <f>VLOOKUP($E855,'Product Naming'!$A$1:$P$58,6,FALSE)</f>
        <v>4</v>
      </c>
      <c r="X855" s="1">
        <f>VLOOKUP($E855,'Product Naming'!$A$1:$P$58,7,FALSE)</f>
        <v>10</v>
      </c>
      <c r="Y855" s="1">
        <f>VLOOKUP($E855,'Product Naming'!$A$1:$P$58,8,FALSE)</f>
        <v>2</v>
      </c>
      <c r="Z855" s="1">
        <f>VLOOKUP($E855,'Product Naming'!$A$1:$P$58,9,FALSE)</f>
        <v>0</v>
      </c>
      <c r="AA855" s="1">
        <f>VLOOKUP($E855,'Product Naming'!$A$1:$P$58,10,FALSE)</f>
        <v>0</v>
      </c>
      <c r="AB855" s="29">
        <f>VLOOKUP($E855,'Product Naming'!$A$1:$P$58,11,FALSE)</f>
        <v>5.5</v>
      </c>
      <c r="AC855" s="3">
        <f>VLOOKUP($E855,'Product Naming'!$A$1:$P$58,12,FALSE)</f>
        <v>90.119200000000006</v>
      </c>
      <c r="AD855" s="1">
        <f>VLOOKUP($E855,'Product Naming'!$A$1:$P$58,13,FALSE)</f>
        <v>207</v>
      </c>
      <c r="AE855" s="1" t="str">
        <f>VLOOKUP($E855,'Product Naming'!$A$1:$P$58,14,FALSE)</f>
        <v>Diol</v>
      </c>
      <c r="AF855" s="1" t="str">
        <f>VLOOKUP($E855,'Product Naming'!$A$1:$P$58,15,FALSE)</f>
        <v>Acetyl-CoA</v>
      </c>
      <c r="AG855" s="30" t="str">
        <f>VLOOKUP($E855,'Product Naming'!$A$1:$P$58,16,FALSE)</f>
        <v>Proton symporter</v>
      </c>
      <c r="AH855" s="3" t="str">
        <f>VLOOKUP($E855,'Product Naming'!$A$1:$Q$58,17,FALSE)</f>
        <v>13bdo__R_c</v>
      </c>
      <c r="AI855" s="1">
        <f>VLOOKUP($E855,'Product Parameters'!$A$2:$D$59,2,FALSE)</f>
        <v>1</v>
      </c>
      <c r="AJ855" s="1">
        <f>VLOOKUP($E855,'Product Parameters'!$A$2:$D$59,3,FALSE)</f>
        <v>0</v>
      </c>
      <c r="AK855" s="1">
        <f>VLOOKUP($E855,'Product Parameters'!$A$2:$D$59,4,FALSE)</f>
        <v>0.12</v>
      </c>
      <c r="AL855" s="1">
        <f>VLOOKUP($E855,'Product Parameters'!$A$2:$E$59,5,FALSE)</f>
        <v>72.599999999999994</v>
      </c>
      <c r="AM855" s="1">
        <f>VLOOKUP($E855,'Product Parameters'!$A$2:$F$59,6,FALSE)</f>
        <v>4</v>
      </c>
      <c r="AN855" s="1">
        <f>VLOOKUP($C855,'Substrate Heating'!$A$2:$C$33,3,FALSE)</f>
        <v>1020.8629199999999</v>
      </c>
      <c r="AO855" s="1">
        <f>VLOOKUP($C855,'Substrate Heating'!$A$2:$B$33,2,FALSE)</f>
        <v>17</v>
      </c>
      <c r="AP855" s="1">
        <f>VLOOKUP($C855,'Substrate Heating'!$A$2:$M$33,13,FALSE)</f>
        <v>4</v>
      </c>
      <c r="AQ855" s="1">
        <f>VLOOKUP($C855,'Substrate Heating'!$A$2:$M$33,8,FALSE)</f>
        <v>2</v>
      </c>
      <c r="AR855" s="1">
        <f t="shared" si="13"/>
        <v>0.54545454545454597</v>
      </c>
    </row>
    <row r="856" spans="1:44" x14ac:dyDescent="0.2">
      <c r="A856" s="8" t="s">
        <v>34</v>
      </c>
      <c r="B856" s="9" t="s">
        <v>35</v>
      </c>
      <c r="C856" s="1" t="s">
        <v>344</v>
      </c>
      <c r="D856" s="10" t="s">
        <v>37</v>
      </c>
      <c r="E856" s="1" t="s">
        <v>85</v>
      </c>
      <c r="F856" s="1" t="s">
        <v>86</v>
      </c>
      <c r="G856" s="1">
        <v>-10</v>
      </c>
      <c r="H856" s="1">
        <v>-20</v>
      </c>
      <c r="I856" s="1" t="s">
        <v>40</v>
      </c>
      <c r="J856" s="1">
        <v>3.15</v>
      </c>
      <c r="K856" s="1">
        <v>-10</v>
      </c>
      <c r="L856" s="1">
        <v>-5</v>
      </c>
      <c r="M856" s="1" t="s">
        <v>40</v>
      </c>
      <c r="N856" s="1">
        <v>9.0909090909090899</v>
      </c>
      <c r="O856" s="1">
        <v>2.7272727272727302</v>
      </c>
      <c r="Q856" s="1">
        <v>0.27272727272727298</v>
      </c>
      <c r="R856" s="1">
        <v>0.40927801965569299</v>
      </c>
      <c r="S856" s="1" t="str">
        <f>VLOOKUP($E856,'Product Naming'!$A$1:$P$58,2,FALSE)</f>
        <v>2-3-butanediol</v>
      </c>
      <c r="T856" s="1" t="str">
        <f>VLOOKUP($E856,'Product Naming'!$A$1:$P$58,3,FALSE)</f>
        <v>2,3-Butanediol</v>
      </c>
      <c r="U856" s="1" t="str">
        <f>VLOOKUP($E856,'Product Naming'!$A$1:$P$58,4,FALSE)</f>
        <v>E</v>
      </c>
      <c r="V856" s="1" t="str">
        <f>VLOOKUP($E856,'Product Naming'!$A$1:$P$58,5,FALSE)</f>
        <v>C4H10O2</v>
      </c>
      <c r="W856" s="1">
        <f>VLOOKUP($E856,'Product Naming'!$A$1:$P$58,6,FALSE)</f>
        <v>4</v>
      </c>
      <c r="X856" s="1">
        <f>VLOOKUP($E856,'Product Naming'!$A$1:$P$58,7,FALSE)</f>
        <v>10</v>
      </c>
      <c r="Y856" s="1">
        <f>VLOOKUP($E856,'Product Naming'!$A$1:$P$58,8,FALSE)</f>
        <v>2</v>
      </c>
      <c r="Z856" s="1">
        <f>VLOOKUP($E856,'Product Naming'!$A$1:$P$58,9,FALSE)</f>
        <v>0</v>
      </c>
      <c r="AA856" s="1">
        <f>VLOOKUP($E856,'Product Naming'!$A$1:$P$58,10,FALSE)</f>
        <v>0</v>
      </c>
      <c r="AB856" s="29">
        <f>VLOOKUP($E856,'Product Naming'!$A$1:$P$58,11,FALSE)</f>
        <v>5.5</v>
      </c>
      <c r="AC856" s="3">
        <f>VLOOKUP($E856,'Product Naming'!$A$1:$P$58,12,FALSE)</f>
        <v>90.119200000000006</v>
      </c>
      <c r="AD856" s="1">
        <f>VLOOKUP($E856,'Product Naming'!$A$1:$P$58,13,FALSE)</f>
        <v>177</v>
      </c>
      <c r="AE856" s="1" t="str">
        <f>VLOOKUP($E856,'Product Naming'!$A$1:$P$58,14,FALSE)</f>
        <v>Diol</v>
      </c>
      <c r="AF856" s="1" t="str">
        <f>VLOOKUP($E856,'Product Naming'!$A$1:$P$58,15,FALSE)</f>
        <v>Pyruvate</v>
      </c>
      <c r="AG856" s="30" t="str">
        <f>VLOOKUP($E856,'Product Naming'!$A$1:$P$58,16,FALSE)</f>
        <v>Proton symporter</v>
      </c>
      <c r="AH856" s="3" t="str">
        <f>VLOOKUP($E856,'Product Naming'!$A$1:$Q$58,17,FALSE)</f>
        <v>btd_RR_c</v>
      </c>
      <c r="AI856" s="1">
        <f>VLOOKUP($E856,'Product Parameters'!$A$2:$D$59,2,FALSE)</f>
        <v>1</v>
      </c>
      <c r="AJ856" s="1">
        <f>VLOOKUP($E856,'Product Parameters'!$A$2:$D$59,3,FALSE)</f>
        <v>0</v>
      </c>
      <c r="AK856" s="1">
        <f>VLOOKUP($E856,'Product Parameters'!$A$2:$D$59,4,FALSE)</f>
        <v>0.12</v>
      </c>
      <c r="AL856" s="1">
        <f>VLOOKUP($E856,'Product Parameters'!$A$2:$E$59,5,FALSE)</f>
        <v>63</v>
      </c>
      <c r="AM856" s="1">
        <f>VLOOKUP($E856,'Product Parameters'!$A$2:$F$59,6,FALSE)</f>
        <v>4</v>
      </c>
      <c r="AN856" s="1">
        <f>VLOOKUP($C856,'Substrate Heating'!$A$2:$C$33,3,FALSE)</f>
        <v>1020.8629199999999</v>
      </c>
      <c r="AO856" s="1">
        <f>VLOOKUP($C856,'Substrate Heating'!$A$2:$B$33,2,FALSE)</f>
        <v>17</v>
      </c>
      <c r="AP856" s="1">
        <f>VLOOKUP($C856,'Substrate Heating'!$A$2:$M$33,13,FALSE)</f>
        <v>4</v>
      </c>
      <c r="AQ856" s="1">
        <f>VLOOKUP($C856,'Substrate Heating'!$A$2:$M$33,8,FALSE)</f>
        <v>2</v>
      </c>
      <c r="AR856" s="1">
        <f t="shared" si="13"/>
        <v>0.54545454545454597</v>
      </c>
    </row>
    <row r="857" spans="1:44" x14ac:dyDescent="0.2">
      <c r="A857" s="8" t="s">
        <v>34</v>
      </c>
      <c r="B857" s="9" t="s">
        <v>35</v>
      </c>
      <c r="C857" s="1" t="s">
        <v>332</v>
      </c>
      <c r="D857" s="10" t="s">
        <v>37</v>
      </c>
      <c r="E857" s="1" t="s">
        <v>306</v>
      </c>
      <c r="F857" s="1" t="s">
        <v>302</v>
      </c>
      <c r="G857" s="1">
        <v>-10</v>
      </c>
      <c r="H857" s="1">
        <v>-20</v>
      </c>
      <c r="I857" s="1" t="s">
        <v>40</v>
      </c>
      <c r="J857" s="1">
        <v>3.15</v>
      </c>
      <c r="K857" s="1">
        <v>-10</v>
      </c>
      <c r="L857" s="1">
        <v>-8.5588235294117592</v>
      </c>
      <c r="M857" s="1" t="s">
        <v>40</v>
      </c>
      <c r="N857" s="1">
        <v>7.1352941176470397</v>
      </c>
      <c r="O857" s="1">
        <v>4.2882352941176398</v>
      </c>
      <c r="Q857" s="1">
        <v>0.42882352941176399</v>
      </c>
      <c r="R857" s="1">
        <v>0.410461192138666</v>
      </c>
      <c r="S857" s="1" t="str">
        <f>VLOOKUP($E857,'Product Naming'!$A$1:$P$58,2,FALSE)</f>
        <v>Propane-PW2</v>
      </c>
      <c r="T857" s="1" t="str">
        <f>VLOOKUP($E857,'Product Naming'!$A$1:$P$58,3,FALSE)</f>
        <v>Propane (PW2)</v>
      </c>
      <c r="U857" s="1" t="str">
        <f>VLOOKUP($E857,'Product Naming'!$A$1:$P$58,4,FALSE)</f>
        <v>E</v>
      </c>
      <c r="V857" s="1" t="str">
        <f>VLOOKUP($E857,'Product Naming'!$A$1:$P$58,5,FALSE)</f>
        <v>C3H8</v>
      </c>
      <c r="W857" s="1">
        <f>VLOOKUP($E857,'Product Naming'!$A$1:$P$58,6,FALSE)</f>
        <v>3</v>
      </c>
      <c r="X857" s="1">
        <f>VLOOKUP($E857,'Product Naming'!$A$1:$P$58,7,FALSE)</f>
        <v>8</v>
      </c>
      <c r="Y857" s="1">
        <f>VLOOKUP($E857,'Product Naming'!$A$1:$P$58,8,FALSE)</f>
        <v>0</v>
      </c>
      <c r="Z857" s="1">
        <f>VLOOKUP($E857,'Product Naming'!$A$1:$P$58,9,FALSE)</f>
        <v>0</v>
      </c>
      <c r="AA857" s="1">
        <f>VLOOKUP($E857,'Product Naming'!$A$1:$P$58,10,FALSE)</f>
        <v>0</v>
      </c>
      <c r="AB857" s="29">
        <f>VLOOKUP($E857,'Product Naming'!$A$1:$P$58,11,FALSE)</f>
        <v>6.666666666666667</v>
      </c>
      <c r="AC857" s="3">
        <f>VLOOKUP($E857,'Product Naming'!$A$1:$P$58,12,FALSE)</f>
        <v>44.094819999999999</v>
      </c>
      <c r="AD857" s="1">
        <f>VLOOKUP($E857,'Product Naming'!$A$1:$P$58,13,FALSE)</f>
        <v>-42</v>
      </c>
      <c r="AE857" s="1" t="str">
        <f>VLOOKUP($E857,'Product Naming'!$A$1:$P$58,14,FALSE)</f>
        <v>Hydrocarbon</v>
      </c>
      <c r="AF857" s="1" t="str">
        <f>VLOOKUP($E857,'Product Naming'!$A$1:$P$58,15,FALSE)</f>
        <v>Oxaloacetate</v>
      </c>
      <c r="AG857" s="30" t="str">
        <f>VLOOKUP($E857,'Product Naming'!$A$1:$P$58,16,FALSE)</f>
        <v>Diffusion</v>
      </c>
      <c r="AH857" s="3" t="str">
        <f>VLOOKUP($E857,'Product Naming'!$A$1:$Q$58,17,FALSE)</f>
        <v>prop_c</v>
      </c>
      <c r="AI857" s="1">
        <f>VLOOKUP($E857,'Product Parameters'!$A$2:$D$59,2,FALSE)</f>
        <v>0</v>
      </c>
      <c r="AJ857" s="1">
        <f>VLOOKUP($E857,'Product Parameters'!$A$2:$D$59,3,FALSE)</f>
        <v>1</v>
      </c>
      <c r="AK857" s="1">
        <f>VLOOKUP($E857,'Product Parameters'!$A$2:$D$59,4,FALSE)</f>
        <v>0.12</v>
      </c>
      <c r="AL857" s="1">
        <f>VLOOKUP($E857,'Product Parameters'!$A$2:$E$59,5,FALSE)</f>
        <v>0</v>
      </c>
      <c r="AM857" s="1">
        <f>VLOOKUP($E857,'Product Parameters'!$A$2:$F$59,6,FALSE)</f>
        <v>3</v>
      </c>
      <c r="AN857" s="1">
        <f>VLOOKUP($C857,'Substrate Heating'!$A$2:$C$33,3,FALSE)</f>
        <v>1230.0006480000002</v>
      </c>
      <c r="AO857" s="1">
        <f>VLOOKUP($C857,'Substrate Heating'!$A$2:$B$33,2,FALSE)</f>
        <v>26.7</v>
      </c>
      <c r="AP857" s="1">
        <f>VLOOKUP($C857,'Substrate Heating'!$A$2:$M$33,13,FALSE)</f>
        <v>6</v>
      </c>
      <c r="AQ857" s="1">
        <f>VLOOKUP($C857,'Substrate Heating'!$A$2:$M$33,8,FALSE)</f>
        <v>2</v>
      </c>
      <c r="AR857" s="1">
        <f t="shared" si="13"/>
        <v>0.64323529411764602</v>
      </c>
    </row>
    <row r="858" spans="1:44" x14ac:dyDescent="0.2">
      <c r="A858" s="17" t="s">
        <v>323</v>
      </c>
      <c r="B858" s="18" t="s">
        <v>324</v>
      </c>
      <c r="C858" t="s">
        <v>329</v>
      </c>
      <c r="D858" s="19" t="s">
        <v>326</v>
      </c>
      <c r="E858" t="s">
        <v>103</v>
      </c>
      <c r="F858" t="s">
        <v>104</v>
      </c>
      <c r="G858">
        <v>-10</v>
      </c>
      <c r="H858">
        <v>0</v>
      </c>
      <c r="I858">
        <v>-20</v>
      </c>
      <c r="J858">
        <v>0.45</v>
      </c>
      <c r="K858">
        <v>-10</v>
      </c>
      <c r="L858">
        <v>0</v>
      </c>
      <c r="M858">
        <v>-20</v>
      </c>
      <c r="N858">
        <v>0</v>
      </c>
      <c r="O858">
        <v>1.2888888888888901</v>
      </c>
      <c r="P858"/>
      <c r="Q858">
        <v>0.128888888888889</v>
      </c>
      <c r="R858" s="20">
        <v>0.41088796533194699</v>
      </c>
      <c r="S858" s="1" t="str">
        <f>VLOOKUP($E858,'Product Naming'!$A$1:$P$58,2,FALSE)</f>
        <v>3-Methyl-1-Pentanol</v>
      </c>
      <c r="T858" s="1" t="str">
        <f>VLOOKUP($E858,'Product Naming'!$A$1:$P$58,3,FALSE)</f>
        <v>3-Methyl-1-pentanol</v>
      </c>
      <c r="U858" s="1" t="str">
        <f>VLOOKUP($E858,'Product Naming'!$A$1:$P$58,4,FALSE)</f>
        <v>A</v>
      </c>
      <c r="V858" s="1" t="str">
        <f>VLOOKUP($E858,'Product Naming'!$A$1:$P$58,5,FALSE)</f>
        <v>C6H14O</v>
      </c>
      <c r="W858" s="1">
        <f>VLOOKUP($E858,'Product Naming'!$A$1:$P$58,6,FALSE)</f>
        <v>6</v>
      </c>
      <c r="X858" s="1">
        <f>VLOOKUP($E858,'Product Naming'!$A$1:$P$58,7,FALSE)</f>
        <v>14</v>
      </c>
      <c r="Y858" s="1">
        <f>VLOOKUP($E858,'Product Naming'!$A$1:$P$58,8,FALSE)</f>
        <v>1</v>
      </c>
      <c r="Z858" s="1">
        <f>VLOOKUP($E858,'Product Naming'!$A$1:$P$58,9,FALSE)</f>
        <v>0</v>
      </c>
      <c r="AA858" s="1">
        <f>VLOOKUP($E858,'Product Naming'!$A$1:$P$58,10,FALSE)</f>
        <v>0</v>
      </c>
      <c r="AB858" s="29">
        <f>VLOOKUP($E858,'Product Naming'!$A$1:$P$58,11,FALSE)</f>
        <v>6</v>
      </c>
      <c r="AC858" s="3">
        <f>VLOOKUP($E858,'Product Naming'!$A$1:$P$58,12,FALSE)</f>
        <v>102.17295999999999</v>
      </c>
      <c r="AD858" s="1">
        <f>VLOOKUP($E858,'Product Naming'!$A$1:$P$58,13,FALSE)</f>
        <v>153</v>
      </c>
      <c r="AE858" s="1" t="str">
        <f>VLOOKUP($E858,'Product Naming'!$A$1:$P$58,14,FALSE)</f>
        <v>Alcohol</v>
      </c>
      <c r="AF858" s="1" t="str">
        <f>VLOOKUP($E858,'Product Naming'!$A$1:$P$58,15,FALSE)</f>
        <v>Oxaloacetate</v>
      </c>
      <c r="AG858" s="30" t="str">
        <f>VLOOKUP($E858,'Product Naming'!$A$1:$P$58,16,FALSE)</f>
        <v>Proton symporter</v>
      </c>
      <c r="AH858" s="3" t="str">
        <f>VLOOKUP($E858,'Product Naming'!$A$1:$Q$58,17,FALSE)</f>
        <v>3mptoh_c</v>
      </c>
      <c r="AI858" s="1">
        <f>VLOOKUP($E858,'Product Parameters'!$A$2:$D$59,2,FALSE)</f>
        <v>1</v>
      </c>
      <c r="AJ858" s="1">
        <f>VLOOKUP($E858,'Product Parameters'!$A$2:$D$59,3,FALSE)</f>
        <v>0</v>
      </c>
      <c r="AK858" s="1">
        <f>VLOOKUP($E858,'Product Parameters'!$A$2:$D$59,4,FALSE)</f>
        <v>0.12</v>
      </c>
      <c r="AL858" s="1">
        <f>VLOOKUP($E858,'Product Parameters'!$A$2:$E$59,5,FALSE)</f>
        <v>61.7</v>
      </c>
      <c r="AM858" s="1">
        <f>VLOOKUP($E858,'Product Parameters'!$A$2:$F$59,6,FALSE)</f>
        <v>6</v>
      </c>
      <c r="AN858" s="1">
        <f>VLOOKUP($C858,'Substrate Heating'!$A$2:$C$33,3,FALSE)</f>
        <v>255.53333333333336</v>
      </c>
      <c r="AO858" s="1">
        <f>VLOOKUP($C858,'Substrate Heating'!$A$2:$B$33,2,FALSE)</f>
        <v>23.925550527978785</v>
      </c>
      <c r="AP858" s="1">
        <f>VLOOKUP($C858,'Substrate Heating'!$A$2:$M$33,13,FALSE)</f>
        <v>0.66666666666666663</v>
      </c>
      <c r="AQ858" s="1">
        <f>VLOOKUP($C858,'Substrate Heating'!$A$2:$M$33,8,FALSE)</f>
        <v>0.33333333333333331</v>
      </c>
      <c r="AR858" s="1">
        <f t="shared" si="13"/>
        <v>2.3200000000000021</v>
      </c>
    </row>
    <row r="859" spans="1:44" x14ac:dyDescent="0.2">
      <c r="A859" s="8" t="s">
        <v>807</v>
      </c>
      <c r="B859" s="18" t="s">
        <v>324</v>
      </c>
      <c r="C859" t="s">
        <v>372</v>
      </c>
      <c r="D859" s="23" t="s">
        <v>338</v>
      </c>
      <c r="E859" t="s">
        <v>103</v>
      </c>
      <c r="F859" t="s">
        <v>104</v>
      </c>
      <c r="G859">
        <v>-10</v>
      </c>
      <c r="H859">
        <v>0</v>
      </c>
      <c r="I859">
        <v>0</v>
      </c>
      <c r="J859">
        <v>0.45</v>
      </c>
      <c r="K859">
        <v>-10</v>
      </c>
      <c r="L859">
        <v>0</v>
      </c>
      <c r="M859">
        <v>0</v>
      </c>
      <c r="N859">
        <v>0</v>
      </c>
      <c r="O859">
        <v>1.2888888888888801</v>
      </c>
      <c r="P859"/>
      <c r="Q859">
        <v>0.128888888888888</v>
      </c>
      <c r="R859">
        <v>0.41100261005375199</v>
      </c>
      <c r="S859" s="1" t="str">
        <f>VLOOKUP($E859,'Product Naming'!$A$1:$P$58,2,FALSE)</f>
        <v>3-Methyl-1-Pentanol</v>
      </c>
      <c r="T859" s="1" t="str">
        <f>VLOOKUP($E859,'Product Naming'!$A$1:$P$58,3,FALSE)</f>
        <v>3-Methyl-1-pentanol</v>
      </c>
      <c r="U859" s="1" t="str">
        <f>VLOOKUP($E859,'Product Naming'!$A$1:$P$58,4,FALSE)</f>
        <v>A</v>
      </c>
      <c r="V859" s="1" t="str">
        <f>VLOOKUP($E859,'Product Naming'!$A$1:$P$58,5,FALSE)</f>
        <v>C6H14O</v>
      </c>
      <c r="W859" s="1">
        <f>VLOOKUP($E859,'Product Naming'!$A$1:$P$58,6,FALSE)</f>
        <v>6</v>
      </c>
      <c r="X859" s="1">
        <f>VLOOKUP($E859,'Product Naming'!$A$1:$P$58,7,FALSE)</f>
        <v>14</v>
      </c>
      <c r="Y859" s="1">
        <f>VLOOKUP($E859,'Product Naming'!$A$1:$P$58,8,FALSE)</f>
        <v>1</v>
      </c>
      <c r="Z859" s="1">
        <f>VLOOKUP($E859,'Product Naming'!$A$1:$P$58,9,FALSE)</f>
        <v>0</v>
      </c>
      <c r="AA859" s="1">
        <f>VLOOKUP($E859,'Product Naming'!$A$1:$P$58,10,FALSE)</f>
        <v>0</v>
      </c>
      <c r="AB859" s="29">
        <f>VLOOKUP($E859,'Product Naming'!$A$1:$P$58,11,FALSE)</f>
        <v>6</v>
      </c>
      <c r="AC859" s="3">
        <f>VLOOKUP($E859,'Product Naming'!$A$1:$P$58,12,FALSE)</f>
        <v>102.17295999999999</v>
      </c>
      <c r="AD859" s="1">
        <f>VLOOKUP($E859,'Product Naming'!$A$1:$P$58,13,FALSE)</f>
        <v>153</v>
      </c>
      <c r="AE859" s="1" t="str">
        <f>VLOOKUP($E859,'Product Naming'!$A$1:$P$58,14,FALSE)</f>
        <v>Alcohol</v>
      </c>
      <c r="AF859" s="1" t="str">
        <f>VLOOKUP($E859,'Product Naming'!$A$1:$P$58,15,FALSE)</f>
        <v>Oxaloacetate</v>
      </c>
      <c r="AG859" s="30" t="str">
        <f>VLOOKUP($E859,'Product Naming'!$A$1:$P$58,16,FALSE)</f>
        <v>Proton symporter</v>
      </c>
      <c r="AH859" s="3" t="str">
        <f>VLOOKUP($E859,'Product Naming'!$A$1:$Q$58,17,FALSE)</f>
        <v>3mptoh_c</v>
      </c>
      <c r="AI859" s="1">
        <f>VLOOKUP($E859,'Product Parameters'!$A$2:$D$59,2,FALSE)</f>
        <v>1</v>
      </c>
      <c r="AJ859" s="1">
        <f>VLOOKUP($E859,'Product Parameters'!$A$2:$D$59,3,FALSE)</f>
        <v>0</v>
      </c>
      <c r="AK859" s="1">
        <f>VLOOKUP($E859,'Product Parameters'!$A$2:$D$59,4,FALSE)</f>
        <v>0.12</v>
      </c>
      <c r="AL859" s="1">
        <f>VLOOKUP($E859,'Product Parameters'!$A$2:$E$59,5,FALSE)</f>
        <v>61.7</v>
      </c>
      <c r="AM859" s="1">
        <f>VLOOKUP($E859,'Product Parameters'!$A$2:$F$59,6,FALSE)</f>
        <v>6</v>
      </c>
      <c r="AN859" s="1">
        <f>VLOOKUP($C859,'Substrate Heating'!$A$2:$C$33,3,FALSE)</f>
        <v>638.57832580000002</v>
      </c>
      <c r="AO859" s="1">
        <f>VLOOKUP($C859,'Substrate Heating'!$A$2:$B$33,2,FALSE)</f>
        <v>19.93</v>
      </c>
      <c r="AP859" s="1">
        <f>VLOOKUP($C859,'Substrate Heating'!$A$2:$M$33,13,FALSE)</f>
        <v>6</v>
      </c>
      <c r="AQ859" s="1">
        <f>VLOOKUP($C859,'Substrate Heating'!$A$2:$M$33,8,FALSE)</f>
        <v>1</v>
      </c>
      <c r="AR859" s="1">
        <f t="shared" si="13"/>
        <v>0.77333333333332799</v>
      </c>
    </row>
    <row r="860" spans="1:44" x14ac:dyDescent="0.2">
      <c r="A860" s="8" t="s">
        <v>34</v>
      </c>
      <c r="B860" s="9" t="s">
        <v>35</v>
      </c>
      <c r="C860" s="1" t="s">
        <v>348</v>
      </c>
      <c r="D860" s="23" t="s">
        <v>338</v>
      </c>
      <c r="E860" s="1" t="s">
        <v>192</v>
      </c>
      <c r="F860" s="1" t="s">
        <v>193</v>
      </c>
      <c r="G860" s="1">
        <v>-10</v>
      </c>
      <c r="H860" s="1">
        <v>-20</v>
      </c>
      <c r="I860" s="1" t="s">
        <v>40</v>
      </c>
      <c r="J860" s="1">
        <v>3.15</v>
      </c>
      <c r="K860" s="1">
        <v>-10</v>
      </c>
      <c r="L860" s="1">
        <v>-7.3279210925644902</v>
      </c>
      <c r="M860" s="1" t="s">
        <v>40</v>
      </c>
      <c r="N860" s="1">
        <v>2.73171471927163</v>
      </c>
      <c r="O860" s="1">
        <v>0.80758725341426396</v>
      </c>
      <c r="Q860" s="1">
        <v>8.0758725341426404E-2</v>
      </c>
      <c r="R860" s="1">
        <v>0.41121108535652701</v>
      </c>
      <c r="S860" s="1" t="str">
        <f>VLOOKUP($E860,'Product Naming'!$A$1:$P$58,2,FALSE)</f>
        <v>Coumaric acid</v>
      </c>
      <c r="T860" s="1" t="str">
        <f>VLOOKUP($E860,'Product Naming'!$A$1:$P$58,3,FALSE)</f>
        <v>Coumaric acid</v>
      </c>
      <c r="U860" s="1" t="str">
        <f>VLOOKUP($E860,'Product Naming'!$A$1:$P$58,4,FALSE)</f>
        <v>E</v>
      </c>
      <c r="V860" s="1" t="str">
        <f>VLOOKUP($E860,'Product Naming'!$A$1:$P$58,5,FALSE)</f>
        <v>C9H7O3</v>
      </c>
      <c r="W860" s="1">
        <f>VLOOKUP($E860,'Product Naming'!$A$1:$P$58,6,FALSE)</f>
        <v>9</v>
      </c>
      <c r="X860" s="1">
        <f>VLOOKUP($E860,'Product Naming'!$A$1:$P$58,7,FALSE)</f>
        <v>7</v>
      </c>
      <c r="Y860" s="1">
        <f>VLOOKUP($E860,'Product Naming'!$A$1:$P$58,8,FALSE)</f>
        <v>3</v>
      </c>
      <c r="Z860" s="1">
        <f>VLOOKUP($E860,'Product Naming'!$A$1:$P$58,9,FALSE)</f>
        <v>0</v>
      </c>
      <c r="AA860" s="1">
        <f>VLOOKUP($E860,'Product Naming'!$A$1:$P$58,10,FALSE)</f>
        <v>-1</v>
      </c>
      <c r="AB860" s="29">
        <f>VLOOKUP($E860,'Product Naming'!$A$1:$P$58,11,FALSE)</f>
        <v>4.1111111111111107</v>
      </c>
      <c r="AC860" s="3">
        <f>VLOOKUP($E860,'Product Naming'!$A$1:$P$58,12,FALSE)</f>
        <v>163.14818</v>
      </c>
      <c r="AD860" s="1">
        <f>VLOOKUP($E860,'Product Naming'!$A$1:$P$58,13,FALSE)</f>
        <v>346</v>
      </c>
      <c r="AE860" s="1" t="str">
        <f>VLOOKUP($E860,'Product Naming'!$A$1:$P$58,14,FALSE)</f>
        <v>Aromatic + Alcohol + Carboxylate</v>
      </c>
      <c r="AF860" s="1" t="str">
        <f>VLOOKUP($E860,'Product Naming'!$A$1:$P$58,15,FALSE)</f>
        <v>E4P + L-glutamate</v>
      </c>
      <c r="AG860" s="30" t="str">
        <f>VLOOKUP($E860,'Product Naming'!$A$1:$P$58,16,FALSE)</f>
        <v>Proton symporter</v>
      </c>
      <c r="AH860" s="3" t="str">
        <f>VLOOKUP($E860,'Product Naming'!$A$1:$Q$58,17,FALSE)</f>
        <v>T4hcinnm_c</v>
      </c>
      <c r="AI860" s="1">
        <f>VLOOKUP($E860,'Product Parameters'!$A$2:$D$59,2,FALSE)</f>
        <v>1</v>
      </c>
      <c r="AJ860" s="1">
        <f>VLOOKUP($E860,'Product Parameters'!$A$2:$D$59,3,FALSE)</f>
        <v>0</v>
      </c>
      <c r="AK860" s="1">
        <f>VLOOKUP($E860,'Product Parameters'!$A$2:$D$59,4,FALSE)</f>
        <v>0.12</v>
      </c>
      <c r="AL860" s="1">
        <f>VLOOKUP($E860,'Product Parameters'!$A$2:$E$59,5,FALSE)</f>
        <v>40.65</v>
      </c>
      <c r="AM860" s="1">
        <f>VLOOKUP($E860,'Product Parameters'!$A$2:$F$59,6,FALSE)</f>
        <v>9</v>
      </c>
      <c r="AN860" s="1">
        <f>VLOOKUP($C860,'Substrate Heating'!$A$2:$C$33,3,FALSE)</f>
        <v>638.57832580000002</v>
      </c>
      <c r="AO860" s="1">
        <f>VLOOKUP($C860,'Substrate Heating'!$A$2:$B$33,2,FALSE)</f>
        <v>19.93</v>
      </c>
      <c r="AP860" s="1">
        <f>VLOOKUP($C860,'Substrate Heating'!$A$2:$M$33,13,FALSE)</f>
        <v>6</v>
      </c>
      <c r="AQ860" s="1">
        <f>VLOOKUP($C860,'Substrate Heating'!$A$2:$M$33,8,FALSE)</f>
        <v>1</v>
      </c>
      <c r="AR860" s="1">
        <f t="shared" si="13"/>
        <v>0.7268285280728376</v>
      </c>
    </row>
    <row r="861" spans="1:44" x14ac:dyDescent="0.2">
      <c r="A861" s="17" t="s">
        <v>323</v>
      </c>
      <c r="B861" s="18" t="s">
        <v>324</v>
      </c>
      <c r="C861" t="s">
        <v>328</v>
      </c>
      <c r="D861" s="19" t="s">
        <v>326</v>
      </c>
      <c r="E861" t="s">
        <v>164</v>
      </c>
      <c r="F861" t="s">
        <v>165</v>
      </c>
      <c r="G861">
        <v>-10</v>
      </c>
      <c r="H861">
        <v>0</v>
      </c>
      <c r="I861">
        <v>-10</v>
      </c>
      <c r="J861">
        <v>0.45</v>
      </c>
      <c r="K861">
        <v>-10</v>
      </c>
      <c r="L861">
        <v>0</v>
      </c>
      <c r="M861">
        <v>-10</v>
      </c>
      <c r="N861">
        <v>3.3333333333333299</v>
      </c>
      <c r="O861">
        <v>1.6666666666666601</v>
      </c>
      <c r="P861"/>
      <c r="Q861">
        <v>0.16666666666666599</v>
      </c>
      <c r="R861">
        <v>0.41136752136751997</v>
      </c>
      <c r="S861" s="1" t="str">
        <f>VLOOKUP($E861,'Product Naming'!$A$1:$P$58,2,FALSE)</f>
        <v>Butanol-PW1</v>
      </c>
      <c r="T861" s="1" t="str">
        <f>VLOOKUP($E861,'Product Naming'!$A$1:$P$58,3,FALSE)</f>
        <v>Butanol (PW1)</v>
      </c>
      <c r="U861" s="1" t="str">
        <f>VLOOKUP($E861,'Product Naming'!$A$1:$P$58,4,FALSE)</f>
        <v>E</v>
      </c>
      <c r="V861" s="1" t="str">
        <f>VLOOKUP($E861,'Product Naming'!$A$1:$P$58,5,FALSE)</f>
        <v>C4H10O</v>
      </c>
      <c r="W861" s="1">
        <f>VLOOKUP($E861,'Product Naming'!$A$1:$P$58,6,FALSE)</f>
        <v>4</v>
      </c>
      <c r="X861" s="1">
        <f>VLOOKUP($E861,'Product Naming'!$A$1:$P$58,7,FALSE)</f>
        <v>10</v>
      </c>
      <c r="Y861" s="1">
        <f>VLOOKUP($E861,'Product Naming'!$A$1:$P$58,8,FALSE)</f>
        <v>1</v>
      </c>
      <c r="Z861" s="1">
        <f>VLOOKUP($E861,'Product Naming'!$A$1:$P$58,9,FALSE)</f>
        <v>0</v>
      </c>
      <c r="AA861" s="1">
        <f>VLOOKUP($E861,'Product Naming'!$A$1:$P$58,10,FALSE)</f>
        <v>0</v>
      </c>
      <c r="AB861" s="29">
        <f>VLOOKUP($E861,'Product Naming'!$A$1:$P$58,11,FALSE)</f>
        <v>6</v>
      </c>
      <c r="AC861" s="3">
        <f>VLOOKUP($E861,'Product Naming'!$A$1:$P$58,12,FALSE)</f>
        <v>74.120199999999997</v>
      </c>
      <c r="AD861" s="1">
        <f>VLOOKUP($E861,'Product Naming'!$A$1:$P$58,13,FALSE)</f>
        <v>117.7</v>
      </c>
      <c r="AE861" s="1" t="str">
        <f>VLOOKUP($E861,'Product Naming'!$A$1:$P$58,14,FALSE)</f>
        <v>Alcohol</v>
      </c>
      <c r="AF861" s="1" t="str">
        <f>VLOOKUP($E861,'Product Naming'!$A$1:$P$58,15,FALSE)</f>
        <v>Acetyl-CoA</v>
      </c>
      <c r="AG861" s="30" t="str">
        <f>VLOOKUP($E861,'Product Naming'!$A$1:$P$58,16,FALSE)</f>
        <v>Proton symporter</v>
      </c>
      <c r="AH861" s="3" t="str">
        <f>VLOOKUP($E861,'Product Naming'!$A$1:$Q$58,17,FALSE)</f>
        <v>btoh_c</v>
      </c>
      <c r="AI861" s="1">
        <f>VLOOKUP($E861,'Product Parameters'!$A$2:$D$59,2,FALSE)</f>
        <v>1</v>
      </c>
      <c r="AJ861" s="1">
        <f>VLOOKUP($E861,'Product Parameters'!$A$2:$D$59,3,FALSE)</f>
        <v>0</v>
      </c>
      <c r="AK861" s="1">
        <f>VLOOKUP($E861,'Product Parameters'!$A$2:$D$59,4,FALSE)</f>
        <v>0.12</v>
      </c>
      <c r="AL861" s="1">
        <f>VLOOKUP($E861,'Product Parameters'!$A$2:$E$59,5,FALSE)</f>
        <v>52</v>
      </c>
      <c r="AM861" s="1">
        <f>VLOOKUP($E861,'Product Parameters'!$A$2:$F$59,6,FALSE)</f>
        <v>4</v>
      </c>
      <c r="AN861" s="1">
        <f>VLOOKUP($C861,'Substrate Heating'!$A$2:$C$33,3,FALSE)</f>
        <v>262.39999999999998</v>
      </c>
      <c r="AO861" s="1">
        <f>VLOOKUP($C861,'Substrate Heating'!$A$2:$B$33,2,FALSE)</f>
        <v>17.478546483008707</v>
      </c>
      <c r="AP861" s="1">
        <f>VLOOKUP($C861,'Substrate Heating'!$A$2:$M$33,13,FALSE)</f>
        <v>1</v>
      </c>
      <c r="AQ861" s="1">
        <f>VLOOKUP($C861,'Substrate Heating'!$A$2:$M$33,8,FALSE)</f>
        <v>0.5</v>
      </c>
      <c r="AR861" s="1">
        <f t="shared" si="13"/>
        <v>1.3333333333333279</v>
      </c>
    </row>
    <row r="862" spans="1:44" x14ac:dyDescent="0.2">
      <c r="A862" s="17" t="s">
        <v>323</v>
      </c>
      <c r="B862" s="18" t="s">
        <v>324</v>
      </c>
      <c r="C862" t="s">
        <v>328</v>
      </c>
      <c r="D862" s="19" t="s">
        <v>326</v>
      </c>
      <c r="E862" t="s">
        <v>169</v>
      </c>
      <c r="F862" t="s">
        <v>165</v>
      </c>
      <c r="G862">
        <v>-10</v>
      </c>
      <c r="H862">
        <v>0</v>
      </c>
      <c r="I862">
        <v>-10</v>
      </c>
      <c r="J862">
        <v>0.45</v>
      </c>
      <c r="K862">
        <v>-10</v>
      </c>
      <c r="L862">
        <v>0</v>
      </c>
      <c r="M862">
        <v>-10</v>
      </c>
      <c r="N862">
        <v>3.3333333333333299</v>
      </c>
      <c r="O862">
        <v>1.6666666666666701</v>
      </c>
      <c r="P862"/>
      <c r="Q862">
        <v>0.16666666666666699</v>
      </c>
      <c r="R862">
        <v>0.41136752136752103</v>
      </c>
      <c r="S862" s="1" t="str">
        <f>VLOOKUP($E862,'Product Naming'!$A$1:$P$58,2,FALSE)</f>
        <v>Butanol-PW2</v>
      </c>
      <c r="T862" s="1" t="str">
        <f>VLOOKUP($E862,'Product Naming'!$A$1:$P$58,3,FALSE)</f>
        <v>Butanol (PW2)</v>
      </c>
      <c r="U862" s="1" t="str">
        <f>VLOOKUP($E862,'Product Naming'!$A$1:$P$58,4,FALSE)</f>
        <v>E</v>
      </c>
      <c r="V862" s="1" t="str">
        <f>VLOOKUP($E862,'Product Naming'!$A$1:$P$58,5,FALSE)</f>
        <v>C4H10O</v>
      </c>
      <c r="W862" s="1">
        <f>VLOOKUP($E862,'Product Naming'!$A$1:$P$58,6,FALSE)</f>
        <v>4</v>
      </c>
      <c r="X862" s="1">
        <f>VLOOKUP($E862,'Product Naming'!$A$1:$P$58,7,FALSE)</f>
        <v>10</v>
      </c>
      <c r="Y862" s="1">
        <f>VLOOKUP($E862,'Product Naming'!$A$1:$P$58,8,FALSE)</f>
        <v>1</v>
      </c>
      <c r="Z862" s="1">
        <f>VLOOKUP($E862,'Product Naming'!$A$1:$P$58,9,FALSE)</f>
        <v>0</v>
      </c>
      <c r="AA862" s="1">
        <f>VLOOKUP($E862,'Product Naming'!$A$1:$P$58,10,FALSE)</f>
        <v>0</v>
      </c>
      <c r="AB862" s="29">
        <f>VLOOKUP($E862,'Product Naming'!$A$1:$P$58,11,FALSE)</f>
        <v>6</v>
      </c>
      <c r="AC862" s="3">
        <f>VLOOKUP($E862,'Product Naming'!$A$1:$P$58,12,FALSE)</f>
        <v>74.120199999999997</v>
      </c>
      <c r="AD862" s="1">
        <f>VLOOKUP($E862,'Product Naming'!$A$1:$P$58,13,FALSE)</f>
        <v>117.7</v>
      </c>
      <c r="AE862" s="1" t="str">
        <f>VLOOKUP($E862,'Product Naming'!$A$1:$P$58,14,FALSE)</f>
        <v>Alcohol</v>
      </c>
      <c r="AF862" s="1" t="str">
        <f>VLOOKUP($E862,'Product Naming'!$A$1:$P$58,15,FALSE)</f>
        <v>Oxaloacetate</v>
      </c>
      <c r="AG862" s="30" t="str">
        <f>VLOOKUP($E862,'Product Naming'!$A$1:$P$58,16,FALSE)</f>
        <v>Proton symporter</v>
      </c>
      <c r="AH862" s="3" t="str">
        <f>VLOOKUP($E862,'Product Naming'!$A$1:$Q$58,17,FALSE)</f>
        <v>btoh_c</v>
      </c>
      <c r="AI862" s="1">
        <f>VLOOKUP($E862,'Product Parameters'!$A$2:$D$59,2,FALSE)</f>
        <v>1</v>
      </c>
      <c r="AJ862" s="1">
        <f>VLOOKUP($E862,'Product Parameters'!$A$2:$D$59,3,FALSE)</f>
        <v>0</v>
      </c>
      <c r="AK862" s="1">
        <f>VLOOKUP($E862,'Product Parameters'!$A$2:$D$59,4,FALSE)</f>
        <v>0.12</v>
      </c>
      <c r="AL862" s="1">
        <f>VLOOKUP($E862,'Product Parameters'!$A$2:$E$59,5,FALSE)</f>
        <v>52</v>
      </c>
      <c r="AM862" s="1">
        <f>VLOOKUP($E862,'Product Parameters'!$A$2:$F$59,6,FALSE)</f>
        <v>4</v>
      </c>
      <c r="AN862" s="1">
        <f>VLOOKUP($C862,'Substrate Heating'!$A$2:$C$33,3,FALSE)</f>
        <v>262.39999999999998</v>
      </c>
      <c r="AO862" s="1">
        <f>VLOOKUP($C862,'Substrate Heating'!$A$2:$B$33,2,FALSE)</f>
        <v>17.478546483008707</v>
      </c>
      <c r="AP862" s="1">
        <f>VLOOKUP($C862,'Substrate Heating'!$A$2:$M$33,13,FALSE)</f>
        <v>1</v>
      </c>
      <c r="AQ862" s="1">
        <f>VLOOKUP($C862,'Substrate Heating'!$A$2:$M$33,8,FALSE)</f>
        <v>0.5</v>
      </c>
      <c r="AR862" s="1">
        <f t="shared" si="13"/>
        <v>1.3333333333333359</v>
      </c>
    </row>
    <row r="863" spans="1:44" x14ac:dyDescent="0.2">
      <c r="A863" s="8" t="s">
        <v>34</v>
      </c>
      <c r="B863" s="9" t="s">
        <v>35</v>
      </c>
      <c r="C863" s="1" t="s">
        <v>349</v>
      </c>
      <c r="D863" s="25" t="s">
        <v>342</v>
      </c>
      <c r="E863" s="1" t="s">
        <v>164</v>
      </c>
      <c r="F863" s="1" t="s">
        <v>165</v>
      </c>
      <c r="G863" s="1">
        <v>-10</v>
      </c>
      <c r="H863" s="1">
        <v>-20</v>
      </c>
      <c r="I863" s="1" t="s">
        <v>40</v>
      </c>
      <c r="J863" s="1">
        <v>3.15</v>
      </c>
      <c r="K863" s="1">
        <v>-10</v>
      </c>
      <c r="L863" s="1">
        <v>-6.1397809156533099E-16</v>
      </c>
      <c r="M863" s="1" t="s">
        <v>40</v>
      </c>
      <c r="N863" s="1">
        <v>16.6666666666667</v>
      </c>
      <c r="O863" s="1">
        <v>8.3333333333333393</v>
      </c>
      <c r="Q863" s="1">
        <v>0.83333333333333404</v>
      </c>
      <c r="R863" s="1">
        <v>0.41142232287573</v>
      </c>
      <c r="S863" s="1" t="str">
        <f>VLOOKUP($E863,'Product Naming'!$A$1:$P$58,2,FALSE)</f>
        <v>Butanol-PW1</v>
      </c>
      <c r="T863" s="1" t="str">
        <f>VLOOKUP($E863,'Product Naming'!$A$1:$P$58,3,FALSE)</f>
        <v>Butanol (PW1)</v>
      </c>
      <c r="U863" s="1" t="str">
        <f>VLOOKUP($E863,'Product Naming'!$A$1:$P$58,4,FALSE)</f>
        <v>E</v>
      </c>
      <c r="V863" s="1" t="str">
        <f>VLOOKUP($E863,'Product Naming'!$A$1:$P$58,5,FALSE)</f>
        <v>C4H10O</v>
      </c>
      <c r="W863" s="1">
        <f>VLOOKUP($E863,'Product Naming'!$A$1:$P$58,6,FALSE)</f>
        <v>4</v>
      </c>
      <c r="X863" s="1">
        <f>VLOOKUP($E863,'Product Naming'!$A$1:$P$58,7,FALSE)</f>
        <v>10</v>
      </c>
      <c r="Y863" s="1">
        <f>VLOOKUP($E863,'Product Naming'!$A$1:$P$58,8,FALSE)</f>
        <v>1</v>
      </c>
      <c r="Z863" s="1">
        <f>VLOOKUP($E863,'Product Naming'!$A$1:$P$58,9,FALSE)</f>
        <v>0</v>
      </c>
      <c r="AA863" s="1">
        <f>VLOOKUP($E863,'Product Naming'!$A$1:$P$58,10,FALSE)</f>
        <v>0</v>
      </c>
      <c r="AB863" s="29">
        <f>VLOOKUP($E863,'Product Naming'!$A$1:$P$58,11,FALSE)</f>
        <v>6</v>
      </c>
      <c r="AC863" s="3">
        <f>VLOOKUP($E863,'Product Naming'!$A$1:$P$58,12,FALSE)</f>
        <v>74.120199999999997</v>
      </c>
      <c r="AD863" s="1">
        <f>VLOOKUP($E863,'Product Naming'!$A$1:$P$58,13,FALSE)</f>
        <v>117.7</v>
      </c>
      <c r="AE863" s="1" t="str">
        <f>VLOOKUP($E863,'Product Naming'!$A$1:$P$58,14,FALSE)</f>
        <v>Alcohol</v>
      </c>
      <c r="AF863" s="1" t="str">
        <f>VLOOKUP($E863,'Product Naming'!$A$1:$P$58,15,FALSE)</f>
        <v>Acetyl-CoA</v>
      </c>
      <c r="AG863" s="30" t="str">
        <f>VLOOKUP($E863,'Product Naming'!$A$1:$P$58,16,FALSE)</f>
        <v>Proton symporter</v>
      </c>
      <c r="AH863" s="3" t="str">
        <f>VLOOKUP($E863,'Product Naming'!$A$1:$Q$58,17,FALSE)</f>
        <v>btoh_c</v>
      </c>
      <c r="AI863" s="1">
        <f>VLOOKUP($E863,'Product Parameters'!$A$2:$D$59,2,FALSE)</f>
        <v>1</v>
      </c>
      <c r="AJ863" s="1">
        <f>VLOOKUP($E863,'Product Parameters'!$A$2:$D$59,3,FALSE)</f>
        <v>0</v>
      </c>
      <c r="AK863" s="1">
        <f>VLOOKUP($E863,'Product Parameters'!$A$2:$D$59,4,FALSE)</f>
        <v>0.12</v>
      </c>
      <c r="AL863" s="1">
        <f>VLOOKUP($E863,'Product Parameters'!$A$2:$E$59,5,FALSE)</f>
        <v>52</v>
      </c>
      <c r="AM863" s="1">
        <f>VLOOKUP($E863,'Product Parameters'!$A$2:$F$59,6,FALSE)</f>
        <v>4</v>
      </c>
      <c r="AN863" s="1">
        <f>VLOOKUP($C863,'Substrate Heating'!$A$2:$C$33,3,FALSE)</f>
        <v>2342.0279999999998</v>
      </c>
      <c r="AO863" s="1">
        <f>VLOOKUP($C863,'Substrate Heating'!$A$2:$B$33,2,FALSE)</f>
        <v>15.6</v>
      </c>
      <c r="AP863" s="1">
        <f>VLOOKUP($C863,'Substrate Heating'!$A$2:$M$33,13,FALSE)</f>
        <v>4</v>
      </c>
      <c r="AQ863" s="1">
        <f>VLOOKUP($C863,'Substrate Heating'!$A$2:$M$33,8,FALSE)</f>
        <v>5</v>
      </c>
      <c r="AR863" s="1">
        <f t="shared" si="13"/>
        <v>0.66666666666666718</v>
      </c>
    </row>
    <row r="864" spans="1:44" x14ac:dyDescent="0.2">
      <c r="A864" s="8" t="s">
        <v>34</v>
      </c>
      <c r="B864" s="9" t="s">
        <v>35</v>
      </c>
      <c r="C864" s="1" t="s">
        <v>341</v>
      </c>
      <c r="D864" s="24" t="s">
        <v>342</v>
      </c>
      <c r="E864" s="1" t="s">
        <v>164</v>
      </c>
      <c r="F864" s="1" t="s">
        <v>165</v>
      </c>
      <c r="G864" s="1">
        <v>-10</v>
      </c>
      <c r="H864" s="1">
        <v>-20</v>
      </c>
      <c r="I864" s="1" t="s">
        <v>40</v>
      </c>
      <c r="J864" s="1">
        <v>3.15</v>
      </c>
      <c r="K864" s="1">
        <v>-10</v>
      </c>
      <c r="L864" s="1">
        <v>-2.2233866094268402E-16</v>
      </c>
      <c r="M864" s="1" t="s">
        <v>40</v>
      </c>
      <c r="N864" s="1">
        <v>20.000000000000099</v>
      </c>
      <c r="O864" s="1">
        <v>10</v>
      </c>
      <c r="Q864" s="1">
        <v>1</v>
      </c>
      <c r="R864" s="1">
        <v>0.41143081841650903</v>
      </c>
      <c r="S864" s="1" t="str">
        <f>VLOOKUP($E864,'Product Naming'!$A$1:$P$58,2,FALSE)</f>
        <v>Butanol-PW1</v>
      </c>
      <c r="T864" s="1" t="str">
        <f>VLOOKUP($E864,'Product Naming'!$A$1:$P$58,3,FALSE)</f>
        <v>Butanol (PW1)</v>
      </c>
      <c r="U864" s="1" t="str">
        <f>VLOOKUP($E864,'Product Naming'!$A$1:$P$58,4,FALSE)</f>
        <v>E</v>
      </c>
      <c r="V864" s="1" t="str">
        <f>VLOOKUP($E864,'Product Naming'!$A$1:$P$58,5,FALSE)</f>
        <v>C4H10O</v>
      </c>
      <c r="W864" s="1">
        <f>VLOOKUP($E864,'Product Naming'!$A$1:$P$58,6,FALSE)</f>
        <v>4</v>
      </c>
      <c r="X864" s="1">
        <f>VLOOKUP($E864,'Product Naming'!$A$1:$P$58,7,FALSE)</f>
        <v>10</v>
      </c>
      <c r="Y864" s="1">
        <f>VLOOKUP($E864,'Product Naming'!$A$1:$P$58,8,FALSE)</f>
        <v>1</v>
      </c>
      <c r="Z864" s="1">
        <f>VLOOKUP($E864,'Product Naming'!$A$1:$P$58,9,FALSE)</f>
        <v>0</v>
      </c>
      <c r="AA864" s="1">
        <f>VLOOKUP($E864,'Product Naming'!$A$1:$P$58,10,FALSE)</f>
        <v>0</v>
      </c>
      <c r="AB864" s="29">
        <f>VLOOKUP($E864,'Product Naming'!$A$1:$P$58,11,FALSE)</f>
        <v>6</v>
      </c>
      <c r="AC864" s="3">
        <f>VLOOKUP($E864,'Product Naming'!$A$1:$P$58,12,FALSE)</f>
        <v>74.120199999999997</v>
      </c>
      <c r="AD864" s="1">
        <f>VLOOKUP($E864,'Product Naming'!$A$1:$P$58,13,FALSE)</f>
        <v>117.7</v>
      </c>
      <c r="AE864" s="1" t="str">
        <f>VLOOKUP($E864,'Product Naming'!$A$1:$P$58,14,FALSE)</f>
        <v>Alcohol</v>
      </c>
      <c r="AF864" s="1" t="str">
        <f>VLOOKUP($E864,'Product Naming'!$A$1:$P$58,15,FALSE)</f>
        <v>Acetyl-CoA</v>
      </c>
      <c r="AG864" s="30" t="str">
        <f>VLOOKUP($E864,'Product Naming'!$A$1:$P$58,16,FALSE)</f>
        <v>Proton symporter</v>
      </c>
      <c r="AH864" s="3" t="str">
        <f>VLOOKUP($E864,'Product Naming'!$A$1:$Q$58,17,FALSE)</f>
        <v>btoh_c</v>
      </c>
      <c r="AI864" s="1">
        <f>VLOOKUP($E864,'Product Parameters'!$A$2:$D$59,2,FALSE)</f>
        <v>1</v>
      </c>
      <c r="AJ864" s="1">
        <f>VLOOKUP($E864,'Product Parameters'!$A$2:$D$59,3,FALSE)</f>
        <v>0</v>
      </c>
      <c r="AK864" s="1">
        <f>VLOOKUP($E864,'Product Parameters'!$A$2:$D$59,4,FALSE)</f>
        <v>0.12</v>
      </c>
      <c r="AL864" s="1">
        <f>VLOOKUP($E864,'Product Parameters'!$A$2:$E$59,5,FALSE)</f>
        <v>52</v>
      </c>
      <c r="AM864" s="1">
        <f>VLOOKUP($E864,'Product Parameters'!$A$2:$F$59,6,FALSE)</f>
        <v>4</v>
      </c>
      <c r="AN864" s="1">
        <f>VLOOKUP($C864,'Substrate Heating'!$A$2:$C$33,3,FALSE)</f>
        <v>2828.4492</v>
      </c>
      <c r="AO864" s="1">
        <f>VLOOKUP($C864,'Substrate Heating'!$A$2:$B$33,2,FALSE)</f>
        <v>15.7</v>
      </c>
      <c r="AP864" s="1">
        <f>VLOOKUP($C864,'Substrate Heating'!$A$2:$M$33,13,FALSE)</f>
        <v>4</v>
      </c>
      <c r="AQ864" s="1">
        <f>VLOOKUP($C864,'Substrate Heating'!$A$2:$M$33,8,FALSE)</f>
        <v>6</v>
      </c>
      <c r="AR864" s="1">
        <f t="shared" si="13"/>
        <v>0.66666666666666663</v>
      </c>
    </row>
    <row r="865" spans="1:44" x14ac:dyDescent="0.2">
      <c r="A865" s="8" t="s">
        <v>816</v>
      </c>
      <c r="B865" s="18" t="s">
        <v>324</v>
      </c>
      <c r="C865" t="s">
        <v>815</v>
      </c>
      <c r="D865" s="19" t="s">
        <v>326</v>
      </c>
      <c r="E865" t="s">
        <v>38</v>
      </c>
      <c r="F865" t="s">
        <v>39</v>
      </c>
      <c r="G865">
        <v>-10</v>
      </c>
      <c r="H865">
        <v>0</v>
      </c>
      <c r="I865">
        <v>0</v>
      </c>
      <c r="J865">
        <v>0.45</v>
      </c>
      <c r="K865">
        <v>25.454545450000001</v>
      </c>
      <c r="L865">
        <v>0</v>
      </c>
      <c r="M865">
        <v>0</v>
      </c>
      <c r="N865">
        <v>25.454545450000001</v>
      </c>
      <c r="O865">
        <v>3.636363636</v>
      </c>
      <c r="P865"/>
      <c r="Q865">
        <v>0.14285714299999999</v>
      </c>
      <c r="R865">
        <v>0.41250148800000003</v>
      </c>
      <c r="S865" s="1" t="str">
        <f>VLOOKUP($E865,'Product Naming'!$A$1:$P$58,2,FALSE)</f>
        <v>1-3-butanediol-PW1</v>
      </c>
      <c r="T865" s="1" t="str">
        <f>VLOOKUP($E865,'Product Naming'!$A$1:$P$58,3,FALSE)</f>
        <v>1,3-Butanediol (PW1)</v>
      </c>
      <c r="U865" s="1" t="str">
        <f>VLOOKUP($E865,'Product Naming'!$A$1:$P$58,4,FALSE)</f>
        <v>E</v>
      </c>
      <c r="V865" s="1" t="str">
        <f>VLOOKUP($E865,'Product Naming'!$A$1:$P$58,5,FALSE)</f>
        <v>C4H10O2</v>
      </c>
      <c r="W865" s="1">
        <f>VLOOKUP($E865,'Product Naming'!$A$1:$P$58,6,FALSE)</f>
        <v>4</v>
      </c>
      <c r="X865" s="1">
        <f>VLOOKUP($E865,'Product Naming'!$A$1:$P$58,7,FALSE)</f>
        <v>10</v>
      </c>
      <c r="Y865" s="1">
        <f>VLOOKUP($E865,'Product Naming'!$A$1:$P$58,8,FALSE)</f>
        <v>2</v>
      </c>
      <c r="Z865" s="1">
        <f>VLOOKUP($E865,'Product Naming'!$A$1:$P$58,9,FALSE)</f>
        <v>0</v>
      </c>
      <c r="AA865" s="1">
        <f>VLOOKUP($E865,'Product Naming'!$A$1:$P$58,10,FALSE)</f>
        <v>0</v>
      </c>
      <c r="AB865" s="29">
        <f>VLOOKUP($E865,'Product Naming'!$A$1:$P$58,11,FALSE)</f>
        <v>5.5</v>
      </c>
      <c r="AC865" s="3">
        <f>VLOOKUP($E865,'Product Naming'!$A$1:$P$58,12,FALSE)</f>
        <v>90.119200000000006</v>
      </c>
      <c r="AD865" s="1">
        <f>VLOOKUP($E865,'Product Naming'!$A$1:$P$58,13,FALSE)</f>
        <v>207</v>
      </c>
      <c r="AE865" s="1" t="str">
        <f>VLOOKUP($E865,'Product Naming'!$A$1:$P$58,14,FALSE)</f>
        <v>Diol</v>
      </c>
      <c r="AF865" s="1" t="str">
        <f>VLOOKUP($E865,'Product Naming'!$A$1:$P$58,15,FALSE)</f>
        <v>Acetyl-CoA</v>
      </c>
      <c r="AG865" s="30" t="str">
        <f>VLOOKUP($E865,'Product Naming'!$A$1:$P$58,16,FALSE)</f>
        <v>Proton symporter</v>
      </c>
      <c r="AH865" s="3" t="str">
        <f>VLOOKUP($E865,'Product Naming'!$A$1:$Q$58,17,FALSE)</f>
        <v>13bdo__R_c</v>
      </c>
      <c r="AI865" s="1">
        <f>VLOOKUP($E865,'Product Parameters'!$A$2:$D$59,2,FALSE)</f>
        <v>1</v>
      </c>
      <c r="AJ865" s="1">
        <f>VLOOKUP($E865,'Product Parameters'!$A$2:$D$59,3,FALSE)</f>
        <v>0</v>
      </c>
      <c r="AK865" s="1">
        <f>VLOOKUP($E865,'Product Parameters'!$A$2:$D$59,4,FALSE)</f>
        <v>0.12</v>
      </c>
      <c r="AL865" s="1">
        <f>VLOOKUP($E865,'Product Parameters'!$A$2:$E$59,5,FALSE)</f>
        <v>72.599999999999994</v>
      </c>
      <c r="AM865" s="1">
        <f>VLOOKUP($E865,'Product Parameters'!$A$2:$F$59,6,FALSE)</f>
        <v>4</v>
      </c>
      <c r="AN865" s="1">
        <f>VLOOKUP($C865,'Substrate Heating'!$A$2:$C$33,3,FALSE)</f>
        <v>226.4</v>
      </c>
      <c r="AO865" s="1">
        <f>VLOOKUP($C865,'Substrate Heating'!$A$2:$B$33,2,FALSE)</f>
        <v>7.2542014450728134</v>
      </c>
      <c r="AP865" s="1">
        <f>VLOOKUP($C865,'Substrate Heating'!$A$2:$M$33,13,FALSE)</f>
        <v>1.6</v>
      </c>
      <c r="AQ865" s="1">
        <f>VLOOKUP($C865,'Substrate Heating'!$A$2:$M$33,8,FALSE)</f>
        <v>1</v>
      </c>
      <c r="AR865" s="1">
        <f t="shared" si="13"/>
        <v>0.57142857199999997</v>
      </c>
    </row>
    <row r="866" spans="1:44" x14ac:dyDescent="0.2">
      <c r="A866" s="8" t="s">
        <v>816</v>
      </c>
      <c r="B866" s="18" t="s">
        <v>324</v>
      </c>
      <c r="C866" t="s">
        <v>815</v>
      </c>
      <c r="D866" s="19" t="s">
        <v>326</v>
      </c>
      <c r="E866" t="s">
        <v>48</v>
      </c>
      <c r="F866" t="s">
        <v>39</v>
      </c>
      <c r="G866">
        <v>-10</v>
      </c>
      <c r="H866">
        <v>0</v>
      </c>
      <c r="I866">
        <v>0</v>
      </c>
      <c r="J866">
        <v>0.45</v>
      </c>
      <c r="K866">
        <v>25.454545450000001</v>
      </c>
      <c r="L866">
        <v>0</v>
      </c>
      <c r="M866">
        <v>0</v>
      </c>
      <c r="N866">
        <v>25.454545450000001</v>
      </c>
      <c r="O866">
        <v>3.636363636</v>
      </c>
      <c r="P866"/>
      <c r="Q866">
        <v>0.14285714299999999</v>
      </c>
      <c r="R866">
        <v>0.41250148800000003</v>
      </c>
      <c r="S866" s="1" t="str">
        <f>VLOOKUP($E866,'Product Naming'!$A$1:$P$58,2,FALSE)</f>
        <v>1-3-butanediol-PW2</v>
      </c>
      <c r="T866" s="1" t="str">
        <f>VLOOKUP($E866,'Product Naming'!$A$1:$P$58,3,FALSE)</f>
        <v>1,3-Butanediol (PW2)</v>
      </c>
      <c r="U866" s="1" t="str">
        <f>VLOOKUP($E866,'Product Naming'!$A$1:$P$58,4,FALSE)</f>
        <v>E</v>
      </c>
      <c r="V866" s="1" t="str">
        <f>VLOOKUP($E866,'Product Naming'!$A$1:$P$58,5,FALSE)</f>
        <v>C4H10O2</v>
      </c>
      <c r="W866" s="1">
        <f>VLOOKUP($E866,'Product Naming'!$A$1:$P$58,6,FALSE)</f>
        <v>4</v>
      </c>
      <c r="X866" s="1">
        <f>VLOOKUP($E866,'Product Naming'!$A$1:$P$58,7,FALSE)</f>
        <v>10</v>
      </c>
      <c r="Y866" s="1">
        <f>VLOOKUP($E866,'Product Naming'!$A$1:$P$58,8,FALSE)</f>
        <v>2</v>
      </c>
      <c r="Z866" s="1">
        <f>VLOOKUP($E866,'Product Naming'!$A$1:$P$58,9,FALSE)</f>
        <v>0</v>
      </c>
      <c r="AA866" s="1">
        <f>VLOOKUP($E866,'Product Naming'!$A$1:$P$58,10,FALSE)</f>
        <v>0</v>
      </c>
      <c r="AB866" s="29">
        <f>VLOOKUP($E866,'Product Naming'!$A$1:$P$58,11,FALSE)</f>
        <v>5.5</v>
      </c>
      <c r="AC866" s="3">
        <f>VLOOKUP($E866,'Product Naming'!$A$1:$P$58,12,FALSE)</f>
        <v>90.119200000000006</v>
      </c>
      <c r="AD866" s="1">
        <f>VLOOKUP($E866,'Product Naming'!$A$1:$P$58,13,FALSE)</f>
        <v>207</v>
      </c>
      <c r="AE866" s="1" t="str">
        <f>VLOOKUP($E866,'Product Naming'!$A$1:$P$58,14,FALSE)</f>
        <v>Diol</v>
      </c>
      <c r="AF866" s="1" t="str">
        <f>VLOOKUP($E866,'Product Naming'!$A$1:$P$58,15,FALSE)</f>
        <v>Pyruvate (acetalehyde)</v>
      </c>
      <c r="AG866" s="30" t="str">
        <f>VLOOKUP($E866,'Product Naming'!$A$1:$P$58,16,FALSE)</f>
        <v>Proton symporter</v>
      </c>
      <c r="AH866" s="3" t="str">
        <f>VLOOKUP($E866,'Product Naming'!$A$1:$Q$58,17,FALSE)</f>
        <v>13bdo__R_c</v>
      </c>
      <c r="AI866" s="1">
        <f>VLOOKUP($E866,'Product Parameters'!$A$2:$D$59,2,FALSE)</f>
        <v>1</v>
      </c>
      <c r="AJ866" s="1">
        <f>VLOOKUP($E866,'Product Parameters'!$A$2:$D$59,3,FALSE)</f>
        <v>0</v>
      </c>
      <c r="AK866" s="1">
        <f>VLOOKUP($E866,'Product Parameters'!$A$2:$D$59,4,FALSE)</f>
        <v>0.12</v>
      </c>
      <c r="AL866" s="1">
        <f>VLOOKUP($E866,'Product Parameters'!$A$2:$E$59,5,FALSE)</f>
        <v>72.599999999999994</v>
      </c>
      <c r="AM866" s="1">
        <f>VLOOKUP($E866,'Product Parameters'!$A$2:$F$59,6,FALSE)</f>
        <v>4</v>
      </c>
      <c r="AN866" s="1">
        <f>VLOOKUP($C866,'Substrate Heating'!$A$2:$C$33,3,FALSE)</f>
        <v>226.4</v>
      </c>
      <c r="AO866" s="1">
        <f>VLOOKUP($C866,'Substrate Heating'!$A$2:$B$33,2,FALSE)</f>
        <v>7.2542014450728134</v>
      </c>
      <c r="AP866" s="1">
        <f>VLOOKUP($C866,'Substrate Heating'!$A$2:$M$33,13,FALSE)</f>
        <v>1.6</v>
      </c>
      <c r="AQ866" s="1">
        <f>VLOOKUP($C866,'Substrate Heating'!$A$2:$M$33,8,FALSE)</f>
        <v>1</v>
      </c>
      <c r="AR866" s="1">
        <f t="shared" si="13"/>
        <v>0.57142857199999997</v>
      </c>
    </row>
    <row r="867" spans="1:44" x14ac:dyDescent="0.2">
      <c r="A867" s="8" t="s">
        <v>816</v>
      </c>
      <c r="B867" s="18" t="s">
        <v>324</v>
      </c>
      <c r="C867" t="s">
        <v>815</v>
      </c>
      <c r="D867" s="19" t="s">
        <v>326</v>
      </c>
      <c r="E867" t="s">
        <v>85</v>
      </c>
      <c r="F867" t="s">
        <v>86</v>
      </c>
      <c r="G867">
        <v>-10</v>
      </c>
      <c r="H867">
        <v>0</v>
      </c>
      <c r="I867">
        <v>0</v>
      </c>
      <c r="J867">
        <v>0.45</v>
      </c>
      <c r="K867">
        <v>25.454545450000001</v>
      </c>
      <c r="L867">
        <v>0</v>
      </c>
      <c r="M867">
        <v>0</v>
      </c>
      <c r="N867">
        <v>25.454545450000001</v>
      </c>
      <c r="O867">
        <v>3.636363636</v>
      </c>
      <c r="P867"/>
      <c r="Q867">
        <v>0.14285714299999999</v>
      </c>
      <c r="R867">
        <v>0.41250148800000003</v>
      </c>
      <c r="S867" s="1" t="str">
        <f>VLOOKUP($E867,'Product Naming'!$A$1:$P$58,2,FALSE)</f>
        <v>2-3-butanediol</v>
      </c>
      <c r="T867" s="1" t="str">
        <f>VLOOKUP($E867,'Product Naming'!$A$1:$P$58,3,FALSE)</f>
        <v>2,3-Butanediol</v>
      </c>
      <c r="U867" s="1" t="str">
        <f>VLOOKUP($E867,'Product Naming'!$A$1:$P$58,4,FALSE)</f>
        <v>E</v>
      </c>
      <c r="V867" s="1" t="str">
        <f>VLOOKUP($E867,'Product Naming'!$A$1:$P$58,5,FALSE)</f>
        <v>C4H10O2</v>
      </c>
      <c r="W867" s="1">
        <f>VLOOKUP($E867,'Product Naming'!$A$1:$P$58,6,FALSE)</f>
        <v>4</v>
      </c>
      <c r="X867" s="1">
        <f>VLOOKUP($E867,'Product Naming'!$A$1:$P$58,7,FALSE)</f>
        <v>10</v>
      </c>
      <c r="Y867" s="1">
        <f>VLOOKUP($E867,'Product Naming'!$A$1:$P$58,8,FALSE)</f>
        <v>2</v>
      </c>
      <c r="Z867" s="1">
        <f>VLOOKUP($E867,'Product Naming'!$A$1:$P$58,9,FALSE)</f>
        <v>0</v>
      </c>
      <c r="AA867" s="1">
        <f>VLOOKUP($E867,'Product Naming'!$A$1:$P$58,10,FALSE)</f>
        <v>0</v>
      </c>
      <c r="AB867" s="29">
        <f>VLOOKUP($E867,'Product Naming'!$A$1:$P$58,11,FALSE)</f>
        <v>5.5</v>
      </c>
      <c r="AC867" s="3">
        <f>VLOOKUP($E867,'Product Naming'!$A$1:$P$58,12,FALSE)</f>
        <v>90.119200000000006</v>
      </c>
      <c r="AD867" s="1">
        <f>VLOOKUP($E867,'Product Naming'!$A$1:$P$58,13,FALSE)</f>
        <v>177</v>
      </c>
      <c r="AE867" s="1" t="str">
        <f>VLOOKUP($E867,'Product Naming'!$A$1:$P$58,14,FALSE)</f>
        <v>Diol</v>
      </c>
      <c r="AF867" s="1" t="str">
        <f>VLOOKUP($E867,'Product Naming'!$A$1:$P$58,15,FALSE)</f>
        <v>Pyruvate</v>
      </c>
      <c r="AG867" s="30" t="str">
        <f>VLOOKUP($E867,'Product Naming'!$A$1:$P$58,16,FALSE)</f>
        <v>Proton symporter</v>
      </c>
      <c r="AH867" s="3" t="str">
        <f>VLOOKUP($E867,'Product Naming'!$A$1:$Q$58,17,FALSE)</f>
        <v>btd_RR_c</v>
      </c>
      <c r="AI867" s="1">
        <f>VLOOKUP($E867,'Product Parameters'!$A$2:$D$59,2,FALSE)</f>
        <v>1</v>
      </c>
      <c r="AJ867" s="1">
        <f>VLOOKUP($E867,'Product Parameters'!$A$2:$D$59,3,FALSE)</f>
        <v>0</v>
      </c>
      <c r="AK867" s="1">
        <f>VLOOKUP($E867,'Product Parameters'!$A$2:$D$59,4,FALSE)</f>
        <v>0.12</v>
      </c>
      <c r="AL867" s="1">
        <f>VLOOKUP($E867,'Product Parameters'!$A$2:$E$59,5,FALSE)</f>
        <v>63</v>
      </c>
      <c r="AM867" s="1">
        <f>VLOOKUP($E867,'Product Parameters'!$A$2:$F$59,6,FALSE)</f>
        <v>4</v>
      </c>
      <c r="AN867" s="1">
        <f>VLOOKUP($C867,'Substrate Heating'!$A$2:$C$33,3,FALSE)</f>
        <v>226.4</v>
      </c>
      <c r="AO867" s="1">
        <f>VLOOKUP($C867,'Substrate Heating'!$A$2:$B$33,2,FALSE)</f>
        <v>7.2542014450728134</v>
      </c>
      <c r="AP867" s="1">
        <f>VLOOKUP($C867,'Substrate Heating'!$A$2:$M$33,13,FALSE)</f>
        <v>1.6</v>
      </c>
      <c r="AQ867" s="1">
        <f>VLOOKUP($C867,'Substrate Heating'!$A$2:$M$33,8,FALSE)</f>
        <v>1</v>
      </c>
      <c r="AR867" s="1">
        <f t="shared" si="13"/>
        <v>0.57142857199999997</v>
      </c>
    </row>
    <row r="868" spans="1:44" x14ac:dyDescent="0.2">
      <c r="A868" s="8" t="s">
        <v>812</v>
      </c>
      <c r="B868" s="18" t="s">
        <v>324</v>
      </c>
      <c r="C868" t="s">
        <v>814</v>
      </c>
      <c r="E868" t="s">
        <v>225</v>
      </c>
      <c r="F868" t="s">
        <v>226</v>
      </c>
      <c r="G868">
        <v>-10</v>
      </c>
      <c r="H868">
        <v>0</v>
      </c>
      <c r="I868">
        <v>-10</v>
      </c>
      <c r="J868">
        <v>0.45</v>
      </c>
      <c r="K868">
        <v>-10</v>
      </c>
      <c r="L868">
        <v>0</v>
      </c>
      <c r="M868">
        <v>-10</v>
      </c>
      <c r="N868">
        <v>-1.2551724137931</v>
      </c>
      <c r="O868">
        <v>1.2551724137931</v>
      </c>
      <c r="P868"/>
      <c r="Q868">
        <v>0.12551724137931</v>
      </c>
      <c r="R868">
        <v>0.41260249453342701</v>
      </c>
      <c r="S868" s="1" t="str">
        <f>VLOOKUP($E868,'Product Naming'!$A$1:$P$58,2,FALSE)</f>
        <v>Glycolate</v>
      </c>
      <c r="T868" s="1" t="str">
        <f>VLOOKUP($E868,'Product Naming'!$A$1:$P$58,3,FALSE)</f>
        <v>Glycolate</v>
      </c>
      <c r="U868" s="1" t="str">
        <f>VLOOKUP($E868,'Product Naming'!$A$1:$P$58,4,FALSE)</f>
        <v>iJO1366</v>
      </c>
      <c r="V868" s="1" t="str">
        <f>VLOOKUP($E868,'Product Naming'!$A$1:$P$58,5,FALSE)</f>
        <v>C2H3O3</v>
      </c>
      <c r="W868" s="1">
        <f>VLOOKUP($E868,'Product Naming'!$A$1:$P$58,6,FALSE)</f>
        <v>2</v>
      </c>
      <c r="X868" s="1">
        <f>VLOOKUP($E868,'Product Naming'!$A$1:$P$58,7,FALSE)</f>
        <v>3</v>
      </c>
      <c r="Y868" s="1">
        <f>VLOOKUP($E868,'Product Naming'!$A$1:$P$58,8,FALSE)</f>
        <v>3</v>
      </c>
      <c r="Z868" s="1">
        <f>VLOOKUP($E868,'Product Naming'!$A$1:$P$58,9,FALSE)</f>
        <v>0</v>
      </c>
      <c r="AA868" s="1">
        <f>VLOOKUP($E868,'Product Naming'!$A$1:$P$58,10,FALSE)</f>
        <v>-1</v>
      </c>
      <c r="AB868" s="29">
        <f>VLOOKUP($E868,'Product Naming'!$A$1:$P$58,11,FALSE)</f>
        <v>2.5</v>
      </c>
      <c r="AC868" s="3">
        <f>VLOOKUP($E868,'Product Naming'!$A$1:$P$58,12,FALSE)</f>
        <v>75.041920000000005</v>
      </c>
      <c r="AD868" s="1">
        <f>VLOOKUP($E868,'Product Naming'!$A$1:$P$58,13,FALSE)</f>
        <v>112</v>
      </c>
      <c r="AE868" s="1" t="str">
        <f>VLOOKUP($E868,'Product Naming'!$A$1:$P$58,14,FALSE)</f>
        <v>Carboxylate + Alcohol (hydroxy carboxylate)</v>
      </c>
      <c r="AF868" s="1" t="str">
        <f>VLOOKUP($E868,'Product Naming'!$A$1:$P$58,15,FALSE)</f>
        <v>Glyoxylate (*isocitrate)</v>
      </c>
      <c r="AG868" s="30" t="str">
        <f>VLOOKUP($E868,'Product Naming'!$A$1:$P$58,16,FALSE)</f>
        <v>Proton symporter</v>
      </c>
      <c r="AH868" s="3" t="str">
        <f>VLOOKUP($E868,'Product Naming'!$A$1:$Q$58,17,FALSE)</f>
        <v>glyclt_c</v>
      </c>
      <c r="AI868" s="1">
        <f>VLOOKUP($E868,'Product Parameters'!$A$2:$D$59,2,FALSE)</f>
        <v>1</v>
      </c>
      <c r="AJ868" s="1">
        <f>VLOOKUP($E868,'Product Parameters'!$A$2:$D$59,3,FALSE)</f>
        <v>0</v>
      </c>
      <c r="AK868" s="1">
        <f>VLOOKUP($E868,'Product Parameters'!$A$2:$D$59,4,FALSE)</f>
        <v>0.12</v>
      </c>
      <c r="AL868" s="1">
        <f>VLOOKUP($E868,'Product Parameters'!$A$2:$E$59,5,FALSE)</f>
        <v>40.65</v>
      </c>
      <c r="AM868" s="1">
        <f>VLOOKUP($E868,'Product Parameters'!$A$2:$F$59,6,FALSE)</f>
        <v>2</v>
      </c>
      <c r="AN868" s="1">
        <f>VLOOKUP($C868,'Substrate Heating'!$A$2:$C$33,3,FALSE)</f>
        <v>209.92000000000002</v>
      </c>
      <c r="AO868" s="1">
        <f>VLOOKUP($C868,'Substrate Heating'!$A$2:$B$33,2,FALSE)</f>
        <v>10.086540906516333</v>
      </c>
      <c r="AP868" s="1">
        <f>VLOOKUP($C868,'Substrate Heating'!$A$2:$M$33,13,FALSE)</f>
        <v>0.8</v>
      </c>
      <c r="AQ868" s="1">
        <f>VLOOKUP($C868,'Substrate Heating'!$A$2:$M$33,8,FALSE)</f>
        <v>0.8</v>
      </c>
      <c r="AR868" s="1">
        <f t="shared" si="13"/>
        <v>0.31379310344827499</v>
      </c>
    </row>
    <row r="869" spans="1:44" x14ac:dyDescent="0.2">
      <c r="A869" s="17" t="s">
        <v>323</v>
      </c>
      <c r="B869" s="18" t="s">
        <v>324</v>
      </c>
      <c r="C869" t="s">
        <v>329</v>
      </c>
      <c r="D869" s="19" t="s">
        <v>326</v>
      </c>
      <c r="E869" t="s">
        <v>301</v>
      </c>
      <c r="F869" t="s">
        <v>302</v>
      </c>
      <c r="G869">
        <v>-10</v>
      </c>
      <c r="H869">
        <v>0</v>
      </c>
      <c r="I869">
        <v>-20</v>
      </c>
      <c r="J869">
        <v>0.45</v>
      </c>
      <c r="K869">
        <v>-10</v>
      </c>
      <c r="L869">
        <v>0</v>
      </c>
      <c r="M869">
        <v>-20</v>
      </c>
      <c r="N869">
        <v>0.999999999999995</v>
      </c>
      <c r="O869">
        <v>3</v>
      </c>
      <c r="P869"/>
      <c r="Q869">
        <v>0.3</v>
      </c>
      <c r="R869" s="20">
        <v>0.41274402496099899</v>
      </c>
      <c r="S869" s="1" t="str">
        <f>VLOOKUP($E869,'Product Naming'!$A$1:$P$58,2,FALSE)</f>
        <v>Propane-PW1</v>
      </c>
      <c r="T869" s="1" t="str">
        <f>VLOOKUP($E869,'Product Naming'!$A$1:$P$58,3,FALSE)</f>
        <v>Propane (PW1)</v>
      </c>
      <c r="U869" s="1" t="str">
        <f>VLOOKUP($E869,'Product Naming'!$A$1:$P$58,4,FALSE)</f>
        <v>E</v>
      </c>
      <c r="V869" s="1" t="str">
        <f>VLOOKUP($E869,'Product Naming'!$A$1:$P$58,5,FALSE)</f>
        <v>C3H8</v>
      </c>
      <c r="W869" s="1">
        <f>VLOOKUP($E869,'Product Naming'!$A$1:$P$58,6,FALSE)</f>
        <v>3</v>
      </c>
      <c r="X869" s="1">
        <f>VLOOKUP($E869,'Product Naming'!$A$1:$P$58,7,FALSE)</f>
        <v>8</v>
      </c>
      <c r="Y869" s="1">
        <f>VLOOKUP($E869,'Product Naming'!$A$1:$P$58,8,FALSE)</f>
        <v>0</v>
      </c>
      <c r="Z869" s="1">
        <f>VLOOKUP($E869,'Product Naming'!$A$1:$P$58,9,FALSE)</f>
        <v>0</v>
      </c>
      <c r="AA869" s="1">
        <f>VLOOKUP($E869,'Product Naming'!$A$1:$P$58,10,FALSE)</f>
        <v>0</v>
      </c>
      <c r="AB869" s="29">
        <f>VLOOKUP($E869,'Product Naming'!$A$1:$P$58,11,FALSE)</f>
        <v>6.666666666666667</v>
      </c>
      <c r="AC869" s="3">
        <f>VLOOKUP($E869,'Product Naming'!$A$1:$P$58,12,FALSE)</f>
        <v>44.094819999999999</v>
      </c>
      <c r="AD869" s="1">
        <f>VLOOKUP($E869,'Product Naming'!$A$1:$P$58,13,FALSE)</f>
        <v>-42</v>
      </c>
      <c r="AE869" s="1" t="str">
        <f>VLOOKUP($E869,'Product Naming'!$A$1:$P$58,14,FALSE)</f>
        <v>Hydrocarbon</v>
      </c>
      <c r="AF869" s="1" t="str">
        <f>VLOOKUP($E869,'Product Naming'!$A$1:$P$58,15,FALSE)</f>
        <v>Acetyl-CoA</v>
      </c>
      <c r="AG869" s="30" t="str">
        <f>VLOOKUP($E869,'Product Naming'!$A$1:$P$58,16,FALSE)</f>
        <v>Diffusion</v>
      </c>
      <c r="AH869" s="3" t="str">
        <f>VLOOKUP($E869,'Product Naming'!$A$1:$Q$58,17,FALSE)</f>
        <v>prop_c</v>
      </c>
      <c r="AI869" s="1">
        <f>VLOOKUP($E869,'Product Parameters'!$A$2:$D$59,2,FALSE)</f>
        <v>0</v>
      </c>
      <c r="AJ869" s="1">
        <f>VLOOKUP($E869,'Product Parameters'!$A$2:$D$59,3,FALSE)</f>
        <v>1</v>
      </c>
      <c r="AK869" s="1">
        <f>VLOOKUP($E869,'Product Parameters'!$A$2:$D$59,4,FALSE)</f>
        <v>0.12</v>
      </c>
      <c r="AL869" s="1">
        <f>VLOOKUP($E869,'Product Parameters'!$A$2:$E$59,5,FALSE)</f>
        <v>0</v>
      </c>
      <c r="AM869" s="1">
        <f>VLOOKUP($E869,'Product Parameters'!$A$2:$F$59,6,FALSE)</f>
        <v>3</v>
      </c>
      <c r="AN869" s="1">
        <f>VLOOKUP($C869,'Substrate Heating'!$A$2:$C$33,3,FALSE)</f>
        <v>255.53333333333336</v>
      </c>
      <c r="AO869" s="1">
        <f>VLOOKUP($C869,'Substrate Heating'!$A$2:$B$33,2,FALSE)</f>
        <v>23.925550527978785</v>
      </c>
      <c r="AP869" s="1">
        <f>VLOOKUP($C869,'Substrate Heating'!$A$2:$M$33,13,FALSE)</f>
        <v>0.66666666666666663</v>
      </c>
      <c r="AQ869" s="1">
        <f>VLOOKUP($C869,'Substrate Heating'!$A$2:$M$33,8,FALSE)</f>
        <v>0.33333333333333331</v>
      </c>
      <c r="AR869" s="1">
        <f t="shared" si="13"/>
        <v>2.6999999999999997</v>
      </c>
    </row>
    <row r="870" spans="1:44" x14ac:dyDescent="0.2">
      <c r="A870" s="8" t="s">
        <v>34</v>
      </c>
      <c r="B870" s="9" t="s">
        <v>35</v>
      </c>
      <c r="C870" s="1" t="s">
        <v>346</v>
      </c>
      <c r="D870" s="23" t="s">
        <v>338</v>
      </c>
      <c r="E870" s="1" t="s">
        <v>295</v>
      </c>
      <c r="F870" s="1" t="s">
        <v>292</v>
      </c>
      <c r="G870" s="1">
        <v>-10</v>
      </c>
      <c r="H870" s="1">
        <v>-20</v>
      </c>
      <c r="I870" s="1" t="s">
        <v>40</v>
      </c>
      <c r="J870" s="1">
        <v>3.15</v>
      </c>
      <c r="K870" s="1">
        <v>-10</v>
      </c>
      <c r="L870" s="1">
        <v>-3.7348484848484902</v>
      </c>
      <c r="M870" s="1" t="s">
        <v>40</v>
      </c>
      <c r="N870" s="1">
        <v>2.4898989898989901</v>
      </c>
      <c r="O870" s="1">
        <v>1.5020202020202</v>
      </c>
      <c r="Q870" s="1">
        <v>0.15020202020202</v>
      </c>
      <c r="R870" s="1">
        <v>0.413213370278605</v>
      </c>
      <c r="S870" s="1" t="str">
        <f>VLOOKUP($E870,'Product Naming'!$A$1:$P$58,2,FALSE)</f>
        <v>Pentanol-PW2</v>
      </c>
      <c r="T870" s="1" t="str">
        <f>VLOOKUP($E870,'Product Naming'!$A$1:$P$58,3,FALSE)</f>
        <v>Pentanol (PW2)</v>
      </c>
      <c r="U870" s="1" t="str">
        <f>VLOOKUP($E870,'Product Naming'!$A$1:$P$58,4,FALSE)</f>
        <v>E</v>
      </c>
      <c r="V870" s="1" t="str">
        <f>VLOOKUP($E870,'Product Naming'!$A$1:$P$58,5,FALSE)</f>
        <v>C5H12O</v>
      </c>
      <c r="W870" s="1">
        <f>VLOOKUP($E870,'Product Naming'!$A$1:$P$58,6,FALSE)</f>
        <v>5</v>
      </c>
      <c r="X870" s="1">
        <f>VLOOKUP($E870,'Product Naming'!$A$1:$P$58,7,FALSE)</f>
        <v>12</v>
      </c>
      <c r="Y870" s="1">
        <f>VLOOKUP($E870,'Product Naming'!$A$1:$P$58,8,FALSE)</f>
        <v>1</v>
      </c>
      <c r="Z870" s="1">
        <f>VLOOKUP($E870,'Product Naming'!$A$1:$P$58,9,FALSE)</f>
        <v>0</v>
      </c>
      <c r="AA870" s="1">
        <f>VLOOKUP($E870,'Product Naming'!$A$1:$P$58,10,FALSE)</f>
        <v>0</v>
      </c>
      <c r="AB870" s="29">
        <f>VLOOKUP($E870,'Product Naming'!$A$1:$P$58,11,FALSE)</f>
        <v>6</v>
      </c>
      <c r="AC870" s="3">
        <f>VLOOKUP($E870,'Product Naming'!$A$1:$P$58,12,FALSE)</f>
        <v>88.14658</v>
      </c>
      <c r="AD870" s="1">
        <f>VLOOKUP($E870,'Product Naming'!$A$1:$P$58,13,FALSE)</f>
        <v>138</v>
      </c>
      <c r="AE870" s="1" t="str">
        <f>VLOOKUP($E870,'Product Naming'!$A$1:$P$58,14,FALSE)</f>
        <v>Alcohol</v>
      </c>
      <c r="AF870" s="1" t="str">
        <f>VLOOKUP($E870,'Product Naming'!$A$1:$P$58,15,FALSE)</f>
        <v>Oxaloacetate</v>
      </c>
      <c r="AG870" s="30" t="str">
        <f>VLOOKUP($E870,'Product Naming'!$A$1:$P$58,16,FALSE)</f>
        <v>Proton symporter</v>
      </c>
      <c r="AH870" s="3" t="str">
        <f>VLOOKUP($E870,'Product Naming'!$A$1:$Q$58,17,FALSE)</f>
        <v>pentoh_c</v>
      </c>
      <c r="AI870" s="1">
        <f>VLOOKUP($E870,'Product Parameters'!$A$2:$D$59,2,FALSE)</f>
        <v>1</v>
      </c>
      <c r="AJ870" s="1">
        <f>VLOOKUP($E870,'Product Parameters'!$A$2:$D$59,3,FALSE)</f>
        <v>0</v>
      </c>
      <c r="AK870" s="1">
        <f>VLOOKUP($E870,'Product Parameters'!$A$2:$D$59,4,FALSE)</f>
        <v>0.12</v>
      </c>
      <c r="AL870" s="1">
        <f>VLOOKUP($E870,'Product Parameters'!$A$2:$E$59,5,FALSE)</f>
        <v>57</v>
      </c>
      <c r="AM870" s="1">
        <f>VLOOKUP($E870,'Product Parameters'!$A$2:$F$59,6,FALSE)</f>
        <v>5</v>
      </c>
      <c r="AN870" s="1">
        <f>VLOOKUP($C870,'Substrate Heating'!$A$2:$C$33,3,FALSE)</f>
        <v>638.57832580000002</v>
      </c>
      <c r="AO870" s="1">
        <f>VLOOKUP($C870,'Substrate Heating'!$A$2:$B$33,2,FALSE)</f>
        <v>19.93</v>
      </c>
      <c r="AP870" s="1">
        <f>VLOOKUP($C870,'Substrate Heating'!$A$2:$M$33,13,FALSE)</f>
        <v>6</v>
      </c>
      <c r="AQ870" s="1">
        <f>VLOOKUP($C870,'Substrate Heating'!$A$2:$M$33,8,FALSE)</f>
        <v>1</v>
      </c>
      <c r="AR870" s="1">
        <f t="shared" si="13"/>
        <v>0.75101010101010002</v>
      </c>
    </row>
    <row r="871" spans="1:44" x14ac:dyDescent="0.2">
      <c r="A871" s="8" t="s">
        <v>34</v>
      </c>
      <c r="B871" s="9" t="s">
        <v>35</v>
      </c>
      <c r="C871" s="1" t="s">
        <v>347</v>
      </c>
      <c r="D871" s="23" t="s">
        <v>338</v>
      </c>
      <c r="E871" s="1" t="s">
        <v>295</v>
      </c>
      <c r="F871" s="1" t="s">
        <v>292</v>
      </c>
      <c r="G871" s="1">
        <v>-10</v>
      </c>
      <c r="H871" s="1">
        <v>-20</v>
      </c>
      <c r="I871" s="1" t="s">
        <v>40</v>
      </c>
      <c r="J871" s="1">
        <v>3.15</v>
      </c>
      <c r="K871" s="1">
        <v>-10</v>
      </c>
      <c r="L871" s="1">
        <v>-3.7348484848484902</v>
      </c>
      <c r="M871" s="1" t="s">
        <v>40</v>
      </c>
      <c r="N871" s="1">
        <v>2.4898989898989901</v>
      </c>
      <c r="O871" s="1">
        <v>1.5020202020202</v>
      </c>
      <c r="Q871" s="1">
        <v>0.15020202020202</v>
      </c>
      <c r="R871" s="1">
        <v>0.413213370278605</v>
      </c>
      <c r="S871" s="1" t="str">
        <f>VLOOKUP($E871,'Product Naming'!$A$1:$P$58,2,FALSE)</f>
        <v>Pentanol-PW2</v>
      </c>
      <c r="T871" s="1" t="str">
        <f>VLOOKUP($E871,'Product Naming'!$A$1:$P$58,3,FALSE)</f>
        <v>Pentanol (PW2)</v>
      </c>
      <c r="U871" s="1" t="str">
        <f>VLOOKUP($E871,'Product Naming'!$A$1:$P$58,4,FALSE)</f>
        <v>E</v>
      </c>
      <c r="V871" s="1" t="str">
        <f>VLOOKUP($E871,'Product Naming'!$A$1:$P$58,5,FALSE)</f>
        <v>C5H12O</v>
      </c>
      <c r="W871" s="1">
        <f>VLOOKUP($E871,'Product Naming'!$A$1:$P$58,6,FALSE)</f>
        <v>5</v>
      </c>
      <c r="X871" s="1">
        <f>VLOOKUP($E871,'Product Naming'!$A$1:$P$58,7,FALSE)</f>
        <v>12</v>
      </c>
      <c r="Y871" s="1">
        <f>VLOOKUP($E871,'Product Naming'!$A$1:$P$58,8,FALSE)</f>
        <v>1</v>
      </c>
      <c r="Z871" s="1">
        <f>VLOOKUP($E871,'Product Naming'!$A$1:$P$58,9,FALSE)</f>
        <v>0</v>
      </c>
      <c r="AA871" s="1">
        <f>VLOOKUP($E871,'Product Naming'!$A$1:$P$58,10,FALSE)</f>
        <v>0</v>
      </c>
      <c r="AB871" s="29">
        <f>VLOOKUP($E871,'Product Naming'!$A$1:$P$58,11,FALSE)</f>
        <v>6</v>
      </c>
      <c r="AC871" s="3">
        <f>VLOOKUP($E871,'Product Naming'!$A$1:$P$58,12,FALSE)</f>
        <v>88.14658</v>
      </c>
      <c r="AD871" s="1">
        <f>VLOOKUP($E871,'Product Naming'!$A$1:$P$58,13,FALSE)</f>
        <v>138</v>
      </c>
      <c r="AE871" s="1" t="str">
        <f>VLOOKUP($E871,'Product Naming'!$A$1:$P$58,14,FALSE)</f>
        <v>Alcohol</v>
      </c>
      <c r="AF871" s="1" t="str">
        <f>VLOOKUP($E871,'Product Naming'!$A$1:$P$58,15,FALSE)</f>
        <v>Oxaloacetate</v>
      </c>
      <c r="AG871" s="30" t="str">
        <f>VLOOKUP($E871,'Product Naming'!$A$1:$P$58,16,FALSE)</f>
        <v>Proton symporter</v>
      </c>
      <c r="AH871" s="3" t="str">
        <f>VLOOKUP($E871,'Product Naming'!$A$1:$Q$58,17,FALSE)</f>
        <v>pentoh_c</v>
      </c>
      <c r="AI871" s="1">
        <f>VLOOKUP($E871,'Product Parameters'!$A$2:$D$59,2,FALSE)</f>
        <v>1</v>
      </c>
      <c r="AJ871" s="1">
        <f>VLOOKUP($E871,'Product Parameters'!$A$2:$D$59,3,FALSE)</f>
        <v>0</v>
      </c>
      <c r="AK871" s="1">
        <f>VLOOKUP($E871,'Product Parameters'!$A$2:$D$59,4,FALSE)</f>
        <v>0.12</v>
      </c>
      <c r="AL871" s="1">
        <f>VLOOKUP($E871,'Product Parameters'!$A$2:$E$59,5,FALSE)</f>
        <v>57</v>
      </c>
      <c r="AM871" s="1">
        <f>VLOOKUP($E871,'Product Parameters'!$A$2:$F$59,6,FALSE)</f>
        <v>5</v>
      </c>
      <c r="AN871" s="1">
        <f>VLOOKUP($C871,'Substrate Heating'!$A$2:$C$33,3,FALSE)</f>
        <v>638.57832580000002</v>
      </c>
      <c r="AO871" s="1">
        <f>VLOOKUP($C871,'Substrate Heating'!$A$2:$B$33,2,FALSE)</f>
        <v>19.93</v>
      </c>
      <c r="AP871" s="1">
        <f>VLOOKUP($C871,'Substrate Heating'!$A$2:$M$33,13,FALSE)</f>
        <v>6</v>
      </c>
      <c r="AQ871" s="1">
        <f>VLOOKUP($C871,'Substrate Heating'!$A$2:$M$33,8,FALSE)</f>
        <v>1</v>
      </c>
      <c r="AR871" s="1">
        <f t="shared" si="13"/>
        <v>0.75101010101010002</v>
      </c>
    </row>
    <row r="872" spans="1:44" x14ac:dyDescent="0.2">
      <c r="A872" s="8" t="s">
        <v>34</v>
      </c>
      <c r="B872" s="9" t="s">
        <v>35</v>
      </c>
      <c r="C872" s="1" t="s">
        <v>348</v>
      </c>
      <c r="D872" s="23" t="s">
        <v>338</v>
      </c>
      <c r="E872" s="1" t="s">
        <v>175</v>
      </c>
      <c r="F872" s="1" t="s">
        <v>176</v>
      </c>
      <c r="G872" s="1">
        <v>-10</v>
      </c>
      <c r="H872" s="1">
        <v>-20</v>
      </c>
      <c r="I872" s="1" t="s">
        <v>40</v>
      </c>
      <c r="J872" s="1">
        <v>3.15</v>
      </c>
      <c r="K872" s="1">
        <v>-10</v>
      </c>
      <c r="L872" s="1">
        <v>-7.1379545454545399</v>
      </c>
      <c r="M872" s="1" t="s">
        <v>40</v>
      </c>
      <c r="N872" s="1">
        <v>2.74272727272727</v>
      </c>
      <c r="O872" s="1">
        <v>1.20954545454546</v>
      </c>
      <c r="Q872" s="1">
        <v>0.12095454545454599</v>
      </c>
      <c r="R872" s="1">
        <v>0.41566081379784198</v>
      </c>
      <c r="S872" s="1" t="str">
        <f>VLOOKUP($E872,'Product Naming'!$A$1:$P$58,2,FALSE)</f>
        <v>Catechol</v>
      </c>
      <c r="T872" s="1" t="str">
        <f>VLOOKUP($E872,'Product Naming'!$A$1:$P$58,3,FALSE)</f>
        <v>Catechol</v>
      </c>
      <c r="U872" s="1" t="str">
        <f>VLOOKUP($E872,'Product Naming'!$A$1:$P$58,4,FALSE)</f>
        <v>E</v>
      </c>
      <c r="V872" s="1" t="str">
        <f>VLOOKUP($E872,'Product Naming'!$A$1:$P$58,5,FALSE)</f>
        <v>C6H6O2</v>
      </c>
      <c r="W872" s="1">
        <f>VLOOKUP($E872,'Product Naming'!$A$1:$P$58,6,FALSE)</f>
        <v>6</v>
      </c>
      <c r="X872" s="1">
        <f>VLOOKUP($E872,'Product Naming'!$A$1:$P$58,7,FALSE)</f>
        <v>6</v>
      </c>
      <c r="Y872" s="1">
        <f>VLOOKUP($E872,'Product Naming'!$A$1:$P$58,8,FALSE)</f>
        <v>2</v>
      </c>
      <c r="Z872" s="1">
        <f>VLOOKUP($E872,'Product Naming'!$A$1:$P$58,9,FALSE)</f>
        <v>0</v>
      </c>
      <c r="AA872" s="1">
        <f>VLOOKUP($E872,'Product Naming'!$A$1:$P$58,10,FALSE)</f>
        <v>0</v>
      </c>
      <c r="AB872" s="29">
        <f>VLOOKUP($E872,'Product Naming'!$A$1:$P$58,11,FALSE)</f>
        <v>4.333333333333333</v>
      </c>
      <c r="AC872" s="3">
        <f>VLOOKUP($E872,'Product Naming'!$A$1:$P$58,12,FALSE)</f>
        <v>110.10924</v>
      </c>
      <c r="AD872" s="1">
        <f>VLOOKUP($E872,'Product Naming'!$A$1:$P$58,13,FALSE)</f>
        <v>245</v>
      </c>
      <c r="AE872" s="1" t="str">
        <f>VLOOKUP($E872,'Product Naming'!$A$1:$P$58,14,FALSE)</f>
        <v>Aromatic + Diol</v>
      </c>
      <c r="AF872" s="1" t="str">
        <f>VLOOKUP($E872,'Product Naming'!$A$1:$P$58,15,FALSE)</f>
        <v>Glyceraldehyde 3-P</v>
      </c>
      <c r="AG872" s="30" t="str">
        <f>VLOOKUP($E872,'Product Naming'!$A$1:$P$58,16,FALSE)</f>
        <v>Proton symporter</v>
      </c>
      <c r="AH872" s="3" t="str">
        <f>VLOOKUP($E872,'Product Naming'!$A$1:$Q$58,17,FALSE)</f>
        <v>catechol_c</v>
      </c>
      <c r="AI872" s="1">
        <f>VLOOKUP($E872,'Product Parameters'!$A$2:$D$59,2,FALSE)</f>
        <v>1</v>
      </c>
      <c r="AJ872" s="1">
        <f>VLOOKUP($E872,'Product Parameters'!$A$2:$D$59,3,FALSE)</f>
        <v>0</v>
      </c>
      <c r="AK872" s="1">
        <f>VLOOKUP($E872,'Product Parameters'!$A$2:$D$59,4,FALSE)</f>
        <v>0.12</v>
      </c>
      <c r="AL872" s="1">
        <f>VLOOKUP($E872,'Product Parameters'!$A$2:$E$59,5,FALSE)</f>
        <v>40.65</v>
      </c>
      <c r="AM872" s="1">
        <f>VLOOKUP($E872,'Product Parameters'!$A$2:$F$59,6,FALSE)</f>
        <v>6</v>
      </c>
      <c r="AN872" s="1">
        <f>VLOOKUP($C872,'Substrate Heating'!$A$2:$C$33,3,FALSE)</f>
        <v>638.57832580000002</v>
      </c>
      <c r="AO872" s="1">
        <f>VLOOKUP($C872,'Substrate Heating'!$A$2:$B$33,2,FALSE)</f>
        <v>19.93</v>
      </c>
      <c r="AP872" s="1">
        <f>VLOOKUP($C872,'Substrate Heating'!$A$2:$M$33,13,FALSE)</f>
        <v>6</v>
      </c>
      <c r="AQ872" s="1">
        <f>VLOOKUP($C872,'Substrate Heating'!$A$2:$M$33,8,FALSE)</f>
        <v>1</v>
      </c>
      <c r="AR872" s="1">
        <f t="shared" si="13"/>
        <v>0.725727272727276</v>
      </c>
    </row>
    <row r="873" spans="1:44" x14ac:dyDescent="0.2">
      <c r="A873" s="17" t="s">
        <v>323</v>
      </c>
      <c r="B873" s="18" t="s">
        <v>324</v>
      </c>
      <c r="C873" t="s">
        <v>327</v>
      </c>
      <c r="D873" s="19" t="s">
        <v>326</v>
      </c>
      <c r="E873" t="s">
        <v>130</v>
      </c>
      <c r="F873" t="s">
        <v>125</v>
      </c>
      <c r="G873">
        <v>-10</v>
      </c>
      <c r="H873">
        <v>0</v>
      </c>
      <c r="I873">
        <v>-5</v>
      </c>
      <c r="J873">
        <v>0.45</v>
      </c>
      <c r="K873">
        <v>-10</v>
      </c>
      <c r="L873">
        <v>0</v>
      </c>
      <c r="M873">
        <v>-5</v>
      </c>
      <c r="N873">
        <v>2.5</v>
      </c>
      <c r="O873">
        <v>1.7</v>
      </c>
      <c r="P873"/>
      <c r="Q873">
        <v>0.17</v>
      </c>
      <c r="R873">
        <v>0.41623416264645102</v>
      </c>
      <c r="S873" s="1" t="str">
        <f>VLOOKUP($E873,'Product Naming'!$A$1:$P$58,2,FALSE)</f>
        <v>Acrylate-PW2</v>
      </c>
      <c r="T873" s="1" t="str">
        <f>VLOOKUP($E873,'Product Naming'!$A$1:$P$58,3,FALSE)</f>
        <v>Acrylate (PW2)</v>
      </c>
      <c r="U873" s="1" t="str">
        <f>VLOOKUP($E873,'Product Naming'!$A$1:$P$58,4,FALSE)</f>
        <v>A</v>
      </c>
      <c r="V873" s="1" t="str">
        <f>VLOOKUP($E873,'Product Naming'!$A$1:$P$58,5,FALSE)</f>
        <v>C3H3O2</v>
      </c>
      <c r="W873" s="1">
        <f>VLOOKUP($E873,'Product Naming'!$A$1:$P$58,6,FALSE)</f>
        <v>3</v>
      </c>
      <c r="X873" s="1">
        <f>VLOOKUP($E873,'Product Naming'!$A$1:$P$58,7,FALSE)</f>
        <v>3</v>
      </c>
      <c r="Y873" s="1">
        <f>VLOOKUP($E873,'Product Naming'!$A$1:$P$58,8,FALSE)</f>
        <v>2</v>
      </c>
      <c r="Z873" s="1">
        <f>VLOOKUP($E873,'Product Naming'!$A$1:$P$58,9,FALSE)</f>
        <v>0</v>
      </c>
      <c r="AA873" s="1">
        <f>VLOOKUP($E873,'Product Naming'!$A$1:$P$58,10,FALSE)</f>
        <v>-1</v>
      </c>
      <c r="AB873" s="29">
        <f>VLOOKUP($E873,'Product Naming'!$A$1:$P$58,11,FALSE)</f>
        <v>3.6666666666666665</v>
      </c>
      <c r="AC873" s="3">
        <f>VLOOKUP($E873,'Product Naming'!$A$1:$P$58,12,FALSE)</f>
        <v>71.053619999999995</v>
      </c>
      <c r="AD873" s="1">
        <f>VLOOKUP($E873,'Product Naming'!$A$1:$P$58,13,FALSE)</f>
        <v>80</v>
      </c>
      <c r="AE873" s="1" t="str">
        <f>VLOOKUP($E873,'Product Naming'!$A$1:$P$58,14,FALSE)</f>
        <v>Carboxylate</v>
      </c>
      <c r="AF873" s="1" t="str">
        <f>VLOOKUP($E873,'Product Naming'!$A$1:$P$58,15,FALSE)</f>
        <v>Pyruvate</v>
      </c>
      <c r="AG873" s="30" t="str">
        <f>VLOOKUP($E873,'Product Naming'!$A$1:$P$58,16,FALSE)</f>
        <v>Proton symporter</v>
      </c>
      <c r="AH873" s="3" t="str">
        <f>VLOOKUP($E873,'Product Naming'!$A$1:$Q$58,17,FALSE)</f>
        <v>acryl_c</v>
      </c>
      <c r="AI873" s="1">
        <f>VLOOKUP($E873,'Product Parameters'!$A$2:$D$59,2,FALSE)</f>
        <v>1</v>
      </c>
      <c r="AJ873" s="1">
        <f>VLOOKUP($E873,'Product Parameters'!$A$2:$D$59,3,FALSE)</f>
        <v>0</v>
      </c>
      <c r="AK873" s="1">
        <f>VLOOKUP($E873,'Product Parameters'!$A$2:$D$59,4,FALSE)</f>
        <v>0.12</v>
      </c>
      <c r="AL873" s="1">
        <f>VLOOKUP($E873,'Product Parameters'!$A$2:$E$59,5,FALSE)</f>
        <v>53.1</v>
      </c>
      <c r="AM873" s="1">
        <f>VLOOKUP($E873,'Product Parameters'!$A$2:$F$59,6,FALSE)</f>
        <v>3</v>
      </c>
      <c r="AN873" s="1">
        <f>VLOOKUP($C873,'Substrate Heating'!$A$2:$C$33,3,FALSE)</f>
        <v>269.26666666666665</v>
      </c>
      <c r="AO873" s="1">
        <f>VLOOKUP($C873,'Substrate Heating'!$A$2:$B$33,2,FALSE)</f>
        <v>13.919167510409219</v>
      </c>
      <c r="AP873" s="1">
        <f>VLOOKUP($C873,'Substrate Heating'!$A$2:$M$33,13,FALSE)</f>
        <v>1.3333333333333333</v>
      </c>
      <c r="AQ873" s="1">
        <f>VLOOKUP($C873,'Substrate Heating'!$A$2:$M$33,8,FALSE)</f>
        <v>0.66666666666666663</v>
      </c>
      <c r="AR873" s="1">
        <f t="shared" si="13"/>
        <v>0.76500000000000001</v>
      </c>
    </row>
    <row r="874" spans="1:44" x14ac:dyDescent="0.2">
      <c r="A874" s="17" t="s">
        <v>323</v>
      </c>
      <c r="B874" s="18" t="s">
        <v>324</v>
      </c>
      <c r="C874" t="s">
        <v>335</v>
      </c>
      <c r="D874" s="19" t="s">
        <v>326</v>
      </c>
      <c r="E874" t="s">
        <v>269</v>
      </c>
      <c r="F874" t="s">
        <v>270</v>
      </c>
      <c r="G874">
        <v>-10</v>
      </c>
      <c r="H874">
        <v>0</v>
      </c>
      <c r="I874">
        <v>-10</v>
      </c>
      <c r="J874">
        <v>0.45</v>
      </c>
      <c r="K874">
        <v>-10</v>
      </c>
      <c r="L874">
        <v>0</v>
      </c>
      <c r="M874">
        <v>-10</v>
      </c>
      <c r="N874">
        <v>0</v>
      </c>
      <c r="O874">
        <v>1.5166666666666699</v>
      </c>
      <c r="P874"/>
      <c r="Q874">
        <v>0.151666666666667</v>
      </c>
      <c r="R874">
        <v>0.41687109292619901</v>
      </c>
      <c r="S874" s="1" t="str">
        <f>VLOOKUP($E874,'Product Naming'!$A$1:$P$58,2,FALSE)</f>
        <v>Malate_L</v>
      </c>
      <c r="T874" s="1" t="str">
        <f>VLOOKUP($E874,'Product Naming'!$A$1:$P$58,3,FALSE)</f>
        <v>L-Malate</v>
      </c>
      <c r="U874" s="1" t="str">
        <f>VLOOKUP($E874,'Product Naming'!$A$1:$P$58,4,FALSE)</f>
        <v>iJO1366</v>
      </c>
      <c r="V874" s="1" t="str">
        <f>VLOOKUP($E874,'Product Naming'!$A$1:$P$58,5,FALSE)</f>
        <v>C4H4O5</v>
      </c>
      <c r="W874" s="1">
        <f>VLOOKUP($E874,'Product Naming'!$A$1:$P$58,6,FALSE)</f>
        <v>4</v>
      </c>
      <c r="X874" s="1">
        <f>VLOOKUP($E874,'Product Naming'!$A$1:$P$58,7,FALSE)</f>
        <v>4</v>
      </c>
      <c r="Y874" s="1">
        <f>VLOOKUP($E874,'Product Naming'!$A$1:$P$58,8,FALSE)</f>
        <v>5</v>
      </c>
      <c r="Z874" s="1">
        <f>VLOOKUP($E874,'Product Naming'!$A$1:$P$58,9,FALSE)</f>
        <v>0</v>
      </c>
      <c r="AA874" s="1">
        <f>VLOOKUP($E874,'Product Naming'!$A$1:$P$58,10,FALSE)</f>
        <v>-2</v>
      </c>
      <c r="AB874" s="29">
        <f>VLOOKUP($E874,'Product Naming'!$A$1:$P$58,11,FALSE)</f>
        <v>2.5</v>
      </c>
      <c r="AC874" s="3">
        <f>VLOOKUP($E874,'Product Naming'!$A$1:$P$58,12,FALSE)</f>
        <v>132.06916000000001</v>
      </c>
      <c r="AD874" s="1" t="str">
        <f>VLOOKUP($E874,'Product Naming'!$A$1:$P$58,13,FALSE)</f>
        <v>NA</v>
      </c>
      <c r="AE874" s="1" t="str">
        <f>VLOOKUP($E874,'Product Naming'!$A$1:$P$58,14,FALSE)</f>
        <v>Dicarboxylate</v>
      </c>
      <c r="AF874" s="1" t="str">
        <f>VLOOKUP($E874,'Product Naming'!$A$1:$P$58,15,FALSE)</f>
        <v>Oxaloacetate</v>
      </c>
      <c r="AG874" s="30" t="str">
        <f>VLOOKUP($E874,'Product Naming'!$A$1:$P$58,16,FALSE)</f>
        <v>Proton symporter</v>
      </c>
      <c r="AH874" s="3" t="str">
        <f>VLOOKUP($E874,'Product Naming'!$A$1:$Q$58,17,FALSE)</f>
        <v>mal__L_e</v>
      </c>
      <c r="AI874" s="1">
        <f>VLOOKUP($E874,'Product Parameters'!$A$2:$D$59,2,FALSE)</f>
        <v>1</v>
      </c>
      <c r="AJ874" s="1">
        <f>VLOOKUP($E874,'Product Parameters'!$A$2:$D$59,3,FALSE)</f>
        <v>0</v>
      </c>
      <c r="AK874" s="1">
        <f>VLOOKUP($E874,'Product Parameters'!$A$2:$D$59,4,FALSE)</f>
        <v>0.12</v>
      </c>
      <c r="AL874" s="1">
        <f>VLOOKUP($E874,'Product Parameters'!$A$2:$E$59,5,FALSE)</f>
        <v>40.65</v>
      </c>
      <c r="AM874" s="1">
        <f>VLOOKUP($E874,'Product Parameters'!$A$2:$F$59,6,FALSE)</f>
        <v>4</v>
      </c>
      <c r="AN874" s="1">
        <f>VLOOKUP($C874,'Substrate Heating'!$A$2:$C$33,3,FALSE)</f>
        <v>247.9</v>
      </c>
      <c r="AO874" s="1">
        <f>VLOOKUP($C874,'Substrate Heating'!$A$2:$B$33,2,FALSE)</f>
        <v>10.541709491918519</v>
      </c>
      <c r="AP874" s="1">
        <f>VLOOKUP($C874,'Substrate Heating'!$A$2:$M$33,13,FALSE)</f>
        <v>0.5</v>
      </c>
      <c r="AQ874" s="1">
        <f>VLOOKUP($C874,'Substrate Heating'!$A$2:$M$33,8,FALSE)</f>
        <v>0.5</v>
      </c>
      <c r="AR874" s="1">
        <f t="shared" si="13"/>
        <v>1.213333333333336</v>
      </c>
    </row>
    <row r="875" spans="1:44" x14ac:dyDescent="0.2">
      <c r="A875" s="8" t="s">
        <v>34</v>
      </c>
      <c r="B875" s="9" t="s">
        <v>35</v>
      </c>
      <c r="C875" s="1" t="s">
        <v>331</v>
      </c>
      <c r="D875" s="10" t="s">
        <v>37</v>
      </c>
      <c r="E875" s="1" t="s">
        <v>81</v>
      </c>
      <c r="F875" s="1" t="s">
        <v>73</v>
      </c>
      <c r="G875" s="1">
        <v>-10</v>
      </c>
      <c r="H875" s="1">
        <v>-20</v>
      </c>
      <c r="I875" s="1" t="s">
        <v>40</v>
      </c>
      <c r="J875" s="1">
        <v>3.15</v>
      </c>
      <c r="K875" s="1">
        <v>-10</v>
      </c>
      <c r="L875" s="1">
        <v>-5.54941176470588</v>
      </c>
      <c r="M875" s="1" t="s">
        <v>40</v>
      </c>
      <c r="N875" s="1">
        <v>7.0329411764705902</v>
      </c>
      <c r="O875" s="1">
        <v>4.3223529411764696</v>
      </c>
      <c r="Q875" s="1">
        <v>0.432235294117647</v>
      </c>
      <c r="R875" s="1">
        <v>0.41849809175903402</v>
      </c>
      <c r="S875" s="1" t="str">
        <f>VLOOKUP($E875,'Product Naming'!$A$1:$P$58,2,FALSE)</f>
        <v>1-propanol-PW2</v>
      </c>
      <c r="T875" s="1" t="str">
        <f>VLOOKUP($E875,'Product Naming'!$A$1:$P$58,3,FALSE)</f>
        <v>1-Propanol (PW2)</v>
      </c>
      <c r="U875" s="1" t="str">
        <f>VLOOKUP($E875,'Product Naming'!$A$1:$P$58,4,FALSE)</f>
        <v>E-S</v>
      </c>
      <c r="V875" s="1" t="str">
        <f>VLOOKUP($E875,'Product Naming'!$A$1:$P$58,5,FALSE)</f>
        <v>C3H8O</v>
      </c>
      <c r="W875" s="1">
        <f>VLOOKUP($E875,'Product Naming'!$A$1:$P$58,6,FALSE)</f>
        <v>3</v>
      </c>
      <c r="X875" s="1">
        <f>VLOOKUP($E875,'Product Naming'!$A$1:$P$58,7,FALSE)</f>
        <v>8</v>
      </c>
      <c r="Y875" s="1">
        <f>VLOOKUP($E875,'Product Naming'!$A$1:$P$58,8,FALSE)</f>
        <v>1</v>
      </c>
      <c r="Z875" s="1">
        <f>VLOOKUP($E875,'Product Naming'!$A$1:$P$58,9,FALSE)</f>
        <v>0</v>
      </c>
      <c r="AA875" s="1">
        <f>VLOOKUP($E875,'Product Naming'!$A$1:$P$58,10,FALSE)</f>
        <v>0</v>
      </c>
      <c r="AB875" s="29">
        <f>VLOOKUP($E875,'Product Naming'!$A$1:$P$58,11,FALSE)</f>
        <v>6</v>
      </c>
      <c r="AC875" s="3">
        <f>VLOOKUP($E875,'Product Naming'!$A$1:$P$58,12,FALSE)</f>
        <v>60.093820000000001</v>
      </c>
      <c r="AD875" s="1">
        <f>VLOOKUP($E875,'Product Naming'!$A$1:$P$58,13,FALSE)</f>
        <v>97</v>
      </c>
      <c r="AE875" s="1" t="str">
        <f>VLOOKUP($E875,'Product Naming'!$A$1:$P$58,14,FALSE)</f>
        <v>Alcohol</v>
      </c>
      <c r="AF875" s="1" t="str">
        <f>VLOOKUP($E875,'Product Naming'!$A$1:$P$58,15,FALSE)</f>
        <v>Oxaloacetate</v>
      </c>
      <c r="AG875" s="30" t="str">
        <f>VLOOKUP($E875,'Product Naming'!$A$1:$P$58,16,FALSE)</f>
        <v>Proton symporter</v>
      </c>
      <c r="AH875" s="3" t="str">
        <f>VLOOKUP($E875,'Product Naming'!$A$1:$Q$58,17,FALSE)</f>
        <v>ppoh_c</v>
      </c>
      <c r="AI875" s="1">
        <f>VLOOKUP($E875,'Product Parameters'!$A$2:$D$59,2,FALSE)</f>
        <v>1</v>
      </c>
      <c r="AJ875" s="1">
        <f>VLOOKUP($E875,'Product Parameters'!$A$2:$D$59,3,FALSE)</f>
        <v>0</v>
      </c>
      <c r="AK875" s="1">
        <f>VLOOKUP($E875,'Product Parameters'!$A$2:$D$59,4,FALSE)</f>
        <v>0.12</v>
      </c>
      <c r="AL875" s="1">
        <f>VLOOKUP($E875,'Product Parameters'!$A$2:$E$59,5,FALSE)</f>
        <v>47</v>
      </c>
      <c r="AM875" s="1">
        <f>VLOOKUP($E875,'Product Parameters'!$A$2:$F$59,6,FALSE)</f>
        <v>3</v>
      </c>
      <c r="AN875" s="1">
        <f>VLOOKUP($C875,'Substrate Heating'!$A$2:$C$33,3,FALSE)</f>
        <v>1055.1294800000001</v>
      </c>
      <c r="AO875" s="1">
        <f>VLOOKUP($C875,'Substrate Heating'!$A$2:$B$33,2,FALSE)</f>
        <v>17</v>
      </c>
      <c r="AP875" s="1">
        <f>VLOOKUP($C875,'Substrate Heating'!$A$2:$M$33,13,FALSE)</f>
        <v>5</v>
      </c>
      <c r="AQ875" s="1">
        <f>VLOOKUP($C875,'Substrate Heating'!$A$2:$M$33,8,FALSE)</f>
        <v>2</v>
      </c>
      <c r="AR875" s="1">
        <f t="shared" si="13"/>
        <v>0.64835294117647047</v>
      </c>
    </row>
    <row r="876" spans="1:44" x14ac:dyDescent="0.2">
      <c r="A876" s="17" t="s">
        <v>323</v>
      </c>
      <c r="B876" s="18" t="s">
        <v>324</v>
      </c>
      <c r="C876" t="s">
        <v>335</v>
      </c>
      <c r="D876" s="19" t="s">
        <v>326</v>
      </c>
      <c r="E876" t="s">
        <v>318</v>
      </c>
      <c r="F876" t="s">
        <v>319</v>
      </c>
      <c r="G876">
        <v>-10</v>
      </c>
      <c r="H876">
        <v>0</v>
      </c>
      <c r="I876">
        <v>-10</v>
      </c>
      <c r="J876">
        <v>0.45</v>
      </c>
      <c r="K876">
        <v>-10</v>
      </c>
      <c r="L876">
        <v>0</v>
      </c>
      <c r="M876">
        <v>-10</v>
      </c>
      <c r="N876">
        <v>0</v>
      </c>
      <c r="O876">
        <v>1.7333333333333301</v>
      </c>
      <c r="P876"/>
      <c r="Q876">
        <v>0.17333333333333301</v>
      </c>
      <c r="R876">
        <v>0.41870957788063401</v>
      </c>
      <c r="S876" s="1" t="str">
        <f>VLOOKUP($E876,'Product Naming'!$A$1:$P$58,2,FALSE)</f>
        <v>Succinate</v>
      </c>
      <c r="T876" s="1" t="str">
        <f>VLOOKUP($E876,'Product Naming'!$A$1:$P$58,3,FALSE)</f>
        <v>Succinate</v>
      </c>
      <c r="U876" s="1" t="str">
        <f>VLOOKUP($E876,'Product Naming'!$A$1:$P$58,4,FALSE)</f>
        <v>iJO1366</v>
      </c>
      <c r="V876" s="1" t="str">
        <f>VLOOKUP($E876,'Product Naming'!$A$1:$P$58,5,FALSE)</f>
        <v>C4H4O4</v>
      </c>
      <c r="W876" s="1">
        <f>VLOOKUP($E876,'Product Naming'!$A$1:$P$58,6,FALSE)</f>
        <v>4</v>
      </c>
      <c r="X876" s="1">
        <f>VLOOKUP($E876,'Product Naming'!$A$1:$P$58,7,FALSE)</f>
        <v>4</v>
      </c>
      <c r="Y876" s="1">
        <f>VLOOKUP($E876,'Product Naming'!$A$1:$P$58,8,FALSE)</f>
        <v>4</v>
      </c>
      <c r="Z876" s="1">
        <f>VLOOKUP($E876,'Product Naming'!$A$1:$P$58,9,FALSE)</f>
        <v>0</v>
      </c>
      <c r="AA876" s="1">
        <f>VLOOKUP($E876,'Product Naming'!$A$1:$P$58,10,FALSE)</f>
        <v>-2</v>
      </c>
      <c r="AB876" s="29">
        <f>VLOOKUP($E876,'Product Naming'!$A$1:$P$58,11,FALSE)</f>
        <v>3</v>
      </c>
      <c r="AC876" s="3">
        <f>VLOOKUP($E876,'Product Naming'!$A$1:$P$58,12,FALSE)</f>
        <v>116.07016</v>
      </c>
      <c r="AD876" s="1">
        <f>VLOOKUP($E876,'Product Naming'!$A$1:$P$58,13,FALSE)</f>
        <v>235</v>
      </c>
      <c r="AE876" s="1" t="str">
        <f>VLOOKUP($E876,'Product Naming'!$A$1:$P$58,14,FALSE)</f>
        <v>Dicarboxylate</v>
      </c>
      <c r="AF876" s="1" t="str">
        <f>VLOOKUP($E876,'Product Naming'!$A$1:$P$58,15,FALSE)</f>
        <v>Oxaloacetate</v>
      </c>
      <c r="AG876" s="30" t="str">
        <f>VLOOKUP($E876,'Product Naming'!$A$1:$P$58,16,FALSE)</f>
        <v>Proton symporter</v>
      </c>
      <c r="AH876" s="3" t="str">
        <f>VLOOKUP($E876,'Product Naming'!$A$1:$Q$58,17,FALSE)</f>
        <v>succ_c</v>
      </c>
      <c r="AI876" s="1">
        <f>VLOOKUP($E876,'Product Parameters'!$A$2:$D$59,2,FALSE)</f>
        <v>1</v>
      </c>
      <c r="AJ876" s="1">
        <f>VLOOKUP($E876,'Product Parameters'!$A$2:$D$59,3,FALSE)</f>
        <v>0</v>
      </c>
      <c r="AK876" s="1">
        <f>VLOOKUP($E876,'Product Parameters'!$A$2:$D$59,4,FALSE)</f>
        <v>0.12</v>
      </c>
      <c r="AL876" s="1">
        <f>VLOOKUP($E876,'Product Parameters'!$A$2:$E$59,5,FALSE)</f>
        <v>40.65</v>
      </c>
      <c r="AM876" s="1">
        <f>VLOOKUP($E876,'Product Parameters'!$A$2:$F$59,6,FALSE)</f>
        <v>4</v>
      </c>
      <c r="AN876" s="1">
        <f>VLOOKUP($C876,'Substrate Heating'!$A$2:$C$33,3,FALSE)</f>
        <v>247.9</v>
      </c>
      <c r="AO876" s="1">
        <f>VLOOKUP($C876,'Substrate Heating'!$A$2:$B$33,2,FALSE)</f>
        <v>10.541709491918519</v>
      </c>
      <c r="AP876" s="1">
        <f>VLOOKUP($C876,'Substrate Heating'!$A$2:$M$33,13,FALSE)</f>
        <v>0.5</v>
      </c>
      <c r="AQ876" s="1">
        <f>VLOOKUP($C876,'Substrate Heating'!$A$2:$M$33,8,FALSE)</f>
        <v>0.5</v>
      </c>
      <c r="AR876" s="1">
        <f t="shared" si="13"/>
        <v>1.386666666666664</v>
      </c>
    </row>
    <row r="877" spans="1:44" x14ac:dyDescent="0.2">
      <c r="A877" s="17" t="s">
        <v>323</v>
      </c>
      <c r="B877" s="18" t="s">
        <v>324</v>
      </c>
      <c r="C877" t="s">
        <v>325</v>
      </c>
      <c r="D877" s="19" t="s">
        <v>326</v>
      </c>
      <c r="E877" t="s">
        <v>186</v>
      </c>
      <c r="F877" t="s">
        <v>187</v>
      </c>
      <c r="G877">
        <v>-10</v>
      </c>
      <c r="H877">
        <v>0</v>
      </c>
      <c r="I877">
        <v>0</v>
      </c>
      <c r="J877">
        <v>0.45</v>
      </c>
      <c r="K877">
        <v>-10</v>
      </c>
      <c r="L877">
        <v>0</v>
      </c>
      <c r="M877">
        <v>0</v>
      </c>
      <c r="N877">
        <v>4.0695652173913004</v>
      </c>
      <c r="O877">
        <v>0.62028985507246404</v>
      </c>
      <c r="P877"/>
      <c r="Q877">
        <v>6.2028985507246399E-2</v>
      </c>
      <c r="R877">
        <v>0.41875965209112698</v>
      </c>
      <c r="S877" s="1" t="str">
        <f>VLOOKUP($E877,'Product Naming'!$A$1:$P$58,2,FALSE)</f>
        <v>Citrate</v>
      </c>
      <c r="T877" s="1" t="str">
        <f>VLOOKUP($E877,'Product Naming'!$A$1:$P$58,3,FALSE)</f>
        <v>Citrate</v>
      </c>
      <c r="U877" s="1" t="str">
        <f>VLOOKUP($E877,'Product Naming'!$A$1:$P$58,4,FALSE)</f>
        <v>iJO1366</v>
      </c>
      <c r="V877" s="1" t="str">
        <f>VLOOKUP($E877,'Product Naming'!$A$1:$P$58,5,FALSE)</f>
        <v>C6H5O7</v>
      </c>
      <c r="W877" s="1">
        <f>VLOOKUP($E877,'Product Naming'!$A$1:$P$58,6,FALSE)</f>
        <v>6</v>
      </c>
      <c r="X877" s="1">
        <f>VLOOKUP($E877,'Product Naming'!$A$1:$P$58,7,FALSE)</f>
        <v>5</v>
      </c>
      <c r="Y877" s="1">
        <f>VLOOKUP($E877,'Product Naming'!$A$1:$P$58,8,FALSE)</f>
        <v>7</v>
      </c>
      <c r="Z877" s="1">
        <f>VLOOKUP($E877,'Product Naming'!$A$1:$P$58,9,FALSE)</f>
        <v>0</v>
      </c>
      <c r="AA877" s="1">
        <f>VLOOKUP($E877,'Product Naming'!$A$1:$P$58,10,FALSE)</f>
        <v>-3</v>
      </c>
      <c r="AB877" s="29">
        <f>VLOOKUP($E877,'Product Naming'!$A$1:$P$58,11,FALSE)</f>
        <v>2.5</v>
      </c>
      <c r="AC877" s="3">
        <f>VLOOKUP($E877,'Product Naming'!$A$1:$P$58,12,FALSE)</f>
        <v>189.09640000000002</v>
      </c>
      <c r="AD877" s="1" t="str">
        <f>VLOOKUP($E877,'Product Naming'!$A$1:$P$58,13,FALSE)</f>
        <v>NA</v>
      </c>
      <c r="AE877" s="1" t="str">
        <f>VLOOKUP($E877,'Product Naming'!$A$1:$P$58,14,FALSE)</f>
        <v>Tricarboxylate + Alcohol</v>
      </c>
      <c r="AF877" s="1" t="str">
        <f>VLOOKUP($E877,'Product Naming'!$A$1:$P$58,15,FALSE)</f>
        <v>Acetyl-CoA</v>
      </c>
      <c r="AG877" s="30" t="str">
        <f>VLOOKUP($E877,'Product Naming'!$A$1:$P$58,16,FALSE)</f>
        <v>Proton antiport</v>
      </c>
      <c r="AH877" s="3" t="str">
        <f>VLOOKUP($E877,'Product Naming'!$A$1:$Q$58,17,FALSE)</f>
        <v>cit_c</v>
      </c>
      <c r="AI877" s="1">
        <f>VLOOKUP($E877,'Product Parameters'!$A$2:$D$59,2,FALSE)</f>
        <v>1</v>
      </c>
      <c r="AJ877" s="1">
        <f>VLOOKUP($E877,'Product Parameters'!$A$2:$D$59,3,FALSE)</f>
        <v>0</v>
      </c>
      <c r="AK877" s="1">
        <f>VLOOKUP($E877,'Product Parameters'!$A$2:$D$59,4,FALSE)</f>
        <v>0.12</v>
      </c>
      <c r="AL877" s="1">
        <f>VLOOKUP($E877,'Product Parameters'!$A$2:$E$59,5,FALSE)</f>
        <v>40.65</v>
      </c>
      <c r="AM877" s="1">
        <f>VLOOKUP($E877,'Product Parameters'!$A$2:$F$59,6,FALSE)</f>
        <v>6</v>
      </c>
      <c r="AN877" s="1">
        <f>VLOOKUP($C877,'Substrate Heating'!$A$2:$C$33,3,FALSE)</f>
        <v>280.09700000000004</v>
      </c>
      <c r="AO877" s="1">
        <f>VLOOKUP($C877,'Substrate Heating'!$A$2:$B$33,2,FALSE)</f>
        <v>10</v>
      </c>
      <c r="AP877" s="1">
        <f>VLOOKUP($C877,'Substrate Heating'!$A$2:$M$33,13,FALSE)</f>
        <v>2</v>
      </c>
      <c r="AQ877" s="1">
        <f>VLOOKUP($C877,'Substrate Heating'!$A$2:$M$33,8,FALSE)</f>
        <v>1</v>
      </c>
      <c r="AR877" s="1">
        <f t="shared" si="13"/>
        <v>0.37217391304347841</v>
      </c>
    </row>
    <row r="878" spans="1:44" x14ac:dyDescent="0.2">
      <c r="A878" s="8" t="s">
        <v>34</v>
      </c>
      <c r="B878" s="9" t="s">
        <v>35</v>
      </c>
      <c r="C878" s="1" t="s">
        <v>343</v>
      </c>
      <c r="D878" s="24" t="s">
        <v>342</v>
      </c>
      <c r="E878" s="1" t="s">
        <v>169</v>
      </c>
      <c r="F878" s="1" t="s">
        <v>165</v>
      </c>
      <c r="G878" s="1">
        <v>-10</v>
      </c>
      <c r="H878" s="1">
        <v>-20</v>
      </c>
      <c r="I878" s="1" t="s">
        <v>40</v>
      </c>
      <c r="J878" s="1">
        <v>3.15</v>
      </c>
      <c r="K878" s="1">
        <v>-10</v>
      </c>
      <c r="L878" s="1">
        <v>-3.6953020134228201</v>
      </c>
      <c r="M878" s="1" t="s">
        <v>40</v>
      </c>
      <c r="N878" s="1">
        <v>9.1302013422818806</v>
      </c>
      <c r="O878" s="1">
        <v>5.2174496644295303</v>
      </c>
      <c r="Q878" s="1">
        <v>0.52174496644295298</v>
      </c>
      <c r="R878" s="1">
        <v>0.41991787572439698</v>
      </c>
      <c r="S878" s="1" t="str">
        <f>VLOOKUP($E878,'Product Naming'!$A$1:$P$58,2,FALSE)</f>
        <v>Butanol-PW2</v>
      </c>
      <c r="T878" s="1" t="str">
        <f>VLOOKUP($E878,'Product Naming'!$A$1:$P$58,3,FALSE)</f>
        <v>Butanol (PW2)</v>
      </c>
      <c r="U878" s="1" t="str">
        <f>VLOOKUP($E878,'Product Naming'!$A$1:$P$58,4,FALSE)</f>
        <v>E</v>
      </c>
      <c r="V878" s="1" t="str">
        <f>VLOOKUP($E878,'Product Naming'!$A$1:$P$58,5,FALSE)</f>
        <v>C4H10O</v>
      </c>
      <c r="W878" s="1">
        <f>VLOOKUP($E878,'Product Naming'!$A$1:$P$58,6,FALSE)</f>
        <v>4</v>
      </c>
      <c r="X878" s="1">
        <f>VLOOKUP($E878,'Product Naming'!$A$1:$P$58,7,FALSE)</f>
        <v>10</v>
      </c>
      <c r="Y878" s="1">
        <f>VLOOKUP($E878,'Product Naming'!$A$1:$P$58,8,FALSE)</f>
        <v>1</v>
      </c>
      <c r="Z878" s="1">
        <f>VLOOKUP($E878,'Product Naming'!$A$1:$P$58,9,FALSE)</f>
        <v>0</v>
      </c>
      <c r="AA878" s="1">
        <f>VLOOKUP($E878,'Product Naming'!$A$1:$P$58,10,FALSE)</f>
        <v>0</v>
      </c>
      <c r="AB878" s="29">
        <f>VLOOKUP($E878,'Product Naming'!$A$1:$P$58,11,FALSE)</f>
        <v>6</v>
      </c>
      <c r="AC878" s="3">
        <f>VLOOKUP($E878,'Product Naming'!$A$1:$P$58,12,FALSE)</f>
        <v>74.120199999999997</v>
      </c>
      <c r="AD878" s="1">
        <f>VLOOKUP($E878,'Product Naming'!$A$1:$P$58,13,FALSE)</f>
        <v>117.7</v>
      </c>
      <c r="AE878" s="1" t="str">
        <f>VLOOKUP($E878,'Product Naming'!$A$1:$P$58,14,FALSE)</f>
        <v>Alcohol</v>
      </c>
      <c r="AF878" s="1" t="str">
        <f>VLOOKUP($E878,'Product Naming'!$A$1:$P$58,15,FALSE)</f>
        <v>Oxaloacetate</v>
      </c>
      <c r="AG878" s="30" t="str">
        <f>VLOOKUP($E878,'Product Naming'!$A$1:$P$58,16,FALSE)</f>
        <v>Proton symporter</v>
      </c>
      <c r="AH878" s="3" t="str">
        <f>VLOOKUP($E878,'Product Naming'!$A$1:$Q$58,17,FALSE)</f>
        <v>btoh_c</v>
      </c>
      <c r="AI878" s="1">
        <f>VLOOKUP($E878,'Product Parameters'!$A$2:$D$59,2,FALSE)</f>
        <v>1</v>
      </c>
      <c r="AJ878" s="1">
        <f>VLOOKUP($E878,'Product Parameters'!$A$2:$D$59,3,FALSE)</f>
        <v>0</v>
      </c>
      <c r="AK878" s="1">
        <f>VLOOKUP($E878,'Product Parameters'!$A$2:$D$59,4,FALSE)</f>
        <v>0.12</v>
      </c>
      <c r="AL878" s="1">
        <f>VLOOKUP($E878,'Product Parameters'!$A$2:$E$59,5,FALSE)</f>
        <v>52</v>
      </c>
      <c r="AM878" s="1">
        <f>VLOOKUP($E878,'Product Parameters'!$A$2:$F$59,6,FALSE)</f>
        <v>4</v>
      </c>
      <c r="AN878" s="1">
        <f>VLOOKUP($C878,'Substrate Heating'!$A$2:$C$33,3,FALSE)</f>
        <v>1648.4793779999998</v>
      </c>
      <c r="AO878" s="1">
        <f>VLOOKUP($C878,'Substrate Heating'!$A$2:$B$33,2,FALSE)</f>
        <v>17.899999999999999</v>
      </c>
      <c r="AP878" s="1">
        <f>VLOOKUP($C878,'Substrate Heating'!$A$2:$M$33,13,FALSE)</f>
        <v>4.666666666666667</v>
      </c>
      <c r="AQ878" s="1">
        <f>VLOOKUP($C878,'Substrate Heating'!$A$2:$M$33,8,FALSE)</f>
        <v>3</v>
      </c>
      <c r="AR878" s="1">
        <f t="shared" si="13"/>
        <v>0.69565995525727065</v>
      </c>
    </row>
    <row r="879" spans="1:44" x14ac:dyDescent="0.2">
      <c r="A879" s="8" t="s">
        <v>812</v>
      </c>
      <c r="B879" s="9" t="s">
        <v>35</v>
      </c>
      <c r="C879" t="s">
        <v>813</v>
      </c>
      <c r="E879" t="s">
        <v>306</v>
      </c>
      <c r="F879" t="s">
        <v>302</v>
      </c>
      <c r="G879">
        <v>-10</v>
      </c>
      <c r="H879">
        <v>-20</v>
      </c>
      <c r="I879">
        <v>0</v>
      </c>
      <c r="J879">
        <v>3.15</v>
      </c>
      <c r="K879">
        <v>-10</v>
      </c>
      <c r="L879">
        <v>-16.3716216216216</v>
      </c>
      <c r="M879">
        <v>0</v>
      </c>
      <c r="N879">
        <v>12.822972972972901</v>
      </c>
      <c r="O879">
        <v>5.7256756756756699</v>
      </c>
      <c r="P879"/>
      <c r="Q879">
        <v>0.57256756756756699</v>
      </c>
      <c r="R879">
        <v>0.420121138289409</v>
      </c>
      <c r="S879" s="1" t="str">
        <f>VLOOKUP($E879,'Product Naming'!$A$1:$P$58,2,FALSE)</f>
        <v>Propane-PW2</v>
      </c>
      <c r="T879" s="1" t="str">
        <f>VLOOKUP($E879,'Product Naming'!$A$1:$P$58,3,FALSE)</f>
        <v>Propane (PW2)</v>
      </c>
      <c r="U879" s="1" t="str">
        <f>VLOOKUP($E879,'Product Naming'!$A$1:$P$58,4,FALSE)</f>
        <v>E</v>
      </c>
      <c r="V879" s="1" t="str">
        <f>VLOOKUP($E879,'Product Naming'!$A$1:$P$58,5,FALSE)</f>
        <v>C3H8</v>
      </c>
      <c r="W879" s="1">
        <f>VLOOKUP($E879,'Product Naming'!$A$1:$P$58,6,FALSE)</f>
        <v>3</v>
      </c>
      <c r="X879" s="1">
        <f>VLOOKUP($E879,'Product Naming'!$A$1:$P$58,7,FALSE)</f>
        <v>8</v>
      </c>
      <c r="Y879" s="1">
        <f>VLOOKUP($E879,'Product Naming'!$A$1:$P$58,8,FALSE)</f>
        <v>0</v>
      </c>
      <c r="Z879" s="1">
        <f>VLOOKUP($E879,'Product Naming'!$A$1:$P$58,9,FALSE)</f>
        <v>0</v>
      </c>
      <c r="AA879" s="1">
        <f>VLOOKUP($E879,'Product Naming'!$A$1:$P$58,10,FALSE)</f>
        <v>0</v>
      </c>
      <c r="AB879" s="29">
        <f>VLOOKUP($E879,'Product Naming'!$A$1:$P$58,11,FALSE)</f>
        <v>6.666666666666667</v>
      </c>
      <c r="AC879" s="3">
        <f>VLOOKUP($E879,'Product Naming'!$A$1:$P$58,12,FALSE)</f>
        <v>44.094819999999999</v>
      </c>
      <c r="AD879" s="1">
        <f>VLOOKUP($E879,'Product Naming'!$A$1:$P$58,13,FALSE)</f>
        <v>-42</v>
      </c>
      <c r="AE879" s="1" t="str">
        <f>VLOOKUP($E879,'Product Naming'!$A$1:$P$58,14,FALSE)</f>
        <v>Hydrocarbon</v>
      </c>
      <c r="AF879" s="1" t="str">
        <f>VLOOKUP($E879,'Product Naming'!$A$1:$P$58,15,FALSE)</f>
        <v>Oxaloacetate</v>
      </c>
      <c r="AG879" s="30" t="str">
        <f>VLOOKUP($E879,'Product Naming'!$A$1:$P$58,16,FALSE)</f>
        <v>Diffusion</v>
      </c>
      <c r="AH879" s="3" t="str">
        <f>VLOOKUP($E879,'Product Naming'!$A$1:$Q$58,17,FALSE)</f>
        <v>prop_c</v>
      </c>
      <c r="AI879" s="1">
        <f>VLOOKUP($E879,'Product Parameters'!$A$2:$D$59,2,FALSE)</f>
        <v>0</v>
      </c>
      <c r="AJ879" s="1">
        <f>VLOOKUP($E879,'Product Parameters'!$A$2:$D$59,3,FALSE)</f>
        <v>1</v>
      </c>
      <c r="AK879" s="1">
        <f>VLOOKUP($E879,'Product Parameters'!$A$2:$D$59,4,FALSE)</f>
        <v>0.12</v>
      </c>
      <c r="AL879" s="1">
        <f>VLOOKUP($E879,'Product Parameters'!$A$2:$E$59,5,FALSE)</f>
        <v>0</v>
      </c>
      <c r="AM879" s="1">
        <f>VLOOKUP($E879,'Product Parameters'!$A$2:$F$59,6,FALSE)</f>
        <v>3</v>
      </c>
      <c r="AN879" s="1">
        <f>VLOOKUP($C879,'Substrate Heating'!$A$2:$C$33,3,FALSE)</f>
        <v>1843.720736</v>
      </c>
      <c r="AO879" s="1">
        <f>VLOOKUP($C879,'Substrate Heating'!$A$2:$B$33,2,FALSE)</f>
        <v>30.68</v>
      </c>
      <c r="AP879" s="1">
        <f>VLOOKUP($C879,'Substrate Heating'!$A$2:$M$33,13,FALSE)</f>
        <v>6</v>
      </c>
      <c r="AQ879" s="1">
        <f>VLOOKUP($C879,'Substrate Heating'!$A$2:$M$33,8,FALSE)</f>
        <v>3</v>
      </c>
      <c r="AR879" s="1">
        <f t="shared" si="13"/>
        <v>0.57256756756756699</v>
      </c>
    </row>
    <row r="880" spans="1:44" x14ac:dyDescent="0.2">
      <c r="A880" s="8" t="s">
        <v>34</v>
      </c>
      <c r="B880" s="9" t="s">
        <v>35</v>
      </c>
      <c r="C880" s="1" t="s">
        <v>343</v>
      </c>
      <c r="D880" s="24" t="s">
        <v>342</v>
      </c>
      <c r="E880" s="1" t="s">
        <v>91</v>
      </c>
      <c r="F880" s="1" t="s">
        <v>92</v>
      </c>
      <c r="G880" s="1">
        <v>-10</v>
      </c>
      <c r="H880" s="1">
        <v>-20</v>
      </c>
      <c r="I880" s="1" t="s">
        <v>40</v>
      </c>
      <c r="J880" s="1">
        <v>3.15</v>
      </c>
      <c r="K880" s="1">
        <v>-10</v>
      </c>
      <c r="L880" s="1">
        <v>-2.0551470588235299</v>
      </c>
      <c r="M880" s="1" t="s">
        <v>40</v>
      </c>
      <c r="N880" s="1">
        <v>8.0367647058823497</v>
      </c>
      <c r="O880" s="1">
        <v>4.3926470588235302</v>
      </c>
      <c r="Q880" s="1">
        <v>0.439264705882353</v>
      </c>
      <c r="R880" s="1">
        <v>0.42043734897993501</v>
      </c>
      <c r="S880" s="1" t="str">
        <f>VLOOKUP($E880,'Product Naming'!$A$1:$P$58,2,FALSE)</f>
        <v>2-Methyl-1-Butanol</v>
      </c>
      <c r="T880" s="1" t="str">
        <f>VLOOKUP($E880,'Product Naming'!$A$1:$P$58,3,FALSE)</f>
        <v>2-Methyl-1-butanol</v>
      </c>
      <c r="U880" s="1" t="str">
        <f>VLOOKUP($E880,'Product Naming'!$A$1:$P$58,4,FALSE)</f>
        <v>A</v>
      </c>
      <c r="V880" s="1" t="str">
        <f>VLOOKUP($E880,'Product Naming'!$A$1:$P$58,5,FALSE)</f>
        <v>C5H12O</v>
      </c>
      <c r="W880" s="1">
        <f>VLOOKUP($E880,'Product Naming'!$A$1:$P$58,6,FALSE)</f>
        <v>5</v>
      </c>
      <c r="X880" s="1">
        <f>VLOOKUP($E880,'Product Naming'!$A$1:$P$58,7,FALSE)</f>
        <v>12</v>
      </c>
      <c r="Y880" s="1">
        <f>VLOOKUP($E880,'Product Naming'!$A$1:$P$58,8,FALSE)</f>
        <v>1</v>
      </c>
      <c r="Z880" s="1">
        <f>VLOOKUP($E880,'Product Naming'!$A$1:$P$58,9,FALSE)</f>
        <v>0</v>
      </c>
      <c r="AA880" s="1">
        <f>VLOOKUP($E880,'Product Naming'!$A$1:$P$58,10,FALSE)</f>
        <v>0</v>
      </c>
      <c r="AB880" s="29">
        <f>VLOOKUP($E880,'Product Naming'!$A$1:$P$58,11,FALSE)</f>
        <v>6</v>
      </c>
      <c r="AC880" s="3">
        <f>VLOOKUP($E880,'Product Naming'!$A$1:$P$58,12,FALSE)</f>
        <v>88.14658</v>
      </c>
      <c r="AD880" s="1">
        <f>VLOOKUP($E880,'Product Naming'!$A$1:$P$58,13,FALSE)</f>
        <v>129</v>
      </c>
      <c r="AE880" s="1" t="str">
        <f>VLOOKUP($E880,'Product Naming'!$A$1:$P$58,14,FALSE)</f>
        <v>Alcohol</v>
      </c>
      <c r="AF880" s="1" t="str">
        <f>VLOOKUP($E880,'Product Naming'!$A$1:$P$58,15,FALSE)</f>
        <v>PEP</v>
      </c>
      <c r="AG880" s="30" t="str">
        <f>VLOOKUP($E880,'Product Naming'!$A$1:$P$58,16,FALSE)</f>
        <v>Proton symporter</v>
      </c>
      <c r="AH880" s="3" t="str">
        <f>VLOOKUP($E880,'Product Naming'!$A$1:$Q$58,17,FALSE)</f>
        <v>2mbtoh_c</v>
      </c>
      <c r="AI880" s="1">
        <f>VLOOKUP($E880,'Product Parameters'!$A$2:$D$59,2,FALSE)</f>
        <v>1</v>
      </c>
      <c r="AJ880" s="1">
        <f>VLOOKUP($E880,'Product Parameters'!$A$2:$D$59,3,FALSE)</f>
        <v>0</v>
      </c>
      <c r="AK880" s="1">
        <f>VLOOKUP($E880,'Product Parameters'!$A$2:$D$59,4,FALSE)</f>
        <v>0.12</v>
      </c>
      <c r="AL880" s="1">
        <f>VLOOKUP($E880,'Product Parameters'!$A$2:$E$59,5,FALSE)</f>
        <v>54.6</v>
      </c>
      <c r="AM880" s="1">
        <f>VLOOKUP($E880,'Product Parameters'!$A$2:$F$59,6,FALSE)</f>
        <v>5</v>
      </c>
      <c r="AN880" s="1">
        <f>VLOOKUP($C880,'Substrate Heating'!$A$2:$C$33,3,FALSE)</f>
        <v>1648.4793779999998</v>
      </c>
      <c r="AO880" s="1">
        <f>VLOOKUP($C880,'Substrate Heating'!$A$2:$B$33,2,FALSE)</f>
        <v>17.899999999999999</v>
      </c>
      <c r="AP880" s="1">
        <f>VLOOKUP($C880,'Substrate Heating'!$A$2:$M$33,13,FALSE)</f>
        <v>4.666666666666667</v>
      </c>
      <c r="AQ880" s="1">
        <f>VLOOKUP($C880,'Substrate Heating'!$A$2:$M$33,8,FALSE)</f>
        <v>3</v>
      </c>
      <c r="AR880" s="1">
        <f t="shared" si="13"/>
        <v>0.73210784313725508</v>
      </c>
    </row>
    <row r="881" spans="1:44" x14ac:dyDescent="0.2">
      <c r="A881" s="8" t="s">
        <v>34</v>
      </c>
      <c r="B881" s="9" t="s">
        <v>35</v>
      </c>
      <c r="C881" s="1" t="s">
        <v>343</v>
      </c>
      <c r="D881" s="24" t="s">
        <v>342</v>
      </c>
      <c r="E881" s="1" t="s">
        <v>108</v>
      </c>
      <c r="F881" s="1" t="s">
        <v>109</v>
      </c>
      <c r="G881" s="1">
        <v>-10</v>
      </c>
      <c r="H881" s="1">
        <v>-20</v>
      </c>
      <c r="I881" s="1" t="s">
        <v>40</v>
      </c>
      <c r="J881" s="1">
        <v>3.15</v>
      </c>
      <c r="K881" s="1">
        <v>-10</v>
      </c>
      <c r="L881" s="1">
        <v>-4.3334532374100698</v>
      </c>
      <c r="M881" s="1" t="s">
        <v>40</v>
      </c>
      <c r="N881" s="1">
        <v>4.1755395683453296</v>
      </c>
      <c r="O881" s="1">
        <v>3.2280575539568299</v>
      </c>
      <c r="Q881" s="1">
        <v>0.32280575539568301</v>
      </c>
      <c r="R881" s="1">
        <v>0.42113842591573403</v>
      </c>
      <c r="S881" s="1" t="str">
        <f>VLOOKUP($E881,'Product Naming'!$A$1:$P$58,2,FALSE)</f>
        <v>4-Hydroxystyrene</v>
      </c>
      <c r="T881" s="1" t="str">
        <f>VLOOKUP($E881,'Product Naming'!$A$1:$P$58,3,FALSE)</f>
        <v>4-Hydroxystyrene</v>
      </c>
      <c r="U881" s="1" t="str">
        <f>VLOOKUP($E881,'Product Naming'!$A$1:$P$58,4,FALSE)</f>
        <v>E</v>
      </c>
      <c r="V881" s="1" t="str">
        <f>VLOOKUP($E881,'Product Naming'!$A$1:$P$58,5,FALSE)</f>
        <v>C8H8O</v>
      </c>
      <c r="W881" s="1">
        <f>VLOOKUP($E881,'Product Naming'!$A$1:$P$58,6,FALSE)</f>
        <v>8</v>
      </c>
      <c r="X881" s="1">
        <f>VLOOKUP($E881,'Product Naming'!$A$1:$P$58,7,FALSE)</f>
        <v>8</v>
      </c>
      <c r="Y881" s="1">
        <f>VLOOKUP($E881,'Product Naming'!$A$1:$P$58,8,FALSE)</f>
        <v>1</v>
      </c>
      <c r="Z881" s="1">
        <f>VLOOKUP($E881,'Product Naming'!$A$1:$P$58,9,FALSE)</f>
        <v>0</v>
      </c>
      <c r="AA881" s="1">
        <f>VLOOKUP($E881,'Product Naming'!$A$1:$P$58,10,FALSE)</f>
        <v>0</v>
      </c>
      <c r="AB881" s="29">
        <f>VLOOKUP($E881,'Product Naming'!$A$1:$P$58,11,FALSE)</f>
        <v>4.75</v>
      </c>
      <c r="AC881" s="3">
        <f>VLOOKUP($E881,'Product Naming'!$A$1:$P$58,12,FALSE)</f>
        <v>120.14731999999999</v>
      </c>
      <c r="AD881" s="1">
        <f>VLOOKUP($E881,'Product Naming'!$A$1:$P$58,13,FALSE)</f>
        <v>229</v>
      </c>
      <c r="AE881" s="1" t="str">
        <f>VLOOKUP($E881,'Product Naming'!$A$1:$P$58,14,FALSE)</f>
        <v>Aromatic + Alcohol</v>
      </c>
      <c r="AF881" s="1" t="str">
        <f>VLOOKUP($E881,'Product Naming'!$A$1:$P$58,15,FALSE)</f>
        <v>E4P + L-glutamate</v>
      </c>
      <c r="AG881" s="30" t="str">
        <f>VLOOKUP($E881,'Product Naming'!$A$1:$P$58,16,FALSE)</f>
        <v>Proton symporter</v>
      </c>
      <c r="AH881" s="3" t="str">
        <f>VLOOKUP($E881,'Product Naming'!$A$1:$Q$58,17,FALSE)</f>
        <v>4hxst_c</v>
      </c>
      <c r="AI881" s="1">
        <f>VLOOKUP($E881,'Product Parameters'!$A$2:$D$59,2,FALSE)</f>
        <v>1</v>
      </c>
      <c r="AJ881" s="1">
        <f>VLOOKUP($E881,'Product Parameters'!$A$2:$D$59,3,FALSE)</f>
        <v>0</v>
      </c>
      <c r="AK881" s="1">
        <f>VLOOKUP($E881,'Product Parameters'!$A$2:$D$59,4,FALSE)</f>
        <v>0.12</v>
      </c>
      <c r="AL881" s="1">
        <f>VLOOKUP($E881,'Product Parameters'!$A$2:$E$59,5,FALSE)</f>
        <v>40.65</v>
      </c>
      <c r="AM881" s="1">
        <f>VLOOKUP($E881,'Product Parameters'!$A$2:$F$59,6,FALSE)</f>
        <v>8</v>
      </c>
      <c r="AN881" s="1">
        <f>VLOOKUP($C881,'Substrate Heating'!$A$2:$C$33,3,FALSE)</f>
        <v>1648.4793779999998</v>
      </c>
      <c r="AO881" s="1">
        <f>VLOOKUP($C881,'Substrate Heating'!$A$2:$B$33,2,FALSE)</f>
        <v>17.899999999999999</v>
      </c>
      <c r="AP881" s="1">
        <f>VLOOKUP($C881,'Substrate Heating'!$A$2:$M$33,13,FALSE)</f>
        <v>4.666666666666667</v>
      </c>
      <c r="AQ881" s="1">
        <f>VLOOKUP($C881,'Substrate Heating'!$A$2:$M$33,8,FALSE)</f>
        <v>3</v>
      </c>
      <c r="AR881" s="1">
        <f t="shared" si="13"/>
        <v>0.86081534772182133</v>
      </c>
    </row>
    <row r="882" spans="1:44" x14ac:dyDescent="0.2">
      <c r="A882" s="8" t="s">
        <v>34</v>
      </c>
      <c r="B882" s="9" t="s">
        <v>35</v>
      </c>
      <c r="C882" s="1" t="s">
        <v>322</v>
      </c>
      <c r="D882" s="10" t="s">
        <v>37</v>
      </c>
      <c r="E882" s="1" t="s">
        <v>66</v>
      </c>
      <c r="F882" s="1" t="s">
        <v>67</v>
      </c>
      <c r="G882" s="1">
        <v>-10</v>
      </c>
      <c r="H882" s="1">
        <v>-20</v>
      </c>
      <c r="I882" s="1" t="s">
        <v>40</v>
      </c>
      <c r="J882" s="1">
        <v>3.15</v>
      </c>
      <c r="K882" s="1">
        <v>-10</v>
      </c>
      <c r="L882" s="1">
        <v>-4.8174418604651201</v>
      </c>
      <c r="M882" s="1" t="s">
        <v>40</v>
      </c>
      <c r="N882" s="1">
        <v>8.9581395348837205</v>
      </c>
      <c r="O882" s="1">
        <v>2.7604651162790699</v>
      </c>
      <c r="Q882" s="1">
        <v>0.276046511627907</v>
      </c>
      <c r="R882" s="1">
        <v>0.42133910027989202</v>
      </c>
      <c r="S882" s="1" t="str">
        <f>VLOOKUP($E882,'Product Naming'!$A$1:$P$58,2,FALSE)</f>
        <v>1-4-butanediol</v>
      </c>
      <c r="T882" s="1" t="str">
        <f>VLOOKUP($E882,'Product Naming'!$A$1:$P$58,3,FALSE)</f>
        <v>1,4-Butanediol</v>
      </c>
      <c r="U882" s="1" t="str">
        <f>VLOOKUP($E882,'Product Naming'!$A$1:$P$58,4,FALSE)</f>
        <v>E</v>
      </c>
      <c r="V882" s="1" t="str">
        <f>VLOOKUP($E882,'Product Naming'!$A$1:$P$58,5,FALSE)</f>
        <v>C4H10O2</v>
      </c>
      <c r="W882" s="1">
        <f>VLOOKUP($E882,'Product Naming'!$A$1:$P$58,6,FALSE)</f>
        <v>4</v>
      </c>
      <c r="X882" s="1">
        <f>VLOOKUP($E882,'Product Naming'!$A$1:$P$58,7,FALSE)</f>
        <v>10</v>
      </c>
      <c r="Y882" s="1">
        <f>VLOOKUP($E882,'Product Naming'!$A$1:$P$58,8,FALSE)</f>
        <v>2</v>
      </c>
      <c r="Z882" s="1">
        <f>VLOOKUP($E882,'Product Naming'!$A$1:$P$58,9,FALSE)</f>
        <v>0</v>
      </c>
      <c r="AA882" s="1">
        <f>VLOOKUP($E882,'Product Naming'!$A$1:$P$58,10,FALSE)</f>
        <v>0</v>
      </c>
      <c r="AB882" s="29">
        <f>VLOOKUP($E882,'Product Naming'!$A$1:$P$58,11,FALSE)</f>
        <v>5.5</v>
      </c>
      <c r="AC882" s="3">
        <f>VLOOKUP($E882,'Product Naming'!$A$1:$P$58,12,FALSE)</f>
        <v>90.119200000000006</v>
      </c>
      <c r="AD882" s="1">
        <f>VLOOKUP($E882,'Product Naming'!$A$1:$P$58,13,FALSE)</f>
        <v>230</v>
      </c>
      <c r="AE882" s="1" t="str">
        <f>VLOOKUP($E882,'Product Naming'!$A$1:$P$58,14,FALSE)</f>
        <v>Diol</v>
      </c>
      <c r="AF882" s="1" t="str">
        <f>VLOOKUP($E882,'Product Naming'!$A$1:$P$58,15,FALSE)</f>
        <v>aKG</v>
      </c>
      <c r="AG882" s="30" t="str">
        <f>VLOOKUP($E882,'Product Naming'!$A$1:$P$58,16,FALSE)</f>
        <v>Proton symporter</v>
      </c>
      <c r="AH882" s="3" t="str">
        <f>VLOOKUP($E882,'Product Naming'!$A$1:$Q$58,17,FALSE)</f>
        <v>14bdo_c</v>
      </c>
      <c r="AI882" s="1">
        <f>VLOOKUP($E882,'Product Parameters'!$A$2:$D$59,2,FALSE)</f>
        <v>1</v>
      </c>
      <c r="AJ882" s="1">
        <f>VLOOKUP($E882,'Product Parameters'!$A$2:$D$59,3,FALSE)</f>
        <v>0</v>
      </c>
      <c r="AK882" s="1">
        <f>VLOOKUP($E882,'Product Parameters'!$A$2:$D$59,4,FALSE)</f>
        <v>0.12</v>
      </c>
      <c r="AL882" s="1">
        <f>VLOOKUP($E882,'Product Parameters'!$A$2:$E$59,5,FALSE)</f>
        <v>78</v>
      </c>
      <c r="AM882" s="1">
        <f>VLOOKUP($E882,'Product Parameters'!$A$2:$F$59,6,FALSE)</f>
        <v>4</v>
      </c>
      <c r="AN882" s="1">
        <f>VLOOKUP($C882,'Substrate Heating'!$A$2:$C$33,3,FALSE)</f>
        <v>876.74109599999997</v>
      </c>
      <c r="AO882" s="1">
        <f>VLOOKUP($C882,'Substrate Heating'!$A$2:$B$33,2,FALSE)</f>
        <v>14.6</v>
      </c>
      <c r="AP882" s="1">
        <f>VLOOKUP($C882,'Substrate Heating'!$A$2:$M$33,13,FALSE)</f>
        <v>3.5</v>
      </c>
      <c r="AQ882" s="1">
        <f>VLOOKUP($C882,'Substrate Heating'!$A$2:$M$33,8,FALSE)</f>
        <v>2</v>
      </c>
      <c r="AR882" s="1">
        <f t="shared" si="13"/>
        <v>0.552093023255814</v>
      </c>
    </row>
    <row r="883" spans="1:44" x14ac:dyDescent="0.2">
      <c r="A883" s="8" t="s">
        <v>34</v>
      </c>
      <c r="B883" s="9" t="s">
        <v>35</v>
      </c>
      <c r="C883" s="1" t="s">
        <v>330</v>
      </c>
      <c r="D883" s="10" t="s">
        <v>37</v>
      </c>
      <c r="E883" s="1" t="s">
        <v>143</v>
      </c>
      <c r="F883" s="1" t="s">
        <v>137</v>
      </c>
      <c r="G883" s="1">
        <v>-10</v>
      </c>
      <c r="H883" s="1">
        <v>-20</v>
      </c>
      <c r="I883" s="1" t="s">
        <v>40</v>
      </c>
      <c r="J883" s="1">
        <v>3.15</v>
      </c>
      <c r="K883" s="1">
        <v>-10</v>
      </c>
      <c r="L883" s="1">
        <v>-8.8013293943870003</v>
      </c>
      <c r="M883" s="1" t="s">
        <v>40</v>
      </c>
      <c r="N883" s="1">
        <v>4.8812407680945196</v>
      </c>
      <c r="O883" s="1">
        <v>2.1598227474150602</v>
      </c>
      <c r="Q883" s="1">
        <v>0.215982274741506</v>
      </c>
      <c r="R883" s="1">
        <v>0.42145294163542202</v>
      </c>
      <c r="S883" s="1" t="str">
        <f>VLOOKUP($E883,'Product Naming'!$A$1:$P$58,2,FALSE)</f>
        <v>Benzoate-PW2</v>
      </c>
      <c r="T883" s="1" t="str">
        <f>VLOOKUP($E883,'Product Naming'!$A$1:$P$58,3,FALSE)</f>
        <v>Benzoate (PW2)</v>
      </c>
      <c r="U883" s="1" t="str">
        <f>VLOOKUP($E883,'Product Naming'!$A$1:$P$58,4,FALSE)</f>
        <v>A</v>
      </c>
      <c r="V883" s="1" t="str">
        <f>VLOOKUP($E883,'Product Naming'!$A$1:$P$58,5,FALSE)</f>
        <v>C7H5O2</v>
      </c>
      <c r="W883" s="1">
        <f>VLOOKUP($E883,'Product Naming'!$A$1:$P$58,6,FALSE)</f>
        <v>7</v>
      </c>
      <c r="X883" s="1">
        <f>VLOOKUP($E883,'Product Naming'!$A$1:$P$58,7,FALSE)</f>
        <v>5</v>
      </c>
      <c r="Y883" s="1">
        <f>VLOOKUP($E883,'Product Naming'!$A$1:$P$58,8,FALSE)</f>
        <v>2</v>
      </c>
      <c r="Z883" s="1">
        <f>VLOOKUP($E883,'Product Naming'!$A$1:$P$58,9,FALSE)</f>
        <v>0</v>
      </c>
      <c r="AA883" s="1">
        <f>VLOOKUP($E883,'Product Naming'!$A$1:$P$58,10,FALSE)</f>
        <v>-1</v>
      </c>
      <c r="AB883" s="29">
        <f>VLOOKUP($E883,'Product Naming'!$A$1:$P$58,11,FALSE)</f>
        <v>4.1428571428571432</v>
      </c>
      <c r="AC883" s="3">
        <f>VLOOKUP($E883,'Product Naming'!$A$1:$P$58,12,FALSE)</f>
        <v>121.1121</v>
      </c>
      <c r="AD883" s="1">
        <f>VLOOKUP($E883,'Product Naming'!$A$1:$P$58,13,FALSE)</f>
        <v>249.2</v>
      </c>
      <c r="AE883" s="1" t="str">
        <f>VLOOKUP($E883,'Product Naming'!$A$1:$P$58,14,FALSE)</f>
        <v>Aromatic + Carboxylate</v>
      </c>
      <c r="AF883" s="1" t="str">
        <f>VLOOKUP($E883,'Product Naming'!$A$1:$P$58,15,FALSE)</f>
        <v>E4P + aKG</v>
      </c>
      <c r="AG883" s="30" t="str">
        <f>VLOOKUP($E883,'Product Naming'!$A$1:$P$58,16,FALSE)</f>
        <v>Proton symporter</v>
      </c>
      <c r="AH883" s="3" t="str">
        <f>VLOOKUP($E883,'Product Naming'!$A$1:$Q$58,17,FALSE)</f>
        <v>bz_c</v>
      </c>
      <c r="AI883" s="1">
        <f>VLOOKUP($E883,'Product Parameters'!$A$2:$D$59,2,FALSE)</f>
        <v>1</v>
      </c>
      <c r="AJ883" s="1">
        <f>VLOOKUP($E883,'Product Parameters'!$A$2:$D$59,3,FALSE)</f>
        <v>0</v>
      </c>
      <c r="AK883" s="1">
        <f>VLOOKUP($E883,'Product Parameters'!$A$2:$D$59,4,FALSE)</f>
        <v>0.12</v>
      </c>
      <c r="AL883" s="1">
        <f>VLOOKUP($E883,'Product Parameters'!$A$2:$E$59,5,FALSE)</f>
        <v>40.65</v>
      </c>
      <c r="AM883" s="1">
        <f>VLOOKUP($E883,'Product Parameters'!$A$2:$F$59,6,FALSE)</f>
        <v>7</v>
      </c>
      <c r="AN883" s="1">
        <f>VLOOKUP($C883,'Substrate Heating'!$A$2:$C$33,3,FALSE)</f>
        <v>1055.1294800000001</v>
      </c>
      <c r="AO883" s="1">
        <f>VLOOKUP($C883,'Substrate Heating'!$A$2:$B$33,2,FALSE)</f>
        <v>17</v>
      </c>
      <c r="AP883" s="1">
        <f>VLOOKUP($C883,'Substrate Heating'!$A$2:$M$33,13,FALSE)</f>
        <v>5</v>
      </c>
      <c r="AQ883" s="1">
        <f>VLOOKUP($C883,'Substrate Heating'!$A$2:$M$33,8,FALSE)</f>
        <v>2</v>
      </c>
      <c r="AR883" s="1">
        <f t="shared" si="13"/>
        <v>0.75593796159527105</v>
      </c>
    </row>
    <row r="884" spans="1:44" x14ac:dyDescent="0.2">
      <c r="A884" s="8" t="s">
        <v>34</v>
      </c>
      <c r="B884" s="9" t="s">
        <v>35</v>
      </c>
      <c r="C884" s="1" t="s">
        <v>330</v>
      </c>
      <c r="D884" s="10" t="s">
        <v>37</v>
      </c>
      <c r="E884" s="1" t="s">
        <v>136</v>
      </c>
      <c r="F884" s="1" t="s">
        <v>137</v>
      </c>
      <c r="G884" s="1">
        <v>-10</v>
      </c>
      <c r="H884" s="1">
        <v>-20</v>
      </c>
      <c r="I884" s="1" t="s">
        <v>40</v>
      </c>
      <c r="J884" s="1">
        <v>3.15</v>
      </c>
      <c r="K884" s="1">
        <v>-10</v>
      </c>
      <c r="L884" s="1">
        <v>-8.8013293943870003</v>
      </c>
      <c r="M884" s="1" t="s">
        <v>40</v>
      </c>
      <c r="N884" s="1">
        <v>4.8812407680945302</v>
      </c>
      <c r="O884" s="1">
        <v>2.15982274741507</v>
      </c>
      <c r="Q884" s="1">
        <v>0.215982274741507</v>
      </c>
      <c r="R884" s="1">
        <v>0.42145294163542302</v>
      </c>
      <c r="S884" s="1" t="str">
        <f>VLOOKUP($E884,'Product Naming'!$A$1:$P$58,2,FALSE)</f>
        <v>Benzoate-PW1</v>
      </c>
      <c r="T884" s="1" t="str">
        <f>VLOOKUP($E884,'Product Naming'!$A$1:$P$58,3,FALSE)</f>
        <v>Benzoate (PW1)</v>
      </c>
      <c r="U884" s="1" t="str">
        <f>VLOOKUP($E884,'Product Naming'!$A$1:$P$58,4,FALSE)</f>
        <v>A</v>
      </c>
      <c r="V884" s="1" t="str">
        <f>VLOOKUP($E884,'Product Naming'!$A$1:$P$58,5,FALSE)</f>
        <v>C7H5O2</v>
      </c>
      <c r="W884" s="1">
        <f>VLOOKUP($E884,'Product Naming'!$A$1:$P$58,6,FALSE)</f>
        <v>7</v>
      </c>
      <c r="X884" s="1">
        <f>VLOOKUP($E884,'Product Naming'!$A$1:$P$58,7,FALSE)</f>
        <v>5</v>
      </c>
      <c r="Y884" s="1">
        <f>VLOOKUP($E884,'Product Naming'!$A$1:$P$58,8,FALSE)</f>
        <v>2</v>
      </c>
      <c r="Z884" s="1">
        <f>VLOOKUP($E884,'Product Naming'!$A$1:$P$58,9,FALSE)</f>
        <v>0</v>
      </c>
      <c r="AA884" s="1">
        <f>VLOOKUP($E884,'Product Naming'!$A$1:$P$58,10,FALSE)</f>
        <v>-1</v>
      </c>
      <c r="AB884" s="29">
        <f>VLOOKUP($E884,'Product Naming'!$A$1:$P$58,11,FALSE)</f>
        <v>4.1428571428571432</v>
      </c>
      <c r="AC884" s="3">
        <f>VLOOKUP($E884,'Product Naming'!$A$1:$P$58,12,FALSE)</f>
        <v>121.1121</v>
      </c>
      <c r="AD884" s="1">
        <f>VLOOKUP($E884,'Product Naming'!$A$1:$P$58,13,FALSE)</f>
        <v>249.2</v>
      </c>
      <c r="AE884" s="1" t="str">
        <f>VLOOKUP($E884,'Product Naming'!$A$1:$P$58,14,FALSE)</f>
        <v>Aromatic + Carboxylate</v>
      </c>
      <c r="AF884" s="1" t="str">
        <f>VLOOKUP($E884,'Product Naming'!$A$1:$P$58,15,FALSE)</f>
        <v>E4P + aKG</v>
      </c>
      <c r="AG884" s="30" t="str">
        <f>VLOOKUP($E884,'Product Naming'!$A$1:$P$58,16,FALSE)</f>
        <v>Proton symporter</v>
      </c>
      <c r="AH884" s="3" t="str">
        <f>VLOOKUP($E884,'Product Naming'!$A$1:$Q$58,17,FALSE)</f>
        <v>bz_c</v>
      </c>
      <c r="AI884" s="1">
        <f>VLOOKUP($E884,'Product Parameters'!$A$2:$D$59,2,FALSE)</f>
        <v>1</v>
      </c>
      <c r="AJ884" s="1">
        <f>VLOOKUP($E884,'Product Parameters'!$A$2:$D$59,3,FALSE)</f>
        <v>0</v>
      </c>
      <c r="AK884" s="1">
        <f>VLOOKUP($E884,'Product Parameters'!$A$2:$D$59,4,FALSE)</f>
        <v>0.12</v>
      </c>
      <c r="AL884" s="1">
        <f>VLOOKUP($E884,'Product Parameters'!$A$2:$E$59,5,FALSE)</f>
        <v>40.65</v>
      </c>
      <c r="AM884" s="1">
        <f>VLOOKUP($E884,'Product Parameters'!$A$2:$F$59,6,FALSE)</f>
        <v>7</v>
      </c>
      <c r="AN884" s="1">
        <f>VLOOKUP($C884,'Substrate Heating'!$A$2:$C$33,3,FALSE)</f>
        <v>1055.1294800000001</v>
      </c>
      <c r="AO884" s="1">
        <f>VLOOKUP($C884,'Substrate Heating'!$A$2:$B$33,2,FALSE)</f>
        <v>17</v>
      </c>
      <c r="AP884" s="1">
        <f>VLOOKUP($C884,'Substrate Heating'!$A$2:$M$33,13,FALSE)</f>
        <v>5</v>
      </c>
      <c r="AQ884" s="1">
        <f>VLOOKUP($C884,'Substrate Heating'!$A$2:$M$33,8,FALSE)</f>
        <v>2</v>
      </c>
      <c r="AR884" s="1">
        <f t="shared" si="13"/>
        <v>0.75593796159527449</v>
      </c>
    </row>
    <row r="885" spans="1:44" x14ac:dyDescent="0.2">
      <c r="A885" s="8" t="s">
        <v>34</v>
      </c>
      <c r="B885" s="9" t="s">
        <v>35</v>
      </c>
      <c r="C885" s="1" t="s">
        <v>348</v>
      </c>
      <c r="D885" s="23" t="s">
        <v>338</v>
      </c>
      <c r="E885" s="1" t="s">
        <v>240</v>
      </c>
      <c r="F885" s="1" t="s">
        <v>241</v>
      </c>
      <c r="G885" s="1">
        <v>-10</v>
      </c>
      <c r="H885" s="1">
        <v>-20</v>
      </c>
      <c r="I885" s="1" t="s">
        <v>40</v>
      </c>
      <c r="J885" s="1">
        <v>3.15</v>
      </c>
      <c r="K885" s="1">
        <v>-10</v>
      </c>
      <c r="L885" s="1">
        <v>-5.5805309734513502</v>
      </c>
      <c r="M885" s="1" t="s">
        <v>40</v>
      </c>
      <c r="N885" s="1">
        <v>3.7203539823009102</v>
      </c>
      <c r="O885" s="1">
        <v>1.56991150442479</v>
      </c>
      <c r="Q885" s="1">
        <v>0.15699115044247899</v>
      </c>
      <c r="R885" s="1">
        <v>0.42201441149718799</v>
      </c>
      <c r="S885" s="1" t="str">
        <f>VLOOKUP($E885,'Product Naming'!$A$1:$P$58,2,FALSE)</f>
        <v>Isobutanol</v>
      </c>
      <c r="T885" s="1" t="str">
        <f>VLOOKUP($E885,'Product Naming'!$A$1:$P$58,3,FALSE)</f>
        <v>Isobutanol</v>
      </c>
      <c r="U885" s="1" t="str">
        <f>VLOOKUP($E885,'Product Naming'!$A$1:$P$58,4,FALSE)</f>
        <v>E</v>
      </c>
      <c r="V885" s="1" t="str">
        <f>VLOOKUP($E885,'Product Naming'!$A$1:$P$58,5,FALSE)</f>
        <v>C5H10O</v>
      </c>
      <c r="W885" s="1">
        <f>VLOOKUP($E885,'Product Naming'!$A$1:$P$58,6,FALSE)</f>
        <v>5</v>
      </c>
      <c r="X885" s="1">
        <f>VLOOKUP($E885,'Product Naming'!$A$1:$P$58,7,FALSE)</f>
        <v>10</v>
      </c>
      <c r="Y885" s="1">
        <f>VLOOKUP($E885,'Product Naming'!$A$1:$P$58,8,FALSE)</f>
        <v>1</v>
      </c>
      <c r="Z885" s="1">
        <f>VLOOKUP($E885,'Product Naming'!$A$1:$P$58,9,FALSE)</f>
        <v>0</v>
      </c>
      <c r="AA885" s="1">
        <f>VLOOKUP($E885,'Product Naming'!$A$1:$P$58,10,FALSE)</f>
        <v>0</v>
      </c>
      <c r="AB885" s="29">
        <f>VLOOKUP($E885,'Product Naming'!$A$1:$P$58,11,FALSE)</f>
        <v>5.6</v>
      </c>
      <c r="AC885" s="3">
        <f>VLOOKUP($E885,'Product Naming'!$A$1:$P$58,12,FALSE)</f>
        <v>86.130899999999997</v>
      </c>
      <c r="AD885" s="1">
        <f>VLOOKUP($E885,'Product Naming'!$A$1:$P$58,13,FALSE)</f>
        <v>108</v>
      </c>
      <c r="AE885" s="1" t="str">
        <f>VLOOKUP($E885,'Product Naming'!$A$1:$P$58,14,FALSE)</f>
        <v>Alcohol</v>
      </c>
      <c r="AF885" s="1" t="str">
        <f>VLOOKUP($E885,'Product Naming'!$A$1:$P$58,15,FALSE)</f>
        <v>Pyruvate</v>
      </c>
      <c r="AG885" s="30" t="str">
        <f>VLOOKUP($E885,'Product Naming'!$A$1:$P$58,16,FALSE)</f>
        <v>Proton symporter</v>
      </c>
      <c r="AH885" s="3" t="str">
        <f>VLOOKUP($E885,'Product Naming'!$A$1:$Q$58,17,FALSE)</f>
        <v>ibutoh_c</v>
      </c>
      <c r="AI885" s="1">
        <f>VLOOKUP($E885,'Product Parameters'!$A$2:$D$59,2,FALSE)</f>
        <v>1</v>
      </c>
      <c r="AJ885" s="1">
        <f>VLOOKUP($E885,'Product Parameters'!$A$2:$D$59,3,FALSE)</f>
        <v>0</v>
      </c>
      <c r="AK885" s="1">
        <f>VLOOKUP($E885,'Product Parameters'!$A$2:$D$59,4,FALSE)</f>
        <v>0.12</v>
      </c>
      <c r="AL885" s="1">
        <f>VLOOKUP($E885,'Product Parameters'!$A$2:$E$59,5,FALSE)</f>
        <v>51</v>
      </c>
      <c r="AM885" s="1">
        <f>VLOOKUP($E885,'Product Parameters'!$A$2:$F$59,6,FALSE)</f>
        <v>5</v>
      </c>
      <c r="AN885" s="1">
        <f>VLOOKUP($C885,'Substrate Heating'!$A$2:$C$33,3,FALSE)</f>
        <v>638.57832580000002</v>
      </c>
      <c r="AO885" s="1">
        <f>VLOOKUP($C885,'Substrate Heating'!$A$2:$B$33,2,FALSE)</f>
        <v>19.93</v>
      </c>
      <c r="AP885" s="1">
        <f>VLOOKUP($C885,'Substrate Heating'!$A$2:$M$33,13,FALSE)</f>
        <v>6</v>
      </c>
      <c r="AQ885" s="1">
        <f>VLOOKUP($C885,'Substrate Heating'!$A$2:$M$33,8,FALSE)</f>
        <v>1</v>
      </c>
      <c r="AR885" s="1">
        <f t="shared" si="13"/>
        <v>0.784955752212395</v>
      </c>
    </row>
    <row r="886" spans="1:44" x14ac:dyDescent="0.2">
      <c r="A886" s="17" t="s">
        <v>323</v>
      </c>
      <c r="B886" s="18" t="s">
        <v>324</v>
      </c>
      <c r="C886" t="s">
        <v>329</v>
      </c>
      <c r="D886" s="19" t="s">
        <v>326</v>
      </c>
      <c r="E886" t="s">
        <v>287</v>
      </c>
      <c r="F886" t="s">
        <v>288</v>
      </c>
      <c r="G886">
        <v>-10</v>
      </c>
      <c r="H886">
        <v>0</v>
      </c>
      <c r="I886">
        <v>-20</v>
      </c>
      <c r="J886">
        <v>0.45</v>
      </c>
      <c r="K886">
        <v>-10</v>
      </c>
      <c r="L886">
        <v>0</v>
      </c>
      <c r="M886">
        <v>-20</v>
      </c>
      <c r="N886">
        <v>0.624999999999996</v>
      </c>
      <c r="O886">
        <v>1.875</v>
      </c>
      <c r="P886"/>
      <c r="Q886">
        <v>0.1875</v>
      </c>
      <c r="R886" s="20">
        <v>0.422080226209048</v>
      </c>
      <c r="S886" s="1" t="str">
        <f>VLOOKUP($E886,'Product Naming'!$A$1:$P$58,2,FALSE)</f>
        <v>Pentane</v>
      </c>
      <c r="T886" s="1" t="str">
        <f>VLOOKUP($E886,'Product Naming'!$A$1:$P$58,3,FALSE)</f>
        <v>Pentane</v>
      </c>
      <c r="U886" s="1" t="str">
        <f>VLOOKUP($E886,'Product Naming'!$A$1:$P$58,4,FALSE)</f>
        <v>E</v>
      </c>
      <c r="V886" s="1" t="str">
        <f>VLOOKUP($E886,'Product Naming'!$A$1:$P$58,5,FALSE)</f>
        <v>C5H12</v>
      </c>
      <c r="W886" s="1">
        <f>VLOOKUP($E886,'Product Naming'!$A$1:$P$58,6,FALSE)</f>
        <v>5</v>
      </c>
      <c r="X886" s="1">
        <f>VLOOKUP($E886,'Product Naming'!$A$1:$P$58,7,FALSE)</f>
        <v>12</v>
      </c>
      <c r="Y886" s="1">
        <f>VLOOKUP($E886,'Product Naming'!$A$1:$P$58,8,FALSE)</f>
        <v>0</v>
      </c>
      <c r="Z886" s="1">
        <f>VLOOKUP($E886,'Product Naming'!$A$1:$P$58,9,FALSE)</f>
        <v>0</v>
      </c>
      <c r="AA886" s="1">
        <f>VLOOKUP($E886,'Product Naming'!$A$1:$P$58,10,FALSE)</f>
        <v>0</v>
      </c>
      <c r="AB886" s="29">
        <f>VLOOKUP($E886,'Product Naming'!$A$1:$P$58,11,FALSE)</f>
        <v>6.4</v>
      </c>
      <c r="AC886" s="3">
        <f>VLOOKUP($E886,'Product Naming'!$A$1:$P$58,12,FALSE)</f>
        <v>72.147580000000005</v>
      </c>
      <c r="AD886" s="1">
        <f>VLOOKUP($E886,'Product Naming'!$A$1:$P$58,13,FALSE)</f>
        <v>36.1</v>
      </c>
      <c r="AE886" s="1" t="str">
        <f>VLOOKUP($E886,'Product Naming'!$A$1:$P$58,14,FALSE)</f>
        <v>Hydrocarbon (alkane)</v>
      </c>
      <c r="AF886" s="1" t="str">
        <f>VLOOKUP($E886,'Product Naming'!$A$1:$P$58,15,FALSE)</f>
        <v>Acetyl-CoA</v>
      </c>
      <c r="AG886" s="30" t="str">
        <f>VLOOKUP($E886,'Product Naming'!$A$1:$P$58,16,FALSE)</f>
        <v>Diffusion</v>
      </c>
      <c r="AH886" s="3" t="str">
        <f>VLOOKUP($E886,'Product Naming'!$A$1:$Q$58,17,FALSE)</f>
        <v>pent_c</v>
      </c>
      <c r="AI886" s="1">
        <f>VLOOKUP($E886,'Product Parameters'!$A$2:$D$59,2,FALSE)</f>
        <v>0</v>
      </c>
      <c r="AJ886" s="1">
        <f>VLOOKUP($E886,'Product Parameters'!$A$2:$D$59,3,FALSE)</f>
        <v>1</v>
      </c>
      <c r="AK886" s="1">
        <f>VLOOKUP($E886,'Product Parameters'!$A$2:$D$59,4,FALSE)</f>
        <v>0.12</v>
      </c>
      <c r="AL886" s="1">
        <f>VLOOKUP($E886,'Product Parameters'!$A$2:$E$59,5,FALSE)</f>
        <v>26.5</v>
      </c>
      <c r="AM886" s="1">
        <f>VLOOKUP($E886,'Product Parameters'!$A$2:$F$59,6,FALSE)</f>
        <v>5</v>
      </c>
      <c r="AN886" s="1">
        <f>VLOOKUP($C886,'Substrate Heating'!$A$2:$C$33,3,FALSE)</f>
        <v>255.53333333333336</v>
      </c>
      <c r="AO886" s="1">
        <f>VLOOKUP($C886,'Substrate Heating'!$A$2:$B$33,2,FALSE)</f>
        <v>23.925550527978785</v>
      </c>
      <c r="AP886" s="1">
        <f>VLOOKUP($C886,'Substrate Heating'!$A$2:$M$33,13,FALSE)</f>
        <v>0.66666666666666663</v>
      </c>
      <c r="AQ886" s="1">
        <f>VLOOKUP($C886,'Substrate Heating'!$A$2:$M$33,8,FALSE)</f>
        <v>0.33333333333333331</v>
      </c>
      <c r="AR886" s="1">
        <f t="shared" si="13"/>
        <v>2.8125</v>
      </c>
    </row>
    <row r="887" spans="1:44" x14ac:dyDescent="0.2">
      <c r="A887" s="8" t="s">
        <v>34</v>
      </c>
      <c r="B887" s="9" t="s">
        <v>35</v>
      </c>
      <c r="C887" s="1" t="s">
        <v>346</v>
      </c>
      <c r="D887" s="23" t="s">
        <v>338</v>
      </c>
      <c r="E887" s="1" t="s">
        <v>103</v>
      </c>
      <c r="F887" s="1" t="s">
        <v>104</v>
      </c>
      <c r="G887" s="1">
        <v>-10</v>
      </c>
      <c r="H887" s="1">
        <v>-20</v>
      </c>
      <c r="I887" s="1" t="s">
        <v>40</v>
      </c>
      <c r="J887" s="1">
        <v>3.15</v>
      </c>
      <c r="K887" s="1">
        <v>-10</v>
      </c>
      <c r="L887" s="1">
        <v>-3.05089285714286</v>
      </c>
      <c r="M887" s="1" t="s">
        <v>40</v>
      </c>
      <c r="N887" s="1">
        <v>2.0339285714285702</v>
      </c>
      <c r="O887" s="1">
        <v>1.3276785714285699</v>
      </c>
      <c r="Q887" s="1">
        <v>0.13276785714285699</v>
      </c>
      <c r="R887" s="1">
        <v>0.42337191582122602</v>
      </c>
      <c r="S887" s="1" t="str">
        <f>VLOOKUP($E887,'Product Naming'!$A$1:$P$58,2,FALSE)</f>
        <v>3-Methyl-1-Pentanol</v>
      </c>
      <c r="T887" s="1" t="str">
        <f>VLOOKUP($E887,'Product Naming'!$A$1:$P$58,3,FALSE)</f>
        <v>3-Methyl-1-pentanol</v>
      </c>
      <c r="U887" s="1" t="str">
        <f>VLOOKUP($E887,'Product Naming'!$A$1:$P$58,4,FALSE)</f>
        <v>A</v>
      </c>
      <c r="V887" s="1" t="str">
        <f>VLOOKUP($E887,'Product Naming'!$A$1:$P$58,5,FALSE)</f>
        <v>C6H14O</v>
      </c>
      <c r="W887" s="1">
        <f>VLOOKUP($E887,'Product Naming'!$A$1:$P$58,6,FALSE)</f>
        <v>6</v>
      </c>
      <c r="X887" s="1">
        <f>VLOOKUP($E887,'Product Naming'!$A$1:$P$58,7,FALSE)</f>
        <v>14</v>
      </c>
      <c r="Y887" s="1">
        <f>VLOOKUP($E887,'Product Naming'!$A$1:$P$58,8,FALSE)</f>
        <v>1</v>
      </c>
      <c r="Z887" s="1">
        <f>VLOOKUP($E887,'Product Naming'!$A$1:$P$58,9,FALSE)</f>
        <v>0</v>
      </c>
      <c r="AA887" s="1">
        <f>VLOOKUP($E887,'Product Naming'!$A$1:$P$58,10,FALSE)</f>
        <v>0</v>
      </c>
      <c r="AB887" s="29">
        <f>VLOOKUP($E887,'Product Naming'!$A$1:$P$58,11,FALSE)</f>
        <v>6</v>
      </c>
      <c r="AC887" s="3">
        <f>VLOOKUP($E887,'Product Naming'!$A$1:$P$58,12,FALSE)</f>
        <v>102.17295999999999</v>
      </c>
      <c r="AD887" s="1">
        <f>VLOOKUP($E887,'Product Naming'!$A$1:$P$58,13,FALSE)</f>
        <v>153</v>
      </c>
      <c r="AE887" s="1" t="str">
        <f>VLOOKUP($E887,'Product Naming'!$A$1:$P$58,14,FALSE)</f>
        <v>Alcohol</v>
      </c>
      <c r="AF887" s="1" t="str">
        <f>VLOOKUP($E887,'Product Naming'!$A$1:$P$58,15,FALSE)</f>
        <v>Oxaloacetate</v>
      </c>
      <c r="AG887" s="30" t="str">
        <f>VLOOKUP($E887,'Product Naming'!$A$1:$P$58,16,FALSE)</f>
        <v>Proton symporter</v>
      </c>
      <c r="AH887" s="3" t="str">
        <f>VLOOKUP($E887,'Product Naming'!$A$1:$Q$58,17,FALSE)</f>
        <v>3mptoh_c</v>
      </c>
      <c r="AI887" s="1">
        <f>VLOOKUP($E887,'Product Parameters'!$A$2:$D$59,2,FALSE)</f>
        <v>1</v>
      </c>
      <c r="AJ887" s="1">
        <f>VLOOKUP($E887,'Product Parameters'!$A$2:$D$59,3,FALSE)</f>
        <v>0</v>
      </c>
      <c r="AK887" s="1">
        <f>VLOOKUP($E887,'Product Parameters'!$A$2:$D$59,4,FALSE)</f>
        <v>0.12</v>
      </c>
      <c r="AL887" s="1">
        <f>VLOOKUP($E887,'Product Parameters'!$A$2:$E$59,5,FALSE)</f>
        <v>61.7</v>
      </c>
      <c r="AM887" s="1">
        <f>VLOOKUP($E887,'Product Parameters'!$A$2:$F$59,6,FALSE)</f>
        <v>6</v>
      </c>
      <c r="AN887" s="1">
        <f>VLOOKUP($C887,'Substrate Heating'!$A$2:$C$33,3,FALSE)</f>
        <v>638.57832580000002</v>
      </c>
      <c r="AO887" s="1">
        <f>VLOOKUP($C887,'Substrate Heating'!$A$2:$B$33,2,FALSE)</f>
        <v>19.93</v>
      </c>
      <c r="AP887" s="1">
        <f>VLOOKUP($C887,'Substrate Heating'!$A$2:$M$33,13,FALSE)</f>
        <v>6</v>
      </c>
      <c r="AQ887" s="1">
        <f>VLOOKUP($C887,'Substrate Heating'!$A$2:$M$33,8,FALSE)</f>
        <v>1</v>
      </c>
      <c r="AR887" s="1">
        <f t="shared" si="13"/>
        <v>0.79660714285714196</v>
      </c>
    </row>
    <row r="888" spans="1:44" x14ac:dyDescent="0.2">
      <c r="A888" s="8" t="s">
        <v>34</v>
      </c>
      <c r="B888" s="9" t="s">
        <v>35</v>
      </c>
      <c r="C888" s="1" t="s">
        <v>347</v>
      </c>
      <c r="D888" s="23" t="s">
        <v>338</v>
      </c>
      <c r="E888" s="1" t="s">
        <v>103</v>
      </c>
      <c r="F888" s="1" t="s">
        <v>104</v>
      </c>
      <c r="G888" s="1">
        <v>-10</v>
      </c>
      <c r="H888" s="1">
        <v>-20</v>
      </c>
      <c r="I888" s="1" t="s">
        <v>40</v>
      </c>
      <c r="J888" s="1">
        <v>3.15</v>
      </c>
      <c r="K888" s="1">
        <v>-10</v>
      </c>
      <c r="L888" s="1">
        <v>-3.05089285714286</v>
      </c>
      <c r="M888" s="1" t="s">
        <v>40</v>
      </c>
      <c r="N888" s="1">
        <v>2.0339285714285702</v>
      </c>
      <c r="O888" s="1">
        <v>1.3276785714285699</v>
      </c>
      <c r="Q888" s="1">
        <v>0.13276785714285699</v>
      </c>
      <c r="R888" s="1">
        <v>0.42337191582122702</v>
      </c>
      <c r="S888" s="1" t="str">
        <f>VLOOKUP($E888,'Product Naming'!$A$1:$P$58,2,FALSE)</f>
        <v>3-Methyl-1-Pentanol</v>
      </c>
      <c r="T888" s="1" t="str">
        <f>VLOOKUP($E888,'Product Naming'!$A$1:$P$58,3,FALSE)</f>
        <v>3-Methyl-1-pentanol</v>
      </c>
      <c r="U888" s="1" t="str">
        <f>VLOOKUP($E888,'Product Naming'!$A$1:$P$58,4,FALSE)</f>
        <v>A</v>
      </c>
      <c r="V888" s="1" t="str">
        <f>VLOOKUP($E888,'Product Naming'!$A$1:$P$58,5,FALSE)</f>
        <v>C6H14O</v>
      </c>
      <c r="W888" s="1">
        <f>VLOOKUP($E888,'Product Naming'!$A$1:$P$58,6,FALSE)</f>
        <v>6</v>
      </c>
      <c r="X888" s="1">
        <f>VLOOKUP($E888,'Product Naming'!$A$1:$P$58,7,FALSE)</f>
        <v>14</v>
      </c>
      <c r="Y888" s="1">
        <f>VLOOKUP($E888,'Product Naming'!$A$1:$P$58,8,FALSE)</f>
        <v>1</v>
      </c>
      <c r="Z888" s="1">
        <f>VLOOKUP($E888,'Product Naming'!$A$1:$P$58,9,FALSE)</f>
        <v>0</v>
      </c>
      <c r="AA888" s="1">
        <f>VLOOKUP($E888,'Product Naming'!$A$1:$P$58,10,FALSE)</f>
        <v>0</v>
      </c>
      <c r="AB888" s="29">
        <f>VLOOKUP($E888,'Product Naming'!$A$1:$P$58,11,FALSE)</f>
        <v>6</v>
      </c>
      <c r="AC888" s="3">
        <f>VLOOKUP($E888,'Product Naming'!$A$1:$P$58,12,FALSE)</f>
        <v>102.17295999999999</v>
      </c>
      <c r="AD888" s="1">
        <f>VLOOKUP($E888,'Product Naming'!$A$1:$P$58,13,FALSE)</f>
        <v>153</v>
      </c>
      <c r="AE888" s="1" t="str">
        <f>VLOOKUP($E888,'Product Naming'!$A$1:$P$58,14,FALSE)</f>
        <v>Alcohol</v>
      </c>
      <c r="AF888" s="1" t="str">
        <f>VLOOKUP($E888,'Product Naming'!$A$1:$P$58,15,FALSE)</f>
        <v>Oxaloacetate</v>
      </c>
      <c r="AG888" s="30" t="str">
        <f>VLOOKUP($E888,'Product Naming'!$A$1:$P$58,16,FALSE)</f>
        <v>Proton symporter</v>
      </c>
      <c r="AH888" s="3" t="str">
        <f>VLOOKUP($E888,'Product Naming'!$A$1:$Q$58,17,FALSE)</f>
        <v>3mptoh_c</v>
      </c>
      <c r="AI888" s="1">
        <f>VLOOKUP($E888,'Product Parameters'!$A$2:$D$59,2,FALSE)</f>
        <v>1</v>
      </c>
      <c r="AJ888" s="1">
        <f>VLOOKUP($E888,'Product Parameters'!$A$2:$D$59,3,FALSE)</f>
        <v>0</v>
      </c>
      <c r="AK888" s="1">
        <f>VLOOKUP($E888,'Product Parameters'!$A$2:$D$59,4,FALSE)</f>
        <v>0.12</v>
      </c>
      <c r="AL888" s="1">
        <f>VLOOKUP($E888,'Product Parameters'!$A$2:$E$59,5,FALSE)</f>
        <v>61.7</v>
      </c>
      <c r="AM888" s="1">
        <f>VLOOKUP($E888,'Product Parameters'!$A$2:$F$59,6,FALSE)</f>
        <v>6</v>
      </c>
      <c r="AN888" s="1">
        <f>VLOOKUP($C888,'Substrate Heating'!$A$2:$C$33,3,FALSE)</f>
        <v>638.57832580000002</v>
      </c>
      <c r="AO888" s="1">
        <f>VLOOKUP($C888,'Substrate Heating'!$A$2:$B$33,2,FALSE)</f>
        <v>19.93</v>
      </c>
      <c r="AP888" s="1">
        <f>VLOOKUP($C888,'Substrate Heating'!$A$2:$M$33,13,FALSE)</f>
        <v>6</v>
      </c>
      <c r="AQ888" s="1">
        <f>VLOOKUP($C888,'Substrate Heating'!$A$2:$M$33,8,FALSE)</f>
        <v>1</v>
      </c>
      <c r="AR888" s="1">
        <f t="shared" si="13"/>
        <v>0.79660714285714196</v>
      </c>
    </row>
    <row r="889" spans="1:44" x14ac:dyDescent="0.2">
      <c r="A889" s="17" t="s">
        <v>323</v>
      </c>
      <c r="B889" s="18" t="s">
        <v>324</v>
      </c>
      <c r="C889" t="s">
        <v>327</v>
      </c>
      <c r="D889" s="19" t="s">
        <v>326</v>
      </c>
      <c r="E889" t="s">
        <v>38</v>
      </c>
      <c r="F889" t="s">
        <v>39</v>
      </c>
      <c r="G889">
        <v>-10</v>
      </c>
      <c r="H889">
        <v>0</v>
      </c>
      <c r="I889">
        <v>-5</v>
      </c>
      <c r="J889">
        <v>0.45</v>
      </c>
      <c r="K889">
        <v>-10</v>
      </c>
      <c r="L889">
        <v>0</v>
      </c>
      <c r="M889">
        <v>-5</v>
      </c>
      <c r="N889">
        <v>4.5454545454545601</v>
      </c>
      <c r="O889">
        <v>1.36363636363636</v>
      </c>
      <c r="P889"/>
      <c r="Q889">
        <v>0.13636363636363599</v>
      </c>
      <c r="R889">
        <v>0.42346594824885597</v>
      </c>
      <c r="S889" s="1" t="str">
        <f>VLOOKUP($E889,'Product Naming'!$A$1:$P$58,2,FALSE)</f>
        <v>1-3-butanediol-PW1</v>
      </c>
      <c r="T889" s="1" t="str">
        <f>VLOOKUP($E889,'Product Naming'!$A$1:$P$58,3,FALSE)</f>
        <v>1,3-Butanediol (PW1)</v>
      </c>
      <c r="U889" s="1" t="str">
        <f>VLOOKUP($E889,'Product Naming'!$A$1:$P$58,4,FALSE)</f>
        <v>E</v>
      </c>
      <c r="V889" s="1" t="str">
        <f>VLOOKUP($E889,'Product Naming'!$A$1:$P$58,5,FALSE)</f>
        <v>C4H10O2</v>
      </c>
      <c r="W889" s="1">
        <f>VLOOKUP($E889,'Product Naming'!$A$1:$P$58,6,FALSE)</f>
        <v>4</v>
      </c>
      <c r="X889" s="1">
        <f>VLOOKUP($E889,'Product Naming'!$A$1:$P$58,7,FALSE)</f>
        <v>10</v>
      </c>
      <c r="Y889" s="1">
        <f>VLOOKUP($E889,'Product Naming'!$A$1:$P$58,8,FALSE)</f>
        <v>2</v>
      </c>
      <c r="Z889" s="1">
        <f>VLOOKUP($E889,'Product Naming'!$A$1:$P$58,9,FALSE)</f>
        <v>0</v>
      </c>
      <c r="AA889" s="1">
        <f>VLOOKUP($E889,'Product Naming'!$A$1:$P$58,10,FALSE)</f>
        <v>0</v>
      </c>
      <c r="AB889" s="29">
        <f>VLOOKUP($E889,'Product Naming'!$A$1:$P$58,11,FALSE)</f>
        <v>5.5</v>
      </c>
      <c r="AC889" s="3">
        <f>VLOOKUP($E889,'Product Naming'!$A$1:$P$58,12,FALSE)</f>
        <v>90.119200000000006</v>
      </c>
      <c r="AD889" s="1">
        <f>VLOOKUP($E889,'Product Naming'!$A$1:$P$58,13,FALSE)</f>
        <v>207</v>
      </c>
      <c r="AE889" s="1" t="str">
        <f>VLOOKUP($E889,'Product Naming'!$A$1:$P$58,14,FALSE)</f>
        <v>Diol</v>
      </c>
      <c r="AF889" s="1" t="str">
        <f>VLOOKUP($E889,'Product Naming'!$A$1:$P$58,15,FALSE)</f>
        <v>Acetyl-CoA</v>
      </c>
      <c r="AG889" s="30" t="str">
        <f>VLOOKUP($E889,'Product Naming'!$A$1:$P$58,16,FALSE)</f>
        <v>Proton symporter</v>
      </c>
      <c r="AH889" s="3" t="str">
        <f>VLOOKUP($E889,'Product Naming'!$A$1:$Q$58,17,FALSE)</f>
        <v>13bdo__R_c</v>
      </c>
      <c r="AI889" s="1">
        <f>VLOOKUP($E889,'Product Parameters'!$A$2:$D$59,2,FALSE)</f>
        <v>1</v>
      </c>
      <c r="AJ889" s="1">
        <f>VLOOKUP($E889,'Product Parameters'!$A$2:$D$59,3,FALSE)</f>
        <v>0</v>
      </c>
      <c r="AK889" s="1">
        <f>VLOOKUP($E889,'Product Parameters'!$A$2:$D$59,4,FALSE)</f>
        <v>0.12</v>
      </c>
      <c r="AL889" s="1">
        <f>VLOOKUP($E889,'Product Parameters'!$A$2:$E$59,5,FALSE)</f>
        <v>72.599999999999994</v>
      </c>
      <c r="AM889" s="1">
        <f>VLOOKUP($E889,'Product Parameters'!$A$2:$F$59,6,FALSE)</f>
        <v>4</v>
      </c>
      <c r="AN889" s="1">
        <f>VLOOKUP($C889,'Substrate Heating'!$A$2:$C$33,3,FALSE)</f>
        <v>269.26666666666665</v>
      </c>
      <c r="AO889" s="1">
        <f>VLOOKUP($C889,'Substrate Heating'!$A$2:$B$33,2,FALSE)</f>
        <v>13.919167510409219</v>
      </c>
      <c r="AP889" s="1">
        <f>VLOOKUP($C889,'Substrate Heating'!$A$2:$M$33,13,FALSE)</f>
        <v>1.3333333333333333</v>
      </c>
      <c r="AQ889" s="1">
        <f>VLOOKUP($C889,'Substrate Heating'!$A$2:$M$33,8,FALSE)</f>
        <v>0.66666666666666663</v>
      </c>
      <c r="AR889" s="1">
        <f t="shared" si="13"/>
        <v>0.81818181818181601</v>
      </c>
    </row>
    <row r="890" spans="1:44" x14ac:dyDescent="0.2">
      <c r="A890" s="17" t="s">
        <v>323</v>
      </c>
      <c r="B890" s="18" t="s">
        <v>324</v>
      </c>
      <c r="C890" t="s">
        <v>327</v>
      </c>
      <c r="D890" s="19" t="s">
        <v>326</v>
      </c>
      <c r="E890" t="s">
        <v>48</v>
      </c>
      <c r="F890" t="s">
        <v>39</v>
      </c>
      <c r="G890">
        <v>-10</v>
      </c>
      <c r="H890">
        <v>0</v>
      </c>
      <c r="I890">
        <v>-5</v>
      </c>
      <c r="J890">
        <v>0.45</v>
      </c>
      <c r="K890">
        <v>-10</v>
      </c>
      <c r="L890">
        <v>0</v>
      </c>
      <c r="M890">
        <v>-5</v>
      </c>
      <c r="N890">
        <v>4.5454545454545503</v>
      </c>
      <c r="O890">
        <v>1.36363636363636</v>
      </c>
      <c r="P890"/>
      <c r="Q890">
        <v>0.13636363636363599</v>
      </c>
      <c r="R890">
        <v>0.42346594824885597</v>
      </c>
      <c r="S890" s="1" t="str">
        <f>VLOOKUP($E890,'Product Naming'!$A$1:$P$58,2,FALSE)</f>
        <v>1-3-butanediol-PW2</v>
      </c>
      <c r="T890" s="1" t="str">
        <f>VLOOKUP($E890,'Product Naming'!$A$1:$P$58,3,FALSE)</f>
        <v>1,3-Butanediol (PW2)</v>
      </c>
      <c r="U890" s="1" t="str">
        <f>VLOOKUP($E890,'Product Naming'!$A$1:$P$58,4,FALSE)</f>
        <v>E</v>
      </c>
      <c r="V890" s="1" t="str">
        <f>VLOOKUP($E890,'Product Naming'!$A$1:$P$58,5,FALSE)</f>
        <v>C4H10O2</v>
      </c>
      <c r="W890" s="1">
        <f>VLOOKUP($E890,'Product Naming'!$A$1:$P$58,6,FALSE)</f>
        <v>4</v>
      </c>
      <c r="X890" s="1">
        <f>VLOOKUP($E890,'Product Naming'!$A$1:$P$58,7,FALSE)</f>
        <v>10</v>
      </c>
      <c r="Y890" s="1">
        <f>VLOOKUP($E890,'Product Naming'!$A$1:$P$58,8,FALSE)</f>
        <v>2</v>
      </c>
      <c r="Z890" s="1">
        <f>VLOOKUP($E890,'Product Naming'!$A$1:$P$58,9,FALSE)</f>
        <v>0</v>
      </c>
      <c r="AA890" s="1">
        <f>VLOOKUP($E890,'Product Naming'!$A$1:$P$58,10,FALSE)</f>
        <v>0</v>
      </c>
      <c r="AB890" s="29">
        <f>VLOOKUP($E890,'Product Naming'!$A$1:$P$58,11,FALSE)</f>
        <v>5.5</v>
      </c>
      <c r="AC890" s="3">
        <f>VLOOKUP($E890,'Product Naming'!$A$1:$P$58,12,FALSE)</f>
        <v>90.119200000000006</v>
      </c>
      <c r="AD890" s="1">
        <f>VLOOKUP($E890,'Product Naming'!$A$1:$P$58,13,FALSE)</f>
        <v>207</v>
      </c>
      <c r="AE890" s="1" t="str">
        <f>VLOOKUP($E890,'Product Naming'!$A$1:$P$58,14,FALSE)</f>
        <v>Diol</v>
      </c>
      <c r="AF890" s="1" t="str">
        <f>VLOOKUP($E890,'Product Naming'!$A$1:$P$58,15,FALSE)</f>
        <v>Pyruvate (acetalehyde)</v>
      </c>
      <c r="AG890" s="30" t="str">
        <f>VLOOKUP($E890,'Product Naming'!$A$1:$P$58,16,FALSE)</f>
        <v>Proton symporter</v>
      </c>
      <c r="AH890" s="3" t="str">
        <f>VLOOKUP($E890,'Product Naming'!$A$1:$Q$58,17,FALSE)</f>
        <v>13bdo__R_c</v>
      </c>
      <c r="AI890" s="1">
        <f>VLOOKUP($E890,'Product Parameters'!$A$2:$D$59,2,FALSE)</f>
        <v>1</v>
      </c>
      <c r="AJ890" s="1">
        <f>VLOOKUP($E890,'Product Parameters'!$A$2:$D$59,3,FALSE)</f>
        <v>0</v>
      </c>
      <c r="AK890" s="1">
        <f>VLOOKUP($E890,'Product Parameters'!$A$2:$D$59,4,FALSE)</f>
        <v>0.12</v>
      </c>
      <c r="AL890" s="1">
        <f>VLOOKUP($E890,'Product Parameters'!$A$2:$E$59,5,FALSE)</f>
        <v>72.599999999999994</v>
      </c>
      <c r="AM890" s="1">
        <f>VLOOKUP($E890,'Product Parameters'!$A$2:$F$59,6,FALSE)</f>
        <v>4</v>
      </c>
      <c r="AN890" s="1">
        <f>VLOOKUP($C890,'Substrate Heating'!$A$2:$C$33,3,FALSE)</f>
        <v>269.26666666666665</v>
      </c>
      <c r="AO890" s="1">
        <f>VLOOKUP($C890,'Substrate Heating'!$A$2:$B$33,2,FALSE)</f>
        <v>13.919167510409219</v>
      </c>
      <c r="AP890" s="1">
        <f>VLOOKUP($C890,'Substrate Heating'!$A$2:$M$33,13,FALSE)</f>
        <v>1.3333333333333333</v>
      </c>
      <c r="AQ890" s="1">
        <f>VLOOKUP($C890,'Substrate Heating'!$A$2:$M$33,8,FALSE)</f>
        <v>0.66666666666666663</v>
      </c>
      <c r="AR890" s="1">
        <f t="shared" si="13"/>
        <v>0.81818181818181601</v>
      </c>
    </row>
    <row r="891" spans="1:44" x14ac:dyDescent="0.2">
      <c r="A891" s="17" t="s">
        <v>323</v>
      </c>
      <c r="B891" s="18" t="s">
        <v>324</v>
      </c>
      <c r="C891" t="s">
        <v>327</v>
      </c>
      <c r="D891" s="19" t="s">
        <v>326</v>
      </c>
      <c r="E891" t="s">
        <v>85</v>
      </c>
      <c r="F891" t="s">
        <v>86</v>
      </c>
      <c r="G891">
        <v>-10</v>
      </c>
      <c r="H891">
        <v>0</v>
      </c>
      <c r="I891">
        <v>-5</v>
      </c>
      <c r="J891">
        <v>0.45</v>
      </c>
      <c r="K891">
        <v>-10</v>
      </c>
      <c r="L891">
        <v>0</v>
      </c>
      <c r="M891">
        <v>-5</v>
      </c>
      <c r="N891">
        <v>4.5454545454545396</v>
      </c>
      <c r="O891">
        <v>1.36363636363636</v>
      </c>
      <c r="P891"/>
      <c r="Q891">
        <v>0.13636363636363599</v>
      </c>
      <c r="R891">
        <v>0.42346594824885703</v>
      </c>
      <c r="S891" s="1" t="str">
        <f>VLOOKUP($E891,'Product Naming'!$A$1:$P$58,2,FALSE)</f>
        <v>2-3-butanediol</v>
      </c>
      <c r="T891" s="1" t="str">
        <f>VLOOKUP($E891,'Product Naming'!$A$1:$P$58,3,FALSE)</f>
        <v>2,3-Butanediol</v>
      </c>
      <c r="U891" s="1" t="str">
        <f>VLOOKUP($E891,'Product Naming'!$A$1:$P$58,4,FALSE)</f>
        <v>E</v>
      </c>
      <c r="V891" s="1" t="str">
        <f>VLOOKUP($E891,'Product Naming'!$A$1:$P$58,5,FALSE)</f>
        <v>C4H10O2</v>
      </c>
      <c r="W891" s="1">
        <f>VLOOKUP($E891,'Product Naming'!$A$1:$P$58,6,FALSE)</f>
        <v>4</v>
      </c>
      <c r="X891" s="1">
        <f>VLOOKUP($E891,'Product Naming'!$A$1:$P$58,7,FALSE)</f>
        <v>10</v>
      </c>
      <c r="Y891" s="1">
        <f>VLOOKUP($E891,'Product Naming'!$A$1:$P$58,8,FALSE)</f>
        <v>2</v>
      </c>
      <c r="Z891" s="1">
        <f>VLOOKUP($E891,'Product Naming'!$A$1:$P$58,9,FALSE)</f>
        <v>0</v>
      </c>
      <c r="AA891" s="1">
        <f>VLOOKUP($E891,'Product Naming'!$A$1:$P$58,10,FALSE)</f>
        <v>0</v>
      </c>
      <c r="AB891" s="29">
        <f>VLOOKUP($E891,'Product Naming'!$A$1:$P$58,11,FALSE)</f>
        <v>5.5</v>
      </c>
      <c r="AC891" s="3">
        <f>VLOOKUP($E891,'Product Naming'!$A$1:$P$58,12,FALSE)</f>
        <v>90.119200000000006</v>
      </c>
      <c r="AD891" s="1">
        <f>VLOOKUP($E891,'Product Naming'!$A$1:$P$58,13,FALSE)</f>
        <v>177</v>
      </c>
      <c r="AE891" s="1" t="str">
        <f>VLOOKUP($E891,'Product Naming'!$A$1:$P$58,14,FALSE)</f>
        <v>Diol</v>
      </c>
      <c r="AF891" s="1" t="str">
        <f>VLOOKUP($E891,'Product Naming'!$A$1:$P$58,15,FALSE)</f>
        <v>Pyruvate</v>
      </c>
      <c r="AG891" s="30" t="str">
        <f>VLOOKUP($E891,'Product Naming'!$A$1:$P$58,16,FALSE)</f>
        <v>Proton symporter</v>
      </c>
      <c r="AH891" s="3" t="str">
        <f>VLOOKUP($E891,'Product Naming'!$A$1:$Q$58,17,FALSE)</f>
        <v>btd_RR_c</v>
      </c>
      <c r="AI891" s="1">
        <f>VLOOKUP($E891,'Product Parameters'!$A$2:$D$59,2,FALSE)</f>
        <v>1</v>
      </c>
      <c r="AJ891" s="1">
        <f>VLOOKUP($E891,'Product Parameters'!$A$2:$D$59,3,FALSE)</f>
        <v>0</v>
      </c>
      <c r="AK891" s="1">
        <f>VLOOKUP($E891,'Product Parameters'!$A$2:$D$59,4,FALSE)</f>
        <v>0.12</v>
      </c>
      <c r="AL891" s="1">
        <f>VLOOKUP($E891,'Product Parameters'!$A$2:$E$59,5,FALSE)</f>
        <v>63</v>
      </c>
      <c r="AM891" s="1">
        <f>VLOOKUP($E891,'Product Parameters'!$A$2:$F$59,6,FALSE)</f>
        <v>4</v>
      </c>
      <c r="AN891" s="1">
        <f>VLOOKUP($C891,'Substrate Heating'!$A$2:$C$33,3,FALSE)</f>
        <v>269.26666666666665</v>
      </c>
      <c r="AO891" s="1">
        <f>VLOOKUP($C891,'Substrate Heating'!$A$2:$B$33,2,FALSE)</f>
        <v>13.919167510409219</v>
      </c>
      <c r="AP891" s="1">
        <f>VLOOKUP($C891,'Substrate Heating'!$A$2:$M$33,13,FALSE)</f>
        <v>1.3333333333333333</v>
      </c>
      <c r="AQ891" s="1">
        <f>VLOOKUP($C891,'Substrate Heating'!$A$2:$M$33,8,FALSE)</f>
        <v>0.66666666666666663</v>
      </c>
      <c r="AR891" s="1">
        <f t="shared" si="13"/>
        <v>0.81818181818181601</v>
      </c>
    </row>
    <row r="892" spans="1:44" x14ac:dyDescent="0.2">
      <c r="A892" s="17" t="s">
        <v>323</v>
      </c>
      <c r="B892" s="18" t="s">
        <v>324</v>
      </c>
      <c r="C892" t="s">
        <v>336</v>
      </c>
      <c r="D892" s="19" t="s">
        <v>326</v>
      </c>
      <c r="E892" t="s">
        <v>269</v>
      </c>
      <c r="F892" t="s">
        <v>270</v>
      </c>
      <c r="G892">
        <v>-10</v>
      </c>
      <c r="H892">
        <v>0</v>
      </c>
      <c r="I892">
        <v>-20</v>
      </c>
      <c r="J892">
        <v>0.45</v>
      </c>
      <c r="K892">
        <v>-10</v>
      </c>
      <c r="L892">
        <v>0</v>
      </c>
      <c r="M892">
        <v>-10.72</v>
      </c>
      <c r="N892">
        <v>0</v>
      </c>
      <c r="O892">
        <v>1.54666666666667</v>
      </c>
      <c r="P892"/>
      <c r="Q892">
        <v>0.15466666666666701</v>
      </c>
      <c r="R892" s="20">
        <v>0.42383048576103299</v>
      </c>
      <c r="S892" s="1" t="str">
        <f>VLOOKUP($E892,'Product Naming'!$A$1:$P$58,2,FALSE)</f>
        <v>Malate_L</v>
      </c>
      <c r="T892" s="1" t="str">
        <f>VLOOKUP($E892,'Product Naming'!$A$1:$P$58,3,FALSE)</f>
        <v>L-Malate</v>
      </c>
      <c r="U892" s="1" t="str">
        <f>VLOOKUP($E892,'Product Naming'!$A$1:$P$58,4,FALSE)</f>
        <v>iJO1366</v>
      </c>
      <c r="V892" s="1" t="str">
        <f>VLOOKUP($E892,'Product Naming'!$A$1:$P$58,5,FALSE)</f>
        <v>C4H4O5</v>
      </c>
      <c r="W892" s="1">
        <f>VLOOKUP($E892,'Product Naming'!$A$1:$P$58,6,FALSE)</f>
        <v>4</v>
      </c>
      <c r="X892" s="1">
        <f>VLOOKUP($E892,'Product Naming'!$A$1:$P$58,7,FALSE)</f>
        <v>4</v>
      </c>
      <c r="Y892" s="1">
        <f>VLOOKUP($E892,'Product Naming'!$A$1:$P$58,8,FALSE)</f>
        <v>5</v>
      </c>
      <c r="Z892" s="1">
        <f>VLOOKUP($E892,'Product Naming'!$A$1:$P$58,9,FALSE)</f>
        <v>0</v>
      </c>
      <c r="AA892" s="1">
        <f>VLOOKUP($E892,'Product Naming'!$A$1:$P$58,10,FALSE)</f>
        <v>-2</v>
      </c>
      <c r="AB892" s="29">
        <f>VLOOKUP($E892,'Product Naming'!$A$1:$P$58,11,FALSE)</f>
        <v>2.5</v>
      </c>
      <c r="AC892" s="3">
        <f>VLOOKUP($E892,'Product Naming'!$A$1:$P$58,12,FALSE)</f>
        <v>132.06916000000001</v>
      </c>
      <c r="AD892" s="1" t="str">
        <f>VLOOKUP($E892,'Product Naming'!$A$1:$P$58,13,FALSE)</f>
        <v>NA</v>
      </c>
      <c r="AE892" s="1" t="str">
        <f>VLOOKUP($E892,'Product Naming'!$A$1:$P$58,14,FALSE)</f>
        <v>Dicarboxylate</v>
      </c>
      <c r="AF892" s="1" t="str">
        <f>VLOOKUP($E892,'Product Naming'!$A$1:$P$58,15,FALSE)</f>
        <v>Oxaloacetate</v>
      </c>
      <c r="AG892" s="30" t="str">
        <f>VLOOKUP($E892,'Product Naming'!$A$1:$P$58,16,FALSE)</f>
        <v>Proton symporter</v>
      </c>
      <c r="AH892" s="3" t="str">
        <f>VLOOKUP($E892,'Product Naming'!$A$1:$Q$58,17,FALSE)</f>
        <v>mal__L_e</v>
      </c>
      <c r="AI892" s="1">
        <f>VLOOKUP($E892,'Product Parameters'!$A$2:$D$59,2,FALSE)</f>
        <v>1</v>
      </c>
      <c r="AJ892" s="1">
        <f>VLOOKUP($E892,'Product Parameters'!$A$2:$D$59,3,FALSE)</f>
        <v>0</v>
      </c>
      <c r="AK892" s="1">
        <f>VLOOKUP($E892,'Product Parameters'!$A$2:$D$59,4,FALSE)</f>
        <v>0.12</v>
      </c>
      <c r="AL892" s="1">
        <f>VLOOKUP($E892,'Product Parameters'!$A$2:$E$59,5,FALSE)</f>
        <v>40.65</v>
      </c>
      <c r="AM892" s="1">
        <f>VLOOKUP($E892,'Product Parameters'!$A$2:$F$59,6,FALSE)</f>
        <v>4</v>
      </c>
      <c r="AN892" s="1">
        <f>VLOOKUP($C892,'Substrate Heating'!$A$2:$C$33,3,FALSE)</f>
        <v>245.86666666666667</v>
      </c>
      <c r="AO892" s="1">
        <f>VLOOKUP($C892,'Substrate Heating'!$A$2:$B$33,2,FALSE)</f>
        <v>15.038360459876978</v>
      </c>
      <c r="AP892" s="1">
        <f>VLOOKUP($C892,'Substrate Heating'!$A$2:$M$33,13,FALSE)</f>
        <v>0.33333333333333331</v>
      </c>
      <c r="AQ892" s="1">
        <f>VLOOKUP($C892,'Substrate Heating'!$A$2:$M$33,8,FALSE)</f>
        <v>0.33333333333333331</v>
      </c>
      <c r="AR892" s="1">
        <f t="shared" si="13"/>
        <v>1.8560000000000041</v>
      </c>
    </row>
    <row r="893" spans="1:44" x14ac:dyDescent="0.2">
      <c r="A893" s="8" t="s">
        <v>34</v>
      </c>
      <c r="B893" s="9" t="s">
        <v>35</v>
      </c>
      <c r="C893" s="1" t="s">
        <v>331</v>
      </c>
      <c r="D893" s="10" t="s">
        <v>37</v>
      </c>
      <c r="E893" s="1" t="s">
        <v>291</v>
      </c>
      <c r="F893" s="1" t="s">
        <v>292</v>
      </c>
      <c r="G893" s="1">
        <v>-10</v>
      </c>
      <c r="H893" s="1">
        <v>-20</v>
      </c>
      <c r="I893" s="1" t="s">
        <v>40</v>
      </c>
      <c r="J893" s="1">
        <v>3.15</v>
      </c>
      <c r="K893" s="1">
        <v>-10</v>
      </c>
      <c r="L893" s="1">
        <v>-2.59756097560975</v>
      </c>
      <c r="M893" s="1" t="s">
        <v>40</v>
      </c>
      <c r="N893" s="1">
        <v>5.0650406504065</v>
      </c>
      <c r="O893" s="1">
        <v>2.9869918699186999</v>
      </c>
      <c r="Q893" s="1">
        <v>0.29869918699186998</v>
      </c>
      <c r="R893" s="1">
        <v>0.42421200169679202</v>
      </c>
      <c r="S893" s="1" t="str">
        <f>VLOOKUP($E893,'Product Naming'!$A$1:$P$58,2,FALSE)</f>
        <v>Pentanol-PW1</v>
      </c>
      <c r="T893" s="1" t="str">
        <f>VLOOKUP($E893,'Product Naming'!$A$1:$P$58,3,FALSE)</f>
        <v>Pentanol (PW1)</v>
      </c>
      <c r="U893" s="1" t="str">
        <f>VLOOKUP($E893,'Product Naming'!$A$1:$P$58,4,FALSE)</f>
        <v>E</v>
      </c>
      <c r="V893" s="1" t="str">
        <f>VLOOKUP($E893,'Product Naming'!$A$1:$P$58,5,FALSE)</f>
        <v>C5H12O</v>
      </c>
      <c r="W893" s="1">
        <f>VLOOKUP($E893,'Product Naming'!$A$1:$P$58,6,FALSE)</f>
        <v>5</v>
      </c>
      <c r="X893" s="1">
        <f>VLOOKUP($E893,'Product Naming'!$A$1:$P$58,7,FALSE)</f>
        <v>12</v>
      </c>
      <c r="Y893" s="1">
        <f>VLOOKUP($E893,'Product Naming'!$A$1:$P$58,8,FALSE)</f>
        <v>1</v>
      </c>
      <c r="Z893" s="1">
        <f>VLOOKUP($E893,'Product Naming'!$A$1:$P$58,9,FALSE)</f>
        <v>0</v>
      </c>
      <c r="AA893" s="1">
        <f>VLOOKUP($E893,'Product Naming'!$A$1:$P$58,10,FALSE)</f>
        <v>0</v>
      </c>
      <c r="AB893" s="29">
        <f>VLOOKUP($E893,'Product Naming'!$A$1:$P$58,11,FALSE)</f>
        <v>6</v>
      </c>
      <c r="AC893" s="3">
        <f>VLOOKUP($E893,'Product Naming'!$A$1:$P$58,12,FALSE)</f>
        <v>88.14658</v>
      </c>
      <c r="AD893" s="1">
        <f>VLOOKUP($E893,'Product Naming'!$A$1:$P$58,13,FALSE)</f>
        <v>138</v>
      </c>
      <c r="AE893" s="1" t="str">
        <f>VLOOKUP($E893,'Product Naming'!$A$1:$P$58,14,FALSE)</f>
        <v>Alcohol</v>
      </c>
      <c r="AF893" s="1" t="str">
        <f>VLOOKUP($E893,'Product Naming'!$A$1:$P$58,15,FALSE)</f>
        <v>Acetyl-CoA + Succinyl-CoA</v>
      </c>
      <c r="AG893" s="30" t="str">
        <f>VLOOKUP($E893,'Product Naming'!$A$1:$P$58,16,FALSE)</f>
        <v>Proton symporter</v>
      </c>
      <c r="AH893" s="3" t="str">
        <f>VLOOKUP($E893,'Product Naming'!$A$1:$Q$58,17,FALSE)</f>
        <v>pentoh_c</v>
      </c>
      <c r="AI893" s="1">
        <f>VLOOKUP($E893,'Product Parameters'!$A$2:$D$59,2,FALSE)</f>
        <v>1</v>
      </c>
      <c r="AJ893" s="1">
        <f>VLOOKUP($E893,'Product Parameters'!$A$2:$D$59,3,FALSE)</f>
        <v>0</v>
      </c>
      <c r="AK893" s="1">
        <f>VLOOKUP($E893,'Product Parameters'!$A$2:$D$59,4,FALSE)</f>
        <v>0.12</v>
      </c>
      <c r="AL893" s="1">
        <f>VLOOKUP($E893,'Product Parameters'!$A$2:$E$59,5,FALSE)</f>
        <v>57</v>
      </c>
      <c r="AM893" s="1">
        <f>VLOOKUP($E893,'Product Parameters'!$A$2:$F$59,6,FALSE)</f>
        <v>5</v>
      </c>
      <c r="AN893" s="1">
        <f>VLOOKUP($C893,'Substrate Heating'!$A$2:$C$33,3,FALSE)</f>
        <v>1055.1294800000001</v>
      </c>
      <c r="AO893" s="1">
        <f>VLOOKUP($C893,'Substrate Heating'!$A$2:$B$33,2,FALSE)</f>
        <v>17</v>
      </c>
      <c r="AP893" s="1">
        <f>VLOOKUP($C893,'Substrate Heating'!$A$2:$M$33,13,FALSE)</f>
        <v>5</v>
      </c>
      <c r="AQ893" s="1">
        <f>VLOOKUP($C893,'Substrate Heating'!$A$2:$M$33,8,FALSE)</f>
        <v>2</v>
      </c>
      <c r="AR893" s="1">
        <f t="shared" si="13"/>
        <v>0.74674796747967498</v>
      </c>
    </row>
    <row r="894" spans="1:44" x14ac:dyDescent="0.2">
      <c r="A894" s="17" t="s">
        <v>323</v>
      </c>
      <c r="B894" s="18" t="s">
        <v>324</v>
      </c>
      <c r="C894" t="s">
        <v>329</v>
      </c>
      <c r="D894" s="19" t="s">
        <v>326</v>
      </c>
      <c r="E894" t="s">
        <v>236</v>
      </c>
      <c r="F894" t="s">
        <v>237</v>
      </c>
      <c r="G894">
        <v>-10</v>
      </c>
      <c r="H894">
        <v>0</v>
      </c>
      <c r="I894">
        <v>-20</v>
      </c>
      <c r="J894">
        <v>0.45</v>
      </c>
      <c r="K894">
        <v>-10</v>
      </c>
      <c r="L894">
        <v>0</v>
      </c>
      <c r="M894">
        <v>-20</v>
      </c>
      <c r="N894">
        <v>0.52631578947367696</v>
      </c>
      <c r="O894">
        <v>1.57894736842105</v>
      </c>
      <c r="P894"/>
      <c r="Q894">
        <v>0.157894736842105</v>
      </c>
      <c r="R894" s="20">
        <v>0.42453712127432403</v>
      </c>
      <c r="S894" s="1" t="str">
        <f>VLOOKUP($E894,'Product Naming'!$A$1:$P$58,2,FALSE)</f>
        <v>Hexane</v>
      </c>
      <c r="T894" s="1" t="str">
        <f>VLOOKUP($E894,'Product Naming'!$A$1:$P$58,3,FALSE)</f>
        <v>Hexane</v>
      </c>
      <c r="U894" s="1" t="str">
        <f>VLOOKUP($E894,'Product Naming'!$A$1:$P$58,4,FALSE)</f>
        <v>E</v>
      </c>
      <c r="V894" s="1" t="str">
        <f>VLOOKUP($E894,'Product Naming'!$A$1:$P$58,5,FALSE)</f>
        <v>C6H14</v>
      </c>
      <c r="W894" s="1">
        <f>VLOOKUP($E894,'Product Naming'!$A$1:$P$58,6,FALSE)</f>
        <v>6</v>
      </c>
      <c r="X894" s="1">
        <f>VLOOKUP($E894,'Product Naming'!$A$1:$P$58,7,FALSE)</f>
        <v>14</v>
      </c>
      <c r="Y894" s="1">
        <f>VLOOKUP($E894,'Product Naming'!$A$1:$P$58,8,FALSE)</f>
        <v>0</v>
      </c>
      <c r="Z894" s="1">
        <f>VLOOKUP($E894,'Product Naming'!$A$1:$P$58,9,FALSE)</f>
        <v>0</v>
      </c>
      <c r="AA894" s="1">
        <f>VLOOKUP($E894,'Product Naming'!$A$1:$P$58,10,FALSE)</f>
        <v>0</v>
      </c>
      <c r="AB894" s="29">
        <f>VLOOKUP($E894,'Product Naming'!$A$1:$P$58,11,FALSE)</f>
        <v>6.333333333333333</v>
      </c>
      <c r="AC894" s="3">
        <f>VLOOKUP($E894,'Product Naming'!$A$1:$P$58,12,FALSE)</f>
        <v>86.173959999999994</v>
      </c>
      <c r="AD894" s="1">
        <f>VLOOKUP($E894,'Product Naming'!$A$1:$P$58,13,FALSE)</f>
        <v>69</v>
      </c>
      <c r="AE894" s="1" t="str">
        <f>VLOOKUP($E894,'Product Naming'!$A$1:$P$58,14,FALSE)</f>
        <v>Hydrocarbon (alkane)</v>
      </c>
      <c r="AF894" s="1" t="str">
        <f>VLOOKUP($E894,'Product Naming'!$A$1:$P$58,15,FALSE)</f>
        <v>Acetyl-CoA + Succinyl-CoA</v>
      </c>
      <c r="AG894" s="30" t="str">
        <f>VLOOKUP($E894,'Product Naming'!$A$1:$P$58,16,FALSE)</f>
        <v>Proton symporter</v>
      </c>
      <c r="AH894" s="3" t="str">
        <f>VLOOKUP($E894,'Product Naming'!$A$1:$Q$58,17,FALSE)</f>
        <v>hex_c</v>
      </c>
      <c r="AI894" s="1">
        <f>VLOOKUP($E894,'Product Parameters'!$A$2:$D$59,2,FALSE)</f>
        <v>1</v>
      </c>
      <c r="AJ894" s="1">
        <f>VLOOKUP($E894,'Product Parameters'!$A$2:$D$59,3,FALSE)</f>
        <v>0</v>
      </c>
      <c r="AK894" s="1">
        <f>VLOOKUP($E894,'Product Parameters'!$A$2:$D$59,4,FALSE)</f>
        <v>0.12</v>
      </c>
      <c r="AL894" s="1">
        <f>VLOOKUP($E894,'Product Parameters'!$A$2:$E$59,5,FALSE)</f>
        <v>31</v>
      </c>
      <c r="AM894" s="1">
        <f>VLOOKUP($E894,'Product Parameters'!$A$2:$F$59,6,FALSE)</f>
        <v>6</v>
      </c>
      <c r="AN894" s="1">
        <f>VLOOKUP($C894,'Substrate Heating'!$A$2:$C$33,3,FALSE)</f>
        <v>255.53333333333336</v>
      </c>
      <c r="AO894" s="1">
        <f>VLOOKUP($C894,'Substrate Heating'!$A$2:$B$33,2,FALSE)</f>
        <v>23.925550527978785</v>
      </c>
      <c r="AP894" s="1">
        <f>VLOOKUP($C894,'Substrate Heating'!$A$2:$M$33,13,FALSE)</f>
        <v>0.66666666666666663</v>
      </c>
      <c r="AQ894" s="1">
        <f>VLOOKUP($C894,'Substrate Heating'!$A$2:$M$33,8,FALSE)</f>
        <v>0.33333333333333331</v>
      </c>
      <c r="AR894" s="1">
        <f t="shared" si="13"/>
        <v>2.8421052631578902</v>
      </c>
    </row>
    <row r="895" spans="1:44" x14ac:dyDescent="0.2">
      <c r="A895" s="8" t="s">
        <v>34</v>
      </c>
      <c r="B895" s="9" t="s">
        <v>35</v>
      </c>
      <c r="C895" s="1" t="s">
        <v>345</v>
      </c>
      <c r="D895" s="10" t="s">
        <v>37</v>
      </c>
      <c r="E895" s="1" t="s">
        <v>192</v>
      </c>
      <c r="F895" s="1" t="s">
        <v>193</v>
      </c>
      <c r="G895" s="1">
        <v>-10</v>
      </c>
      <c r="H895" s="1">
        <v>-20</v>
      </c>
      <c r="I895" s="1" t="s">
        <v>40</v>
      </c>
      <c r="J895" s="1">
        <v>3.15</v>
      </c>
      <c r="K895" s="1">
        <v>-10</v>
      </c>
      <c r="L895" s="1">
        <v>-5.1038664323374299</v>
      </c>
      <c r="M895" s="1" t="s">
        <v>40</v>
      </c>
      <c r="N895" s="1">
        <v>5.8878734622144098</v>
      </c>
      <c r="O895" s="1">
        <v>1.56801405975395</v>
      </c>
      <c r="Q895" s="1">
        <v>0.15680140597539499</v>
      </c>
      <c r="R895" s="1">
        <v>0.42599520426175402</v>
      </c>
      <c r="S895" s="1" t="str">
        <f>VLOOKUP($E895,'Product Naming'!$A$1:$P$58,2,FALSE)</f>
        <v>Coumaric acid</v>
      </c>
      <c r="T895" s="1" t="str">
        <f>VLOOKUP($E895,'Product Naming'!$A$1:$P$58,3,FALSE)</f>
        <v>Coumaric acid</v>
      </c>
      <c r="U895" s="1" t="str">
        <f>VLOOKUP($E895,'Product Naming'!$A$1:$P$58,4,FALSE)</f>
        <v>E</v>
      </c>
      <c r="V895" s="1" t="str">
        <f>VLOOKUP($E895,'Product Naming'!$A$1:$P$58,5,FALSE)</f>
        <v>C9H7O3</v>
      </c>
      <c r="W895" s="1">
        <f>VLOOKUP($E895,'Product Naming'!$A$1:$P$58,6,FALSE)</f>
        <v>9</v>
      </c>
      <c r="X895" s="1">
        <f>VLOOKUP($E895,'Product Naming'!$A$1:$P$58,7,FALSE)</f>
        <v>7</v>
      </c>
      <c r="Y895" s="1">
        <f>VLOOKUP($E895,'Product Naming'!$A$1:$P$58,8,FALSE)</f>
        <v>3</v>
      </c>
      <c r="Z895" s="1">
        <f>VLOOKUP($E895,'Product Naming'!$A$1:$P$58,9,FALSE)</f>
        <v>0</v>
      </c>
      <c r="AA895" s="1">
        <f>VLOOKUP($E895,'Product Naming'!$A$1:$P$58,10,FALSE)</f>
        <v>-1</v>
      </c>
      <c r="AB895" s="29">
        <f>VLOOKUP($E895,'Product Naming'!$A$1:$P$58,11,FALSE)</f>
        <v>4.1111111111111107</v>
      </c>
      <c r="AC895" s="3">
        <f>VLOOKUP($E895,'Product Naming'!$A$1:$P$58,12,FALSE)</f>
        <v>163.14818</v>
      </c>
      <c r="AD895" s="1">
        <f>VLOOKUP($E895,'Product Naming'!$A$1:$P$58,13,FALSE)</f>
        <v>346</v>
      </c>
      <c r="AE895" s="1" t="str">
        <f>VLOOKUP($E895,'Product Naming'!$A$1:$P$58,14,FALSE)</f>
        <v>Aromatic + Alcohol + Carboxylate</v>
      </c>
      <c r="AF895" s="1" t="str">
        <f>VLOOKUP($E895,'Product Naming'!$A$1:$P$58,15,FALSE)</f>
        <v>E4P + L-glutamate</v>
      </c>
      <c r="AG895" s="30" t="str">
        <f>VLOOKUP($E895,'Product Naming'!$A$1:$P$58,16,FALSE)</f>
        <v>Proton symporter</v>
      </c>
      <c r="AH895" s="3" t="str">
        <f>VLOOKUP($E895,'Product Naming'!$A$1:$Q$58,17,FALSE)</f>
        <v>T4hcinnm_c</v>
      </c>
      <c r="AI895" s="1">
        <f>VLOOKUP($E895,'Product Parameters'!$A$2:$D$59,2,FALSE)</f>
        <v>1</v>
      </c>
      <c r="AJ895" s="1">
        <f>VLOOKUP($E895,'Product Parameters'!$A$2:$D$59,3,FALSE)</f>
        <v>0</v>
      </c>
      <c r="AK895" s="1">
        <f>VLOOKUP($E895,'Product Parameters'!$A$2:$D$59,4,FALSE)</f>
        <v>0.12</v>
      </c>
      <c r="AL895" s="1">
        <f>VLOOKUP($E895,'Product Parameters'!$A$2:$E$59,5,FALSE)</f>
        <v>40.65</v>
      </c>
      <c r="AM895" s="1">
        <f>VLOOKUP($E895,'Product Parameters'!$A$2:$F$59,6,FALSE)</f>
        <v>9</v>
      </c>
      <c r="AN895" s="1">
        <f>VLOOKUP($C895,'Substrate Heating'!$A$2:$C$33,3,FALSE)</f>
        <v>1020.8629199999999</v>
      </c>
      <c r="AO895" s="1">
        <f>VLOOKUP($C895,'Substrate Heating'!$A$2:$B$33,2,FALSE)</f>
        <v>17</v>
      </c>
      <c r="AP895" s="1">
        <f>VLOOKUP($C895,'Substrate Heating'!$A$2:$M$33,13,FALSE)</f>
        <v>4</v>
      </c>
      <c r="AQ895" s="1">
        <f>VLOOKUP($C895,'Substrate Heating'!$A$2:$M$33,8,FALSE)</f>
        <v>2</v>
      </c>
      <c r="AR895" s="1">
        <f t="shared" si="13"/>
        <v>0.70560632688927749</v>
      </c>
    </row>
    <row r="896" spans="1:44" x14ac:dyDescent="0.2">
      <c r="A896" s="8" t="s">
        <v>34</v>
      </c>
      <c r="B896" s="9" t="s">
        <v>35</v>
      </c>
      <c r="C896" s="1" t="s">
        <v>349</v>
      </c>
      <c r="D896" s="25" t="s">
        <v>342</v>
      </c>
      <c r="E896" s="1" t="s">
        <v>72</v>
      </c>
      <c r="F896" s="1" t="s">
        <v>73</v>
      </c>
      <c r="G896" s="1">
        <v>-10</v>
      </c>
      <c r="H896" s="1">
        <v>-20</v>
      </c>
      <c r="I896" s="1" t="s">
        <v>40</v>
      </c>
      <c r="J896" s="1">
        <v>3.15</v>
      </c>
      <c r="K896" s="1">
        <v>-10</v>
      </c>
      <c r="L896" s="1">
        <v>-2.0975000000000099</v>
      </c>
      <c r="M896" s="1" t="s">
        <v>40</v>
      </c>
      <c r="N896" s="1">
        <v>18.065000000000001</v>
      </c>
      <c r="O896" s="1">
        <v>10.645</v>
      </c>
      <c r="Q896" s="1">
        <v>1.0645</v>
      </c>
      <c r="R896" s="1">
        <v>0.42609652561113698</v>
      </c>
      <c r="S896" s="1" t="str">
        <f>VLOOKUP($E896,'Product Naming'!$A$1:$P$58,2,FALSE)</f>
        <v>1-propanol-PW1</v>
      </c>
      <c r="T896" s="1" t="str">
        <f>VLOOKUP($E896,'Product Naming'!$A$1:$P$58,3,FALSE)</f>
        <v>1-Propanol (PW1)</v>
      </c>
      <c r="U896" s="1" t="str">
        <f>VLOOKUP($E896,'Product Naming'!$A$1:$P$58,4,FALSE)</f>
        <v>E-S</v>
      </c>
      <c r="V896" s="1" t="str">
        <f>VLOOKUP($E896,'Product Naming'!$A$1:$P$58,5,FALSE)</f>
        <v>C3H8O</v>
      </c>
      <c r="W896" s="1">
        <f>VLOOKUP($E896,'Product Naming'!$A$1:$P$58,6,FALSE)</f>
        <v>3</v>
      </c>
      <c r="X896" s="1">
        <f>VLOOKUP($E896,'Product Naming'!$A$1:$P$58,7,FALSE)</f>
        <v>8</v>
      </c>
      <c r="Y896" s="1">
        <f>VLOOKUP($E896,'Product Naming'!$A$1:$P$58,8,FALSE)</f>
        <v>1</v>
      </c>
      <c r="Z896" s="1">
        <f>VLOOKUP($E896,'Product Naming'!$A$1:$P$58,9,FALSE)</f>
        <v>0</v>
      </c>
      <c r="AA896" s="1">
        <f>VLOOKUP($E896,'Product Naming'!$A$1:$P$58,10,FALSE)</f>
        <v>0</v>
      </c>
      <c r="AB896" s="29">
        <f>VLOOKUP($E896,'Product Naming'!$A$1:$P$58,11,FALSE)</f>
        <v>6</v>
      </c>
      <c r="AC896" s="3">
        <f>VLOOKUP($E896,'Product Naming'!$A$1:$P$58,12,FALSE)</f>
        <v>60.093820000000001</v>
      </c>
      <c r="AD896" s="1">
        <f>VLOOKUP($E896,'Product Naming'!$A$1:$P$58,13,FALSE)</f>
        <v>97</v>
      </c>
      <c r="AE896" s="1" t="str">
        <f>VLOOKUP($E896,'Product Naming'!$A$1:$P$58,14,FALSE)</f>
        <v>Alcohol</v>
      </c>
      <c r="AF896" s="1" t="str">
        <f>VLOOKUP($E896,'Product Naming'!$A$1:$P$58,15,FALSE)</f>
        <v>Glyceraldehyde 3-P (--&gt;DHAP)</v>
      </c>
      <c r="AG896" s="30" t="str">
        <f>VLOOKUP($E896,'Product Naming'!$A$1:$P$58,16,FALSE)</f>
        <v>Proton symporter</v>
      </c>
      <c r="AH896" s="3" t="str">
        <f>VLOOKUP($E896,'Product Naming'!$A$1:$Q$58,17,FALSE)</f>
        <v>ppoh_c</v>
      </c>
      <c r="AI896" s="1">
        <f>VLOOKUP($E896,'Product Parameters'!$A$2:$D$59,2,FALSE)</f>
        <v>1</v>
      </c>
      <c r="AJ896" s="1">
        <f>VLOOKUP($E896,'Product Parameters'!$A$2:$D$59,3,FALSE)</f>
        <v>0</v>
      </c>
      <c r="AK896" s="1">
        <f>VLOOKUP($E896,'Product Parameters'!$A$2:$D$59,4,FALSE)</f>
        <v>0.12</v>
      </c>
      <c r="AL896" s="1">
        <f>VLOOKUP($E896,'Product Parameters'!$A$2:$E$59,5,FALSE)</f>
        <v>47</v>
      </c>
      <c r="AM896" s="1">
        <f>VLOOKUP($E896,'Product Parameters'!$A$2:$F$59,6,FALSE)</f>
        <v>3</v>
      </c>
      <c r="AN896" s="1">
        <f>VLOOKUP($C896,'Substrate Heating'!$A$2:$C$33,3,FALSE)</f>
        <v>2342.0279999999998</v>
      </c>
      <c r="AO896" s="1">
        <f>VLOOKUP($C896,'Substrate Heating'!$A$2:$B$33,2,FALSE)</f>
        <v>15.6</v>
      </c>
      <c r="AP896" s="1">
        <f>VLOOKUP($C896,'Substrate Heating'!$A$2:$M$33,13,FALSE)</f>
        <v>4</v>
      </c>
      <c r="AQ896" s="1">
        <f>VLOOKUP($C896,'Substrate Heating'!$A$2:$M$33,8,FALSE)</f>
        <v>5</v>
      </c>
      <c r="AR896" s="1">
        <f t="shared" si="13"/>
        <v>0.63870000000000005</v>
      </c>
    </row>
    <row r="897" spans="1:44" x14ac:dyDescent="0.2">
      <c r="A897" s="8" t="s">
        <v>34</v>
      </c>
      <c r="B897" s="9" t="s">
        <v>35</v>
      </c>
      <c r="C897" s="1" t="s">
        <v>330</v>
      </c>
      <c r="D897" s="10" t="s">
        <v>37</v>
      </c>
      <c r="E897" s="1" t="s">
        <v>72</v>
      </c>
      <c r="F897" s="1" t="s">
        <v>73</v>
      </c>
      <c r="G897" s="1">
        <v>-10</v>
      </c>
      <c r="H897" s="1">
        <v>-20</v>
      </c>
      <c r="I897" s="1" t="s">
        <v>40</v>
      </c>
      <c r="J897" s="1">
        <v>3.15</v>
      </c>
      <c r="K897" s="1">
        <v>-10</v>
      </c>
      <c r="L897" s="1">
        <v>-5.1897727272727296</v>
      </c>
      <c r="M897" s="1" t="s">
        <v>40</v>
      </c>
      <c r="N897" s="1">
        <v>6.7931818181818198</v>
      </c>
      <c r="O897" s="1">
        <v>4.40227272727273</v>
      </c>
      <c r="Q897" s="1">
        <v>0.44022727272727302</v>
      </c>
      <c r="R897" s="1">
        <v>0.42623607114902201</v>
      </c>
      <c r="S897" s="1" t="str">
        <f>VLOOKUP($E897,'Product Naming'!$A$1:$P$58,2,FALSE)</f>
        <v>1-propanol-PW1</v>
      </c>
      <c r="T897" s="1" t="str">
        <f>VLOOKUP($E897,'Product Naming'!$A$1:$P$58,3,FALSE)</f>
        <v>1-Propanol (PW1)</v>
      </c>
      <c r="U897" s="1" t="str">
        <f>VLOOKUP($E897,'Product Naming'!$A$1:$P$58,4,FALSE)</f>
        <v>E-S</v>
      </c>
      <c r="V897" s="1" t="str">
        <f>VLOOKUP($E897,'Product Naming'!$A$1:$P$58,5,FALSE)</f>
        <v>C3H8O</v>
      </c>
      <c r="W897" s="1">
        <f>VLOOKUP($E897,'Product Naming'!$A$1:$P$58,6,FALSE)</f>
        <v>3</v>
      </c>
      <c r="X897" s="1">
        <f>VLOOKUP($E897,'Product Naming'!$A$1:$P$58,7,FALSE)</f>
        <v>8</v>
      </c>
      <c r="Y897" s="1">
        <f>VLOOKUP($E897,'Product Naming'!$A$1:$P$58,8,FALSE)</f>
        <v>1</v>
      </c>
      <c r="Z897" s="1">
        <f>VLOOKUP($E897,'Product Naming'!$A$1:$P$58,9,FALSE)</f>
        <v>0</v>
      </c>
      <c r="AA897" s="1">
        <f>VLOOKUP($E897,'Product Naming'!$A$1:$P$58,10,FALSE)</f>
        <v>0</v>
      </c>
      <c r="AB897" s="29">
        <f>VLOOKUP($E897,'Product Naming'!$A$1:$P$58,11,FALSE)</f>
        <v>6</v>
      </c>
      <c r="AC897" s="3">
        <f>VLOOKUP($E897,'Product Naming'!$A$1:$P$58,12,FALSE)</f>
        <v>60.093820000000001</v>
      </c>
      <c r="AD897" s="1">
        <f>VLOOKUP($E897,'Product Naming'!$A$1:$P$58,13,FALSE)</f>
        <v>97</v>
      </c>
      <c r="AE897" s="1" t="str">
        <f>VLOOKUP($E897,'Product Naming'!$A$1:$P$58,14,FALSE)</f>
        <v>Alcohol</v>
      </c>
      <c r="AF897" s="1" t="str">
        <f>VLOOKUP($E897,'Product Naming'!$A$1:$P$58,15,FALSE)</f>
        <v>Glyceraldehyde 3-P (--&gt;DHAP)</v>
      </c>
      <c r="AG897" s="30" t="str">
        <f>VLOOKUP($E897,'Product Naming'!$A$1:$P$58,16,FALSE)</f>
        <v>Proton symporter</v>
      </c>
      <c r="AH897" s="3" t="str">
        <f>VLOOKUP($E897,'Product Naming'!$A$1:$Q$58,17,FALSE)</f>
        <v>ppoh_c</v>
      </c>
      <c r="AI897" s="1">
        <f>VLOOKUP($E897,'Product Parameters'!$A$2:$D$59,2,FALSE)</f>
        <v>1</v>
      </c>
      <c r="AJ897" s="1">
        <f>VLOOKUP($E897,'Product Parameters'!$A$2:$D$59,3,FALSE)</f>
        <v>0</v>
      </c>
      <c r="AK897" s="1">
        <f>VLOOKUP($E897,'Product Parameters'!$A$2:$D$59,4,FALSE)</f>
        <v>0.12</v>
      </c>
      <c r="AL897" s="1">
        <f>VLOOKUP($E897,'Product Parameters'!$A$2:$E$59,5,FALSE)</f>
        <v>47</v>
      </c>
      <c r="AM897" s="1">
        <f>VLOOKUP($E897,'Product Parameters'!$A$2:$F$59,6,FALSE)</f>
        <v>3</v>
      </c>
      <c r="AN897" s="1">
        <f>VLOOKUP($C897,'Substrate Heating'!$A$2:$C$33,3,FALSE)</f>
        <v>1055.1294800000001</v>
      </c>
      <c r="AO897" s="1">
        <f>VLOOKUP($C897,'Substrate Heating'!$A$2:$B$33,2,FALSE)</f>
        <v>17</v>
      </c>
      <c r="AP897" s="1">
        <f>VLOOKUP($C897,'Substrate Heating'!$A$2:$M$33,13,FALSE)</f>
        <v>5</v>
      </c>
      <c r="AQ897" s="1">
        <f>VLOOKUP($C897,'Substrate Heating'!$A$2:$M$33,8,FALSE)</f>
        <v>2</v>
      </c>
      <c r="AR897" s="1">
        <f t="shared" si="13"/>
        <v>0.66034090909090959</v>
      </c>
    </row>
    <row r="898" spans="1:44" x14ac:dyDescent="0.2">
      <c r="A898" s="17" t="s">
        <v>323</v>
      </c>
      <c r="B898" s="18" t="s">
        <v>324</v>
      </c>
      <c r="C898" t="s">
        <v>329</v>
      </c>
      <c r="D898" s="19" t="s">
        <v>326</v>
      </c>
      <c r="E898" t="s">
        <v>232</v>
      </c>
      <c r="F898" t="s">
        <v>233</v>
      </c>
      <c r="G898">
        <v>-10</v>
      </c>
      <c r="H898">
        <v>0</v>
      </c>
      <c r="I898">
        <v>-20</v>
      </c>
      <c r="J898">
        <v>0.45</v>
      </c>
      <c r="K898">
        <v>-10</v>
      </c>
      <c r="L898">
        <v>0</v>
      </c>
      <c r="M898">
        <v>-20</v>
      </c>
      <c r="N898">
        <v>0.45454545454545903</v>
      </c>
      <c r="O898">
        <v>1.36363636363636</v>
      </c>
      <c r="P898"/>
      <c r="Q898">
        <v>0.13636363636363599</v>
      </c>
      <c r="R898" s="20">
        <v>0.42632395404906998</v>
      </c>
      <c r="S898" s="1" t="str">
        <f>VLOOKUP($E898,'Product Naming'!$A$1:$P$58,2,FALSE)</f>
        <v>Heptane</v>
      </c>
      <c r="T898" s="1" t="str">
        <f>VLOOKUP($E898,'Product Naming'!$A$1:$P$58,3,FALSE)</f>
        <v>Heptane</v>
      </c>
      <c r="U898" s="1" t="str">
        <f>VLOOKUP($E898,'Product Naming'!$A$1:$P$58,4,FALSE)</f>
        <v>E</v>
      </c>
      <c r="V898" s="1" t="str">
        <f>VLOOKUP($E898,'Product Naming'!$A$1:$P$58,5,FALSE)</f>
        <v>C7H16</v>
      </c>
      <c r="W898" s="1">
        <f>VLOOKUP($E898,'Product Naming'!$A$1:$P$58,6,FALSE)</f>
        <v>7</v>
      </c>
      <c r="X898" s="1">
        <f>VLOOKUP($E898,'Product Naming'!$A$1:$P$58,7,FALSE)</f>
        <v>16</v>
      </c>
      <c r="Y898" s="1">
        <f>VLOOKUP($E898,'Product Naming'!$A$1:$P$58,8,FALSE)</f>
        <v>0</v>
      </c>
      <c r="Z898" s="1">
        <f>VLOOKUP($E898,'Product Naming'!$A$1:$P$58,9,FALSE)</f>
        <v>0</v>
      </c>
      <c r="AA898" s="1">
        <f>VLOOKUP($E898,'Product Naming'!$A$1:$P$58,10,FALSE)</f>
        <v>0</v>
      </c>
      <c r="AB898" s="29">
        <f>VLOOKUP($E898,'Product Naming'!$A$1:$P$58,11,FALSE)</f>
        <v>6.2857142857142856</v>
      </c>
      <c r="AC898" s="3">
        <f>VLOOKUP($E898,'Product Naming'!$A$1:$P$58,12,FALSE)</f>
        <v>100.20034</v>
      </c>
      <c r="AD898" s="1">
        <f>VLOOKUP($E898,'Product Naming'!$A$1:$P$58,13,FALSE)</f>
        <v>98</v>
      </c>
      <c r="AE898" s="1" t="str">
        <f>VLOOKUP($E898,'Product Naming'!$A$1:$P$58,14,FALSE)</f>
        <v>Hydrocarbon (alkane)</v>
      </c>
      <c r="AF898" s="1" t="str">
        <f>VLOOKUP($E898,'Product Naming'!$A$1:$P$58,15,FALSE)</f>
        <v>Acetyl-CoA</v>
      </c>
      <c r="AG898" s="30" t="str">
        <f>VLOOKUP($E898,'Product Naming'!$A$1:$P$58,16,FALSE)</f>
        <v>Proton symporter</v>
      </c>
      <c r="AH898" s="3" t="str">
        <f>VLOOKUP($E898,'Product Naming'!$A$1:$Q$58,17,FALSE)</f>
        <v>hept_c</v>
      </c>
      <c r="AI898" s="1">
        <f>VLOOKUP($E898,'Product Parameters'!$A$2:$D$59,2,FALSE)</f>
        <v>1</v>
      </c>
      <c r="AJ898" s="1">
        <f>VLOOKUP($E898,'Product Parameters'!$A$2:$D$59,3,FALSE)</f>
        <v>0</v>
      </c>
      <c r="AK898" s="1">
        <f>VLOOKUP($E898,'Product Parameters'!$A$2:$D$59,4,FALSE)</f>
        <v>0.12</v>
      </c>
      <c r="AL898" s="1">
        <f>VLOOKUP($E898,'Product Parameters'!$A$2:$E$59,5,FALSE)</f>
        <v>36</v>
      </c>
      <c r="AM898" s="1">
        <f>VLOOKUP($E898,'Product Parameters'!$A$2:$F$59,6,FALSE)</f>
        <v>7</v>
      </c>
      <c r="AN898" s="1">
        <f>VLOOKUP($C898,'Substrate Heating'!$A$2:$C$33,3,FALSE)</f>
        <v>255.53333333333336</v>
      </c>
      <c r="AO898" s="1">
        <f>VLOOKUP($C898,'Substrate Heating'!$A$2:$B$33,2,FALSE)</f>
        <v>23.925550527978785</v>
      </c>
      <c r="AP898" s="1">
        <f>VLOOKUP($C898,'Substrate Heating'!$A$2:$M$33,13,FALSE)</f>
        <v>0.66666666666666663</v>
      </c>
      <c r="AQ898" s="1">
        <f>VLOOKUP($C898,'Substrate Heating'!$A$2:$M$33,8,FALSE)</f>
        <v>0.33333333333333331</v>
      </c>
      <c r="AR898" s="1">
        <f t="shared" si="13"/>
        <v>2.8636363636363558</v>
      </c>
    </row>
    <row r="899" spans="1:44" x14ac:dyDescent="0.2">
      <c r="A899" s="17" t="s">
        <v>323</v>
      </c>
      <c r="B899" s="18" t="s">
        <v>324</v>
      </c>
      <c r="C899" t="s">
        <v>329</v>
      </c>
      <c r="D899" s="19" t="s">
        <v>326</v>
      </c>
      <c r="E899" t="s">
        <v>283</v>
      </c>
      <c r="F899" t="s">
        <v>284</v>
      </c>
      <c r="G899">
        <v>-10</v>
      </c>
      <c r="H899">
        <v>0</v>
      </c>
      <c r="I899">
        <v>-20</v>
      </c>
      <c r="J899">
        <v>0.45</v>
      </c>
      <c r="K899">
        <v>-10</v>
      </c>
      <c r="L899">
        <v>0</v>
      </c>
      <c r="M899">
        <v>-20</v>
      </c>
      <c r="N899">
        <v>0.39999999999997499</v>
      </c>
      <c r="O899">
        <v>1.2</v>
      </c>
      <c r="P899"/>
      <c r="Q899">
        <v>0.12</v>
      </c>
      <c r="R899" s="20">
        <v>0.42768194695787798</v>
      </c>
      <c r="S899" s="1" t="str">
        <f>VLOOKUP($E899,'Product Naming'!$A$1:$P$58,2,FALSE)</f>
        <v>Octane</v>
      </c>
      <c r="T899" s="1" t="str">
        <f>VLOOKUP($E899,'Product Naming'!$A$1:$P$58,3,FALSE)</f>
        <v>Octane</v>
      </c>
      <c r="U899" s="1" t="str">
        <f>VLOOKUP($E899,'Product Naming'!$A$1:$P$58,4,FALSE)</f>
        <v>E</v>
      </c>
      <c r="V899" s="1" t="str">
        <f>VLOOKUP($E899,'Product Naming'!$A$1:$P$58,5,FALSE)</f>
        <v>C8H18</v>
      </c>
      <c r="W899" s="1">
        <f>VLOOKUP($E899,'Product Naming'!$A$1:$P$58,6,FALSE)</f>
        <v>8</v>
      </c>
      <c r="X899" s="1">
        <f>VLOOKUP($E899,'Product Naming'!$A$1:$P$58,7,FALSE)</f>
        <v>18</v>
      </c>
      <c r="Y899" s="1">
        <f>VLOOKUP($E899,'Product Naming'!$A$1:$P$58,8,FALSE)</f>
        <v>0</v>
      </c>
      <c r="Z899" s="1">
        <f>VLOOKUP($E899,'Product Naming'!$A$1:$P$58,9,FALSE)</f>
        <v>0</v>
      </c>
      <c r="AA899" s="1">
        <f>VLOOKUP($E899,'Product Naming'!$A$1:$P$58,10,FALSE)</f>
        <v>0</v>
      </c>
      <c r="AB899" s="29">
        <f>VLOOKUP($E899,'Product Naming'!$A$1:$P$58,11,FALSE)</f>
        <v>6.25</v>
      </c>
      <c r="AC899" s="3">
        <f>VLOOKUP($E899,'Product Naming'!$A$1:$P$58,12,FALSE)</f>
        <v>114.22672</v>
      </c>
      <c r="AD899" s="1">
        <f>VLOOKUP($E899,'Product Naming'!$A$1:$P$58,13,FALSE)</f>
        <v>126</v>
      </c>
      <c r="AE899" s="1" t="str">
        <f>VLOOKUP($E899,'Product Naming'!$A$1:$P$58,14,FALSE)</f>
        <v>Hydrocarbon (alkane)</v>
      </c>
      <c r="AF899" s="1" t="str">
        <f>VLOOKUP($E899,'Product Naming'!$A$1:$P$58,15,FALSE)</f>
        <v>Acetyl-CoA + Succinyl-CoA</v>
      </c>
      <c r="AG899" s="30" t="str">
        <f>VLOOKUP($E899,'Product Naming'!$A$1:$P$58,16,FALSE)</f>
        <v>Proton symporter</v>
      </c>
      <c r="AH899" s="3" t="str">
        <f>VLOOKUP($E899,'Product Naming'!$A$1:$Q$58,17,FALSE)</f>
        <v>octn_c</v>
      </c>
      <c r="AI899" s="1">
        <f>VLOOKUP($E899,'Product Parameters'!$A$2:$D$59,2,FALSE)</f>
        <v>1</v>
      </c>
      <c r="AJ899" s="1">
        <f>VLOOKUP($E899,'Product Parameters'!$A$2:$D$59,3,FALSE)</f>
        <v>0</v>
      </c>
      <c r="AK899" s="1">
        <f>VLOOKUP($E899,'Product Parameters'!$A$2:$D$59,4,FALSE)</f>
        <v>0.12</v>
      </c>
      <c r="AL899" s="1">
        <f>VLOOKUP($E899,'Product Parameters'!$A$2:$E$59,5,FALSE)</f>
        <v>41</v>
      </c>
      <c r="AM899" s="1">
        <f>VLOOKUP($E899,'Product Parameters'!$A$2:$F$59,6,FALSE)</f>
        <v>8</v>
      </c>
      <c r="AN899" s="1">
        <f>VLOOKUP($C899,'Substrate Heating'!$A$2:$C$33,3,FALSE)</f>
        <v>255.53333333333336</v>
      </c>
      <c r="AO899" s="1">
        <f>VLOOKUP($C899,'Substrate Heating'!$A$2:$B$33,2,FALSE)</f>
        <v>23.925550527978785</v>
      </c>
      <c r="AP899" s="1">
        <f>VLOOKUP($C899,'Substrate Heating'!$A$2:$M$33,13,FALSE)</f>
        <v>0.66666666666666663</v>
      </c>
      <c r="AQ899" s="1">
        <f>VLOOKUP($C899,'Substrate Heating'!$A$2:$M$33,8,FALSE)</f>
        <v>0.33333333333333331</v>
      </c>
      <c r="AR899" s="1">
        <f t="shared" ref="AR899:AR962" si="14">Q899*W899/AQ899</f>
        <v>2.88</v>
      </c>
    </row>
    <row r="900" spans="1:44" x14ac:dyDescent="0.2">
      <c r="A900" s="8" t="s">
        <v>792</v>
      </c>
      <c r="B900" s="18" t="s">
        <v>324</v>
      </c>
      <c r="C900" t="s">
        <v>371</v>
      </c>
      <c r="D900" s="23" t="s">
        <v>338</v>
      </c>
      <c r="E900" t="s">
        <v>283</v>
      </c>
      <c r="F900" t="s">
        <v>284</v>
      </c>
      <c r="G900">
        <v>-10</v>
      </c>
      <c r="H900">
        <v>0</v>
      </c>
      <c r="I900">
        <v>0</v>
      </c>
      <c r="J900">
        <v>0.45</v>
      </c>
      <c r="K900">
        <v>-10</v>
      </c>
      <c r="L900">
        <v>0</v>
      </c>
      <c r="M900">
        <v>0</v>
      </c>
      <c r="N900" s="28" t="s">
        <v>661</v>
      </c>
      <c r="O900" s="28" t="s">
        <v>662</v>
      </c>
      <c r="P900"/>
      <c r="Q900" s="28" t="s">
        <v>663</v>
      </c>
      <c r="R900">
        <v>0.42780127748582603</v>
      </c>
      <c r="S900" s="1" t="str">
        <f>VLOOKUP($E900,'Product Naming'!$A$1:$P$58,2,FALSE)</f>
        <v>Octane</v>
      </c>
      <c r="T900" s="1" t="str">
        <f>VLOOKUP($E900,'Product Naming'!$A$1:$P$58,3,FALSE)</f>
        <v>Octane</v>
      </c>
      <c r="U900" s="1" t="str">
        <f>VLOOKUP($E900,'Product Naming'!$A$1:$P$58,4,FALSE)</f>
        <v>E</v>
      </c>
      <c r="V900" s="1" t="str">
        <f>VLOOKUP($E900,'Product Naming'!$A$1:$P$58,5,FALSE)</f>
        <v>C8H18</v>
      </c>
      <c r="W900" s="1">
        <f>VLOOKUP($E900,'Product Naming'!$A$1:$P$58,6,FALSE)</f>
        <v>8</v>
      </c>
      <c r="X900" s="1">
        <f>VLOOKUP($E900,'Product Naming'!$A$1:$P$58,7,FALSE)</f>
        <v>18</v>
      </c>
      <c r="Y900" s="1">
        <f>VLOOKUP($E900,'Product Naming'!$A$1:$P$58,8,FALSE)</f>
        <v>0</v>
      </c>
      <c r="Z900" s="1">
        <f>VLOOKUP($E900,'Product Naming'!$A$1:$P$58,9,FALSE)</f>
        <v>0</v>
      </c>
      <c r="AA900" s="1">
        <f>VLOOKUP($E900,'Product Naming'!$A$1:$P$58,10,FALSE)</f>
        <v>0</v>
      </c>
      <c r="AB900" s="29">
        <f>VLOOKUP($E900,'Product Naming'!$A$1:$P$58,11,FALSE)</f>
        <v>6.25</v>
      </c>
      <c r="AC900" s="3">
        <f>VLOOKUP($E900,'Product Naming'!$A$1:$P$58,12,FALSE)</f>
        <v>114.22672</v>
      </c>
      <c r="AD900" s="1">
        <f>VLOOKUP($E900,'Product Naming'!$A$1:$P$58,13,FALSE)</f>
        <v>126</v>
      </c>
      <c r="AE900" s="1" t="str">
        <f>VLOOKUP($E900,'Product Naming'!$A$1:$P$58,14,FALSE)</f>
        <v>Hydrocarbon (alkane)</v>
      </c>
      <c r="AF900" s="1" t="str">
        <f>VLOOKUP($E900,'Product Naming'!$A$1:$P$58,15,FALSE)</f>
        <v>Acetyl-CoA + Succinyl-CoA</v>
      </c>
      <c r="AG900" s="30" t="str">
        <f>VLOOKUP($E900,'Product Naming'!$A$1:$P$58,16,FALSE)</f>
        <v>Proton symporter</v>
      </c>
      <c r="AH900" s="3" t="str">
        <f>VLOOKUP($E900,'Product Naming'!$A$1:$Q$58,17,FALSE)</f>
        <v>octn_c</v>
      </c>
      <c r="AI900" s="1">
        <f>VLOOKUP($E900,'Product Parameters'!$A$2:$D$59,2,FALSE)</f>
        <v>1</v>
      </c>
      <c r="AJ900" s="1">
        <f>VLOOKUP($E900,'Product Parameters'!$A$2:$D$59,3,FALSE)</f>
        <v>0</v>
      </c>
      <c r="AK900" s="1">
        <f>VLOOKUP($E900,'Product Parameters'!$A$2:$D$59,4,FALSE)</f>
        <v>0.12</v>
      </c>
      <c r="AL900" s="1">
        <f>VLOOKUP($E900,'Product Parameters'!$A$2:$E$59,5,FALSE)</f>
        <v>41</v>
      </c>
      <c r="AM900" s="1">
        <f>VLOOKUP($E900,'Product Parameters'!$A$2:$F$59,6,FALSE)</f>
        <v>8</v>
      </c>
      <c r="AN900" s="1">
        <f>VLOOKUP($C900,'Substrate Heating'!$A$2:$C$33,3,FALSE)</f>
        <v>638.57832580000002</v>
      </c>
      <c r="AO900" s="1">
        <f>VLOOKUP($C900,'Substrate Heating'!$A$2:$B$33,2,FALSE)</f>
        <v>19.93</v>
      </c>
      <c r="AP900" s="1">
        <f>VLOOKUP($C900,'Substrate Heating'!$A$2:$M$33,13,FALSE)</f>
        <v>6</v>
      </c>
      <c r="AQ900" s="1">
        <f>VLOOKUP($C900,'Substrate Heating'!$A$2:$M$33,8,FALSE)</f>
        <v>1</v>
      </c>
      <c r="AR900" s="1">
        <f t="shared" si="14"/>
        <v>0.96</v>
      </c>
    </row>
    <row r="901" spans="1:44" x14ac:dyDescent="0.2">
      <c r="A901" s="8" t="s">
        <v>34</v>
      </c>
      <c r="B901" s="9" t="s">
        <v>35</v>
      </c>
      <c r="C901" s="1" t="s">
        <v>349</v>
      </c>
      <c r="D901" s="25" t="s">
        <v>342</v>
      </c>
      <c r="E901" s="1" t="s">
        <v>251</v>
      </c>
      <c r="F901" s="1" t="s">
        <v>252</v>
      </c>
      <c r="G901" s="1">
        <v>-10</v>
      </c>
      <c r="H901" s="1">
        <v>-20</v>
      </c>
      <c r="I901" s="1" t="s">
        <v>40</v>
      </c>
      <c r="J901" s="1">
        <v>3.15</v>
      </c>
      <c r="K901" s="1">
        <v>-10</v>
      </c>
      <c r="L901" s="1">
        <v>-1.83363636363636</v>
      </c>
      <c r="M901" s="1" t="s">
        <v>40</v>
      </c>
      <c r="N901" s="1">
        <v>17.8890909090909</v>
      </c>
      <c r="O901" s="1">
        <v>10.7036363636364</v>
      </c>
      <c r="Q901" s="1">
        <v>1.07036363636364</v>
      </c>
      <c r="R901" s="1">
        <v>0.42844361352282601</v>
      </c>
      <c r="S901" s="1" t="str">
        <f>VLOOKUP($E901,'Product Naming'!$A$1:$P$58,2,FALSE)</f>
        <v>Isopropanol</v>
      </c>
      <c r="T901" s="1" t="str">
        <f>VLOOKUP($E901,'Product Naming'!$A$1:$P$58,3,FALSE)</f>
        <v>Isopropanol</v>
      </c>
      <c r="U901" s="1" t="str">
        <f>VLOOKUP($E901,'Product Naming'!$A$1:$P$58,4,FALSE)</f>
        <v>A</v>
      </c>
      <c r="V901" s="1" t="str">
        <f>VLOOKUP($E901,'Product Naming'!$A$1:$P$58,5,FALSE)</f>
        <v>C3H8O</v>
      </c>
      <c r="W901" s="1">
        <f>VLOOKUP($E901,'Product Naming'!$A$1:$P$58,6,FALSE)</f>
        <v>3</v>
      </c>
      <c r="X901" s="1">
        <f>VLOOKUP($E901,'Product Naming'!$A$1:$P$58,7,FALSE)</f>
        <v>8</v>
      </c>
      <c r="Y901" s="1">
        <f>VLOOKUP($E901,'Product Naming'!$A$1:$P$58,8,FALSE)</f>
        <v>1</v>
      </c>
      <c r="Z901" s="1">
        <f>VLOOKUP($E901,'Product Naming'!$A$1:$P$58,9,FALSE)</f>
        <v>0</v>
      </c>
      <c r="AA901" s="1">
        <f>VLOOKUP($E901,'Product Naming'!$A$1:$P$58,10,FALSE)</f>
        <v>0</v>
      </c>
      <c r="AB901" s="29">
        <f>VLOOKUP($E901,'Product Naming'!$A$1:$P$58,11,FALSE)</f>
        <v>6</v>
      </c>
      <c r="AC901" s="3">
        <f>VLOOKUP($E901,'Product Naming'!$A$1:$P$58,12,FALSE)</f>
        <v>60.093820000000001</v>
      </c>
      <c r="AD901" s="1">
        <f>VLOOKUP($E901,'Product Naming'!$A$1:$P$58,13,FALSE)</f>
        <v>82.5</v>
      </c>
      <c r="AE901" s="1" t="str">
        <f>VLOOKUP($E901,'Product Naming'!$A$1:$P$58,14,FALSE)</f>
        <v>Alcohol</v>
      </c>
      <c r="AF901" s="1" t="str">
        <f>VLOOKUP($E901,'Product Naming'!$A$1:$P$58,15,FALSE)</f>
        <v>Acetyl-CoA</v>
      </c>
      <c r="AG901" s="30" t="str">
        <f>VLOOKUP($E901,'Product Naming'!$A$1:$P$58,16,FALSE)</f>
        <v>Proton symporter</v>
      </c>
      <c r="AH901" s="3" t="str">
        <f>VLOOKUP($E901,'Product Naming'!$A$1:$Q$58,17,FALSE)</f>
        <v>2ppoh_c</v>
      </c>
      <c r="AI901" s="1">
        <f>VLOOKUP($E901,'Product Parameters'!$A$2:$D$59,2,FALSE)</f>
        <v>1</v>
      </c>
      <c r="AJ901" s="1">
        <f>VLOOKUP($E901,'Product Parameters'!$A$2:$D$59,3,FALSE)</f>
        <v>0</v>
      </c>
      <c r="AK901" s="1">
        <f>VLOOKUP($E901,'Product Parameters'!$A$2:$D$59,4,FALSE)</f>
        <v>0.12</v>
      </c>
      <c r="AL901" s="1">
        <f>VLOOKUP($E901,'Product Parameters'!$A$2:$E$59,5,FALSE)</f>
        <v>45</v>
      </c>
      <c r="AM901" s="1">
        <f>VLOOKUP($E901,'Product Parameters'!$A$2:$F$59,6,FALSE)</f>
        <v>3</v>
      </c>
      <c r="AN901" s="1">
        <f>VLOOKUP($C901,'Substrate Heating'!$A$2:$C$33,3,FALSE)</f>
        <v>2342.0279999999998</v>
      </c>
      <c r="AO901" s="1">
        <f>VLOOKUP($C901,'Substrate Heating'!$A$2:$B$33,2,FALSE)</f>
        <v>15.6</v>
      </c>
      <c r="AP901" s="1">
        <f>VLOOKUP($C901,'Substrate Heating'!$A$2:$M$33,13,FALSE)</f>
        <v>4</v>
      </c>
      <c r="AQ901" s="1">
        <f>VLOOKUP($C901,'Substrate Heating'!$A$2:$M$33,8,FALSE)</f>
        <v>5</v>
      </c>
      <c r="AR901" s="1">
        <f t="shared" si="14"/>
        <v>0.64221818181818402</v>
      </c>
    </row>
    <row r="902" spans="1:44" x14ac:dyDescent="0.2">
      <c r="A902" s="8" t="s">
        <v>34</v>
      </c>
      <c r="B902" s="9" t="s">
        <v>35</v>
      </c>
      <c r="C902" s="1" t="s">
        <v>341</v>
      </c>
      <c r="D902" s="24" t="s">
        <v>342</v>
      </c>
      <c r="E902" s="1" t="s">
        <v>72</v>
      </c>
      <c r="F902" s="1" t="s">
        <v>73</v>
      </c>
      <c r="G902" s="1">
        <v>-10</v>
      </c>
      <c r="H902" s="1">
        <v>-20</v>
      </c>
      <c r="I902" s="1" t="s">
        <v>40</v>
      </c>
      <c r="J902" s="1">
        <v>3.15</v>
      </c>
      <c r="K902" s="1">
        <v>-10</v>
      </c>
      <c r="L902" s="1">
        <v>-2.18372093023256</v>
      </c>
      <c r="M902" s="1" t="s">
        <v>40</v>
      </c>
      <c r="N902" s="1">
        <v>21.455813953488398</v>
      </c>
      <c r="O902" s="1">
        <v>12.848062015503899</v>
      </c>
      <c r="Q902" s="1">
        <v>1.28480620155039</v>
      </c>
      <c r="R902" s="1">
        <v>0.428575828242933</v>
      </c>
      <c r="S902" s="1" t="str">
        <f>VLOOKUP($E902,'Product Naming'!$A$1:$P$58,2,FALSE)</f>
        <v>1-propanol-PW1</v>
      </c>
      <c r="T902" s="1" t="str">
        <f>VLOOKUP($E902,'Product Naming'!$A$1:$P$58,3,FALSE)</f>
        <v>1-Propanol (PW1)</v>
      </c>
      <c r="U902" s="1" t="str">
        <f>VLOOKUP($E902,'Product Naming'!$A$1:$P$58,4,FALSE)</f>
        <v>E-S</v>
      </c>
      <c r="V902" s="1" t="str">
        <f>VLOOKUP($E902,'Product Naming'!$A$1:$P$58,5,FALSE)</f>
        <v>C3H8O</v>
      </c>
      <c r="W902" s="1">
        <f>VLOOKUP($E902,'Product Naming'!$A$1:$P$58,6,FALSE)</f>
        <v>3</v>
      </c>
      <c r="X902" s="1">
        <f>VLOOKUP($E902,'Product Naming'!$A$1:$P$58,7,FALSE)</f>
        <v>8</v>
      </c>
      <c r="Y902" s="1">
        <f>VLOOKUP($E902,'Product Naming'!$A$1:$P$58,8,FALSE)</f>
        <v>1</v>
      </c>
      <c r="Z902" s="1">
        <f>VLOOKUP($E902,'Product Naming'!$A$1:$P$58,9,FALSE)</f>
        <v>0</v>
      </c>
      <c r="AA902" s="1">
        <f>VLOOKUP($E902,'Product Naming'!$A$1:$P$58,10,FALSE)</f>
        <v>0</v>
      </c>
      <c r="AB902" s="29">
        <f>VLOOKUP($E902,'Product Naming'!$A$1:$P$58,11,FALSE)</f>
        <v>6</v>
      </c>
      <c r="AC902" s="3">
        <f>VLOOKUP($E902,'Product Naming'!$A$1:$P$58,12,FALSE)</f>
        <v>60.093820000000001</v>
      </c>
      <c r="AD902" s="1">
        <f>VLOOKUP($E902,'Product Naming'!$A$1:$P$58,13,FALSE)</f>
        <v>97</v>
      </c>
      <c r="AE902" s="1" t="str">
        <f>VLOOKUP($E902,'Product Naming'!$A$1:$P$58,14,FALSE)</f>
        <v>Alcohol</v>
      </c>
      <c r="AF902" s="1" t="str">
        <f>VLOOKUP($E902,'Product Naming'!$A$1:$P$58,15,FALSE)</f>
        <v>Glyceraldehyde 3-P (--&gt;DHAP)</v>
      </c>
      <c r="AG902" s="30" t="str">
        <f>VLOOKUP($E902,'Product Naming'!$A$1:$P$58,16,FALSE)</f>
        <v>Proton symporter</v>
      </c>
      <c r="AH902" s="3" t="str">
        <f>VLOOKUP($E902,'Product Naming'!$A$1:$Q$58,17,FALSE)</f>
        <v>ppoh_c</v>
      </c>
      <c r="AI902" s="1">
        <f>VLOOKUP($E902,'Product Parameters'!$A$2:$D$59,2,FALSE)</f>
        <v>1</v>
      </c>
      <c r="AJ902" s="1">
        <f>VLOOKUP($E902,'Product Parameters'!$A$2:$D$59,3,FALSE)</f>
        <v>0</v>
      </c>
      <c r="AK902" s="1">
        <f>VLOOKUP($E902,'Product Parameters'!$A$2:$D$59,4,FALSE)</f>
        <v>0.12</v>
      </c>
      <c r="AL902" s="1">
        <f>VLOOKUP($E902,'Product Parameters'!$A$2:$E$59,5,FALSE)</f>
        <v>47</v>
      </c>
      <c r="AM902" s="1">
        <f>VLOOKUP($E902,'Product Parameters'!$A$2:$F$59,6,FALSE)</f>
        <v>3</v>
      </c>
      <c r="AN902" s="1">
        <f>VLOOKUP($C902,'Substrate Heating'!$A$2:$C$33,3,FALSE)</f>
        <v>2828.4492</v>
      </c>
      <c r="AO902" s="1">
        <f>VLOOKUP($C902,'Substrate Heating'!$A$2:$B$33,2,FALSE)</f>
        <v>15.7</v>
      </c>
      <c r="AP902" s="1">
        <f>VLOOKUP($C902,'Substrate Heating'!$A$2:$M$33,13,FALSE)</f>
        <v>4</v>
      </c>
      <c r="AQ902" s="1">
        <f>VLOOKUP($C902,'Substrate Heating'!$A$2:$M$33,8,FALSE)</f>
        <v>6</v>
      </c>
      <c r="AR902" s="1">
        <f t="shared" si="14"/>
        <v>0.64240310077519502</v>
      </c>
    </row>
    <row r="903" spans="1:44" x14ac:dyDescent="0.2">
      <c r="A903" s="8" t="s">
        <v>34</v>
      </c>
      <c r="B903" s="9" t="s">
        <v>35</v>
      </c>
      <c r="C903" s="1" t="s">
        <v>348</v>
      </c>
      <c r="D903" s="23" t="s">
        <v>338</v>
      </c>
      <c r="E903" s="1" t="s">
        <v>119</v>
      </c>
      <c r="F903" s="1" t="s">
        <v>120</v>
      </c>
      <c r="G903" s="1">
        <v>-10</v>
      </c>
      <c r="H903" s="1">
        <v>-20</v>
      </c>
      <c r="I903" s="1" t="s">
        <v>40</v>
      </c>
      <c r="J903" s="1">
        <v>3.15</v>
      </c>
      <c r="K903" s="1">
        <v>-10</v>
      </c>
      <c r="L903" s="1">
        <v>-5.5386666666666704</v>
      </c>
      <c r="M903" s="1" t="s">
        <v>40</v>
      </c>
      <c r="N903" s="1">
        <v>2.9039999999999999</v>
      </c>
      <c r="O903" s="1">
        <v>2.36533333333333</v>
      </c>
      <c r="Q903" s="1">
        <v>0.23653333333333301</v>
      </c>
      <c r="R903" s="1">
        <v>0.42874411920204902</v>
      </c>
      <c r="S903" s="1" t="str">
        <f>VLOOKUP($E903,'Product Naming'!$A$1:$P$58,2,FALSE)</f>
        <v>Acetone</v>
      </c>
      <c r="T903" s="1" t="str">
        <f>VLOOKUP($E903,'Product Naming'!$A$1:$P$58,3,FALSE)</f>
        <v>Acetone</v>
      </c>
      <c r="U903" s="1" t="str">
        <f>VLOOKUP($E903,'Product Naming'!$A$1:$P$58,4,FALSE)</f>
        <v>A</v>
      </c>
      <c r="V903" s="1" t="str">
        <f>VLOOKUP($E903,'Product Naming'!$A$1:$P$58,5,FALSE)</f>
        <v>C3H6O</v>
      </c>
      <c r="W903" s="1">
        <f>VLOOKUP($E903,'Product Naming'!$A$1:$P$58,6,FALSE)</f>
        <v>3</v>
      </c>
      <c r="X903" s="1">
        <f>VLOOKUP($E903,'Product Naming'!$A$1:$P$58,7,FALSE)</f>
        <v>6</v>
      </c>
      <c r="Y903" s="1">
        <f>VLOOKUP($E903,'Product Naming'!$A$1:$P$58,8,FALSE)</f>
        <v>1</v>
      </c>
      <c r="Z903" s="1">
        <f>VLOOKUP($E903,'Product Naming'!$A$1:$P$58,9,FALSE)</f>
        <v>0</v>
      </c>
      <c r="AA903" s="1">
        <f>VLOOKUP($E903,'Product Naming'!$A$1:$P$58,10,FALSE)</f>
        <v>0</v>
      </c>
      <c r="AB903" s="29">
        <f>VLOOKUP($E903,'Product Naming'!$A$1:$P$58,11,FALSE)</f>
        <v>5.333333333333333</v>
      </c>
      <c r="AC903" s="3">
        <f>VLOOKUP($E903,'Product Naming'!$A$1:$P$58,12,FALSE)</f>
        <v>58.078140000000005</v>
      </c>
      <c r="AD903" s="1">
        <f>VLOOKUP($E903,'Product Naming'!$A$1:$P$58,13,FALSE)</f>
        <v>56</v>
      </c>
      <c r="AE903" s="1" t="str">
        <f>VLOOKUP($E903,'Product Naming'!$A$1:$P$58,14,FALSE)</f>
        <v>Ketone</v>
      </c>
      <c r="AF903" s="1" t="str">
        <f>VLOOKUP($E903,'Product Naming'!$A$1:$P$58,15,FALSE)</f>
        <v>Acetyl-CoA</v>
      </c>
      <c r="AG903" s="30" t="str">
        <f>VLOOKUP($E903,'Product Naming'!$A$1:$P$58,16,FALSE)</f>
        <v>Proton symporter</v>
      </c>
      <c r="AH903" s="3" t="str">
        <f>VLOOKUP($E903,'Product Naming'!$A$1:$Q$58,17,FALSE)</f>
        <v>acetone_c</v>
      </c>
      <c r="AI903" s="1">
        <f>VLOOKUP($E903,'Product Parameters'!$A$2:$D$59,2,FALSE)</f>
        <v>1</v>
      </c>
      <c r="AJ903" s="1">
        <f>VLOOKUP($E903,'Product Parameters'!$A$2:$D$59,3,FALSE)</f>
        <v>0</v>
      </c>
      <c r="AK903" s="1">
        <f>VLOOKUP($E903,'Product Parameters'!$A$2:$D$59,4,FALSE)</f>
        <v>0.12</v>
      </c>
      <c r="AL903" s="1">
        <f>VLOOKUP($E903,'Product Parameters'!$A$2:$E$59,5,FALSE)</f>
        <v>31.3</v>
      </c>
      <c r="AM903" s="1">
        <f>VLOOKUP($E903,'Product Parameters'!$A$2:$F$59,6,FALSE)</f>
        <v>3</v>
      </c>
      <c r="AN903" s="1">
        <f>VLOOKUP($C903,'Substrate Heating'!$A$2:$C$33,3,FALSE)</f>
        <v>638.57832580000002</v>
      </c>
      <c r="AO903" s="1">
        <f>VLOOKUP($C903,'Substrate Heating'!$A$2:$B$33,2,FALSE)</f>
        <v>19.93</v>
      </c>
      <c r="AP903" s="1">
        <f>VLOOKUP($C903,'Substrate Heating'!$A$2:$M$33,13,FALSE)</f>
        <v>6</v>
      </c>
      <c r="AQ903" s="1">
        <f>VLOOKUP($C903,'Substrate Heating'!$A$2:$M$33,8,FALSE)</f>
        <v>1</v>
      </c>
      <c r="AR903" s="1">
        <f t="shared" si="14"/>
        <v>0.70959999999999901</v>
      </c>
    </row>
    <row r="904" spans="1:44" x14ac:dyDescent="0.2">
      <c r="A904" s="17" t="s">
        <v>323</v>
      </c>
      <c r="B904" s="18" t="s">
        <v>324</v>
      </c>
      <c r="C904" t="s">
        <v>329</v>
      </c>
      <c r="D904" s="19" t="s">
        <v>326</v>
      </c>
      <c r="E904" t="s">
        <v>279</v>
      </c>
      <c r="F904" t="s">
        <v>280</v>
      </c>
      <c r="G904">
        <v>-10</v>
      </c>
      <c r="H904">
        <v>0</v>
      </c>
      <c r="I904">
        <v>-20</v>
      </c>
      <c r="J904">
        <v>0.45</v>
      </c>
      <c r="K904">
        <v>-10</v>
      </c>
      <c r="L904">
        <v>0</v>
      </c>
      <c r="M904">
        <v>-20</v>
      </c>
      <c r="N904">
        <v>0.35714285714285599</v>
      </c>
      <c r="O904">
        <v>1.0714285714285701</v>
      </c>
      <c r="P904"/>
      <c r="Q904">
        <v>0.107142857142857</v>
      </c>
      <c r="R904" s="20">
        <v>0.42874894138622599</v>
      </c>
      <c r="S904" s="1" t="str">
        <f>VLOOKUP($E904,'Product Naming'!$A$1:$P$58,2,FALSE)</f>
        <v>Nonane</v>
      </c>
      <c r="T904" s="1" t="str">
        <f>VLOOKUP($E904,'Product Naming'!$A$1:$P$58,3,FALSE)</f>
        <v>Nonane</v>
      </c>
      <c r="U904" s="1" t="str">
        <f>VLOOKUP($E904,'Product Naming'!$A$1:$P$58,4,FALSE)</f>
        <v>E</v>
      </c>
      <c r="V904" s="1" t="str">
        <f>VLOOKUP($E904,'Product Naming'!$A$1:$P$58,5,FALSE)</f>
        <v>C9H20</v>
      </c>
      <c r="W904" s="1">
        <f>VLOOKUP($E904,'Product Naming'!$A$1:$P$58,6,FALSE)</f>
        <v>9</v>
      </c>
      <c r="X904" s="1">
        <f>VLOOKUP($E904,'Product Naming'!$A$1:$P$58,7,FALSE)</f>
        <v>20</v>
      </c>
      <c r="Y904" s="1">
        <f>VLOOKUP($E904,'Product Naming'!$A$1:$P$58,8,FALSE)</f>
        <v>0</v>
      </c>
      <c r="Z904" s="1">
        <f>VLOOKUP($E904,'Product Naming'!$A$1:$P$58,9,FALSE)</f>
        <v>0</v>
      </c>
      <c r="AA904" s="1">
        <f>VLOOKUP($E904,'Product Naming'!$A$1:$P$58,10,FALSE)</f>
        <v>0</v>
      </c>
      <c r="AB904" s="29">
        <f>VLOOKUP($E904,'Product Naming'!$A$1:$P$58,11,FALSE)</f>
        <v>6.2222222222222223</v>
      </c>
      <c r="AC904" s="3">
        <f>VLOOKUP($E904,'Product Naming'!$A$1:$P$58,12,FALSE)</f>
        <v>128.25309999999999</v>
      </c>
      <c r="AD904" s="1">
        <f>VLOOKUP($E904,'Product Naming'!$A$1:$P$58,13,FALSE)</f>
        <v>151</v>
      </c>
      <c r="AE904" s="1" t="str">
        <f>VLOOKUP($E904,'Product Naming'!$A$1:$P$58,14,FALSE)</f>
        <v>Hydrocarbon (alkane)</v>
      </c>
      <c r="AF904" s="1" t="str">
        <f>VLOOKUP($E904,'Product Naming'!$A$1:$P$58,15,FALSE)</f>
        <v>Acetyl-CoA</v>
      </c>
      <c r="AG904" s="30" t="str">
        <f>VLOOKUP($E904,'Product Naming'!$A$1:$P$58,16,FALSE)</f>
        <v>Proton symporter</v>
      </c>
      <c r="AH904" s="3" t="str">
        <f>VLOOKUP($E904,'Product Naming'!$A$1:$Q$58,17,FALSE)</f>
        <v>nonan_c</v>
      </c>
      <c r="AI904" s="1">
        <f>VLOOKUP($E904,'Product Parameters'!$A$2:$D$59,2,FALSE)</f>
        <v>1</v>
      </c>
      <c r="AJ904" s="1">
        <f>VLOOKUP($E904,'Product Parameters'!$A$2:$D$59,3,FALSE)</f>
        <v>0</v>
      </c>
      <c r="AK904" s="1">
        <f>VLOOKUP($E904,'Product Parameters'!$A$2:$D$59,4,FALSE)</f>
        <v>0.12</v>
      </c>
      <c r="AL904" s="1">
        <f>VLOOKUP($E904,'Product Parameters'!$A$2:$E$59,5,FALSE)</f>
        <v>46.5</v>
      </c>
      <c r="AM904" s="1">
        <f>VLOOKUP($E904,'Product Parameters'!$A$2:$F$59,6,FALSE)</f>
        <v>9</v>
      </c>
      <c r="AN904" s="1">
        <f>VLOOKUP($C904,'Substrate Heating'!$A$2:$C$33,3,FALSE)</f>
        <v>255.53333333333336</v>
      </c>
      <c r="AO904" s="1">
        <f>VLOOKUP($C904,'Substrate Heating'!$A$2:$B$33,2,FALSE)</f>
        <v>23.925550527978785</v>
      </c>
      <c r="AP904" s="1">
        <f>VLOOKUP($C904,'Substrate Heating'!$A$2:$M$33,13,FALSE)</f>
        <v>0.66666666666666663</v>
      </c>
      <c r="AQ904" s="1">
        <f>VLOOKUP($C904,'Substrate Heating'!$A$2:$M$33,8,FALSE)</f>
        <v>0.33333333333333331</v>
      </c>
      <c r="AR904" s="1">
        <f t="shared" si="14"/>
        <v>2.8928571428571392</v>
      </c>
    </row>
    <row r="905" spans="1:44" x14ac:dyDescent="0.2">
      <c r="A905" s="17" t="s">
        <v>323</v>
      </c>
      <c r="B905" s="18" t="s">
        <v>324</v>
      </c>
      <c r="C905" t="s">
        <v>329</v>
      </c>
      <c r="D905" s="19" t="s">
        <v>326</v>
      </c>
      <c r="E905" t="s">
        <v>52</v>
      </c>
      <c r="F905" t="s">
        <v>53</v>
      </c>
      <c r="G905">
        <v>-10</v>
      </c>
      <c r="H905">
        <v>0</v>
      </c>
      <c r="I905">
        <v>-20</v>
      </c>
      <c r="J905">
        <v>0.45</v>
      </c>
      <c r="K905">
        <v>-10</v>
      </c>
      <c r="L905">
        <v>0</v>
      </c>
      <c r="M905">
        <v>-18.2153846153846</v>
      </c>
      <c r="N905">
        <v>0</v>
      </c>
      <c r="O905">
        <v>1.7846153846153801</v>
      </c>
      <c r="P905"/>
      <c r="Q905">
        <v>0.17846153846153801</v>
      </c>
      <c r="R905" s="20">
        <v>0.42878503246403199</v>
      </c>
      <c r="S905" s="1" t="str">
        <f>VLOOKUP($E905,'Product Naming'!$A$1:$P$58,2,FALSE)</f>
        <v>1-3-Diaminopropane</v>
      </c>
      <c r="T905" s="1" t="str">
        <f>VLOOKUP($E905,'Product Naming'!$A$1:$P$58,3,FALSE)</f>
        <v>1,3-Diaminopropane</v>
      </c>
      <c r="U905" s="1" t="str">
        <f>VLOOKUP($E905,'Product Naming'!$A$1:$P$58,4,FALSE)</f>
        <v>A</v>
      </c>
      <c r="V905" s="1" t="str">
        <f>VLOOKUP($E905,'Product Naming'!$A$1:$P$58,5,FALSE)</f>
        <v>C3H12N2</v>
      </c>
      <c r="W905" s="1">
        <f>VLOOKUP($E905,'Product Naming'!$A$1:$P$58,6,FALSE)</f>
        <v>3</v>
      </c>
      <c r="X905" s="1">
        <f>VLOOKUP($E905,'Product Naming'!$A$1:$P$58,7,FALSE)</f>
        <v>12</v>
      </c>
      <c r="Y905" s="1">
        <f>VLOOKUP($E905,'Product Naming'!$A$1:$P$58,8,FALSE)</f>
        <v>0</v>
      </c>
      <c r="Z905" s="1">
        <f>VLOOKUP($E905,'Product Naming'!$A$1:$P$58,9,FALSE)</f>
        <v>2</v>
      </c>
      <c r="AA905" s="1">
        <f>VLOOKUP($E905,'Product Naming'!$A$1:$P$58,10,FALSE)</f>
        <v>2</v>
      </c>
      <c r="AB905" s="29">
        <f>VLOOKUP($E905,'Product Naming'!$A$1:$P$58,11,FALSE)</f>
        <v>6</v>
      </c>
      <c r="AC905" s="3">
        <f>VLOOKUP($E905,'Product Naming'!$A$1:$P$58,12,FALSE)</f>
        <v>76.139580000000009</v>
      </c>
      <c r="AD905" s="1">
        <f>VLOOKUP($E905,'Product Naming'!$A$1:$P$58,13,FALSE)</f>
        <v>139.30000000000001</v>
      </c>
      <c r="AE905" s="1" t="str">
        <f>VLOOKUP($E905,'Product Naming'!$A$1:$P$58,14,FALSE)</f>
        <v>Diamine</v>
      </c>
      <c r="AF905" s="1" t="str">
        <f>VLOOKUP($E905,'Product Naming'!$A$1:$P$58,15,FALSE)</f>
        <v>Oxaloacetate + aKG</v>
      </c>
      <c r="AG905" s="30" t="str">
        <f>VLOOKUP($E905,'Product Naming'!$A$1:$P$58,16,FALSE)</f>
        <v>Proton symporter</v>
      </c>
      <c r="AH905" s="3" t="str">
        <f>VLOOKUP($E905,'Product Naming'!$A$1:$Q$58,17,FALSE)</f>
        <v>13dampp_c</v>
      </c>
      <c r="AI905" s="1">
        <f>VLOOKUP($E905,'Product Parameters'!$A$2:$D$59,2,FALSE)</f>
        <v>1</v>
      </c>
      <c r="AJ905" s="1">
        <f>VLOOKUP($E905,'Product Parameters'!$A$2:$D$59,3,FALSE)</f>
        <v>0</v>
      </c>
      <c r="AK905" s="1">
        <f>VLOOKUP($E905,'Product Parameters'!$A$2:$D$59,4,FALSE)</f>
        <v>0.12</v>
      </c>
      <c r="AL905" s="1">
        <f>VLOOKUP($E905,'Product Parameters'!$A$2:$E$59,5,FALSE)</f>
        <v>50.18</v>
      </c>
      <c r="AM905" s="1">
        <f>VLOOKUP($E905,'Product Parameters'!$A$2:$F$59,6,FALSE)</f>
        <v>3</v>
      </c>
      <c r="AN905" s="1">
        <f>VLOOKUP($C905,'Substrate Heating'!$A$2:$C$33,3,FALSE)</f>
        <v>255.53333333333336</v>
      </c>
      <c r="AO905" s="1">
        <f>VLOOKUP($C905,'Substrate Heating'!$A$2:$B$33,2,FALSE)</f>
        <v>23.925550527978785</v>
      </c>
      <c r="AP905" s="1">
        <f>VLOOKUP($C905,'Substrate Heating'!$A$2:$M$33,13,FALSE)</f>
        <v>0.66666666666666663</v>
      </c>
      <c r="AQ905" s="1">
        <f>VLOOKUP($C905,'Substrate Heating'!$A$2:$M$33,8,FALSE)</f>
        <v>0.33333333333333331</v>
      </c>
      <c r="AR905" s="1">
        <f t="shared" si="14"/>
        <v>1.606153846153842</v>
      </c>
    </row>
    <row r="906" spans="1:44" x14ac:dyDescent="0.2">
      <c r="A906" s="17" t="s">
        <v>323</v>
      </c>
      <c r="B906" s="18" t="s">
        <v>324</v>
      </c>
      <c r="C906" t="s">
        <v>336</v>
      </c>
      <c r="D906" s="19" t="s">
        <v>326</v>
      </c>
      <c r="E906" t="s">
        <v>318</v>
      </c>
      <c r="F906" t="s">
        <v>319</v>
      </c>
      <c r="G906">
        <v>-10</v>
      </c>
      <c r="H906">
        <v>0</v>
      </c>
      <c r="I906">
        <v>-20</v>
      </c>
      <c r="J906">
        <v>0.45</v>
      </c>
      <c r="K906">
        <v>-10</v>
      </c>
      <c r="L906">
        <v>0</v>
      </c>
      <c r="M906">
        <v>-11.0769230769231</v>
      </c>
      <c r="N906">
        <v>0</v>
      </c>
      <c r="O906">
        <v>1.7846153846153801</v>
      </c>
      <c r="P906"/>
      <c r="Q906">
        <v>0.17846153846153801</v>
      </c>
      <c r="R906" s="20">
        <v>0.42915093628780498</v>
      </c>
      <c r="S906" s="1" t="str">
        <f>VLOOKUP($E906,'Product Naming'!$A$1:$P$58,2,FALSE)</f>
        <v>Succinate</v>
      </c>
      <c r="T906" s="1" t="str">
        <f>VLOOKUP($E906,'Product Naming'!$A$1:$P$58,3,FALSE)</f>
        <v>Succinate</v>
      </c>
      <c r="U906" s="1" t="str">
        <f>VLOOKUP($E906,'Product Naming'!$A$1:$P$58,4,FALSE)</f>
        <v>iJO1366</v>
      </c>
      <c r="V906" s="1" t="str">
        <f>VLOOKUP($E906,'Product Naming'!$A$1:$P$58,5,FALSE)</f>
        <v>C4H4O4</v>
      </c>
      <c r="W906" s="1">
        <f>VLOOKUP($E906,'Product Naming'!$A$1:$P$58,6,FALSE)</f>
        <v>4</v>
      </c>
      <c r="X906" s="1">
        <f>VLOOKUP($E906,'Product Naming'!$A$1:$P$58,7,FALSE)</f>
        <v>4</v>
      </c>
      <c r="Y906" s="1">
        <f>VLOOKUP($E906,'Product Naming'!$A$1:$P$58,8,FALSE)</f>
        <v>4</v>
      </c>
      <c r="Z906" s="1">
        <f>VLOOKUP($E906,'Product Naming'!$A$1:$P$58,9,FALSE)</f>
        <v>0</v>
      </c>
      <c r="AA906" s="1">
        <f>VLOOKUP($E906,'Product Naming'!$A$1:$P$58,10,FALSE)</f>
        <v>-2</v>
      </c>
      <c r="AB906" s="29">
        <f>VLOOKUP($E906,'Product Naming'!$A$1:$P$58,11,FALSE)</f>
        <v>3</v>
      </c>
      <c r="AC906" s="3">
        <f>VLOOKUP($E906,'Product Naming'!$A$1:$P$58,12,FALSE)</f>
        <v>116.07016</v>
      </c>
      <c r="AD906" s="1">
        <f>VLOOKUP($E906,'Product Naming'!$A$1:$P$58,13,FALSE)</f>
        <v>235</v>
      </c>
      <c r="AE906" s="1" t="str">
        <f>VLOOKUP($E906,'Product Naming'!$A$1:$P$58,14,FALSE)</f>
        <v>Dicarboxylate</v>
      </c>
      <c r="AF906" s="1" t="str">
        <f>VLOOKUP($E906,'Product Naming'!$A$1:$P$58,15,FALSE)</f>
        <v>Oxaloacetate</v>
      </c>
      <c r="AG906" s="30" t="str">
        <f>VLOOKUP($E906,'Product Naming'!$A$1:$P$58,16,FALSE)</f>
        <v>Proton symporter</v>
      </c>
      <c r="AH906" s="3" t="str">
        <f>VLOOKUP($E906,'Product Naming'!$A$1:$Q$58,17,FALSE)</f>
        <v>succ_c</v>
      </c>
      <c r="AI906" s="1">
        <f>VLOOKUP($E906,'Product Parameters'!$A$2:$D$59,2,FALSE)</f>
        <v>1</v>
      </c>
      <c r="AJ906" s="1">
        <f>VLOOKUP($E906,'Product Parameters'!$A$2:$D$59,3,FALSE)</f>
        <v>0</v>
      </c>
      <c r="AK906" s="1">
        <f>VLOOKUP($E906,'Product Parameters'!$A$2:$D$59,4,FALSE)</f>
        <v>0.12</v>
      </c>
      <c r="AL906" s="1">
        <f>VLOOKUP($E906,'Product Parameters'!$A$2:$E$59,5,FALSE)</f>
        <v>40.65</v>
      </c>
      <c r="AM906" s="1">
        <f>VLOOKUP($E906,'Product Parameters'!$A$2:$F$59,6,FALSE)</f>
        <v>4</v>
      </c>
      <c r="AN906" s="1">
        <f>VLOOKUP($C906,'Substrate Heating'!$A$2:$C$33,3,FALSE)</f>
        <v>245.86666666666667</v>
      </c>
      <c r="AO906" s="1">
        <f>VLOOKUP($C906,'Substrate Heating'!$A$2:$B$33,2,FALSE)</f>
        <v>15.038360459876978</v>
      </c>
      <c r="AP906" s="1">
        <f>VLOOKUP($C906,'Substrate Heating'!$A$2:$M$33,13,FALSE)</f>
        <v>0.33333333333333331</v>
      </c>
      <c r="AQ906" s="1">
        <f>VLOOKUP($C906,'Substrate Heating'!$A$2:$M$33,8,FALSE)</f>
        <v>0.33333333333333331</v>
      </c>
      <c r="AR906" s="1">
        <f t="shared" si="14"/>
        <v>2.1415384615384561</v>
      </c>
    </row>
    <row r="907" spans="1:44" x14ac:dyDescent="0.2">
      <c r="A907" s="17" t="s">
        <v>323</v>
      </c>
      <c r="B907" s="18" t="s">
        <v>324</v>
      </c>
      <c r="C907" t="s">
        <v>336</v>
      </c>
      <c r="D907" s="19" t="s">
        <v>326</v>
      </c>
      <c r="E907" t="s">
        <v>240</v>
      </c>
      <c r="F907" t="s">
        <v>241</v>
      </c>
      <c r="G907">
        <v>-10</v>
      </c>
      <c r="H907">
        <v>0</v>
      </c>
      <c r="I907">
        <v>-20</v>
      </c>
      <c r="J907">
        <v>0.45</v>
      </c>
      <c r="K907">
        <v>-10</v>
      </c>
      <c r="L907">
        <v>0</v>
      </c>
      <c r="M907">
        <v>-20</v>
      </c>
      <c r="N907">
        <v>0</v>
      </c>
      <c r="O907">
        <v>2.5</v>
      </c>
      <c r="P907"/>
      <c r="Q907">
        <v>0.25</v>
      </c>
      <c r="R907" s="20">
        <v>0.430052426602756</v>
      </c>
      <c r="S907" s="1" t="str">
        <f>VLOOKUP($E907,'Product Naming'!$A$1:$P$58,2,FALSE)</f>
        <v>Isobutanol</v>
      </c>
      <c r="T907" s="1" t="str">
        <f>VLOOKUP($E907,'Product Naming'!$A$1:$P$58,3,FALSE)</f>
        <v>Isobutanol</v>
      </c>
      <c r="U907" s="1" t="str">
        <f>VLOOKUP($E907,'Product Naming'!$A$1:$P$58,4,FALSE)</f>
        <v>E</v>
      </c>
      <c r="V907" s="1" t="str">
        <f>VLOOKUP($E907,'Product Naming'!$A$1:$P$58,5,FALSE)</f>
        <v>C5H10O</v>
      </c>
      <c r="W907" s="1">
        <f>VLOOKUP($E907,'Product Naming'!$A$1:$P$58,6,FALSE)</f>
        <v>5</v>
      </c>
      <c r="X907" s="1">
        <f>VLOOKUP($E907,'Product Naming'!$A$1:$P$58,7,FALSE)</f>
        <v>10</v>
      </c>
      <c r="Y907" s="1">
        <f>VLOOKUP($E907,'Product Naming'!$A$1:$P$58,8,FALSE)</f>
        <v>1</v>
      </c>
      <c r="Z907" s="1">
        <f>VLOOKUP($E907,'Product Naming'!$A$1:$P$58,9,FALSE)</f>
        <v>0</v>
      </c>
      <c r="AA907" s="1">
        <f>VLOOKUP($E907,'Product Naming'!$A$1:$P$58,10,FALSE)</f>
        <v>0</v>
      </c>
      <c r="AB907" s="29">
        <f>VLOOKUP($E907,'Product Naming'!$A$1:$P$58,11,FALSE)</f>
        <v>5.6</v>
      </c>
      <c r="AC907" s="3">
        <f>VLOOKUP($E907,'Product Naming'!$A$1:$P$58,12,FALSE)</f>
        <v>86.130899999999997</v>
      </c>
      <c r="AD907" s="1">
        <f>VLOOKUP($E907,'Product Naming'!$A$1:$P$58,13,FALSE)</f>
        <v>108</v>
      </c>
      <c r="AE907" s="1" t="str">
        <f>VLOOKUP($E907,'Product Naming'!$A$1:$P$58,14,FALSE)</f>
        <v>Alcohol</v>
      </c>
      <c r="AF907" s="1" t="str">
        <f>VLOOKUP($E907,'Product Naming'!$A$1:$P$58,15,FALSE)</f>
        <v>Pyruvate</v>
      </c>
      <c r="AG907" s="30" t="str">
        <f>VLOOKUP($E907,'Product Naming'!$A$1:$P$58,16,FALSE)</f>
        <v>Proton symporter</v>
      </c>
      <c r="AH907" s="3" t="str">
        <f>VLOOKUP($E907,'Product Naming'!$A$1:$Q$58,17,FALSE)</f>
        <v>ibutoh_c</v>
      </c>
      <c r="AI907" s="1">
        <f>VLOOKUP($E907,'Product Parameters'!$A$2:$D$59,2,FALSE)</f>
        <v>1</v>
      </c>
      <c r="AJ907" s="1">
        <f>VLOOKUP($E907,'Product Parameters'!$A$2:$D$59,3,FALSE)</f>
        <v>0</v>
      </c>
      <c r="AK907" s="1">
        <f>VLOOKUP($E907,'Product Parameters'!$A$2:$D$59,4,FALSE)</f>
        <v>0.12</v>
      </c>
      <c r="AL907" s="1">
        <f>VLOOKUP($E907,'Product Parameters'!$A$2:$E$59,5,FALSE)</f>
        <v>51</v>
      </c>
      <c r="AM907" s="1">
        <f>VLOOKUP($E907,'Product Parameters'!$A$2:$F$59,6,FALSE)</f>
        <v>5</v>
      </c>
      <c r="AN907" s="1">
        <f>VLOOKUP($C907,'Substrate Heating'!$A$2:$C$33,3,FALSE)</f>
        <v>245.86666666666667</v>
      </c>
      <c r="AO907" s="1">
        <f>VLOOKUP($C907,'Substrate Heating'!$A$2:$B$33,2,FALSE)</f>
        <v>15.038360459876978</v>
      </c>
      <c r="AP907" s="1">
        <f>VLOOKUP($C907,'Substrate Heating'!$A$2:$M$33,13,FALSE)</f>
        <v>0.33333333333333331</v>
      </c>
      <c r="AQ907" s="1">
        <f>VLOOKUP($C907,'Substrate Heating'!$A$2:$M$33,8,FALSE)</f>
        <v>0.33333333333333331</v>
      </c>
      <c r="AR907" s="1">
        <f t="shared" si="14"/>
        <v>3.75</v>
      </c>
    </row>
    <row r="908" spans="1:44" x14ac:dyDescent="0.2">
      <c r="A908" s="8" t="s">
        <v>34</v>
      </c>
      <c r="B908" s="9" t="s">
        <v>35</v>
      </c>
      <c r="C908" s="1" t="s">
        <v>348</v>
      </c>
      <c r="D908" s="23" t="s">
        <v>338</v>
      </c>
      <c r="E908" s="1" t="s">
        <v>114</v>
      </c>
      <c r="F908" s="1" t="s">
        <v>115</v>
      </c>
      <c r="G908" s="1">
        <v>-10</v>
      </c>
      <c r="H908" s="1">
        <v>-20</v>
      </c>
      <c r="I908" s="1" t="s">
        <v>40</v>
      </c>
      <c r="J908" s="1">
        <v>3.15</v>
      </c>
      <c r="K908" s="1">
        <v>-10</v>
      </c>
      <c r="L908" s="1">
        <v>-7.9039999999999999</v>
      </c>
      <c r="M908" s="1" t="s">
        <v>40</v>
      </c>
      <c r="N908" s="1">
        <v>4.0866666666666696</v>
      </c>
      <c r="O908" s="1">
        <v>1.1826666666666701</v>
      </c>
      <c r="Q908" s="1">
        <v>0.11826666666666701</v>
      </c>
      <c r="R908" s="1">
        <v>0.43239151380551499</v>
      </c>
      <c r="S908" s="1" t="str">
        <f>VLOOKUP($E908,'Product Naming'!$A$1:$P$58,2,FALSE)</f>
        <v>5-Aminopentanoate</v>
      </c>
      <c r="T908" s="1" t="str">
        <f>VLOOKUP($E908,'Product Naming'!$A$1:$P$58,3,FALSE)</f>
        <v>5-Aminopentanoate</v>
      </c>
      <c r="U908" s="1" t="str">
        <f>VLOOKUP($E908,'Product Naming'!$A$1:$P$58,4,FALSE)</f>
        <v>A</v>
      </c>
      <c r="V908" s="1" t="str">
        <f>VLOOKUP($E908,'Product Naming'!$A$1:$P$58,5,FALSE)</f>
        <v>C5H11NO2</v>
      </c>
      <c r="W908" s="1">
        <f>VLOOKUP($E908,'Product Naming'!$A$1:$P$58,6,FALSE)</f>
        <v>5</v>
      </c>
      <c r="X908" s="1">
        <f>VLOOKUP($E908,'Product Naming'!$A$1:$P$58,7,FALSE)</f>
        <v>11</v>
      </c>
      <c r="Y908" s="1">
        <f>VLOOKUP($E908,'Product Naming'!$A$1:$P$58,8,FALSE)</f>
        <v>2</v>
      </c>
      <c r="Z908" s="1">
        <f>VLOOKUP($E908,'Product Naming'!$A$1:$P$58,9,FALSE)</f>
        <v>1</v>
      </c>
      <c r="AA908" s="1">
        <f>VLOOKUP($E908,'Product Naming'!$A$1:$P$58,10,FALSE)</f>
        <v>0</v>
      </c>
      <c r="AB908" s="29">
        <f>VLOOKUP($E908,'Product Naming'!$A$1:$P$58,11,FALSE)</f>
        <v>4.8</v>
      </c>
      <c r="AC908" s="3">
        <f>VLOOKUP($E908,'Product Naming'!$A$1:$P$58,12,FALSE)</f>
        <v>117.14444</v>
      </c>
      <c r="AD908" s="1">
        <f>VLOOKUP($E908,'Product Naming'!$A$1:$P$58,13,FALSE)</f>
        <v>247.5</v>
      </c>
      <c r="AE908" s="1" t="str">
        <f>VLOOKUP($E908,'Product Naming'!$A$1:$P$58,14,FALSE)</f>
        <v>D-Amino Acid</v>
      </c>
      <c r="AF908" s="1" t="str">
        <f>VLOOKUP($E908,'Product Naming'!$A$1:$P$58,15,FALSE)</f>
        <v>Oxaloacetate</v>
      </c>
      <c r="AG908" s="30" t="str">
        <f>VLOOKUP($E908,'Product Naming'!$A$1:$P$58,16,FALSE)</f>
        <v>Proton symporter</v>
      </c>
      <c r="AH908" s="3" t="str">
        <f>VLOOKUP($E908,'Product Naming'!$A$1:$Q$58,17,FALSE)</f>
        <v>5aptn_c</v>
      </c>
      <c r="AI908" s="1">
        <f>VLOOKUP($E908,'Product Parameters'!$A$2:$D$59,2,FALSE)</f>
        <v>1</v>
      </c>
      <c r="AJ908" s="1">
        <f>VLOOKUP($E908,'Product Parameters'!$A$2:$D$59,3,FALSE)</f>
        <v>0</v>
      </c>
      <c r="AK908" s="1">
        <f>VLOOKUP($E908,'Product Parameters'!$A$2:$D$59,4,FALSE)</f>
        <v>0.12</v>
      </c>
      <c r="AL908" s="1">
        <f>VLOOKUP($E908,'Product Parameters'!$A$2:$E$59,5,FALSE)</f>
        <v>40.65</v>
      </c>
      <c r="AM908" s="1">
        <f>VLOOKUP($E908,'Product Parameters'!$A$2:$F$59,6,FALSE)</f>
        <v>5</v>
      </c>
      <c r="AN908" s="1">
        <f>VLOOKUP($C908,'Substrate Heating'!$A$2:$C$33,3,FALSE)</f>
        <v>638.57832580000002</v>
      </c>
      <c r="AO908" s="1">
        <f>VLOOKUP($C908,'Substrate Heating'!$A$2:$B$33,2,FALSE)</f>
        <v>19.93</v>
      </c>
      <c r="AP908" s="1">
        <f>VLOOKUP($C908,'Substrate Heating'!$A$2:$M$33,13,FALSE)</f>
        <v>6</v>
      </c>
      <c r="AQ908" s="1">
        <f>VLOOKUP($C908,'Substrate Heating'!$A$2:$M$33,8,FALSE)</f>
        <v>1</v>
      </c>
      <c r="AR908" s="1">
        <f t="shared" si="14"/>
        <v>0.59133333333333504</v>
      </c>
    </row>
    <row r="909" spans="1:44" x14ac:dyDescent="0.2">
      <c r="A909" s="17" t="s">
        <v>323</v>
      </c>
      <c r="B909" s="18" t="s">
        <v>324</v>
      </c>
      <c r="C909" t="s">
        <v>325</v>
      </c>
      <c r="D909" s="19" t="s">
        <v>326</v>
      </c>
      <c r="E909" t="s">
        <v>318</v>
      </c>
      <c r="F909" t="s">
        <v>319</v>
      </c>
      <c r="G909">
        <v>-10</v>
      </c>
      <c r="H909">
        <v>0</v>
      </c>
      <c r="I909">
        <v>0</v>
      </c>
      <c r="J909">
        <v>0.45</v>
      </c>
      <c r="K909">
        <v>-10</v>
      </c>
      <c r="L909">
        <v>0</v>
      </c>
      <c r="M909">
        <v>0</v>
      </c>
      <c r="N909">
        <v>4.4780487804878097</v>
      </c>
      <c r="O909">
        <v>1.0439024390243901</v>
      </c>
      <c r="P909"/>
      <c r="Q909">
        <v>0.10439024390243901</v>
      </c>
      <c r="R909">
        <v>0.43258094652606599</v>
      </c>
      <c r="S909" s="1" t="str">
        <f>VLOOKUP($E909,'Product Naming'!$A$1:$P$58,2,FALSE)</f>
        <v>Succinate</v>
      </c>
      <c r="T909" s="1" t="str">
        <f>VLOOKUP($E909,'Product Naming'!$A$1:$P$58,3,FALSE)</f>
        <v>Succinate</v>
      </c>
      <c r="U909" s="1" t="str">
        <f>VLOOKUP($E909,'Product Naming'!$A$1:$P$58,4,FALSE)</f>
        <v>iJO1366</v>
      </c>
      <c r="V909" s="1" t="str">
        <f>VLOOKUP($E909,'Product Naming'!$A$1:$P$58,5,FALSE)</f>
        <v>C4H4O4</v>
      </c>
      <c r="W909" s="1">
        <f>VLOOKUP($E909,'Product Naming'!$A$1:$P$58,6,FALSE)</f>
        <v>4</v>
      </c>
      <c r="X909" s="1">
        <f>VLOOKUP($E909,'Product Naming'!$A$1:$P$58,7,FALSE)</f>
        <v>4</v>
      </c>
      <c r="Y909" s="1">
        <f>VLOOKUP($E909,'Product Naming'!$A$1:$P$58,8,FALSE)</f>
        <v>4</v>
      </c>
      <c r="Z909" s="1">
        <f>VLOOKUP($E909,'Product Naming'!$A$1:$P$58,9,FALSE)</f>
        <v>0</v>
      </c>
      <c r="AA909" s="1">
        <f>VLOOKUP($E909,'Product Naming'!$A$1:$P$58,10,FALSE)</f>
        <v>-2</v>
      </c>
      <c r="AB909" s="29">
        <f>VLOOKUP($E909,'Product Naming'!$A$1:$P$58,11,FALSE)</f>
        <v>3</v>
      </c>
      <c r="AC909" s="3">
        <f>VLOOKUP($E909,'Product Naming'!$A$1:$P$58,12,FALSE)</f>
        <v>116.07016</v>
      </c>
      <c r="AD909" s="1">
        <f>VLOOKUP($E909,'Product Naming'!$A$1:$P$58,13,FALSE)</f>
        <v>235</v>
      </c>
      <c r="AE909" s="1" t="str">
        <f>VLOOKUP($E909,'Product Naming'!$A$1:$P$58,14,FALSE)</f>
        <v>Dicarboxylate</v>
      </c>
      <c r="AF909" s="1" t="str">
        <f>VLOOKUP($E909,'Product Naming'!$A$1:$P$58,15,FALSE)</f>
        <v>Oxaloacetate</v>
      </c>
      <c r="AG909" s="30" t="str">
        <f>VLOOKUP($E909,'Product Naming'!$A$1:$P$58,16,FALSE)</f>
        <v>Proton symporter</v>
      </c>
      <c r="AH909" s="3" t="str">
        <f>VLOOKUP($E909,'Product Naming'!$A$1:$Q$58,17,FALSE)</f>
        <v>succ_c</v>
      </c>
      <c r="AI909" s="1">
        <f>VLOOKUP($E909,'Product Parameters'!$A$2:$D$59,2,FALSE)</f>
        <v>1</v>
      </c>
      <c r="AJ909" s="1">
        <f>VLOOKUP($E909,'Product Parameters'!$A$2:$D$59,3,FALSE)</f>
        <v>0</v>
      </c>
      <c r="AK909" s="1">
        <f>VLOOKUP($E909,'Product Parameters'!$A$2:$D$59,4,FALSE)</f>
        <v>0.12</v>
      </c>
      <c r="AL909" s="1">
        <f>VLOOKUP($E909,'Product Parameters'!$A$2:$E$59,5,FALSE)</f>
        <v>40.65</v>
      </c>
      <c r="AM909" s="1">
        <f>VLOOKUP($E909,'Product Parameters'!$A$2:$F$59,6,FALSE)</f>
        <v>4</v>
      </c>
      <c r="AN909" s="1">
        <f>VLOOKUP($C909,'Substrate Heating'!$A$2:$C$33,3,FALSE)</f>
        <v>280.09700000000004</v>
      </c>
      <c r="AO909" s="1">
        <f>VLOOKUP($C909,'Substrate Heating'!$A$2:$B$33,2,FALSE)</f>
        <v>10</v>
      </c>
      <c r="AP909" s="1">
        <f>VLOOKUP($C909,'Substrate Heating'!$A$2:$M$33,13,FALSE)</f>
        <v>2</v>
      </c>
      <c r="AQ909" s="1">
        <f>VLOOKUP($C909,'Substrate Heating'!$A$2:$M$33,8,FALSE)</f>
        <v>1</v>
      </c>
      <c r="AR909" s="1">
        <f t="shared" si="14"/>
        <v>0.41756097560975602</v>
      </c>
    </row>
    <row r="910" spans="1:44" x14ac:dyDescent="0.2">
      <c r="A910" s="8" t="s">
        <v>34</v>
      </c>
      <c r="B910" s="9" t="s">
        <v>35</v>
      </c>
      <c r="C910" s="1" t="s">
        <v>343</v>
      </c>
      <c r="D910" s="24" t="s">
        <v>342</v>
      </c>
      <c r="E910" s="1" t="s">
        <v>297</v>
      </c>
      <c r="F910" s="1" t="s">
        <v>298</v>
      </c>
      <c r="G910" s="1">
        <v>-10</v>
      </c>
      <c r="H910" s="1">
        <v>-20</v>
      </c>
      <c r="I910" s="1" t="s">
        <v>40</v>
      </c>
      <c r="J910" s="1">
        <v>3.15</v>
      </c>
      <c r="K910" s="1">
        <v>-10</v>
      </c>
      <c r="L910" s="1">
        <v>-5.3597014925373099</v>
      </c>
      <c r="M910" s="1" t="s">
        <v>40</v>
      </c>
      <c r="N910" s="1">
        <v>4.59402985074626</v>
      </c>
      <c r="O910" s="1">
        <v>4.2343283582089501</v>
      </c>
      <c r="Q910" s="1">
        <v>0.42343283582089503</v>
      </c>
      <c r="R910" s="1">
        <v>0.43270401643655398</v>
      </c>
      <c r="S910" s="1" t="str">
        <f>VLOOKUP($E910,'Product Naming'!$A$1:$P$58,2,FALSE)</f>
        <v>Phenol</v>
      </c>
      <c r="T910" s="1" t="str">
        <f>VLOOKUP($E910,'Product Naming'!$A$1:$P$58,3,FALSE)</f>
        <v>Phenol</v>
      </c>
      <c r="U910" s="1" t="str">
        <f>VLOOKUP($E910,'Product Naming'!$A$1:$P$58,4,FALSE)</f>
        <v>E-S</v>
      </c>
      <c r="V910" s="1" t="str">
        <f>VLOOKUP($E910,'Product Naming'!$A$1:$P$58,5,FALSE)</f>
        <v>C6H6O</v>
      </c>
      <c r="W910" s="1">
        <f>VLOOKUP($E910,'Product Naming'!$A$1:$P$58,6,FALSE)</f>
        <v>6</v>
      </c>
      <c r="X910" s="1">
        <f>VLOOKUP($E910,'Product Naming'!$A$1:$P$58,7,FALSE)</f>
        <v>6</v>
      </c>
      <c r="Y910" s="1">
        <f>VLOOKUP($E910,'Product Naming'!$A$1:$P$58,8,FALSE)</f>
        <v>1</v>
      </c>
      <c r="Z910" s="1">
        <f>VLOOKUP($E910,'Product Naming'!$A$1:$P$58,9,FALSE)</f>
        <v>0</v>
      </c>
      <c r="AA910" s="1">
        <f>VLOOKUP($E910,'Product Naming'!$A$1:$P$58,10,FALSE)</f>
        <v>0</v>
      </c>
      <c r="AB910" s="29">
        <f>VLOOKUP($E910,'Product Naming'!$A$1:$P$58,11,FALSE)</f>
        <v>4.666666666666667</v>
      </c>
      <c r="AC910" s="3">
        <f>VLOOKUP($E910,'Product Naming'!$A$1:$P$58,12,FALSE)</f>
        <v>94.11023999999999</v>
      </c>
      <c r="AD910" s="1">
        <f>VLOOKUP($E910,'Product Naming'!$A$1:$P$58,13,FALSE)</f>
        <v>181.7</v>
      </c>
      <c r="AE910" s="1" t="str">
        <f>VLOOKUP($E910,'Product Naming'!$A$1:$P$58,14,FALSE)</f>
        <v>Aromatic + Alcohol</v>
      </c>
      <c r="AF910" s="1" t="str">
        <f>VLOOKUP($E910,'Product Naming'!$A$1:$P$58,15,FALSE)</f>
        <v>E4P + L-glutamate</v>
      </c>
      <c r="AG910" s="30" t="str">
        <f>VLOOKUP($E910,'Product Naming'!$A$1:$P$58,16,FALSE)</f>
        <v>Proton symporter</v>
      </c>
      <c r="AH910" s="3" t="str">
        <f>VLOOKUP($E910,'Product Naming'!$A$1:$Q$58,17,FALSE)</f>
        <v>phenol_c</v>
      </c>
      <c r="AI910" s="1">
        <f>VLOOKUP($E910,'Product Parameters'!$A$2:$D$59,2,FALSE)</f>
        <v>1</v>
      </c>
      <c r="AJ910" s="1">
        <f>VLOOKUP($E910,'Product Parameters'!$A$2:$D$59,3,FALSE)</f>
        <v>0</v>
      </c>
      <c r="AK910" s="1">
        <f>VLOOKUP($E910,'Product Parameters'!$A$2:$D$59,4,FALSE)</f>
        <v>0.12</v>
      </c>
      <c r="AL910" s="1">
        <f>VLOOKUP($E910,'Product Parameters'!$A$2:$E$59,5,FALSE)</f>
        <v>58.8</v>
      </c>
      <c r="AM910" s="1">
        <f>VLOOKUP($E910,'Product Parameters'!$A$2:$F$59,6,FALSE)</f>
        <v>6</v>
      </c>
      <c r="AN910" s="1">
        <f>VLOOKUP($C910,'Substrate Heating'!$A$2:$C$33,3,FALSE)</f>
        <v>1648.4793779999998</v>
      </c>
      <c r="AO910" s="1">
        <f>VLOOKUP($C910,'Substrate Heating'!$A$2:$B$33,2,FALSE)</f>
        <v>17.899999999999999</v>
      </c>
      <c r="AP910" s="1">
        <f>VLOOKUP($C910,'Substrate Heating'!$A$2:$M$33,13,FALSE)</f>
        <v>4.666666666666667</v>
      </c>
      <c r="AQ910" s="1">
        <f>VLOOKUP($C910,'Substrate Heating'!$A$2:$M$33,8,FALSE)</f>
        <v>3</v>
      </c>
      <c r="AR910" s="1">
        <f t="shared" si="14"/>
        <v>0.84686567164179005</v>
      </c>
    </row>
    <row r="911" spans="1:44" x14ac:dyDescent="0.2">
      <c r="A911" s="8" t="s">
        <v>34</v>
      </c>
      <c r="B911" s="9" t="s">
        <v>35</v>
      </c>
      <c r="C911" s="1" t="s">
        <v>36</v>
      </c>
      <c r="D911" s="10" t="s">
        <v>37</v>
      </c>
      <c r="E911" s="1" t="s">
        <v>158</v>
      </c>
      <c r="F911" s="1" t="s">
        <v>159</v>
      </c>
      <c r="G911" s="1">
        <v>-10</v>
      </c>
      <c r="H911" s="1">
        <v>-20</v>
      </c>
      <c r="I911" s="1" t="s">
        <v>40</v>
      </c>
      <c r="J911" s="1">
        <v>3.15</v>
      </c>
      <c r="K911" s="1">
        <v>-10</v>
      </c>
      <c r="L911" s="1">
        <v>-3.67767857142857</v>
      </c>
      <c r="M911" s="1" t="s">
        <v>40</v>
      </c>
      <c r="N911" s="1">
        <v>6.8785714285714397</v>
      </c>
      <c r="O911" s="1">
        <v>3.2803571428571399</v>
      </c>
      <c r="Q911" s="1">
        <v>0.32803571428571399</v>
      </c>
      <c r="R911" s="1">
        <v>0.43280516731097401</v>
      </c>
      <c r="S911" s="1" t="str">
        <f>VLOOKUP($E911,'Product Naming'!$A$1:$P$58,2,FALSE)</f>
        <v>Butane</v>
      </c>
      <c r="T911" s="1" t="str">
        <f>VLOOKUP($E911,'Product Naming'!$A$1:$P$58,3,FALSE)</f>
        <v>Butane</v>
      </c>
      <c r="U911" s="1" t="str">
        <f>VLOOKUP($E911,'Product Naming'!$A$1:$P$58,4,FALSE)</f>
        <v>E</v>
      </c>
      <c r="V911" s="1" t="str">
        <f>VLOOKUP($E911,'Product Naming'!$A$1:$P$58,5,FALSE)</f>
        <v>C4H10</v>
      </c>
      <c r="W911" s="1">
        <f>VLOOKUP($E911,'Product Naming'!$A$1:$P$58,6,FALSE)</f>
        <v>4</v>
      </c>
      <c r="X911" s="1">
        <f>VLOOKUP($E911,'Product Naming'!$A$1:$P$58,7,FALSE)</f>
        <v>10</v>
      </c>
      <c r="Y911" s="1">
        <f>VLOOKUP($E911,'Product Naming'!$A$1:$P$58,8,FALSE)</f>
        <v>0</v>
      </c>
      <c r="Z911" s="1">
        <f>VLOOKUP($E911,'Product Naming'!$A$1:$P$58,9,FALSE)</f>
        <v>0</v>
      </c>
      <c r="AA911" s="1">
        <f>VLOOKUP($E911,'Product Naming'!$A$1:$P$58,10,FALSE)</f>
        <v>0</v>
      </c>
      <c r="AB911" s="29">
        <f>VLOOKUP($E911,'Product Naming'!$A$1:$P$58,11,FALSE)</f>
        <v>6.5</v>
      </c>
      <c r="AC911" s="3">
        <f>VLOOKUP($E911,'Product Naming'!$A$1:$P$58,12,FALSE)</f>
        <v>58.121200000000002</v>
      </c>
      <c r="AD911" s="1">
        <f>VLOOKUP($E911,'Product Naming'!$A$1:$P$58,13,FALSE)</f>
        <v>-1</v>
      </c>
      <c r="AE911" s="1" t="str">
        <f>VLOOKUP($E911,'Product Naming'!$A$1:$P$58,14,FALSE)</f>
        <v>Hydrocarbon (alkane)</v>
      </c>
      <c r="AF911" s="1" t="str">
        <f>VLOOKUP($E911,'Product Naming'!$A$1:$P$58,15,FALSE)</f>
        <v>Acetyl-CoA + Succinyl-CoA</v>
      </c>
      <c r="AG911" s="30" t="str">
        <f>VLOOKUP($E911,'Product Naming'!$A$1:$P$58,16,FALSE)</f>
        <v>Diffusion</v>
      </c>
      <c r="AH911" s="3" t="str">
        <f>VLOOKUP($E911,'Product Naming'!$A$1:$Q$58,17,FALSE)</f>
        <v>butn_c</v>
      </c>
      <c r="AI911" s="1">
        <f>VLOOKUP($E911,'Product Parameters'!$A$2:$D$59,2,FALSE)</f>
        <v>0</v>
      </c>
      <c r="AJ911" s="1">
        <f>VLOOKUP($E911,'Product Parameters'!$A$2:$D$59,3,FALSE)</f>
        <v>1</v>
      </c>
      <c r="AK911" s="1">
        <f>VLOOKUP($E911,'Product Parameters'!$A$2:$D$59,4,FALSE)</f>
        <v>0.12</v>
      </c>
      <c r="AL911" s="1">
        <f>VLOOKUP($E911,'Product Parameters'!$A$2:$E$59,5,FALSE)</f>
        <v>0</v>
      </c>
      <c r="AM911" s="1">
        <f>VLOOKUP($E911,'Product Parameters'!$A$2:$F$59,6,FALSE)</f>
        <v>4</v>
      </c>
      <c r="AN911" s="1">
        <f>VLOOKUP($C911,'Substrate Heating'!$A$2:$C$33,3,FALSE)</f>
        <v>1064.1143145599999</v>
      </c>
      <c r="AO911" s="1">
        <f>VLOOKUP($C911,'Substrate Heating'!$A$2:$B$33,2,FALSE)</f>
        <v>24.155999999999999</v>
      </c>
      <c r="AP911" s="1">
        <f>VLOOKUP($C911,'Substrate Heating'!$A$2:$M$33,13,FALSE)</f>
        <v>5</v>
      </c>
      <c r="AQ911" s="1">
        <f>VLOOKUP($C911,'Substrate Heating'!$A$2:$M$33,8,FALSE)</f>
        <v>2</v>
      </c>
      <c r="AR911" s="1">
        <f t="shared" si="14"/>
        <v>0.65607142857142797</v>
      </c>
    </row>
    <row r="912" spans="1:44" x14ac:dyDescent="0.2">
      <c r="A912" s="8" t="s">
        <v>34</v>
      </c>
      <c r="B912" s="9" t="s">
        <v>35</v>
      </c>
      <c r="C912" s="1" t="s">
        <v>341</v>
      </c>
      <c r="D912" s="24" t="s">
        <v>342</v>
      </c>
      <c r="E912" s="1" t="s">
        <v>251</v>
      </c>
      <c r="F912" s="1" t="s">
        <v>252</v>
      </c>
      <c r="G912" s="1">
        <v>-10</v>
      </c>
      <c r="H912" s="1">
        <v>-20</v>
      </c>
      <c r="I912" s="1" t="s">
        <v>40</v>
      </c>
      <c r="J912" s="1">
        <v>3.15</v>
      </c>
      <c r="K912" s="1">
        <v>-10</v>
      </c>
      <c r="L912" s="1">
        <v>-1.60636363636364</v>
      </c>
      <c r="M912" s="1" t="s">
        <v>40</v>
      </c>
      <c r="N912" s="1">
        <v>21.070909090909101</v>
      </c>
      <c r="O912" s="1">
        <v>12.976363636363599</v>
      </c>
      <c r="Q912" s="1">
        <v>1.2976363636363599</v>
      </c>
      <c r="R912" s="1">
        <v>0.43285561560374503</v>
      </c>
      <c r="S912" s="1" t="str">
        <f>VLOOKUP($E912,'Product Naming'!$A$1:$P$58,2,FALSE)</f>
        <v>Isopropanol</v>
      </c>
      <c r="T912" s="1" t="str">
        <f>VLOOKUP($E912,'Product Naming'!$A$1:$P$58,3,FALSE)</f>
        <v>Isopropanol</v>
      </c>
      <c r="U912" s="1" t="str">
        <f>VLOOKUP($E912,'Product Naming'!$A$1:$P$58,4,FALSE)</f>
        <v>A</v>
      </c>
      <c r="V912" s="1" t="str">
        <f>VLOOKUP($E912,'Product Naming'!$A$1:$P$58,5,FALSE)</f>
        <v>C3H8O</v>
      </c>
      <c r="W912" s="1">
        <f>VLOOKUP($E912,'Product Naming'!$A$1:$P$58,6,FALSE)</f>
        <v>3</v>
      </c>
      <c r="X912" s="1">
        <f>VLOOKUP($E912,'Product Naming'!$A$1:$P$58,7,FALSE)</f>
        <v>8</v>
      </c>
      <c r="Y912" s="1">
        <f>VLOOKUP($E912,'Product Naming'!$A$1:$P$58,8,FALSE)</f>
        <v>1</v>
      </c>
      <c r="Z912" s="1">
        <f>VLOOKUP($E912,'Product Naming'!$A$1:$P$58,9,FALSE)</f>
        <v>0</v>
      </c>
      <c r="AA912" s="1">
        <f>VLOOKUP($E912,'Product Naming'!$A$1:$P$58,10,FALSE)</f>
        <v>0</v>
      </c>
      <c r="AB912" s="29">
        <f>VLOOKUP($E912,'Product Naming'!$A$1:$P$58,11,FALSE)</f>
        <v>6</v>
      </c>
      <c r="AC912" s="3">
        <f>VLOOKUP($E912,'Product Naming'!$A$1:$P$58,12,FALSE)</f>
        <v>60.093820000000001</v>
      </c>
      <c r="AD912" s="1">
        <f>VLOOKUP($E912,'Product Naming'!$A$1:$P$58,13,FALSE)</f>
        <v>82.5</v>
      </c>
      <c r="AE912" s="1" t="str">
        <f>VLOOKUP($E912,'Product Naming'!$A$1:$P$58,14,FALSE)</f>
        <v>Alcohol</v>
      </c>
      <c r="AF912" s="1" t="str">
        <f>VLOOKUP($E912,'Product Naming'!$A$1:$P$58,15,FALSE)</f>
        <v>Acetyl-CoA</v>
      </c>
      <c r="AG912" s="30" t="str">
        <f>VLOOKUP($E912,'Product Naming'!$A$1:$P$58,16,FALSE)</f>
        <v>Proton symporter</v>
      </c>
      <c r="AH912" s="3" t="str">
        <f>VLOOKUP($E912,'Product Naming'!$A$1:$Q$58,17,FALSE)</f>
        <v>2ppoh_c</v>
      </c>
      <c r="AI912" s="1">
        <f>VLOOKUP($E912,'Product Parameters'!$A$2:$D$59,2,FALSE)</f>
        <v>1</v>
      </c>
      <c r="AJ912" s="1">
        <f>VLOOKUP($E912,'Product Parameters'!$A$2:$D$59,3,FALSE)</f>
        <v>0</v>
      </c>
      <c r="AK912" s="1">
        <f>VLOOKUP($E912,'Product Parameters'!$A$2:$D$59,4,FALSE)</f>
        <v>0.12</v>
      </c>
      <c r="AL912" s="1">
        <f>VLOOKUP($E912,'Product Parameters'!$A$2:$E$59,5,FALSE)</f>
        <v>45</v>
      </c>
      <c r="AM912" s="1">
        <f>VLOOKUP($E912,'Product Parameters'!$A$2:$F$59,6,FALSE)</f>
        <v>3</v>
      </c>
      <c r="AN912" s="1">
        <f>VLOOKUP($C912,'Substrate Heating'!$A$2:$C$33,3,FALSE)</f>
        <v>2828.4492</v>
      </c>
      <c r="AO912" s="1">
        <f>VLOOKUP($C912,'Substrate Heating'!$A$2:$B$33,2,FALSE)</f>
        <v>15.7</v>
      </c>
      <c r="AP912" s="1">
        <f>VLOOKUP($C912,'Substrate Heating'!$A$2:$M$33,13,FALSE)</f>
        <v>4</v>
      </c>
      <c r="AQ912" s="1">
        <f>VLOOKUP($C912,'Substrate Heating'!$A$2:$M$33,8,FALSE)</f>
        <v>6</v>
      </c>
      <c r="AR912" s="1">
        <f t="shared" si="14"/>
        <v>0.64881818181817996</v>
      </c>
    </row>
    <row r="913" spans="1:44" x14ac:dyDescent="0.2">
      <c r="A913" s="8" t="s">
        <v>34</v>
      </c>
      <c r="B913" s="9" t="s">
        <v>35</v>
      </c>
      <c r="C913" s="1" t="s">
        <v>345</v>
      </c>
      <c r="D913" s="10" t="s">
        <v>37</v>
      </c>
      <c r="E913" s="1" t="s">
        <v>175</v>
      </c>
      <c r="F913" s="1" t="s">
        <v>176</v>
      </c>
      <c r="G913" s="1">
        <v>-10</v>
      </c>
      <c r="H913" s="1">
        <v>-20</v>
      </c>
      <c r="I913" s="1" t="s">
        <v>40</v>
      </c>
      <c r="J913" s="1">
        <v>3.15</v>
      </c>
      <c r="K913" s="1">
        <v>-10</v>
      </c>
      <c r="L913" s="1">
        <v>-4.6172413793103502</v>
      </c>
      <c r="M913" s="1" t="s">
        <v>40</v>
      </c>
      <c r="N913" s="1">
        <v>5.8005305039787798</v>
      </c>
      <c r="O913" s="1">
        <v>2.3665782493368699</v>
      </c>
      <c r="Q913" s="1">
        <v>0.23665782493368701</v>
      </c>
      <c r="R913" s="1">
        <v>0.43392748357259198</v>
      </c>
      <c r="S913" s="1" t="str">
        <f>VLOOKUP($E913,'Product Naming'!$A$1:$P$58,2,FALSE)</f>
        <v>Catechol</v>
      </c>
      <c r="T913" s="1" t="str">
        <f>VLOOKUP($E913,'Product Naming'!$A$1:$P$58,3,FALSE)</f>
        <v>Catechol</v>
      </c>
      <c r="U913" s="1" t="str">
        <f>VLOOKUP($E913,'Product Naming'!$A$1:$P$58,4,FALSE)</f>
        <v>E</v>
      </c>
      <c r="V913" s="1" t="str">
        <f>VLOOKUP($E913,'Product Naming'!$A$1:$P$58,5,FALSE)</f>
        <v>C6H6O2</v>
      </c>
      <c r="W913" s="1">
        <f>VLOOKUP($E913,'Product Naming'!$A$1:$P$58,6,FALSE)</f>
        <v>6</v>
      </c>
      <c r="X913" s="1">
        <f>VLOOKUP($E913,'Product Naming'!$A$1:$P$58,7,FALSE)</f>
        <v>6</v>
      </c>
      <c r="Y913" s="1">
        <f>VLOOKUP($E913,'Product Naming'!$A$1:$P$58,8,FALSE)</f>
        <v>2</v>
      </c>
      <c r="Z913" s="1">
        <f>VLOOKUP($E913,'Product Naming'!$A$1:$P$58,9,FALSE)</f>
        <v>0</v>
      </c>
      <c r="AA913" s="1">
        <f>VLOOKUP($E913,'Product Naming'!$A$1:$P$58,10,FALSE)</f>
        <v>0</v>
      </c>
      <c r="AB913" s="29">
        <f>VLOOKUP($E913,'Product Naming'!$A$1:$P$58,11,FALSE)</f>
        <v>4.333333333333333</v>
      </c>
      <c r="AC913" s="3">
        <f>VLOOKUP($E913,'Product Naming'!$A$1:$P$58,12,FALSE)</f>
        <v>110.10924</v>
      </c>
      <c r="AD913" s="1">
        <f>VLOOKUP($E913,'Product Naming'!$A$1:$P$58,13,FALSE)</f>
        <v>245</v>
      </c>
      <c r="AE913" s="1" t="str">
        <f>VLOOKUP($E913,'Product Naming'!$A$1:$P$58,14,FALSE)</f>
        <v>Aromatic + Diol</v>
      </c>
      <c r="AF913" s="1" t="str">
        <f>VLOOKUP($E913,'Product Naming'!$A$1:$P$58,15,FALSE)</f>
        <v>Glyceraldehyde 3-P</v>
      </c>
      <c r="AG913" s="30" t="str">
        <f>VLOOKUP($E913,'Product Naming'!$A$1:$P$58,16,FALSE)</f>
        <v>Proton symporter</v>
      </c>
      <c r="AH913" s="3" t="str">
        <f>VLOOKUP($E913,'Product Naming'!$A$1:$Q$58,17,FALSE)</f>
        <v>catechol_c</v>
      </c>
      <c r="AI913" s="1">
        <f>VLOOKUP($E913,'Product Parameters'!$A$2:$D$59,2,FALSE)</f>
        <v>1</v>
      </c>
      <c r="AJ913" s="1">
        <f>VLOOKUP($E913,'Product Parameters'!$A$2:$D$59,3,FALSE)</f>
        <v>0</v>
      </c>
      <c r="AK913" s="1">
        <f>VLOOKUP($E913,'Product Parameters'!$A$2:$D$59,4,FALSE)</f>
        <v>0.12</v>
      </c>
      <c r="AL913" s="1">
        <f>VLOOKUP($E913,'Product Parameters'!$A$2:$E$59,5,FALSE)</f>
        <v>40.65</v>
      </c>
      <c r="AM913" s="1">
        <f>VLOOKUP($E913,'Product Parameters'!$A$2:$F$59,6,FALSE)</f>
        <v>6</v>
      </c>
      <c r="AN913" s="1">
        <f>VLOOKUP($C913,'Substrate Heating'!$A$2:$C$33,3,FALSE)</f>
        <v>1020.8629199999999</v>
      </c>
      <c r="AO913" s="1">
        <f>VLOOKUP($C913,'Substrate Heating'!$A$2:$B$33,2,FALSE)</f>
        <v>17</v>
      </c>
      <c r="AP913" s="1">
        <f>VLOOKUP($C913,'Substrate Heating'!$A$2:$M$33,13,FALSE)</f>
        <v>4</v>
      </c>
      <c r="AQ913" s="1">
        <f>VLOOKUP($C913,'Substrate Heating'!$A$2:$M$33,8,FALSE)</f>
        <v>2</v>
      </c>
      <c r="AR913" s="1">
        <f t="shared" si="14"/>
        <v>0.70997347480106099</v>
      </c>
    </row>
    <row r="914" spans="1:44" x14ac:dyDescent="0.2">
      <c r="A914" s="8" t="s">
        <v>34</v>
      </c>
      <c r="B914" s="9" t="s">
        <v>35</v>
      </c>
      <c r="C914" s="1" t="s">
        <v>344</v>
      </c>
      <c r="D914" s="10" t="s">
        <v>37</v>
      </c>
      <c r="E914" s="1" t="s">
        <v>244</v>
      </c>
      <c r="F914" s="1" t="s">
        <v>245</v>
      </c>
      <c r="G914" s="1">
        <v>-10</v>
      </c>
      <c r="H914" s="1">
        <v>-20</v>
      </c>
      <c r="I914" s="1" t="s">
        <v>40</v>
      </c>
      <c r="J914" s="1">
        <v>3.15</v>
      </c>
      <c r="K914" s="1">
        <v>-10</v>
      </c>
      <c r="L914" s="1">
        <v>-5.0238095238095299</v>
      </c>
      <c r="M914" s="1" t="s">
        <v>40</v>
      </c>
      <c r="N914" s="1">
        <v>8.0190476190476296</v>
      </c>
      <c r="O914" s="1">
        <v>2.9952380952381001</v>
      </c>
      <c r="Q914" s="1">
        <v>0.29952380952381003</v>
      </c>
      <c r="R914" s="1">
        <v>0.43441067519261101</v>
      </c>
      <c r="S914" s="1" t="str">
        <f>VLOOKUP($E914,'Product Naming'!$A$1:$P$58,2,FALSE)</f>
        <v>Isobutyrate</v>
      </c>
      <c r="T914" s="1" t="str">
        <f>VLOOKUP($E914,'Product Naming'!$A$1:$P$58,3,FALSE)</f>
        <v>Isobutyrate</v>
      </c>
      <c r="U914" s="1" t="str">
        <f>VLOOKUP($E914,'Product Naming'!$A$1:$P$58,4,FALSE)</f>
        <v>A</v>
      </c>
      <c r="V914" s="1" t="str">
        <f>VLOOKUP($E914,'Product Naming'!$A$1:$P$58,5,FALSE)</f>
        <v>C4H7O2</v>
      </c>
      <c r="W914" s="1">
        <f>VLOOKUP($E914,'Product Naming'!$A$1:$P$58,6,FALSE)</f>
        <v>4</v>
      </c>
      <c r="X914" s="1">
        <f>VLOOKUP($E914,'Product Naming'!$A$1:$P$58,7,FALSE)</f>
        <v>7</v>
      </c>
      <c r="Y914" s="1">
        <f>VLOOKUP($E914,'Product Naming'!$A$1:$P$58,8,FALSE)</f>
        <v>2</v>
      </c>
      <c r="Z914" s="1">
        <f>VLOOKUP($E914,'Product Naming'!$A$1:$P$58,9,FALSE)</f>
        <v>0</v>
      </c>
      <c r="AA914" s="1">
        <f>VLOOKUP($E914,'Product Naming'!$A$1:$P$58,10,FALSE)</f>
        <v>-1</v>
      </c>
      <c r="AB914" s="29">
        <f>VLOOKUP($E914,'Product Naming'!$A$1:$P$58,11,FALSE)</f>
        <v>4.75</v>
      </c>
      <c r="AC914" s="3">
        <f>VLOOKUP($E914,'Product Naming'!$A$1:$P$58,12,FALSE)</f>
        <v>87.095680000000002</v>
      </c>
      <c r="AD914" s="1">
        <f>VLOOKUP($E914,'Product Naming'!$A$1:$P$58,13,FALSE)</f>
        <v>155</v>
      </c>
      <c r="AE914" s="1" t="str">
        <f>VLOOKUP($E914,'Product Naming'!$A$1:$P$58,14,FALSE)</f>
        <v>Carboxylate</v>
      </c>
      <c r="AF914" s="1" t="str">
        <f>VLOOKUP($E914,'Product Naming'!$A$1:$P$58,15,FALSE)</f>
        <v>Pyruvate</v>
      </c>
      <c r="AG914" s="30" t="str">
        <f>VLOOKUP($E914,'Product Naming'!$A$1:$P$58,16,FALSE)</f>
        <v>Proton symporter</v>
      </c>
      <c r="AH914" s="3" t="str">
        <f>VLOOKUP($E914,'Product Naming'!$A$1:$Q$58,17,FALSE)</f>
        <v>ibt_c</v>
      </c>
      <c r="AI914" s="1">
        <f>VLOOKUP($E914,'Product Parameters'!$A$2:$D$59,2,FALSE)</f>
        <v>1</v>
      </c>
      <c r="AJ914" s="1">
        <f>VLOOKUP($E914,'Product Parameters'!$A$2:$D$59,3,FALSE)</f>
        <v>0</v>
      </c>
      <c r="AK914" s="1">
        <f>VLOOKUP($E914,'Product Parameters'!$A$2:$D$59,4,FALSE)</f>
        <v>0.12</v>
      </c>
      <c r="AL914" s="1">
        <f>VLOOKUP($E914,'Product Parameters'!$A$2:$E$59,5,FALSE)</f>
        <v>44.5</v>
      </c>
      <c r="AM914" s="1">
        <f>VLOOKUP($E914,'Product Parameters'!$A$2:$F$59,6,FALSE)</f>
        <v>4</v>
      </c>
      <c r="AN914" s="1">
        <f>VLOOKUP($C914,'Substrate Heating'!$A$2:$C$33,3,FALSE)</f>
        <v>1020.8629199999999</v>
      </c>
      <c r="AO914" s="1">
        <f>VLOOKUP($C914,'Substrate Heating'!$A$2:$B$33,2,FALSE)</f>
        <v>17</v>
      </c>
      <c r="AP914" s="1">
        <f>VLOOKUP($C914,'Substrate Heating'!$A$2:$M$33,13,FALSE)</f>
        <v>4</v>
      </c>
      <c r="AQ914" s="1">
        <f>VLOOKUP($C914,'Substrate Heating'!$A$2:$M$33,8,FALSE)</f>
        <v>2</v>
      </c>
      <c r="AR914" s="1">
        <f t="shared" si="14"/>
        <v>0.59904761904762005</v>
      </c>
    </row>
    <row r="915" spans="1:44" x14ac:dyDescent="0.2">
      <c r="A915" s="8" t="s">
        <v>34</v>
      </c>
      <c r="B915" s="9" t="s">
        <v>35</v>
      </c>
      <c r="C915" s="1" t="s">
        <v>344</v>
      </c>
      <c r="D915" s="10" t="s">
        <v>37</v>
      </c>
      <c r="E915" s="1" t="s">
        <v>171</v>
      </c>
      <c r="F915" s="1" t="s">
        <v>172</v>
      </c>
      <c r="G915" s="1">
        <v>-10</v>
      </c>
      <c r="H915" s="1">
        <v>-20</v>
      </c>
      <c r="I915" s="1" t="s">
        <v>40</v>
      </c>
      <c r="J915" s="1">
        <v>3.15</v>
      </c>
      <c r="K915" s="1">
        <v>-10</v>
      </c>
      <c r="L915" s="1">
        <v>-5</v>
      </c>
      <c r="M915" s="1" t="s">
        <v>40</v>
      </c>
      <c r="N915" s="1">
        <v>8.0000000000000107</v>
      </c>
      <c r="O915" s="1">
        <v>3.0000000000000102</v>
      </c>
      <c r="Q915" s="1">
        <v>0.30000000000000099</v>
      </c>
      <c r="R915" s="1">
        <v>0.43510131219609799</v>
      </c>
      <c r="S915" s="1" t="str">
        <f>VLOOKUP($E915,'Product Naming'!$A$1:$P$58,2,FALSE)</f>
        <v>Butyrate</v>
      </c>
      <c r="T915" s="1" t="str">
        <f>VLOOKUP($E915,'Product Naming'!$A$1:$P$58,3,FALSE)</f>
        <v>Butyrate</v>
      </c>
      <c r="U915" s="1" t="str">
        <f>VLOOKUP($E915,'Product Naming'!$A$1:$P$58,4,FALSE)</f>
        <v>A</v>
      </c>
      <c r="V915" s="1" t="str">
        <f>VLOOKUP($E915,'Product Naming'!$A$1:$P$58,5,FALSE)</f>
        <v>C4H7O2</v>
      </c>
      <c r="W915" s="1">
        <f>VLOOKUP($E915,'Product Naming'!$A$1:$P$58,6,FALSE)</f>
        <v>4</v>
      </c>
      <c r="X915" s="1">
        <f>VLOOKUP($E915,'Product Naming'!$A$1:$P$58,7,FALSE)</f>
        <v>7</v>
      </c>
      <c r="Y915" s="1">
        <f>VLOOKUP($E915,'Product Naming'!$A$1:$P$58,8,FALSE)</f>
        <v>2</v>
      </c>
      <c r="Z915" s="1">
        <f>VLOOKUP($E915,'Product Naming'!$A$1:$P$58,9,FALSE)</f>
        <v>0</v>
      </c>
      <c r="AA915" s="1">
        <f>VLOOKUP($E915,'Product Naming'!$A$1:$P$58,10,FALSE)</f>
        <v>-1</v>
      </c>
      <c r="AB915" s="29">
        <f>VLOOKUP($E915,'Product Naming'!$A$1:$P$58,11,FALSE)</f>
        <v>4.75</v>
      </c>
      <c r="AC915" s="3">
        <f>VLOOKUP($E915,'Product Naming'!$A$1:$P$58,12,FALSE)</f>
        <v>87.095680000000002</v>
      </c>
      <c r="AD915" s="1">
        <f>VLOOKUP($E915,'Product Naming'!$A$1:$P$58,13,FALSE)</f>
        <v>163.5</v>
      </c>
      <c r="AE915" s="1" t="str">
        <f>VLOOKUP($E915,'Product Naming'!$A$1:$P$58,14,FALSE)</f>
        <v>Carboxylate</v>
      </c>
      <c r="AF915" s="1" t="str">
        <f>VLOOKUP($E915,'Product Naming'!$A$1:$P$58,15,FALSE)</f>
        <v>Acetyl-CoA</v>
      </c>
      <c r="AG915" s="30" t="str">
        <f>VLOOKUP($E915,'Product Naming'!$A$1:$P$58,16,FALSE)</f>
        <v>Proton symporter</v>
      </c>
      <c r="AH915" s="3" t="str">
        <f>VLOOKUP($E915,'Product Naming'!$A$1:$Q$58,17,FALSE)</f>
        <v>but_c</v>
      </c>
      <c r="AI915" s="1">
        <f>VLOOKUP($E915,'Product Parameters'!$A$2:$D$59,2,FALSE)</f>
        <v>1</v>
      </c>
      <c r="AJ915" s="1">
        <f>VLOOKUP($E915,'Product Parameters'!$A$2:$D$59,3,FALSE)</f>
        <v>0</v>
      </c>
      <c r="AK915" s="1">
        <f>VLOOKUP($E915,'Product Parameters'!$A$2:$D$59,4,FALSE)</f>
        <v>0.12</v>
      </c>
      <c r="AL915" s="1">
        <f>VLOOKUP($E915,'Product Parameters'!$A$2:$E$59,5,FALSE)</f>
        <v>42</v>
      </c>
      <c r="AM915" s="1">
        <f>VLOOKUP($E915,'Product Parameters'!$A$2:$F$59,6,FALSE)</f>
        <v>4</v>
      </c>
      <c r="AN915" s="1">
        <f>VLOOKUP($C915,'Substrate Heating'!$A$2:$C$33,3,FALSE)</f>
        <v>1020.8629199999999</v>
      </c>
      <c r="AO915" s="1">
        <f>VLOOKUP($C915,'Substrate Heating'!$A$2:$B$33,2,FALSE)</f>
        <v>17</v>
      </c>
      <c r="AP915" s="1">
        <f>VLOOKUP($C915,'Substrate Heating'!$A$2:$M$33,13,FALSE)</f>
        <v>4</v>
      </c>
      <c r="AQ915" s="1">
        <f>VLOOKUP($C915,'Substrate Heating'!$A$2:$M$33,8,FALSE)</f>
        <v>2</v>
      </c>
      <c r="AR915" s="1">
        <f t="shared" si="14"/>
        <v>0.60000000000000198</v>
      </c>
    </row>
    <row r="916" spans="1:44" x14ac:dyDescent="0.2">
      <c r="A916" s="8" t="s">
        <v>34</v>
      </c>
      <c r="B916" s="9" t="s">
        <v>35</v>
      </c>
      <c r="C916" s="1" t="s">
        <v>322</v>
      </c>
      <c r="D916" s="10" t="s">
        <v>37</v>
      </c>
      <c r="E916" s="1" t="s">
        <v>132</v>
      </c>
      <c r="F916" s="1" t="s">
        <v>133</v>
      </c>
      <c r="G916" s="1">
        <v>-10</v>
      </c>
      <c r="H916" s="1">
        <v>-20</v>
      </c>
      <c r="I916" s="1" t="s">
        <v>40</v>
      </c>
      <c r="J916" s="1">
        <v>3.15</v>
      </c>
      <c r="K916" s="1">
        <v>-10</v>
      </c>
      <c r="L916" s="1">
        <v>-8.3392947103274597</v>
      </c>
      <c r="M916" s="1" t="s">
        <v>40</v>
      </c>
      <c r="N916" s="1">
        <v>9.2362720403022909</v>
      </c>
      <c r="O916" s="1">
        <v>1.7939546599496199</v>
      </c>
      <c r="Q916" s="1">
        <v>0.17939546599496201</v>
      </c>
      <c r="R916" s="1">
        <v>0.43790175678903898</v>
      </c>
      <c r="S916" s="1" t="str">
        <f>VLOOKUP($E916,'Product Naming'!$A$1:$P$58,2,FALSE)</f>
        <v>Adipate</v>
      </c>
      <c r="T916" s="1" t="str">
        <f>VLOOKUP($E916,'Product Naming'!$A$1:$P$58,3,FALSE)</f>
        <v>Adipate</v>
      </c>
      <c r="U916" s="1" t="str">
        <f>VLOOKUP($E916,'Product Naming'!$A$1:$P$58,4,FALSE)</f>
        <v>E</v>
      </c>
      <c r="V916" s="1" t="str">
        <f>VLOOKUP($E916,'Product Naming'!$A$1:$P$58,5,FALSE)</f>
        <v>C6H8O4</v>
      </c>
      <c r="W916" s="1">
        <f>VLOOKUP($E916,'Product Naming'!$A$1:$P$58,6,FALSE)</f>
        <v>6</v>
      </c>
      <c r="X916" s="1">
        <f>VLOOKUP($E916,'Product Naming'!$A$1:$P$58,7,FALSE)</f>
        <v>8</v>
      </c>
      <c r="Y916" s="1">
        <f>VLOOKUP($E916,'Product Naming'!$A$1:$P$58,8,FALSE)</f>
        <v>4</v>
      </c>
      <c r="Z916" s="1">
        <f>VLOOKUP($E916,'Product Naming'!$A$1:$P$58,9,FALSE)</f>
        <v>0</v>
      </c>
      <c r="AA916" s="1">
        <f>VLOOKUP($E916,'Product Naming'!$A$1:$P$58,10,FALSE)</f>
        <v>-2</v>
      </c>
      <c r="AB916" s="29">
        <f>VLOOKUP($E916,'Product Naming'!$A$1:$P$58,11,FALSE)</f>
        <v>4</v>
      </c>
      <c r="AC916" s="3">
        <f>VLOOKUP($E916,'Product Naming'!$A$1:$P$58,12,FALSE)</f>
        <v>144.12291999999999</v>
      </c>
      <c r="AD916" s="1">
        <f>VLOOKUP($E916,'Product Naming'!$A$1:$P$58,13,FALSE)</f>
        <v>337.5</v>
      </c>
      <c r="AE916" s="1" t="str">
        <f>VLOOKUP($E916,'Product Naming'!$A$1:$P$58,14,FALSE)</f>
        <v>Dicarboxylate</v>
      </c>
      <c r="AF916" s="1" t="str">
        <f>VLOOKUP($E916,'Product Naming'!$A$1:$P$58,15,FALSE)</f>
        <v>Glyceraldehyde 3-P</v>
      </c>
      <c r="AG916" s="30" t="str">
        <f>VLOOKUP($E916,'Product Naming'!$A$1:$P$58,16,FALSE)</f>
        <v>Proton symporter</v>
      </c>
      <c r="AH916" s="3" t="str">
        <f>VLOOKUP($E916,'Product Naming'!$A$1:$Q$58,17,FALSE)</f>
        <v>adpac_c</v>
      </c>
      <c r="AI916" s="1">
        <f>VLOOKUP($E916,'Product Parameters'!$A$2:$D$59,2,FALSE)</f>
        <v>1</v>
      </c>
      <c r="AJ916" s="1">
        <f>VLOOKUP($E916,'Product Parameters'!$A$2:$D$59,3,FALSE)</f>
        <v>0</v>
      </c>
      <c r="AK916" s="1">
        <f>VLOOKUP($E916,'Product Parameters'!$A$2:$D$59,4,FALSE)</f>
        <v>0.12</v>
      </c>
      <c r="AL916" s="1">
        <f>VLOOKUP($E916,'Product Parameters'!$A$2:$E$59,5,FALSE)</f>
        <v>40.65</v>
      </c>
      <c r="AM916" s="1">
        <f>VLOOKUP($E916,'Product Parameters'!$A$2:$F$59,6,FALSE)</f>
        <v>6</v>
      </c>
      <c r="AN916" s="1">
        <f>VLOOKUP($C916,'Substrate Heating'!$A$2:$C$33,3,FALSE)</f>
        <v>876.74109599999997</v>
      </c>
      <c r="AO916" s="1">
        <f>VLOOKUP($C916,'Substrate Heating'!$A$2:$B$33,2,FALSE)</f>
        <v>14.6</v>
      </c>
      <c r="AP916" s="1">
        <f>VLOOKUP($C916,'Substrate Heating'!$A$2:$M$33,13,FALSE)</f>
        <v>3.5</v>
      </c>
      <c r="AQ916" s="1">
        <f>VLOOKUP($C916,'Substrate Heating'!$A$2:$M$33,8,FALSE)</f>
        <v>2</v>
      </c>
      <c r="AR916" s="1">
        <f t="shared" si="14"/>
        <v>0.53818639798488599</v>
      </c>
    </row>
    <row r="917" spans="1:44" x14ac:dyDescent="0.2">
      <c r="A917" s="17" t="s">
        <v>323</v>
      </c>
      <c r="B917" s="18" t="s">
        <v>324</v>
      </c>
      <c r="C917" t="s">
        <v>325</v>
      </c>
      <c r="D917" s="19" t="s">
        <v>326</v>
      </c>
      <c r="E917" t="s">
        <v>269</v>
      </c>
      <c r="F917" t="s">
        <v>270</v>
      </c>
      <c r="G917">
        <v>-10</v>
      </c>
      <c r="H917">
        <v>0</v>
      </c>
      <c r="I917">
        <v>0</v>
      </c>
      <c r="J917">
        <v>0.45</v>
      </c>
      <c r="K917">
        <v>-10</v>
      </c>
      <c r="L917">
        <v>0</v>
      </c>
      <c r="M917">
        <v>0</v>
      </c>
      <c r="N917">
        <v>4.0695652173913004</v>
      </c>
      <c r="O917">
        <v>0.93043478260869605</v>
      </c>
      <c r="P917"/>
      <c r="Q917">
        <v>9.3043478260869603E-2</v>
      </c>
      <c r="R917">
        <v>0.43870667680797198</v>
      </c>
      <c r="S917" s="1" t="str">
        <f>VLOOKUP($E917,'Product Naming'!$A$1:$P$58,2,FALSE)</f>
        <v>Malate_L</v>
      </c>
      <c r="T917" s="1" t="str">
        <f>VLOOKUP($E917,'Product Naming'!$A$1:$P$58,3,FALSE)</f>
        <v>L-Malate</v>
      </c>
      <c r="U917" s="1" t="str">
        <f>VLOOKUP($E917,'Product Naming'!$A$1:$P$58,4,FALSE)</f>
        <v>iJO1366</v>
      </c>
      <c r="V917" s="1" t="str">
        <f>VLOOKUP($E917,'Product Naming'!$A$1:$P$58,5,FALSE)</f>
        <v>C4H4O5</v>
      </c>
      <c r="W917" s="1">
        <f>VLOOKUP($E917,'Product Naming'!$A$1:$P$58,6,FALSE)</f>
        <v>4</v>
      </c>
      <c r="X917" s="1">
        <f>VLOOKUP($E917,'Product Naming'!$A$1:$P$58,7,FALSE)</f>
        <v>4</v>
      </c>
      <c r="Y917" s="1">
        <f>VLOOKUP($E917,'Product Naming'!$A$1:$P$58,8,FALSE)</f>
        <v>5</v>
      </c>
      <c r="Z917" s="1">
        <f>VLOOKUP($E917,'Product Naming'!$A$1:$P$58,9,FALSE)</f>
        <v>0</v>
      </c>
      <c r="AA917" s="1">
        <f>VLOOKUP($E917,'Product Naming'!$A$1:$P$58,10,FALSE)</f>
        <v>-2</v>
      </c>
      <c r="AB917" s="29">
        <f>VLOOKUP($E917,'Product Naming'!$A$1:$P$58,11,FALSE)</f>
        <v>2.5</v>
      </c>
      <c r="AC917" s="3">
        <f>VLOOKUP($E917,'Product Naming'!$A$1:$P$58,12,FALSE)</f>
        <v>132.06916000000001</v>
      </c>
      <c r="AD917" s="1" t="str">
        <f>VLOOKUP($E917,'Product Naming'!$A$1:$P$58,13,FALSE)</f>
        <v>NA</v>
      </c>
      <c r="AE917" s="1" t="str">
        <f>VLOOKUP($E917,'Product Naming'!$A$1:$P$58,14,FALSE)</f>
        <v>Dicarboxylate</v>
      </c>
      <c r="AF917" s="1" t="str">
        <f>VLOOKUP($E917,'Product Naming'!$A$1:$P$58,15,FALSE)</f>
        <v>Oxaloacetate</v>
      </c>
      <c r="AG917" s="30" t="str">
        <f>VLOOKUP($E917,'Product Naming'!$A$1:$P$58,16,FALSE)</f>
        <v>Proton symporter</v>
      </c>
      <c r="AH917" s="3" t="str">
        <f>VLOOKUP($E917,'Product Naming'!$A$1:$Q$58,17,FALSE)</f>
        <v>mal__L_e</v>
      </c>
      <c r="AI917" s="1">
        <f>VLOOKUP($E917,'Product Parameters'!$A$2:$D$59,2,FALSE)</f>
        <v>1</v>
      </c>
      <c r="AJ917" s="1">
        <f>VLOOKUP($E917,'Product Parameters'!$A$2:$D$59,3,FALSE)</f>
        <v>0</v>
      </c>
      <c r="AK917" s="1">
        <f>VLOOKUP($E917,'Product Parameters'!$A$2:$D$59,4,FALSE)</f>
        <v>0.12</v>
      </c>
      <c r="AL917" s="1">
        <f>VLOOKUP($E917,'Product Parameters'!$A$2:$E$59,5,FALSE)</f>
        <v>40.65</v>
      </c>
      <c r="AM917" s="1">
        <f>VLOOKUP($E917,'Product Parameters'!$A$2:$F$59,6,FALSE)</f>
        <v>4</v>
      </c>
      <c r="AN917" s="1">
        <f>VLOOKUP($C917,'Substrate Heating'!$A$2:$C$33,3,FALSE)</f>
        <v>280.09700000000004</v>
      </c>
      <c r="AO917" s="1">
        <f>VLOOKUP($C917,'Substrate Heating'!$A$2:$B$33,2,FALSE)</f>
        <v>10</v>
      </c>
      <c r="AP917" s="1">
        <f>VLOOKUP($C917,'Substrate Heating'!$A$2:$M$33,13,FALSE)</f>
        <v>2</v>
      </c>
      <c r="AQ917" s="1">
        <f>VLOOKUP($C917,'Substrate Heating'!$A$2:$M$33,8,FALSE)</f>
        <v>1</v>
      </c>
      <c r="AR917" s="1">
        <f t="shared" si="14"/>
        <v>0.37217391304347841</v>
      </c>
    </row>
    <row r="918" spans="1:44" x14ac:dyDescent="0.2">
      <c r="A918" s="8" t="s">
        <v>34</v>
      </c>
      <c r="B918" s="9" t="s">
        <v>35</v>
      </c>
      <c r="C918" s="1" t="s">
        <v>343</v>
      </c>
      <c r="D918" s="24" t="s">
        <v>342</v>
      </c>
      <c r="E918" s="1" t="s">
        <v>291</v>
      </c>
      <c r="F918" s="1" t="s">
        <v>292</v>
      </c>
      <c r="G918" s="1">
        <v>-10</v>
      </c>
      <c r="H918" s="1">
        <v>-20</v>
      </c>
      <c r="I918" s="1" t="s">
        <v>40</v>
      </c>
      <c r="J918" s="1">
        <v>3.15</v>
      </c>
      <c r="K918" s="1">
        <v>-10</v>
      </c>
      <c r="L918" s="1">
        <v>-0.60434782608695503</v>
      </c>
      <c r="M918" s="1" t="s">
        <v>40</v>
      </c>
      <c r="N918" s="1">
        <v>7.0695652173913102</v>
      </c>
      <c r="O918" s="1">
        <v>4.5860869565217399</v>
      </c>
      <c r="Q918" s="1">
        <v>0.45860869565217399</v>
      </c>
      <c r="R918" s="1">
        <v>0.43895223457991001</v>
      </c>
      <c r="S918" s="1" t="str">
        <f>VLOOKUP($E918,'Product Naming'!$A$1:$P$58,2,FALSE)</f>
        <v>Pentanol-PW1</v>
      </c>
      <c r="T918" s="1" t="str">
        <f>VLOOKUP($E918,'Product Naming'!$A$1:$P$58,3,FALSE)</f>
        <v>Pentanol (PW1)</v>
      </c>
      <c r="U918" s="1" t="str">
        <f>VLOOKUP($E918,'Product Naming'!$A$1:$P$58,4,FALSE)</f>
        <v>E</v>
      </c>
      <c r="V918" s="1" t="str">
        <f>VLOOKUP($E918,'Product Naming'!$A$1:$P$58,5,FALSE)</f>
        <v>C5H12O</v>
      </c>
      <c r="W918" s="1">
        <f>VLOOKUP($E918,'Product Naming'!$A$1:$P$58,6,FALSE)</f>
        <v>5</v>
      </c>
      <c r="X918" s="1">
        <f>VLOOKUP($E918,'Product Naming'!$A$1:$P$58,7,FALSE)</f>
        <v>12</v>
      </c>
      <c r="Y918" s="1">
        <f>VLOOKUP($E918,'Product Naming'!$A$1:$P$58,8,FALSE)</f>
        <v>1</v>
      </c>
      <c r="Z918" s="1">
        <f>VLOOKUP($E918,'Product Naming'!$A$1:$P$58,9,FALSE)</f>
        <v>0</v>
      </c>
      <c r="AA918" s="1">
        <f>VLOOKUP($E918,'Product Naming'!$A$1:$P$58,10,FALSE)</f>
        <v>0</v>
      </c>
      <c r="AB918" s="29">
        <f>VLOOKUP($E918,'Product Naming'!$A$1:$P$58,11,FALSE)</f>
        <v>6</v>
      </c>
      <c r="AC918" s="3">
        <f>VLOOKUP($E918,'Product Naming'!$A$1:$P$58,12,FALSE)</f>
        <v>88.14658</v>
      </c>
      <c r="AD918" s="1">
        <f>VLOOKUP($E918,'Product Naming'!$A$1:$P$58,13,FALSE)</f>
        <v>138</v>
      </c>
      <c r="AE918" s="1" t="str">
        <f>VLOOKUP($E918,'Product Naming'!$A$1:$P$58,14,FALSE)</f>
        <v>Alcohol</v>
      </c>
      <c r="AF918" s="1" t="str">
        <f>VLOOKUP($E918,'Product Naming'!$A$1:$P$58,15,FALSE)</f>
        <v>Acetyl-CoA + Succinyl-CoA</v>
      </c>
      <c r="AG918" s="30" t="str">
        <f>VLOOKUP($E918,'Product Naming'!$A$1:$P$58,16,FALSE)</f>
        <v>Proton symporter</v>
      </c>
      <c r="AH918" s="3" t="str">
        <f>VLOOKUP($E918,'Product Naming'!$A$1:$Q$58,17,FALSE)</f>
        <v>pentoh_c</v>
      </c>
      <c r="AI918" s="1">
        <f>VLOOKUP($E918,'Product Parameters'!$A$2:$D$59,2,FALSE)</f>
        <v>1</v>
      </c>
      <c r="AJ918" s="1">
        <f>VLOOKUP($E918,'Product Parameters'!$A$2:$D$59,3,FALSE)</f>
        <v>0</v>
      </c>
      <c r="AK918" s="1">
        <f>VLOOKUP($E918,'Product Parameters'!$A$2:$D$59,4,FALSE)</f>
        <v>0.12</v>
      </c>
      <c r="AL918" s="1">
        <f>VLOOKUP($E918,'Product Parameters'!$A$2:$E$59,5,FALSE)</f>
        <v>57</v>
      </c>
      <c r="AM918" s="1">
        <f>VLOOKUP($E918,'Product Parameters'!$A$2:$F$59,6,FALSE)</f>
        <v>5</v>
      </c>
      <c r="AN918" s="1">
        <f>VLOOKUP($C918,'Substrate Heating'!$A$2:$C$33,3,FALSE)</f>
        <v>1648.4793779999998</v>
      </c>
      <c r="AO918" s="1">
        <f>VLOOKUP($C918,'Substrate Heating'!$A$2:$B$33,2,FALSE)</f>
        <v>17.899999999999999</v>
      </c>
      <c r="AP918" s="1">
        <f>VLOOKUP($C918,'Substrate Heating'!$A$2:$M$33,13,FALSE)</f>
        <v>4.666666666666667</v>
      </c>
      <c r="AQ918" s="1">
        <f>VLOOKUP($C918,'Substrate Heating'!$A$2:$M$33,8,FALSE)</f>
        <v>3</v>
      </c>
      <c r="AR918" s="1">
        <f t="shared" si="14"/>
        <v>0.76434782608695662</v>
      </c>
    </row>
    <row r="919" spans="1:44" x14ac:dyDescent="0.2">
      <c r="A919" s="8" t="s">
        <v>34</v>
      </c>
      <c r="B919" s="9" t="s">
        <v>35</v>
      </c>
      <c r="C919" s="1" t="s">
        <v>344</v>
      </c>
      <c r="D919" s="10" t="s">
        <v>37</v>
      </c>
      <c r="E919" s="1" t="s">
        <v>198</v>
      </c>
      <c r="F919" s="1" t="s">
        <v>199</v>
      </c>
      <c r="G919" s="1">
        <v>-10</v>
      </c>
      <c r="H919" s="1">
        <v>-20</v>
      </c>
      <c r="I919" s="1" t="s">
        <v>40</v>
      </c>
      <c r="J919" s="1">
        <v>3.15</v>
      </c>
      <c r="K919" s="1">
        <v>-10</v>
      </c>
      <c r="L919" s="1">
        <v>-5</v>
      </c>
      <c r="M919" s="1" t="s">
        <v>40</v>
      </c>
      <c r="N919" s="1">
        <v>8</v>
      </c>
      <c r="O919" s="1">
        <v>3</v>
      </c>
      <c r="Q919" s="1">
        <v>0.3</v>
      </c>
      <c r="R919" s="1">
        <v>0.44013614867115203</v>
      </c>
      <c r="S919" s="1" t="str">
        <f>VLOOKUP($E919,'Product Naming'!$A$1:$P$58,2,FALSE)</f>
        <v>EthylAcetate</v>
      </c>
      <c r="T919" s="1" t="str">
        <f>VLOOKUP($E919,'Product Naming'!$A$1:$P$58,3,FALSE)</f>
        <v>Ethyl acetate</v>
      </c>
      <c r="U919" s="1" t="str">
        <f>VLOOKUP($E919,'Product Naming'!$A$1:$P$58,4,FALSE)</f>
        <v>E</v>
      </c>
      <c r="V919" s="1" t="str">
        <f>VLOOKUP($E919,'Product Naming'!$A$1:$P$58,5,FALSE)</f>
        <v>C4H8O2</v>
      </c>
      <c r="W919" s="1">
        <f>VLOOKUP($E919,'Product Naming'!$A$1:$P$58,6,FALSE)</f>
        <v>4</v>
      </c>
      <c r="X919" s="1">
        <f>VLOOKUP($E919,'Product Naming'!$A$1:$P$58,7,FALSE)</f>
        <v>8</v>
      </c>
      <c r="Y919" s="1">
        <f>VLOOKUP($E919,'Product Naming'!$A$1:$P$58,8,FALSE)</f>
        <v>2</v>
      </c>
      <c r="Z919" s="1">
        <f>VLOOKUP($E919,'Product Naming'!$A$1:$P$58,9,FALSE)</f>
        <v>0</v>
      </c>
      <c r="AA919" s="1">
        <f>VLOOKUP($E919,'Product Naming'!$A$1:$P$58,10,FALSE)</f>
        <v>0</v>
      </c>
      <c r="AB919" s="29">
        <f>VLOOKUP($E919,'Product Naming'!$A$1:$P$58,11,FALSE)</f>
        <v>5</v>
      </c>
      <c r="AC919" s="3">
        <f>VLOOKUP($E919,'Product Naming'!$A$1:$P$58,12,FALSE)</f>
        <v>88.103520000000003</v>
      </c>
      <c r="AD919" s="1">
        <f>VLOOKUP($E919,'Product Naming'!$A$1:$P$58,13,FALSE)</f>
        <v>77.099999999999994</v>
      </c>
      <c r="AE919" s="1" t="str">
        <f>VLOOKUP($E919,'Product Naming'!$A$1:$P$58,14,FALSE)</f>
        <v>Carboxylate Ester</v>
      </c>
      <c r="AF919" s="1" t="str">
        <f>VLOOKUP($E919,'Product Naming'!$A$1:$P$58,15,FALSE)</f>
        <v>Acetyl-CoA</v>
      </c>
      <c r="AG919" s="30" t="str">
        <f>VLOOKUP($E919,'Product Naming'!$A$1:$P$58,16,FALSE)</f>
        <v>Proton symporter</v>
      </c>
      <c r="AH919" s="3" t="str">
        <f>VLOOKUP($E919,'Product Naming'!$A$1:$Q$58,17,FALSE)</f>
        <v>aces_c</v>
      </c>
      <c r="AI919" s="1">
        <f>VLOOKUP($E919,'Product Parameters'!$A$2:$D$59,2,FALSE)</f>
        <v>1</v>
      </c>
      <c r="AJ919" s="1">
        <f>VLOOKUP($E919,'Product Parameters'!$A$2:$D$59,3,FALSE)</f>
        <v>0</v>
      </c>
      <c r="AK919" s="1">
        <f>VLOOKUP($E919,'Product Parameters'!$A$2:$D$59,4,FALSE)</f>
        <v>0.12</v>
      </c>
      <c r="AL919" s="1">
        <f>VLOOKUP($E919,'Product Parameters'!$A$2:$E$59,5,FALSE)</f>
        <v>35</v>
      </c>
      <c r="AM919" s="1">
        <f>VLOOKUP($E919,'Product Parameters'!$A$2:$F$59,6,FALSE)</f>
        <v>4</v>
      </c>
      <c r="AN919" s="1">
        <f>VLOOKUP($C919,'Substrate Heating'!$A$2:$C$33,3,FALSE)</f>
        <v>1020.8629199999999</v>
      </c>
      <c r="AO919" s="1">
        <f>VLOOKUP($C919,'Substrate Heating'!$A$2:$B$33,2,FALSE)</f>
        <v>17</v>
      </c>
      <c r="AP919" s="1">
        <f>VLOOKUP($C919,'Substrate Heating'!$A$2:$M$33,13,FALSE)</f>
        <v>4</v>
      </c>
      <c r="AQ919" s="1">
        <f>VLOOKUP($C919,'Substrate Heating'!$A$2:$M$33,8,FALSE)</f>
        <v>2</v>
      </c>
      <c r="AR919" s="1">
        <f t="shared" si="14"/>
        <v>0.6</v>
      </c>
    </row>
    <row r="920" spans="1:44" x14ac:dyDescent="0.2">
      <c r="A920" s="8" t="s">
        <v>34</v>
      </c>
      <c r="B920" s="9" t="s">
        <v>35</v>
      </c>
      <c r="C920" s="1" t="s">
        <v>330</v>
      </c>
      <c r="D920" s="10" t="s">
        <v>37</v>
      </c>
      <c r="E920" s="1" t="s">
        <v>240</v>
      </c>
      <c r="F920" s="1" t="s">
        <v>241</v>
      </c>
      <c r="G920" s="1">
        <v>-10</v>
      </c>
      <c r="H920" s="1">
        <v>-20</v>
      </c>
      <c r="I920" s="1" t="s">
        <v>40</v>
      </c>
      <c r="J920" s="1">
        <v>3.15</v>
      </c>
      <c r="K920" s="1">
        <v>-10</v>
      </c>
      <c r="L920" s="1">
        <v>-5.9617021276595699</v>
      </c>
      <c r="M920" s="1" t="s">
        <v>40</v>
      </c>
      <c r="N920" s="1">
        <v>7.3078014184397198</v>
      </c>
      <c r="O920" s="1">
        <v>3.1730496453900701</v>
      </c>
      <c r="Q920" s="1">
        <v>0.31730496453900697</v>
      </c>
      <c r="R920" s="1">
        <v>0.44033103531399898</v>
      </c>
      <c r="S920" s="1" t="str">
        <f>VLOOKUP($E920,'Product Naming'!$A$1:$P$58,2,FALSE)</f>
        <v>Isobutanol</v>
      </c>
      <c r="T920" s="1" t="str">
        <f>VLOOKUP($E920,'Product Naming'!$A$1:$P$58,3,FALSE)</f>
        <v>Isobutanol</v>
      </c>
      <c r="U920" s="1" t="str">
        <f>VLOOKUP($E920,'Product Naming'!$A$1:$P$58,4,FALSE)</f>
        <v>E</v>
      </c>
      <c r="V920" s="1" t="str">
        <f>VLOOKUP($E920,'Product Naming'!$A$1:$P$58,5,FALSE)</f>
        <v>C5H10O</v>
      </c>
      <c r="W920" s="1">
        <f>VLOOKUP($E920,'Product Naming'!$A$1:$P$58,6,FALSE)</f>
        <v>5</v>
      </c>
      <c r="X920" s="1">
        <f>VLOOKUP($E920,'Product Naming'!$A$1:$P$58,7,FALSE)</f>
        <v>10</v>
      </c>
      <c r="Y920" s="1">
        <f>VLOOKUP($E920,'Product Naming'!$A$1:$P$58,8,FALSE)</f>
        <v>1</v>
      </c>
      <c r="Z920" s="1">
        <f>VLOOKUP($E920,'Product Naming'!$A$1:$P$58,9,FALSE)</f>
        <v>0</v>
      </c>
      <c r="AA920" s="1">
        <f>VLOOKUP($E920,'Product Naming'!$A$1:$P$58,10,FALSE)</f>
        <v>0</v>
      </c>
      <c r="AB920" s="29">
        <f>VLOOKUP($E920,'Product Naming'!$A$1:$P$58,11,FALSE)</f>
        <v>5.6</v>
      </c>
      <c r="AC920" s="3">
        <f>VLOOKUP($E920,'Product Naming'!$A$1:$P$58,12,FALSE)</f>
        <v>86.130899999999997</v>
      </c>
      <c r="AD920" s="1">
        <f>VLOOKUP($E920,'Product Naming'!$A$1:$P$58,13,FALSE)</f>
        <v>108</v>
      </c>
      <c r="AE920" s="1" t="str">
        <f>VLOOKUP($E920,'Product Naming'!$A$1:$P$58,14,FALSE)</f>
        <v>Alcohol</v>
      </c>
      <c r="AF920" s="1" t="str">
        <f>VLOOKUP($E920,'Product Naming'!$A$1:$P$58,15,FALSE)</f>
        <v>Pyruvate</v>
      </c>
      <c r="AG920" s="30" t="str">
        <f>VLOOKUP($E920,'Product Naming'!$A$1:$P$58,16,FALSE)</f>
        <v>Proton symporter</v>
      </c>
      <c r="AH920" s="3" t="str">
        <f>VLOOKUP($E920,'Product Naming'!$A$1:$Q$58,17,FALSE)</f>
        <v>ibutoh_c</v>
      </c>
      <c r="AI920" s="1">
        <f>VLOOKUP($E920,'Product Parameters'!$A$2:$D$59,2,FALSE)</f>
        <v>1</v>
      </c>
      <c r="AJ920" s="1">
        <f>VLOOKUP($E920,'Product Parameters'!$A$2:$D$59,3,FALSE)</f>
        <v>0</v>
      </c>
      <c r="AK920" s="1">
        <f>VLOOKUP($E920,'Product Parameters'!$A$2:$D$59,4,FALSE)</f>
        <v>0.12</v>
      </c>
      <c r="AL920" s="1">
        <f>VLOOKUP($E920,'Product Parameters'!$A$2:$E$59,5,FALSE)</f>
        <v>51</v>
      </c>
      <c r="AM920" s="1">
        <f>VLOOKUP($E920,'Product Parameters'!$A$2:$F$59,6,FALSE)</f>
        <v>5</v>
      </c>
      <c r="AN920" s="1">
        <f>VLOOKUP($C920,'Substrate Heating'!$A$2:$C$33,3,FALSE)</f>
        <v>1055.1294800000001</v>
      </c>
      <c r="AO920" s="1">
        <f>VLOOKUP($C920,'Substrate Heating'!$A$2:$B$33,2,FALSE)</f>
        <v>17</v>
      </c>
      <c r="AP920" s="1">
        <f>VLOOKUP($C920,'Substrate Heating'!$A$2:$M$33,13,FALSE)</f>
        <v>5</v>
      </c>
      <c r="AQ920" s="1">
        <f>VLOOKUP($C920,'Substrate Heating'!$A$2:$M$33,8,FALSE)</f>
        <v>2</v>
      </c>
      <c r="AR920" s="1">
        <f t="shared" si="14"/>
        <v>0.7932624113475174</v>
      </c>
    </row>
    <row r="921" spans="1:44" x14ac:dyDescent="0.2">
      <c r="A921" s="8" t="s">
        <v>34</v>
      </c>
      <c r="B921" s="9" t="s">
        <v>35</v>
      </c>
      <c r="C921" s="1" t="s">
        <v>322</v>
      </c>
      <c r="D921" s="10" t="s">
        <v>37</v>
      </c>
      <c r="E921" s="1" t="s">
        <v>119</v>
      </c>
      <c r="F921" s="1" t="s">
        <v>120</v>
      </c>
      <c r="G921" s="1">
        <v>-10</v>
      </c>
      <c r="H921" s="1">
        <v>-20</v>
      </c>
      <c r="I921" s="1" t="s">
        <v>40</v>
      </c>
      <c r="J921" s="1">
        <v>3.15</v>
      </c>
      <c r="K921" s="1">
        <v>-10</v>
      </c>
      <c r="L921" s="1">
        <v>-2.0830188679245398</v>
      </c>
      <c r="M921" s="1" t="s">
        <v>40</v>
      </c>
      <c r="N921" s="1">
        <v>6.5622641509433803</v>
      </c>
      <c r="O921" s="1">
        <v>4.4792452830188596</v>
      </c>
      <c r="Q921" s="1">
        <v>0.447924528301886</v>
      </c>
      <c r="R921" s="1">
        <v>0.44060529974044099</v>
      </c>
      <c r="S921" s="1" t="str">
        <f>VLOOKUP($E921,'Product Naming'!$A$1:$P$58,2,FALSE)</f>
        <v>Acetone</v>
      </c>
      <c r="T921" s="1" t="str">
        <f>VLOOKUP($E921,'Product Naming'!$A$1:$P$58,3,FALSE)</f>
        <v>Acetone</v>
      </c>
      <c r="U921" s="1" t="str">
        <f>VLOOKUP($E921,'Product Naming'!$A$1:$P$58,4,FALSE)</f>
        <v>A</v>
      </c>
      <c r="V921" s="1" t="str">
        <f>VLOOKUP($E921,'Product Naming'!$A$1:$P$58,5,FALSE)</f>
        <v>C3H6O</v>
      </c>
      <c r="W921" s="1">
        <f>VLOOKUP($E921,'Product Naming'!$A$1:$P$58,6,FALSE)</f>
        <v>3</v>
      </c>
      <c r="X921" s="1">
        <f>VLOOKUP($E921,'Product Naming'!$A$1:$P$58,7,FALSE)</f>
        <v>6</v>
      </c>
      <c r="Y921" s="1">
        <f>VLOOKUP($E921,'Product Naming'!$A$1:$P$58,8,FALSE)</f>
        <v>1</v>
      </c>
      <c r="Z921" s="1">
        <f>VLOOKUP($E921,'Product Naming'!$A$1:$P$58,9,FALSE)</f>
        <v>0</v>
      </c>
      <c r="AA921" s="1">
        <f>VLOOKUP($E921,'Product Naming'!$A$1:$P$58,10,FALSE)</f>
        <v>0</v>
      </c>
      <c r="AB921" s="29">
        <f>VLOOKUP($E921,'Product Naming'!$A$1:$P$58,11,FALSE)</f>
        <v>5.333333333333333</v>
      </c>
      <c r="AC921" s="3">
        <f>VLOOKUP($E921,'Product Naming'!$A$1:$P$58,12,FALSE)</f>
        <v>58.078140000000005</v>
      </c>
      <c r="AD921" s="1">
        <f>VLOOKUP($E921,'Product Naming'!$A$1:$P$58,13,FALSE)</f>
        <v>56</v>
      </c>
      <c r="AE921" s="1" t="str">
        <f>VLOOKUP($E921,'Product Naming'!$A$1:$P$58,14,FALSE)</f>
        <v>Ketone</v>
      </c>
      <c r="AF921" s="1" t="str">
        <f>VLOOKUP($E921,'Product Naming'!$A$1:$P$58,15,FALSE)</f>
        <v>Acetyl-CoA</v>
      </c>
      <c r="AG921" s="30" t="str">
        <f>VLOOKUP($E921,'Product Naming'!$A$1:$P$58,16,FALSE)</f>
        <v>Proton symporter</v>
      </c>
      <c r="AH921" s="3" t="str">
        <f>VLOOKUP($E921,'Product Naming'!$A$1:$Q$58,17,FALSE)</f>
        <v>acetone_c</v>
      </c>
      <c r="AI921" s="1">
        <f>VLOOKUP($E921,'Product Parameters'!$A$2:$D$59,2,FALSE)</f>
        <v>1</v>
      </c>
      <c r="AJ921" s="1">
        <f>VLOOKUP($E921,'Product Parameters'!$A$2:$D$59,3,FALSE)</f>
        <v>0</v>
      </c>
      <c r="AK921" s="1">
        <f>VLOOKUP($E921,'Product Parameters'!$A$2:$D$59,4,FALSE)</f>
        <v>0.12</v>
      </c>
      <c r="AL921" s="1">
        <f>VLOOKUP($E921,'Product Parameters'!$A$2:$E$59,5,FALSE)</f>
        <v>31.3</v>
      </c>
      <c r="AM921" s="1">
        <f>VLOOKUP($E921,'Product Parameters'!$A$2:$F$59,6,FALSE)</f>
        <v>3</v>
      </c>
      <c r="AN921" s="1">
        <f>VLOOKUP($C921,'Substrate Heating'!$A$2:$C$33,3,FALSE)</f>
        <v>876.74109599999997</v>
      </c>
      <c r="AO921" s="1">
        <f>VLOOKUP($C921,'Substrate Heating'!$A$2:$B$33,2,FALSE)</f>
        <v>14.6</v>
      </c>
      <c r="AP921" s="1">
        <f>VLOOKUP($C921,'Substrate Heating'!$A$2:$M$33,13,FALSE)</f>
        <v>3.5</v>
      </c>
      <c r="AQ921" s="1">
        <f>VLOOKUP($C921,'Substrate Heating'!$A$2:$M$33,8,FALSE)</f>
        <v>2</v>
      </c>
      <c r="AR921" s="1">
        <f t="shared" si="14"/>
        <v>0.67188679245282901</v>
      </c>
    </row>
    <row r="922" spans="1:44" x14ac:dyDescent="0.2">
      <c r="A922" s="8" t="s">
        <v>34</v>
      </c>
      <c r="B922" s="9" t="s">
        <v>35</v>
      </c>
      <c r="C922" s="1" t="s">
        <v>331</v>
      </c>
      <c r="D922" s="10" t="s">
        <v>37</v>
      </c>
      <c r="E922" s="1" t="s">
        <v>143</v>
      </c>
      <c r="F922" s="1" t="s">
        <v>137</v>
      </c>
      <c r="G922" s="1">
        <v>-10</v>
      </c>
      <c r="H922" s="1">
        <v>-20</v>
      </c>
      <c r="I922" s="1" t="s">
        <v>40</v>
      </c>
      <c r="J922" s="1">
        <v>3.15</v>
      </c>
      <c r="K922" s="1">
        <v>-10</v>
      </c>
      <c r="L922" s="1">
        <v>-8.0604508196721305</v>
      </c>
      <c r="M922" s="1" t="s">
        <v>40</v>
      </c>
      <c r="N922" s="1">
        <v>4.18975409836065</v>
      </c>
      <c r="O922" s="1">
        <v>2.2586065573770502</v>
      </c>
      <c r="Q922" s="1">
        <v>0.225860655737705</v>
      </c>
      <c r="R922" s="1">
        <v>0.44072893423447301</v>
      </c>
      <c r="S922" s="1" t="str">
        <f>VLOOKUP($E922,'Product Naming'!$A$1:$P$58,2,FALSE)</f>
        <v>Benzoate-PW2</v>
      </c>
      <c r="T922" s="1" t="str">
        <f>VLOOKUP($E922,'Product Naming'!$A$1:$P$58,3,FALSE)</f>
        <v>Benzoate (PW2)</v>
      </c>
      <c r="U922" s="1" t="str">
        <f>VLOOKUP($E922,'Product Naming'!$A$1:$P$58,4,FALSE)</f>
        <v>A</v>
      </c>
      <c r="V922" s="1" t="str">
        <f>VLOOKUP($E922,'Product Naming'!$A$1:$P$58,5,FALSE)</f>
        <v>C7H5O2</v>
      </c>
      <c r="W922" s="1">
        <f>VLOOKUP($E922,'Product Naming'!$A$1:$P$58,6,FALSE)</f>
        <v>7</v>
      </c>
      <c r="X922" s="1">
        <f>VLOOKUP($E922,'Product Naming'!$A$1:$P$58,7,FALSE)</f>
        <v>5</v>
      </c>
      <c r="Y922" s="1">
        <f>VLOOKUP($E922,'Product Naming'!$A$1:$P$58,8,FALSE)</f>
        <v>2</v>
      </c>
      <c r="Z922" s="1">
        <f>VLOOKUP($E922,'Product Naming'!$A$1:$P$58,9,FALSE)</f>
        <v>0</v>
      </c>
      <c r="AA922" s="1">
        <f>VLOOKUP($E922,'Product Naming'!$A$1:$P$58,10,FALSE)</f>
        <v>-1</v>
      </c>
      <c r="AB922" s="29">
        <f>VLOOKUP($E922,'Product Naming'!$A$1:$P$58,11,FALSE)</f>
        <v>4.1428571428571432</v>
      </c>
      <c r="AC922" s="3">
        <f>VLOOKUP($E922,'Product Naming'!$A$1:$P$58,12,FALSE)</f>
        <v>121.1121</v>
      </c>
      <c r="AD922" s="1">
        <f>VLOOKUP($E922,'Product Naming'!$A$1:$P$58,13,FALSE)</f>
        <v>249.2</v>
      </c>
      <c r="AE922" s="1" t="str">
        <f>VLOOKUP($E922,'Product Naming'!$A$1:$P$58,14,FALSE)</f>
        <v>Aromatic + Carboxylate</v>
      </c>
      <c r="AF922" s="1" t="str">
        <f>VLOOKUP($E922,'Product Naming'!$A$1:$P$58,15,FALSE)</f>
        <v>E4P + aKG</v>
      </c>
      <c r="AG922" s="30" t="str">
        <f>VLOOKUP($E922,'Product Naming'!$A$1:$P$58,16,FALSE)</f>
        <v>Proton symporter</v>
      </c>
      <c r="AH922" s="3" t="str">
        <f>VLOOKUP($E922,'Product Naming'!$A$1:$Q$58,17,FALSE)</f>
        <v>bz_c</v>
      </c>
      <c r="AI922" s="1">
        <f>VLOOKUP($E922,'Product Parameters'!$A$2:$D$59,2,FALSE)</f>
        <v>1</v>
      </c>
      <c r="AJ922" s="1">
        <f>VLOOKUP($E922,'Product Parameters'!$A$2:$D$59,3,FALSE)</f>
        <v>0</v>
      </c>
      <c r="AK922" s="1">
        <f>VLOOKUP($E922,'Product Parameters'!$A$2:$D$59,4,FALSE)</f>
        <v>0.12</v>
      </c>
      <c r="AL922" s="1">
        <f>VLOOKUP($E922,'Product Parameters'!$A$2:$E$59,5,FALSE)</f>
        <v>40.65</v>
      </c>
      <c r="AM922" s="1">
        <f>VLOOKUP($E922,'Product Parameters'!$A$2:$F$59,6,FALSE)</f>
        <v>7</v>
      </c>
      <c r="AN922" s="1">
        <f>VLOOKUP($C922,'Substrate Heating'!$A$2:$C$33,3,FALSE)</f>
        <v>1055.1294800000001</v>
      </c>
      <c r="AO922" s="1">
        <f>VLOOKUP($C922,'Substrate Heating'!$A$2:$B$33,2,FALSE)</f>
        <v>17</v>
      </c>
      <c r="AP922" s="1">
        <f>VLOOKUP($C922,'Substrate Heating'!$A$2:$M$33,13,FALSE)</f>
        <v>5</v>
      </c>
      <c r="AQ922" s="1">
        <f>VLOOKUP($C922,'Substrate Heating'!$A$2:$M$33,8,FALSE)</f>
        <v>2</v>
      </c>
      <c r="AR922" s="1">
        <f t="shared" si="14"/>
        <v>0.79051229508196752</v>
      </c>
    </row>
    <row r="923" spans="1:44" x14ac:dyDescent="0.2">
      <c r="A923" s="8" t="s">
        <v>34</v>
      </c>
      <c r="B923" s="9" t="s">
        <v>35</v>
      </c>
      <c r="C923" s="1" t="s">
        <v>331</v>
      </c>
      <c r="D923" s="10" t="s">
        <v>37</v>
      </c>
      <c r="E923" s="1" t="s">
        <v>136</v>
      </c>
      <c r="F923" s="1" t="s">
        <v>137</v>
      </c>
      <c r="G923" s="1">
        <v>-10</v>
      </c>
      <c r="H923" s="1">
        <v>-20</v>
      </c>
      <c r="I923" s="1" t="s">
        <v>40</v>
      </c>
      <c r="J923" s="1">
        <v>3.15</v>
      </c>
      <c r="K923" s="1">
        <v>-10</v>
      </c>
      <c r="L923" s="1">
        <v>-8.0604508196721305</v>
      </c>
      <c r="M923" s="1" t="s">
        <v>40</v>
      </c>
      <c r="N923" s="1">
        <v>4.1897540983606696</v>
      </c>
      <c r="O923" s="1">
        <v>2.2586065573770502</v>
      </c>
      <c r="Q923" s="1">
        <v>0.225860655737705</v>
      </c>
      <c r="R923" s="1">
        <v>0.44072893423447401</v>
      </c>
      <c r="S923" s="1" t="str">
        <f>VLOOKUP($E923,'Product Naming'!$A$1:$P$58,2,FALSE)</f>
        <v>Benzoate-PW1</v>
      </c>
      <c r="T923" s="1" t="str">
        <f>VLOOKUP($E923,'Product Naming'!$A$1:$P$58,3,FALSE)</f>
        <v>Benzoate (PW1)</v>
      </c>
      <c r="U923" s="1" t="str">
        <f>VLOOKUP($E923,'Product Naming'!$A$1:$P$58,4,FALSE)</f>
        <v>A</v>
      </c>
      <c r="V923" s="1" t="str">
        <f>VLOOKUP($E923,'Product Naming'!$A$1:$P$58,5,FALSE)</f>
        <v>C7H5O2</v>
      </c>
      <c r="W923" s="1">
        <f>VLOOKUP($E923,'Product Naming'!$A$1:$P$58,6,FALSE)</f>
        <v>7</v>
      </c>
      <c r="X923" s="1">
        <f>VLOOKUP($E923,'Product Naming'!$A$1:$P$58,7,FALSE)</f>
        <v>5</v>
      </c>
      <c r="Y923" s="1">
        <f>VLOOKUP($E923,'Product Naming'!$A$1:$P$58,8,FALSE)</f>
        <v>2</v>
      </c>
      <c r="Z923" s="1">
        <f>VLOOKUP($E923,'Product Naming'!$A$1:$P$58,9,FALSE)</f>
        <v>0</v>
      </c>
      <c r="AA923" s="1">
        <f>VLOOKUP($E923,'Product Naming'!$A$1:$P$58,10,FALSE)</f>
        <v>-1</v>
      </c>
      <c r="AB923" s="29">
        <f>VLOOKUP($E923,'Product Naming'!$A$1:$P$58,11,FALSE)</f>
        <v>4.1428571428571432</v>
      </c>
      <c r="AC923" s="3">
        <f>VLOOKUP($E923,'Product Naming'!$A$1:$P$58,12,FALSE)</f>
        <v>121.1121</v>
      </c>
      <c r="AD923" s="1">
        <f>VLOOKUP($E923,'Product Naming'!$A$1:$P$58,13,FALSE)</f>
        <v>249.2</v>
      </c>
      <c r="AE923" s="1" t="str">
        <f>VLOOKUP($E923,'Product Naming'!$A$1:$P$58,14,FALSE)</f>
        <v>Aromatic + Carboxylate</v>
      </c>
      <c r="AF923" s="1" t="str">
        <f>VLOOKUP($E923,'Product Naming'!$A$1:$P$58,15,FALSE)</f>
        <v>E4P + aKG</v>
      </c>
      <c r="AG923" s="30" t="str">
        <f>VLOOKUP($E923,'Product Naming'!$A$1:$P$58,16,FALSE)</f>
        <v>Proton symporter</v>
      </c>
      <c r="AH923" s="3" t="str">
        <f>VLOOKUP($E923,'Product Naming'!$A$1:$Q$58,17,FALSE)</f>
        <v>bz_c</v>
      </c>
      <c r="AI923" s="1">
        <f>VLOOKUP($E923,'Product Parameters'!$A$2:$D$59,2,FALSE)</f>
        <v>1</v>
      </c>
      <c r="AJ923" s="1">
        <f>VLOOKUP($E923,'Product Parameters'!$A$2:$D$59,3,FALSE)</f>
        <v>0</v>
      </c>
      <c r="AK923" s="1">
        <f>VLOOKUP($E923,'Product Parameters'!$A$2:$D$59,4,FALSE)</f>
        <v>0.12</v>
      </c>
      <c r="AL923" s="1">
        <f>VLOOKUP($E923,'Product Parameters'!$A$2:$E$59,5,FALSE)</f>
        <v>40.65</v>
      </c>
      <c r="AM923" s="1">
        <f>VLOOKUP($E923,'Product Parameters'!$A$2:$F$59,6,FALSE)</f>
        <v>7</v>
      </c>
      <c r="AN923" s="1">
        <f>VLOOKUP($C923,'Substrate Heating'!$A$2:$C$33,3,FALSE)</f>
        <v>1055.1294800000001</v>
      </c>
      <c r="AO923" s="1">
        <f>VLOOKUP($C923,'Substrate Heating'!$A$2:$B$33,2,FALSE)</f>
        <v>17</v>
      </c>
      <c r="AP923" s="1">
        <f>VLOOKUP($C923,'Substrate Heating'!$A$2:$M$33,13,FALSE)</f>
        <v>5</v>
      </c>
      <c r="AQ923" s="1">
        <f>VLOOKUP($C923,'Substrate Heating'!$A$2:$M$33,8,FALSE)</f>
        <v>2</v>
      </c>
      <c r="AR923" s="1">
        <f t="shared" si="14"/>
        <v>0.79051229508196752</v>
      </c>
    </row>
    <row r="924" spans="1:44" x14ac:dyDescent="0.2">
      <c r="A924" s="8" t="s">
        <v>34</v>
      </c>
      <c r="B924" s="9" t="s">
        <v>35</v>
      </c>
      <c r="C924" s="1" t="s">
        <v>344</v>
      </c>
      <c r="D924" s="10" t="s">
        <v>37</v>
      </c>
      <c r="E924" s="1" t="s">
        <v>66</v>
      </c>
      <c r="F924" s="1" t="s">
        <v>67</v>
      </c>
      <c r="G924" s="1">
        <v>-10</v>
      </c>
      <c r="H924" s="1">
        <v>-20</v>
      </c>
      <c r="I924" s="1" t="s">
        <v>40</v>
      </c>
      <c r="J924" s="1">
        <v>3.15</v>
      </c>
      <c r="K924" s="1">
        <v>-10</v>
      </c>
      <c r="L924" s="1">
        <v>-3.8399999999999901</v>
      </c>
      <c r="M924" s="1" t="s">
        <v>40</v>
      </c>
      <c r="N924" s="1">
        <v>8.2472727272727298</v>
      </c>
      <c r="O924" s="1">
        <v>2.9381818181818198</v>
      </c>
      <c r="Q924" s="1">
        <v>0.29381818181818198</v>
      </c>
      <c r="R924" s="1">
        <v>0.44092885317573199</v>
      </c>
      <c r="S924" s="1" t="str">
        <f>VLOOKUP($E924,'Product Naming'!$A$1:$P$58,2,FALSE)</f>
        <v>1-4-butanediol</v>
      </c>
      <c r="T924" s="1" t="str">
        <f>VLOOKUP($E924,'Product Naming'!$A$1:$P$58,3,FALSE)</f>
        <v>1,4-Butanediol</v>
      </c>
      <c r="U924" s="1" t="str">
        <f>VLOOKUP($E924,'Product Naming'!$A$1:$P$58,4,FALSE)</f>
        <v>E</v>
      </c>
      <c r="V924" s="1" t="str">
        <f>VLOOKUP($E924,'Product Naming'!$A$1:$P$58,5,FALSE)</f>
        <v>C4H10O2</v>
      </c>
      <c r="W924" s="1">
        <f>VLOOKUP($E924,'Product Naming'!$A$1:$P$58,6,FALSE)</f>
        <v>4</v>
      </c>
      <c r="X924" s="1">
        <f>VLOOKUP($E924,'Product Naming'!$A$1:$P$58,7,FALSE)</f>
        <v>10</v>
      </c>
      <c r="Y924" s="1">
        <f>VLOOKUP($E924,'Product Naming'!$A$1:$P$58,8,FALSE)</f>
        <v>2</v>
      </c>
      <c r="Z924" s="1">
        <f>VLOOKUP($E924,'Product Naming'!$A$1:$P$58,9,FALSE)</f>
        <v>0</v>
      </c>
      <c r="AA924" s="1">
        <f>VLOOKUP($E924,'Product Naming'!$A$1:$P$58,10,FALSE)</f>
        <v>0</v>
      </c>
      <c r="AB924" s="29">
        <f>VLOOKUP($E924,'Product Naming'!$A$1:$P$58,11,FALSE)</f>
        <v>5.5</v>
      </c>
      <c r="AC924" s="3">
        <f>VLOOKUP($E924,'Product Naming'!$A$1:$P$58,12,FALSE)</f>
        <v>90.119200000000006</v>
      </c>
      <c r="AD924" s="1">
        <f>VLOOKUP($E924,'Product Naming'!$A$1:$P$58,13,FALSE)</f>
        <v>230</v>
      </c>
      <c r="AE924" s="1" t="str">
        <f>VLOOKUP($E924,'Product Naming'!$A$1:$P$58,14,FALSE)</f>
        <v>Diol</v>
      </c>
      <c r="AF924" s="1" t="str">
        <f>VLOOKUP($E924,'Product Naming'!$A$1:$P$58,15,FALSE)</f>
        <v>aKG</v>
      </c>
      <c r="AG924" s="30" t="str">
        <f>VLOOKUP($E924,'Product Naming'!$A$1:$P$58,16,FALSE)</f>
        <v>Proton symporter</v>
      </c>
      <c r="AH924" s="3" t="str">
        <f>VLOOKUP($E924,'Product Naming'!$A$1:$Q$58,17,FALSE)</f>
        <v>14bdo_c</v>
      </c>
      <c r="AI924" s="1">
        <f>VLOOKUP($E924,'Product Parameters'!$A$2:$D$59,2,FALSE)</f>
        <v>1</v>
      </c>
      <c r="AJ924" s="1">
        <f>VLOOKUP($E924,'Product Parameters'!$A$2:$D$59,3,FALSE)</f>
        <v>0</v>
      </c>
      <c r="AK924" s="1">
        <f>VLOOKUP($E924,'Product Parameters'!$A$2:$D$59,4,FALSE)</f>
        <v>0.12</v>
      </c>
      <c r="AL924" s="1">
        <f>VLOOKUP($E924,'Product Parameters'!$A$2:$E$59,5,FALSE)</f>
        <v>78</v>
      </c>
      <c r="AM924" s="1">
        <f>VLOOKUP($E924,'Product Parameters'!$A$2:$F$59,6,FALSE)</f>
        <v>4</v>
      </c>
      <c r="AN924" s="1">
        <f>VLOOKUP($C924,'Substrate Heating'!$A$2:$C$33,3,FALSE)</f>
        <v>1020.8629199999999</v>
      </c>
      <c r="AO924" s="1">
        <f>VLOOKUP($C924,'Substrate Heating'!$A$2:$B$33,2,FALSE)</f>
        <v>17</v>
      </c>
      <c r="AP924" s="1">
        <f>VLOOKUP($C924,'Substrate Heating'!$A$2:$M$33,13,FALSE)</f>
        <v>4</v>
      </c>
      <c r="AQ924" s="1">
        <f>VLOOKUP($C924,'Substrate Heating'!$A$2:$M$33,8,FALSE)</f>
        <v>2</v>
      </c>
      <c r="AR924" s="1">
        <f t="shared" si="14"/>
        <v>0.58763636363636396</v>
      </c>
    </row>
    <row r="925" spans="1:44" x14ac:dyDescent="0.2">
      <c r="A925" s="17" t="s">
        <v>323</v>
      </c>
      <c r="B925" s="18" t="s">
        <v>324</v>
      </c>
      <c r="C925" t="s">
        <v>328</v>
      </c>
      <c r="D925" s="19" t="s">
        <v>326</v>
      </c>
      <c r="E925" t="s">
        <v>81</v>
      </c>
      <c r="F925" t="s">
        <v>73</v>
      </c>
      <c r="G925">
        <v>-10</v>
      </c>
      <c r="H925">
        <v>0</v>
      </c>
      <c r="I925">
        <v>-10</v>
      </c>
      <c r="J925">
        <v>0.45</v>
      </c>
      <c r="K925">
        <v>-10</v>
      </c>
      <c r="L925">
        <v>0</v>
      </c>
      <c r="M925">
        <v>-10</v>
      </c>
      <c r="N925">
        <v>3.30909090909091</v>
      </c>
      <c r="O925">
        <v>2.2060606060606101</v>
      </c>
      <c r="P925"/>
      <c r="Q925">
        <v>0.220606060606061</v>
      </c>
      <c r="R925">
        <v>0.44146056932965999</v>
      </c>
      <c r="S925" s="1" t="str">
        <f>VLOOKUP($E925,'Product Naming'!$A$1:$P$58,2,FALSE)</f>
        <v>1-propanol-PW2</v>
      </c>
      <c r="T925" s="1" t="str">
        <f>VLOOKUP($E925,'Product Naming'!$A$1:$P$58,3,FALSE)</f>
        <v>1-Propanol (PW2)</v>
      </c>
      <c r="U925" s="1" t="str">
        <f>VLOOKUP($E925,'Product Naming'!$A$1:$P$58,4,FALSE)</f>
        <v>E-S</v>
      </c>
      <c r="V925" s="1" t="str">
        <f>VLOOKUP($E925,'Product Naming'!$A$1:$P$58,5,FALSE)</f>
        <v>C3H8O</v>
      </c>
      <c r="W925" s="1">
        <f>VLOOKUP($E925,'Product Naming'!$A$1:$P$58,6,FALSE)</f>
        <v>3</v>
      </c>
      <c r="X925" s="1">
        <f>VLOOKUP($E925,'Product Naming'!$A$1:$P$58,7,FALSE)</f>
        <v>8</v>
      </c>
      <c r="Y925" s="1">
        <f>VLOOKUP($E925,'Product Naming'!$A$1:$P$58,8,FALSE)</f>
        <v>1</v>
      </c>
      <c r="Z925" s="1">
        <f>VLOOKUP($E925,'Product Naming'!$A$1:$P$58,9,FALSE)</f>
        <v>0</v>
      </c>
      <c r="AA925" s="1">
        <f>VLOOKUP($E925,'Product Naming'!$A$1:$P$58,10,FALSE)</f>
        <v>0</v>
      </c>
      <c r="AB925" s="29">
        <f>VLOOKUP($E925,'Product Naming'!$A$1:$P$58,11,FALSE)</f>
        <v>6</v>
      </c>
      <c r="AC925" s="3">
        <f>VLOOKUP($E925,'Product Naming'!$A$1:$P$58,12,FALSE)</f>
        <v>60.093820000000001</v>
      </c>
      <c r="AD925" s="1">
        <f>VLOOKUP($E925,'Product Naming'!$A$1:$P$58,13,FALSE)</f>
        <v>97</v>
      </c>
      <c r="AE925" s="1" t="str">
        <f>VLOOKUP($E925,'Product Naming'!$A$1:$P$58,14,FALSE)</f>
        <v>Alcohol</v>
      </c>
      <c r="AF925" s="1" t="str">
        <f>VLOOKUP($E925,'Product Naming'!$A$1:$P$58,15,FALSE)</f>
        <v>Oxaloacetate</v>
      </c>
      <c r="AG925" s="30" t="str">
        <f>VLOOKUP($E925,'Product Naming'!$A$1:$P$58,16,FALSE)</f>
        <v>Proton symporter</v>
      </c>
      <c r="AH925" s="3" t="str">
        <f>VLOOKUP($E925,'Product Naming'!$A$1:$Q$58,17,FALSE)</f>
        <v>ppoh_c</v>
      </c>
      <c r="AI925" s="1">
        <f>VLOOKUP($E925,'Product Parameters'!$A$2:$D$59,2,FALSE)</f>
        <v>1</v>
      </c>
      <c r="AJ925" s="1">
        <f>VLOOKUP($E925,'Product Parameters'!$A$2:$D$59,3,FALSE)</f>
        <v>0</v>
      </c>
      <c r="AK925" s="1">
        <f>VLOOKUP($E925,'Product Parameters'!$A$2:$D$59,4,FALSE)</f>
        <v>0.12</v>
      </c>
      <c r="AL925" s="1">
        <f>VLOOKUP($E925,'Product Parameters'!$A$2:$E$59,5,FALSE)</f>
        <v>47</v>
      </c>
      <c r="AM925" s="1">
        <f>VLOOKUP($E925,'Product Parameters'!$A$2:$F$59,6,FALSE)</f>
        <v>3</v>
      </c>
      <c r="AN925" s="1">
        <f>VLOOKUP($C925,'Substrate Heating'!$A$2:$C$33,3,FALSE)</f>
        <v>262.39999999999998</v>
      </c>
      <c r="AO925" s="1">
        <f>VLOOKUP($C925,'Substrate Heating'!$A$2:$B$33,2,FALSE)</f>
        <v>17.478546483008707</v>
      </c>
      <c r="AP925" s="1">
        <f>VLOOKUP($C925,'Substrate Heating'!$A$2:$M$33,13,FALSE)</f>
        <v>1</v>
      </c>
      <c r="AQ925" s="1">
        <f>VLOOKUP($C925,'Substrate Heating'!$A$2:$M$33,8,FALSE)</f>
        <v>0.5</v>
      </c>
      <c r="AR925" s="1">
        <f t="shared" si="14"/>
        <v>1.3236363636363659</v>
      </c>
    </row>
    <row r="926" spans="1:44" x14ac:dyDescent="0.2">
      <c r="A926" s="8" t="s">
        <v>34</v>
      </c>
      <c r="B926" s="9" t="s">
        <v>35</v>
      </c>
      <c r="C926" s="1" t="s">
        <v>344</v>
      </c>
      <c r="D926" s="10" t="s">
        <v>37</v>
      </c>
      <c r="E926" s="1" t="s">
        <v>209</v>
      </c>
      <c r="F926" s="1" t="s">
        <v>210</v>
      </c>
      <c r="G926" s="1">
        <v>-10</v>
      </c>
      <c r="H926" s="1">
        <v>-20</v>
      </c>
      <c r="I926" s="1" t="s">
        <v>40</v>
      </c>
      <c r="J926" s="1">
        <v>3.15</v>
      </c>
      <c r="K926" s="1">
        <v>-10</v>
      </c>
      <c r="L926" s="1">
        <v>-6.1353448275862101</v>
      </c>
      <c r="M926" s="1" t="s">
        <v>40</v>
      </c>
      <c r="N926" s="1">
        <v>7.6758620689655199</v>
      </c>
      <c r="O926" s="1">
        <v>3.08103448275862</v>
      </c>
      <c r="Q926" s="1">
        <v>0.308103448275862</v>
      </c>
      <c r="R926" s="1">
        <v>0.44168321385833398</v>
      </c>
      <c r="S926" s="1" t="str">
        <f>VLOOKUP($E926,'Product Naming'!$A$1:$P$58,2,FALSE)</f>
        <v>GammaButyrolactone</v>
      </c>
      <c r="T926" s="1" t="str">
        <f>VLOOKUP($E926,'Product Naming'!$A$1:$P$58,3,FALSE)</f>
        <v>Gamma butyrolactone</v>
      </c>
      <c r="U926" s="1" t="str">
        <f>VLOOKUP($E926,'Product Naming'!$A$1:$P$58,4,FALSE)</f>
        <v>A</v>
      </c>
      <c r="V926" s="1" t="str">
        <f>VLOOKUP($E926,'Product Naming'!$A$1:$P$58,5,FALSE)</f>
        <v>C4H6O2</v>
      </c>
      <c r="W926" s="1">
        <f>VLOOKUP($E926,'Product Naming'!$A$1:$P$58,6,FALSE)</f>
        <v>4</v>
      </c>
      <c r="X926" s="1">
        <f>VLOOKUP($E926,'Product Naming'!$A$1:$P$58,7,FALSE)</f>
        <v>6</v>
      </c>
      <c r="Y926" s="1">
        <f>VLOOKUP($E926,'Product Naming'!$A$1:$P$58,8,FALSE)</f>
        <v>2</v>
      </c>
      <c r="Z926" s="1">
        <f>VLOOKUP($E926,'Product Naming'!$A$1:$P$58,9,FALSE)</f>
        <v>0</v>
      </c>
      <c r="AA926" s="1">
        <f>VLOOKUP($E926,'Product Naming'!$A$1:$P$58,10,FALSE)</f>
        <v>0</v>
      </c>
      <c r="AB926" s="29">
        <f>VLOOKUP($E926,'Product Naming'!$A$1:$P$58,11,FALSE)</f>
        <v>4.5</v>
      </c>
      <c r="AC926" s="3">
        <f>VLOOKUP($E926,'Product Naming'!$A$1:$P$58,12,FALSE)</f>
        <v>86.08784</v>
      </c>
      <c r="AD926" s="1">
        <f>VLOOKUP($E926,'Product Naming'!$A$1:$P$58,13,FALSE)</f>
        <v>204</v>
      </c>
      <c r="AE926" s="1" t="str">
        <f>VLOOKUP($E926,'Product Naming'!$A$1:$P$58,14,FALSE)</f>
        <v>Lactone (cyclic ester)</v>
      </c>
      <c r="AF926" s="1" t="str">
        <f>VLOOKUP($E926,'Product Naming'!$A$1:$P$58,15,FALSE)</f>
        <v>aKG</v>
      </c>
      <c r="AG926" s="30" t="str">
        <f>VLOOKUP($E926,'Product Naming'!$A$1:$P$58,16,FALSE)</f>
        <v>Proton symporter</v>
      </c>
      <c r="AH926" s="3" t="str">
        <f>VLOOKUP($E926,'Product Naming'!$A$1:$Q$58,17,FALSE)</f>
        <v>gblt_c</v>
      </c>
      <c r="AI926" s="1">
        <f>VLOOKUP($E926,'Product Parameters'!$A$2:$D$59,2,FALSE)</f>
        <v>1</v>
      </c>
      <c r="AJ926" s="1">
        <f>VLOOKUP($E926,'Product Parameters'!$A$2:$D$59,3,FALSE)</f>
        <v>0</v>
      </c>
      <c r="AK926" s="1">
        <f>VLOOKUP($E926,'Product Parameters'!$A$2:$D$59,4,FALSE)</f>
        <v>0.12</v>
      </c>
      <c r="AL926" s="1">
        <f>VLOOKUP($E926,'Product Parameters'!$A$2:$E$59,5,FALSE)</f>
        <v>0</v>
      </c>
      <c r="AM926" s="1">
        <f>VLOOKUP($E926,'Product Parameters'!$A$2:$F$59,6,FALSE)</f>
        <v>4</v>
      </c>
      <c r="AN926" s="1">
        <f>VLOOKUP($C926,'Substrate Heating'!$A$2:$C$33,3,FALSE)</f>
        <v>1020.8629199999999</v>
      </c>
      <c r="AO926" s="1">
        <f>VLOOKUP($C926,'Substrate Heating'!$A$2:$B$33,2,FALSE)</f>
        <v>17</v>
      </c>
      <c r="AP926" s="1">
        <f>VLOOKUP($C926,'Substrate Heating'!$A$2:$M$33,13,FALSE)</f>
        <v>4</v>
      </c>
      <c r="AQ926" s="1">
        <f>VLOOKUP($C926,'Substrate Heating'!$A$2:$M$33,8,FALSE)</f>
        <v>2</v>
      </c>
      <c r="AR926" s="1">
        <f t="shared" si="14"/>
        <v>0.616206896551724</v>
      </c>
    </row>
    <row r="927" spans="1:44" x14ac:dyDescent="0.2">
      <c r="A927" s="8" t="s">
        <v>34</v>
      </c>
      <c r="B927" s="9" t="s">
        <v>35</v>
      </c>
      <c r="C927" s="1" t="s">
        <v>345</v>
      </c>
      <c r="D927" s="10" t="s">
        <v>37</v>
      </c>
      <c r="E927" s="1" t="s">
        <v>251</v>
      </c>
      <c r="F927" s="1" t="s">
        <v>252</v>
      </c>
      <c r="G927" s="1">
        <v>-10</v>
      </c>
      <c r="H927" s="1">
        <v>-20</v>
      </c>
      <c r="I927" s="1" t="s">
        <v>40</v>
      </c>
      <c r="J927" s="1">
        <v>3.15</v>
      </c>
      <c r="K927" s="1">
        <v>-10</v>
      </c>
      <c r="L927" s="1">
        <v>-0.110596026490062</v>
      </c>
      <c r="M927" s="1" t="s">
        <v>40</v>
      </c>
      <c r="N927" s="1">
        <v>6.7403973509933897</v>
      </c>
      <c r="O927" s="1">
        <v>4.4198675496688802</v>
      </c>
      <c r="Q927" s="1">
        <v>0.441986754966888</v>
      </c>
      <c r="R927" s="1">
        <v>0.44229455297682502</v>
      </c>
      <c r="S927" s="1" t="str">
        <f>VLOOKUP($E927,'Product Naming'!$A$1:$P$58,2,FALSE)</f>
        <v>Isopropanol</v>
      </c>
      <c r="T927" s="1" t="str">
        <f>VLOOKUP($E927,'Product Naming'!$A$1:$P$58,3,FALSE)</f>
        <v>Isopropanol</v>
      </c>
      <c r="U927" s="1" t="str">
        <f>VLOOKUP($E927,'Product Naming'!$A$1:$P$58,4,FALSE)</f>
        <v>A</v>
      </c>
      <c r="V927" s="1" t="str">
        <f>VLOOKUP($E927,'Product Naming'!$A$1:$P$58,5,FALSE)</f>
        <v>C3H8O</v>
      </c>
      <c r="W927" s="1">
        <f>VLOOKUP($E927,'Product Naming'!$A$1:$P$58,6,FALSE)</f>
        <v>3</v>
      </c>
      <c r="X927" s="1">
        <f>VLOOKUP($E927,'Product Naming'!$A$1:$P$58,7,FALSE)</f>
        <v>8</v>
      </c>
      <c r="Y927" s="1">
        <f>VLOOKUP($E927,'Product Naming'!$A$1:$P$58,8,FALSE)</f>
        <v>1</v>
      </c>
      <c r="Z927" s="1">
        <f>VLOOKUP($E927,'Product Naming'!$A$1:$P$58,9,FALSE)</f>
        <v>0</v>
      </c>
      <c r="AA927" s="1">
        <f>VLOOKUP($E927,'Product Naming'!$A$1:$P$58,10,FALSE)</f>
        <v>0</v>
      </c>
      <c r="AB927" s="29">
        <f>VLOOKUP($E927,'Product Naming'!$A$1:$P$58,11,FALSE)</f>
        <v>6</v>
      </c>
      <c r="AC927" s="3">
        <f>VLOOKUP($E927,'Product Naming'!$A$1:$P$58,12,FALSE)</f>
        <v>60.093820000000001</v>
      </c>
      <c r="AD927" s="1">
        <f>VLOOKUP($E927,'Product Naming'!$A$1:$P$58,13,FALSE)</f>
        <v>82.5</v>
      </c>
      <c r="AE927" s="1" t="str">
        <f>VLOOKUP($E927,'Product Naming'!$A$1:$P$58,14,FALSE)</f>
        <v>Alcohol</v>
      </c>
      <c r="AF927" s="1" t="str">
        <f>VLOOKUP($E927,'Product Naming'!$A$1:$P$58,15,FALSE)</f>
        <v>Acetyl-CoA</v>
      </c>
      <c r="AG927" s="30" t="str">
        <f>VLOOKUP($E927,'Product Naming'!$A$1:$P$58,16,FALSE)</f>
        <v>Proton symporter</v>
      </c>
      <c r="AH927" s="3" t="str">
        <f>VLOOKUP($E927,'Product Naming'!$A$1:$Q$58,17,FALSE)</f>
        <v>2ppoh_c</v>
      </c>
      <c r="AI927" s="1">
        <f>VLOOKUP($E927,'Product Parameters'!$A$2:$D$59,2,FALSE)</f>
        <v>1</v>
      </c>
      <c r="AJ927" s="1">
        <f>VLOOKUP($E927,'Product Parameters'!$A$2:$D$59,3,FALSE)</f>
        <v>0</v>
      </c>
      <c r="AK927" s="1">
        <f>VLOOKUP($E927,'Product Parameters'!$A$2:$D$59,4,FALSE)</f>
        <v>0.12</v>
      </c>
      <c r="AL927" s="1">
        <f>VLOOKUP($E927,'Product Parameters'!$A$2:$E$59,5,FALSE)</f>
        <v>45</v>
      </c>
      <c r="AM927" s="1">
        <f>VLOOKUP($E927,'Product Parameters'!$A$2:$F$59,6,FALSE)</f>
        <v>3</v>
      </c>
      <c r="AN927" s="1">
        <f>VLOOKUP($C927,'Substrate Heating'!$A$2:$C$33,3,FALSE)</f>
        <v>1020.8629199999999</v>
      </c>
      <c r="AO927" s="1">
        <f>VLOOKUP($C927,'Substrate Heating'!$A$2:$B$33,2,FALSE)</f>
        <v>17</v>
      </c>
      <c r="AP927" s="1">
        <f>VLOOKUP($C927,'Substrate Heating'!$A$2:$M$33,13,FALSE)</f>
        <v>4</v>
      </c>
      <c r="AQ927" s="1">
        <f>VLOOKUP($C927,'Substrate Heating'!$A$2:$M$33,8,FALSE)</f>
        <v>2</v>
      </c>
      <c r="AR927" s="1">
        <f t="shared" si="14"/>
        <v>0.66298013245033194</v>
      </c>
    </row>
    <row r="928" spans="1:44" x14ac:dyDescent="0.2">
      <c r="A928" s="8" t="s">
        <v>34</v>
      </c>
      <c r="B928" s="9" t="s">
        <v>35</v>
      </c>
      <c r="C928" s="1" t="s">
        <v>345</v>
      </c>
      <c r="D928" s="10" t="s">
        <v>37</v>
      </c>
      <c r="E928" s="1" t="s">
        <v>240</v>
      </c>
      <c r="F928" s="1" t="s">
        <v>241</v>
      </c>
      <c r="G928" s="1">
        <v>-10</v>
      </c>
      <c r="H928" s="1">
        <v>-20</v>
      </c>
      <c r="I928" s="1" t="s">
        <v>40</v>
      </c>
      <c r="J928" s="1">
        <v>3.15</v>
      </c>
      <c r="K928" s="1">
        <v>-10</v>
      </c>
      <c r="L928" s="1">
        <v>-1.4868965517241399</v>
      </c>
      <c r="M928" s="1" t="s">
        <v>40</v>
      </c>
      <c r="N928" s="1">
        <v>7.6579310344827602</v>
      </c>
      <c r="O928" s="1">
        <v>3.0855172413793102</v>
      </c>
      <c r="Q928" s="1">
        <v>0.30855172413793103</v>
      </c>
      <c r="R928" s="1">
        <v>0.442547087466724</v>
      </c>
      <c r="S928" s="1" t="str">
        <f>VLOOKUP($E928,'Product Naming'!$A$1:$P$58,2,FALSE)</f>
        <v>Isobutanol</v>
      </c>
      <c r="T928" s="1" t="str">
        <f>VLOOKUP($E928,'Product Naming'!$A$1:$P$58,3,FALSE)</f>
        <v>Isobutanol</v>
      </c>
      <c r="U928" s="1" t="str">
        <f>VLOOKUP($E928,'Product Naming'!$A$1:$P$58,4,FALSE)</f>
        <v>E</v>
      </c>
      <c r="V928" s="1" t="str">
        <f>VLOOKUP($E928,'Product Naming'!$A$1:$P$58,5,FALSE)</f>
        <v>C5H10O</v>
      </c>
      <c r="W928" s="1">
        <f>VLOOKUP($E928,'Product Naming'!$A$1:$P$58,6,FALSE)</f>
        <v>5</v>
      </c>
      <c r="X928" s="1">
        <f>VLOOKUP($E928,'Product Naming'!$A$1:$P$58,7,FALSE)</f>
        <v>10</v>
      </c>
      <c r="Y928" s="1">
        <f>VLOOKUP($E928,'Product Naming'!$A$1:$P$58,8,FALSE)</f>
        <v>1</v>
      </c>
      <c r="Z928" s="1">
        <f>VLOOKUP($E928,'Product Naming'!$A$1:$P$58,9,FALSE)</f>
        <v>0</v>
      </c>
      <c r="AA928" s="1">
        <f>VLOOKUP($E928,'Product Naming'!$A$1:$P$58,10,FALSE)</f>
        <v>0</v>
      </c>
      <c r="AB928" s="29">
        <f>VLOOKUP($E928,'Product Naming'!$A$1:$P$58,11,FALSE)</f>
        <v>5.6</v>
      </c>
      <c r="AC928" s="3">
        <f>VLOOKUP($E928,'Product Naming'!$A$1:$P$58,12,FALSE)</f>
        <v>86.130899999999997</v>
      </c>
      <c r="AD928" s="1">
        <f>VLOOKUP($E928,'Product Naming'!$A$1:$P$58,13,FALSE)</f>
        <v>108</v>
      </c>
      <c r="AE928" s="1" t="str">
        <f>VLOOKUP($E928,'Product Naming'!$A$1:$P$58,14,FALSE)</f>
        <v>Alcohol</v>
      </c>
      <c r="AF928" s="1" t="str">
        <f>VLOOKUP($E928,'Product Naming'!$A$1:$P$58,15,FALSE)</f>
        <v>Pyruvate</v>
      </c>
      <c r="AG928" s="30" t="str">
        <f>VLOOKUP($E928,'Product Naming'!$A$1:$P$58,16,FALSE)</f>
        <v>Proton symporter</v>
      </c>
      <c r="AH928" s="3" t="str">
        <f>VLOOKUP($E928,'Product Naming'!$A$1:$Q$58,17,FALSE)</f>
        <v>ibutoh_c</v>
      </c>
      <c r="AI928" s="1">
        <f>VLOOKUP($E928,'Product Parameters'!$A$2:$D$59,2,FALSE)</f>
        <v>1</v>
      </c>
      <c r="AJ928" s="1">
        <f>VLOOKUP($E928,'Product Parameters'!$A$2:$D$59,3,FALSE)</f>
        <v>0</v>
      </c>
      <c r="AK928" s="1">
        <f>VLOOKUP($E928,'Product Parameters'!$A$2:$D$59,4,FALSE)</f>
        <v>0.12</v>
      </c>
      <c r="AL928" s="1">
        <f>VLOOKUP($E928,'Product Parameters'!$A$2:$E$59,5,FALSE)</f>
        <v>51</v>
      </c>
      <c r="AM928" s="1">
        <f>VLOOKUP($E928,'Product Parameters'!$A$2:$F$59,6,FALSE)</f>
        <v>5</v>
      </c>
      <c r="AN928" s="1">
        <f>VLOOKUP($C928,'Substrate Heating'!$A$2:$C$33,3,FALSE)</f>
        <v>1020.8629199999999</v>
      </c>
      <c r="AO928" s="1">
        <f>VLOOKUP($C928,'Substrate Heating'!$A$2:$B$33,2,FALSE)</f>
        <v>17</v>
      </c>
      <c r="AP928" s="1">
        <f>VLOOKUP($C928,'Substrate Heating'!$A$2:$M$33,13,FALSE)</f>
        <v>4</v>
      </c>
      <c r="AQ928" s="1">
        <f>VLOOKUP($C928,'Substrate Heating'!$A$2:$M$33,8,FALSE)</f>
        <v>2</v>
      </c>
      <c r="AR928" s="1">
        <f t="shared" si="14"/>
        <v>0.77137931034482754</v>
      </c>
    </row>
    <row r="929" spans="1:44" x14ac:dyDescent="0.2">
      <c r="A929" s="17" t="s">
        <v>323</v>
      </c>
      <c r="B929" s="18" t="s">
        <v>324</v>
      </c>
      <c r="C929" t="s">
        <v>336</v>
      </c>
      <c r="D929" s="19" t="s">
        <v>326</v>
      </c>
      <c r="E929" t="s">
        <v>171</v>
      </c>
      <c r="F929" t="s">
        <v>172</v>
      </c>
      <c r="G929">
        <v>-10</v>
      </c>
      <c r="H929">
        <v>0</v>
      </c>
      <c r="I929">
        <v>-20</v>
      </c>
      <c r="J929">
        <v>0.45</v>
      </c>
      <c r="K929">
        <v>-10</v>
      </c>
      <c r="L929">
        <v>0</v>
      </c>
      <c r="M929">
        <v>-15</v>
      </c>
      <c r="N929">
        <v>0</v>
      </c>
      <c r="O929">
        <v>2.5</v>
      </c>
      <c r="P929"/>
      <c r="Q929">
        <v>0.25</v>
      </c>
      <c r="R929" s="20">
        <v>0.44382225845903001</v>
      </c>
      <c r="S929" s="1" t="str">
        <f>VLOOKUP($E929,'Product Naming'!$A$1:$P$58,2,FALSE)</f>
        <v>Butyrate</v>
      </c>
      <c r="T929" s="1" t="str">
        <f>VLOOKUP($E929,'Product Naming'!$A$1:$P$58,3,FALSE)</f>
        <v>Butyrate</v>
      </c>
      <c r="U929" s="1" t="str">
        <f>VLOOKUP($E929,'Product Naming'!$A$1:$P$58,4,FALSE)</f>
        <v>A</v>
      </c>
      <c r="V929" s="1" t="str">
        <f>VLOOKUP($E929,'Product Naming'!$A$1:$P$58,5,FALSE)</f>
        <v>C4H7O2</v>
      </c>
      <c r="W929" s="1">
        <f>VLOOKUP($E929,'Product Naming'!$A$1:$P$58,6,FALSE)</f>
        <v>4</v>
      </c>
      <c r="X929" s="1">
        <f>VLOOKUP($E929,'Product Naming'!$A$1:$P$58,7,FALSE)</f>
        <v>7</v>
      </c>
      <c r="Y929" s="1">
        <f>VLOOKUP($E929,'Product Naming'!$A$1:$P$58,8,FALSE)</f>
        <v>2</v>
      </c>
      <c r="Z929" s="1">
        <f>VLOOKUP($E929,'Product Naming'!$A$1:$P$58,9,FALSE)</f>
        <v>0</v>
      </c>
      <c r="AA929" s="1">
        <f>VLOOKUP($E929,'Product Naming'!$A$1:$P$58,10,FALSE)</f>
        <v>-1</v>
      </c>
      <c r="AB929" s="29">
        <f>VLOOKUP($E929,'Product Naming'!$A$1:$P$58,11,FALSE)</f>
        <v>4.75</v>
      </c>
      <c r="AC929" s="3">
        <f>VLOOKUP($E929,'Product Naming'!$A$1:$P$58,12,FALSE)</f>
        <v>87.095680000000002</v>
      </c>
      <c r="AD929" s="1">
        <f>VLOOKUP($E929,'Product Naming'!$A$1:$P$58,13,FALSE)</f>
        <v>163.5</v>
      </c>
      <c r="AE929" s="1" t="str">
        <f>VLOOKUP($E929,'Product Naming'!$A$1:$P$58,14,FALSE)</f>
        <v>Carboxylate</v>
      </c>
      <c r="AF929" s="1" t="str">
        <f>VLOOKUP($E929,'Product Naming'!$A$1:$P$58,15,FALSE)</f>
        <v>Acetyl-CoA</v>
      </c>
      <c r="AG929" s="30" t="str">
        <f>VLOOKUP($E929,'Product Naming'!$A$1:$P$58,16,FALSE)</f>
        <v>Proton symporter</v>
      </c>
      <c r="AH929" s="3" t="str">
        <f>VLOOKUP($E929,'Product Naming'!$A$1:$Q$58,17,FALSE)</f>
        <v>but_c</v>
      </c>
      <c r="AI929" s="1">
        <f>VLOOKUP($E929,'Product Parameters'!$A$2:$D$59,2,FALSE)</f>
        <v>1</v>
      </c>
      <c r="AJ929" s="1">
        <f>VLOOKUP($E929,'Product Parameters'!$A$2:$D$59,3,FALSE)</f>
        <v>0</v>
      </c>
      <c r="AK929" s="1">
        <f>VLOOKUP($E929,'Product Parameters'!$A$2:$D$59,4,FALSE)</f>
        <v>0.12</v>
      </c>
      <c r="AL929" s="1">
        <f>VLOOKUP($E929,'Product Parameters'!$A$2:$E$59,5,FALSE)</f>
        <v>42</v>
      </c>
      <c r="AM929" s="1">
        <f>VLOOKUP($E929,'Product Parameters'!$A$2:$F$59,6,FALSE)</f>
        <v>4</v>
      </c>
      <c r="AN929" s="1">
        <f>VLOOKUP($C929,'Substrate Heating'!$A$2:$C$33,3,FALSE)</f>
        <v>245.86666666666667</v>
      </c>
      <c r="AO929" s="1">
        <f>VLOOKUP($C929,'Substrate Heating'!$A$2:$B$33,2,FALSE)</f>
        <v>15.038360459876978</v>
      </c>
      <c r="AP929" s="1">
        <f>VLOOKUP($C929,'Substrate Heating'!$A$2:$M$33,13,FALSE)</f>
        <v>0.33333333333333331</v>
      </c>
      <c r="AQ929" s="1">
        <f>VLOOKUP($C929,'Substrate Heating'!$A$2:$M$33,8,FALSE)</f>
        <v>0.33333333333333331</v>
      </c>
      <c r="AR929" s="1">
        <f t="shared" si="14"/>
        <v>3</v>
      </c>
    </row>
    <row r="930" spans="1:44" x14ac:dyDescent="0.2">
      <c r="A930" s="17" t="s">
        <v>323</v>
      </c>
      <c r="B930" s="18" t="s">
        <v>324</v>
      </c>
      <c r="C930" t="s">
        <v>336</v>
      </c>
      <c r="D930" s="19" t="s">
        <v>326</v>
      </c>
      <c r="E930" t="s">
        <v>244</v>
      </c>
      <c r="F930" t="s">
        <v>245</v>
      </c>
      <c r="G930">
        <v>-10</v>
      </c>
      <c r="H930">
        <v>0</v>
      </c>
      <c r="I930">
        <v>-20</v>
      </c>
      <c r="J930">
        <v>0.45</v>
      </c>
      <c r="K930">
        <v>-10</v>
      </c>
      <c r="L930">
        <v>0</v>
      </c>
      <c r="M930">
        <v>-15</v>
      </c>
      <c r="N930">
        <v>0</v>
      </c>
      <c r="O930">
        <v>2.5</v>
      </c>
      <c r="P930"/>
      <c r="Q930">
        <v>0.25</v>
      </c>
      <c r="R930" s="20">
        <v>0.44382225845903001</v>
      </c>
      <c r="S930" s="1" t="str">
        <f>VLOOKUP($E930,'Product Naming'!$A$1:$P$58,2,FALSE)</f>
        <v>Isobutyrate</v>
      </c>
      <c r="T930" s="1" t="str">
        <f>VLOOKUP($E930,'Product Naming'!$A$1:$P$58,3,FALSE)</f>
        <v>Isobutyrate</v>
      </c>
      <c r="U930" s="1" t="str">
        <f>VLOOKUP($E930,'Product Naming'!$A$1:$P$58,4,FALSE)</f>
        <v>A</v>
      </c>
      <c r="V930" s="1" t="str">
        <f>VLOOKUP($E930,'Product Naming'!$A$1:$P$58,5,FALSE)</f>
        <v>C4H7O2</v>
      </c>
      <c r="W930" s="1">
        <f>VLOOKUP($E930,'Product Naming'!$A$1:$P$58,6,FALSE)</f>
        <v>4</v>
      </c>
      <c r="X930" s="1">
        <f>VLOOKUP($E930,'Product Naming'!$A$1:$P$58,7,FALSE)</f>
        <v>7</v>
      </c>
      <c r="Y930" s="1">
        <f>VLOOKUP($E930,'Product Naming'!$A$1:$P$58,8,FALSE)</f>
        <v>2</v>
      </c>
      <c r="Z930" s="1">
        <f>VLOOKUP($E930,'Product Naming'!$A$1:$P$58,9,FALSE)</f>
        <v>0</v>
      </c>
      <c r="AA930" s="1">
        <f>VLOOKUP($E930,'Product Naming'!$A$1:$P$58,10,FALSE)</f>
        <v>-1</v>
      </c>
      <c r="AB930" s="29">
        <f>VLOOKUP($E930,'Product Naming'!$A$1:$P$58,11,FALSE)</f>
        <v>4.75</v>
      </c>
      <c r="AC930" s="3">
        <f>VLOOKUP($E930,'Product Naming'!$A$1:$P$58,12,FALSE)</f>
        <v>87.095680000000002</v>
      </c>
      <c r="AD930" s="1">
        <f>VLOOKUP($E930,'Product Naming'!$A$1:$P$58,13,FALSE)</f>
        <v>155</v>
      </c>
      <c r="AE930" s="1" t="str">
        <f>VLOOKUP($E930,'Product Naming'!$A$1:$P$58,14,FALSE)</f>
        <v>Carboxylate</v>
      </c>
      <c r="AF930" s="1" t="str">
        <f>VLOOKUP($E930,'Product Naming'!$A$1:$P$58,15,FALSE)</f>
        <v>Pyruvate</v>
      </c>
      <c r="AG930" s="30" t="str">
        <f>VLOOKUP($E930,'Product Naming'!$A$1:$P$58,16,FALSE)</f>
        <v>Proton symporter</v>
      </c>
      <c r="AH930" s="3" t="str">
        <f>VLOOKUP($E930,'Product Naming'!$A$1:$Q$58,17,FALSE)</f>
        <v>ibt_c</v>
      </c>
      <c r="AI930" s="1">
        <f>VLOOKUP($E930,'Product Parameters'!$A$2:$D$59,2,FALSE)</f>
        <v>1</v>
      </c>
      <c r="AJ930" s="1">
        <f>VLOOKUP($E930,'Product Parameters'!$A$2:$D$59,3,FALSE)</f>
        <v>0</v>
      </c>
      <c r="AK930" s="1">
        <f>VLOOKUP($E930,'Product Parameters'!$A$2:$D$59,4,FALSE)</f>
        <v>0.12</v>
      </c>
      <c r="AL930" s="1">
        <f>VLOOKUP($E930,'Product Parameters'!$A$2:$E$59,5,FALSE)</f>
        <v>44.5</v>
      </c>
      <c r="AM930" s="1">
        <f>VLOOKUP($E930,'Product Parameters'!$A$2:$F$59,6,FALSE)</f>
        <v>4</v>
      </c>
      <c r="AN930" s="1">
        <f>VLOOKUP($C930,'Substrate Heating'!$A$2:$C$33,3,FALSE)</f>
        <v>245.86666666666667</v>
      </c>
      <c r="AO930" s="1">
        <f>VLOOKUP($C930,'Substrate Heating'!$A$2:$B$33,2,FALSE)</f>
        <v>15.038360459876978</v>
      </c>
      <c r="AP930" s="1">
        <f>VLOOKUP($C930,'Substrate Heating'!$A$2:$M$33,13,FALSE)</f>
        <v>0.33333333333333331</v>
      </c>
      <c r="AQ930" s="1">
        <f>VLOOKUP($C930,'Substrate Heating'!$A$2:$M$33,8,FALSE)</f>
        <v>0.33333333333333331</v>
      </c>
      <c r="AR930" s="1">
        <f t="shared" si="14"/>
        <v>3</v>
      </c>
    </row>
    <row r="931" spans="1:44" x14ac:dyDescent="0.2">
      <c r="A931" s="8" t="s">
        <v>809</v>
      </c>
      <c r="B931" s="18" t="s">
        <v>324</v>
      </c>
      <c r="C931" t="s">
        <v>808</v>
      </c>
      <c r="D931" s="19" t="s">
        <v>326</v>
      </c>
      <c r="E931" t="s">
        <v>171</v>
      </c>
      <c r="F931" t="s">
        <v>172</v>
      </c>
      <c r="G931">
        <v>-10</v>
      </c>
      <c r="H931">
        <v>0</v>
      </c>
      <c r="I931">
        <v>-20</v>
      </c>
      <c r="J931">
        <v>0.45</v>
      </c>
      <c r="K931">
        <v>-8</v>
      </c>
      <c r="L931">
        <v>0</v>
      </c>
      <c r="M931">
        <v>-20</v>
      </c>
      <c r="N931">
        <v>-8</v>
      </c>
      <c r="O931">
        <v>2</v>
      </c>
      <c r="P931"/>
      <c r="Q931">
        <v>0.25</v>
      </c>
      <c r="R931">
        <v>0.44391274209989801</v>
      </c>
      <c r="S931" s="1" t="str">
        <f>VLOOKUP($E931,'Product Naming'!$A$1:$P$58,2,FALSE)</f>
        <v>Butyrate</v>
      </c>
      <c r="T931" s="1" t="str">
        <f>VLOOKUP($E931,'Product Naming'!$A$1:$P$58,3,FALSE)</f>
        <v>Butyrate</v>
      </c>
      <c r="U931" s="1" t="str">
        <f>VLOOKUP($E931,'Product Naming'!$A$1:$P$58,4,FALSE)</f>
        <v>A</v>
      </c>
      <c r="V931" s="1" t="str">
        <f>VLOOKUP($E931,'Product Naming'!$A$1:$P$58,5,FALSE)</f>
        <v>C4H7O2</v>
      </c>
      <c r="W931" s="1">
        <f>VLOOKUP($E931,'Product Naming'!$A$1:$P$58,6,FALSE)</f>
        <v>4</v>
      </c>
      <c r="X931" s="1">
        <f>VLOOKUP($E931,'Product Naming'!$A$1:$P$58,7,FALSE)</f>
        <v>7</v>
      </c>
      <c r="Y931" s="1">
        <f>VLOOKUP($E931,'Product Naming'!$A$1:$P$58,8,FALSE)</f>
        <v>2</v>
      </c>
      <c r="Z931" s="1">
        <f>VLOOKUP($E931,'Product Naming'!$A$1:$P$58,9,FALSE)</f>
        <v>0</v>
      </c>
      <c r="AA931" s="1">
        <f>VLOOKUP($E931,'Product Naming'!$A$1:$P$58,10,FALSE)</f>
        <v>-1</v>
      </c>
      <c r="AB931" s="29">
        <f>VLOOKUP($E931,'Product Naming'!$A$1:$P$58,11,FALSE)</f>
        <v>4.75</v>
      </c>
      <c r="AC931" s="3">
        <f>VLOOKUP($E931,'Product Naming'!$A$1:$P$58,12,FALSE)</f>
        <v>87.095680000000002</v>
      </c>
      <c r="AD931" s="1">
        <f>VLOOKUP($E931,'Product Naming'!$A$1:$P$58,13,FALSE)</f>
        <v>163.5</v>
      </c>
      <c r="AE931" s="1" t="str">
        <f>VLOOKUP($E931,'Product Naming'!$A$1:$P$58,14,FALSE)</f>
        <v>Carboxylate</v>
      </c>
      <c r="AF931" s="1" t="str">
        <f>VLOOKUP($E931,'Product Naming'!$A$1:$P$58,15,FALSE)</f>
        <v>Acetyl-CoA</v>
      </c>
      <c r="AG931" s="30" t="str">
        <f>VLOOKUP($E931,'Product Naming'!$A$1:$P$58,16,FALSE)</f>
        <v>Proton symporter</v>
      </c>
      <c r="AH931" s="3" t="str">
        <f>VLOOKUP($E931,'Product Naming'!$A$1:$Q$58,17,FALSE)</f>
        <v>but_c</v>
      </c>
      <c r="AI931" s="1">
        <f>VLOOKUP($E931,'Product Parameters'!$A$2:$D$59,2,FALSE)</f>
        <v>1</v>
      </c>
      <c r="AJ931" s="1">
        <f>VLOOKUP($E931,'Product Parameters'!$A$2:$D$59,3,FALSE)</f>
        <v>0</v>
      </c>
      <c r="AK931" s="1">
        <f>VLOOKUP($E931,'Product Parameters'!$A$2:$D$59,4,FALSE)</f>
        <v>0.12</v>
      </c>
      <c r="AL931" s="1">
        <f>VLOOKUP($E931,'Product Parameters'!$A$2:$E$59,5,FALSE)</f>
        <v>42</v>
      </c>
      <c r="AM931" s="1">
        <f>VLOOKUP($E931,'Product Parameters'!$A$2:$F$59,6,FALSE)</f>
        <v>4</v>
      </c>
      <c r="AN931" s="1">
        <f>VLOOKUP($C931,'Substrate Heating'!$A$2:$C$33,3,FALSE)</f>
        <v>120.9</v>
      </c>
      <c r="AO931" s="1">
        <f>VLOOKUP($C931,'Substrate Heating'!$A$2:$B$33,2,FALSE)</f>
        <v>5.2537372583834907</v>
      </c>
      <c r="AP931" s="1">
        <f>VLOOKUP($C931,'Substrate Heating'!$A$2:$M$33,13,FALSE)</f>
        <v>0</v>
      </c>
      <c r="AQ931" s="1">
        <f>VLOOKUP($C931,'Substrate Heating'!$A$2:$M$33,8,FALSE)</f>
        <v>0.33333333333333331</v>
      </c>
      <c r="AR931" s="1">
        <f t="shared" si="14"/>
        <v>3</v>
      </c>
    </row>
    <row r="932" spans="1:44" x14ac:dyDescent="0.2">
      <c r="A932" s="8" t="s">
        <v>809</v>
      </c>
      <c r="B932" s="18" t="s">
        <v>324</v>
      </c>
      <c r="C932" t="s">
        <v>808</v>
      </c>
      <c r="D932" s="19" t="s">
        <v>326</v>
      </c>
      <c r="E932" t="s">
        <v>244</v>
      </c>
      <c r="F932" t="s">
        <v>245</v>
      </c>
      <c r="G932">
        <v>-10</v>
      </c>
      <c r="H932">
        <v>0</v>
      </c>
      <c r="I932">
        <v>-20</v>
      </c>
      <c r="J932">
        <v>0.45</v>
      </c>
      <c r="K932">
        <v>-8</v>
      </c>
      <c r="L932">
        <v>0</v>
      </c>
      <c r="M932">
        <v>-20</v>
      </c>
      <c r="N932">
        <v>-8</v>
      </c>
      <c r="O932">
        <v>2</v>
      </c>
      <c r="P932"/>
      <c r="Q932">
        <v>0.25</v>
      </c>
      <c r="R932">
        <v>0.44391274209989801</v>
      </c>
      <c r="S932" s="1" t="str">
        <f>VLOOKUP($E932,'Product Naming'!$A$1:$P$58,2,FALSE)</f>
        <v>Isobutyrate</v>
      </c>
      <c r="T932" s="1" t="str">
        <f>VLOOKUP($E932,'Product Naming'!$A$1:$P$58,3,FALSE)</f>
        <v>Isobutyrate</v>
      </c>
      <c r="U932" s="1" t="str">
        <f>VLOOKUP($E932,'Product Naming'!$A$1:$P$58,4,FALSE)</f>
        <v>A</v>
      </c>
      <c r="V932" s="1" t="str">
        <f>VLOOKUP($E932,'Product Naming'!$A$1:$P$58,5,FALSE)</f>
        <v>C4H7O2</v>
      </c>
      <c r="W932" s="1">
        <f>VLOOKUP($E932,'Product Naming'!$A$1:$P$58,6,FALSE)</f>
        <v>4</v>
      </c>
      <c r="X932" s="1">
        <f>VLOOKUP($E932,'Product Naming'!$A$1:$P$58,7,FALSE)</f>
        <v>7</v>
      </c>
      <c r="Y932" s="1">
        <f>VLOOKUP($E932,'Product Naming'!$A$1:$P$58,8,FALSE)</f>
        <v>2</v>
      </c>
      <c r="Z932" s="1">
        <f>VLOOKUP($E932,'Product Naming'!$A$1:$P$58,9,FALSE)</f>
        <v>0</v>
      </c>
      <c r="AA932" s="1">
        <f>VLOOKUP($E932,'Product Naming'!$A$1:$P$58,10,FALSE)</f>
        <v>-1</v>
      </c>
      <c r="AB932" s="29">
        <f>VLOOKUP($E932,'Product Naming'!$A$1:$P$58,11,FALSE)</f>
        <v>4.75</v>
      </c>
      <c r="AC932" s="3">
        <f>VLOOKUP($E932,'Product Naming'!$A$1:$P$58,12,FALSE)</f>
        <v>87.095680000000002</v>
      </c>
      <c r="AD932" s="1">
        <f>VLOOKUP($E932,'Product Naming'!$A$1:$P$58,13,FALSE)</f>
        <v>155</v>
      </c>
      <c r="AE932" s="1" t="str">
        <f>VLOOKUP($E932,'Product Naming'!$A$1:$P$58,14,FALSE)</f>
        <v>Carboxylate</v>
      </c>
      <c r="AF932" s="1" t="str">
        <f>VLOOKUP($E932,'Product Naming'!$A$1:$P$58,15,FALSE)</f>
        <v>Pyruvate</v>
      </c>
      <c r="AG932" s="30" t="str">
        <f>VLOOKUP($E932,'Product Naming'!$A$1:$P$58,16,FALSE)</f>
        <v>Proton symporter</v>
      </c>
      <c r="AH932" s="3" t="str">
        <f>VLOOKUP($E932,'Product Naming'!$A$1:$Q$58,17,FALSE)</f>
        <v>ibt_c</v>
      </c>
      <c r="AI932" s="1">
        <f>VLOOKUP($E932,'Product Parameters'!$A$2:$D$59,2,FALSE)</f>
        <v>1</v>
      </c>
      <c r="AJ932" s="1">
        <f>VLOOKUP($E932,'Product Parameters'!$A$2:$D$59,3,FALSE)</f>
        <v>0</v>
      </c>
      <c r="AK932" s="1">
        <f>VLOOKUP($E932,'Product Parameters'!$A$2:$D$59,4,FALSE)</f>
        <v>0.12</v>
      </c>
      <c r="AL932" s="1">
        <f>VLOOKUP($E932,'Product Parameters'!$A$2:$E$59,5,FALSE)</f>
        <v>44.5</v>
      </c>
      <c r="AM932" s="1">
        <f>VLOOKUP($E932,'Product Parameters'!$A$2:$F$59,6,FALSE)</f>
        <v>4</v>
      </c>
      <c r="AN932" s="1">
        <f>VLOOKUP($C932,'Substrate Heating'!$A$2:$C$33,3,FALSE)</f>
        <v>120.9</v>
      </c>
      <c r="AO932" s="1">
        <f>VLOOKUP($C932,'Substrate Heating'!$A$2:$B$33,2,FALSE)</f>
        <v>5.2537372583834907</v>
      </c>
      <c r="AP932" s="1">
        <f>VLOOKUP($C932,'Substrate Heating'!$A$2:$M$33,13,FALSE)</f>
        <v>0</v>
      </c>
      <c r="AQ932" s="1">
        <f>VLOOKUP($C932,'Substrate Heating'!$A$2:$M$33,8,FALSE)</f>
        <v>0.33333333333333331</v>
      </c>
      <c r="AR932" s="1">
        <f t="shared" si="14"/>
        <v>3</v>
      </c>
    </row>
    <row r="933" spans="1:44" x14ac:dyDescent="0.2">
      <c r="A933" s="8" t="s">
        <v>34</v>
      </c>
      <c r="B933" s="9" t="s">
        <v>35</v>
      </c>
      <c r="C933" s="1" t="s">
        <v>36</v>
      </c>
      <c r="D933" s="10" t="s">
        <v>37</v>
      </c>
      <c r="E933" s="1" t="s">
        <v>313</v>
      </c>
      <c r="F933" s="1" t="s">
        <v>314</v>
      </c>
      <c r="G933" s="1">
        <v>-10</v>
      </c>
      <c r="H933" s="1">
        <v>-20</v>
      </c>
      <c r="I933" s="1" t="s">
        <v>40</v>
      </c>
      <c r="J933" s="1">
        <v>3.15</v>
      </c>
      <c r="K933" s="1">
        <v>-10</v>
      </c>
      <c r="L933" s="1">
        <v>-6.2231686541737696</v>
      </c>
      <c r="M933" s="1" t="s">
        <v>40</v>
      </c>
      <c r="N933" s="1">
        <v>4.9785349233390104</v>
      </c>
      <c r="O933" s="1">
        <v>1.8776831345826199</v>
      </c>
      <c r="Q933" s="1">
        <v>0.187768313458262</v>
      </c>
      <c r="R933" s="1">
        <v>0.44392674426427903</v>
      </c>
      <c r="S933" s="1" t="str">
        <f>VLOOKUP($E933,'Product Naming'!$A$1:$P$58,2,FALSE)</f>
        <v>Styrene</v>
      </c>
      <c r="T933" s="1" t="str">
        <f>VLOOKUP($E933,'Product Naming'!$A$1:$P$58,3,FALSE)</f>
        <v>Styrene</v>
      </c>
      <c r="U933" s="1" t="str">
        <f>VLOOKUP($E933,'Product Naming'!$A$1:$P$58,4,FALSE)</f>
        <v>E-S</v>
      </c>
      <c r="V933" s="1" t="str">
        <f>VLOOKUP($E933,'Product Naming'!$A$1:$P$58,5,FALSE)</f>
        <v>C8H8</v>
      </c>
      <c r="W933" s="1">
        <f>VLOOKUP($E933,'Product Naming'!$A$1:$P$58,6,FALSE)</f>
        <v>8</v>
      </c>
      <c r="X933" s="1">
        <f>VLOOKUP($E933,'Product Naming'!$A$1:$P$58,7,FALSE)</f>
        <v>8</v>
      </c>
      <c r="Y933" s="1">
        <f>VLOOKUP($E933,'Product Naming'!$A$1:$P$58,8,FALSE)</f>
        <v>0</v>
      </c>
      <c r="Z933" s="1">
        <f>VLOOKUP($E933,'Product Naming'!$A$1:$P$58,9,FALSE)</f>
        <v>0</v>
      </c>
      <c r="AA933" s="1">
        <f>VLOOKUP($E933,'Product Naming'!$A$1:$P$58,10,FALSE)</f>
        <v>0</v>
      </c>
      <c r="AB933" s="29">
        <f>VLOOKUP($E933,'Product Naming'!$A$1:$P$58,11,FALSE)</f>
        <v>5</v>
      </c>
      <c r="AC933" s="3">
        <f>VLOOKUP($E933,'Product Naming'!$A$1:$P$58,12,FALSE)</f>
        <v>104.14832</v>
      </c>
      <c r="AD933" s="1">
        <f>VLOOKUP($E933,'Product Naming'!$A$1:$P$58,13,FALSE)</f>
        <v>145</v>
      </c>
      <c r="AE933" s="1" t="str">
        <f>VLOOKUP($E933,'Product Naming'!$A$1:$P$58,14,FALSE)</f>
        <v>Cycloalkane</v>
      </c>
      <c r="AF933" s="1" t="str">
        <f>VLOOKUP($E933,'Product Naming'!$A$1:$P$58,15,FALSE)</f>
        <v>E4P</v>
      </c>
      <c r="AG933" s="30" t="str">
        <f>VLOOKUP($E933,'Product Naming'!$A$1:$P$58,16,FALSE)</f>
        <v>Proton symporter</v>
      </c>
      <c r="AH933" s="3" t="str">
        <f>VLOOKUP($E933,'Product Naming'!$A$1:$Q$58,17,FALSE)</f>
        <v>styr_c</v>
      </c>
      <c r="AI933" s="1">
        <f>VLOOKUP($E933,'Product Parameters'!$A$2:$D$59,2,FALSE)</f>
        <v>1</v>
      </c>
      <c r="AJ933" s="1">
        <f>VLOOKUP($E933,'Product Parameters'!$A$2:$D$59,3,FALSE)</f>
        <v>0</v>
      </c>
      <c r="AK933" s="1">
        <f>VLOOKUP($E933,'Product Parameters'!$A$2:$D$59,4,FALSE)</f>
        <v>0.12</v>
      </c>
      <c r="AL933" s="1">
        <f>VLOOKUP($E933,'Product Parameters'!$A$2:$E$59,5,FALSE)</f>
        <v>43.9</v>
      </c>
      <c r="AM933" s="1">
        <f>VLOOKUP($E933,'Product Parameters'!$A$2:$F$59,6,FALSE)</f>
        <v>8</v>
      </c>
      <c r="AN933" s="1">
        <f>VLOOKUP($C933,'Substrate Heating'!$A$2:$C$33,3,FALSE)</f>
        <v>1064.1143145599999</v>
      </c>
      <c r="AO933" s="1">
        <f>VLOOKUP($C933,'Substrate Heating'!$A$2:$B$33,2,FALSE)</f>
        <v>24.155999999999999</v>
      </c>
      <c r="AP933" s="1">
        <f>VLOOKUP($C933,'Substrate Heating'!$A$2:$M$33,13,FALSE)</f>
        <v>5</v>
      </c>
      <c r="AQ933" s="1">
        <f>VLOOKUP($C933,'Substrate Heating'!$A$2:$M$33,8,FALSE)</f>
        <v>2</v>
      </c>
      <c r="AR933" s="1">
        <f t="shared" si="14"/>
        <v>0.75107325383304802</v>
      </c>
    </row>
    <row r="934" spans="1:44" x14ac:dyDescent="0.2">
      <c r="A934" s="17" t="s">
        <v>323</v>
      </c>
      <c r="B934" s="18" t="s">
        <v>324</v>
      </c>
      <c r="C934" t="s">
        <v>328</v>
      </c>
      <c r="D934" s="19" t="s">
        <v>326</v>
      </c>
      <c r="E934" t="s">
        <v>251</v>
      </c>
      <c r="F934" t="s">
        <v>252</v>
      </c>
      <c r="G934">
        <v>-10</v>
      </c>
      <c r="H934">
        <v>0</v>
      </c>
      <c r="I934">
        <v>-10</v>
      </c>
      <c r="J934">
        <v>0.45</v>
      </c>
      <c r="K934">
        <v>-10</v>
      </c>
      <c r="L934">
        <v>0</v>
      </c>
      <c r="M934">
        <v>-10</v>
      </c>
      <c r="N934">
        <v>3.3333333333333299</v>
      </c>
      <c r="O934">
        <v>2.2222222222222201</v>
      </c>
      <c r="P934"/>
      <c r="Q934">
        <v>0.22222222222222199</v>
      </c>
      <c r="R934">
        <v>0.444694712694712</v>
      </c>
      <c r="S934" s="1" t="str">
        <f>VLOOKUP($E934,'Product Naming'!$A$1:$P$58,2,FALSE)</f>
        <v>Isopropanol</v>
      </c>
      <c r="T934" s="1" t="str">
        <f>VLOOKUP($E934,'Product Naming'!$A$1:$P$58,3,FALSE)</f>
        <v>Isopropanol</v>
      </c>
      <c r="U934" s="1" t="str">
        <f>VLOOKUP($E934,'Product Naming'!$A$1:$P$58,4,FALSE)</f>
        <v>A</v>
      </c>
      <c r="V934" s="1" t="str">
        <f>VLOOKUP($E934,'Product Naming'!$A$1:$P$58,5,FALSE)</f>
        <v>C3H8O</v>
      </c>
      <c r="W934" s="1">
        <f>VLOOKUP($E934,'Product Naming'!$A$1:$P$58,6,FALSE)</f>
        <v>3</v>
      </c>
      <c r="X934" s="1">
        <f>VLOOKUP($E934,'Product Naming'!$A$1:$P$58,7,FALSE)</f>
        <v>8</v>
      </c>
      <c r="Y934" s="1">
        <f>VLOOKUP($E934,'Product Naming'!$A$1:$P$58,8,FALSE)</f>
        <v>1</v>
      </c>
      <c r="Z934" s="1">
        <f>VLOOKUP($E934,'Product Naming'!$A$1:$P$58,9,FALSE)</f>
        <v>0</v>
      </c>
      <c r="AA934" s="1">
        <f>VLOOKUP($E934,'Product Naming'!$A$1:$P$58,10,FALSE)</f>
        <v>0</v>
      </c>
      <c r="AB934" s="29">
        <f>VLOOKUP($E934,'Product Naming'!$A$1:$P$58,11,FALSE)</f>
        <v>6</v>
      </c>
      <c r="AC934" s="3">
        <f>VLOOKUP($E934,'Product Naming'!$A$1:$P$58,12,FALSE)</f>
        <v>60.093820000000001</v>
      </c>
      <c r="AD934" s="1">
        <f>VLOOKUP($E934,'Product Naming'!$A$1:$P$58,13,FALSE)</f>
        <v>82.5</v>
      </c>
      <c r="AE934" s="1" t="str">
        <f>VLOOKUP($E934,'Product Naming'!$A$1:$P$58,14,FALSE)</f>
        <v>Alcohol</v>
      </c>
      <c r="AF934" s="1" t="str">
        <f>VLOOKUP($E934,'Product Naming'!$A$1:$P$58,15,FALSE)</f>
        <v>Acetyl-CoA</v>
      </c>
      <c r="AG934" s="30" t="str">
        <f>VLOOKUP($E934,'Product Naming'!$A$1:$P$58,16,FALSE)</f>
        <v>Proton symporter</v>
      </c>
      <c r="AH934" s="3" t="str">
        <f>VLOOKUP($E934,'Product Naming'!$A$1:$Q$58,17,FALSE)</f>
        <v>2ppoh_c</v>
      </c>
      <c r="AI934" s="1">
        <f>VLOOKUP($E934,'Product Parameters'!$A$2:$D$59,2,FALSE)</f>
        <v>1</v>
      </c>
      <c r="AJ934" s="1">
        <f>VLOOKUP($E934,'Product Parameters'!$A$2:$D$59,3,FALSE)</f>
        <v>0</v>
      </c>
      <c r="AK934" s="1">
        <f>VLOOKUP($E934,'Product Parameters'!$A$2:$D$59,4,FALSE)</f>
        <v>0.12</v>
      </c>
      <c r="AL934" s="1">
        <f>VLOOKUP($E934,'Product Parameters'!$A$2:$E$59,5,FALSE)</f>
        <v>45</v>
      </c>
      <c r="AM934" s="1">
        <f>VLOOKUP($E934,'Product Parameters'!$A$2:$F$59,6,FALSE)</f>
        <v>3</v>
      </c>
      <c r="AN934" s="1">
        <f>VLOOKUP($C934,'Substrate Heating'!$A$2:$C$33,3,FALSE)</f>
        <v>262.39999999999998</v>
      </c>
      <c r="AO934" s="1">
        <f>VLOOKUP($C934,'Substrate Heating'!$A$2:$B$33,2,FALSE)</f>
        <v>17.478546483008707</v>
      </c>
      <c r="AP934" s="1">
        <f>VLOOKUP($C934,'Substrate Heating'!$A$2:$M$33,13,FALSE)</f>
        <v>1</v>
      </c>
      <c r="AQ934" s="1">
        <f>VLOOKUP($C934,'Substrate Heating'!$A$2:$M$33,8,FALSE)</f>
        <v>0.5</v>
      </c>
      <c r="AR934" s="1">
        <f t="shared" si="14"/>
        <v>1.3333333333333319</v>
      </c>
    </row>
    <row r="935" spans="1:44" x14ac:dyDescent="0.2">
      <c r="A935" s="8" t="s">
        <v>34</v>
      </c>
      <c r="B935" s="9" t="s">
        <v>35</v>
      </c>
      <c r="C935" s="1" t="s">
        <v>349</v>
      </c>
      <c r="D935" s="25" t="s">
        <v>342</v>
      </c>
      <c r="E935" s="1" t="s">
        <v>136</v>
      </c>
      <c r="F935" s="1" t="s">
        <v>137</v>
      </c>
      <c r="G935" s="1">
        <v>-10</v>
      </c>
      <c r="H935" s="1">
        <v>-20</v>
      </c>
      <c r="I935" s="1" t="s">
        <v>40</v>
      </c>
      <c r="J935" s="1">
        <v>3.15</v>
      </c>
      <c r="K935" s="1">
        <v>-10</v>
      </c>
      <c r="L935" s="1">
        <v>-8.4369834710743792</v>
      </c>
      <c r="M935" s="1" t="s">
        <v>40</v>
      </c>
      <c r="N935" s="1">
        <v>11.207851239669401</v>
      </c>
      <c r="O935" s="1">
        <v>5.5417355371900801</v>
      </c>
      <c r="Q935" s="1">
        <v>0.55417355371900801</v>
      </c>
      <c r="R935" s="1">
        <v>0.447060033673296</v>
      </c>
      <c r="S935" s="1" t="str">
        <f>VLOOKUP($E935,'Product Naming'!$A$1:$P$58,2,FALSE)</f>
        <v>Benzoate-PW1</v>
      </c>
      <c r="T935" s="1" t="str">
        <f>VLOOKUP($E935,'Product Naming'!$A$1:$P$58,3,FALSE)</f>
        <v>Benzoate (PW1)</v>
      </c>
      <c r="U935" s="1" t="str">
        <f>VLOOKUP($E935,'Product Naming'!$A$1:$P$58,4,FALSE)</f>
        <v>A</v>
      </c>
      <c r="V935" s="1" t="str">
        <f>VLOOKUP($E935,'Product Naming'!$A$1:$P$58,5,FALSE)</f>
        <v>C7H5O2</v>
      </c>
      <c r="W935" s="1">
        <f>VLOOKUP($E935,'Product Naming'!$A$1:$P$58,6,FALSE)</f>
        <v>7</v>
      </c>
      <c r="X935" s="1">
        <f>VLOOKUP($E935,'Product Naming'!$A$1:$P$58,7,FALSE)</f>
        <v>5</v>
      </c>
      <c r="Y935" s="1">
        <f>VLOOKUP($E935,'Product Naming'!$A$1:$P$58,8,FALSE)</f>
        <v>2</v>
      </c>
      <c r="Z935" s="1">
        <f>VLOOKUP($E935,'Product Naming'!$A$1:$P$58,9,FALSE)</f>
        <v>0</v>
      </c>
      <c r="AA935" s="1">
        <f>VLOOKUP($E935,'Product Naming'!$A$1:$P$58,10,FALSE)</f>
        <v>-1</v>
      </c>
      <c r="AB935" s="29">
        <f>VLOOKUP($E935,'Product Naming'!$A$1:$P$58,11,FALSE)</f>
        <v>4.1428571428571432</v>
      </c>
      <c r="AC935" s="3">
        <f>VLOOKUP($E935,'Product Naming'!$A$1:$P$58,12,FALSE)</f>
        <v>121.1121</v>
      </c>
      <c r="AD935" s="1">
        <f>VLOOKUP($E935,'Product Naming'!$A$1:$P$58,13,FALSE)</f>
        <v>249.2</v>
      </c>
      <c r="AE935" s="1" t="str">
        <f>VLOOKUP($E935,'Product Naming'!$A$1:$P$58,14,FALSE)</f>
        <v>Aromatic + Carboxylate</v>
      </c>
      <c r="AF935" s="1" t="str">
        <f>VLOOKUP($E935,'Product Naming'!$A$1:$P$58,15,FALSE)</f>
        <v>E4P + aKG</v>
      </c>
      <c r="AG935" s="30" t="str">
        <f>VLOOKUP($E935,'Product Naming'!$A$1:$P$58,16,FALSE)</f>
        <v>Proton symporter</v>
      </c>
      <c r="AH935" s="3" t="str">
        <f>VLOOKUP($E935,'Product Naming'!$A$1:$Q$58,17,FALSE)</f>
        <v>bz_c</v>
      </c>
      <c r="AI935" s="1">
        <f>VLOOKUP($E935,'Product Parameters'!$A$2:$D$59,2,FALSE)</f>
        <v>1</v>
      </c>
      <c r="AJ935" s="1">
        <f>VLOOKUP($E935,'Product Parameters'!$A$2:$D$59,3,FALSE)</f>
        <v>0</v>
      </c>
      <c r="AK935" s="1">
        <f>VLOOKUP($E935,'Product Parameters'!$A$2:$D$59,4,FALSE)</f>
        <v>0.12</v>
      </c>
      <c r="AL935" s="1">
        <f>VLOOKUP($E935,'Product Parameters'!$A$2:$E$59,5,FALSE)</f>
        <v>40.65</v>
      </c>
      <c r="AM935" s="1">
        <f>VLOOKUP($E935,'Product Parameters'!$A$2:$F$59,6,FALSE)</f>
        <v>7</v>
      </c>
      <c r="AN935" s="1">
        <f>VLOOKUP($C935,'Substrate Heating'!$A$2:$C$33,3,FALSE)</f>
        <v>2342.0279999999998</v>
      </c>
      <c r="AO935" s="1">
        <f>VLOOKUP($C935,'Substrate Heating'!$A$2:$B$33,2,FALSE)</f>
        <v>15.6</v>
      </c>
      <c r="AP935" s="1">
        <f>VLOOKUP($C935,'Substrate Heating'!$A$2:$M$33,13,FALSE)</f>
        <v>4</v>
      </c>
      <c r="AQ935" s="1">
        <f>VLOOKUP($C935,'Substrate Heating'!$A$2:$M$33,8,FALSE)</f>
        <v>5</v>
      </c>
      <c r="AR935" s="1">
        <f t="shared" si="14"/>
        <v>0.77584297520661116</v>
      </c>
    </row>
    <row r="936" spans="1:44" x14ac:dyDescent="0.2">
      <c r="A936" s="8" t="s">
        <v>34</v>
      </c>
      <c r="B936" s="9" t="s">
        <v>35</v>
      </c>
      <c r="C936" s="1" t="s">
        <v>349</v>
      </c>
      <c r="D936" s="25" t="s">
        <v>342</v>
      </c>
      <c r="E936" s="1" t="s">
        <v>143</v>
      </c>
      <c r="F936" s="1" t="s">
        <v>137</v>
      </c>
      <c r="G936" s="1">
        <v>-10</v>
      </c>
      <c r="H936" s="1">
        <v>-20</v>
      </c>
      <c r="I936" s="1" t="s">
        <v>40</v>
      </c>
      <c r="J936" s="1">
        <v>3.15</v>
      </c>
      <c r="K936" s="1">
        <v>-10</v>
      </c>
      <c r="L936" s="1">
        <v>-8.4369834710743792</v>
      </c>
      <c r="M936" s="1" t="s">
        <v>40</v>
      </c>
      <c r="N936" s="1">
        <v>11.207851239669401</v>
      </c>
      <c r="O936" s="1">
        <v>5.5417355371900898</v>
      </c>
      <c r="Q936" s="1">
        <v>0.554173553719009</v>
      </c>
      <c r="R936" s="1">
        <v>0.447060033673296</v>
      </c>
      <c r="S936" s="1" t="str">
        <f>VLOOKUP($E936,'Product Naming'!$A$1:$P$58,2,FALSE)</f>
        <v>Benzoate-PW2</v>
      </c>
      <c r="T936" s="1" t="str">
        <f>VLOOKUP($E936,'Product Naming'!$A$1:$P$58,3,FALSE)</f>
        <v>Benzoate (PW2)</v>
      </c>
      <c r="U936" s="1" t="str">
        <f>VLOOKUP($E936,'Product Naming'!$A$1:$P$58,4,FALSE)</f>
        <v>A</v>
      </c>
      <c r="V936" s="1" t="str">
        <f>VLOOKUP($E936,'Product Naming'!$A$1:$P$58,5,FALSE)</f>
        <v>C7H5O2</v>
      </c>
      <c r="W936" s="1">
        <f>VLOOKUP($E936,'Product Naming'!$A$1:$P$58,6,FALSE)</f>
        <v>7</v>
      </c>
      <c r="X936" s="1">
        <f>VLOOKUP($E936,'Product Naming'!$A$1:$P$58,7,FALSE)</f>
        <v>5</v>
      </c>
      <c r="Y936" s="1">
        <f>VLOOKUP($E936,'Product Naming'!$A$1:$P$58,8,FALSE)</f>
        <v>2</v>
      </c>
      <c r="Z936" s="1">
        <f>VLOOKUP($E936,'Product Naming'!$A$1:$P$58,9,FALSE)</f>
        <v>0</v>
      </c>
      <c r="AA936" s="1">
        <f>VLOOKUP($E936,'Product Naming'!$A$1:$P$58,10,FALSE)</f>
        <v>-1</v>
      </c>
      <c r="AB936" s="29">
        <f>VLOOKUP($E936,'Product Naming'!$A$1:$P$58,11,FALSE)</f>
        <v>4.1428571428571432</v>
      </c>
      <c r="AC936" s="3">
        <f>VLOOKUP($E936,'Product Naming'!$A$1:$P$58,12,FALSE)</f>
        <v>121.1121</v>
      </c>
      <c r="AD936" s="1">
        <f>VLOOKUP($E936,'Product Naming'!$A$1:$P$58,13,FALSE)</f>
        <v>249.2</v>
      </c>
      <c r="AE936" s="1" t="str">
        <f>VLOOKUP($E936,'Product Naming'!$A$1:$P$58,14,FALSE)</f>
        <v>Aromatic + Carboxylate</v>
      </c>
      <c r="AF936" s="1" t="str">
        <f>VLOOKUP($E936,'Product Naming'!$A$1:$P$58,15,FALSE)</f>
        <v>E4P + aKG</v>
      </c>
      <c r="AG936" s="30" t="str">
        <f>VLOOKUP($E936,'Product Naming'!$A$1:$P$58,16,FALSE)</f>
        <v>Proton symporter</v>
      </c>
      <c r="AH936" s="3" t="str">
        <f>VLOOKUP($E936,'Product Naming'!$A$1:$Q$58,17,FALSE)</f>
        <v>bz_c</v>
      </c>
      <c r="AI936" s="1">
        <f>VLOOKUP($E936,'Product Parameters'!$A$2:$D$59,2,FALSE)</f>
        <v>1</v>
      </c>
      <c r="AJ936" s="1">
        <f>VLOOKUP($E936,'Product Parameters'!$A$2:$D$59,3,FALSE)</f>
        <v>0</v>
      </c>
      <c r="AK936" s="1">
        <f>VLOOKUP($E936,'Product Parameters'!$A$2:$D$59,4,FALSE)</f>
        <v>0.12</v>
      </c>
      <c r="AL936" s="1">
        <f>VLOOKUP($E936,'Product Parameters'!$A$2:$E$59,5,FALSE)</f>
        <v>40.65</v>
      </c>
      <c r="AM936" s="1">
        <f>VLOOKUP($E936,'Product Parameters'!$A$2:$F$59,6,FALSE)</f>
        <v>7</v>
      </c>
      <c r="AN936" s="1">
        <f>VLOOKUP($C936,'Substrate Heating'!$A$2:$C$33,3,FALSE)</f>
        <v>2342.0279999999998</v>
      </c>
      <c r="AO936" s="1">
        <f>VLOOKUP($C936,'Substrate Heating'!$A$2:$B$33,2,FALSE)</f>
        <v>15.6</v>
      </c>
      <c r="AP936" s="1">
        <f>VLOOKUP($C936,'Substrate Heating'!$A$2:$M$33,13,FALSE)</f>
        <v>4</v>
      </c>
      <c r="AQ936" s="1">
        <f>VLOOKUP($C936,'Substrate Heating'!$A$2:$M$33,8,FALSE)</f>
        <v>5</v>
      </c>
      <c r="AR936" s="1">
        <f t="shared" si="14"/>
        <v>0.77584297520661261</v>
      </c>
    </row>
    <row r="937" spans="1:44" x14ac:dyDescent="0.2">
      <c r="A937" s="8" t="s">
        <v>34</v>
      </c>
      <c r="B937" s="9" t="s">
        <v>35</v>
      </c>
      <c r="C937" s="1" t="s">
        <v>346</v>
      </c>
      <c r="D937" s="23" t="s">
        <v>338</v>
      </c>
      <c r="E937" s="1" t="s">
        <v>108</v>
      </c>
      <c r="F937" s="1" t="s">
        <v>109</v>
      </c>
      <c r="G937" s="1">
        <v>-10</v>
      </c>
      <c r="H937" s="1">
        <v>-20</v>
      </c>
      <c r="I937" s="1" t="s">
        <v>40</v>
      </c>
      <c r="J937" s="1">
        <v>3.15</v>
      </c>
      <c r="K937" s="1">
        <v>-10</v>
      </c>
      <c r="L937" s="1">
        <v>-3.6707932692307699</v>
      </c>
      <c r="M937" s="1" t="s">
        <v>40</v>
      </c>
      <c r="N937" s="1">
        <v>0.45961538461538198</v>
      </c>
      <c r="O937" s="1">
        <v>1.1925480769230801</v>
      </c>
      <c r="Q937" s="1">
        <v>0.11925480769230801</v>
      </c>
      <c r="R937" s="1">
        <v>0.44718075935522</v>
      </c>
      <c r="S937" s="1" t="str">
        <f>VLOOKUP($E937,'Product Naming'!$A$1:$P$58,2,FALSE)</f>
        <v>4-Hydroxystyrene</v>
      </c>
      <c r="T937" s="1" t="str">
        <f>VLOOKUP($E937,'Product Naming'!$A$1:$P$58,3,FALSE)</f>
        <v>4-Hydroxystyrene</v>
      </c>
      <c r="U937" s="1" t="str">
        <f>VLOOKUP($E937,'Product Naming'!$A$1:$P$58,4,FALSE)</f>
        <v>E</v>
      </c>
      <c r="V937" s="1" t="str">
        <f>VLOOKUP($E937,'Product Naming'!$A$1:$P$58,5,FALSE)</f>
        <v>C8H8O</v>
      </c>
      <c r="W937" s="1">
        <f>VLOOKUP($E937,'Product Naming'!$A$1:$P$58,6,FALSE)</f>
        <v>8</v>
      </c>
      <c r="X937" s="1">
        <f>VLOOKUP($E937,'Product Naming'!$A$1:$P$58,7,FALSE)</f>
        <v>8</v>
      </c>
      <c r="Y937" s="1">
        <f>VLOOKUP($E937,'Product Naming'!$A$1:$P$58,8,FALSE)</f>
        <v>1</v>
      </c>
      <c r="Z937" s="1">
        <f>VLOOKUP($E937,'Product Naming'!$A$1:$P$58,9,FALSE)</f>
        <v>0</v>
      </c>
      <c r="AA937" s="1">
        <f>VLOOKUP($E937,'Product Naming'!$A$1:$P$58,10,FALSE)</f>
        <v>0</v>
      </c>
      <c r="AB937" s="29">
        <f>VLOOKUP($E937,'Product Naming'!$A$1:$P$58,11,FALSE)</f>
        <v>4.75</v>
      </c>
      <c r="AC937" s="3">
        <f>VLOOKUP($E937,'Product Naming'!$A$1:$P$58,12,FALSE)</f>
        <v>120.14731999999999</v>
      </c>
      <c r="AD937" s="1">
        <f>VLOOKUP($E937,'Product Naming'!$A$1:$P$58,13,FALSE)</f>
        <v>229</v>
      </c>
      <c r="AE937" s="1" t="str">
        <f>VLOOKUP($E937,'Product Naming'!$A$1:$P$58,14,FALSE)</f>
        <v>Aromatic + Alcohol</v>
      </c>
      <c r="AF937" s="1" t="str">
        <f>VLOOKUP($E937,'Product Naming'!$A$1:$P$58,15,FALSE)</f>
        <v>E4P + L-glutamate</v>
      </c>
      <c r="AG937" s="30" t="str">
        <f>VLOOKUP($E937,'Product Naming'!$A$1:$P$58,16,FALSE)</f>
        <v>Proton symporter</v>
      </c>
      <c r="AH937" s="3" t="str">
        <f>VLOOKUP($E937,'Product Naming'!$A$1:$Q$58,17,FALSE)</f>
        <v>4hxst_c</v>
      </c>
      <c r="AI937" s="1">
        <f>VLOOKUP($E937,'Product Parameters'!$A$2:$D$59,2,FALSE)</f>
        <v>1</v>
      </c>
      <c r="AJ937" s="1">
        <f>VLOOKUP($E937,'Product Parameters'!$A$2:$D$59,3,FALSE)</f>
        <v>0</v>
      </c>
      <c r="AK937" s="1">
        <f>VLOOKUP($E937,'Product Parameters'!$A$2:$D$59,4,FALSE)</f>
        <v>0.12</v>
      </c>
      <c r="AL937" s="1">
        <f>VLOOKUP($E937,'Product Parameters'!$A$2:$E$59,5,FALSE)</f>
        <v>40.65</v>
      </c>
      <c r="AM937" s="1">
        <f>VLOOKUP($E937,'Product Parameters'!$A$2:$F$59,6,FALSE)</f>
        <v>8</v>
      </c>
      <c r="AN937" s="1">
        <f>VLOOKUP($C937,'Substrate Heating'!$A$2:$C$33,3,FALSE)</f>
        <v>638.57832580000002</v>
      </c>
      <c r="AO937" s="1">
        <f>VLOOKUP($C937,'Substrate Heating'!$A$2:$B$33,2,FALSE)</f>
        <v>19.93</v>
      </c>
      <c r="AP937" s="1">
        <f>VLOOKUP($C937,'Substrate Heating'!$A$2:$M$33,13,FALSE)</f>
        <v>6</v>
      </c>
      <c r="AQ937" s="1">
        <f>VLOOKUP($C937,'Substrate Heating'!$A$2:$M$33,8,FALSE)</f>
        <v>1</v>
      </c>
      <c r="AR937" s="1">
        <f t="shared" si="14"/>
        <v>0.95403846153846406</v>
      </c>
    </row>
    <row r="938" spans="1:44" x14ac:dyDescent="0.2">
      <c r="A938" s="8" t="s">
        <v>34</v>
      </c>
      <c r="B938" s="9" t="s">
        <v>35</v>
      </c>
      <c r="C938" s="1" t="s">
        <v>347</v>
      </c>
      <c r="D938" s="23" t="s">
        <v>338</v>
      </c>
      <c r="E938" s="1" t="s">
        <v>108</v>
      </c>
      <c r="F938" s="1" t="s">
        <v>109</v>
      </c>
      <c r="G938" s="1">
        <v>-10</v>
      </c>
      <c r="H938" s="1">
        <v>-20</v>
      </c>
      <c r="I938" s="1" t="s">
        <v>40</v>
      </c>
      <c r="J938" s="1">
        <v>3.15</v>
      </c>
      <c r="K938" s="1">
        <v>-10</v>
      </c>
      <c r="L938" s="1">
        <v>-3.6707932692307601</v>
      </c>
      <c r="M938" s="1" t="s">
        <v>40</v>
      </c>
      <c r="N938" s="1">
        <v>0.45961538461539098</v>
      </c>
      <c r="O938" s="1">
        <v>1.1925480769230801</v>
      </c>
      <c r="Q938" s="1">
        <v>0.11925480769230801</v>
      </c>
      <c r="R938" s="1">
        <v>0.44718075935522</v>
      </c>
      <c r="S938" s="1" t="str">
        <f>VLOOKUP($E938,'Product Naming'!$A$1:$P$58,2,FALSE)</f>
        <v>4-Hydroxystyrene</v>
      </c>
      <c r="T938" s="1" t="str">
        <f>VLOOKUP($E938,'Product Naming'!$A$1:$P$58,3,FALSE)</f>
        <v>4-Hydroxystyrene</v>
      </c>
      <c r="U938" s="1" t="str">
        <f>VLOOKUP($E938,'Product Naming'!$A$1:$P$58,4,FALSE)</f>
        <v>E</v>
      </c>
      <c r="V938" s="1" t="str">
        <f>VLOOKUP($E938,'Product Naming'!$A$1:$P$58,5,FALSE)</f>
        <v>C8H8O</v>
      </c>
      <c r="W938" s="1">
        <f>VLOOKUP($E938,'Product Naming'!$A$1:$P$58,6,FALSE)</f>
        <v>8</v>
      </c>
      <c r="X938" s="1">
        <f>VLOOKUP($E938,'Product Naming'!$A$1:$P$58,7,FALSE)</f>
        <v>8</v>
      </c>
      <c r="Y938" s="1">
        <f>VLOOKUP($E938,'Product Naming'!$A$1:$P$58,8,FALSE)</f>
        <v>1</v>
      </c>
      <c r="Z938" s="1">
        <f>VLOOKUP($E938,'Product Naming'!$A$1:$P$58,9,FALSE)</f>
        <v>0</v>
      </c>
      <c r="AA938" s="1">
        <f>VLOOKUP($E938,'Product Naming'!$A$1:$P$58,10,FALSE)</f>
        <v>0</v>
      </c>
      <c r="AB938" s="29">
        <f>VLOOKUP($E938,'Product Naming'!$A$1:$P$58,11,FALSE)</f>
        <v>4.75</v>
      </c>
      <c r="AC938" s="3">
        <f>VLOOKUP($E938,'Product Naming'!$A$1:$P$58,12,FALSE)</f>
        <v>120.14731999999999</v>
      </c>
      <c r="AD938" s="1">
        <f>VLOOKUP($E938,'Product Naming'!$A$1:$P$58,13,FALSE)</f>
        <v>229</v>
      </c>
      <c r="AE938" s="1" t="str">
        <f>VLOOKUP($E938,'Product Naming'!$A$1:$P$58,14,FALSE)</f>
        <v>Aromatic + Alcohol</v>
      </c>
      <c r="AF938" s="1" t="str">
        <f>VLOOKUP($E938,'Product Naming'!$A$1:$P$58,15,FALSE)</f>
        <v>E4P + L-glutamate</v>
      </c>
      <c r="AG938" s="30" t="str">
        <f>VLOOKUP($E938,'Product Naming'!$A$1:$P$58,16,FALSE)</f>
        <v>Proton symporter</v>
      </c>
      <c r="AH938" s="3" t="str">
        <f>VLOOKUP($E938,'Product Naming'!$A$1:$Q$58,17,FALSE)</f>
        <v>4hxst_c</v>
      </c>
      <c r="AI938" s="1">
        <f>VLOOKUP($E938,'Product Parameters'!$A$2:$D$59,2,FALSE)</f>
        <v>1</v>
      </c>
      <c r="AJ938" s="1">
        <f>VLOOKUP($E938,'Product Parameters'!$A$2:$D$59,3,FALSE)</f>
        <v>0</v>
      </c>
      <c r="AK938" s="1">
        <f>VLOOKUP($E938,'Product Parameters'!$A$2:$D$59,4,FALSE)</f>
        <v>0.12</v>
      </c>
      <c r="AL938" s="1">
        <f>VLOOKUP($E938,'Product Parameters'!$A$2:$E$59,5,FALSE)</f>
        <v>40.65</v>
      </c>
      <c r="AM938" s="1">
        <f>VLOOKUP($E938,'Product Parameters'!$A$2:$F$59,6,FALSE)</f>
        <v>8</v>
      </c>
      <c r="AN938" s="1">
        <f>VLOOKUP($C938,'Substrate Heating'!$A$2:$C$33,3,FALSE)</f>
        <v>638.57832580000002</v>
      </c>
      <c r="AO938" s="1">
        <f>VLOOKUP($C938,'Substrate Heating'!$A$2:$B$33,2,FALSE)</f>
        <v>19.93</v>
      </c>
      <c r="AP938" s="1">
        <f>VLOOKUP($C938,'Substrate Heating'!$A$2:$M$33,13,FALSE)</f>
        <v>6</v>
      </c>
      <c r="AQ938" s="1">
        <f>VLOOKUP($C938,'Substrate Heating'!$A$2:$M$33,8,FALSE)</f>
        <v>1</v>
      </c>
      <c r="AR938" s="1">
        <f t="shared" si="14"/>
        <v>0.95403846153846406</v>
      </c>
    </row>
    <row r="939" spans="1:44" x14ac:dyDescent="0.2">
      <c r="A939" s="8" t="s">
        <v>812</v>
      </c>
      <c r="B939" s="18" t="s">
        <v>324</v>
      </c>
      <c r="C939" t="s">
        <v>814</v>
      </c>
      <c r="E939" t="s">
        <v>291</v>
      </c>
      <c r="F939" t="s">
        <v>292</v>
      </c>
      <c r="G939">
        <v>-10</v>
      </c>
      <c r="H939">
        <v>0</v>
      </c>
      <c r="I939">
        <v>-10</v>
      </c>
      <c r="J939">
        <v>0.45</v>
      </c>
      <c r="K939">
        <v>-6.2083333333333304</v>
      </c>
      <c r="L939">
        <v>0</v>
      </c>
      <c r="M939">
        <v>-10</v>
      </c>
      <c r="N939">
        <v>0</v>
      </c>
      <c r="O939">
        <v>0.75833333333333197</v>
      </c>
      <c r="P939"/>
      <c r="Q939">
        <v>0.122147651006711</v>
      </c>
      <c r="R939">
        <v>0.44750852327978102</v>
      </c>
      <c r="S939" s="1" t="str">
        <f>VLOOKUP($E939,'Product Naming'!$A$1:$P$58,2,FALSE)</f>
        <v>Pentanol-PW1</v>
      </c>
      <c r="T939" s="1" t="str">
        <f>VLOOKUP($E939,'Product Naming'!$A$1:$P$58,3,FALSE)</f>
        <v>Pentanol (PW1)</v>
      </c>
      <c r="U939" s="1" t="str">
        <f>VLOOKUP($E939,'Product Naming'!$A$1:$P$58,4,FALSE)</f>
        <v>E</v>
      </c>
      <c r="V939" s="1" t="str">
        <f>VLOOKUP($E939,'Product Naming'!$A$1:$P$58,5,FALSE)</f>
        <v>C5H12O</v>
      </c>
      <c r="W939" s="1">
        <f>VLOOKUP($E939,'Product Naming'!$A$1:$P$58,6,FALSE)</f>
        <v>5</v>
      </c>
      <c r="X939" s="1">
        <f>VLOOKUP($E939,'Product Naming'!$A$1:$P$58,7,FALSE)</f>
        <v>12</v>
      </c>
      <c r="Y939" s="1">
        <f>VLOOKUP($E939,'Product Naming'!$A$1:$P$58,8,FALSE)</f>
        <v>1</v>
      </c>
      <c r="Z939" s="1">
        <f>VLOOKUP($E939,'Product Naming'!$A$1:$P$58,9,FALSE)</f>
        <v>0</v>
      </c>
      <c r="AA939" s="1">
        <f>VLOOKUP($E939,'Product Naming'!$A$1:$P$58,10,FALSE)</f>
        <v>0</v>
      </c>
      <c r="AB939" s="29">
        <f>VLOOKUP($E939,'Product Naming'!$A$1:$P$58,11,FALSE)</f>
        <v>6</v>
      </c>
      <c r="AC939" s="3">
        <f>VLOOKUP($E939,'Product Naming'!$A$1:$P$58,12,FALSE)</f>
        <v>88.14658</v>
      </c>
      <c r="AD939" s="1">
        <f>VLOOKUP($E939,'Product Naming'!$A$1:$P$58,13,FALSE)</f>
        <v>138</v>
      </c>
      <c r="AE939" s="1" t="str">
        <f>VLOOKUP($E939,'Product Naming'!$A$1:$P$58,14,FALSE)</f>
        <v>Alcohol</v>
      </c>
      <c r="AF939" s="1" t="str">
        <f>VLOOKUP($E939,'Product Naming'!$A$1:$P$58,15,FALSE)</f>
        <v>Acetyl-CoA + Succinyl-CoA</v>
      </c>
      <c r="AG939" s="30" t="str">
        <f>VLOOKUP($E939,'Product Naming'!$A$1:$P$58,16,FALSE)</f>
        <v>Proton symporter</v>
      </c>
      <c r="AH939" s="3" t="str">
        <f>VLOOKUP($E939,'Product Naming'!$A$1:$Q$58,17,FALSE)</f>
        <v>pentoh_c</v>
      </c>
      <c r="AI939" s="1">
        <f>VLOOKUP($E939,'Product Parameters'!$A$2:$D$59,2,FALSE)</f>
        <v>1</v>
      </c>
      <c r="AJ939" s="1">
        <f>VLOOKUP($E939,'Product Parameters'!$A$2:$D$59,3,FALSE)</f>
        <v>0</v>
      </c>
      <c r="AK939" s="1">
        <f>VLOOKUP($E939,'Product Parameters'!$A$2:$D$59,4,FALSE)</f>
        <v>0.12</v>
      </c>
      <c r="AL939" s="1">
        <f>VLOOKUP($E939,'Product Parameters'!$A$2:$E$59,5,FALSE)</f>
        <v>57</v>
      </c>
      <c r="AM939" s="1">
        <f>VLOOKUP($E939,'Product Parameters'!$A$2:$F$59,6,FALSE)</f>
        <v>5</v>
      </c>
      <c r="AN939" s="1">
        <f>VLOOKUP($C939,'Substrate Heating'!$A$2:$C$33,3,FALSE)</f>
        <v>209.92000000000002</v>
      </c>
      <c r="AO939" s="1">
        <f>VLOOKUP($C939,'Substrate Heating'!$A$2:$B$33,2,FALSE)</f>
        <v>10.086540906516333</v>
      </c>
      <c r="AP939" s="1">
        <f>VLOOKUP($C939,'Substrate Heating'!$A$2:$M$33,13,FALSE)</f>
        <v>0.8</v>
      </c>
      <c r="AQ939" s="1">
        <f>VLOOKUP($C939,'Substrate Heating'!$A$2:$M$33,8,FALSE)</f>
        <v>0.8</v>
      </c>
      <c r="AR939" s="1">
        <f t="shared" si="14"/>
        <v>0.76342281879194374</v>
      </c>
    </row>
    <row r="940" spans="1:44" x14ac:dyDescent="0.2">
      <c r="A940" s="8" t="s">
        <v>812</v>
      </c>
      <c r="B940" s="18" t="s">
        <v>324</v>
      </c>
      <c r="C940" t="s">
        <v>814</v>
      </c>
      <c r="E940" t="s">
        <v>295</v>
      </c>
      <c r="F940" t="s">
        <v>292</v>
      </c>
      <c r="G940">
        <v>-10</v>
      </c>
      <c r="H940">
        <v>0</v>
      </c>
      <c r="I940">
        <v>-10</v>
      </c>
      <c r="J940">
        <v>0.45</v>
      </c>
      <c r="K940">
        <v>-6.2083333333333304</v>
      </c>
      <c r="L940">
        <v>0</v>
      </c>
      <c r="M940">
        <v>-10</v>
      </c>
      <c r="N940">
        <v>0</v>
      </c>
      <c r="O940">
        <v>0.75833333333333197</v>
      </c>
      <c r="P940"/>
      <c r="Q940">
        <v>0.122147651006711</v>
      </c>
      <c r="R940">
        <v>0.44750852327978102</v>
      </c>
      <c r="S940" s="1" t="str">
        <f>VLOOKUP($E940,'Product Naming'!$A$1:$P$58,2,FALSE)</f>
        <v>Pentanol-PW2</v>
      </c>
      <c r="T940" s="1" t="str">
        <f>VLOOKUP($E940,'Product Naming'!$A$1:$P$58,3,FALSE)</f>
        <v>Pentanol (PW2)</v>
      </c>
      <c r="U940" s="1" t="str">
        <f>VLOOKUP($E940,'Product Naming'!$A$1:$P$58,4,FALSE)</f>
        <v>E</v>
      </c>
      <c r="V940" s="1" t="str">
        <f>VLOOKUP($E940,'Product Naming'!$A$1:$P$58,5,FALSE)</f>
        <v>C5H12O</v>
      </c>
      <c r="W940" s="1">
        <f>VLOOKUP($E940,'Product Naming'!$A$1:$P$58,6,FALSE)</f>
        <v>5</v>
      </c>
      <c r="X940" s="1">
        <f>VLOOKUP($E940,'Product Naming'!$A$1:$P$58,7,FALSE)</f>
        <v>12</v>
      </c>
      <c r="Y940" s="1">
        <f>VLOOKUP($E940,'Product Naming'!$A$1:$P$58,8,FALSE)</f>
        <v>1</v>
      </c>
      <c r="Z940" s="1">
        <f>VLOOKUP($E940,'Product Naming'!$A$1:$P$58,9,FALSE)</f>
        <v>0</v>
      </c>
      <c r="AA940" s="1">
        <f>VLOOKUP($E940,'Product Naming'!$A$1:$P$58,10,FALSE)</f>
        <v>0</v>
      </c>
      <c r="AB940" s="29">
        <f>VLOOKUP($E940,'Product Naming'!$A$1:$P$58,11,FALSE)</f>
        <v>6</v>
      </c>
      <c r="AC940" s="3">
        <f>VLOOKUP($E940,'Product Naming'!$A$1:$P$58,12,FALSE)</f>
        <v>88.14658</v>
      </c>
      <c r="AD940" s="1">
        <f>VLOOKUP($E940,'Product Naming'!$A$1:$P$58,13,FALSE)</f>
        <v>138</v>
      </c>
      <c r="AE940" s="1" t="str">
        <f>VLOOKUP($E940,'Product Naming'!$A$1:$P$58,14,FALSE)</f>
        <v>Alcohol</v>
      </c>
      <c r="AF940" s="1" t="str">
        <f>VLOOKUP($E940,'Product Naming'!$A$1:$P$58,15,FALSE)</f>
        <v>Oxaloacetate</v>
      </c>
      <c r="AG940" s="30" t="str">
        <f>VLOOKUP($E940,'Product Naming'!$A$1:$P$58,16,FALSE)</f>
        <v>Proton symporter</v>
      </c>
      <c r="AH940" s="3" t="str">
        <f>VLOOKUP($E940,'Product Naming'!$A$1:$Q$58,17,FALSE)</f>
        <v>pentoh_c</v>
      </c>
      <c r="AI940" s="1">
        <f>VLOOKUP($E940,'Product Parameters'!$A$2:$D$59,2,FALSE)</f>
        <v>1</v>
      </c>
      <c r="AJ940" s="1">
        <f>VLOOKUP($E940,'Product Parameters'!$A$2:$D$59,3,FALSE)</f>
        <v>0</v>
      </c>
      <c r="AK940" s="1">
        <f>VLOOKUP($E940,'Product Parameters'!$A$2:$D$59,4,FALSE)</f>
        <v>0.12</v>
      </c>
      <c r="AL940" s="1">
        <f>VLOOKUP($E940,'Product Parameters'!$A$2:$E$59,5,FALSE)</f>
        <v>57</v>
      </c>
      <c r="AM940" s="1">
        <f>VLOOKUP($E940,'Product Parameters'!$A$2:$F$59,6,FALSE)</f>
        <v>5</v>
      </c>
      <c r="AN940" s="1">
        <f>VLOOKUP($C940,'Substrate Heating'!$A$2:$C$33,3,FALSE)</f>
        <v>209.92000000000002</v>
      </c>
      <c r="AO940" s="1">
        <f>VLOOKUP($C940,'Substrate Heating'!$A$2:$B$33,2,FALSE)</f>
        <v>10.086540906516333</v>
      </c>
      <c r="AP940" s="1">
        <f>VLOOKUP($C940,'Substrate Heating'!$A$2:$M$33,13,FALSE)</f>
        <v>0.8</v>
      </c>
      <c r="AQ940" s="1">
        <f>VLOOKUP($C940,'Substrate Heating'!$A$2:$M$33,8,FALSE)</f>
        <v>0.8</v>
      </c>
      <c r="AR940" s="1">
        <f t="shared" si="14"/>
        <v>0.76342281879194374</v>
      </c>
    </row>
    <row r="941" spans="1:44" x14ac:dyDescent="0.2">
      <c r="A941" s="17" t="s">
        <v>323</v>
      </c>
      <c r="B941" s="18" t="s">
        <v>324</v>
      </c>
      <c r="C941" t="s">
        <v>327</v>
      </c>
      <c r="D941" s="19" t="s">
        <v>326</v>
      </c>
      <c r="E941" t="s">
        <v>254</v>
      </c>
      <c r="F941" t="s">
        <v>255</v>
      </c>
      <c r="G941">
        <v>-10</v>
      </c>
      <c r="H941">
        <v>0</v>
      </c>
      <c r="I941">
        <v>-5</v>
      </c>
      <c r="J941">
        <v>0.45</v>
      </c>
      <c r="K941">
        <v>-10</v>
      </c>
      <c r="L941">
        <v>0</v>
      </c>
      <c r="M941">
        <v>-5</v>
      </c>
      <c r="N941">
        <v>1.99298245614035</v>
      </c>
      <c r="O941">
        <v>1.0140350877193001</v>
      </c>
      <c r="P941"/>
      <c r="Q941">
        <v>0.10140350877193</v>
      </c>
      <c r="R941">
        <v>0.44754819471145102</v>
      </c>
      <c r="S941" s="1" t="str">
        <f>VLOOKUP($E941,'Product Naming'!$A$1:$P$58,2,FALSE)</f>
        <v>Itaconate</v>
      </c>
      <c r="T941" s="1" t="str">
        <f>VLOOKUP($E941,'Product Naming'!$A$1:$P$58,3,FALSE)</f>
        <v>Itaconate</v>
      </c>
      <c r="U941" s="1" t="str">
        <f>VLOOKUP($E941,'Product Naming'!$A$1:$P$58,4,FALSE)</f>
        <v>E</v>
      </c>
      <c r="V941" s="1" t="str">
        <f>VLOOKUP($E941,'Product Naming'!$A$1:$P$58,5,FALSE)</f>
        <v>C5H4O4</v>
      </c>
      <c r="W941" s="1">
        <f>VLOOKUP($E941,'Product Naming'!$A$1:$P$58,6,FALSE)</f>
        <v>5</v>
      </c>
      <c r="X941" s="1">
        <f>VLOOKUP($E941,'Product Naming'!$A$1:$P$58,7,FALSE)</f>
        <v>4</v>
      </c>
      <c r="Y941" s="1">
        <f>VLOOKUP($E941,'Product Naming'!$A$1:$P$58,8,FALSE)</f>
        <v>4</v>
      </c>
      <c r="Z941" s="1">
        <f>VLOOKUP($E941,'Product Naming'!$A$1:$P$58,9,FALSE)</f>
        <v>0</v>
      </c>
      <c r="AA941" s="1">
        <f>VLOOKUP($E941,'Product Naming'!$A$1:$P$58,10,FALSE)</f>
        <v>-2</v>
      </c>
      <c r="AB941" s="29">
        <f>VLOOKUP($E941,'Product Naming'!$A$1:$P$58,11,FALSE)</f>
        <v>3.2</v>
      </c>
      <c r="AC941" s="3">
        <f>VLOOKUP($E941,'Product Naming'!$A$1:$P$58,12,FALSE)</f>
        <v>128.08086</v>
      </c>
      <c r="AD941" s="1">
        <f>VLOOKUP($E941,'Product Naming'!$A$1:$P$58,13,FALSE)</f>
        <v>381</v>
      </c>
      <c r="AE941" s="1" t="str">
        <f>VLOOKUP($E941,'Product Naming'!$A$1:$P$58,14,FALSE)</f>
        <v>Dicarboxylate</v>
      </c>
      <c r="AF941" s="1" t="str">
        <f>VLOOKUP($E941,'Product Naming'!$A$1:$P$58,15,FALSE)</f>
        <v>Acetyl-CoA + Oxaloacetate</v>
      </c>
      <c r="AG941" s="30" t="str">
        <f>VLOOKUP($E941,'Product Naming'!$A$1:$P$58,16,FALSE)</f>
        <v>Proton symporter</v>
      </c>
      <c r="AH941" s="3" t="str">
        <f>VLOOKUP($E941,'Product Naming'!$A$1:$Q$58,17,FALSE)</f>
        <v>itacon_c</v>
      </c>
      <c r="AI941" s="1">
        <f>VLOOKUP($E941,'Product Parameters'!$A$2:$D$59,2,FALSE)</f>
        <v>1</v>
      </c>
      <c r="AJ941" s="1">
        <f>VLOOKUP($E941,'Product Parameters'!$A$2:$D$59,3,FALSE)</f>
        <v>0</v>
      </c>
      <c r="AK941" s="1">
        <f>VLOOKUP($E941,'Product Parameters'!$A$2:$D$59,4,FALSE)</f>
        <v>0.12</v>
      </c>
      <c r="AL941" s="1">
        <f>VLOOKUP($E941,'Product Parameters'!$A$2:$E$59,5,FALSE)</f>
        <v>40.65</v>
      </c>
      <c r="AM941" s="1">
        <f>VLOOKUP($E941,'Product Parameters'!$A$2:$F$59,6,FALSE)</f>
        <v>5</v>
      </c>
      <c r="AN941" s="1">
        <f>VLOOKUP($C941,'Substrate Heating'!$A$2:$C$33,3,FALSE)</f>
        <v>269.26666666666665</v>
      </c>
      <c r="AO941" s="1">
        <f>VLOOKUP($C941,'Substrate Heating'!$A$2:$B$33,2,FALSE)</f>
        <v>13.919167510409219</v>
      </c>
      <c r="AP941" s="1">
        <f>VLOOKUP($C941,'Substrate Heating'!$A$2:$M$33,13,FALSE)</f>
        <v>1.3333333333333333</v>
      </c>
      <c r="AQ941" s="1">
        <f>VLOOKUP($C941,'Substrate Heating'!$A$2:$M$33,8,FALSE)</f>
        <v>0.66666666666666663</v>
      </c>
      <c r="AR941" s="1">
        <f t="shared" si="14"/>
        <v>0.76052631578947505</v>
      </c>
    </row>
    <row r="942" spans="1:44" x14ac:dyDescent="0.2">
      <c r="A942" s="8" t="s">
        <v>34</v>
      </c>
      <c r="B942" s="9" t="s">
        <v>35</v>
      </c>
      <c r="C942" s="1" t="s">
        <v>322</v>
      </c>
      <c r="D942" s="10" t="s">
        <v>37</v>
      </c>
      <c r="E942" s="1" t="s">
        <v>52</v>
      </c>
      <c r="F942" s="1" t="s">
        <v>53</v>
      </c>
      <c r="G942" s="1">
        <v>-10</v>
      </c>
      <c r="H942" s="1">
        <v>-20</v>
      </c>
      <c r="I942" s="1" t="s">
        <v>40</v>
      </c>
      <c r="J942" s="1">
        <v>3.15</v>
      </c>
      <c r="K942" s="1">
        <v>-10</v>
      </c>
      <c r="L942" s="1">
        <v>-6.08648648648649</v>
      </c>
      <c r="M942" s="1" t="s">
        <v>40</v>
      </c>
      <c r="N942" s="1">
        <v>9.56486486486485</v>
      </c>
      <c r="O942" s="1">
        <v>3.4783783783783702</v>
      </c>
      <c r="Q942" s="1">
        <v>0.34783783783783701</v>
      </c>
      <c r="R942" s="1">
        <v>0.44855889378575797</v>
      </c>
      <c r="S942" s="1" t="str">
        <f>VLOOKUP($E942,'Product Naming'!$A$1:$P$58,2,FALSE)</f>
        <v>1-3-Diaminopropane</v>
      </c>
      <c r="T942" s="1" t="str">
        <f>VLOOKUP($E942,'Product Naming'!$A$1:$P$58,3,FALSE)</f>
        <v>1,3-Diaminopropane</v>
      </c>
      <c r="U942" s="1" t="str">
        <f>VLOOKUP($E942,'Product Naming'!$A$1:$P$58,4,FALSE)</f>
        <v>A</v>
      </c>
      <c r="V942" s="1" t="str">
        <f>VLOOKUP($E942,'Product Naming'!$A$1:$P$58,5,FALSE)</f>
        <v>C3H12N2</v>
      </c>
      <c r="W942" s="1">
        <f>VLOOKUP($E942,'Product Naming'!$A$1:$P$58,6,FALSE)</f>
        <v>3</v>
      </c>
      <c r="X942" s="1">
        <f>VLOOKUP($E942,'Product Naming'!$A$1:$P$58,7,FALSE)</f>
        <v>12</v>
      </c>
      <c r="Y942" s="1">
        <f>VLOOKUP($E942,'Product Naming'!$A$1:$P$58,8,FALSE)</f>
        <v>0</v>
      </c>
      <c r="Z942" s="1">
        <f>VLOOKUP($E942,'Product Naming'!$A$1:$P$58,9,FALSE)</f>
        <v>2</v>
      </c>
      <c r="AA942" s="1">
        <f>VLOOKUP($E942,'Product Naming'!$A$1:$P$58,10,FALSE)</f>
        <v>2</v>
      </c>
      <c r="AB942" s="29">
        <f>VLOOKUP($E942,'Product Naming'!$A$1:$P$58,11,FALSE)</f>
        <v>6</v>
      </c>
      <c r="AC942" s="3">
        <f>VLOOKUP($E942,'Product Naming'!$A$1:$P$58,12,FALSE)</f>
        <v>76.139580000000009</v>
      </c>
      <c r="AD942" s="1">
        <f>VLOOKUP($E942,'Product Naming'!$A$1:$P$58,13,FALSE)</f>
        <v>139.30000000000001</v>
      </c>
      <c r="AE942" s="1" t="str">
        <f>VLOOKUP($E942,'Product Naming'!$A$1:$P$58,14,FALSE)</f>
        <v>Diamine</v>
      </c>
      <c r="AF942" s="1" t="str">
        <f>VLOOKUP($E942,'Product Naming'!$A$1:$P$58,15,FALSE)</f>
        <v>Oxaloacetate + aKG</v>
      </c>
      <c r="AG942" s="30" t="str">
        <f>VLOOKUP($E942,'Product Naming'!$A$1:$P$58,16,FALSE)</f>
        <v>Proton symporter</v>
      </c>
      <c r="AH942" s="3" t="str">
        <f>VLOOKUP($E942,'Product Naming'!$A$1:$Q$58,17,FALSE)</f>
        <v>13dampp_c</v>
      </c>
      <c r="AI942" s="1">
        <f>VLOOKUP($E942,'Product Parameters'!$A$2:$D$59,2,FALSE)</f>
        <v>1</v>
      </c>
      <c r="AJ942" s="1">
        <f>VLOOKUP($E942,'Product Parameters'!$A$2:$D$59,3,FALSE)</f>
        <v>0</v>
      </c>
      <c r="AK942" s="1">
        <f>VLOOKUP($E942,'Product Parameters'!$A$2:$D$59,4,FALSE)</f>
        <v>0.12</v>
      </c>
      <c r="AL942" s="1">
        <f>VLOOKUP($E942,'Product Parameters'!$A$2:$E$59,5,FALSE)</f>
        <v>50.18</v>
      </c>
      <c r="AM942" s="1">
        <f>VLOOKUP($E942,'Product Parameters'!$A$2:$F$59,6,FALSE)</f>
        <v>3</v>
      </c>
      <c r="AN942" s="1">
        <f>VLOOKUP($C942,'Substrate Heating'!$A$2:$C$33,3,FALSE)</f>
        <v>876.74109599999997</v>
      </c>
      <c r="AO942" s="1">
        <f>VLOOKUP($C942,'Substrate Heating'!$A$2:$B$33,2,FALSE)</f>
        <v>14.6</v>
      </c>
      <c r="AP942" s="1">
        <f>VLOOKUP($C942,'Substrate Heating'!$A$2:$M$33,13,FALSE)</f>
        <v>3.5</v>
      </c>
      <c r="AQ942" s="1">
        <f>VLOOKUP($C942,'Substrate Heating'!$A$2:$M$33,8,FALSE)</f>
        <v>2</v>
      </c>
      <c r="AR942" s="1">
        <f t="shared" si="14"/>
        <v>0.52175675675675548</v>
      </c>
    </row>
    <row r="943" spans="1:44" x14ac:dyDescent="0.2">
      <c r="A943" s="8" t="s">
        <v>34</v>
      </c>
      <c r="B943" s="9" t="s">
        <v>35</v>
      </c>
      <c r="C943" s="1" t="s">
        <v>341</v>
      </c>
      <c r="D943" s="24" t="s">
        <v>342</v>
      </c>
      <c r="E943" s="1" t="s">
        <v>136</v>
      </c>
      <c r="F943" s="1" t="s">
        <v>137</v>
      </c>
      <c r="G943" s="1">
        <v>-10</v>
      </c>
      <c r="H943" s="1">
        <v>-20</v>
      </c>
      <c r="I943" s="1" t="s">
        <v>40</v>
      </c>
      <c r="J943" s="1">
        <v>3.15</v>
      </c>
      <c r="K943" s="1">
        <v>-10</v>
      </c>
      <c r="L943" s="1">
        <v>-9.9142561983471094</v>
      </c>
      <c r="M943" s="1" t="s">
        <v>40</v>
      </c>
      <c r="N943" s="1">
        <v>13.253305785124001</v>
      </c>
      <c r="O943" s="1">
        <v>6.6780991735537203</v>
      </c>
      <c r="Q943" s="1">
        <v>0.66780991735537198</v>
      </c>
      <c r="R943" s="1">
        <v>0.44895274981663003</v>
      </c>
      <c r="S943" s="1" t="str">
        <f>VLOOKUP($E943,'Product Naming'!$A$1:$P$58,2,FALSE)</f>
        <v>Benzoate-PW1</v>
      </c>
      <c r="T943" s="1" t="str">
        <f>VLOOKUP($E943,'Product Naming'!$A$1:$P$58,3,FALSE)</f>
        <v>Benzoate (PW1)</v>
      </c>
      <c r="U943" s="1" t="str">
        <f>VLOOKUP($E943,'Product Naming'!$A$1:$P$58,4,FALSE)</f>
        <v>A</v>
      </c>
      <c r="V943" s="1" t="str">
        <f>VLOOKUP($E943,'Product Naming'!$A$1:$P$58,5,FALSE)</f>
        <v>C7H5O2</v>
      </c>
      <c r="W943" s="1">
        <f>VLOOKUP($E943,'Product Naming'!$A$1:$P$58,6,FALSE)</f>
        <v>7</v>
      </c>
      <c r="X943" s="1">
        <f>VLOOKUP($E943,'Product Naming'!$A$1:$P$58,7,FALSE)</f>
        <v>5</v>
      </c>
      <c r="Y943" s="1">
        <f>VLOOKUP($E943,'Product Naming'!$A$1:$P$58,8,FALSE)</f>
        <v>2</v>
      </c>
      <c r="Z943" s="1">
        <f>VLOOKUP($E943,'Product Naming'!$A$1:$P$58,9,FALSE)</f>
        <v>0</v>
      </c>
      <c r="AA943" s="1">
        <f>VLOOKUP($E943,'Product Naming'!$A$1:$P$58,10,FALSE)</f>
        <v>-1</v>
      </c>
      <c r="AB943" s="29">
        <f>VLOOKUP($E943,'Product Naming'!$A$1:$P$58,11,FALSE)</f>
        <v>4.1428571428571432</v>
      </c>
      <c r="AC943" s="3">
        <f>VLOOKUP($E943,'Product Naming'!$A$1:$P$58,12,FALSE)</f>
        <v>121.1121</v>
      </c>
      <c r="AD943" s="1">
        <f>VLOOKUP($E943,'Product Naming'!$A$1:$P$58,13,FALSE)</f>
        <v>249.2</v>
      </c>
      <c r="AE943" s="1" t="str">
        <f>VLOOKUP($E943,'Product Naming'!$A$1:$P$58,14,FALSE)</f>
        <v>Aromatic + Carboxylate</v>
      </c>
      <c r="AF943" s="1" t="str">
        <f>VLOOKUP($E943,'Product Naming'!$A$1:$P$58,15,FALSE)</f>
        <v>E4P + aKG</v>
      </c>
      <c r="AG943" s="30" t="str">
        <f>VLOOKUP($E943,'Product Naming'!$A$1:$P$58,16,FALSE)</f>
        <v>Proton symporter</v>
      </c>
      <c r="AH943" s="3" t="str">
        <f>VLOOKUP($E943,'Product Naming'!$A$1:$Q$58,17,FALSE)</f>
        <v>bz_c</v>
      </c>
      <c r="AI943" s="1">
        <f>VLOOKUP($E943,'Product Parameters'!$A$2:$D$59,2,FALSE)</f>
        <v>1</v>
      </c>
      <c r="AJ943" s="1">
        <f>VLOOKUP($E943,'Product Parameters'!$A$2:$D$59,3,FALSE)</f>
        <v>0</v>
      </c>
      <c r="AK943" s="1">
        <f>VLOOKUP($E943,'Product Parameters'!$A$2:$D$59,4,FALSE)</f>
        <v>0.12</v>
      </c>
      <c r="AL943" s="1">
        <f>VLOOKUP($E943,'Product Parameters'!$A$2:$E$59,5,FALSE)</f>
        <v>40.65</v>
      </c>
      <c r="AM943" s="1">
        <f>VLOOKUP($E943,'Product Parameters'!$A$2:$F$59,6,FALSE)</f>
        <v>7</v>
      </c>
      <c r="AN943" s="1">
        <f>VLOOKUP($C943,'Substrate Heating'!$A$2:$C$33,3,FALSE)</f>
        <v>2828.4492</v>
      </c>
      <c r="AO943" s="1">
        <f>VLOOKUP($C943,'Substrate Heating'!$A$2:$B$33,2,FALSE)</f>
        <v>15.7</v>
      </c>
      <c r="AP943" s="1">
        <f>VLOOKUP($C943,'Substrate Heating'!$A$2:$M$33,13,FALSE)</f>
        <v>4</v>
      </c>
      <c r="AQ943" s="1">
        <f>VLOOKUP($C943,'Substrate Heating'!$A$2:$M$33,8,FALSE)</f>
        <v>6</v>
      </c>
      <c r="AR943" s="1">
        <f t="shared" si="14"/>
        <v>0.77911157024793398</v>
      </c>
    </row>
    <row r="944" spans="1:44" x14ac:dyDescent="0.2">
      <c r="A944" s="8" t="s">
        <v>34</v>
      </c>
      <c r="B944" s="9" t="s">
        <v>35</v>
      </c>
      <c r="C944" s="1" t="s">
        <v>341</v>
      </c>
      <c r="D944" s="24" t="s">
        <v>342</v>
      </c>
      <c r="E944" s="1" t="s">
        <v>143</v>
      </c>
      <c r="F944" s="1" t="s">
        <v>137</v>
      </c>
      <c r="G944" s="1">
        <v>-10</v>
      </c>
      <c r="H944" s="1">
        <v>-20</v>
      </c>
      <c r="I944" s="1" t="s">
        <v>40</v>
      </c>
      <c r="J944" s="1">
        <v>3.15</v>
      </c>
      <c r="K944" s="1">
        <v>-10</v>
      </c>
      <c r="L944" s="1">
        <v>-9.9142561983471094</v>
      </c>
      <c r="M944" s="1" t="s">
        <v>40</v>
      </c>
      <c r="N944" s="1">
        <v>13.253305785124001</v>
      </c>
      <c r="O944" s="1">
        <v>6.6780991735537203</v>
      </c>
      <c r="Q944" s="1">
        <v>0.66780991735537198</v>
      </c>
      <c r="R944" s="1">
        <v>0.44895274981663003</v>
      </c>
      <c r="S944" s="1" t="str">
        <f>VLOOKUP($E944,'Product Naming'!$A$1:$P$58,2,FALSE)</f>
        <v>Benzoate-PW2</v>
      </c>
      <c r="T944" s="1" t="str">
        <f>VLOOKUP($E944,'Product Naming'!$A$1:$P$58,3,FALSE)</f>
        <v>Benzoate (PW2)</v>
      </c>
      <c r="U944" s="1" t="str">
        <f>VLOOKUP($E944,'Product Naming'!$A$1:$P$58,4,FALSE)</f>
        <v>A</v>
      </c>
      <c r="V944" s="1" t="str">
        <f>VLOOKUP($E944,'Product Naming'!$A$1:$P$58,5,FALSE)</f>
        <v>C7H5O2</v>
      </c>
      <c r="W944" s="1">
        <f>VLOOKUP($E944,'Product Naming'!$A$1:$P$58,6,FALSE)</f>
        <v>7</v>
      </c>
      <c r="X944" s="1">
        <f>VLOOKUP($E944,'Product Naming'!$A$1:$P$58,7,FALSE)</f>
        <v>5</v>
      </c>
      <c r="Y944" s="1">
        <f>VLOOKUP($E944,'Product Naming'!$A$1:$P$58,8,FALSE)</f>
        <v>2</v>
      </c>
      <c r="Z944" s="1">
        <f>VLOOKUP($E944,'Product Naming'!$A$1:$P$58,9,FALSE)</f>
        <v>0</v>
      </c>
      <c r="AA944" s="1">
        <f>VLOOKUP($E944,'Product Naming'!$A$1:$P$58,10,FALSE)</f>
        <v>-1</v>
      </c>
      <c r="AB944" s="29">
        <f>VLOOKUP($E944,'Product Naming'!$A$1:$P$58,11,FALSE)</f>
        <v>4.1428571428571432</v>
      </c>
      <c r="AC944" s="3">
        <f>VLOOKUP($E944,'Product Naming'!$A$1:$P$58,12,FALSE)</f>
        <v>121.1121</v>
      </c>
      <c r="AD944" s="1">
        <f>VLOOKUP($E944,'Product Naming'!$A$1:$P$58,13,FALSE)</f>
        <v>249.2</v>
      </c>
      <c r="AE944" s="1" t="str">
        <f>VLOOKUP($E944,'Product Naming'!$A$1:$P$58,14,FALSE)</f>
        <v>Aromatic + Carboxylate</v>
      </c>
      <c r="AF944" s="1" t="str">
        <f>VLOOKUP($E944,'Product Naming'!$A$1:$P$58,15,FALSE)</f>
        <v>E4P + aKG</v>
      </c>
      <c r="AG944" s="30" t="str">
        <f>VLOOKUP($E944,'Product Naming'!$A$1:$P$58,16,FALSE)</f>
        <v>Proton symporter</v>
      </c>
      <c r="AH944" s="3" t="str">
        <f>VLOOKUP($E944,'Product Naming'!$A$1:$Q$58,17,FALSE)</f>
        <v>bz_c</v>
      </c>
      <c r="AI944" s="1">
        <f>VLOOKUP($E944,'Product Parameters'!$A$2:$D$59,2,FALSE)</f>
        <v>1</v>
      </c>
      <c r="AJ944" s="1">
        <f>VLOOKUP($E944,'Product Parameters'!$A$2:$D$59,3,FALSE)</f>
        <v>0</v>
      </c>
      <c r="AK944" s="1">
        <f>VLOOKUP($E944,'Product Parameters'!$A$2:$D$59,4,FALSE)</f>
        <v>0.12</v>
      </c>
      <c r="AL944" s="1">
        <f>VLOOKUP($E944,'Product Parameters'!$A$2:$E$59,5,FALSE)</f>
        <v>40.65</v>
      </c>
      <c r="AM944" s="1">
        <f>VLOOKUP($E944,'Product Parameters'!$A$2:$F$59,6,FALSE)</f>
        <v>7</v>
      </c>
      <c r="AN944" s="1">
        <f>VLOOKUP($C944,'Substrate Heating'!$A$2:$C$33,3,FALSE)</f>
        <v>2828.4492</v>
      </c>
      <c r="AO944" s="1">
        <f>VLOOKUP($C944,'Substrate Heating'!$A$2:$B$33,2,FALSE)</f>
        <v>15.7</v>
      </c>
      <c r="AP944" s="1">
        <f>VLOOKUP($C944,'Substrate Heating'!$A$2:$M$33,13,FALSE)</f>
        <v>4</v>
      </c>
      <c r="AQ944" s="1">
        <f>VLOOKUP($C944,'Substrate Heating'!$A$2:$M$33,8,FALSE)</f>
        <v>6</v>
      </c>
      <c r="AR944" s="1">
        <f t="shared" si="14"/>
        <v>0.77911157024793398</v>
      </c>
    </row>
    <row r="945" spans="1:44" x14ac:dyDescent="0.2">
      <c r="A945" s="17" t="s">
        <v>323</v>
      </c>
      <c r="B945" s="18" t="s">
        <v>324</v>
      </c>
      <c r="C945" t="s">
        <v>336</v>
      </c>
      <c r="D945" s="19" t="s">
        <v>326</v>
      </c>
      <c r="E945" t="s">
        <v>198</v>
      </c>
      <c r="F945" t="s">
        <v>199</v>
      </c>
      <c r="G945">
        <v>-10</v>
      </c>
      <c r="H945">
        <v>0</v>
      </c>
      <c r="I945">
        <v>-20</v>
      </c>
      <c r="J945">
        <v>0.45</v>
      </c>
      <c r="K945">
        <v>-10</v>
      </c>
      <c r="L945">
        <v>0</v>
      </c>
      <c r="M945">
        <v>-15</v>
      </c>
      <c r="N945">
        <v>0</v>
      </c>
      <c r="O945">
        <v>2.5</v>
      </c>
      <c r="P945"/>
      <c r="Q945">
        <v>0.25</v>
      </c>
      <c r="R945" s="20">
        <v>0.44895801059926599</v>
      </c>
      <c r="S945" s="1" t="str">
        <f>VLOOKUP($E945,'Product Naming'!$A$1:$P$58,2,FALSE)</f>
        <v>EthylAcetate</v>
      </c>
      <c r="T945" s="1" t="str">
        <f>VLOOKUP($E945,'Product Naming'!$A$1:$P$58,3,FALSE)</f>
        <v>Ethyl acetate</v>
      </c>
      <c r="U945" s="1" t="str">
        <f>VLOOKUP($E945,'Product Naming'!$A$1:$P$58,4,FALSE)</f>
        <v>E</v>
      </c>
      <c r="V945" s="1" t="str">
        <f>VLOOKUP($E945,'Product Naming'!$A$1:$P$58,5,FALSE)</f>
        <v>C4H8O2</v>
      </c>
      <c r="W945" s="1">
        <f>VLOOKUP($E945,'Product Naming'!$A$1:$P$58,6,FALSE)</f>
        <v>4</v>
      </c>
      <c r="X945" s="1">
        <f>VLOOKUP($E945,'Product Naming'!$A$1:$P$58,7,FALSE)</f>
        <v>8</v>
      </c>
      <c r="Y945" s="1">
        <f>VLOOKUP($E945,'Product Naming'!$A$1:$P$58,8,FALSE)</f>
        <v>2</v>
      </c>
      <c r="Z945" s="1">
        <f>VLOOKUP($E945,'Product Naming'!$A$1:$P$58,9,FALSE)</f>
        <v>0</v>
      </c>
      <c r="AA945" s="1">
        <f>VLOOKUP($E945,'Product Naming'!$A$1:$P$58,10,FALSE)</f>
        <v>0</v>
      </c>
      <c r="AB945" s="29">
        <f>VLOOKUP($E945,'Product Naming'!$A$1:$P$58,11,FALSE)</f>
        <v>5</v>
      </c>
      <c r="AC945" s="3">
        <f>VLOOKUP($E945,'Product Naming'!$A$1:$P$58,12,FALSE)</f>
        <v>88.103520000000003</v>
      </c>
      <c r="AD945" s="1">
        <f>VLOOKUP($E945,'Product Naming'!$A$1:$P$58,13,FALSE)</f>
        <v>77.099999999999994</v>
      </c>
      <c r="AE945" s="1" t="str">
        <f>VLOOKUP($E945,'Product Naming'!$A$1:$P$58,14,FALSE)</f>
        <v>Carboxylate Ester</v>
      </c>
      <c r="AF945" s="1" t="str">
        <f>VLOOKUP($E945,'Product Naming'!$A$1:$P$58,15,FALSE)</f>
        <v>Acetyl-CoA</v>
      </c>
      <c r="AG945" s="30" t="str">
        <f>VLOOKUP($E945,'Product Naming'!$A$1:$P$58,16,FALSE)</f>
        <v>Proton symporter</v>
      </c>
      <c r="AH945" s="3" t="str">
        <f>VLOOKUP($E945,'Product Naming'!$A$1:$Q$58,17,FALSE)</f>
        <v>aces_c</v>
      </c>
      <c r="AI945" s="1">
        <f>VLOOKUP($E945,'Product Parameters'!$A$2:$D$59,2,FALSE)</f>
        <v>1</v>
      </c>
      <c r="AJ945" s="1">
        <f>VLOOKUP($E945,'Product Parameters'!$A$2:$D$59,3,FALSE)</f>
        <v>0</v>
      </c>
      <c r="AK945" s="1">
        <f>VLOOKUP($E945,'Product Parameters'!$A$2:$D$59,4,FALSE)</f>
        <v>0.12</v>
      </c>
      <c r="AL945" s="1">
        <f>VLOOKUP($E945,'Product Parameters'!$A$2:$E$59,5,FALSE)</f>
        <v>35</v>
      </c>
      <c r="AM945" s="1">
        <f>VLOOKUP($E945,'Product Parameters'!$A$2:$F$59,6,FALSE)</f>
        <v>4</v>
      </c>
      <c r="AN945" s="1">
        <f>VLOOKUP($C945,'Substrate Heating'!$A$2:$C$33,3,FALSE)</f>
        <v>245.86666666666667</v>
      </c>
      <c r="AO945" s="1">
        <f>VLOOKUP($C945,'Substrate Heating'!$A$2:$B$33,2,FALSE)</f>
        <v>15.038360459876978</v>
      </c>
      <c r="AP945" s="1">
        <f>VLOOKUP($C945,'Substrate Heating'!$A$2:$M$33,13,FALSE)</f>
        <v>0.33333333333333331</v>
      </c>
      <c r="AQ945" s="1">
        <f>VLOOKUP($C945,'Substrate Heating'!$A$2:$M$33,8,FALSE)</f>
        <v>0.33333333333333331</v>
      </c>
      <c r="AR945" s="1">
        <f t="shared" si="14"/>
        <v>3</v>
      </c>
    </row>
    <row r="946" spans="1:44" x14ac:dyDescent="0.2">
      <c r="A946" s="8" t="s">
        <v>809</v>
      </c>
      <c r="B946" s="18" t="s">
        <v>324</v>
      </c>
      <c r="C946" t="s">
        <v>808</v>
      </c>
      <c r="D946" s="19" t="s">
        <v>326</v>
      </c>
      <c r="E946" t="s">
        <v>198</v>
      </c>
      <c r="F946" t="s">
        <v>199</v>
      </c>
      <c r="G946">
        <v>-10</v>
      </c>
      <c r="H946">
        <v>0</v>
      </c>
      <c r="I946">
        <v>-20</v>
      </c>
      <c r="J946">
        <v>0.45</v>
      </c>
      <c r="K946">
        <v>-7.9999999999999902</v>
      </c>
      <c r="L946">
        <v>0</v>
      </c>
      <c r="M946">
        <v>-20</v>
      </c>
      <c r="N946">
        <v>-7.9999999999999902</v>
      </c>
      <c r="O946">
        <v>2</v>
      </c>
      <c r="P946"/>
      <c r="Q946">
        <v>0.25</v>
      </c>
      <c r="R946">
        <v>0.449049541284404</v>
      </c>
      <c r="S946" s="1" t="str">
        <f>VLOOKUP($E946,'Product Naming'!$A$1:$P$58,2,FALSE)</f>
        <v>EthylAcetate</v>
      </c>
      <c r="T946" s="1" t="str">
        <f>VLOOKUP($E946,'Product Naming'!$A$1:$P$58,3,FALSE)</f>
        <v>Ethyl acetate</v>
      </c>
      <c r="U946" s="1" t="str">
        <f>VLOOKUP($E946,'Product Naming'!$A$1:$P$58,4,FALSE)</f>
        <v>E</v>
      </c>
      <c r="V946" s="1" t="str">
        <f>VLOOKUP($E946,'Product Naming'!$A$1:$P$58,5,FALSE)</f>
        <v>C4H8O2</v>
      </c>
      <c r="W946" s="1">
        <f>VLOOKUP($E946,'Product Naming'!$A$1:$P$58,6,FALSE)</f>
        <v>4</v>
      </c>
      <c r="X946" s="1">
        <f>VLOOKUP($E946,'Product Naming'!$A$1:$P$58,7,FALSE)</f>
        <v>8</v>
      </c>
      <c r="Y946" s="1">
        <f>VLOOKUP($E946,'Product Naming'!$A$1:$P$58,8,FALSE)</f>
        <v>2</v>
      </c>
      <c r="Z946" s="1">
        <f>VLOOKUP($E946,'Product Naming'!$A$1:$P$58,9,FALSE)</f>
        <v>0</v>
      </c>
      <c r="AA946" s="1">
        <f>VLOOKUP($E946,'Product Naming'!$A$1:$P$58,10,FALSE)</f>
        <v>0</v>
      </c>
      <c r="AB946" s="29">
        <f>VLOOKUP($E946,'Product Naming'!$A$1:$P$58,11,FALSE)</f>
        <v>5</v>
      </c>
      <c r="AC946" s="3">
        <f>VLOOKUP($E946,'Product Naming'!$A$1:$P$58,12,FALSE)</f>
        <v>88.103520000000003</v>
      </c>
      <c r="AD946" s="1">
        <f>VLOOKUP($E946,'Product Naming'!$A$1:$P$58,13,FALSE)</f>
        <v>77.099999999999994</v>
      </c>
      <c r="AE946" s="1" t="str">
        <f>VLOOKUP($E946,'Product Naming'!$A$1:$P$58,14,FALSE)</f>
        <v>Carboxylate Ester</v>
      </c>
      <c r="AF946" s="1" t="str">
        <f>VLOOKUP($E946,'Product Naming'!$A$1:$P$58,15,FALSE)</f>
        <v>Acetyl-CoA</v>
      </c>
      <c r="AG946" s="30" t="str">
        <f>VLOOKUP($E946,'Product Naming'!$A$1:$P$58,16,FALSE)</f>
        <v>Proton symporter</v>
      </c>
      <c r="AH946" s="3" t="str">
        <f>VLOOKUP($E946,'Product Naming'!$A$1:$Q$58,17,FALSE)</f>
        <v>aces_c</v>
      </c>
      <c r="AI946" s="1">
        <f>VLOOKUP($E946,'Product Parameters'!$A$2:$D$59,2,FALSE)</f>
        <v>1</v>
      </c>
      <c r="AJ946" s="1">
        <f>VLOOKUP($E946,'Product Parameters'!$A$2:$D$59,3,FALSE)</f>
        <v>0</v>
      </c>
      <c r="AK946" s="1">
        <f>VLOOKUP($E946,'Product Parameters'!$A$2:$D$59,4,FALSE)</f>
        <v>0.12</v>
      </c>
      <c r="AL946" s="1">
        <f>VLOOKUP($E946,'Product Parameters'!$A$2:$E$59,5,FALSE)</f>
        <v>35</v>
      </c>
      <c r="AM946" s="1">
        <f>VLOOKUP($E946,'Product Parameters'!$A$2:$F$59,6,FALSE)</f>
        <v>4</v>
      </c>
      <c r="AN946" s="1">
        <f>VLOOKUP($C946,'Substrate Heating'!$A$2:$C$33,3,FALSE)</f>
        <v>120.9</v>
      </c>
      <c r="AO946" s="1">
        <f>VLOOKUP($C946,'Substrate Heating'!$A$2:$B$33,2,FALSE)</f>
        <v>5.2537372583834907</v>
      </c>
      <c r="AP946" s="1">
        <f>VLOOKUP($C946,'Substrate Heating'!$A$2:$M$33,13,FALSE)</f>
        <v>0</v>
      </c>
      <c r="AQ946" s="1">
        <f>VLOOKUP($C946,'Substrate Heating'!$A$2:$M$33,8,FALSE)</f>
        <v>0.33333333333333331</v>
      </c>
      <c r="AR946" s="1">
        <f t="shared" si="14"/>
        <v>3</v>
      </c>
    </row>
    <row r="947" spans="1:44" x14ac:dyDescent="0.2">
      <c r="A947" s="8" t="s">
        <v>34</v>
      </c>
      <c r="B947" s="9" t="s">
        <v>35</v>
      </c>
      <c r="C947" s="1" t="s">
        <v>331</v>
      </c>
      <c r="D947" s="10" t="s">
        <v>37</v>
      </c>
      <c r="E947" s="1" t="s">
        <v>72</v>
      </c>
      <c r="F947" s="1" t="s">
        <v>73</v>
      </c>
      <c r="G947" s="1">
        <v>-10</v>
      </c>
      <c r="H947" s="1">
        <v>-20</v>
      </c>
      <c r="I947" s="1" t="s">
        <v>40</v>
      </c>
      <c r="J947" s="1">
        <v>3.15</v>
      </c>
      <c r="K947" s="1">
        <v>-10</v>
      </c>
      <c r="L947" s="1">
        <v>-4.1129870129870199</v>
      </c>
      <c r="M947" s="1" t="s">
        <v>40</v>
      </c>
      <c r="N947" s="1">
        <v>6.0753246753246799</v>
      </c>
      <c r="O947" s="1">
        <v>4.6415584415584403</v>
      </c>
      <c r="Q947" s="1">
        <v>0.46415584415584399</v>
      </c>
      <c r="R947" s="1">
        <v>0.44940415024311597</v>
      </c>
      <c r="S947" s="1" t="str">
        <f>VLOOKUP($E947,'Product Naming'!$A$1:$P$58,2,FALSE)</f>
        <v>1-propanol-PW1</v>
      </c>
      <c r="T947" s="1" t="str">
        <f>VLOOKUP($E947,'Product Naming'!$A$1:$P$58,3,FALSE)</f>
        <v>1-Propanol (PW1)</v>
      </c>
      <c r="U947" s="1" t="str">
        <f>VLOOKUP($E947,'Product Naming'!$A$1:$P$58,4,FALSE)</f>
        <v>E-S</v>
      </c>
      <c r="V947" s="1" t="str">
        <f>VLOOKUP($E947,'Product Naming'!$A$1:$P$58,5,FALSE)</f>
        <v>C3H8O</v>
      </c>
      <c r="W947" s="1">
        <f>VLOOKUP($E947,'Product Naming'!$A$1:$P$58,6,FALSE)</f>
        <v>3</v>
      </c>
      <c r="X947" s="1">
        <f>VLOOKUP($E947,'Product Naming'!$A$1:$P$58,7,FALSE)</f>
        <v>8</v>
      </c>
      <c r="Y947" s="1">
        <f>VLOOKUP($E947,'Product Naming'!$A$1:$P$58,8,FALSE)</f>
        <v>1</v>
      </c>
      <c r="Z947" s="1">
        <f>VLOOKUP($E947,'Product Naming'!$A$1:$P$58,9,FALSE)</f>
        <v>0</v>
      </c>
      <c r="AA947" s="1">
        <f>VLOOKUP($E947,'Product Naming'!$A$1:$P$58,10,FALSE)</f>
        <v>0</v>
      </c>
      <c r="AB947" s="29">
        <f>VLOOKUP($E947,'Product Naming'!$A$1:$P$58,11,FALSE)</f>
        <v>6</v>
      </c>
      <c r="AC947" s="3">
        <f>VLOOKUP($E947,'Product Naming'!$A$1:$P$58,12,FALSE)</f>
        <v>60.093820000000001</v>
      </c>
      <c r="AD947" s="1">
        <f>VLOOKUP($E947,'Product Naming'!$A$1:$P$58,13,FALSE)</f>
        <v>97</v>
      </c>
      <c r="AE947" s="1" t="str">
        <f>VLOOKUP($E947,'Product Naming'!$A$1:$P$58,14,FALSE)</f>
        <v>Alcohol</v>
      </c>
      <c r="AF947" s="1" t="str">
        <f>VLOOKUP($E947,'Product Naming'!$A$1:$P$58,15,FALSE)</f>
        <v>Glyceraldehyde 3-P (--&gt;DHAP)</v>
      </c>
      <c r="AG947" s="30" t="str">
        <f>VLOOKUP($E947,'Product Naming'!$A$1:$P$58,16,FALSE)</f>
        <v>Proton symporter</v>
      </c>
      <c r="AH947" s="3" t="str">
        <f>VLOOKUP($E947,'Product Naming'!$A$1:$Q$58,17,FALSE)</f>
        <v>ppoh_c</v>
      </c>
      <c r="AI947" s="1">
        <f>VLOOKUP($E947,'Product Parameters'!$A$2:$D$59,2,FALSE)</f>
        <v>1</v>
      </c>
      <c r="AJ947" s="1">
        <f>VLOOKUP($E947,'Product Parameters'!$A$2:$D$59,3,FALSE)</f>
        <v>0</v>
      </c>
      <c r="AK947" s="1">
        <f>VLOOKUP($E947,'Product Parameters'!$A$2:$D$59,4,FALSE)</f>
        <v>0.12</v>
      </c>
      <c r="AL947" s="1">
        <f>VLOOKUP($E947,'Product Parameters'!$A$2:$E$59,5,FALSE)</f>
        <v>47</v>
      </c>
      <c r="AM947" s="1">
        <f>VLOOKUP($E947,'Product Parameters'!$A$2:$F$59,6,FALSE)</f>
        <v>3</v>
      </c>
      <c r="AN947" s="1">
        <f>VLOOKUP($C947,'Substrate Heating'!$A$2:$C$33,3,FALSE)</f>
        <v>1055.1294800000001</v>
      </c>
      <c r="AO947" s="1">
        <f>VLOOKUP($C947,'Substrate Heating'!$A$2:$B$33,2,FALSE)</f>
        <v>17</v>
      </c>
      <c r="AP947" s="1">
        <f>VLOOKUP($C947,'Substrate Heating'!$A$2:$M$33,13,FALSE)</f>
        <v>5</v>
      </c>
      <c r="AQ947" s="1">
        <f>VLOOKUP($C947,'Substrate Heating'!$A$2:$M$33,8,FALSE)</f>
        <v>2</v>
      </c>
      <c r="AR947" s="1">
        <f t="shared" si="14"/>
        <v>0.69623376623376598</v>
      </c>
    </row>
    <row r="948" spans="1:44" x14ac:dyDescent="0.2">
      <c r="A948" s="8" t="s">
        <v>34</v>
      </c>
      <c r="B948" s="9" t="s">
        <v>35</v>
      </c>
      <c r="C948" s="1" t="s">
        <v>322</v>
      </c>
      <c r="D948" s="10" t="s">
        <v>37</v>
      </c>
      <c r="E948" s="1" t="s">
        <v>60</v>
      </c>
      <c r="F948" s="1" t="s">
        <v>61</v>
      </c>
      <c r="G948" s="1">
        <v>-10</v>
      </c>
      <c r="H948" s="1">
        <v>-20</v>
      </c>
      <c r="I948" s="1" t="s">
        <v>40</v>
      </c>
      <c r="J948" s="1">
        <v>3.15</v>
      </c>
      <c r="K948" s="1">
        <v>-10</v>
      </c>
      <c r="L948" s="1">
        <v>-6.0352941176470498</v>
      </c>
      <c r="M948" s="1" t="s">
        <v>40</v>
      </c>
      <c r="N948" s="1">
        <v>9.5264705882353091</v>
      </c>
      <c r="O948" s="1">
        <v>3.4911764705882402</v>
      </c>
      <c r="Q948" s="1">
        <v>0.34911764705882398</v>
      </c>
      <c r="R948" s="1">
        <v>0.44993279933429098</v>
      </c>
      <c r="S948" s="1" t="str">
        <f>VLOOKUP($E948,'Product Naming'!$A$1:$P$58,2,FALSE)</f>
        <v>1-3-Propanediol</v>
      </c>
      <c r="T948" s="1" t="str">
        <f>VLOOKUP($E948,'Product Naming'!$A$1:$P$58,3,FALSE)</f>
        <v>1,3-Propanediol</v>
      </c>
      <c r="U948" s="1" t="str">
        <f>VLOOKUP($E948,'Product Naming'!$A$1:$P$58,4,FALSE)</f>
        <v>A</v>
      </c>
      <c r="V948" s="1" t="str">
        <f>VLOOKUP($E948,'Product Naming'!$A$1:$P$58,5,FALSE)</f>
        <v>C3H8O2</v>
      </c>
      <c r="W948" s="1">
        <f>VLOOKUP($E948,'Product Naming'!$A$1:$P$58,6,FALSE)</f>
        <v>3</v>
      </c>
      <c r="X948" s="1">
        <f>VLOOKUP($E948,'Product Naming'!$A$1:$P$58,7,FALSE)</f>
        <v>8</v>
      </c>
      <c r="Y948" s="1">
        <f>VLOOKUP($E948,'Product Naming'!$A$1:$P$58,8,FALSE)</f>
        <v>2</v>
      </c>
      <c r="Z948" s="1">
        <f>VLOOKUP($E948,'Product Naming'!$A$1:$P$58,9,FALSE)</f>
        <v>0</v>
      </c>
      <c r="AA948" s="1">
        <f>VLOOKUP($E948,'Product Naming'!$A$1:$P$58,10,FALSE)</f>
        <v>0</v>
      </c>
      <c r="AB948" s="29">
        <f>VLOOKUP($E948,'Product Naming'!$A$1:$P$58,11,FALSE)</f>
        <v>5.333333333333333</v>
      </c>
      <c r="AC948" s="3">
        <f>VLOOKUP($E948,'Product Naming'!$A$1:$P$58,12,FALSE)</f>
        <v>76.092820000000003</v>
      </c>
      <c r="AD948" s="1">
        <f>VLOOKUP($E948,'Product Naming'!$A$1:$P$58,13,FALSE)</f>
        <v>213</v>
      </c>
      <c r="AE948" s="1" t="str">
        <f>VLOOKUP($E948,'Product Naming'!$A$1:$P$58,14,FALSE)</f>
        <v>Diol</v>
      </c>
      <c r="AF948" s="1" t="str">
        <f>VLOOKUP($E948,'Product Naming'!$A$1:$P$58,15,FALSE)</f>
        <v>Glyceraldehyde 3-P</v>
      </c>
      <c r="AG948" s="30" t="str">
        <f>VLOOKUP($E948,'Product Naming'!$A$1:$P$58,16,FALSE)</f>
        <v>Proton symporter</v>
      </c>
      <c r="AH948" s="3" t="str">
        <f>VLOOKUP($E948,'Product Naming'!$A$1:$Q$58,17,FALSE)</f>
        <v>13ppd_c</v>
      </c>
      <c r="AI948" s="1">
        <f>VLOOKUP($E948,'Product Parameters'!$A$2:$D$59,2,FALSE)</f>
        <v>1</v>
      </c>
      <c r="AJ948" s="1">
        <f>VLOOKUP($E948,'Product Parameters'!$A$2:$D$59,3,FALSE)</f>
        <v>0</v>
      </c>
      <c r="AK948" s="1">
        <f>VLOOKUP($E948,'Product Parameters'!$A$2:$D$59,4,FALSE)</f>
        <v>0.12</v>
      </c>
      <c r="AL948" s="1">
        <f>VLOOKUP($E948,'Product Parameters'!$A$2:$E$59,5,FALSE)</f>
        <v>70</v>
      </c>
      <c r="AM948" s="1">
        <f>VLOOKUP($E948,'Product Parameters'!$A$2:$F$59,6,FALSE)</f>
        <v>3</v>
      </c>
      <c r="AN948" s="1">
        <f>VLOOKUP($C948,'Substrate Heating'!$A$2:$C$33,3,FALSE)</f>
        <v>876.74109599999997</v>
      </c>
      <c r="AO948" s="1">
        <f>VLOOKUP($C948,'Substrate Heating'!$A$2:$B$33,2,FALSE)</f>
        <v>14.6</v>
      </c>
      <c r="AP948" s="1">
        <f>VLOOKUP($C948,'Substrate Heating'!$A$2:$M$33,13,FALSE)</f>
        <v>3.5</v>
      </c>
      <c r="AQ948" s="1">
        <f>VLOOKUP($C948,'Substrate Heating'!$A$2:$M$33,8,FALSE)</f>
        <v>2</v>
      </c>
      <c r="AR948" s="1">
        <f t="shared" si="14"/>
        <v>0.52367647058823596</v>
      </c>
    </row>
    <row r="949" spans="1:44" x14ac:dyDescent="0.2">
      <c r="A949" s="17" t="s">
        <v>323</v>
      </c>
      <c r="B949" s="18" t="s">
        <v>324</v>
      </c>
      <c r="C949" t="s">
        <v>327</v>
      </c>
      <c r="D949" s="19" t="s">
        <v>326</v>
      </c>
      <c r="E949" t="s">
        <v>171</v>
      </c>
      <c r="F949" t="s">
        <v>172</v>
      </c>
      <c r="G949">
        <v>-10</v>
      </c>
      <c r="H949">
        <v>0</v>
      </c>
      <c r="I949">
        <v>-5</v>
      </c>
      <c r="J949">
        <v>0.45</v>
      </c>
      <c r="K949">
        <v>-10</v>
      </c>
      <c r="L949">
        <v>0</v>
      </c>
      <c r="M949">
        <v>-5</v>
      </c>
      <c r="N949">
        <v>4</v>
      </c>
      <c r="O949">
        <v>1.5</v>
      </c>
      <c r="P949"/>
      <c r="Q949">
        <v>0.15</v>
      </c>
      <c r="R949">
        <v>0.45018442453480401</v>
      </c>
      <c r="S949" s="1" t="str">
        <f>VLOOKUP($E949,'Product Naming'!$A$1:$P$58,2,FALSE)</f>
        <v>Butyrate</v>
      </c>
      <c r="T949" s="1" t="str">
        <f>VLOOKUP($E949,'Product Naming'!$A$1:$P$58,3,FALSE)</f>
        <v>Butyrate</v>
      </c>
      <c r="U949" s="1" t="str">
        <f>VLOOKUP($E949,'Product Naming'!$A$1:$P$58,4,FALSE)</f>
        <v>A</v>
      </c>
      <c r="V949" s="1" t="str">
        <f>VLOOKUP($E949,'Product Naming'!$A$1:$P$58,5,FALSE)</f>
        <v>C4H7O2</v>
      </c>
      <c r="W949" s="1">
        <f>VLOOKUP($E949,'Product Naming'!$A$1:$P$58,6,FALSE)</f>
        <v>4</v>
      </c>
      <c r="X949" s="1">
        <f>VLOOKUP($E949,'Product Naming'!$A$1:$P$58,7,FALSE)</f>
        <v>7</v>
      </c>
      <c r="Y949" s="1">
        <f>VLOOKUP($E949,'Product Naming'!$A$1:$P$58,8,FALSE)</f>
        <v>2</v>
      </c>
      <c r="Z949" s="1">
        <f>VLOOKUP($E949,'Product Naming'!$A$1:$P$58,9,FALSE)</f>
        <v>0</v>
      </c>
      <c r="AA949" s="1">
        <f>VLOOKUP($E949,'Product Naming'!$A$1:$P$58,10,FALSE)</f>
        <v>-1</v>
      </c>
      <c r="AB949" s="29">
        <f>VLOOKUP($E949,'Product Naming'!$A$1:$P$58,11,FALSE)</f>
        <v>4.75</v>
      </c>
      <c r="AC949" s="3">
        <f>VLOOKUP($E949,'Product Naming'!$A$1:$P$58,12,FALSE)</f>
        <v>87.095680000000002</v>
      </c>
      <c r="AD949" s="1">
        <f>VLOOKUP($E949,'Product Naming'!$A$1:$P$58,13,FALSE)</f>
        <v>163.5</v>
      </c>
      <c r="AE949" s="1" t="str">
        <f>VLOOKUP($E949,'Product Naming'!$A$1:$P$58,14,FALSE)</f>
        <v>Carboxylate</v>
      </c>
      <c r="AF949" s="1" t="str">
        <f>VLOOKUP($E949,'Product Naming'!$A$1:$P$58,15,FALSE)</f>
        <v>Acetyl-CoA</v>
      </c>
      <c r="AG949" s="30" t="str">
        <f>VLOOKUP($E949,'Product Naming'!$A$1:$P$58,16,FALSE)</f>
        <v>Proton symporter</v>
      </c>
      <c r="AH949" s="3" t="str">
        <f>VLOOKUP($E949,'Product Naming'!$A$1:$Q$58,17,FALSE)</f>
        <v>but_c</v>
      </c>
      <c r="AI949" s="1">
        <f>VLOOKUP($E949,'Product Parameters'!$A$2:$D$59,2,FALSE)</f>
        <v>1</v>
      </c>
      <c r="AJ949" s="1">
        <f>VLOOKUP($E949,'Product Parameters'!$A$2:$D$59,3,FALSE)</f>
        <v>0</v>
      </c>
      <c r="AK949" s="1">
        <f>VLOOKUP($E949,'Product Parameters'!$A$2:$D$59,4,FALSE)</f>
        <v>0.12</v>
      </c>
      <c r="AL949" s="1">
        <f>VLOOKUP($E949,'Product Parameters'!$A$2:$E$59,5,FALSE)</f>
        <v>42</v>
      </c>
      <c r="AM949" s="1">
        <f>VLOOKUP($E949,'Product Parameters'!$A$2:$F$59,6,FALSE)</f>
        <v>4</v>
      </c>
      <c r="AN949" s="1">
        <f>VLOOKUP($C949,'Substrate Heating'!$A$2:$C$33,3,FALSE)</f>
        <v>269.26666666666665</v>
      </c>
      <c r="AO949" s="1">
        <f>VLOOKUP($C949,'Substrate Heating'!$A$2:$B$33,2,FALSE)</f>
        <v>13.919167510409219</v>
      </c>
      <c r="AP949" s="1">
        <f>VLOOKUP($C949,'Substrate Heating'!$A$2:$M$33,13,FALSE)</f>
        <v>1.3333333333333333</v>
      </c>
      <c r="AQ949" s="1">
        <f>VLOOKUP($C949,'Substrate Heating'!$A$2:$M$33,8,FALSE)</f>
        <v>0.66666666666666663</v>
      </c>
      <c r="AR949" s="1">
        <f t="shared" si="14"/>
        <v>0.9</v>
      </c>
    </row>
    <row r="950" spans="1:44" x14ac:dyDescent="0.2">
      <c r="A950" s="17" t="s">
        <v>323</v>
      </c>
      <c r="B950" s="18" t="s">
        <v>324</v>
      </c>
      <c r="C950" t="s">
        <v>327</v>
      </c>
      <c r="D950" s="19" t="s">
        <v>326</v>
      </c>
      <c r="E950" t="s">
        <v>244</v>
      </c>
      <c r="F950" t="s">
        <v>245</v>
      </c>
      <c r="G950">
        <v>-10</v>
      </c>
      <c r="H950">
        <v>0</v>
      </c>
      <c r="I950">
        <v>-5</v>
      </c>
      <c r="J950">
        <v>0.45</v>
      </c>
      <c r="K950">
        <v>-10</v>
      </c>
      <c r="L950">
        <v>0</v>
      </c>
      <c r="M950">
        <v>-5</v>
      </c>
      <c r="N950">
        <v>4</v>
      </c>
      <c r="O950">
        <v>1.5</v>
      </c>
      <c r="P950"/>
      <c r="Q950">
        <v>0.15</v>
      </c>
      <c r="R950">
        <v>0.45018442453480401</v>
      </c>
      <c r="S950" s="1" t="str">
        <f>VLOOKUP($E950,'Product Naming'!$A$1:$P$58,2,FALSE)</f>
        <v>Isobutyrate</v>
      </c>
      <c r="T950" s="1" t="str">
        <f>VLOOKUP($E950,'Product Naming'!$A$1:$P$58,3,FALSE)</f>
        <v>Isobutyrate</v>
      </c>
      <c r="U950" s="1" t="str">
        <f>VLOOKUP($E950,'Product Naming'!$A$1:$P$58,4,FALSE)</f>
        <v>A</v>
      </c>
      <c r="V950" s="1" t="str">
        <f>VLOOKUP($E950,'Product Naming'!$A$1:$P$58,5,FALSE)</f>
        <v>C4H7O2</v>
      </c>
      <c r="W950" s="1">
        <f>VLOOKUP($E950,'Product Naming'!$A$1:$P$58,6,FALSE)</f>
        <v>4</v>
      </c>
      <c r="X950" s="1">
        <f>VLOOKUP($E950,'Product Naming'!$A$1:$P$58,7,FALSE)</f>
        <v>7</v>
      </c>
      <c r="Y950" s="1">
        <f>VLOOKUP($E950,'Product Naming'!$A$1:$P$58,8,FALSE)</f>
        <v>2</v>
      </c>
      <c r="Z950" s="1">
        <f>VLOOKUP($E950,'Product Naming'!$A$1:$P$58,9,FALSE)</f>
        <v>0</v>
      </c>
      <c r="AA950" s="1">
        <f>VLOOKUP($E950,'Product Naming'!$A$1:$P$58,10,FALSE)</f>
        <v>-1</v>
      </c>
      <c r="AB950" s="29">
        <f>VLOOKUP($E950,'Product Naming'!$A$1:$P$58,11,FALSE)</f>
        <v>4.75</v>
      </c>
      <c r="AC950" s="3">
        <f>VLOOKUP($E950,'Product Naming'!$A$1:$P$58,12,FALSE)</f>
        <v>87.095680000000002</v>
      </c>
      <c r="AD950" s="1">
        <f>VLOOKUP($E950,'Product Naming'!$A$1:$P$58,13,FALSE)</f>
        <v>155</v>
      </c>
      <c r="AE950" s="1" t="str">
        <f>VLOOKUP($E950,'Product Naming'!$A$1:$P$58,14,FALSE)</f>
        <v>Carboxylate</v>
      </c>
      <c r="AF950" s="1" t="str">
        <f>VLOOKUP($E950,'Product Naming'!$A$1:$P$58,15,FALSE)</f>
        <v>Pyruvate</v>
      </c>
      <c r="AG950" s="30" t="str">
        <f>VLOOKUP($E950,'Product Naming'!$A$1:$P$58,16,FALSE)</f>
        <v>Proton symporter</v>
      </c>
      <c r="AH950" s="3" t="str">
        <f>VLOOKUP($E950,'Product Naming'!$A$1:$Q$58,17,FALSE)</f>
        <v>ibt_c</v>
      </c>
      <c r="AI950" s="1">
        <f>VLOOKUP($E950,'Product Parameters'!$A$2:$D$59,2,FALSE)</f>
        <v>1</v>
      </c>
      <c r="AJ950" s="1">
        <f>VLOOKUP($E950,'Product Parameters'!$A$2:$D$59,3,FALSE)</f>
        <v>0</v>
      </c>
      <c r="AK950" s="1">
        <f>VLOOKUP($E950,'Product Parameters'!$A$2:$D$59,4,FALSE)</f>
        <v>0.12</v>
      </c>
      <c r="AL950" s="1">
        <f>VLOOKUP($E950,'Product Parameters'!$A$2:$E$59,5,FALSE)</f>
        <v>44.5</v>
      </c>
      <c r="AM950" s="1">
        <f>VLOOKUP($E950,'Product Parameters'!$A$2:$F$59,6,FALSE)</f>
        <v>4</v>
      </c>
      <c r="AN950" s="1">
        <f>VLOOKUP($C950,'Substrate Heating'!$A$2:$C$33,3,FALSE)</f>
        <v>269.26666666666665</v>
      </c>
      <c r="AO950" s="1">
        <f>VLOOKUP($C950,'Substrate Heating'!$A$2:$B$33,2,FALSE)</f>
        <v>13.919167510409219</v>
      </c>
      <c r="AP950" s="1">
        <f>VLOOKUP($C950,'Substrate Heating'!$A$2:$M$33,13,FALSE)</f>
        <v>1.3333333333333333</v>
      </c>
      <c r="AQ950" s="1">
        <f>VLOOKUP($C950,'Substrate Heating'!$A$2:$M$33,8,FALSE)</f>
        <v>0.66666666666666663</v>
      </c>
      <c r="AR950" s="1">
        <f t="shared" si="14"/>
        <v>0.9</v>
      </c>
    </row>
    <row r="951" spans="1:44" x14ac:dyDescent="0.2">
      <c r="A951" s="8" t="s">
        <v>34</v>
      </c>
      <c r="B951" s="9" t="s">
        <v>35</v>
      </c>
      <c r="C951" s="1" t="s">
        <v>343</v>
      </c>
      <c r="D951" s="24" t="s">
        <v>342</v>
      </c>
      <c r="E951" s="1" t="s">
        <v>81</v>
      </c>
      <c r="F951" s="1" t="s">
        <v>73</v>
      </c>
      <c r="G951" s="1">
        <v>-10</v>
      </c>
      <c r="H951" s="1">
        <v>-20</v>
      </c>
      <c r="I951" s="1" t="s">
        <v>40</v>
      </c>
      <c r="J951" s="1">
        <v>3.15</v>
      </c>
      <c r="K951" s="1">
        <v>-10</v>
      </c>
      <c r="L951" s="1">
        <v>-3.9275000000000002</v>
      </c>
      <c r="M951" s="1" t="s">
        <v>40</v>
      </c>
      <c r="N951" s="1">
        <v>9.2849999999999593</v>
      </c>
      <c r="O951" s="1">
        <v>6.9049999999999896</v>
      </c>
      <c r="Q951" s="1">
        <v>0.690499999999999</v>
      </c>
      <c r="R951" s="1">
        <v>0.45057076262011903</v>
      </c>
      <c r="S951" s="1" t="str">
        <f>VLOOKUP($E951,'Product Naming'!$A$1:$P$58,2,FALSE)</f>
        <v>1-propanol-PW2</v>
      </c>
      <c r="T951" s="1" t="str">
        <f>VLOOKUP($E951,'Product Naming'!$A$1:$P$58,3,FALSE)</f>
        <v>1-Propanol (PW2)</v>
      </c>
      <c r="U951" s="1" t="str">
        <f>VLOOKUP($E951,'Product Naming'!$A$1:$P$58,4,FALSE)</f>
        <v>E-S</v>
      </c>
      <c r="V951" s="1" t="str">
        <f>VLOOKUP($E951,'Product Naming'!$A$1:$P$58,5,FALSE)</f>
        <v>C3H8O</v>
      </c>
      <c r="W951" s="1">
        <f>VLOOKUP($E951,'Product Naming'!$A$1:$P$58,6,FALSE)</f>
        <v>3</v>
      </c>
      <c r="X951" s="1">
        <f>VLOOKUP($E951,'Product Naming'!$A$1:$P$58,7,FALSE)</f>
        <v>8</v>
      </c>
      <c r="Y951" s="1">
        <f>VLOOKUP($E951,'Product Naming'!$A$1:$P$58,8,FALSE)</f>
        <v>1</v>
      </c>
      <c r="Z951" s="1">
        <f>VLOOKUP($E951,'Product Naming'!$A$1:$P$58,9,FALSE)</f>
        <v>0</v>
      </c>
      <c r="AA951" s="1">
        <f>VLOOKUP($E951,'Product Naming'!$A$1:$P$58,10,FALSE)</f>
        <v>0</v>
      </c>
      <c r="AB951" s="29">
        <f>VLOOKUP($E951,'Product Naming'!$A$1:$P$58,11,FALSE)</f>
        <v>6</v>
      </c>
      <c r="AC951" s="3">
        <f>VLOOKUP($E951,'Product Naming'!$A$1:$P$58,12,FALSE)</f>
        <v>60.093820000000001</v>
      </c>
      <c r="AD951" s="1">
        <f>VLOOKUP($E951,'Product Naming'!$A$1:$P$58,13,FALSE)</f>
        <v>97</v>
      </c>
      <c r="AE951" s="1" t="str">
        <f>VLOOKUP($E951,'Product Naming'!$A$1:$P$58,14,FALSE)</f>
        <v>Alcohol</v>
      </c>
      <c r="AF951" s="1" t="str">
        <f>VLOOKUP($E951,'Product Naming'!$A$1:$P$58,15,FALSE)</f>
        <v>Oxaloacetate</v>
      </c>
      <c r="AG951" s="30" t="str">
        <f>VLOOKUP($E951,'Product Naming'!$A$1:$P$58,16,FALSE)</f>
        <v>Proton symporter</v>
      </c>
      <c r="AH951" s="3" t="str">
        <f>VLOOKUP($E951,'Product Naming'!$A$1:$Q$58,17,FALSE)</f>
        <v>ppoh_c</v>
      </c>
      <c r="AI951" s="1">
        <f>VLOOKUP($E951,'Product Parameters'!$A$2:$D$59,2,FALSE)</f>
        <v>1</v>
      </c>
      <c r="AJ951" s="1">
        <f>VLOOKUP($E951,'Product Parameters'!$A$2:$D$59,3,FALSE)</f>
        <v>0</v>
      </c>
      <c r="AK951" s="1">
        <f>VLOOKUP($E951,'Product Parameters'!$A$2:$D$59,4,FALSE)</f>
        <v>0.12</v>
      </c>
      <c r="AL951" s="1">
        <f>VLOOKUP($E951,'Product Parameters'!$A$2:$E$59,5,FALSE)</f>
        <v>47</v>
      </c>
      <c r="AM951" s="1">
        <f>VLOOKUP($E951,'Product Parameters'!$A$2:$F$59,6,FALSE)</f>
        <v>3</v>
      </c>
      <c r="AN951" s="1">
        <f>VLOOKUP($C951,'Substrate Heating'!$A$2:$C$33,3,FALSE)</f>
        <v>1648.4793779999998</v>
      </c>
      <c r="AO951" s="1">
        <f>VLOOKUP($C951,'Substrate Heating'!$A$2:$B$33,2,FALSE)</f>
        <v>17.899999999999999</v>
      </c>
      <c r="AP951" s="1">
        <f>VLOOKUP($C951,'Substrate Heating'!$A$2:$M$33,13,FALSE)</f>
        <v>4.666666666666667</v>
      </c>
      <c r="AQ951" s="1">
        <f>VLOOKUP($C951,'Substrate Heating'!$A$2:$M$33,8,FALSE)</f>
        <v>3</v>
      </c>
      <c r="AR951" s="1">
        <f t="shared" si="14"/>
        <v>0.69049999999999889</v>
      </c>
    </row>
    <row r="952" spans="1:44" x14ac:dyDescent="0.2">
      <c r="A952" s="8" t="s">
        <v>34</v>
      </c>
      <c r="B952" s="9" t="s">
        <v>35</v>
      </c>
      <c r="C952" s="1" t="s">
        <v>349</v>
      </c>
      <c r="D952" s="25" t="s">
        <v>342</v>
      </c>
      <c r="E952" s="1" t="s">
        <v>119</v>
      </c>
      <c r="F952" s="1" t="s">
        <v>120</v>
      </c>
      <c r="G952" s="1">
        <v>-10</v>
      </c>
      <c r="H952" s="1">
        <v>-20</v>
      </c>
      <c r="I952" s="1" t="s">
        <v>40</v>
      </c>
      <c r="J952" s="1">
        <v>3.15</v>
      </c>
      <c r="K952" s="1">
        <v>-10</v>
      </c>
      <c r="L952" s="1">
        <v>-3.3702970297029702</v>
      </c>
      <c r="M952" s="1" t="s">
        <v>40</v>
      </c>
      <c r="N952" s="1">
        <v>15.027722772277199</v>
      </c>
      <c r="O952" s="1">
        <v>11.657425742574301</v>
      </c>
      <c r="Q952" s="1">
        <v>1.1657425742574301</v>
      </c>
      <c r="R952" s="1">
        <v>0.45097022867969899</v>
      </c>
      <c r="S952" s="1" t="str">
        <f>VLOOKUP($E952,'Product Naming'!$A$1:$P$58,2,FALSE)</f>
        <v>Acetone</v>
      </c>
      <c r="T952" s="1" t="str">
        <f>VLOOKUP($E952,'Product Naming'!$A$1:$P$58,3,FALSE)</f>
        <v>Acetone</v>
      </c>
      <c r="U952" s="1" t="str">
        <f>VLOOKUP($E952,'Product Naming'!$A$1:$P$58,4,FALSE)</f>
        <v>A</v>
      </c>
      <c r="V952" s="1" t="str">
        <f>VLOOKUP($E952,'Product Naming'!$A$1:$P$58,5,FALSE)</f>
        <v>C3H6O</v>
      </c>
      <c r="W952" s="1">
        <f>VLOOKUP($E952,'Product Naming'!$A$1:$P$58,6,FALSE)</f>
        <v>3</v>
      </c>
      <c r="X952" s="1">
        <f>VLOOKUP($E952,'Product Naming'!$A$1:$P$58,7,FALSE)</f>
        <v>6</v>
      </c>
      <c r="Y952" s="1">
        <f>VLOOKUP($E952,'Product Naming'!$A$1:$P$58,8,FALSE)</f>
        <v>1</v>
      </c>
      <c r="Z952" s="1">
        <f>VLOOKUP($E952,'Product Naming'!$A$1:$P$58,9,FALSE)</f>
        <v>0</v>
      </c>
      <c r="AA952" s="1">
        <f>VLOOKUP($E952,'Product Naming'!$A$1:$P$58,10,FALSE)</f>
        <v>0</v>
      </c>
      <c r="AB952" s="29">
        <f>VLOOKUP($E952,'Product Naming'!$A$1:$P$58,11,FALSE)</f>
        <v>5.333333333333333</v>
      </c>
      <c r="AC952" s="3">
        <f>VLOOKUP($E952,'Product Naming'!$A$1:$P$58,12,FALSE)</f>
        <v>58.078140000000005</v>
      </c>
      <c r="AD952" s="1">
        <f>VLOOKUP($E952,'Product Naming'!$A$1:$P$58,13,FALSE)</f>
        <v>56</v>
      </c>
      <c r="AE952" s="1" t="str">
        <f>VLOOKUP($E952,'Product Naming'!$A$1:$P$58,14,FALSE)</f>
        <v>Ketone</v>
      </c>
      <c r="AF952" s="1" t="str">
        <f>VLOOKUP($E952,'Product Naming'!$A$1:$P$58,15,FALSE)</f>
        <v>Acetyl-CoA</v>
      </c>
      <c r="AG952" s="30" t="str">
        <f>VLOOKUP($E952,'Product Naming'!$A$1:$P$58,16,FALSE)</f>
        <v>Proton symporter</v>
      </c>
      <c r="AH952" s="3" t="str">
        <f>VLOOKUP($E952,'Product Naming'!$A$1:$Q$58,17,FALSE)</f>
        <v>acetone_c</v>
      </c>
      <c r="AI952" s="1">
        <f>VLOOKUP($E952,'Product Parameters'!$A$2:$D$59,2,FALSE)</f>
        <v>1</v>
      </c>
      <c r="AJ952" s="1">
        <f>VLOOKUP($E952,'Product Parameters'!$A$2:$D$59,3,FALSE)</f>
        <v>0</v>
      </c>
      <c r="AK952" s="1">
        <f>VLOOKUP($E952,'Product Parameters'!$A$2:$D$59,4,FALSE)</f>
        <v>0.12</v>
      </c>
      <c r="AL952" s="1">
        <f>VLOOKUP($E952,'Product Parameters'!$A$2:$E$59,5,FALSE)</f>
        <v>31.3</v>
      </c>
      <c r="AM952" s="1">
        <f>VLOOKUP($E952,'Product Parameters'!$A$2:$F$59,6,FALSE)</f>
        <v>3</v>
      </c>
      <c r="AN952" s="1">
        <f>VLOOKUP($C952,'Substrate Heating'!$A$2:$C$33,3,FALSE)</f>
        <v>2342.0279999999998</v>
      </c>
      <c r="AO952" s="1">
        <f>VLOOKUP($C952,'Substrate Heating'!$A$2:$B$33,2,FALSE)</f>
        <v>15.6</v>
      </c>
      <c r="AP952" s="1">
        <f>VLOOKUP($C952,'Substrate Heating'!$A$2:$M$33,13,FALSE)</f>
        <v>4</v>
      </c>
      <c r="AQ952" s="1">
        <f>VLOOKUP($C952,'Substrate Heating'!$A$2:$M$33,8,FALSE)</f>
        <v>5</v>
      </c>
      <c r="AR952" s="1">
        <f t="shared" si="14"/>
        <v>0.69944554455445807</v>
      </c>
    </row>
    <row r="953" spans="1:44" x14ac:dyDescent="0.2">
      <c r="A953" s="8" t="s">
        <v>34</v>
      </c>
      <c r="B953" s="9" t="s">
        <v>35</v>
      </c>
      <c r="C953" s="1" t="s">
        <v>346</v>
      </c>
      <c r="D953" s="23" t="s">
        <v>338</v>
      </c>
      <c r="E953" s="1" t="s">
        <v>169</v>
      </c>
      <c r="F953" s="1" t="s">
        <v>165</v>
      </c>
      <c r="G953" s="1">
        <v>-10</v>
      </c>
      <c r="H953" s="1">
        <v>-20</v>
      </c>
      <c r="I953" s="1" t="s">
        <v>40</v>
      </c>
      <c r="J953" s="1">
        <v>3.15</v>
      </c>
      <c r="K953" s="1">
        <v>-10</v>
      </c>
      <c r="L953" s="1">
        <v>-3.2605263157894702</v>
      </c>
      <c r="M953" s="1" t="s">
        <v>40</v>
      </c>
      <c r="N953" s="1">
        <v>2.1736842105263099</v>
      </c>
      <c r="O953" s="1">
        <v>1.9565789473684201</v>
      </c>
      <c r="Q953" s="1">
        <v>0.195657894736842</v>
      </c>
      <c r="R953" s="1">
        <v>0.45261306241034699</v>
      </c>
      <c r="S953" s="1" t="str">
        <f>VLOOKUP($E953,'Product Naming'!$A$1:$P$58,2,FALSE)</f>
        <v>Butanol-PW2</v>
      </c>
      <c r="T953" s="1" t="str">
        <f>VLOOKUP($E953,'Product Naming'!$A$1:$P$58,3,FALSE)</f>
        <v>Butanol (PW2)</v>
      </c>
      <c r="U953" s="1" t="str">
        <f>VLOOKUP($E953,'Product Naming'!$A$1:$P$58,4,FALSE)</f>
        <v>E</v>
      </c>
      <c r="V953" s="1" t="str">
        <f>VLOOKUP($E953,'Product Naming'!$A$1:$P$58,5,FALSE)</f>
        <v>C4H10O</v>
      </c>
      <c r="W953" s="1">
        <f>VLOOKUP($E953,'Product Naming'!$A$1:$P$58,6,FALSE)</f>
        <v>4</v>
      </c>
      <c r="X953" s="1">
        <f>VLOOKUP($E953,'Product Naming'!$A$1:$P$58,7,FALSE)</f>
        <v>10</v>
      </c>
      <c r="Y953" s="1">
        <f>VLOOKUP($E953,'Product Naming'!$A$1:$P$58,8,FALSE)</f>
        <v>1</v>
      </c>
      <c r="Z953" s="1">
        <f>VLOOKUP($E953,'Product Naming'!$A$1:$P$58,9,FALSE)</f>
        <v>0</v>
      </c>
      <c r="AA953" s="1">
        <f>VLOOKUP($E953,'Product Naming'!$A$1:$P$58,10,FALSE)</f>
        <v>0</v>
      </c>
      <c r="AB953" s="29">
        <f>VLOOKUP($E953,'Product Naming'!$A$1:$P$58,11,FALSE)</f>
        <v>6</v>
      </c>
      <c r="AC953" s="3">
        <f>VLOOKUP($E953,'Product Naming'!$A$1:$P$58,12,FALSE)</f>
        <v>74.120199999999997</v>
      </c>
      <c r="AD953" s="1">
        <f>VLOOKUP($E953,'Product Naming'!$A$1:$P$58,13,FALSE)</f>
        <v>117.7</v>
      </c>
      <c r="AE953" s="1" t="str">
        <f>VLOOKUP($E953,'Product Naming'!$A$1:$P$58,14,FALSE)</f>
        <v>Alcohol</v>
      </c>
      <c r="AF953" s="1" t="str">
        <f>VLOOKUP($E953,'Product Naming'!$A$1:$P$58,15,FALSE)</f>
        <v>Oxaloacetate</v>
      </c>
      <c r="AG953" s="30" t="str">
        <f>VLOOKUP($E953,'Product Naming'!$A$1:$P$58,16,FALSE)</f>
        <v>Proton symporter</v>
      </c>
      <c r="AH953" s="3" t="str">
        <f>VLOOKUP($E953,'Product Naming'!$A$1:$Q$58,17,FALSE)</f>
        <v>btoh_c</v>
      </c>
      <c r="AI953" s="1">
        <f>VLOOKUP($E953,'Product Parameters'!$A$2:$D$59,2,FALSE)</f>
        <v>1</v>
      </c>
      <c r="AJ953" s="1">
        <f>VLOOKUP($E953,'Product Parameters'!$A$2:$D$59,3,FALSE)</f>
        <v>0</v>
      </c>
      <c r="AK953" s="1">
        <f>VLOOKUP($E953,'Product Parameters'!$A$2:$D$59,4,FALSE)</f>
        <v>0.12</v>
      </c>
      <c r="AL953" s="1">
        <f>VLOOKUP($E953,'Product Parameters'!$A$2:$E$59,5,FALSE)</f>
        <v>52</v>
      </c>
      <c r="AM953" s="1">
        <f>VLOOKUP($E953,'Product Parameters'!$A$2:$F$59,6,FALSE)</f>
        <v>4</v>
      </c>
      <c r="AN953" s="1">
        <f>VLOOKUP($C953,'Substrate Heating'!$A$2:$C$33,3,FALSE)</f>
        <v>638.57832580000002</v>
      </c>
      <c r="AO953" s="1">
        <f>VLOOKUP($C953,'Substrate Heating'!$A$2:$B$33,2,FALSE)</f>
        <v>19.93</v>
      </c>
      <c r="AP953" s="1">
        <f>VLOOKUP($C953,'Substrate Heating'!$A$2:$M$33,13,FALSE)</f>
        <v>6</v>
      </c>
      <c r="AQ953" s="1">
        <f>VLOOKUP($C953,'Substrate Heating'!$A$2:$M$33,8,FALSE)</f>
        <v>1</v>
      </c>
      <c r="AR953" s="1">
        <f t="shared" si="14"/>
        <v>0.78263157894736801</v>
      </c>
    </row>
    <row r="954" spans="1:44" x14ac:dyDescent="0.2">
      <c r="A954" s="8" t="s">
        <v>34</v>
      </c>
      <c r="B954" s="9" t="s">
        <v>35</v>
      </c>
      <c r="C954" s="1" t="s">
        <v>347</v>
      </c>
      <c r="D954" s="23" t="s">
        <v>338</v>
      </c>
      <c r="E954" s="1" t="s">
        <v>169</v>
      </c>
      <c r="F954" s="1" t="s">
        <v>165</v>
      </c>
      <c r="G954" s="1">
        <v>-10</v>
      </c>
      <c r="H954" s="1">
        <v>-20</v>
      </c>
      <c r="I954" s="1" t="s">
        <v>40</v>
      </c>
      <c r="J954" s="1">
        <v>3.15</v>
      </c>
      <c r="K954" s="1">
        <v>-10</v>
      </c>
      <c r="L954" s="1">
        <v>-3.2605263157894702</v>
      </c>
      <c r="M954" s="1" t="s">
        <v>40</v>
      </c>
      <c r="N954" s="1">
        <v>2.1736842105263201</v>
      </c>
      <c r="O954" s="1">
        <v>1.9565789473684201</v>
      </c>
      <c r="Q954" s="1">
        <v>0.195657894736842</v>
      </c>
      <c r="R954" s="1">
        <v>0.45261306241034699</v>
      </c>
      <c r="S954" s="1" t="str">
        <f>VLOOKUP($E954,'Product Naming'!$A$1:$P$58,2,FALSE)</f>
        <v>Butanol-PW2</v>
      </c>
      <c r="T954" s="1" t="str">
        <f>VLOOKUP($E954,'Product Naming'!$A$1:$P$58,3,FALSE)</f>
        <v>Butanol (PW2)</v>
      </c>
      <c r="U954" s="1" t="str">
        <f>VLOOKUP($E954,'Product Naming'!$A$1:$P$58,4,FALSE)</f>
        <v>E</v>
      </c>
      <c r="V954" s="1" t="str">
        <f>VLOOKUP($E954,'Product Naming'!$A$1:$P$58,5,FALSE)</f>
        <v>C4H10O</v>
      </c>
      <c r="W954" s="1">
        <f>VLOOKUP($E954,'Product Naming'!$A$1:$P$58,6,FALSE)</f>
        <v>4</v>
      </c>
      <c r="X954" s="1">
        <f>VLOOKUP($E954,'Product Naming'!$A$1:$P$58,7,FALSE)</f>
        <v>10</v>
      </c>
      <c r="Y954" s="1">
        <f>VLOOKUP($E954,'Product Naming'!$A$1:$P$58,8,FALSE)</f>
        <v>1</v>
      </c>
      <c r="Z954" s="1">
        <f>VLOOKUP($E954,'Product Naming'!$A$1:$P$58,9,FALSE)</f>
        <v>0</v>
      </c>
      <c r="AA954" s="1">
        <f>VLOOKUP($E954,'Product Naming'!$A$1:$P$58,10,FALSE)</f>
        <v>0</v>
      </c>
      <c r="AB954" s="29">
        <f>VLOOKUP($E954,'Product Naming'!$A$1:$P$58,11,FALSE)</f>
        <v>6</v>
      </c>
      <c r="AC954" s="3">
        <f>VLOOKUP($E954,'Product Naming'!$A$1:$P$58,12,FALSE)</f>
        <v>74.120199999999997</v>
      </c>
      <c r="AD954" s="1">
        <f>VLOOKUP($E954,'Product Naming'!$A$1:$P$58,13,FALSE)</f>
        <v>117.7</v>
      </c>
      <c r="AE954" s="1" t="str">
        <f>VLOOKUP($E954,'Product Naming'!$A$1:$P$58,14,FALSE)</f>
        <v>Alcohol</v>
      </c>
      <c r="AF954" s="1" t="str">
        <f>VLOOKUP($E954,'Product Naming'!$A$1:$P$58,15,FALSE)</f>
        <v>Oxaloacetate</v>
      </c>
      <c r="AG954" s="30" t="str">
        <f>VLOOKUP($E954,'Product Naming'!$A$1:$P$58,16,FALSE)</f>
        <v>Proton symporter</v>
      </c>
      <c r="AH954" s="3" t="str">
        <f>VLOOKUP($E954,'Product Naming'!$A$1:$Q$58,17,FALSE)</f>
        <v>btoh_c</v>
      </c>
      <c r="AI954" s="1">
        <f>VLOOKUP($E954,'Product Parameters'!$A$2:$D$59,2,FALSE)</f>
        <v>1</v>
      </c>
      <c r="AJ954" s="1">
        <f>VLOOKUP($E954,'Product Parameters'!$A$2:$D$59,3,FALSE)</f>
        <v>0</v>
      </c>
      <c r="AK954" s="1">
        <f>VLOOKUP($E954,'Product Parameters'!$A$2:$D$59,4,FALSE)</f>
        <v>0.12</v>
      </c>
      <c r="AL954" s="1">
        <f>VLOOKUP($E954,'Product Parameters'!$A$2:$E$59,5,FALSE)</f>
        <v>52</v>
      </c>
      <c r="AM954" s="1">
        <f>VLOOKUP($E954,'Product Parameters'!$A$2:$F$59,6,FALSE)</f>
        <v>4</v>
      </c>
      <c r="AN954" s="1">
        <f>VLOOKUP($C954,'Substrate Heating'!$A$2:$C$33,3,FALSE)</f>
        <v>638.57832580000002</v>
      </c>
      <c r="AO954" s="1">
        <f>VLOOKUP($C954,'Substrate Heating'!$A$2:$B$33,2,FALSE)</f>
        <v>19.93</v>
      </c>
      <c r="AP954" s="1">
        <f>VLOOKUP($C954,'Substrate Heating'!$A$2:$M$33,13,FALSE)</f>
        <v>6</v>
      </c>
      <c r="AQ954" s="1">
        <f>VLOOKUP($C954,'Substrate Heating'!$A$2:$M$33,8,FALSE)</f>
        <v>1</v>
      </c>
      <c r="AR954" s="1">
        <f t="shared" si="14"/>
        <v>0.78263157894736801</v>
      </c>
    </row>
    <row r="955" spans="1:44" x14ac:dyDescent="0.2">
      <c r="A955" s="8" t="s">
        <v>34</v>
      </c>
      <c r="B955" s="9" t="s">
        <v>35</v>
      </c>
      <c r="C955" s="1" t="s">
        <v>345</v>
      </c>
      <c r="D955" s="10" t="s">
        <v>37</v>
      </c>
      <c r="E955" s="1" t="s">
        <v>114</v>
      </c>
      <c r="F955" s="1" t="s">
        <v>115</v>
      </c>
      <c r="G955" s="1">
        <v>-10</v>
      </c>
      <c r="H955" s="1">
        <v>-20</v>
      </c>
      <c r="I955" s="1" t="s">
        <v>40</v>
      </c>
      <c r="J955" s="1">
        <v>3.15</v>
      </c>
      <c r="K955" s="1">
        <v>-10</v>
      </c>
      <c r="L955" s="1">
        <v>-6.0593750000000197</v>
      </c>
      <c r="M955" s="1" t="s">
        <v>40</v>
      </c>
      <c r="N955" s="1">
        <v>8.3828125</v>
      </c>
      <c r="O955" s="1">
        <v>2.3234374999999998</v>
      </c>
      <c r="Q955" s="1">
        <v>0.23234374999999999</v>
      </c>
      <c r="R955" s="1">
        <v>0.45323683609621701</v>
      </c>
      <c r="S955" s="1" t="str">
        <f>VLOOKUP($E955,'Product Naming'!$A$1:$P$58,2,FALSE)</f>
        <v>5-Aminopentanoate</v>
      </c>
      <c r="T955" s="1" t="str">
        <f>VLOOKUP($E955,'Product Naming'!$A$1:$P$58,3,FALSE)</f>
        <v>5-Aminopentanoate</v>
      </c>
      <c r="U955" s="1" t="str">
        <f>VLOOKUP($E955,'Product Naming'!$A$1:$P$58,4,FALSE)</f>
        <v>A</v>
      </c>
      <c r="V955" s="1" t="str">
        <f>VLOOKUP($E955,'Product Naming'!$A$1:$P$58,5,FALSE)</f>
        <v>C5H11NO2</v>
      </c>
      <c r="W955" s="1">
        <f>VLOOKUP($E955,'Product Naming'!$A$1:$P$58,6,FALSE)</f>
        <v>5</v>
      </c>
      <c r="X955" s="1">
        <f>VLOOKUP($E955,'Product Naming'!$A$1:$P$58,7,FALSE)</f>
        <v>11</v>
      </c>
      <c r="Y955" s="1">
        <f>VLOOKUP($E955,'Product Naming'!$A$1:$P$58,8,FALSE)</f>
        <v>2</v>
      </c>
      <c r="Z955" s="1">
        <f>VLOOKUP($E955,'Product Naming'!$A$1:$P$58,9,FALSE)</f>
        <v>1</v>
      </c>
      <c r="AA955" s="1">
        <f>VLOOKUP($E955,'Product Naming'!$A$1:$P$58,10,FALSE)</f>
        <v>0</v>
      </c>
      <c r="AB955" s="29">
        <f>VLOOKUP($E955,'Product Naming'!$A$1:$P$58,11,FALSE)</f>
        <v>4.8</v>
      </c>
      <c r="AC955" s="3">
        <f>VLOOKUP($E955,'Product Naming'!$A$1:$P$58,12,FALSE)</f>
        <v>117.14444</v>
      </c>
      <c r="AD955" s="1">
        <f>VLOOKUP($E955,'Product Naming'!$A$1:$P$58,13,FALSE)</f>
        <v>247.5</v>
      </c>
      <c r="AE955" s="1" t="str">
        <f>VLOOKUP($E955,'Product Naming'!$A$1:$P$58,14,FALSE)</f>
        <v>D-Amino Acid</v>
      </c>
      <c r="AF955" s="1" t="str">
        <f>VLOOKUP($E955,'Product Naming'!$A$1:$P$58,15,FALSE)</f>
        <v>Oxaloacetate</v>
      </c>
      <c r="AG955" s="30" t="str">
        <f>VLOOKUP($E955,'Product Naming'!$A$1:$P$58,16,FALSE)</f>
        <v>Proton symporter</v>
      </c>
      <c r="AH955" s="3" t="str">
        <f>VLOOKUP($E955,'Product Naming'!$A$1:$Q$58,17,FALSE)</f>
        <v>5aptn_c</v>
      </c>
      <c r="AI955" s="1">
        <f>VLOOKUP($E955,'Product Parameters'!$A$2:$D$59,2,FALSE)</f>
        <v>1</v>
      </c>
      <c r="AJ955" s="1">
        <f>VLOOKUP($E955,'Product Parameters'!$A$2:$D$59,3,FALSE)</f>
        <v>0</v>
      </c>
      <c r="AK955" s="1">
        <f>VLOOKUP($E955,'Product Parameters'!$A$2:$D$59,4,FALSE)</f>
        <v>0.12</v>
      </c>
      <c r="AL955" s="1">
        <f>VLOOKUP($E955,'Product Parameters'!$A$2:$E$59,5,FALSE)</f>
        <v>40.65</v>
      </c>
      <c r="AM955" s="1">
        <f>VLOOKUP($E955,'Product Parameters'!$A$2:$F$59,6,FALSE)</f>
        <v>5</v>
      </c>
      <c r="AN955" s="1">
        <f>VLOOKUP($C955,'Substrate Heating'!$A$2:$C$33,3,FALSE)</f>
        <v>1020.8629199999999</v>
      </c>
      <c r="AO955" s="1">
        <f>VLOOKUP($C955,'Substrate Heating'!$A$2:$B$33,2,FALSE)</f>
        <v>17</v>
      </c>
      <c r="AP955" s="1">
        <f>VLOOKUP($C955,'Substrate Heating'!$A$2:$M$33,13,FALSE)</f>
        <v>4</v>
      </c>
      <c r="AQ955" s="1">
        <f>VLOOKUP($C955,'Substrate Heating'!$A$2:$M$33,8,FALSE)</f>
        <v>2</v>
      </c>
      <c r="AR955" s="1">
        <f t="shared" si="14"/>
        <v>0.58085937499999996</v>
      </c>
    </row>
    <row r="956" spans="1:44" x14ac:dyDescent="0.2">
      <c r="A956" s="17" t="s">
        <v>323</v>
      </c>
      <c r="B956" s="18" t="s">
        <v>324</v>
      </c>
      <c r="C956" t="s">
        <v>336</v>
      </c>
      <c r="D956" s="19" t="s">
        <v>326</v>
      </c>
      <c r="E956" t="s">
        <v>38</v>
      </c>
      <c r="F956" t="s">
        <v>39</v>
      </c>
      <c r="G956">
        <v>-10</v>
      </c>
      <c r="H956">
        <v>0</v>
      </c>
      <c r="I956">
        <v>-20</v>
      </c>
      <c r="J956">
        <v>0.45</v>
      </c>
      <c r="K956">
        <v>-10</v>
      </c>
      <c r="L956">
        <v>0</v>
      </c>
      <c r="M956">
        <v>-17.5</v>
      </c>
      <c r="N956">
        <v>0</v>
      </c>
      <c r="O956">
        <v>2.5</v>
      </c>
      <c r="P956"/>
      <c r="Q956">
        <v>0.25</v>
      </c>
      <c r="R956" s="20">
        <v>0.45455059013416699</v>
      </c>
      <c r="S956" s="1" t="str">
        <f>VLOOKUP($E956,'Product Naming'!$A$1:$P$58,2,FALSE)</f>
        <v>1-3-butanediol-PW1</v>
      </c>
      <c r="T956" s="1" t="str">
        <f>VLOOKUP($E956,'Product Naming'!$A$1:$P$58,3,FALSE)</f>
        <v>1,3-Butanediol (PW1)</v>
      </c>
      <c r="U956" s="1" t="str">
        <f>VLOOKUP($E956,'Product Naming'!$A$1:$P$58,4,FALSE)</f>
        <v>E</v>
      </c>
      <c r="V956" s="1" t="str">
        <f>VLOOKUP($E956,'Product Naming'!$A$1:$P$58,5,FALSE)</f>
        <v>C4H10O2</v>
      </c>
      <c r="W956" s="1">
        <f>VLOOKUP($E956,'Product Naming'!$A$1:$P$58,6,FALSE)</f>
        <v>4</v>
      </c>
      <c r="X956" s="1">
        <f>VLOOKUP($E956,'Product Naming'!$A$1:$P$58,7,FALSE)</f>
        <v>10</v>
      </c>
      <c r="Y956" s="1">
        <f>VLOOKUP($E956,'Product Naming'!$A$1:$P$58,8,FALSE)</f>
        <v>2</v>
      </c>
      <c r="Z956" s="1">
        <f>VLOOKUP($E956,'Product Naming'!$A$1:$P$58,9,FALSE)</f>
        <v>0</v>
      </c>
      <c r="AA956" s="1">
        <f>VLOOKUP($E956,'Product Naming'!$A$1:$P$58,10,FALSE)</f>
        <v>0</v>
      </c>
      <c r="AB956" s="29">
        <f>VLOOKUP($E956,'Product Naming'!$A$1:$P$58,11,FALSE)</f>
        <v>5.5</v>
      </c>
      <c r="AC956" s="3">
        <f>VLOOKUP($E956,'Product Naming'!$A$1:$P$58,12,FALSE)</f>
        <v>90.119200000000006</v>
      </c>
      <c r="AD956" s="1">
        <f>VLOOKUP($E956,'Product Naming'!$A$1:$P$58,13,FALSE)</f>
        <v>207</v>
      </c>
      <c r="AE956" s="1" t="str">
        <f>VLOOKUP($E956,'Product Naming'!$A$1:$P$58,14,FALSE)</f>
        <v>Diol</v>
      </c>
      <c r="AF956" s="1" t="str">
        <f>VLOOKUP($E956,'Product Naming'!$A$1:$P$58,15,FALSE)</f>
        <v>Acetyl-CoA</v>
      </c>
      <c r="AG956" s="30" t="str">
        <f>VLOOKUP($E956,'Product Naming'!$A$1:$P$58,16,FALSE)</f>
        <v>Proton symporter</v>
      </c>
      <c r="AH956" s="3" t="str">
        <f>VLOOKUP($E956,'Product Naming'!$A$1:$Q$58,17,FALSE)</f>
        <v>13bdo__R_c</v>
      </c>
      <c r="AI956" s="1">
        <f>VLOOKUP($E956,'Product Parameters'!$A$2:$D$59,2,FALSE)</f>
        <v>1</v>
      </c>
      <c r="AJ956" s="1">
        <f>VLOOKUP($E956,'Product Parameters'!$A$2:$D$59,3,FALSE)</f>
        <v>0</v>
      </c>
      <c r="AK956" s="1">
        <f>VLOOKUP($E956,'Product Parameters'!$A$2:$D$59,4,FALSE)</f>
        <v>0.12</v>
      </c>
      <c r="AL956" s="1">
        <f>VLOOKUP($E956,'Product Parameters'!$A$2:$E$59,5,FALSE)</f>
        <v>72.599999999999994</v>
      </c>
      <c r="AM956" s="1">
        <f>VLOOKUP($E956,'Product Parameters'!$A$2:$F$59,6,FALSE)</f>
        <v>4</v>
      </c>
      <c r="AN956" s="1">
        <f>VLOOKUP($C956,'Substrate Heating'!$A$2:$C$33,3,FALSE)</f>
        <v>245.86666666666667</v>
      </c>
      <c r="AO956" s="1">
        <f>VLOOKUP($C956,'Substrate Heating'!$A$2:$B$33,2,FALSE)</f>
        <v>15.038360459876978</v>
      </c>
      <c r="AP956" s="1">
        <f>VLOOKUP($C956,'Substrate Heating'!$A$2:$M$33,13,FALSE)</f>
        <v>0.33333333333333331</v>
      </c>
      <c r="AQ956" s="1">
        <f>VLOOKUP($C956,'Substrate Heating'!$A$2:$M$33,8,FALSE)</f>
        <v>0.33333333333333331</v>
      </c>
      <c r="AR956" s="1">
        <f t="shared" si="14"/>
        <v>3</v>
      </c>
    </row>
    <row r="957" spans="1:44" x14ac:dyDescent="0.2">
      <c r="A957" s="17" t="s">
        <v>323</v>
      </c>
      <c r="B957" s="18" t="s">
        <v>324</v>
      </c>
      <c r="C957" t="s">
        <v>336</v>
      </c>
      <c r="D957" s="19" t="s">
        <v>326</v>
      </c>
      <c r="E957" t="s">
        <v>48</v>
      </c>
      <c r="F957" t="s">
        <v>39</v>
      </c>
      <c r="G957">
        <v>-10</v>
      </c>
      <c r="H957">
        <v>0</v>
      </c>
      <c r="I957">
        <v>-20</v>
      </c>
      <c r="J957">
        <v>0.45</v>
      </c>
      <c r="K957">
        <v>-10</v>
      </c>
      <c r="L957">
        <v>0</v>
      </c>
      <c r="M957">
        <v>-17.5</v>
      </c>
      <c r="N957">
        <v>0</v>
      </c>
      <c r="O957">
        <v>2.5</v>
      </c>
      <c r="P957"/>
      <c r="Q957">
        <v>0.25</v>
      </c>
      <c r="R957" s="20">
        <v>0.45455059013416699</v>
      </c>
      <c r="S957" s="1" t="str">
        <f>VLOOKUP($E957,'Product Naming'!$A$1:$P$58,2,FALSE)</f>
        <v>1-3-butanediol-PW2</v>
      </c>
      <c r="T957" s="1" t="str">
        <f>VLOOKUP($E957,'Product Naming'!$A$1:$P$58,3,FALSE)</f>
        <v>1,3-Butanediol (PW2)</v>
      </c>
      <c r="U957" s="1" t="str">
        <f>VLOOKUP($E957,'Product Naming'!$A$1:$P$58,4,FALSE)</f>
        <v>E</v>
      </c>
      <c r="V957" s="1" t="str">
        <f>VLOOKUP($E957,'Product Naming'!$A$1:$P$58,5,FALSE)</f>
        <v>C4H10O2</v>
      </c>
      <c r="W957" s="1">
        <f>VLOOKUP($E957,'Product Naming'!$A$1:$P$58,6,FALSE)</f>
        <v>4</v>
      </c>
      <c r="X957" s="1">
        <f>VLOOKUP($E957,'Product Naming'!$A$1:$P$58,7,FALSE)</f>
        <v>10</v>
      </c>
      <c r="Y957" s="1">
        <f>VLOOKUP($E957,'Product Naming'!$A$1:$P$58,8,FALSE)</f>
        <v>2</v>
      </c>
      <c r="Z957" s="1">
        <f>VLOOKUP($E957,'Product Naming'!$A$1:$P$58,9,FALSE)</f>
        <v>0</v>
      </c>
      <c r="AA957" s="1">
        <f>VLOOKUP($E957,'Product Naming'!$A$1:$P$58,10,FALSE)</f>
        <v>0</v>
      </c>
      <c r="AB957" s="29">
        <f>VLOOKUP($E957,'Product Naming'!$A$1:$P$58,11,FALSE)</f>
        <v>5.5</v>
      </c>
      <c r="AC957" s="3">
        <f>VLOOKUP($E957,'Product Naming'!$A$1:$P$58,12,FALSE)</f>
        <v>90.119200000000006</v>
      </c>
      <c r="AD957" s="1">
        <f>VLOOKUP($E957,'Product Naming'!$A$1:$P$58,13,FALSE)</f>
        <v>207</v>
      </c>
      <c r="AE957" s="1" t="str">
        <f>VLOOKUP($E957,'Product Naming'!$A$1:$P$58,14,FALSE)</f>
        <v>Diol</v>
      </c>
      <c r="AF957" s="1" t="str">
        <f>VLOOKUP($E957,'Product Naming'!$A$1:$P$58,15,FALSE)</f>
        <v>Pyruvate (acetalehyde)</v>
      </c>
      <c r="AG957" s="30" t="str">
        <f>VLOOKUP($E957,'Product Naming'!$A$1:$P$58,16,FALSE)</f>
        <v>Proton symporter</v>
      </c>
      <c r="AH957" s="3" t="str">
        <f>VLOOKUP($E957,'Product Naming'!$A$1:$Q$58,17,FALSE)</f>
        <v>13bdo__R_c</v>
      </c>
      <c r="AI957" s="1">
        <f>VLOOKUP($E957,'Product Parameters'!$A$2:$D$59,2,FALSE)</f>
        <v>1</v>
      </c>
      <c r="AJ957" s="1">
        <f>VLOOKUP($E957,'Product Parameters'!$A$2:$D$59,3,FALSE)</f>
        <v>0</v>
      </c>
      <c r="AK957" s="1">
        <f>VLOOKUP($E957,'Product Parameters'!$A$2:$D$59,4,FALSE)</f>
        <v>0.12</v>
      </c>
      <c r="AL957" s="1">
        <f>VLOOKUP($E957,'Product Parameters'!$A$2:$E$59,5,FALSE)</f>
        <v>72.599999999999994</v>
      </c>
      <c r="AM957" s="1">
        <f>VLOOKUP($E957,'Product Parameters'!$A$2:$F$59,6,FALSE)</f>
        <v>4</v>
      </c>
      <c r="AN957" s="1">
        <f>VLOOKUP($C957,'Substrate Heating'!$A$2:$C$33,3,FALSE)</f>
        <v>245.86666666666667</v>
      </c>
      <c r="AO957" s="1">
        <f>VLOOKUP($C957,'Substrate Heating'!$A$2:$B$33,2,FALSE)</f>
        <v>15.038360459876978</v>
      </c>
      <c r="AP957" s="1">
        <f>VLOOKUP($C957,'Substrate Heating'!$A$2:$M$33,13,FALSE)</f>
        <v>0.33333333333333331</v>
      </c>
      <c r="AQ957" s="1">
        <f>VLOOKUP($C957,'Substrate Heating'!$A$2:$M$33,8,FALSE)</f>
        <v>0.33333333333333331</v>
      </c>
      <c r="AR957" s="1">
        <f t="shared" si="14"/>
        <v>3</v>
      </c>
    </row>
    <row r="958" spans="1:44" x14ac:dyDescent="0.2">
      <c r="A958" s="17" t="s">
        <v>323</v>
      </c>
      <c r="B958" s="18" t="s">
        <v>324</v>
      </c>
      <c r="C958" t="s">
        <v>336</v>
      </c>
      <c r="D958" s="19" t="s">
        <v>326</v>
      </c>
      <c r="E958" t="s">
        <v>85</v>
      </c>
      <c r="F958" t="s">
        <v>86</v>
      </c>
      <c r="G958">
        <v>-10</v>
      </c>
      <c r="H958">
        <v>0</v>
      </c>
      <c r="I958">
        <v>-20</v>
      </c>
      <c r="J958">
        <v>0.45</v>
      </c>
      <c r="K958">
        <v>-10</v>
      </c>
      <c r="L958">
        <v>0</v>
      </c>
      <c r="M958">
        <v>-17.5</v>
      </c>
      <c r="N958">
        <v>0</v>
      </c>
      <c r="O958">
        <v>2.5</v>
      </c>
      <c r="P958"/>
      <c r="Q958">
        <v>0.25</v>
      </c>
      <c r="R958" s="20">
        <v>0.45455059013416699</v>
      </c>
      <c r="S958" s="1" t="str">
        <f>VLOOKUP($E958,'Product Naming'!$A$1:$P$58,2,FALSE)</f>
        <v>2-3-butanediol</v>
      </c>
      <c r="T958" s="1" t="str">
        <f>VLOOKUP($E958,'Product Naming'!$A$1:$P$58,3,FALSE)</f>
        <v>2,3-Butanediol</v>
      </c>
      <c r="U958" s="1" t="str">
        <f>VLOOKUP($E958,'Product Naming'!$A$1:$P$58,4,FALSE)</f>
        <v>E</v>
      </c>
      <c r="V958" s="1" t="str">
        <f>VLOOKUP($E958,'Product Naming'!$A$1:$P$58,5,FALSE)</f>
        <v>C4H10O2</v>
      </c>
      <c r="W958" s="1">
        <f>VLOOKUP($E958,'Product Naming'!$A$1:$P$58,6,FALSE)</f>
        <v>4</v>
      </c>
      <c r="X958" s="1">
        <f>VLOOKUP($E958,'Product Naming'!$A$1:$P$58,7,FALSE)</f>
        <v>10</v>
      </c>
      <c r="Y958" s="1">
        <f>VLOOKUP($E958,'Product Naming'!$A$1:$P$58,8,FALSE)</f>
        <v>2</v>
      </c>
      <c r="Z958" s="1">
        <f>VLOOKUP($E958,'Product Naming'!$A$1:$P$58,9,FALSE)</f>
        <v>0</v>
      </c>
      <c r="AA958" s="1">
        <f>VLOOKUP($E958,'Product Naming'!$A$1:$P$58,10,FALSE)</f>
        <v>0</v>
      </c>
      <c r="AB958" s="29">
        <f>VLOOKUP($E958,'Product Naming'!$A$1:$P$58,11,FALSE)</f>
        <v>5.5</v>
      </c>
      <c r="AC958" s="3">
        <f>VLOOKUP($E958,'Product Naming'!$A$1:$P$58,12,FALSE)</f>
        <v>90.119200000000006</v>
      </c>
      <c r="AD958" s="1">
        <f>VLOOKUP($E958,'Product Naming'!$A$1:$P$58,13,FALSE)</f>
        <v>177</v>
      </c>
      <c r="AE958" s="1" t="str">
        <f>VLOOKUP($E958,'Product Naming'!$A$1:$P$58,14,FALSE)</f>
        <v>Diol</v>
      </c>
      <c r="AF958" s="1" t="str">
        <f>VLOOKUP($E958,'Product Naming'!$A$1:$P$58,15,FALSE)</f>
        <v>Pyruvate</v>
      </c>
      <c r="AG958" s="30" t="str">
        <f>VLOOKUP($E958,'Product Naming'!$A$1:$P$58,16,FALSE)</f>
        <v>Proton symporter</v>
      </c>
      <c r="AH958" s="3" t="str">
        <f>VLOOKUP($E958,'Product Naming'!$A$1:$Q$58,17,FALSE)</f>
        <v>btd_RR_c</v>
      </c>
      <c r="AI958" s="1">
        <f>VLOOKUP($E958,'Product Parameters'!$A$2:$D$59,2,FALSE)</f>
        <v>1</v>
      </c>
      <c r="AJ958" s="1">
        <f>VLOOKUP($E958,'Product Parameters'!$A$2:$D$59,3,FALSE)</f>
        <v>0</v>
      </c>
      <c r="AK958" s="1">
        <f>VLOOKUP($E958,'Product Parameters'!$A$2:$D$59,4,FALSE)</f>
        <v>0.12</v>
      </c>
      <c r="AL958" s="1">
        <f>VLOOKUP($E958,'Product Parameters'!$A$2:$E$59,5,FALSE)</f>
        <v>63</v>
      </c>
      <c r="AM958" s="1">
        <f>VLOOKUP($E958,'Product Parameters'!$A$2:$F$59,6,FALSE)</f>
        <v>4</v>
      </c>
      <c r="AN958" s="1">
        <f>VLOOKUP($C958,'Substrate Heating'!$A$2:$C$33,3,FALSE)</f>
        <v>245.86666666666667</v>
      </c>
      <c r="AO958" s="1">
        <f>VLOOKUP($C958,'Substrate Heating'!$A$2:$B$33,2,FALSE)</f>
        <v>15.038360459876978</v>
      </c>
      <c r="AP958" s="1">
        <f>VLOOKUP($C958,'Substrate Heating'!$A$2:$M$33,13,FALSE)</f>
        <v>0.33333333333333331</v>
      </c>
      <c r="AQ958" s="1">
        <f>VLOOKUP($C958,'Substrate Heating'!$A$2:$M$33,8,FALSE)</f>
        <v>0.33333333333333331</v>
      </c>
      <c r="AR958" s="1">
        <f t="shared" si="14"/>
        <v>3</v>
      </c>
    </row>
    <row r="959" spans="1:44" x14ac:dyDescent="0.2">
      <c r="A959" s="8" t="s">
        <v>34</v>
      </c>
      <c r="B959" s="9" t="s">
        <v>35</v>
      </c>
      <c r="C959" s="1" t="s">
        <v>36</v>
      </c>
      <c r="D959" s="10" t="s">
        <v>37</v>
      </c>
      <c r="E959" s="1" t="s">
        <v>301</v>
      </c>
      <c r="F959" s="1" t="s">
        <v>302</v>
      </c>
      <c r="G959" s="1">
        <v>-10</v>
      </c>
      <c r="H959" s="1">
        <v>-20</v>
      </c>
      <c r="I959" s="1" t="s">
        <v>40</v>
      </c>
      <c r="J959" s="1">
        <v>3.15</v>
      </c>
      <c r="K959" s="1">
        <v>-10</v>
      </c>
      <c r="L959" s="1">
        <v>-2.2931937172774899</v>
      </c>
      <c r="M959" s="1" t="s">
        <v>40</v>
      </c>
      <c r="N959" s="1">
        <v>6.3759162303665002</v>
      </c>
      <c r="O959" s="1">
        <v>4.5413612565445103</v>
      </c>
      <c r="Q959" s="1">
        <v>0.454136125654451</v>
      </c>
      <c r="R959" s="1">
        <v>0.454580037579211</v>
      </c>
      <c r="S959" s="1" t="str">
        <f>VLOOKUP($E959,'Product Naming'!$A$1:$P$58,2,FALSE)</f>
        <v>Propane-PW1</v>
      </c>
      <c r="T959" s="1" t="str">
        <f>VLOOKUP($E959,'Product Naming'!$A$1:$P$58,3,FALSE)</f>
        <v>Propane (PW1)</v>
      </c>
      <c r="U959" s="1" t="str">
        <f>VLOOKUP($E959,'Product Naming'!$A$1:$P$58,4,FALSE)</f>
        <v>E</v>
      </c>
      <c r="V959" s="1" t="str">
        <f>VLOOKUP($E959,'Product Naming'!$A$1:$P$58,5,FALSE)</f>
        <v>C3H8</v>
      </c>
      <c r="W959" s="1">
        <f>VLOOKUP($E959,'Product Naming'!$A$1:$P$58,6,FALSE)</f>
        <v>3</v>
      </c>
      <c r="X959" s="1">
        <f>VLOOKUP($E959,'Product Naming'!$A$1:$P$58,7,FALSE)</f>
        <v>8</v>
      </c>
      <c r="Y959" s="1">
        <f>VLOOKUP($E959,'Product Naming'!$A$1:$P$58,8,FALSE)</f>
        <v>0</v>
      </c>
      <c r="Z959" s="1">
        <f>VLOOKUP($E959,'Product Naming'!$A$1:$P$58,9,FALSE)</f>
        <v>0</v>
      </c>
      <c r="AA959" s="1">
        <f>VLOOKUP($E959,'Product Naming'!$A$1:$P$58,10,FALSE)</f>
        <v>0</v>
      </c>
      <c r="AB959" s="29">
        <f>VLOOKUP($E959,'Product Naming'!$A$1:$P$58,11,FALSE)</f>
        <v>6.666666666666667</v>
      </c>
      <c r="AC959" s="3">
        <f>VLOOKUP($E959,'Product Naming'!$A$1:$P$58,12,FALSE)</f>
        <v>44.094819999999999</v>
      </c>
      <c r="AD959" s="1">
        <f>VLOOKUP($E959,'Product Naming'!$A$1:$P$58,13,FALSE)</f>
        <v>-42</v>
      </c>
      <c r="AE959" s="1" t="str">
        <f>VLOOKUP($E959,'Product Naming'!$A$1:$P$58,14,FALSE)</f>
        <v>Hydrocarbon</v>
      </c>
      <c r="AF959" s="1" t="str">
        <f>VLOOKUP($E959,'Product Naming'!$A$1:$P$58,15,FALSE)</f>
        <v>Acetyl-CoA</v>
      </c>
      <c r="AG959" s="30" t="str">
        <f>VLOOKUP($E959,'Product Naming'!$A$1:$P$58,16,FALSE)</f>
        <v>Diffusion</v>
      </c>
      <c r="AH959" s="3" t="str">
        <f>VLOOKUP($E959,'Product Naming'!$A$1:$Q$58,17,FALSE)</f>
        <v>prop_c</v>
      </c>
      <c r="AI959" s="1">
        <f>VLOOKUP($E959,'Product Parameters'!$A$2:$D$59,2,FALSE)</f>
        <v>0</v>
      </c>
      <c r="AJ959" s="1">
        <f>VLOOKUP($E959,'Product Parameters'!$A$2:$D$59,3,FALSE)</f>
        <v>1</v>
      </c>
      <c r="AK959" s="1">
        <f>VLOOKUP($E959,'Product Parameters'!$A$2:$D$59,4,FALSE)</f>
        <v>0.12</v>
      </c>
      <c r="AL959" s="1">
        <f>VLOOKUP($E959,'Product Parameters'!$A$2:$E$59,5,FALSE)</f>
        <v>0</v>
      </c>
      <c r="AM959" s="1">
        <f>VLOOKUP($E959,'Product Parameters'!$A$2:$F$59,6,FALSE)</f>
        <v>3</v>
      </c>
      <c r="AN959" s="1">
        <f>VLOOKUP($C959,'Substrate Heating'!$A$2:$C$33,3,FALSE)</f>
        <v>1064.1143145599999</v>
      </c>
      <c r="AO959" s="1">
        <f>VLOOKUP($C959,'Substrate Heating'!$A$2:$B$33,2,FALSE)</f>
        <v>24.155999999999999</v>
      </c>
      <c r="AP959" s="1">
        <f>VLOOKUP($C959,'Substrate Heating'!$A$2:$M$33,13,FALSE)</f>
        <v>5</v>
      </c>
      <c r="AQ959" s="1">
        <f>VLOOKUP($C959,'Substrate Heating'!$A$2:$M$33,8,FALSE)</f>
        <v>2</v>
      </c>
      <c r="AR959" s="1">
        <f t="shared" si="14"/>
        <v>0.68120418848167652</v>
      </c>
    </row>
    <row r="960" spans="1:44" x14ac:dyDescent="0.2">
      <c r="A960" s="8" t="s">
        <v>809</v>
      </c>
      <c r="B960" s="18" t="s">
        <v>324</v>
      </c>
      <c r="C960" t="s">
        <v>808</v>
      </c>
      <c r="D960" s="19" t="s">
        <v>326</v>
      </c>
      <c r="E960" t="s">
        <v>38</v>
      </c>
      <c r="F960" t="s">
        <v>39</v>
      </c>
      <c r="G960">
        <v>-10</v>
      </c>
      <c r="H960">
        <v>0</v>
      </c>
      <c r="I960">
        <v>-20</v>
      </c>
      <c r="J960">
        <v>0.45</v>
      </c>
      <c r="K960">
        <v>-7.2727272727272698</v>
      </c>
      <c r="L960">
        <v>0</v>
      </c>
      <c r="M960">
        <v>-20</v>
      </c>
      <c r="N960">
        <v>-7.2727272727272698</v>
      </c>
      <c r="O960">
        <v>1.8181818181818099</v>
      </c>
      <c r="P960"/>
      <c r="Q960">
        <v>0.25</v>
      </c>
      <c r="R960">
        <v>0.454651491302417</v>
      </c>
      <c r="S960" s="1" t="str">
        <f>VLOOKUP($E960,'Product Naming'!$A$1:$P$58,2,FALSE)</f>
        <v>1-3-butanediol-PW1</v>
      </c>
      <c r="T960" s="1" t="str">
        <f>VLOOKUP($E960,'Product Naming'!$A$1:$P$58,3,FALSE)</f>
        <v>1,3-Butanediol (PW1)</v>
      </c>
      <c r="U960" s="1" t="str">
        <f>VLOOKUP($E960,'Product Naming'!$A$1:$P$58,4,FALSE)</f>
        <v>E</v>
      </c>
      <c r="V960" s="1" t="str">
        <f>VLOOKUP($E960,'Product Naming'!$A$1:$P$58,5,FALSE)</f>
        <v>C4H10O2</v>
      </c>
      <c r="W960" s="1">
        <f>VLOOKUP($E960,'Product Naming'!$A$1:$P$58,6,FALSE)</f>
        <v>4</v>
      </c>
      <c r="X960" s="1">
        <f>VLOOKUP($E960,'Product Naming'!$A$1:$P$58,7,FALSE)</f>
        <v>10</v>
      </c>
      <c r="Y960" s="1">
        <f>VLOOKUP($E960,'Product Naming'!$A$1:$P$58,8,FALSE)</f>
        <v>2</v>
      </c>
      <c r="Z960" s="1">
        <f>VLOOKUP($E960,'Product Naming'!$A$1:$P$58,9,FALSE)</f>
        <v>0</v>
      </c>
      <c r="AA960" s="1">
        <f>VLOOKUP($E960,'Product Naming'!$A$1:$P$58,10,FALSE)</f>
        <v>0</v>
      </c>
      <c r="AB960" s="29">
        <f>VLOOKUP($E960,'Product Naming'!$A$1:$P$58,11,FALSE)</f>
        <v>5.5</v>
      </c>
      <c r="AC960" s="3">
        <f>VLOOKUP($E960,'Product Naming'!$A$1:$P$58,12,FALSE)</f>
        <v>90.119200000000006</v>
      </c>
      <c r="AD960" s="1">
        <f>VLOOKUP($E960,'Product Naming'!$A$1:$P$58,13,FALSE)</f>
        <v>207</v>
      </c>
      <c r="AE960" s="1" t="str">
        <f>VLOOKUP($E960,'Product Naming'!$A$1:$P$58,14,FALSE)</f>
        <v>Diol</v>
      </c>
      <c r="AF960" s="1" t="str">
        <f>VLOOKUP($E960,'Product Naming'!$A$1:$P$58,15,FALSE)</f>
        <v>Acetyl-CoA</v>
      </c>
      <c r="AG960" s="30" t="str">
        <f>VLOOKUP($E960,'Product Naming'!$A$1:$P$58,16,FALSE)</f>
        <v>Proton symporter</v>
      </c>
      <c r="AH960" s="3" t="str">
        <f>VLOOKUP($E960,'Product Naming'!$A$1:$Q$58,17,FALSE)</f>
        <v>13bdo__R_c</v>
      </c>
      <c r="AI960" s="1">
        <f>VLOOKUP($E960,'Product Parameters'!$A$2:$D$59,2,FALSE)</f>
        <v>1</v>
      </c>
      <c r="AJ960" s="1">
        <f>VLOOKUP($E960,'Product Parameters'!$A$2:$D$59,3,FALSE)</f>
        <v>0</v>
      </c>
      <c r="AK960" s="1">
        <f>VLOOKUP($E960,'Product Parameters'!$A$2:$D$59,4,FALSE)</f>
        <v>0.12</v>
      </c>
      <c r="AL960" s="1">
        <f>VLOOKUP($E960,'Product Parameters'!$A$2:$E$59,5,FALSE)</f>
        <v>72.599999999999994</v>
      </c>
      <c r="AM960" s="1">
        <f>VLOOKUP($E960,'Product Parameters'!$A$2:$F$59,6,FALSE)</f>
        <v>4</v>
      </c>
      <c r="AN960" s="1">
        <f>VLOOKUP($C960,'Substrate Heating'!$A$2:$C$33,3,FALSE)</f>
        <v>120.9</v>
      </c>
      <c r="AO960" s="1">
        <f>VLOOKUP($C960,'Substrate Heating'!$A$2:$B$33,2,FALSE)</f>
        <v>5.2537372583834907</v>
      </c>
      <c r="AP960" s="1">
        <f>VLOOKUP($C960,'Substrate Heating'!$A$2:$M$33,13,FALSE)</f>
        <v>0</v>
      </c>
      <c r="AQ960" s="1">
        <f>VLOOKUP($C960,'Substrate Heating'!$A$2:$M$33,8,FALSE)</f>
        <v>0.33333333333333331</v>
      </c>
      <c r="AR960" s="1">
        <f t="shared" si="14"/>
        <v>3</v>
      </c>
    </row>
    <row r="961" spans="1:44" x14ac:dyDescent="0.2">
      <c r="A961" s="8" t="s">
        <v>809</v>
      </c>
      <c r="B961" s="18" t="s">
        <v>324</v>
      </c>
      <c r="C961" t="s">
        <v>808</v>
      </c>
      <c r="D961" s="19" t="s">
        <v>326</v>
      </c>
      <c r="E961" t="s">
        <v>48</v>
      </c>
      <c r="F961" t="s">
        <v>39</v>
      </c>
      <c r="G961">
        <v>-10</v>
      </c>
      <c r="H961">
        <v>0</v>
      </c>
      <c r="I961">
        <v>-20</v>
      </c>
      <c r="J961">
        <v>0.45</v>
      </c>
      <c r="K961">
        <v>-7.2727272727272698</v>
      </c>
      <c r="L961">
        <v>0</v>
      </c>
      <c r="M961">
        <v>-20</v>
      </c>
      <c r="N961">
        <v>-7.2727272727272698</v>
      </c>
      <c r="O961">
        <v>1.8181818181818099</v>
      </c>
      <c r="P961"/>
      <c r="Q961">
        <v>0.25</v>
      </c>
      <c r="R961">
        <v>0.454651491302417</v>
      </c>
      <c r="S961" s="1" t="str">
        <f>VLOOKUP($E961,'Product Naming'!$A$1:$P$58,2,FALSE)</f>
        <v>1-3-butanediol-PW2</v>
      </c>
      <c r="T961" s="1" t="str">
        <f>VLOOKUP($E961,'Product Naming'!$A$1:$P$58,3,FALSE)</f>
        <v>1,3-Butanediol (PW2)</v>
      </c>
      <c r="U961" s="1" t="str">
        <f>VLOOKUP($E961,'Product Naming'!$A$1:$P$58,4,FALSE)</f>
        <v>E</v>
      </c>
      <c r="V961" s="1" t="str">
        <f>VLOOKUP($E961,'Product Naming'!$A$1:$P$58,5,FALSE)</f>
        <v>C4H10O2</v>
      </c>
      <c r="W961" s="1">
        <f>VLOOKUP($E961,'Product Naming'!$A$1:$P$58,6,FALSE)</f>
        <v>4</v>
      </c>
      <c r="X961" s="1">
        <f>VLOOKUP($E961,'Product Naming'!$A$1:$P$58,7,FALSE)</f>
        <v>10</v>
      </c>
      <c r="Y961" s="1">
        <f>VLOOKUP($E961,'Product Naming'!$A$1:$P$58,8,FALSE)</f>
        <v>2</v>
      </c>
      <c r="Z961" s="1">
        <f>VLOOKUP($E961,'Product Naming'!$A$1:$P$58,9,FALSE)</f>
        <v>0</v>
      </c>
      <c r="AA961" s="1">
        <f>VLOOKUP($E961,'Product Naming'!$A$1:$P$58,10,FALSE)</f>
        <v>0</v>
      </c>
      <c r="AB961" s="29">
        <f>VLOOKUP($E961,'Product Naming'!$A$1:$P$58,11,FALSE)</f>
        <v>5.5</v>
      </c>
      <c r="AC961" s="3">
        <f>VLOOKUP($E961,'Product Naming'!$A$1:$P$58,12,FALSE)</f>
        <v>90.119200000000006</v>
      </c>
      <c r="AD961" s="1">
        <f>VLOOKUP($E961,'Product Naming'!$A$1:$P$58,13,FALSE)</f>
        <v>207</v>
      </c>
      <c r="AE961" s="1" t="str">
        <f>VLOOKUP($E961,'Product Naming'!$A$1:$P$58,14,FALSE)</f>
        <v>Diol</v>
      </c>
      <c r="AF961" s="1" t="str">
        <f>VLOOKUP($E961,'Product Naming'!$A$1:$P$58,15,FALSE)</f>
        <v>Pyruvate (acetalehyde)</v>
      </c>
      <c r="AG961" s="30" t="str">
        <f>VLOOKUP($E961,'Product Naming'!$A$1:$P$58,16,FALSE)</f>
        <v>Proton symporter</v>
      </c>
      <c r="AH961" s="3" t="str">
        <f>VLOOKUP($E961,'Product Naming'!$A$1:$Q$58,17,FALSE)</f>
        <v>13bdo__R_c</v>
      </c>
      <c r="AI961" s="1">
        <f>VLOOKUP($E961,'Product Parameters'!$A$2:$D$59,2,FALSE)</f>
        <v>1</v>
      </c>
      <c r="AJ961" s="1">
        <f>VLOOKUP($E961,'Product Parameters'!$A$2:$D$59,3,FALSE)</f>
        <v>0</v>
      </c>
      <c r="AK961" s="1">
        <f>VLOOKUP($E961,'Product Parameters'!$A$2:$D$59,4,FALSE)</f>
        <v>0.12</v>
      </c>
      <c r="AL961" s="1">
        <f>VLOOKUP($E961,'Product Parameters'!$A$2:$E$59,5,FALSE)</f>
        <v>72.599999999999994</v>
      </c>
      <c r="AM961" s="1">
        <f>VLOOKUP($E961,'Product Parameters'!$A$2:$F$59,6,FALSE)</f>
        <v>4</v>
      </c>
      <c r="AN961" s="1">
        <f>VLOOKUP($C961,'Substrate Heating'!$A$2:$C$33,3,FALSE)</f>
        <v>120.9</v>
      </c>
      <c r="AO961" s="1">
        <f>VLOOKUP($C961,'Substrate Heating'!$A$2:$B$33,2,FALSE)</f>
        <v>5.2537372583834907</v>
      </c>
      <c r="AP961" s="1">
        <f>VLOOKUP($C961,'Substrate Heating'!$A$2:$M$33,13,FALSE)</f>
        <v>0</v>
      </c>
      <c r="AQ961" s="1">
        <f>VLOOKUP($C961,'Substrate Heating'!$A$2:$M$33,8,FALSE)</f>
        <v>0.33333333333333331</v>
      </c>
      <c r="AR961" s="1">
        <f t="shared" si="14"/>
        <v>3</v>
      </c>
    </row>
    <row r="962" spans="1:44" x14ac:dyDescent="0.2">
      <c r="A962" s="8" t="s">
        <v>809</v>
      </c>
      <c r="B962" s="18" t="s">
        <v>324</v>
      </c>
      <c r="C962" t="s">
        <v>808</v>
      </c>
      <c r="D962" s="19" t="s">
        <v>326</v>
      </c>
      <c r="E962" t="s">
        <v>85</v>
      </c>
      <c r="F962" t="s">
        <v>86</v>
      </c>
      <c r="G962">
        <v>-10</v>
      </c>
      <c r="H962">
        <v>0</v>
      </c>
      <c r="I962">
        <v>-20</v>
      </c>
      <c r="J962">
        <v>0.45</v>
      </c>
      <c r="K962">
        <v>-7.2727272727272698</v>
      </c>
      <c r="L962">
        <v>0</v>
      </c>
      <c r="M962">
        <v>-20</v>
      </c>
      <c r="N962">
        <v>-7.2727272727272698</v>
      </c>
      <c r="O962">
        <v>1.8181818181818099</v>
      </c>
      <c r="P962"/>
      <c r="Q962">
        <v>0.25</v>
      </c>
      <c r="R962">
        <v>0.454651491302417</v>
      </c>
      <c r="S962" s="1" t="str">
        <f>VLOOKUP($E962,'Product Naming'!$A$1:$P$58,2,FALSE)</f>
        <v>2-3-butanediol</v>
      </c>
      <c r="T962" s="1" t="str">
        <f>VLOOKUP($E962,'Product Naming'!$A$1:$P$58,3,FALSE)</f>
        <v>2,3-Butanediol</v>
      </c>
      <c r="U962" s="1" t="str">
        <f>VLOOKUP($E962,'Product Naming'!$A$1:$P$58,4,FALSE)</f>
        <v>E</v>
      </c>
      <c r="V962" s="1" t="str">
        <f>VLOOKUP($E962,'Product Naming'!$A$1:$P$58,5,FALSE)</f>
        <v>C4H10O2</v>
      </c>
      <c r="W962" s="1">
        <f>VLOOKUP($E962,'Product Naming'!$A$1:$P$58,6,FALSE)</f>
        <v>4</v>
      </c>
      <c r="X962" s="1">
        <f>VLOOKUP($E962,'Product Naming'!$A$1:$P$58,7,FALSE)</f>
        <v>10</v>
      </c>
      <c r="Y962" s="1">
        <f>VLOOKUP($E962,'Product Naming'!$A$1:$P$58,8,FALSE)</f>
        <v>2</v>
      </c>
      <c r="Z962" s="1">
        <f>VLOOKUP($E962,'Product Naming'!$A$1:$P$58,9,FALSE)</f>
        <v>0</v>
      </c>
      <c r="AA962" s="1">
        <f>VLOOKUP($E962,'Product Naming'!$A$1:$P$58,10,FALSE)</f>
        <v>0</v>
      </c>
      <c r="AB962" s="29">
        <f>VLOOKUP($E962,'Product Naming'!$A$1:$P$58,11,FALSE)</f>
        <v>5.5</v>
      </c>
      <c r="AC962" s="3">
        <f>VLOOKUP($E962,'Product Naming'!$A$1:$P$58,12,FALSE)</f>
        <v>90.119200000000006</v>
      </c>
      <c r="AD962" s="1">
        <f>VLOOKUP($E962,'Product Naming'!$A$1:$P$58,13,FALSE)</f>
        <v>177</v>
      </c>
      <c r="AE962" s="1" t="str">
        <f>VLOOKUP($E962,'Product Naming'!$A$1:$P$58,14,FALSE)</f>
        <v>Diol</v>
      </c>
      <c r="AF962" s="1" t="str">
        <f>VLOOKUP($E962,'Product Naming'!$A$1:$P$58,15,FALSE)</f>
        <v>Pyruvate</v>
      </c>
      <c r="AG962" s="30" t="str">
        <f>VLOOKUP($E962,'Product Naming'!$A$1:$P$58,16,FALSE)</f>
        <v>Proton symporter</v>
      </c>
      <c r="AH962" s="3" t="str">
        <f>VLOOKUP($E962,'Product Naming'!$A$1:$Q$58,17,FALSE)</f>
        <v>btd_RR_c</v>
      </c>
      <c r="AI962" s="1">
        <f>VLOOKUP($E962,'Product Parameters'!$A$2:$D$59,2,FALSE)</f>
        <v>1</v>
      </c>
      <c r="AJ962" s="1">
        <f>VLOOKUP($E962,'Product Parameters'!$A$2:$D$59,3,FALSE)</f>
        <v>0</v>
      </c>
      <c r="AK962" s="1">
        <f>VLOOKUP($E962,'Product Parameters'!$A$2:$D$59,4,FALSE)</f>
        <v>0.12</v>
      </c>
      <c r="AL962" s="1">
        <f>VLOOKUP($E962,'Product Parameters'!$A$2:$E$59,5,FALSE)</f>
        <v>63</v>
      </c>
      <c r="AM962" s="1">
        <f>VLOOKUP($E962,'Product Parameters'!$A$2:$F$59,6,FALSE)</f>
        <v>4</v>
      </c>
      <c r="AN962" s="1">
        <f>VLOOKUP($C962,'Substrate Heating'!$A$2:$C$33,3,FALSE)</f>
        <v>120.9</v>
      </c>
      <c r="AO962" s="1">
        <f>VLOOKUP($C962,'Substrate Heating'!$A$2:$B$33,2,FALSE)</f>
        <v>5.2537372583834907</v>
      </c>
      <c r="AP962" s="1">
        <f>VLOOKUP($C962,'Substrate Heating'!$A$2:$M$33,13,FALSE)</f>
        <v>0</v>
      </c>
      <c r="AQ962" s="1">
        <f>VLOOKUP($C962,'Substrate Heating'!$A$2:$M$33,8,FALSE)</f>
        <v>0.33333333333333331</v>
      </c>
      <c r="AR962" s="1">
        <f t="shared" si="14"/>
        <v>3</v>
      </c>
    </row>
    <row r="963" spans="1:44" x14ac:dyDescent="0.2">
      <c r="A963" s="8" t="s">
        <v>34</v>
      </c>
      <c r="B963" s="9" t="s">
        <v>35</v>
      </c>
      <c r="C963" s="1" t="s">
        <v>341</v>
      </c>
      <c r="D963" s="24" t="s">
        <v>342</v>
      </c>
      <c r="E963" s="1" t="s">
        <v>119</v>
      </c>
      <c r="F963" s="1" t="s">
        <v>120</v>
      </c>
      <c r="G963" s="1">
        <v>-10</v>
      </c>
      <c r="H963" s="1">
        <v>-20</v>
      </c>
      <c r="I963" s="1" t="s">
        <v>40</v>
      </c>
      <c r="J963" s="1">
        <v>3.15</v>
      </c>
      <c r="K963" s="1">
        <v>-10</v>
      </c>
      <c r="L963" s="1">
        <v>-3.51609756097562</v>
      </c>
      <c r="M963" s="1" t="s">
        <v>40</v>
      </c>
      <c r="N963" s="1">
        <v>17.6370731707317</v>
      </c>
      <c r="O963" s="1">
        <v>14.120975609756099</v>
      </c>
      <c r="Q963" s="1">
        <v>1.4120975609756099</v>
      </c>
      <c r="R963" s="1">
        <v>0.45523709075455498</v>
      </c>
      <c r="S963" s="1" t="str">
        <f>VLOOKUP($E963,'Product Naming'!$A$1:$P$58,2,FALSE)</f>
        <v>Acetone</v>
      </c>
      <c r="T963" s="1" t="str">
        <f>VLOOKUP($E963,'Product Naming'!$A$1:$P$58,3,FALSE)</f>
        <v>Acetone</v>
      </c>
      <c r="U963" s="1" t="str">
        <f>VLOOKUP($E963,'Product Naming'!$A$1:$P$58,4,FALSE)</f>
        <v>A</v>
      </c>
      <c r="V963" s="1" t="str">
        <f>VLOOKUP($E963,'Product Naming'!$A$1:$P$58,5,FALSE)</f>
        <v>C3H6O</v>
      </c>
      <c r="W963" s="1">
        <f>VLOOKUP($E963,'Product Naming'!$A$1:$P$58,6,FALSE)</f>
        <v>3</v>
      </c>
      <c r="X963" s="1">
        <f>VLOOKUP($E963,'Product Naming'!$A$1:$P$58,7,FALSE)</f>
        <v>6</v>
      </c>
      <c r="Y963" s="1">
        <f>VLOOKUP($E963,'Product Naming'!$A$1:$P$58,8,FALSE)</f>
        <v>1</v>
      </c>
      <c r="Z963" s="1">
        <f>VLOOKUP($E963,'Product Naming'!$A$1:$P$58,9,FALSE)</f>
        <v>0</v>
      </c>
      <c r="AA963" s="1">
        <f>VLOOKUP($E963,'Product Naming'!$A$1:$P$58,10,FALSE)</f>
        <v>0</v>
      </c>
      <c r="AB963" s="29">
        <f>VLOOKUP($E963,'Product Naming'!$A$1:$P$58,11,FALSE)</f>
        <v>5.333333333333333</v>
      </c>
      <c r="AC963" s="3">
        <f>VLOOKUP($E963,'Product Naming'!$A$1:$P$58,12,FALSE)</f>
        <v>58.078140000000005</v>
      </c>
      <c r="AD963" s="1">
        <f>VLOOKUP($E963,'Product Naming'!$A$1:$P$58,13,FALSE)</f>
        <v>56</v>
      </c>
      <c r="AE963" s="1" t="str">
        <f>VLOOKUP($E963,'Product Naming'!$A$1:$P$58,14,FALSE)</f>
        <v>Ketone</v>
      </c>
      <c r="AF963" s="1" t="str">
        <f>VLOOKUP($E963,'Product Naming'!$A$1:$P$58,15,FALSE)</f>
        <v>Acetyl-CoA</v>
      </c>
      <c r="AG963" s="30" t="str">
        <f>VLOOKUP($E963,'Product Naming'!$A$1:$P$58,16,FALSE)</f>
        <v>Proton symporter</v>
      </c>
      <c r="AH963" s="3" t="str">
        <f>VLOOKUP($E963,'Product Naming'!$A$1:$Q$58,17,FALSE)</f>
        <v>acetone_c</v>
      </c>
      <c r="AI963" s="1">
        <f>VLOOKUP($E963,'Product Parameters'!$A$2:$D$59,2,FALSE)</f>
        <v>1</v>
      </c>
      <c r="AJ963" s="1">
        <f>VLOOKUP($E963,'Product Parameters'!$A$2:$D$59,3,FALSE)</f>
        <v>0</v>
      </c>
      <c r="AK963" s="1">
        <f>VLOOKUP($E963,'Product Parameters'!$A$2:$D$59,4,FALSE)</f>
        <v>0.12</v>
      </c>
      <c r="AL963" s="1">
        <f>VLOOKUP($E963,'Product Parameters'!$A$2:$E$59,5,FALSE)</f>
        <v>31.3</v>
      </c>
      <c r="AM963" s="1">
        <f>VLOOKUP($E963,'Product Parameters'!$A$2:$F$59,6,FALSE)</f>
        <v>3</v>
      </c>
      <c r="AN963" s="1">
        <f>VLOOKUP($C963,'Substrate Heating'!$A$2:$C$33,3,FALSE)</f>
        <v>2828.4492</v>
      </c>
      <c r="AO963" s="1">
        <f>VLOOKUP($C963,'Substrate Heating'!$A$2:$B$33,2,FALSE)</f>
        <v>15.7</v>
      </c>
      <c r="AP963" s="1">
        <f>VLOOKUP($C963,'Substrate Heating'!$A$2:$M$33,13,FALSE)</f>
        <v>4</v>
      </c>
      <c r="AQ963" s="1">
        <f>VLOOKUP($C963,'Substrate Heating'!$A$2:$M$33,8,FALSE)</f>
        <v>6</v>
      </c>
      <c r="AR963" s="1">
        <f t="shared" ref="AR963:AR1026" si="15">Q963*W963/AQ963</f>
        <v>0.70604878048780495</v>
      </c>
    </row>
    <row r="964" spans="1:44" x14ac:dyDescent="0.2">
      <c r="A964" s="17" t="s">
        <v>323</v>
      </c>
      <c r="B964" s="18" t="s">
        <v>324</v>
      </c>
      <c r="C964" t="s">
        <v>327</v>
      </c>
      <c r="D964" s="19" t="s">
        <v>326</v>
      </c>
      <c r="E964" t="s">
        <v>198</v>
      </c>
      <c r="F964" t="s">
        <v>199</v>
      </c>
      <c r="G964">
        <v>-10</v>
      </c>
      <c r="H964">
        <v>0</v>
      </c>
      <c r="I964">
        <v>-5</v>
      </c>
      <c r="J964">
        <v>0.45</v>
      </c>
      <c r="K964">
        <v>-10</v>
      </c>
      <c r="L964">
        <v>0</v>
      </c>
      <c r="M964">
        <v>-5</v>
      </c>
      <c r="N964">
        <v>4</v>
      </c>
      <c r="O964">
        <v>1.5</v>
      </c>
      <c r="P964"/>
      <c r="Q964">
        <v>0.15</v>
      </c>
      <c r="R964">
        <v>0.45539379738111702</v>
      </c>
      <c r="S964" s="1" t="str">
        <f>VLOOKUP($E964,'Product Naming'!$A$1:$P$58,2,FALSE)</f>
        <v>EthylAcetate</v>
      </c>
      <c r="T964" s="1" t="str">
        <f>VLOOKUP($E964,'Product Naming'!$A$1:$P$58,3,FALSE)</f>
        <v>Ethyl acetate</v>
      </c>
      <c r="U964" s="1" t="str">
        <f>VLOOKUP($E964,'Product Naming'!$A$1:$P$58,4,FALSE)</f>
        <v>E</v>
      </c>
      <c r="V964" s="1" t="str">
        <f>VLOOKUP($E964,'Product Naming'!$A$1:$P$58,5,FALSE)</f>
        <v>C4H8O2</v>
      </c>
      <c r="W964" s="1">
        <f>VLOOKUP($E964,'Product Naming'!$A$1:$P$58,6,FALSE)</f>
        <v>4</v>
      </c>
      <c r="X964" s="1">
        <f>VLOOKUP($E964,'Product Naming'!$A$1:$P$58,7,FALSE)</f>
        <v>8</v>
      </c>
      <c r="Y964" s="1">
        <f>VLOOKUP($E964,'Product Naming'!$A$1:$P$58,8,FALSE)</f>
        <v>2</v>
      </c>
      <c r="Z964" s="1">
        <f>VLOOKUP($E964,'Product Naming'!$A$1:$P$58,9,FALSE)</f>
        <v>0</v>
      </c>
      <c r="AA964" s="1">
        <f>VLOOKUP($E964,'Product Naming'!$A$1:$P$58,10,FALSE)</f>
        <v>0</v>
      </c>
      <c r="AB964" s="29">
        <f>VLOOKUP($E964,'Product Naming'!$A$1:$P$58,11,FALSE)</f>
        <v>5</v>
      </c>
      <c r="AC964" s="3">
        <f>VLOOKUP($E964,'Product Naming'!$A$1:$P$58,12,FALSE)</f>
        <v>88.103520000000003</v>
      </c>
      <c r="AD964" s="1">
        <f>VLOOKUP($E964,'Product Naming'!$A$1:$P$58,13,FALSE)</f>
        <v>77.099999999999994</v>
      </c>
      <c r="AE964" s="1" t="str">
        <f>VLOOKUP($E964,'Product Naming'!$A$1:$P$58,14,FALSE)</f>
        <v>Carboxylate Ester</v>
      </c>
      <c r="AF964" s="1" t="str">
        <f>VLOOKUP($E964,'Product Naming'!$A$1:$P$58,15,FALSE)</f>
        <v>Acetyl-CoA</v>
      </c>
      <c r="AG964" s="30" t="str">
        <f>VLOOKUP($E964,'Product Naming'!$A$1:$P$58,16,FALSE)</f>
        <v>Proton symporter</v>
      </c>
      <c r="AH964" s="3" t="str">
        <f>VLOOKUP($E964,'Product Naming'!$A$1:$Q$58,17,FALSE)</f>
        <v>aces_c</v>
      </c>
      <c r="AI964" s="1">
        <f>VLOOKUP($E964,'Product Parameters'!$A$2:$D$59,2,FALSE)</f>
        <v>1</v>
      </c>
      <c r="AJ964" s="1">
        <f>VLOOKUP($E964,'Product Parameters'!$A$2:$D$59,3,FALSE)</f>
        <v>0</v>
      </c>
      <c r="AK964" s="1">
        <f>VLOOKUP($E964,'Product Parameters'!$A$2:$D$59,4,FALSE)</f>
        <v>0.12</v>
      </c>
      <c r="AL964" s="1">
        <f>VLOOKUP($E964,'Product Parameters'!$A$2:$E$59,5,FALSE)</f>
        <v>35</v>
      </c>
      <c r="AM964" s="1">
        <f>VLOOKUP($E964,'Product Parameters'!$A$2:$F$59,6,FALSE)</f>
        <v>4</v>
      </c>
      <c r="AN964" s="1">
        <f>VLOOKUP($C964,'Substrate Heating'!$A$2:$C$33,3,FALSE)</f>
        <v>269.26666666666665</v>
      </c>
      <c r="AO964" s="1">
        <f>VLOOKUP($C964,'Substrate Heating'!$A$2:$B$33,2,FALSE)</f>
        <v>13.919167510409219</v>
      </c>
      <c r="AP964" s="1">
        <f>VLOOKUP($C964,'Substrate Heating'!$A$2:$M$33,13,FALSE)</f>
        <v>1.3333333333333333</v>
      </c>
      <c r="AQ964" s="1">
        <f>VLOOKUP($C964,'Substrate Heating'!$A$2:$M$33,8,FALSE)</f>
        <v>0.66666666666666663</v>
      </c>
      <c r="AR964" s="1">
        <f t="shared" si="15"/>
        <v>0.9</v>
      </c>
    </row>
    <row r="965" spans="1:44" x14ac:dyDescent="0.2">
      <c r="A965" s="8" t="s">
        <v>34</v>
      </c>
      <c r="B965" s="9" t="s">
        <v>35</v>
      </c>
      <c r="C965" s="1" t="s">
        <v>344</v>
      </c>
      <c r="D965" s="10" t="s">
        <v>37</v>
      </c>
      <c r="E965" s="1" t="s">
        <v>52</v>
      </c>
      <c r="F965" s="1" t="s">
        <v>53</v>
      </c>
      <c r="G965" s="1">
        <v>-10</v>
      </c>
      <c r="H965" s="1">
        <v>-20</v>
      </c>
      <c r="I965" s="1" t="s">
        <v>40</v>
      </c>
      <c r="J965" s="1">
        <v>3.15</v>
      </c>
      <c r="K965" s="1">
        <v>-10</v>
      </c>
      <c r="L965" s="1">
        <v>-5.5896103896103897</v>
      </c>
      <c r="M965" s="1" t="s">
        <v>40</v>
      </c>
      <c r="N965" s="1">
        <v>9.1922077922077907</v>
      </c>
      <c r="O965" s="1">
        <v>3.6025974025974001</v>
      </c>
      <c r="Q965" s="1">
        <v>0.36025974025974</v>
      </c>
      <c r="R965" s="1">
        <v>0.45677122018060501</v>
      </c>
      <c r="S965" s="1" t="str">
        <f>VLOOKUP($E965,'Product Naming'!$A$1:$P$58,2,FALSE)</f>
        <v>1-3-Diaminopropane</v>
      </c>
      <c r="T965" s="1" t="str">
        <f>VLOOKUP($E965,'Product Naming'!$A$1:$P$58,3,FALSE)</f>
        <v>1,3-Diaminopropane</v>
      </c>
      <c r="U965" s="1" t="str">
        <f>VLOOKUP($E965,'Product Naming'!$A$1:$P$58,4,FALSE)</f>
        <v>A</v>
      </c>
      <c r="V965" s="1" t="str">
        <f>VLOOKUP($E965,'Product Naming'!$A$1:$P$58,5,FALSE)</f>
        <v>C3H12N2</v>
      </c>
      <c r="W965" s="1">
        <f>VLOOKUP($E965,'Product Naming'!$A$1:$P$58,6,FALSE)</f>
        <v>3</v>
      </c>
      <c r="X965" s="1">
        <f>VLOOKUP($E965,'Product Naming'!$A$1:$P$58,7,FALSE)</f>
        <v>12</v>
      </c>
      <c r="Y965" s="1">
        <f>VLOOKUP($E965,'Product Naming'!$A$1:$P$58,8,FALSE)</f>
        <v>0</v>
      </c>
      <c r="Z965" s="1">
        <f>VLOOKUP($E965,'Product Naming'!$A$1:$P$58,9,FALSE)</f>
        <v>2</v>
      </c>
      <c r="AA965" s="1">
        <f>VLOOKUP($E965,'Product Naming'!$A$1:$P$58,10,FALSE)</f>
        <v>2</v>
      </c>
      <c r="AB965" s="29">
        <f>VLOOKUP($E965,'Product Naming'!$A$1:$P$58,11,FALSE)</f>
        <v>6</v>
      </c>
      <c r="AC965" s="3">
        <f>VLOOKUP($E965,'Product Naming'!$A$1:$P$58,12,FALSE)</f>
        <v>76.139580000000009</v>
      </c>
      <c r="AD965" s="1">
        <f>VLOOKUP($E965,'Product Naming'!$A$1:$P$58,13,FALSE)</f>
        <v>139.30000000000001</v>
      </c>
      <c r="AE965" s="1" t="str">
        <f>VLOOKUP($E965,'Product Naming'!$A$1:$P$58,14,FALSE)</f>
        <v>Diamine</v>
      </c>
      <c r="AF965" s="1" t="str">
        <f>VLOOKUP($E965,'Product Naming'!$A$1:$P$58,15,FALSE)</f>
        <v>Oxaloacetate + aKG</v>
      </c>
      <c r="AG965" s="30" t="str">
        <f>VLOOKUP($E965,'Product Naming'!$A$1:$P$58,16,FALSE)</f>
        <v>Proton symporter</v>
      </c>
      <c r="AH965" s="3" t="str">
        <f>VLOOKUP($E965,'Product Naming'!$A$1:$Q$58,17,FALSE)</f>
        <v>13dampp_c</v>
      </c>
      <c r="AI965" s="1">
        <f>VLOOKUP($E965,'Product Parameters'!$A$2:$D$59,2,FALSE)</f>
        <v>1</v>
      </c>
      <c r="AJ965" s="1">
        <f>VLOOKUP($E965,'Product Parameters'!$A$2:$D$59,3,FALSE)</f>
        <v>0</v>
      </c>
      <c r="AK965" s="1">
        <f>VLOOKUP($E965,'Product Parameters'!$A$2:$D$59,4,FALSE)</f>
        <v>0.12</v>
      </c>
      <c r="AL965" s="1">
        <f>VLOOKUP($E965,'Product Parameters'!$A$2:$E$59,5,FALSE)</f>
        <v>50.18</v>
      </c>
      <c r="AM965" s="1">
        <f>VLOOKUP($E965,'Product Parameters'!$A$2:$F$59,6,FALSE)</f>
        <v>3</v>
      </c>
      <c r="AN965" s="1">
        <f>VLOOKUP($C965,'Substrate Heating'!$A$2:$C$33,3,FALSE)</f>
        <v>1020.8629199999999</v>
      </c>
      <c r="AO965" s="1">
        <f>VLOOKUP($C965,'Substrate Heating'!$A$2:$B$33,2,FALSE)</f>
        <v>17</v>
      </c>
      <c r="AP965" s="1">
        <f>VLOOKUP($C965,'Substrate Heating'!$A$2:$M$33,13,FALSE)</f>
        <v>4</v>
      </c>
      <c r="AQ965" s="1">
        <f>VLOOKUP($C965,'Substrate Heating'!$A$2:$M$33,8,FALSE)</f>
        <v>2</v>
      </c>
      <c r="AR965" s="1">
        <f t="shared" si="15"/>
        <v>0.54038961038960998</v>
      </c>
    </row>
    <row r="966" spans="1:44" x14ac:dyDescent="0.2">
      <c r="A966" s="8" t="s">
        <v>34</v>
      </c>
      <c r="B966" s="9" t="s">
        <v>35</v>
      </c>
      <c r="C966" s="1" t="s">
        <v>322</v>
      </c>
      <c r="D966" s="10" t="s">
        <v>37</v>
      </c>
      <c r="E966" s="1" t="s">
        <v>85</v>
      </c>
      <c r="F966" s="1" t="s">
        <v>86</v>
      </c>
      <c r="G966" s="1">
        <v>-10</v>
      </c>
      <c r="H966" s="1">
        <v>-20</v>
      </c>
      <c r="I966" s="1" t="s">
        <v>40</v>
      </c>
      <c r="J966" s="1">
        <v>3.15</v>
      </c>
      <c r="K966" s="1">
        <v>-10</v>
      </c>
      <c r="L966" s="1">
        <v>-3.5383720930232498</v>
      </c>
      <c r="M966" s="1" t="s">
        <v>40</v>
      </c>
      <c r="N966" s="1">
        <v>8.0279069767441893</v>
      </c>
      <c r="O966" s="1">
        <v>2.9930232558139598</v>
      </c>
      <c r="Q966" s="1">
        <v>0.29930232558139502</v>
      </c>
      <c r="R966" s="1">
        <v>0.45683523341214999</v>
      </c>
      <c r="S966" s="1" t="str">
        <f>VLOOKUP($E966,'Product Naming'!$A$1:$P$58,2,FALSE)</f>
        <v>2-3-butanediol</v>
      </c>
      <c r="T966" s="1" t="str">
        <f>VLOOKUP($E966,'Product Naming'!$A$1:$P$58,3,FALSE)</f>
        <v>2,3-Butanediol</v>
      </c>
      <c r="U966" s="1" t="str">
        <f>VLOOKUP($E966,'Product Naming'!$A$1:$P$58,4,FALSE)</f>
        <v>E</v>
      </c>
      <c r="V966" s="1" t="str">
        <f>VLOOKUP($E966,'Product Naming'!$A$1:$P$58,5,FALSE)</f>
        <v>C4H10O2</v>
      </c>
      <c r="W966" s="1">
        <f>VLOOKUP($E966,'Product Naming'!$A$1:$P$58,6,FALSE)</f>
        <v>4</v>
      </c>
      <c r="X966" s="1">
        <f>VLOOKUP($E966,'Product Naming'!$A$1:$P$58,7,FALSE)</f>
        <v>10</v>
      </c>
      <c r="Y966" s="1">
        <f>VLOOKUP($E966,'Product Naming'!$A$1:$P$58,8,FALSE)</f>
        <v>2</v>
      </c>
      <c r="Z966" s="1">
        <f>VLOOKUP($E966,'Product Naming'!$A$1:$P$58,9,FALSE)</f>
        <v>0</v>
      </c>
      <c r="AA966" s="1">
        <f>VLOOKUP($E966,'Product Naming'!$A$1:$P$58,10,FALSE)</f>
        <v>0</v>
      </c>
      <c r="AB966" s="29">
        <f>VLOOKUP($E966,'Product Naming'!$A$1:$P$58,11,FALSE)</f>
        <v>5.5</v>
      </c>
      <c r="AC966" s="3">
        <f>VLOOKUP($E966,'Product Naming'!$A$1:$P$58,12,FALSE)</f>
        <v>90.119200000000006</v>
      </c>
      <c r="AD966" s="1">
        <f>VLOOKUP($E966,'Product Naming'!$A$1:$P$58,13,FALSE)</f>
        <v>177</v>
      </c>
      <c r="AE966" s="1" t="str">
        <f>VLOOKUP($E966,'Product Naming'!$A$1:$P$58,14,FALSE)</f>
        <v>Diol</v>
      </c>
      <c r="AF966" s="1" t="str">
        <f>VLOOKUP($E966,'Product Naming'!$A$1:$P$58,15,FALSE)</f>
        <v>Pyruvate</v>
      </c>
      <c r="AG966" s="30" t="str">
        <f>VLOOKUP($E966,'Product Naming'!$A$1:$P$58,16,FALSE)</f>
        <v>Proton symporter</v>
      </c>
      <c r="AH966" s="3" t="str">
        <f>VLOOKUP($E966,'Product Naming'!$A$1:$Q$58,17,FALSE)</f>
        <v>btd_RR_c</v>
      </c>
      <c r="AI966" s="1">
        <f>VLOOKUP($E966,'Product Parameters'!$A$2:$D$59,2,FALSE)</f>
        <v>1</v>
      </c>
      <c r="AJ966" s="1">
        <f>VLOOKUP($E966,'Product Parameters'!$A$2:$D$59,3,FALSE)</f>
        <v>0</v>
      </c>
      <c r="AK966" s="1">
        <f>VLOOKUP($E966,'Product Parameters'!$A$2:$D$59,4,FALSE)</f>
        <v>0.12</v>
      </c>
      <c r="AL966" s="1">
        <f>VLOOKUP($E966,'Product Parameters'!$A$2:$E$59,5,FALSE)</f>
        <v>63</v>
      </c>
      <c r="AM966" s="1">
        <f>VLOOKUP($E966,'Product Parameters'!$A$2:$F$59,6,FALSE)</f>
        <v>4</v>
      </c>
      <c r="AN966" s="1">
        <f>VLOOKUP($C966,'Substrate Heating'!$A$2:$C$33,3,FALSE)</f>
        <v>876.74109599999997</v>
      </c>
      <c r="AO966" s="1">
        <f>VLOOKUP($C966,'Substrate Heating'!$A$2:$B$33,2,FALSE)</f>
        <v>14.6</v>
      </c>
      <c r="AP966" s="1">
        <f>VLOOKUP($C966,'Substrate Heating'!$A$2:$M$33,13,FALSE)</f>
        <v>3.5</v>
      </c>
      <c r="AQ966" s="1">
        <f>VLOOKUP($C966,'Substrate Heating'!$A$2:$M$33,8,FALSE)</f>
        <v>2</v>
      </c>
      <c r="AR966" s="1">
        <f t="shared" si="15"/>
        <v>0.59860465116279005</v>
      </c>
    </row>
    <row r="967" spans="1:44" x14ac:dyDescent="0.2">
      <c r="A967" s="17" t="s">
        <v>323</v>
      </c>
      <c r="B967" s="18" t="s">
        <v>324</v>
      </c>
      <c r="C967" t="s">
        <v>328</v>
      </c>
      <c r="D967" s="19" t="s">
        <v>326</v>
      </c>
      <c r="E967" t="s">
        <v>264</v>
      </c>
      <c r="F967" t="s">
        <v>265</v>
      </c>
      <c r="G967">
        <v>-10</v>
      </c>
      <c r="H967">
        <v>0</v>
      </c>
      <c r="I967">
        <v>-10</v>
      </c>
      <c r="J967">
        <v>0.45</v>
      </c>
      <c r="K967">
        <v>-10</v>
      </c>
      <c r="L967">
        <v>0</v>
      </c>
      <c r="M967">
        <v>-10</v>
      </c>
      <c r="N967">
        <v>0.93333333333333401</v>
      </c>
      <c r="O967">
        <v>0.93333333333333302</v>
      </c>
      <c r="P967"/>
      <c r="Q967">
        <v>9.3333333333333296E-2</v>
      </c>
      <c r="R967">
        <v>0.457476923076923</v>
      </c>
      <c r="S967" s="1" t="str">
        <f>VLOOKUP($E967,'Product Naming'!$A$1:$P$58,2,FALSE)</f>
        <v>Lysine_L</v>
      </c>
      <c r="T967" s="1" t="str">
        <f>VLOOKUP($E967,'Product Naming'!$A$1:$P$58,3,FALSE)</f>
        <v>L-Lysine</v>
      </c>
      <c r="U967" s="1" t="str">
        <f>VLOOKUP($E967,'Product Naming'!$A$1:$P$58,4,FALSE)</f>
        <v>iJO1366</v>
      </c>
      <c r="V967" s="1" t="str">
        <f>VLOOKUP($E967,'Product Naming'!$A$1:$P$58,5,FALSE)</f>
        <v>C6H15N2O2</v>
      </c>
      <c r="W967" s="1">
        <f>VLOOKUP($E967,'Product Naming'!$A$1:$P$58,6,FALSE)</f>
        <v>6</v>
      </c>
      <c r="X967" s="1">
        <f>VLOOKUP($E967,'Product Naming'!$A$1:$P$58,7,FALSE)</f>
        <v>15</v>
      </c>
      <c r="Y967" s="1">
        <f>VLOOKUP($E967,'Product Naming'!$A$1:$P$58,8,FALSE)</f>
        <v>2</v>
      </c>
      <c r="Z967" s="1">
        <f>VLOOKUP($E967,'Product Naming'!$A$1:$P$58,9,FALSE)</f>
        <v>2</v>
      </c>
      <c r="AA967" s="1">
        <f>VLOOKUP($E967,'Product Naming'!$A$1:$P$58,10,FALSE)</f>
        <v>1</v>
      </c>
      <c r="AB967" s="29">
        <f>VLOOKUP($E967,'Product Naming'!$A$1:$P$58,11,FALSE)</f>
        <v>4.833333333333333</v>
      </c>
      <c r="AC967" s="3">
        <f>VLOOKUP($E967,'Product Naming'!$A$1:$P$58,12,FALSE)</f>
        <v>147.19319999999999</v>
      </c>
      <c r="AD967" s="1" t="str">
        <f>VLOOKUP($E967,'Product Naming'!$A$1:$P$58,13,FALSE)</f>
        <v>NA</v>
      </c>
      <c r="AE967" s="1" t="str">
        <f>VLOOKUP($E967,'Product Naming'!$A$1:$P$58,14,FALSE)</f>
        <v>Amino acid</v>
      </c>
      <c r="AF967" s="1" t="str">
        <f>VLOOKUP($E967,'Product Naming'!$A$1:$P$58,15,FALSE)</f>
        <v>Oxaloacetate</v>
      </c>
      <c r="AG967" s="30" t="str">
        <f>VLOOKUP($E967,'Product Naming'!$A$1:$P$58,16,FALSE)</f>
        <v>Proton antiport</v>
      </c>
      <c r="AH967" s="3" t="str">
        <f>VLOOKUP($E967,'Product Naming'!$A$1:$Q$58,17,FALSE)</f>
        <v>lys__L_</v>
      </c>
      <c r="AI967" s="1">
        <f>VLOOKUP($E967,'Product Parameters'!$A$2:$D$59,2,FALSE)</f>
        <v>1</v>
      </c>
      <c r="AJ967" s="1">
        <f>VLOOKUP($E967,'Product Parameters'!$A$2:$D$59,3,FALSE)</f>
        <v>0</v>
      </c>
      <c r="AK967" s="1">
        <f>VLOOKUP($E967,'Product Parameters'!$A$2:$D$59,4,FALSE)</f>
        <v>0.12</v>
      </c>
      <c r="AL967" s="1">
        <f>VLOOKUP($E967,'Product Parameters'!$A$2:$E$59,5,FALSE)</f>
        <v>40.65</v>
      </c>
      <c r="AM967" s="1">
        <f>VLOOKUP($E967,'Product Parameters'!$A$2:$F$59,6,FALSE)</f>
        <v>6</v>
      </c>
      <c r="AN967" s="1">
        <f>VLOOKUP($C967,'Substrate Heating'!$A$2:$C$33,3,FALSE)</f>
        <v>262.39999999999998</v>
      </c>
      <c r="AO967" s="1">
        <f>VLOOKUP($C967,'Substrate Heating'!$A$2:$B$33,2,FALSE)</f>
        <v>17.478546483008707</v>
      </c>
      <c r="AP967" s="1">
        <f>VLOOKUP($C967,'Substrate Heating'!$A$2:$M$33,13,FALSE)</f>
        <v>1</v>
      </c>
      <c r="AQ967" s="1">
        <f>VLOOKUP($C967,'Substrate Heating'!$A$2:$M$33,8,FALSE)</f>
        <v>0.5</v>
      </c>
      <c r="AR967" s="1">
        <f t="shared" si="15"/>
        <v>1.1199999999999997</v>
      </c>
    </row>
    <row r="968" spans="1:44" x14ac:dyDescent="0.2">
      <c r="A968" s="8" t="s">
        <v>34</v>
      </c>
      <c r="B968" s="9" t="s">
        <v>35</v>
      </c>
      <c r="C968" s="1" t="s">
        <v>330</v>
      </c>
      <c r="D968" s="10" t="s">
        <v>37</v>
      </c>
      <c r="E968" s="1" t="s">
        <v>192</v>
      </c>
      <c r="F968" s="1" t="s">
        <v>193</v>
      </c>
      <c r="G968" s="1">
        <v>-10</v>
      </c>
      <c r="H968" s="1">
        <v>-20</v>
      </c>
      <c r="I968" s="1" t="s">
        <v>40</v>
      </c>
      <c r="J968" s="1">
        <v>3.15</v>
      </c>
      <c r="K968" s="1">
        <v>-10</v>
      </c>
      <c r="L968" s="1">
        <v>-8.4435041716329007</v>
      </c>
      <c r="M968" s="1" t="s">
        <v>40</v>
      </c>
      <c r="N968" s="1">
        <v>4.3148986889153704</v>
      </c>
      <c r="O968" s="1">
        <v>1.7427890345649599</v>
      </c>
      <c r="Q968" s="1">
        <v>0.17427890345649599</v>
      </c>
      <c r="R968" s="1">
        <v>0.45811076381621901</v>
      </c>
      <c r="S968" s="1" t="str">
        <f>VLOOKUP($E968,'Product Naming'!$A$1:$P$58,2,FALSE)</f>
        <v>Coumaric acid</v>
      </c>
      <c r="T968" s="1" t="str">
        <f>VLOOKUP($E968,'Product Naming'!$A$1:$P$58,3,FALSE)</f>
        <v>Coumaric acid</v>
      </c>
      <c r="U968" s="1" t="str">
        <f>VLOOKUP($E968,'Product Naming'!$A$1:$P$58,4,FALSE)</f>
        <v>E</v>
      </c>
      <c r="V968" s="1" t="str">
        <f>VLOOKUP($E968,'Product Naming'!$A$1:$P$58,5,FALSE)</f>
        <v>C9H7O3</v>
      </c>
      <c r="W968" s="1">
        <f>VLOOKUP($E968,'Product Naming'!$A$1:$P$58,6,FALSE)</f>
        <v>9</v>
      </c>
      <c r="X968" s="1">
        <f>VLOOKUP($E968,'Product Naming'!$A$1:$P$58,7,FALSE)</f>
        <v>7</v>
      </c>
      <c r="Y968" s="1">
        <f>VLOOKUP($E968,'Product Naming'!$A$1:$P$58,8,FALSE)</f>
        <v>3</v>
      </c>
      <c r="Z968" s="1">
        <f>VLOOKUP($E968,'Product Naming'!$A$1:$P$58,9,FALSE)</f>
        <v>0</v>
      </c>
      <c r="AA968" s="1">
        <f>VLOOKUP($E968,'Product Naming'!$A$1:$P$58,10,FALSE)</f>
        <v>-1</v>
      </c>
      <c r="AB968" s="29">
        <f>VLOOKUP($E968,'Product Naming'!$A$1:$P$58,11,FALSE)</f>
        <v>4.1111111111111107</v>
      </c>
      <c r="AC968" s="3">
        <f>VLOOKUP($E968,'Product Naming'!$A$1:$P$58,12,FALSE)</f>
        <v>163.14818</v>
      </c>
      <c r="AD968" s="1">
        <f>VLOOKUP($E968,'Product Naming'!$A$1:$P$58,13,FALSE)</f>
        <v>346</v>
      </c>
      <c r="AE968" s="1" t="str">
        <f>VLOOKUP($E968,'Product Naming'!$A$1:$P$58,14,FALSE)</f>
        <v>Aromatic + Alcohol + Carboxylate</v>
      </c>
      <c r="AF968" s="1" t="str">
        <f>VLOOKUP($E968,'Product Naming'!$A$1:$P$58,15,FALSE)</f>
        <v>E4P + L-glutamate</v>
      </c>
      <c r="AG968" s="30" t="str">
        <f>VLOOKUP($E968,'Product Naming'!$A$1:$P$58,16,FALSE)</f>
        <v>Proton symporter</v>
      </c>
      <c r="AH968" s="3" t="str">
        <f>VLOOKUP($E968,'Product Naming'!$A$1:$Q$58,17,FALSE)</f>
        <v>T4hcinnm_c</v>
      </c>
      <c r="AI968" s="1">
        <f>VLOOKUP($E968,'Product Parameters'!$A$2:$D$59,2,FALSE)</f>
        <v>1</v>
      </c>
      <c r="AJ968" s="1">
        <f>VLOOKUP($E968,'Product Parameters'!$A$2:$D$59,3,FALSE)</f>
        <v>0</v>
      </c>
      <c r="AK968" s="1">
        <f>VLOOKUP($E968,'Product Parameters'!$A$2:$D$59,4,FALSE)</f>
        <v>0.12</v>
      </c>
      <c r="AL968" s="1">
        <f>VLOOKUP($E968,'Product Parameters'!$A$2:$E$59,5,FALSE)</f>
        <v>40.65</v>
      </c>
      <c r="AM968" s="1">
        <f>VLOOKUP($E968,'Product Parameters'!$A$2:$F$59,6,FALSE)</f>
        <v>9</v>
      </c>
      <c r="AN968" s="1">
        <f>VLOOKUP($C968,'Substrate Heating'!$A$2:$C$33,3,FALSE)</f>
        <v>1055.1294800000001</v>
      </c>
      <c r="AO968" s="1">
        <f>VLOOKUP($C968,'Substrate Heating'!$A$2:$B$33,2,FALSE)</f>
        <v>17</v>
      </c>
      <c r="AP968" s="1">
        <f>VLOOKUP($C968,'Substrate Heating'!$A$2:$M$33,13,FALSE)</f>
        <v>5</v>
      </c>
      <c r="AQ968" s="1">
        <f>VLOOKUP($C968,'Substrate Heating'!$A$2:$M$33,8,FALSE)</f>
        <v>2</v>
      </c>
      <c r="AR968" s="1">
        <f t="shared" si="15"/>
        <v>0.78425506555423197</v>
      </c>
    </row>
    <row r="969" spans="1:44" x14ac:dyDescent="0.2">
      <c r="A969" s="8" t="s">
        <v>34</v>
      </c>
      <c r="B969" s="9" t="s">
        <v>35</v>
      </c>
      <c r="C969" s="1" t="s">
        <v>330</v>
      </c>
      <c r="D969" s="10" t="s">
        <v>37</v>
      </c>
      <c r="E969" s="1" t="s">
        <v>175</v>
      </c>
      <c r="F969" s="1" t="s">
        <v>176</v>
      </c>
      <c r="G969" s="1">
        <v>-10</v>
      </c>
      <c r="H969" s="1">
        <v>-20</v>
      </c>
      <c r="I969" s="1" t="s">
        <v>40</v>
      </c>
      <c r="J969" s="1">
        <v>3.15</v>
      </c>
      <c r="K969" s="1">
        <v>-10</v>
      </c>
      <c r="L969" s="1">
        <v>-8.2079505300353297</v>
      </c>
      <c r="M969" s="1" t="s">
        <v>40</v>
      </c>
      <c r="N969" s="1">
        <v>4.4996466431095499</v>
      </c>
      <c r="O969" s="1">
        <v>2.5833922261484101</v>
      </c>
      <c r="Q969" s="1">
        <v>0.25833922261484099</v>
      </c>
      <c r="R969" s="1">
        <v>0.45830812588310199</v>
      </c>
      <c r="S969" s="1" t="str">
        <f>VLOOKUP($E969,'Product Naming'!$A$1:$P$58,2,FALSE)</f>
        <v>Catechol</v>
      </c>
      <c r="T969" s="1" t="str">
        <f>VLOOKUP($E969,'Product Naming'!$A$1:$P$58,3,FALSE)</f>
        <v>Catechol</v>
      </c>
      <c r="U969" s="1" t="str">
        <f>VLOOKUP($E969,'Product Naming'!$A$1:$P$58,4,FALSE)</f>
        <v>E</v>
      </c>
      <c r="V969" s="1" t="str">
        <f>VLOOKUP($E969,'Product Naming'!$A$1:$P$58,5,FALSE)</f>
        <v>C6H6O2</v>
      </c>
      <c r="W969" s="1">
        <f>VLOOKUP($E969,'Product Naming'!$A$1:$P$58,6,FALSE)</f>
        <v>6</v>
      </c>
      <c r="X969" s="1">
        <f>VLOOKUP($E969,'Product Naming'!$A$1:$P$58,7,FALSE)</f>
        <v>6</v>
      </c>
      <c r="Y969" s="1">
        <f>VLOOKUP($E969,'Product Naming'!$A$1:$P$58,8,FALSE)</f>
        <v>2</v>
      </c>
      <c r="Z969" s="1">
        <f>VLOOKUP($E969,'Product Naming'!$A$1:$P$58,9,FALSE)</f>
        <v>0</v>
      </c>
      <c r="AA969" s="1">
        <f>VLOOKUP($E969,'Product Naming'!$A$1:$P$58,10,FALSE)</f>
        <v>0</v>
      </c>
      <c r="AB969" s="29">
        <f>VLOOKUP($E969,'Product Naming'!$A$1:$P$58,11,FALSE)</f>
        <v>4.333333333333333</v>
      </c>
      <c r="AC969" s="3">
        <f>VLOOKUP($E969,'Product Naming'!$A$1:$P$58,12,FALSE)</f>
        <v>110.10924</v>
      </c>
      <c r="AD969" s="1">
        <f>VLOOKUP($E969,'Product Naming'!$A$1:$P$58,13,FALSE)</f>
        <v>245</v>
      </c>
      <c r="AE969" s="1" t="str">
        <f>VLOOKUP($E969,'Product Naming'!$A$1:$P$58,14,FALSE)</f>
        <v>Aromatic + Diol</v>
      </c>
      <c r="AF969" s="1" t="str">
        <f>VLOOKUP($E969,'Product Naming'!$A$1:$P$58,15,FALSE)</f>
        <v>Glyceraldehyde 3-P</v>
      </c>
      <c r="AG969" s="30" t="str">
        <f>VLOOKUP($E969,'Product Naming'!$A$1:$P$58,16,FALSE)</f>
        <v>Proton symporter</v>
      </c>
      <c r="AH969" s="3" t="str">
        <f>VLOOKUP($E969,'Product Naming'!$A$1:$Q$58,17,FALSE)</f>
        <v>catechol_c</v>
      </c>
      <c r="AI969" s="1">
        <f>VLOOKUP($E969,'Product Parameters'!$A$2:$D$59,2,FALSE)</f>
        <v>1</v>
      </c>
      <c r="AJ969" s="1">
        <f>VLOOKUP($E969,'Product Parameters'!$A$2:$D$59,3,FALSE)</f>
        <v>0</v>
      </c>
      <c r="AK969" s="1">
        <f>VLOOKUP($E969,'Product Parameters'!$A$2:$D$59,4,FALSE)</f>
        <v>0.12</v>
      </c>
      <c r="AL969" s="1">
        <f>VLOOKUP($E969,'Product Parameters'!$A$2:$E$59,5,FALSE)</f>
        <v>40.65</v>
      </c>
      <c r="AM969" s="1">
        <f>VLOOKUP($E969,'Product Parameters'!$A$2:$F$59,6,FALSE)</f>
        <v>6</v>
      </c>
      <c r="AN969" s="1">
        <f>VLOOKUP($C969,'Substrate Heating'!$A$2:$C$33,3,FALSE)</f>
        <v>1055.1294800000001</v>
      </c>
      <c r="AO969" s="1">
        <f>VLOOKUP($C969,'Substrate Heating'!$A$2:$B$33,2,FALSE)</f>
        <v>17</v>
      </c>
      <c r="AP969" s="1">
        <f>VLOOKUP($C969,'Substrate Heating'!$A$2:$M$33,13,FALSE)</f>
        <v>5</v>
      </c>
      <c r="AQ969" s="1">
        <f>VLOOKUP($C969,'Substrate Heating'!$A$2:$M$33,8,FALSE)</f>
        <v>2</v>
      </c>
      <c r="AR969" s="1">
        <f t="shared" si="15"/>
        <v>0.77501766784452297</v>
      </c>
    </row>
    <row r="970" spans="1:44" x14ac:dyDescent="0.2">
      <c r="A970" s="8" t="s">
        <v>34</v>
      </c>
      <c r="B970" s="9" t="s">
        <v>35</v>
      </c>
      <c r="C970" s="1" t="s">
        <v>346</v>
      </c>
      <c r="D970" s="23" t="s">
        <v>338</v>
      </c>
      <c r="E970" s="1" t="s">
        <v>297</v>
      </c>
      <c r="F970" s="1" t="s">
        <v>298</v>
      </c>
      <c r="G970" s="1">
        <v>-10</v>
      </c>
      <c r="H970" s="1">
        <v>-20</v>
      </c>
      <c r="I970" s="1" t="s">
        <v>40</v>
      </c>
      <c r="J970" s="1">
        <v>3.15</v>
      </c>
      <c r="K970" s="1">
        <v>-10</v>
      </c>
      <c r="L970" s="1">
        <v>-3.9930269413629098</v>
      </c>
      <c r="M970" s="1" t="s">
        <v>40</v>
      </c>
      <c r="N970" s="1">
        <v>0.56545166402535196</v>
      </c>
      <c r="O970" s="1">
        <v>1.5724247226624399</v>
      </c>
      <c r="Q970" s="1">
        <v>0.15724247226624399</v>
      </c>
      <c r="R970" s="1">
        <v>0.46184885278981302</v>
      </c>
      <c r="S970" s="1" t="str">
        <f>VLOOKUP($E970,'Product Naming'!$A$1:$P$58,2,FALSE)</f>
        <v>Phenol</v>
      </c>
      <c r="T970" s="1" t="str">
        <f>VLOOKUP($E970,'Product Naming'!$A$1:$P$58,3,FALSE)</f>
        <v>Phenol</v>
      </c>
      <c r="U970" s="1" t="str">
        <f>VLOOKUP($E970,'Product Naming'!$A$1:$P$58,4,FALSE)</f>
        <v>E-S</v>
      </c>
      <c r="V970" s="1" t="str">
        <f>VLOOKUP($E970,'Product Naming'!$A$1:$P$58,5,FALSE)</f>
        <v>C6H6O</v>
      </c>
      <c r="W970" s="1">
        <f>VLOOKUP($E970,'Product Naming'!$A$1:$P$58,6,FALSE)</f>
        <v>6</v>
      </c>
      <c r="X970" s="1">
        <f>VLOOKUP($E970,'Product Naming'!$A$1:$P$58,7,FALSE)</f>
        <v>6</v>
      </c>
      <c r="Y970" s="1">
        <f>VLOOKUP($E970,'Product Naming'!$A$1:$P$58,8,FALSE)</f>
        <v>1</v>
      </c>
      <c r="Z970" s="1">
        <f>VLOOKUP($E970,'Product Naming'!$A$1:$P$58,9,FALSE)</f>
        <v>0</v>
      </c>
      <c r="AA970" s="1">
        <f>VLOOKUP($E970,'Product Naming'!$A$1:$P$58,10,FALSE)</f>
        <v>0</v>
      </c>
      <c r="AB970" s="29">
        <f>VLOOKUP($E970,'Product Naming'!$A$1:$P$58,11,FALSE)</f>
        <v>4.666666666666667</v>
      </c>
      <c r="AC970" s="3">
        <f>VLOOKUP($E970,'Product Naming'!$A$1:$P$58,12,FALSE)</f>
        <v>94.11023999999999</v>
      </c>
      <c r="AD970" s="1">
        <f>VLOOKUP($E970,'Product Naming'!$A$1:$P$58,13,FALSE)</f>
        <v>181.7</v>
      </c>
      <c r="AE970" s="1" t="str">
        <f>VLOOKUP($E970,'Product Naming'!$A$1:$P$58,14,FALSE)</f>
        <v>Aromatic + Alcohol</v>
      </c>
      <c r="AF970" s="1" t="str">
        <f>VLOOKUP($E970,'Product Naming'!$A$1:$P$58,15,FALSE)</f>
        <v>E4P + L-glutamate</v>
      </c>
      <c r="AG970" s="30" t="str">
        <f>VLOOKUP($E970,'Product Naming'!$A$1:$P$58,16,FALSE)</f>
        <v>Proton symporter</v>
      </c>
      <c r="AH970" s="3" t="str">
        <f>VLOOKUP($E970,'Product Naming'!$A$1:$Q$58,17,FALSE)</f>
        <v>phenol_c</v>
      </c>
      <c r="AI970" s="1">
        <f>VLOOKUP($E970,'Product Parameters'!$A$2:$D$59,2,FALSE)</f>
        <v>1</v>
      </c>
      <c r="AJ970" s="1">
        <f>VLOOKUP($E970,'Product Parameters'!$A$2:$D$59,3,FALSE)</f>
        <v>0</v>
      </c>
      <c r="AK970" s="1">
        <f>VLOOKUP($E970,'Product Parameters'!$A$2:$D$59,4,FALSE)</f>
        <v>0.12</v>
      </c>
      <c r="AL970" s="1">
        <f>VLOOKUP($E970,'Product Parameters'!$A$2:$E$59,5,FALSE)</f>
        <v>58.8</v>
      </c>
      <c r="AM970" s="1">
        <f>VLOOKUP($E970,'Product Parameters'!$A$2:$F$59,6,FALSE)</f>
        <v>6</v>
      </c>
      <c r="AN970" s="1">
        <f>VLOOKUP($C970,'Substrate Heating'!$A$2:$C$33,3,FALSE)</f>
        <v>638.57832580000002</v>
      </c>
      <c r="AO970" s="1">
        <f>VLOOKUP($C970,'Substrate Heating'!$A$2:$B$33,2,FALSE)</f>
        <v>19.93</v>
      </c>
      <c r="AP970" s="1">
        <f>VLOOKUP($C970,'Substrate Heating'!$A$2:$M$33,13,FALSE)</f>
        <v>6</v>
      </c>
      <c r="AQ970" s="1">
        <f>VLOOKUP($C970,'Substrate Heating'!$A$2:$M$33,8,FALSE)</f>
        <v>1</v>
      </c>
      <c r="AR970" s="1">
        <f t="shared" si="15"/>
        <v>0.94345483359746396</v>
      </c>
    </row>
    <row r="971" spans="1:44" x14ac:dyDescent="0.2">
      <c r="A971" s="8" t="s">
        <v>34</v>
      </c>
      <c r="B971" s="9" t="s">
        <v>35</v>
      </c>
      <c r="C971" s="1" t="s">
        <v>347</v>
      </c>
      <c r="D971" s="23" t="s">
        <v>338</v>
      </c>
      <c r="E971" s="1" t="s">
        <v>297</v>
      </c>
      <c r="F971" s="1" t="s">
        <v>298</v>
      </c>
      <c r="G971" s="1">
        <v>-10</v>
      </c>
      <c r="H971" s="1">
        <v>-20</v>
      </c>
      <c r="I971" s="1" t="s">
        <v>40</v>
      </c>
      <c r="J971" s="1">
        <v>3.15</v>
      </c>
      <c r="K971" s="1">
        <v>-10</v>
      </c>
      <c r="L971" s="1">
        <v>-3.99302694136292</v>
      </c>
      <c r="M971" s="1" t="s">
        <v>40</v>
      </c>
      <c r="N971" s="1">
        <v>0.56545166402536295</v>
      </c>
      <c r="O971" s="1">
        <v>1.5724247226624399</v>
      </c>
      <c r="Q971" s="1">
        <v>0.15724247226624399</v>
      </c>
      <c r="R971" s="1">
        <v>0.46184885278981402</v>
      </c>
      <c r="S971" s="1" t="str">
        <f>VLOOKUP($E971,'Product Naming'!$A$1:$P$58,2,FALSE)</f>
        <v>Phenol</v>
      </c>
      <c r="T971" s="1" t="str">
        <f>VLOOKUP($E971,'Product Naming'!$A$1:$P$58,3,FALSE)</f>
        <v>Phenol</v>
      </c>
      <c r="U971" s="1" t="str">
        <f>VLOOKUP($E971,'Product Naming'!$A$1:$P$58,4,FALSE)</f>
        <v>E-S</v>
      </c>
      <c r="V971" s="1" t="str">
        <f>VLOOKUP($E971,'Product Naming'!$A$1:$P$58,5,FALSE)</f>
        <v>C6H6O</v>
      </c>
      <c r="W971" s="1">
        <f>VLOOKUP($E971,'Product Naming'!$A$1:$P$58,6,FALSE)</f>
        <v>6</v>
      </c>
      <c r="X971" s="1">
        <f>VLOOKUP($E971,'Product Naming'!$A$1:$P$58,7,FALSE)</f>
        <v>6</v>
      </c>
      <c r="Y971" s="1">
        <f>VLOOKUP($E971,'Product Naming'!$A$1:$P$58,8,FALSE)</f>
        <v>1</v>
      </c>
      <c r="Z971" s="1">
        <f>VLOOKUP($E971,'Product Naming'!$A$1:$P$58,9,FALSE)</f>
        <v>0</v>
      </c>
      <c r="AA971" s="1">
        <f>VLOOKUP($E971,'Product Naming'!$A$1:$P$58,10,FALSE)</f>
        <v>0</v>
      </c>
      <c r="AB971" s="29">
        <f>VLOOKUP($E971,'Product Naming'!$A$1:$P$58,11,FALSE)</f>
        <v>4.666666666666667</v>
      </c>
      <c r="AC971" s="3">
        <f>VLOOKUP($E971,'Product Naming'!$A$1:$P$58,12,FALSE)</f>
        <v>94.11023999999999</v>
      </c>
      <c r="AD971" s="1">
        <f>VLOOKUP($E971,'Product Naming'!$A$1:$P$58,13,FALSE)</f>
        <v>181.7</v>
      </c>
      <c r="AE971" s="1" t="str">
        <f>VLOOKUP($E971,'Product Naming'!$A$1:$P$58,14,FALSE)</f>
        <v>Aromatic + Alcohol</v>
      </c>
      <c r="AF971" s="1" t="str">
        <f>VLOOKUP($E971,'Product Naming'!$A$1:$P$58,15,FALSE)</f>
        <v>E4P + L-glutamate</v>
      </c>
      <c r="AG971" s="30" t="str">
        <f>VLOOKUP($E971,'Product Naming'!$A$1:$P$58,16,FALSE)</f>
        <v>Proton symporter</v>
      </c>
      <c r="AH971" s="3" t="str">
        <f>VLOOKUP($E971,'Product Naming'!$A$1:$Q$58,17,FALSE)</f>
        <v>phenol_c</v>
      </c>
      <c r="AI971" s="1">
        <f>VLOOKUP($E971,'Product Parameters'!$A$2:$D$59,2,FALSE)</f>
        <v>1</v>
      </c>
      <c r="AJ971" s="1">
        <f>VLOOKUP($E971,'Product Parameters'!$A$2:$D$59,3,FALSE)</f>
        <v>0</v>
      </c>
      <c r="AK971" s="1">
        <f>VLOOKUP($E971,'Product Parameters'!$A$2:$D$59,4,FALSE)</f>
        <v>0.12</v>
      </c>
      <c r="AL971" s="1">
        <f>VLOOKUP($E971,'Product Parameters'!$A$2:$E$59,5,FALSE)</f>
        <v>58.8</v>
      </c>
      <c r="AM971" s="1">
        <f>VLOOKUP($E971,'Product Parameters'!$A$2:$F$59,6,FALSE)</f>
        <v>6</v>
      </c>
      <c r="AN971" s="1">
        <f>VLOOKUP($C971,'Substrate Heating'!$A$2:$C$33,3,FALSE)</f>
        <v>638.57832580000002</v>
      </c>
      <c r="AO971" s="1">
        <f>VLOOKUP($C971,'Substrate Heating'!$A$2:$B$33,2,FALSE)</f>
        <v>19.93</v>
      </c>
      <c r="AP971" s="1">
        <f>VLOOKUP($C971,'Substrate Heating'!$A$2:$M$33,13,FALSE)</f>
        <v>6</v>
      </c>
      <c r="AQ971" s="1">
        <f>VLOOKUP($C971,'Substrate Heating'!$A$2:$M$33,8,FALSE)</f>
        <v>1</v>
      </c>
      <c r="AR971" s="1">
        <f t="shared" si="15"/>
        <v>0.94345483359746396</v>
      </c>
    </row>
    <row r="972" spans="1:44" x14ac:dyDescent="0.2">
      <c r="A972" s="8" t="s">
        <v>34</v>
      </c>
      <c r="B972" s="9" t="s">
        <v>35</v>
      </c>
      <c r="C972" s="1" t="s">
        <v>322</v>
      </c>
      <c r="D972" s="10" t="s">
        <v>37</v>
      </c>
      <c r="E972" s="1" t="s">
        <v>38</v>
      </c>
      <c r="F972" s="1" t="s">
        <v>39</v>
      </c>
      <c r="G972" s="1">
        <v>-10</v>
      </c>
      <c r="H972" s="1">
        <v>-20</v>
      </c>
      <c r="I972" s="1" t="s">
        <v>40</v>
      </c>
      <c r="J972" s="1">
        <v>3.15</v>
      </c>
      <c r="K972" s="1">
        <v>-10</v>
      </c>
      <c r="L972" s="1">
        <v>-3.2602564102564102</v>
      </c>
      <c r="M972" s="1" t="s">
        <v>40</v>
      </c>
      <c r="N972" s="1">
        <v>7.8256410256410298</v>
      </c>
      <c r="O972" s="1">
        <v>3.0435897435897501</v>
      </c>
      <c r="Q972" s="1">
        <v>0.30435897435897502</v>
      </c>
      <c r="R972" s="1">
        <v>0.464553366975266</v>
      </c>
      <c r="S972" s="1" t="str">
        <f>VLOOKUP($E972,'Product Naming'!$A$1:$P$58,2,FALSE)</f>
        <v>1-3-butanediol-PW1</v>
      </c>
      <c r="T972" s="1" t="str">
        <f>VLOOKUP($E972,'Product Naming'!$A$1:$P$58,3,FALSE)</f>
        <v>1,3-Butanediol (PW1)</v>
      </c>
      <c r="U972" s="1" t="str">
        <f>VLOOKUP($E972,'Product Naming'!$A$1:$P$58,4,FALSE)</f>
        <v>E</v>
      </c>
      <c r="V972" s="1" t="str">
        <f>VLOOKUP($E972,'Product Naming'!$A$1:$P$58,5,FALSE)</f>
        <v>C4H10O2</v>
      </c>
      <c r="W972" s="1">
        <f>VLOOKUP($E972,'Product Naming'!$A$1:$P$58,6,FALSE)</f>
        <v>4</v>
      </c>
      <c r="X972" s="1">
        <f>VLOOKUP($E972,'Product Naming'!$A$1:$P$58,7,FALSE)</f>
        <v>10</v>
      </c>
      <c r="Y972" s="1">
        <f>VLOOKUP($E972,'Product Naming'!$A$1:$P$58,8,FALSE)</f>
        <v>2</v>
      </c>
      <c r="Z972" s="1">
        <f>VLOOKUP($E972,'Product Naming'!$A$1:$P$58,9,FALSE)</f>
        <v>0</v>
      </c>
      <c r="AA972" s="1">
        <f>VLOOKUP($E972,'Product Naming'!$A$1:$P$58,10,FALSE)</f>
        <v>0</v>
      </c>
      <c r="AB972" s="29">
        <f>VLOOKUP($E972,'Product Naming'!$A$1:$P$58,11,FALSE)</f>
        <v>5.5</v>
      </c>
      <c r="AC972" s="3">
        <f>VLOOKUP($E972,'Product Naming'!$A$1:$P$58,12,FALSE)</f>
        <v>90.119200000000006</v>
      </c>
      <c r="AD972" s="1">
        <f>VLOOKUP($E972,'Product Naming'!$A$1:$P$58,13,FALSE)</f>
        <v>207</v>
      </c>
      <c r="AE972" s="1" t="str">
        <f>VLOOKUP($E972,'Product Naming'!$A$1:$P$58,14,FALSE)</f>
        <v>Diol</v>
      </c>
      <c r="AF972" s="1" t="str">
        <f>VLOOKUP($E972,'Product Naming'!$A$1:$P$58,15,FALSE)</f>
        <v>Acetyl-CoA</v>
      </c>
      <c r="AG972" s="30" t="str">
        <f>VLOOKUP($E972,'Product Naming'!$A$1:$P$58,16,FALSE)</f>
        <v>Proton symporter</v>
      </c>
      <c r="AH972" s="3" t="str">
        <f>VLOOKUP($E972,'Product Naming'!$A$1:$Q$58,17,FALSE)</f>
        <v>13bdo__R_c</v>
      </c>
      <c r="AI972" s="1">
        <f>VLOOKUP($E972,'Product Parameters'!$A$2:$D$59,2,FALSE)</f>
        <v>1</v>
      </c>
      <c r="AJ972" s="1">
        <f>VLOOKUP($E972,'Product Parameters'!$A$2:$D$59,3,FALSE)</f>
        <v>0</v>
      </c>
      <c r="AK972" s="1">
        <f>VLOOKUP($E972,'Product Parameters'!$A$2:$D$59,4,FALSE)</f>
        <v>0.12</v>
      </c>
      <c r="AL972" s="1">
        <f>VLOOKUP($E972,'Product Parameters'!$A$2:$E$59,5,FALSE)</f>
        <v>72.599999999999994</v>
      </c>
      <c r="AM972" s="1">
        <f>VLOOKUP($E972,'Product Parameters'!$A$2:$F$59,6,FALSE)</f>
        <v>4</v>
      </c>
      <c r="AN972" s="1">
        <f>VLOOKUP($C972,'Substrate Heating'!$A$2:$C$33,3,FALSE)</f>
        <v>876.74109599999997</v>
      </c>
      <c r="AO972" s="1">
        <f>VLOOKUP($C972,'Substrate Heating'!$A$2:$B$33,2,FALSE)</f>
        <v>14.6</v>
      </c>
      <c r="AP972" s="1">
        <f>VLOOKUP($C972,'Substrate Heating'!$A$2:$M$33,13,FALSE)</f>
        <v>3.5</v>
      </c>
      <c r="AQ972" s="1">
        <f>VLOOKUP($C972,'Substrate Heating'!$A$2:$M$33,8,FALSE)</f>
        <v>2</v>
      </c>
      <c r="AR972" s="1">
        <f t="shared" si="15"/>
        <v>0.60871794871795004</v>
      </c>
    </row>
    <row r="973" spans="1:44" x14ac:dyDescent="0.2">
      <c r="A973" s="8" t="s">
        <v>34</v>
      </c>
      <c r="B973" s="9" t="s">
        <v>35</v>
      </c>
      <c r="C973" s="1" t="s">
        <v>322</v>
      </c>
      <c r="D973" s="10" t="s">
        <v>37</v>
      </c>
      <c r="E973" s="1" t="s">
        <v>48</v>
      </c>
      <c r="F973" s="1" t="s">
        <v>39</v>
      </c>
      <c r="G973" s="1">
        <v>-10</v>
      </c>
      <c r="H973" s="1">
        <v>-20</v>
      </c>
      <c r="I973" s="1" t="s">
        <v>40</v>
      </c>
      <c r="J973" s="1">
        <v>3.15</v>
      </c>
      <c r="K973" s="1">
        <v>-10</v>
      </c>
      <c r="L973" s="1">
        <v>-3.2602564102564102</v>
      </c>
      <c r="M973" s="1" t="s">
        <v>40</v>
      </c>
      <c r="N973" s="1">
        <v>7.82564102564102</v>
      </c>
      <c r="O973" s="1">
        <v>3.0435897435897399</v>
      </c>
      <c r="Q973" s="1">
        <v>0.30435897435897402</v>
      </c>
      <c r="R973" s="1">
        <v>0.464553366975266</v>
      </c>
      <c r="S973" s="1" t="str">
        <f>VLOOKUP($E973,'Product Naming'!$A$1:$P$58,2,FALSE)</f>
        <v>1-3-butanediol-PW2</v>
      </c>
      <c r="T973" s="1" t="str">
        <f>VLOOKUP($E973,'Product Naming'!$A$1:$P$58,3,FALSE)</f>
        <v>1,3-Butanediol (PW2)</v>
      </c>
      <c r="U973" s="1" t="str">
        <f>VLOOKUP($E973,'Product Naming'!$A$1:$P$58,4,FALSE)</f>
        <v>E</v>
      </c>
      <c r="V973" s="1" t="str">
        <f>VLOOKUP($E973,'Product Naming'!$A$1:$P$58,5,FALSE)</f>
        <v>C4H10O2</v>
      </c>
      <c r="W973" s="1">
        <f>VLOOKUP($E973,'Product Naming'!$A$1:$P$58,6,FALSE)</f>
        <v>4</v>
      </c>
      <c r="X973" s="1">
        <f>VLOOKUP($E973,'Product Naming'!$A$1:$P$58,7,FALSE)</f>
        <v>10</v>
      </c>
      <c r="Y973" s="1">
        <f>VLOOKUP($E973,'Product Naming'!$A$1:$P$58,8,FALSE)</f>
        <v>2</v>
      </c>
      <c r="Z973" s="1">
        <f>VLOOKUP($E973,'Product Naming'!$A$1:$P$58,9,FALSE)</f>
        <v>0</v>
      </c>
      <c r="AA973" s="1">
        <f>VLOOKUP($E973,'Product Naming'!$A$1:$P$58,10,FALSE)</f>
        <v>0</v>
      </c>
      <c r="AB973" s="29">
        <f>VLOOKUP($E973,'Product Naming'!$A$1:$P$58,11,FALSE)</f>
        <v>5.5</v>
      </c>
      <c r="AC973" s="3">
        <f>VLOOKUP($E973,'Product Naming'!$A$1:$P$58,12,FALSE)</f>
        <v>90.119200000000006</v>
      </c>
      <c r="AD973" s="1">
        <f>VLOOKUP($E973,'Product Naming'!$A$1:$P$58,13,FALSE)</f>
        <v>207</v>
      </c>
      <c r="AE973" s="1" t="str">
        <f>VLOOKUP($E973,'Product Naming'!$A$1:$P$58,14,FALSE)</f>
        <v>Diol</v>
      </c>
      <c r="AF973" s="1" t="str">
        <f>VLOOKUP($E973,'Product Naming'!$A$1:$P$58,15,FALSE)</f>
        <v>Pyruvate (acetalehyde)</v>
      </c>
      <c r="AG973" s="30" t="str">
        <f>VLOOKUP($E973,'Product Naming'!$A$1:$P$58,16,FALSE)</f>
        <v>Proton symporter</v>
      </c>
      <c r="AH973" s="3" t="str">
        <f>VLOOKUP($E973,'Product Naming'!$A$1:$Q$58,17,FALSE)</f>
        <v>13bdo__R_c</v>
      </c>
      <c r="AI973" s="1">
        <f>VLOOKUP($E973,'Product Parameters'!$A$2:$D$59,2,FALSE)</f>
        <v>1</v>
      </c>
      <c r="AJ973" s="1">
        <f>VLOOKUP($E973,'Product Parameters'!$A$2:$D$59,3,FALSE)</f>
        <v>0</v>
      </c>
      <c r="AK973" s="1">
        <f>VLOOKUP($E973,'Product Parameters'!$A$2:$D$59,4,FALSE)</f>
        <v>0.12</v>
      </c>
      <c r="AL973" s="1">
        <f>VLOOKUP($E973,'Product Parameters'!$A$2:$E$59,5,FALSE)</f>
        <v>72.599999999999994</v>
      </c>
      <c r="AM973" s="1">
        <f>VLOOKUP($E973,'Product Parameters'!$A$2:$F$59,6,FALSE)</f>
        <v>4</v>
      </c>
      <c r="AN973" s="1">
        <f>VLOOKUP($C973,'Substrate Heating'!$A$2:$C$33,3,FALSE)</f>
        <v>876.74109599999997</v>
      </c>
      <c r="AO973" s="1">
        <f>VLOOKUP($C973,'Substrate Heating'!$A$2:$B$33,2,FALSE)</f>
        <v>14.6</v>
      </c>
      <c r="AP973" s="1">
        <f>VLOOKUP($C973,'Substrate Heating'!$A$2:$M$33,13,FALSE)</f>
        <v>3.5</v>
      </c>
      <c r="AQ973" s="1">
        <f>VLOOKUP($C973,'Substrate Heating'!$A$2:$M$33,8,FALSE)</f>
        <v>2</v>
      </c>
      <c r="AR973" s="1">
        <f t="shared" si="15"/>
        <v>0.60871794871794804</v>
      </c>
    </row>
    <row r="974" spans="1:44" x14ac:dyDescent="0.2">
      <c r="A974" s="8" t="s">
        <v>34</v>
      </c>
      <c r="B974" s="9" t="s">
        <v>35</v>
      </c>
      <c r="C974" s="1" t="s">
        <v>346</v>
      </c>
      <c r="D974" s="23" t="s">
        <v>338</v>
      </c>
      <c r="E974" s="1" t="s">
        <v>91</v>
      </c>
      <c r="F974" s="1" t="s">
        <v>92</v>
      </c>
      <c r="G974" s="1">
        <v>-10</v>
      </c>
      <c r="H974" s="1">
        <v>-20</v>
      </c>
      <c r="I974" s="1" t="s">
        <v>40</v>
      </c>
      <c r="J974" s="1">
        <v>3.15</v>
      </c>
      <c r="K974" s="1">
        <v>-10</v>
      </c>
      <c r="L974" s="1">
        <v>-2.3305555555555602</v>
      </c>
      <c r="M974" s="1" t="s">
        <v>40</v>
      </c>
      <c r="N974" s="1">
        <v>1.5537037037037</v>
      </c>
      <c r="O974" s="1">
        <v>1.6892592592592599</v>
      </c>
      <c r="Q974" s="1">
        <v>0.16892592592592601</v>
      </c>
      <c r="R974" s="1">
        <v>0.464723783910511</v>
      </c>
      <c r="S974" s="1" t="str">
        <f>VLOOKUP($E974,'Product Naming'!$A$1:$P$58,2,FALSE)</f>
        <v>2-Methyl-1-Butanol</v>
      </c>
      <c r="T974" s="1" t="str">
        <f>VLOOKUP($E974,'Product Naming'!$A$1:$P$58,3,FALSE)</f>
        <v>2-Methyl-1-butanol</v>
      </c>
      <c r="U974" s="1" t="str">
        <f>VLOOKUP($E974,'Product Naming'!$A$1:$P$58,4,FALSE)</f>
        <v>A</v>
      </c>
      <c r="V974" s="1" t="str">
        <f>VLOOKUP($E974,'Product Naming'!$A$1:$P$58,5,FALSE)</f>
        <v>C5H12O</v>
      </c>
      <c r="W974" s="1">
        <f>VLOOKUP($E974,'Product Naming'!$A$1:$P$58,6,FALSE)</f>
        <v>5</v>
      </c>
      <c r="X974" s="1">
        <f>VLOOKUP($E974,'Product Naming'!$A$1:$P$58,7,FALSE)</f>
        <v>12</v>
      </c>
      <c r="Y974" s="1">
        <f>VLOOKUP($E974,'Product Naming'!$A$1:$P$58,8,FALSE)</f>
        <v>1</v>
      </c>
      <c r="Z974" s="1">
        <f>VLOOKUP($E974,'Product Naming'!$A$1:$P$58,9,FALSE)</f>
        <v>0</v>
      </c>
      <c r="AA974" s="1">
        <f>VLOOKUP($E974,'Product Naming'!$A$1:$P$58,10,FALSE)</f>
        <v>0</v>
      </c>
      <c r="AB974" s="29">
        <f>VLOOKUP($E974,'Product Naming'!$A$1:$P$58,11,FALSE)</f>
        <v>6</v>
      </c>
      <c r="AC974" s="3">
        <f>VLOOKUP($E974,'Product Naming'!$A$1:$P$58,12,FALSE)</f>
        <v>88.14658</v>
      </c>
      <c r="AD974" s="1">
        <f>VLOOKUP($E974,'Product Naming'!$A$1:$P$58,13,FALSE)</f>
        <v>129</v>
      </c>
      <c r="AE974" s="1" t="str">
        <f>VLOOKUP($E974,'Product Naming'!$A$1:$P$58,14,FALSE)</f>
        <v>Alcohol</v>
      </c>
      <c r="AF974" s="1" t="str">
        <f>VLOOKUP($E974,'Product Naming'!$A$1:$P$58,15,FALSE)</f>
        <v>PEP</v>
      </c>
      <c r="AG974" s="30" t="str">
        <f>VLOOKUP($E974,'Product Naming'!$A$1:$P$58,16,FALSE)</f>
        <v>Proton symporter</v>
      </c>
      <c r="AH974" s="3" t="str">
        <f>VLOOKUP($E974,'Product Naming'!$A$1:$Q$58,17,FALSE)</f>
        <v>2mbtoh_c</v>
      </c>
      <c r="AI974" s="1">
        <f>VLOOKUP($E974,'Product Parameters'!$A$2:$D$59,2,FALSE)</f>
        <v>1</v>
      </c>
      <c r="AJ974" s="1">
        <f>VLOOKUP($E974,'Product Parameters'!$A$2:$D$59,3,FALSE)</f>
        <v>0</v>
      </c>
      <c r="AK974" s="1">
        <f>VLOOKUP($E974,'Product Parameters'!$A$2:$D$59,4,FALSE)</f>
        <v>0.12</v>
      </c>
      <c r="AL974" s="1">
        <f>VLOOKUP($E974,'Product Parameters'!$A$2:$E$59,5,FALSE)</f>
        <v>54.6</v>
      </c>
      <c r="AM974" s="1">
        <f>VLOOKUP($E974,'Product Parameters'!$A$2:$F$59,6,FALSE)</f>
        <v>5</v>
      </c>
      <c r="AN974" s="1">
        <f>VLOOKUP($C974,'Substrate Heating'!$A$2:$C$33,3,FALSE)</f>
        <v>638.57832580000002</v>
      </c>
      <c r="AO974" s="1">
        <f>VLOOKUP($C974,'Substrate Heating'!$A$2:$B$33,2,FALSE)</f>
        <v>19.93</v>
      </c>
      <c r="AP974" s="1">
        <f>VLOOKUP($C974,'Substrate Heating'!$A$2:$M$33,13,FALSE)</f>
        <v>6</v>
      </c>
      <c r="AQ974" s="1">
        <f>VLOOKUP($C974,'Substrate Heating'!$A$2:$M$33,8,FALSE)</f>
        <v>1</v>
      </c>
      <c r="AR974" s="1">
        <f t="shared" si="15"/>
        <v>0.84462962962963006</v>
      </c>
    </row>
    <row r="975" spans="1:44" x14ac:dyDescent="0.2">
      <c r="A975" s="8" t="s">
        <v>34</v>
      </c>
      <c r="B975" s="9" t="s">
        <v>35</v>
      </c>
      <c r="C975" s="1" t="s">
        <v>347</v>
      </c>
      <c r="D975" s="23" t="s">
        <v>338</v>
      </c>
      <c r="E975" s="1" t="s">
        <v>91</v>
      </c>
      <c r="F975" s="1" t="s">
        <v>92</v>
      </c>
      <c r="G975" s="1">
        <v>-10</v>
      </c>
      <c r="H975" s="1">
        <v>-20</v>
      </c>
      <c r="I975" s="1" t="s">
        <v>40</v>
      </c>
      <c r="J975" s="1">
        <v>3.15</v>
      </c>
      <c r="K975" s="1">
        <v>-10</v>
      </c>
      <c r="L975" s="1">
        <v>-2.3305555555555602</v>
      </c>
      <c r="M975" s="1" t="s">
        <v>40</v>
      </c>
      <c r="N975" s="1">
        <v>1.55370370370372</v>
      </c>
      <c r="O975" s="1">
        <v>1.6892592592592599</v>
      </c>
      <c r="Q975" s="1">
        <v>0.16892592592592601</v>
      </c>
      <c r="R975" s="1">
        <v>0.464723783910512</v>
      </c>
      <c r="S975" s="1" t="str">
        <f>VLOOKUP($E975,'Product Naming'!$A$1:$P$58,2,FALSE)</f>
        <v>2-Methyl-1-Butanol</v>
      </c>
      <c r="T975" s="1" t="str">
        <f>VLOOKUP($E975,'Product Naming'!$A$1:$P$58,3,FALSE)</f>
        <v>2-Methyl-1-butanol</v>
      </c>
      <c r="U975" s="1" t="str">
        <f>VLOOKUP($E975,'Product Naming'!$A$1:$P$58,4,FALSE)</f>
        <v>A</v>
      </c>
      <c r="V975" s="1" t="str">
        <f>VLOOKUP($E975,'Product Naming'!$A$1:$P$58,5,FALSE)</f>
        <v>C5H12O</v>
      </c>
      <c r="W975" s="1">
        <f>VLOOKUP($E975,'Product Naming'!$A$1:$P$58,6,FALSE)</f>
        <v>5</v>
      </c>
      <c r="X975" s="1">
        <f>VLOOKUP($E975,'Product Naming'!$A$1:$P$58,7,FALSE)</f>
        <v>12</v>
      </c>
      <c r="Y975" s="1">
        <f>VLOOKUP($E975,'Product Naming'!$A$1:$P$58,8,FALSE)</f>
        <v>1</v>
      </c>
      <c r="Z975" s="1">
        <f>VLOOKUP($E975,'Product Naming'!$A$1:$P$58,9,FALSE)</f>
        <v>0</v>
      </c>
      <c r="AA975" s="1">
        <f>VLOOKUP($E975,'Product Naming'!$A$1:$P$58,10,FALSE)</f>
        <v>0</v>
      </c>
      <c r="AB975" s="29">
        <f>VLOOKUP($E975,'Product Naming'!$A$1:$P$58,11,FALSE)</f>
        <v>6</v>
      </c>
      <c r="AC975" s="3">
        <f>VLOOKUP($E975,'Product Naming'!$A$1:$P$58,12,FALSE)</f>
        <v>88.14658</v>
      </c>
      <c r="AD975" s="1">
        <f>VLOOKUP($E975,'Product Naming'!$A$1:$P$58,13,FALSE)</f>
        <v>129</v>
      </c>
      <c r="AE975" s="1" t="str">
        <f>VLOOKUP($E975,'Product Naming'!$A$1:$P$58,14,FALSE)</f>
        <v>Alcohol</v>
      </c>
      <c r="AF975" s="1" t="str">
        <f>VLOOKUP($E975,'Product Naming'!$A$1:$P$58,15,FALSE)</f>
        <v>PEP</v>
      </c>
      <c r="AG975" s="30" t="str">
        <f>VLOOKUP($E975,'Product Naming'!$A$1:$P$58,16,FALSE)</f>
        <v>Proton symporter</v>
      </c>
      <c r="AH975" s="3" t="str">
        <f>VLOOKUP($E975,'Product Naming'!$A$1:$Q$58,17,FALSE)</f>
        <v>2mbtoh_c</v>
      </c>
      <c r="AI975" s="1">
        <f>VLOOKUP($E975,'Product Parameters'!$A$2:$D$59,2,FALSE)</f>
        <v>1</v>
      </c>
      <c r="AJ975" s="1">
        <f>VLOOKUP($E975,'Product Parameters'!$A$2:$D$59,3,FALSE)</f>
        <v>0</v>
      </c>
      <c r="AK975" s="1">
        <f>VLOOKUP($E975,'Product Parameters'!$A$2:$D$59,4,FALSE)</f>
        <v>0.12</v>
      </c>
      <c r="AL975" s="1">
        <f>VLOOKUP($E975,'Product Parameters'!$A$2:$E$59,5,FALSE)</f>
        <v>54.6</v>
      </c>
      <c r="AM975" s="1">
        <f>VLOOKUP($E975,'Product Parameters'!$A$2:$F$59,6,FALSE)</f>
        <v>5</v>
      </c>
      <c r="AN975" s="1">
        <f>VLOOKUP($C975,'Substrate Heating'!$A$2:$C$33,3,FALSE)</f>
        <v>638.57832580000002</v>
      </c>
      <c r="AO975" s="1">
        <f>VLOOKUP($C975,'Substrate Heating'!$A$2:$B$33,2,FALSE)</f>
        <v>19.93</v>
      </c>
      <c r="AP975" s="1">
        <f>VLOOKUP($C975,'Substrate Heating'!$A$2:$M$33,13,FALSE)</f>
        <v>6</v>
      </c>
      <c r="AQ975" s="1">
        <f>VLOOKUP($C975,'Substrate Heating'!$A$2:$M$33,8,FALSE)</f>
        <v>1</v>
      </c>
      <c r="AR975" s="1">
        <f t="shared" si="15"/>
        <v>0.84462962962963006</v>
      </c>
    </row>
    <row r="976" spans="1:44" x14ac:dyDescent="0.2">
      <c r="A976" s="8" t="s">
        <v>816</v>
      </c>
      <c r="B976" s="18" t="s">
        <v>324</v>
      </c>
      <c r="C976" t="s">
        <v>815</v>
      </c>
      <c r="D976" s="19" t="s">
        <v>326</v>
      </c>
      <c r="E976" t="s">
        <v>171</v>
      </c>
      <c r="F976" t="s">
        <v>172</v>
      </c>
      <c r="G976">
        <v>-10</v>
      </c>
      <c r="H976">
        <v>0</v>
      </c>
      <c r="I976">
        <v>0</v>
      </c>
      <c r="J976">
        <v>0.45</v>
      </c>
      <c r="K976">
        <v>24</v>
      </c>
      <c r="L976">
        <v>0</v>
      </c>
      <c r="M976">
        <v>0</v>
      </c>
      <c r="N976">
        <v>24</v>
      </c>
      <c r="O976">
        <v>4</v>
      </c>
      <c r="P976"/>
      <c r="Q976">
        <v>0.16666666699999999</v>
      </c>
      <c r="R976">
        <v>0.46510562900000002</v>
      </c>
      <c r="S976" s="1" t="str">
        <f>VLOOKUP($E976,'Product Naming'!$A$1:$P$58,2,FALSE)</f>
        <v>Butyrate</v>
      </c>
      <c r="T976" s="1" t="str">
        <f>VLOOKUP($E976,'Product Naming'!$A$1:$P$58,3,FALSE)</f>
        <v>Butyrate</v>
      </c>
      <c r="U976" s="1" t="str">
        <f>VLOOKUP($E976,'Product Naming'!$A$1:$P$58,4,FALSE)</f>
        <v>A</v>
      </c>
      <c r="V976" s="1" t="str">
        <f>VLOOKUP($E976,'Product Naming'!$A$1:$P$58,5,FALSE)</f>
        <v>C4H7O2</v>
      </c>
      <c r="W976" s="1">
        <f>VLOOKUP($E976,'Product Naming'!$A$1:$P$58,6,FALSE)</f>
        <v>4</v>
      </c>
      <c r="X976" s="1">
        <f>VLOOKUP($E976,'Product Naming'!$A$1:$P$58,7,FALSE)</f>
        <v>7</v>
      </c>
      <c r="Y976" s="1">
        <f>VLOOKUP($E976,'Product Naming'!$A$1:$P$58,8,FALSE)</f>
        <v>2</v>
      </c>
      <c r="Z976" s="1">
        <f>VLOOKUP($E976,'Product Naming'!$A$1:$P$58,9,FALSE)</f>
        <v>0</v>
      </c>
      <c r="AA976" s="1">
        <f>VLOOKUP($E976,'Product Naming'!$A$1:$P$58,10,FALSE)</f>
        <v>-1</v>
      </c>
      <c r="AB976" s="29">
        <f>VLOOKUP($E976,'Product Naming'!$A$1:$P$58,11,FALSE)</f>
        <v>4.75</v>
      </c>
      <c r="AC976" s="3">
        <f>VLOOKUP($E976,'Product Naming'!$A$1:$P$58,12,FALSE)</f>
        <v>87.095680000000002</v>
      </c>
      <c r="AD976" s="1">
        <f>VLOOKUP($E976,'Product Naming'!$A$1:$P$58,13,FALSE)</f>
        <v>163.5</v>
      </c>
      <c r="AE976" s="1" t="str">
        <f>VLOOKUP($E976,'Product Naming'!$A$1:$P$58,14,FALSE)</f>
        <v>Carboxylate</v>
      </c>
      <c r="AF976" s="1" t="str">
        <f>VLOOKUP($E976,'Product Naming'!$A$1:$P$58,15,FALSE)</f>
        <v>Acetyl-CoA</v>
      </c>
      <c r="AG976" s="30" t="str">
        <f>VLOOKUP($E976,'Product Naming'!$A$1:$P$58,16,FALSE)</f>
        <v>Proton symporter</v>
      </c>
      <c r="AH976" s="3" t="str">
        <f>VLOOKUP($E976,'Product Naming'!$A$1:$Q$58,17,FALSE)</f>
        <v>but_c</v>
      </c>
      <c r="AI976" s="1">
        <f>VLOOKUP($E976,'Product Parameters'!$A$2:$D$59,2,FALSE)</f>
        <v>1</v>
      </c>
      <c r="AJ976" s="1">
        <f>VLOOKUP($E976,'Product Parameters'!$A$2:$D$59,3,FALSE)</f>
        <v>0</v>
      </c>
      <c r="AK976" s="1">
        <f>VLOOKUP($E976,'Product Parameters'!$A$2:$D$59,4,FALSE)</f>
        <v>0.12</v>
      </c>
      <c r="AL976" s="1">
        <f>VLOOKUP($E976,'Product Parameters'!$A$2:$E$59,5,FALSE)</f>
        <v>42</v>
      </c>
      <c r="AM976" s="1">
        <f>VLOOKUP($E976,'Product Parameters'!$A$2:$F$59,6,FALSE)</f>
        <v>4</v>
      </c>
      <c r="AN976" s="1">
        <f>VLOOKUP($C976,'Substrate Heating'!$A$2:$C$33,3,FALSE)</f>
        <v>226.4</v>
      </c>
      <c r="AO976" s="1">
        <f>VLOOKUP($C976,'Substrate Heating'!$A$2:$B$33,2,FALSE)</f>
        <v>7.2542014450728134</v>
      </c>
      <c r="AP976" s="1">
        <f>VLOOKUP($C976,'Substrate Heating'!$A$2:$M$33,13,FALSE)</f>
        <v>1.6</v>
      </c>
      <c r="AQ976" s="1">
        <f>VLOOKUP($C976,'Substrate Heating'!$A$2:$M$33,8,FALSE)</f>
        <v>1</v>
      </c>
      <c r="AR976" s="1">
        <f t="shared" si="15"/>
        <v>0.66666666799999996</v>
      </c>
    </row>
    <row r="977" spans="1:44" x14ac:dyDescent="0.2">
      <c r="A977" s="8" t="s">
        <v>816</v>
      </c>
      <c r="B977" s="18" t="s">
        <v>324</v>
      </c>
      <c r="C977" t="s">
        <v>815</v>
      </c>
      <c r="D977" s="19" t="s">
        <v>326</v>
      </c>
      <c r="E977" t="s">
        <v>244</v>
      </c>
      <c r="F977" t="s">
        <v>245</v>
      </c>
      <c r="G977">
        <v>-10</v>
      </c>
      <c r="H977">
        <v>0</v>
      </c>
      <c r="I977">
        <v>0</v>
      </c>
      <c r="J977">
        <v>0.45</v>
      </c>
      <c r="K977">
        <v>24</v>
      </c>
      <c r="L977">
        <v>0</v>
      </c>
      <c r="M977">
        <v>0</v>
      </c>
      <c r="N977">
        <v>24</v>
      </c>
      <c r="O977">
        <v>4</v>
      </c>
      <c r="P977"/>
      <c r="Q977">
        <v>0.16666666699999999</v>
      </c>
      <c r="R977">
        <v>0.46510562900000002</v>
      </c>
      <c r="S977" s="1" t="str">
        <f>VLOOKUP($E977,'Product Naming'!$A$1:$P$58,2,FALSE)</f>
        <v>Isobutyrate</v>
      </c>
      <c r="T977" s="1" t="str">
        <f>VLOOKUP($E977,'Product Naming'!$A$1:$P$58,3,FALSE)</f>
        <v>Isobutyrate</v>
      </c>
      <c r="U977" s="1" t="str">
        <f>VLOOKUP($E977,'Product Naming'!$A$1:$P$58,4,FALSE)</f>
        <v>A</v>
      </c>
      <c r="V977" s="1" t="str">
        <f>VLOOKUP($E977,'Product Naming'!$A$1:$P$58,5,FALSE)</f>
        <v>C4H7O2</v>
      </c>
      <c r="W977" s="1">
        <f>VLOOKUP($E977,'Product Naming'!$A$1:$P$58,6,FALSE)</f>
        <v>4</v>
      </c>
      <c r="X977" s="1">
        <f>VLOOKUP($E977,'Product Naming'!$A$1:$P$58,7,FALSE)</f>
        <v>7</v>
      </c>
      <c r="Y977" s="1">
        <f>VLOOKUP($E977,'Product Naming'!$A$1:$P$58,8,FALSE)</f>
        <v>2</v>
      </c>
      <c r="Z977" s="1">
        <f>VLOOKUP($E977,'Product Naming'!$A$1:$P$58,9,FALSE)</f>
        <v>0</v>
      </c>
      <c r="AA977" s="1">
        <f>VLOOKUP($E977,'Product Naming'!$A$1:$P$58,10,FALSE)</f>
        <v>-1</v>
      </c>
      <c r="AB977" s="29">
        <f>VLOOKUP($E977,'Product Naming'!$A$1:$P$58,11,FALSE)</f>
        <v>4.75</v>
      </c>
      <c r="AC977" s="3">
        <f>VLOOKUP($E977,'Product Naming'!$A$1:$P$58,12,FALSE)</f>
        <v>87.095680000000002</v>
      </c>
      <c r="AD977" s="1">
        <f>VLOOKUP($E977,'Product Naming'!$A$1:$P$58,13,FALSE)</f>
        <v>155</v>
      </c>
      <c r="AE977" s="1" t="str">
        <f>VLOOKUP($E977,'Product Naming'!$A$1:$P$58,14,FALSE)</f>
        <v>Carboxylate</v>
      </c>
      <c r="AF977" s="1" t="str">
        <f>VLOOKUP($E977,'Product Naming'!$A$1:$P$58,15,FALSE)</f>
        <v>Pyruvate</v>
      </c>
      <c r="AG977" s="30" t="str">
        <f>VLOOKUP($E977,'Product Naming'!$A$1:$P$58,16,FALSE)</f>
        <v>Proton symporter</v>
      </c>
      <c r="AH977" s="3" t="str">
        <f>VLOOKUP($E977,'Product Naming'!$A$1:$Q$58,17,FALSE)</f>
        <v>ibt_c</v>
      </c>
      <c r="AI977" s="1">
        <f>VLOOKUP($E977,'Product Parameters'!$A$2:$D$59,2,FALSE)</f>
        <v>1</v>
      </c>
      <c r="AJ977" s="1">
        <f>VLOOKUP($E977,'Product Parameters'!$A$2:$D$59,3,FALSE)</f>
        <v>0</v>
      </c>
      <c r="AK977" s="1">
        <f>VLOOKUP($E977,'Product Parameters'!$A$2:$D$59,4,FALSE)</f>
        <v>0.12</v>
      </c>
      <c r="AL977" s="1">
        <f>VLOOKUP($E977,'Product Parameters'!$A$2:$E$59,5,FALSE)</f>
        <v>44.5</v>
      </c>
      <c r="AM977" s="1">
        <f>VLOOKUP($E977,'Product Parameters'!$A$2:$F$59,6,FALSE)</f>
        <v>4</v>
      </c>
      <c r="AN977" s="1">
        <f>VLOOKUP($C977,'Substrate Heating'!$A$2:$C$33,3,FALSE)</f>
        <v>226.4</v>
      </c>
      <c r="AO977" s="1">
        <f>VLOOKUP($C977,'Substrate Heating'!$A$2:$B$33,2,FALSE)</f>
        <v>7.2542014450728134</v>
      </c>
      <c r="AP977" s="1">
        <f>VLOOKUP($C977,'Substrate Heating'!$A$2:$M$33,13,FALSE)</f>
        <v>1.6</v>
      </c>
      <c r="AQ977" s="1">
        <f>VLOOKUP($C977,'Substrate Heating'!$A$2:$M$33,8,FALSE)</f>
        <v>1</v>
      </c>
      <c r="AR977" s="1">
        <f t="shared" si="15"/>
        <v>0.66666666799999996</v>
      </c>
    </row>
    <row r="978" spans="1:44" x14ac:dyDescent="0.2">
      <c r="A978" s="8" t="s">
        <v>34</v>
      </c>
      <c r="B978" s="9" t="s">
        <v>35</v>
      </c>
      <c r="C978" s="1" t="s">
        <v>343</v>
      </c>
      <c r="D978" s="24" t="s">
        <v>342</v>
      </c>
      <c r="E978" s="1" t="s">
        <v>164</v>
      </c>
      <c r="F978" s="1" t="s">
        <v>165</v>
      </c>
      <c r="G978" s="1">
        <v>-10</v>
      </c>
      <c r="H978" s="1">
        <v>-20</v>
      </c>
      <c r="I978" s="1" t="s">
        <v>40</v>
      </c>
      <c r="J978" s="1">
        <v>3.15</v>
      </c>
      <c r="K978" s="1">
        <v>-10</v>
      </c>
      <c r="L978" s="1">
        <v>-8.3840492999212803E-16</v>
      </c>
      <c r="M978" s="1" t="s">
        <v>40</v>
      </c>
      <c r="N978" s="1">
        <v>6.6666666666666501</v>
      </c>
      <c r="O978" s="1">
        <v>5.8333333333333304</v>
      </c>
      <c r="Q978" s="1">
        <v>0.58333333333333304</v>
      </c>
      <c r="R978" s="1">
        <v>0.46948626230656199</v>
      </c>
      <c r="S978" s="1" t="str">
        <f>VLOOKUP($E978,'Product Naming'!$A$1:$P$58,2,FALSE)</f>
        <v>Butanol-PW1</v>
      </c>
      <c r="T978" s="1" t="str">
        <f>VLOOKUP($E978,'Product Naming'!$A$1:$P$58,3,FALSE)</f>
        <v>Butanol (PW1)</v>
      </c>
      <c r="U978" s="1" t="str">
        <f>VLOOKUP($E978,'Product Naming'!$A$1:$P$58,4,FALSE)</f>
        <v>E</v>
      </c>
      <c r="V978" s="1" t="str">
        <f>VLOOKUP($E978,'Product Naming'!$A$1:$P$58,5,FALSE)</f>
        <v>C4H10O</v>
      </c>
      <c r="W978" s="1">
        <f>VLOOKUP($E978,'Product Naming'!$A$1:$P$58,6,FALSE)</f>
        <v>4</v>
      </c>
      <c r="X978" s="1">
        <f>VLOOKUP($E978,'Product Naming'!$A$1:$P$58,7,FALSE)</f>
        <v>10</v>
      </c>
      <c r="Y978" s="1">
        <f>VLOOKUP($E978,'Product Naming'!$A$1:$P$58,8,FALSE)</f>
        <v>1</v>
      </c>
      <c r="Z978" s="1">
        <f>VLOOKUP($E978,'Product Naming'!$A$1:$P$58,9,FALSE)</f>
        <v>0</v>
      </c>
      <c r="AA978" s="1">
        <f>VLOOKUP($E978,'Product Naming'!$A$1:$P$58,10,FALSE)</f>
        <v>0</v>
      </c>
      <c r="AB978" s="29">
        <f>VLOOKUP($E978,'Product Naming'!$A$1:$P$58,11,FALSE)</f>
        <v>6</v>
      </c>
      <c r="AC978" s="3">
        <f>VLOOKUP($E978,'Product Naming'!$A$1:$P$58,12,FALSE)</f>
        <v>74.120199999999997</v>
      </c>
      <c r="AD978" s="1">
        <f>VLOOKUP($E978,'Product Naming'!$A$1:$P$58,13,FALSE)</f>
        <v>117.7</v>
      </c>
      <c r="AE978" s="1" t="str">
        <f>VLOOKUP($E978,'Product Naming'!$A$1:$P$58,14,FALSE)</f>
        <v>Alcohol</v>
      </c>
      <c r="AF978" s="1" t="str">
        <f>VLOOKUP($E978,'Product Naming'!$A$1:$P$58,15,FALSE)</f>
        <v>Acetyl-CoA</v>
      </c>
      <c r="AG978" s="30" t="str">
        <f>VLOOKUP($E978,'Product Naming'!$A$1:$P$58,16,FALSE)</f>
        <v>Proton symporter</v>
      </c>
      <c r="AH978" s="3" t="str">
        <f>VLOOKUP($E978,'Product Naming'!$A$1:$Q$58,17,FALSE)</f>
        <v>btoh_c</v>
      </c>
      <c r="AI978" s="1">
        <f>VLOOKUP($E978,'Product Parameters'!$A$2:$D$59,2,FALSE)</f>
        <v>1</v>
      </c>
      <c r="AJ978" s="1">
        <f>VLOOKUP($E978,'Product Parameters'!$A$2:$D$59,3,FALSE)</f>
        <v>0</v>
      </c>
      <c r="AK978" s="1">
        <f>VLOOKUP($E978,'Product Parameters'!$A$2:$D$59,4,FALSE)</f>
        <v>0.12</v>
      </c>
      <c r="AL978" s="1">
        <f>VLOOKUP($E978,'Product Parameters'!$A$2:$E$59,5,FALSE)</f>
        <v>52</v>
      </c>
      <c r="AM978" s="1">
        <f>VLOOKUP($E978,'Product Parameters'!$A$2:$F$59,6,FALSE)</f>
        <v>4</v>
      </c>
      <c r="AN978" s="1">
        <f>VLOOKUP($C978,'Substrate Heating'!$A$2:$C$33,3,FALSE)</f>
        <v>1648.4793779999998</v>
      </c>
      <c r="AO978" s="1">
        <f>VLOOKUP($C978,'Substrate Heating'!$A$2:$B$33,2,FALSE)</f>
        <v>17.899999999999999</v>
      </c>
      <c r="AP978" s="1">
        <f>VLOOKUP($C978,'Substrate Heating'!$A$2:$M$33,13,FALSE)</f>
        <v>4.666666666666667</v>
      </c>
      <c r="AQ978" s="1">
        <f>VLOOKUP($C978,'Substrate Heating'!$A$2:$M$33,8,FALSE)</f>
        <v>3</v>
      </c>
      <c r="AR978" s="1">
        <f t="shared" si="15"/>
        <v>0.77777777777777735</v>
      </c>
    </row>
    <row r="979" spans="1:44" x14ac:dyDescent="0.2">
      <c r="A979" s="8" t="s">
        <v>34</v>
      </c>
      <c r="B979" s="9" t="s">
        <v>35</v>
      </c>
      <c r="C979" s="1" t="s">
        <v>343</v>
      </c>
      <c r="D979" s="24" t="s">
        <v>342</v>
      </c>
      <c r="E979" s="1" t="s">
        <v>251</v>
      </c>
      <c r="F979" s="1" t="s">
        <v>252</v>
      </c>
      <c r="G979" s="1">
        <v>-10</v>
      </c>
      <c r="H979" s="1">
        <v>-20</v>
      </c>
      <c r="I979" s="1" t="s">
        <v>40</v>
      </c>
      <c r="J979" s="1">
        <v>3.15</v>
      </c>
      <c r="K979" s="1">
        <v>-10</v>
      </c>
      <c r="L979" s="1">
        <v>-2.6083333333333298</v>
      </c>
      <c r="M979" s="1" t="s">
        <v>40</v>
      </c>
      <c r="N979" s="1">
        <v>8.4055555555555497</v>
      </c>
      <c r="O979" s="1">
        <v>7.1981481481481504</v>
      </c>
      <c r="Q979" s="1">
        <v>0.71981481481481502</v>
      </c>
      <c r="R979" s="1">
        <v>0.46969950768482399</v>
      </c>
      <c r="S979" s="1" t="str">
        <f>VLOOKUP($E979,'Product Naming'!$A$1:$P$58,2,FALSE)</f>
        <v>Isopropanol</v>
      </c>
      <c r="T979" s="1" t="str">
        <f>VLOOKUP($E979,'Product Naming'!$A$1:$P$58,3,FALSE)</f>
        <v>Isopropanol</v>
      </c>
      <c r="U979" s="1" t="str">
        <f>VLOOKUP($E979,'Product Naming'!$A$1:$P$58,4,FALSE)</f>
        <v>A</v>
      </c>
      <c r="V979" s="1" t="str">
        <f>VLOOKUP($E979,'Product Naming'!$A$1:$P$58,5,FALSE)</f>
        <v>C3H8O</v>
      </c>
      <c r="W979" s="1">
        <f>VLOOKUP($E979,'Product Naming'!$A$1:$P$58,6,FALSE)</f>
        <v>3</v>
      </c>
      <c r="X979" s="1">
        <f>VLOOKUP($E979,'Product Naming'!$A$1:$P$58,7,FALSE)</f>
        <v>8</v>
      </c>
      <c r="Y979" s="1">
        <f>VLOOKUP($E979,'Product Naming'!$A$1:$P$58,8,FALSE)</f>
        <v>1</v>
      </c>
      <c r="Z979" s="1">
        <f>VLOOKUP($E979,'Product Naming'!$A$1:$P$58,9,FALSE)</f>
        <v>0</v>
      </c>
      <c r="AA979" s="1">
        <f>VLOOKUP($E979,'Product Naming'!$A$1:$P$58,10,FALSE)</f>
        <v>0</v>
      </c>
      <c r="AB979" s="29">
        <f>VLOOKUP($E979,'Product Naming'!$A$1:$P$58,11,FALSE)</f>
        <v>6</v>
      </c>
      <c r="AC979" s="3">
        <f>VLOOKUP($E979,'Product Naming'!$A$1:$P$58,12,FALSE)</f>
        <v>60.093820000000001</v>
      </c>
      <c r="AD979" s="1">
        <f>VLOOKUP($E979,'Product Naming'!$A$1:$P$58,13,FALSE)</f>
        <v>82.5</v>
      </c>
      <c r="AE979" s="1" t="str">
        <f>VLOOKUP($E979,'Product Naming'!$A$1:$P$58,14,FALSE)</f>
        <v>Alcohol</v>
      </c>
      <c r="AF979" s="1" t="str">
        <f>VLOOKUP($E979,'Product Naming'!$A$1:$P$58,15,FALSE)</f>
        <v>Acetyl-CoA</v>
      </c>
      <c r="AG979" s="30" t="str">
        <f>VLOOKUP($E979,'Product Naming'!$A$1:$P$58,16,FALSE)</f>
        <v>Proton symporter</v>
      </c>
      <c r="AH979" s="3" t="str">
        <f>VLOOKUP($E979,'Product Naming'!$A$1:$Q$58,17,FALSE)</f>
        <v>2ppoh_c</v>
      </c>
      <c r="AI979" s="1">
        <f>VLOOKUP($E979,'Product Parameters'!$A$2:$D$59,2,FALSE)</f>
        <v>1</v>
      </c>
      <c r="AJ979" s="1">
        <f>VLOOKUP($E979,'Product Parameters'!$A$2:$D$59,3,FALSE)</f>
        <v>0</v>
      </c>
      <c r="AK979" s="1">
        <f>VLOOKUP($E979,'Product Parameters'!$A$2:$D$59,4,FALSE)</f>
        <v>0.12</v>
      </c>
      <c r="AL979" s="1">
        <f>VLOOKUP($E979,'Product Parameters'!$A$2:$E$59,5,FALSE)</f>
        <v>45</v>
      </c>
      <c r="AM979" s="1">
        <f>VLOOKUP($E979,'Product Parameters'!$A$2:$F$59,6,FALSE)</f>
        <v>3</v>
      </c>
      <c r="AN979" s="1">
        <f>VLOOKUP($C979,'Substrate Heating'!$A$2:$C$33,3,FALSE)</f>
        <v>1648.4793779999998</v>
      </c>
      <c r="AO979" s="1">
        <f>VLOOKUP($C979,'Substrate Heating'!$A$2:$B$33,2,FALSE)</f>
        <v>17.899999999999999</v>
      </c>
      <c r="AP979" s="1">
        <f>VLOOKUP($C979,'Substrate Heating'!$A$2:$M$33,13,FALSE)</f>
        <v>4.666666666666667</v>
      </c>
      <c r="AQ979" s="1">
        <f>VLOOKUP($C979,'Substrate Heating'!$A$2:$M$33,8,FALSE)</f>
        <v>3</v>
      </c>
      <c r="AR979" s="1">
        <f t="shared" si="15"/>
        <v>0.71981481481481502</v>
      </c>
    </row>
    <row r="980" spans="1:44" x14ac:dyDescent="0.2">
      <c r="A980" s="8" t="s">
        <v>816</v>
      </c>
      <c r="B980" s="18" t="s">
        <v>324</v>
      </c>
      <c r="C980" t="s">
        <v>815</v>
      </c>
      <c r="D980" s="19" t="s">
        <v>326</v>
      </c>
      <c r="E980" t="s">
        <v>198</v>
      </c>
      <c r="F980" t="s">
        <v>199</v>
      </c>
      <c r="G980">
        <v>-10</v>
      </c>
      <c r="H980">
        <v>0</v>
      </c>
      <c r="I980">
        <v>0</v>
      </c>
      <c r="J980">
        <v>0.45</v>
      </c>
      <c r="K980">
        <v>24</v>
      </c>
      <c r="L980">
        <v>0</v>
      </c>
      <c r="M980">
        <v>0</v>
      </c>
      <c r="N980">
        <v>24</v>
      </c>
      <c r="O980">
        <v>4</v>
      </c>
      <c r="P980"/>
      <c r="Q980">
        <v>0.16666666699999999</v>
      </c>
      <c r="R980">
        <v>0.47048766400000003</v>
      </c>
      <c r="S980" s="1" t="str">
        <f>VLOOKUP($E980,'Product Naming'!$A$1:$P$58,2,FALSE)</f>
        <v>EthylAcetate</v>
      </c>
      <c r="T980" s="1" t="str">
        <f>VLOOKUP($E980,'Product Naming'!$A$1:$P$58,3,FALSE)</f>
        <v>Ethyl acetate</v>
      </c>
      <c r="U980" s="1" t="str">
        <f>VLOOKUP($E980,'Product Naming'!$A$1:$P$58,4,FALSE)</f>
        <v>E</v>
      </c>
      <c r="V980" s="1" t="str">
        <f>VLOOKUP($E980,'Product Naming'!$A$1:$P$58,5,FALSE)</f>
        <v>C4H8O2</v>
      </c>
      <c r="W980" s="1">
        <f>VLOOKUP($E980,'Product Naming'!$A$1:$P$58,6,FALSE)</f>
        <v>4</v>
      </c>
      <c r="X980" s="1">
        <f>VLOOKUP($E980,'Product Naming'!$A$1:$P$58,7,FALSE)</f>
        <v>8</v>
      </c>
      <c r="Y980" s="1">
        <f>VLOOKUP($E980,'Product Naming'!$A$1:$P$58,8,FALSE)</f>
        <v>2</v>
      </c>
      <c r="Z980" s="1">
        <f>VLOOKUP($E980,'Product Naming'!$A$1:$P$58,9,FALSE)</f>
        <v>0</v>
      </c>
      <c r="AA980" s="1">
        <f>VLOOKUP($E980,'Product Naming'!$A$1:$P$58,10,FALSE)</f>
        <v>0</v>
      </c>
      <c r="AB980" s="29">
        <f>VLOOKUP($E980,'Product Naming'!$A$1:$P$58,11,FALSE)</f>
        <v>5</v>
      </c>
      <c r="AC980" s="3">
        <f>VLOOKUP($E980,'Product Naming'!$A$1:$P$58,12,FALSE)</f>
        <v>88.103520000000003</v>
      </c>
      <c r="AD980" s="1">
        <f>VLOOKUP($E980,'Product Naming'!$A$1:$P$58,13,FALSE)</f>
        <v>77.099999999999994</v>
      </c>
      <c r="AE980" s="1" t="str">
        <f>VLOOKUP($E980,'Product Naming'!$A$1:$P$58,14,FALSE)</f>
        <v>Carboxylate Ester</v>
      </c>
      <c r="AF980" s="1" t="str">
        <f>VLOOKUP($E980,'Product Naming'!$A$1:$P$58,15,FALSE)</f>
        <v>Acetyl-CoA</v>
      </c>
      <c r="AG980" s="30" t="str">
        <f>VLOOKUP($E980,'Product Naming'!$A$1:$P$58,16,FALSE)</f>
        <v>Proton symporter</v>
      </c>
      <c r="AH980" s="3" t="str">
        <f>VLOOKUP($E980,'Product Naming'!$A$1:$Q$58,17,FALSE)</f>
        <v>aces_c</v>
      </c>
      <c r="AI980" s="1">
        <f>VLOOKUP($E980,'Product Parameters'!$A$2:$D$59,2,FALSE)</f>
        <v>1</v>
      </c>
      <c r="AJ980" s="1">
        <f>VLOOKUP($E980,'Product Parameters'!$A$2:$D$59,3,FALSE)</f>
        <v>0</v>
      </c>
      <c r="AK980" s="1">
        <f>VLOOKUP($E980,'Product Parameters'!$A$2:$D$59,4,FALSE)</f>
        <v>0.12</v>
      </c>
      <c r="AL980" s="1">
        <f>VLOOKUP($E980,'Product Parameters'!$A$2:$E$59,5,FALSE)</f>
        <v>35</v>
      </c>
      <c r="AM980" s="1">
        <f>VLOOKUP($E980,'Product Parameters'!$A$2:$F$59,6,FALSE)</f>
        <v>4</v>
      </c>
      <c r="AN980" s="1">
        <f>VLOOKUP($C980,'Substrate Heating'!$A$2:$C$33,3,FALSE)</f>
        <v>226.4</v>
      </c>
      <c r="AO980" s="1">
        <f>VLOOKUP($C980,'Substrate Heating'!$A$2:$B$33,2,FALSE)</f>
        <v>7.2542014450728134</v>
      </c>
      <c r="AP980" s="1">
        <f>VLOOKUP($C980,'Substrate Heating'!$A$2:$M$33,13,FALSE)</f>
        <v>1.6</v>
      </c>
      <c r="AQ980" s="1">
        <f>VLOOKUP($C980,'Substrate Heating'!$A$2:$M$33,8,FALSE)</f>
        <v>1</v>
      </c>
      <c r="AR980" s="1">
        <f t="shared" si="15"/>
        <v>0.66666666799999996</v>
      </c>
    </row>
    <row r="981" spans="1:44" x14ac:dyDescent="0.2">
      <c r="A981" s="8" t="s">
        <v>34</v>
      </c>
      <c r="B981" s="9" t="s">
        <v>35</v>
      </c>
      <c r="C981" s="1" t="s">
        <v>36</v>
      </c>
      <c r="D981" s="10" t="s">
        <v>37</v>
      </c>
      <c r="E981" s="1" t="s">
        <v>151</v>
      </c>
      <c r="F981" s="1" t="s">
        <v>152</v>
      </c>
      <c r="G981" s="1">
        <v>-10</v>
      </c>
      <c r="H981" s="1">
        <v>-20</v>
      </c>
      <c r="I981" s="1" t="s">
        <v>40</v>
      </c>
      <c r="J981" s="1">
        <v>3.15</v>
      </c>
      <c r="K981" s="1">
        <v>-10</v>
      </c>
      <c r="L981" s="1">
        <v>-4.0629464285714203</v>
      </c>
      <c r="M981" s="1" t="s">
        <v>40</v>
      </c>
      <c r="N981" s="1">
        <v>4.4910714285714297</v>
      </c>
      <c r="O981" s="1">
        <v>0.38772321428571399</v>
      </c>
      <c r="Q981" s="1">
        <v>3.8772321428571399E-2</v>
      </c>
      <c r="R981" s="1">
        <v>0.47252553449137402</v>
      </c>
      <c r="S981" s="1" t="str">
        <f>VLOOKUP($E981,'Product Naming'!$A$1:$P$58,2,FALSE)</f>
        <v>BetaCarotene</v>
      </c>
      <c r="T981" s="1" t="str">
        <f>VLOOKUP($E981,'Product Naming'!$A$1:$P$58,3,FALSE)</f>
        <v>Beta carotene</v>
      </c>
      <c r="U981" s="1" t="str">
        <f>VLOOKUP($E981,'Product Naming'!$A$1:$P$58,4,FALSE)</f>
        <v>A</v>
      </c>
      <c r="V981" s="1" t="str">
        <f>VLOOKUP($E981,'Product Naming'!$A$1:$P$58,5,FALSE)</f>
        <v>C40H56</v>
      </c>
      <c r="W981" s="1">
        <f>VLOOKUP($E981,'Product Naming'!$A$1:$P$58,6,FALSE)</f>
        <v>40</v>
      </c>
      <c r="X981" s="1">
        <f>VLOOKUP($E981,'Product Naming'!$A$1:$P$58,7,FALSE)</f>
        <v>56</v>
      </c>
      <c r="Y981" s="1">
        <f>VLOOKUP($E981,'Product Naming'!$A$1:$P$58,8,FALSE)</f>
        <v>0</v>
      </c>
      <c r="Z981" s="1">
        <f>VLOOKUP($E981,'Product Naming'!$A$1:$P$58,9,FALSE)</f>
        <v>0</v>
      </c>
      <c r="AA981" s="1">
        <f>VLOOKUP($E981,'Product Naming'!$A$1:$P$58,10,FALSE)</f>
        <v>0</v>
      </c>
      <c r="AB981" s="29">
        <f>VLOOKUP($E981,'Product Naming'!$A$1:$P$58,11,FALSE)</f>
        <v>5.4</v>
      </c>
      <c r="AC981" s="3">
        <f>VLOOKUP($E981,'Product Naming'!$A$1:$P$58,12,FALSE)</f>
        <v>536.86703999999997</v>
      </c>
      <c r="AD981" s="1">
        <f>VLOOKUP($E981,'Product Naming'!$A$1:$P$58,13,FALSE)</f>
        <v>633</v>
      </c>
      <c r="AE981" s="1" t="str">
        <f>VLOOKUP($E981,'Product Naming'!$A$1:$P$58,14,FALSE)</f>
        <v>Hydrocarbon</v>
      </c>
      <c r="AF981" s="1" t="str">
        <f>VLOOKUP($E981,'Product Naming'!$A$1:$P$58,15,FALSE)</f>
        <v>Acetyl-CoA</v>
      </c>
      <c r="AG981" s="30" t="str">
        <f>VLOOKUP($E981,'Product Naming'!$A$1:$P$58,16,FALSE)</f>
        <v>ABC Transporter</v>
      </c>
      <c r="AH981" s="3" t="str">
        <f>VLOOKUP($E981,'Product Naming'!$A$1:$Q$58,17,FALSE)</f>
        <v>caro_c</v>
      </c>
      <c r="AI981" s="1">
        <f>VLOOKUP($E981,'Product Parameters'!$A$2:$D$59,2,FALSE)</f>
        <v>1</v>
      </c>
      <c r="AJ981" s="1">
        <f>VLOOKUP($E981,'Product Parameters'!$A$2:$D$59,3,FALSE)</f>
        <v>0</v>
      </c>
      <c r="AK981" s="1">
        <f>VLOOKUP($E981,'Product Parameters'!$A$2:$D$59,4,FALSE)</f>
        <v>0.12</v>
      </c>
      <c r="AL981" s="1">
        <f>VLOOKUP($E981,'Product Parameters'!$A$2:$E$59,5,FALSE)</f>
        <v>40.65</v>
      </c>
      <c r="AM981" s="1">
        <f>VLOOKUP($E981,'Product Parameters'!$A$2:$F$59,6,FALSE)</f>
        <v>40</v>
      </c>
      <c r="AN981" s="1">
        <f>VLOOKUP($C981,'Substrate Heating'!$A$2:$C$33,3,FALSE)</f>
        <v>1064.1143145599999</v>
      </c>
      <c r="AO981" s="1">
        <f>VLOOKUP($C981,'Substrate Heating'!$A$2:$B$33,2,FALSE)</f>
        <v>24.155999999999999</v>
      </c>
      <c r="AP981" s="1">
        <f>VLOOKUP($C981,'Substrate Heating'!$A$2:$M$33,13,FALSE)</f>
        <v>5</v>
      </c>
      <c r="AQ981" s="1">
        <f>VLOOKUP($C981,'Substrate Heating'!$A$2:$M$33,8,FALSE)</f>
        <v>2</v>
      </c>
      <c r="AR981" s="1">
        <f t="shared" si="15"/>
        <v>0.77544642857142798</v>
      </c>
    </row>
    <row r="982" spans="1:44" x14ac:dyDescent="0.2">
      <c r="A982" s="8" t="s">
        <v>34</v>
      </c>
      <c r="B982" s="9" t="s">
        <v>35</v>
      </c>
      <c r="C982" s="1" t="s">
        <v>344</v>
      </c>
      <c r="D982" s="10" t="s">
        <v>37</v>
      </c>
      <c r="E982" s="1" t="s">
        <v>132</v>
      </c>
      <c r="F982" s="1" t="s">
        <v>133</v>
      </c>
      <c r="G982" s="1">
        <v>-10</v>
      </c>
      <c r="H982" s="1">
        <v>-20</v>
      </c>
      <c r="I982" s="1" t="s">
        <v>40</v>
      </c>
      <c r="J982" s="1">
        <v>3.15</v>
      </c>
      <c r="K982" s="1">
        <v>-10</v>
      </c>
      <c r="L982" s="1">
        <v>-7.1902439024390201</v>
      </c>
      <c r="M982" s="1" t="s">
        <v>40</v>
      </c>
      <c r="N982" s="1">
        <v>8.1756097560975594</v>
      </c>
      <c r="O982" s="1">
        <v>1.97073170731707</v>
      </c>
      <c r="Q982" s="1">
        <v>0.19707317073170699</v>
      </c>
      <c r="R982" s="1">
        <v>0.47296944014374498</v>
      </c>
      <c r="S982" s="1" t="str">
        <f>VLOOKUP($E982,'Product Naming'!$A$1:$P$58,2,FALSE)</f>
        <v>Adipate</v>
      </c>
      <c r="T982" s="1" t="str">
        <f>VLOOKUP($E982,'Product Naming'!$A$1:$P$58,3,FALSE)</f>
        <v>Adipate</v>
      </c>
      <c r="U982" s="1" t="str">
        <f>VLOOKUP($E982,'Product Naming'!$A$1:$P$58,4,FALSE)</f>
        <v>E</v>
      </c>
      <c r="V982" s="1" t="str">
        <f>VLOOKUP($E982,'Product Naming'!$A$1:$P$58,5,FALSE)</f>
        <v>C6H8O4</v>
      </c>
      <c r="W982" s="1">
        <f>VLOOKUP($E982,'Product Naming'!$A$1:$P$58,6,FALSE)</f>
        <v>6</v>
      </c>
      <c r="X982" s="1">
        <f>VLOOKUP($E982,'Product Naming'!$A$1:$P$58,7,FALSE)</f>
        <v>8</v>
      </c>
      <c r="Y982" s="1">
        <f>VLOOKUP($E982,'Product Naming'!$A$1:$P$58,8,FALSE)</f>
        <v>4</v>
      </c>
      <c r="Z982" s="1">
        <f>VLOOKUP($E982,'Product Naming'!$A$1:$P$58,9,FALSE)</f>
        <v>0</v>
      </c>
      <c r="AA982" s="1">
        <f>VLOOKUP($E982,'Product Naming'!$A$1:$P$58,10,FALSE)</f>
        <v>-2</v>
      </c>
      <c r="AB982" s="29">
        <f>VLOOKUP($E982,'Product Naming'!$A$1:$P$58,11,FALSE)</f>
        <v>4</v>
      </c>
      <c r="AC982" s="3">
        <f>VLOOKUP($E982,'Product Naming'!$A$1:$P$58,12,FALSE)</f>
        <v>144.12291999999999</v>
      </c>
      <c r="AD982" s="1">
        <f>VLOOKUP($E982,'Product Naming'!$A$1:$P$58,13,FALSE)</f>
        <v>337.5</v>
      </c>
      <c r="AE982" s="1" t="str">
        <f>VLOOKUP($E982,'Product Naming'!$A$1:$P$58,14,FALSE)</f>
        <v>Dicarboxylate</v>
      </c>
      <c r="AF982" s="1" t="str">
        <f>VLOOKUP($E982,'Product Naming'!$A$1:$P$58,15,FALSE)</f>
        <v>Glyceraldehyde 3-P</v>
      </c>
      <c r="AG982" s="30" t="str">
        <f>VLOOKUP($E982,'Product Naming'!$A$1:$P$58,16,FALSE)</f>
        <v>Proton symporter</v>
      </c>
      <c r="AH982" s="3" t="str">
        <f>VLOOKUP($E982,'Product Naming'!$A$1:$Q$58,17,FALSE)</f>
        <v>adpac_c</v>
      </c>
      <c r="AI982" s="1">
        <f>VLOOKUP($E982,'Product Parameters'!$A$2:$D$59,2,FALSE)</f>
        <v>1</v>
      </c>
      <c r="AJ982" s="1">
        <f>VLOOKUP($E982,'Product Parameters'!$A$2:$D$59,3,FALSE)</f>
        <v>0</v>
      </c>
      <c r="AK982" s="1">
        <f>VLOOKUP($E982,'Product Parameters'!$A$2:$D$59,4,FALSE)</f>
        <v>0.12</v>
      </c>
      <c r="AL982" s="1">
        <f>VLOOKUP($E982,'Product Parameters'!$A$2:$E$59,5,FALSE)</f>
        <v>40.65</v>
      </c>
      <c r="AM982" s="1">
        <f>VLOOKUP($E982,'Product Parameters'!$A$2:$F$59,6,FALSE)</f>
        <v>6</v>
      </c>
      <c r="AN982" s="1">
        <f>VLOOKUP($C982,'Substrate Heating'!$A$2:$C$33,3,FALSE)</f>
        <v>1020.8629199999999</v>
      </c>
      <c r="AO982" s="1">
        <f>VLOOKUP($C982,'Substrate Heating'!$A$2:$B$33,2,FALSE)</f>
        <v>17</v>
      </c>
      <c r="AP982" s="1">
        <f>VLOOKUP($C982,'Substrate Heating'!$A$2:$M$33,13,FALSE)</f>
        <v>4</v>
      </c>
      <c r="AQ982" s="1">
        <f>VLOOKUP($C982,'Substrate Heating'!$A$2:$M$33,8,FALSE)</f>
        <v>2</v>
      </c>
      <c r="AR982" s="1">
        <f t="shared" si="15"/>
        <v>0.59121951219512092</v>
      </c>
    </row>
    <row r="983" spans="1:44" x14ac:dyDescent="0.2">
      <c r="A983" s="8" t="s">
        <v>34</v>
      </c>
      <c r="B983" s="9" t="s">
        <v>35</v>
      </c>
      <c r="C983" s="1" t="s">
        <v>322</v>
      </c>
      <c r="D983" s="10" t="s">
        <v>37</v>
      </c>
      <c r="E983" s="1" t="s">
        <v>244</v>
      </c>
      <c r="F983" s="1" t="s">
        <v>245</v>
      </c>
      <c r="G983" s="1">
        <v>-10</v>
      </c>
      <c r="H983" s="1">
        <v>-20</v>
      </c>
      <c r="I983" s="1" t="s">
        <v>40</v>
      </c>
      <c r="J983" s="1">
        <v>3.15</v>
      </c>
      <c r="K983" s="1">
        <v>-10</v>
      </c>
      <c r="L983" s="1">
        <v>-3.9125000000000001</v>
      </c>
      <c r="M983" s="1" t="s">
        <v>40</v>
      </c>
      <c r="N983" s="1">
        <v>7.13</v>
      </c>
      <c r="O983" s="1">
        <v>3.2174999999999998</v>
      </c>
      <c r="Q983" s="1">
        <v>0.32174999999999998</v>
      </c>
      <c r="R983" s="1">
        <v>0.47462142861498002</v>
      </c>
      <c r="S983" s="1" t="str">
        <f>VLOOKUP($E983,'Product Naming'!$A$1:$P$58,2,FALSE)</f>
        <v>Isobutyrate</v>
      </c>
      <c r="T983" s="1" t="str">
        <f>VLOOKUP($E983,'Product Naming'!$A$1:$P$58,3,FALSE)</f>
        <v>Isobutyrate</v>
      </c>
      <c r="U983" s="1" t="str">
        <f>VLOOKUP($E983,'Product Naming'!$A$1:$P$58,4,FALSE)</f>
        <v>A</v>
      </c>
      <c r="V983" s="1" t="str">
        <f>VLOOKUP($E983,'Product Naming'!$A$1:$P$58,5,FALSE)</f>
        <v>C4H7O2</v>
      </c>
      <c r="W983" s="1">
        <f>VLOOKUP($E983,'Product Naming'!$A$1:$P$58,6,FALSE)</f>
        <v>4</v>
      </c>
      <c r="X983" s="1">
        <f>VLOOKUP($E983,'Product Naming'!$A$1:$P$58,7,FALSE)</f>
        <v>7</v>
      </c>
      <c r="Y983" s="1">
        <f>VLOOKUP($E983,'Product Naming'!$A$1:$P$58,8,FALSE)</f>
        <v>2</v>
      </c>
      <c r="Z983" s="1">
        <f>VLOOKUP($E983,'Product Naming'!$A$1:$P$58,9,FALSE)</f>
        <v>0</v>
      </c>
      <c r="AA983" s="1">
        <f>VLOOKUP($E983,'Product Naming'!$A$1:$P$58,10,FALSE)</f>
        <v>-1</v>
      </c>
      <c r="AB983" s="29">
        <f>VLOOKUP($E983,'Product Naming'!$A$1:$P$58,11,FALSE)</f>
        <v>4.75</v>
      </c>
      <c r="AC983" s="3">
        <f>VLOOKUP($E983,'Product Naming'!$A$1:$P$58,12,FALSE)</f>
        <v>87.095680000000002</v>
      </c>
      <c r="AD983" s="1">
        <f>VLOOKUP($E983,'Product Naming'!$A$1:$P$58,13,FALSE)</f>
        <v>155</v>
      </c>
      <c r="AE983" s="1" t="str">
        <f>VLOOKUP($E983,'Product Naming'!$A$1:$P$58,14,FALSE)</f>
        <v>Carboxylate</v>
      </c>
      <c r="AF983" s="1" t="str">
        <f>VLOOKUP($E983,'Product Naming'!$A$1:$P$58,15,FALSE)</f>
        <v>Pyruvate</v>
      </c>
      <c r="AG983" s="30" t="str">
        <f>VLOOKUP($E983,'Product Naming'!$A$1:$P$58,16,FALSE)</f>
        <v>Proton symporter</v>
      </c>
      <c r="AH983" s="3" t="str">
        <f>VLOOKUP($E983,'Product Naming'!$A$1:$Q$58,17,FALSE)</f>
        <v>ibt_c</v>
      </c>
      <c r="AI983" s="1">
        <f>VLOOKUP($E983,'Product Parameters'!$A$2:$D$59,2,FALSE)</f>
        <v>1</v>
      </c>
      <c r="AJ983" s="1">
        <f>VLOOKUP($E983,'Product Parameters'!$A$2:$D$59,3,FALSE)</f>
        <v>0</v>
      </c>
      <c r="AK983" s="1">
        <f>VLOOKUP($E983,'Product Parameters'!$A$2:$D$59,4,FALSE)</f>
        <v>0.12</v>
      </c>
      <c r="AL983" s="1">
        <f>VLOOKUP($E983,'Product Parameters'!$A$2:$E$59,5,FALSE)</f>
        <v>44.5</v>
      </c>
      <c r="AM983" s="1">
        <f>VLOOKUP($E983,'Product Parameters'!$A$2:$F$59,6,FALSE)</f>
        <v>4</v>
      </c>
      <c r="AN983" s="1">
        <f>VLOOKUP($C983,'Substrate Heating'!$A$2:$C$33,3,FALSE)</f>
        <v>876.74109599999997</v>
      </c>
      <c r="AO983" s="1">
        <f>VLOOKUP($C983,'Substrate Heating'!$A$2:$B$33,2,FALSE)</f>
        <v>14.6</v>
      </c>
      <c r="AP983" s="1">
        <f>VLOOKUP($C983,'Substrate Heating'!$A$2:$M$33,13,FALSE)</f>
        <v>3.5</v>
      </c>
      <c r="AQ983" s="1">
        <f>VLOOKUP($C983,'Substrate Heating'!$A$2:$M$33,8,FALSE)</f>
        <v>2</v>
      </c>
      <c r="AR983" s="1">
        <f t="shared" si="15"/>
        <v>0.64349999999999996</v>
      </c>
    </row>
    <row r="984" spans="1:44" x14ac:dyDescent="0.2">
      <c r="A984" s="8" t="s">
        <v>34</v>
      </c>
      <c r="B984" s="9" t="s">
        <v>35</v>
      </c>
      <c r="C984" s="1" t="s">
        <v>36</v>
      </c>
      <c r="D984" s="10" t="s">
        <v>37</v>
      </c>
      <c r="E984" s="1" t="s">
        <v>287</v>
      </c>
      <c r="F984" s="1" t="s">
        <v>288</v>
      </c>
      <c r="G984" s="1">
        <v>-10</v>
      </c>
      <c r="H984" s="1">
        <v>-20</v>
      </c>
      <c r="I984" s="1" t="s">
        <v>40</v>
      </c>
      <c r="J984" s="1">
        <v>3.15</v>
      </c>
      <c r="K984" s="1">
        <v>-10</v>
      </c>
      <c r="L984" s="1">
        <v>-1.7919732441471501</v>
      </c>
      <c r="M984" s="1" t="s">
        <v>40</v>
      </c>
      <c r="N984" s="1">
        <v>5.4949832775919702</v>
      </c>
      <c r="O984" s="1">
        <v>2.9010033444815999</v>
      </c>
      <c r="Q984" s="1">
        <v>0.29010033444816002</v>
      </c>
      <c r="R984" s="1">
        <v>0.47512374278860497</v>
      </c>
      <c r="S984" s="1" t="str">
        <f>VLOOKUP($E984,'Product Naming'!$A$1:$P$58,2,FALSE)</f>
        <v>Pentane</v>
      </c>
      <c r="T984" s="1" t="str">
        <f>VLOOKUP($E984,'Product Naming'!$A$1:$P$58,3,FALSE)</f>
        <v>Pentane</v>
      </c>
      <c r="U984" s="1" t="str">
        <f>VLOOKUP($E984,'Product Naming'!$A$1:$P$58,4,FALSE)</f>
        <v>E</v>
      </c>
      <c r="V984" s="1" t="str">
        <f>VLOOKUP($E984,'Product Naming'!$A$1:$P$58,5,FALSE)</f>
        <v>C5H12</v>
      </c>
      <c r="W984" s="1">
        <f>VLOOKUP($E984,'Product Naming'!$A$1:$P$58,6,FALSE)</f>
        <v>5</v>
      </c>
      <c r="X984" s="1">
        <f>VLOOKUP($E984,'Product Naming'!$A$1:$P$58,7,FALSE)</f>
        <v>12</v>
      </c>
      <c r="Y984" s="1">
        <f>VLOOKUP($E984,'Product Naming'!$A$1:$P$58,8,FALSE)</f>
        <v>0</v>
      </c>
      <c r="Z984" s="1">
        <f>VLOOKUP($E984,'Product Naming'!$A$1:$P$58,9,FALSE)</f>
        <v>0</v>
      </c>
      <c r="AA984" s="1">
        <f>VLOOKUP($E984,'Product Naming'!$A$1:$P$58,10,FALSE)</f>
        <v>0</v>
      </c>
      <c r="AB984" s="29">
        <f>VLOOKUP($E984,'Product Naming'!$A$1:$P$58,11,FALSE)</f>
        <v>6.4</v>
      </c>
      <c r="AC984" s="3">
        <f>VLOOKUP($E984,'Product Naming'!$A$1:$P$58,12,FALSE)</f>
        <v>72.147580000000005</v>
      </c>
      <c r="AD984" s="1">
        <f>VLOOKUP($E984,'Product Naming'!$A$1:$P$58,13,FALSE)</f>
        <v>36.1</v>
      </c>
      <c r="AE984" s="1" t="str">
        <f>VLOOKUP($E984,'Product Naming'!$A$1:$P$58,14,FALSE)</f>
        <v>Hydrocarbon (alkane)</v>
      </c>
      <c r="AF984" s="1" t="str">
        <f>VLOOKUP($E984,'Product Naming'!$A$1:$P$58,15,FALSE)</f>
        <v>Acetyl-CoA</v>
      </c>
      <c r="AG984" s="30" t="str">
        <f>VLOOKUP($E984,'Product Naming'!$A$1:$P$58,16,FALSE)</f>
        <v>Diffusion</v>
      </c>
      <c r="AH984" s="3" t="str">
        <f>VLOOKUP($E984,'Product Naming'!$A$1:$Q$58,17,FALSE)</f>
        <v>pent_c</v>
      </c>
      <c r="AI984" s="1">
        <f>VLOOKUP($E984,'Product Parameters'!$A$2:$D$59,2,FALSE)</f>
        <v>0</v>
      </c>
      <c r="AJ984" s="1">
        <f>VLOOKUP($E984,'Product Parameters'!$A$2:$D$59,3,FALSE)</f>
        <v>1</v>
      </c>
      <c r="AK984" s="1">
        <f>VLOOKUP($E984,'Product Parameters'!$A$2:$D$59,4,FALSE)</f>
        <v>0.12</v>
      </c>
      <c r="AL984" s="1">
        <f>VLOOKUP($E984,'Product Parameters'!$A$2:$E$59,5,FALSE)</f>
        <v>26.5</v>
      </c>
      <c r="AM984" s="1">
        <f>VLOOKUP($E984,'Product Parameters'!$A$2:$F$59,6,FALSE)</f>
        <v>5</v>
      </c>
      <c r="AN984" s="1">
        <f>VLOOKUP($C984,'Substrate Heating'!$A$2:$C$33,3,FALSE)</f>
        <v>1064.1143145599999</v>
      </c>
      <c r="AO984" s="1">
        <f>VLOOKUP($C984,'Substrate Heating'!$A$2:$B$33,2,FALSE)</f>
        <v>24.155999999999999</v>
      </c>
      <c r="AP984" s="1">
        <f>VLOOKUP($C984,'Substrate Heating'!$A$2:$M$33,13,FALSE)</f>
        <v>5</v>
      </c>
      <c r="AQ984" s="1">
        <f>VLOOKUP($C984,'Substrate Heating'!$A$2:$M$33,8,FALSE)</f>
        <v>2</v>
      </c>
      <c r="AR984" s="1">
        <f t="shared" si="15"/>
        <v>0.72525083612040009</v>
      </c>
    </row>
    <row r="985" spans="1:44" x14ac:dyDescent="0.2">
      <c r="A985" s="8" t="s">
        <v>34</v>
      </c>
      <c r="B985" s="9" t="s">
        <v>35</v>
      </c>
      <c r="C985" s="1" t="s">
        <v>344</v>
      </c>
      <c r="D985" s="10" t="s">
        <v>37</v>
      </c>
      <c r="E985" s="1" t="s">
        <v>60</v>
      </c>
      <c r="F985" s="1" t="s">
        <v>61</v>
      </c>
      <c r="G985" s="1">
        <v>-10</v>
      </c>
      <c r="H985" s="1">
        <v>-20</v>
      </c>
      <c r="I985" s="1" t="s">
        <v>40</v>
      </c>
      <c r="J985" s="1">
        <v>3.15</v>
      </c>
      <c r="K985" s="1">
        <v>-10</v>
      </c>
      <c r="L985" s="1">
        <v>-5</v>
      </c>
      <c r="M985" s="1" t="s">
        <v>40</v>
      </c>
      <c r="N985" s="1">
        <v>8.75</v>
      </c>
      <c r="O985" s="1">
        <v>3.75</v>
      </c>
      <c r="Q985" s="1">
        <v>0.375</v>
      </c>
      <c r="R985" s="1">
        <v>0.47516831246253299</v>
      </c>
      <c r="S985" s="1" t="str">
        <f>VLOOKUP($E985,'Product Naming'!$A$1:$P$58,2,FALSE)</f>
        <v>1-3-Propanediol</v>
      </c>
      <c r="T985" s="1" t="str">
        <f>VLOOKUP($E985,'Product Naming'!$A$1:$P$58,3,FALSE)</f>
        <v>1,3-Propanediol</v>
      </c>
      <c r="U985" s="1" t="str">
        <f>VLOOKUP($E985,'Product Naming'!$A$1:$P$58,4,FALSE)</f>
        <v>A</v>
      </c>
      <c r="V985" s="1" t="str">
        <f>VLOOKUP($E985,'Product Naming'!$A$1:$P$58,5,FALSE)</f>
        <v>C3H8O2</v>
      </c>
      <c r="W985" s="1">
        <f>VLOOKUP($E985,'Product Naming'!$A$1:$P$58,6,FALSE)</f>
        <v>3</v>
      </c>
      <c r="X985" s="1">
        <f>VLOOKUP($E985,'Product Naming'!$A$1:$P$58,7,FALSE)</f>
        <v>8</v>
      </c>
      <c r="Y985" s="1">
        <f>VLOOKUP($E985,'Product Naming'!$A$1:$P$58,8,FALSE)</f>
        <v>2</v>
      </c>
      <c r="Z985" s="1">
        <f>VLOOKUP($E985,'Product Naming'!$A$1:$P$58,9,FALSE)</f>
        <v>0</v>
      </c>
      <c r="AA985" s="1">
        <f>VLOOKUP($E985,'Product Naming'!$A$1:$P$58,10,FALSE)</f>
        <v>0</v>
      </c>
      <c r="AB985" s="29">
        <f>VLOOKUP($E985,'Product Naming'!$A$1:$P$58,11,FALSE)</f>
        <v>5.333333333333333</v>
      </c>
      <c r="AC985" s="3">
        <f>VLOOKUP($E985,'Product Naming'!$A$1:$P$58,12,FALSE)</f>
        <v>76.092820000000003</v>
      </c>
      <c r="AD985" s="1">
        <f>VLOOKUP($E985,'Product Naming'!$A$1:$P$58,13,FALSE)</f>
        <v>213</v>
      </c>
      <c r="AE985" s="1" t="str">
        <f>VLOOKUP($E985,'Product Naming'!$A$1:$P$58,14,FALSE)</f>
        <v>Diol</v>
      </c>
      <c r="AF985" s="1" t="str">
        <f>VLOOKUP($E985,'Product Naming'!$A$1:$P$58,15,FALSE)</f>
        <v>Glyceraldehyde 3-P</v>
      </c>
      <c r="AG985" s="30" t="str">
        <f>VLOOKUP($E985,'Product Naming'!$A$1:$P$58,16,FALSE)</f>
        <v>Proton symporter</v>
      </c>
      <c r="AH985" s="3" t="str">
        <f>VLOOKUP($E985,'Product Naming'!$A$1:$Q$58,17,FALSE)</f>
        <v>13ppd_c</v>
      </c>
      <c r="AI985" s="1">
        <f>VLOOKUP($E985,'Product Parameters'!$A$2:$D$59,2,FALSE)</f>
        <v>1</v>
      </c>
      <c r="AJ985" s="1">
        <f>VLOOKUP($E985,'Product Parameters'!$A$2:$D$59,3,FALSE)</f>
        <v>0</v>
      </c>
      <c r="AK985" s="1">
        <f>VLOOKUP($E985,'Product Parameters'!$A$2:$D$59,4,FALSE)</f>
        <v>0.12</v>
      </c>
      <c r="AL985" s="1">
        <f>VLOOKUP($E985,'Product Parameters'!$A$2:$E$59,5,FALSE)</f>
        <v>70</v>
      </c>
      <c r="AM985" s="1">
        <f>VLOOKUP($E985,'Product Parameters'!$A$2:$F$59,6,FALSE)</f>
        <v>3</v>
      </c>
      <c r="AN985" s="1">
        <f>VLOOKUP($C985,'Substrate Heating'!$A$2:$C$33,3,FALSE)</f>
        <v>1020.8629199999999</v>
      </c>
      <c r="AO985" s="1">
        <f>VLOOKUP($C985,'Substrate Heating'!$A$2:$B$33,2,FALSE)</f>
        <v>17</v>
      </c>
      <c r="AP985" s="1">
        <f>VLOOKUP($C985,'Substrate Heating'!$A$2:$M$33,13,FALSE)</f>
        <v>4</v>
      </c>
      <c r="AQ985" s="1">
        <f>VLOOKUP($C985,'Substrate Heating'!$A$2:$M$33,8,FALSE)</f>
        <v>2</v>
      </c>
      <c r="AR985" s="1">
        <f t="shared" si="15"/>
        <v>0.5625</v>
      </c>
    </row>
    <row r="986" spans="1:44" x14ac:dyDescent="0.2">
      <c r="A986" s="8" t="s">
        <v>34</v>
      </c>
      <c r="B986" s="9" t="s">
        <v>35</v>
      </c>
      <c r="C986" s="1" t="s">
        <v>322</v>
      </c>
      <c r="D986" s="10" t="s">
        <v>37</v>
      </c>
      <c r="E986" s="1" t="s">
        <v>180</v>
      </c>
      <c r="F986" s="1" t="s">
        <v>181</v>
      </c>
      <c r="G986" s="1">
        <v>-10</v>
      </c>
      <c r="H986" s="1">
        <v>-20</v>
      </c>
      <c r="I986" s="1" t="s">
        <v>40</v>
      </c>
      <c r="J986" s="1">
        <v>3.15</v>
      </c>
      <c r="K986" s="1">
        <v>-10</v>
      </c>
      <c r="L986" s="1">
        <v>-8.96591549295775</v>
      </c>
      <c r="M986" s="1" t="s">
        <v>40</v>
      </c>
      <c r="N986" s="1">
        <v>7.9628169014084502</v>
      </c>
      <c r="O986" s="1">
        <v>2.0061971830985899</v>
      </c>
      <c r="Q986" s="1">
        <v>0.200619718309859</v>
      </c>
      <c r="R986" s="1">
        <v>0.47601184536247099</v>
      </c>
      <c r="S986" s="1" t="str">
        <f>VLOOKUP($E986,'Product Naming'!$A$1:$P$58,2,FALSE)</f>
        <v>ciscisMuconate</v>
      </c>
      <c r="T986" s="1" t="str">
        <f>VLOOKUP($E986,'Product Naming'!$A$1:$P$58,3,FALSE)</f>
        <v>cis,cis-Muconate</v>
      </c>
      <c r="U986" s="1" t="str">
        <f>VLOOKUP($E986,'Product Naming'!$A$1:$P$58,4,FALSE)</f>
        <v>A</v>
      </c>
      <c r="V986" s="1" t="str">
        <f>VLOOKUP($E986,'Product Naming'!$A$1:$P$58,5,FALSE)</f>
        <v>C6H4O4</v>
      </c>
      <c r="W986" s="1">
        <f>VLOOKUP($E986,'Product Naming'!$A$1:$P$58,6,FALSE)</f>
        <v>6</v>
      </c>
      <c r="X986" s="1">
        <f>VLOOKUP($E986,'Product Naming'!$A$1:$P$58,7,FALSE)</f>
        <v>4</v>
      </c>
      <c r="Y986" s="1">
        <f>VLOOKUP($E986,'Product Naming'!$A$1:$P$58,8,FALSE)</f>
        <v>4</v>
      </c>
      <c r="Z986" s="1">
        <f>VLOOKUP($E986,'Product Naming'!$A$1:$P$58,9,FALSE)</f>
        <v>0</v>
      </c>
      <c r="AA986" s="1">
        <f>VLOOKUP($E986,'Product Naming'!$A$1:$P$58,10,FALSE)</f>
        <v>-2</v>
      </c>
      <c r="AB986" s="29">
        <f>VLOOKUP($E986,'Product Naming'!$A$1:$P$58,11,FALSE)</f>
        <v>3.3333333333333335</v>
      </c>
      <c r="AC986" s="3">
        <f>VLOOKUP($E986,'Product Naming'!$A$1:$P$58,12,FALSE)</f>
        <v>140.09156000000002</v>
      </c>
      <c r="AD986" s="1">
        <f>VLOOKUP($E986,'Product Naming'!$A$1:$P$58,13,FALSE)</f>
        <v>345.4</v>
      </c>
      <c r="AE986" s="1" t="str">
        <f>VLOOKUP($E986,'Product Naming'!$A$1:$P$58,14,FALSE)</f>
        <v>Dicarboxylate</v>
      </c>
      <c r="AF986" s="1" t="str">
        <f>VLOOKUP($E986,'Product Naming'!$A$1:$P$58,15,FALSE)</f>
        <v>Glyceraldehyde 3-P</v>
      </c>
      <c r="AG986" s="30" t="str">
        <f>VLOOKUP($E986,'Product Naming'!$A$1:$P$58,16,FALSE)</f>
        <v>Proton symporter</v>
      </c>
      <c r="AH986" s="3" t="str">
        <f>VLOOKUP($E986,'Product Naming'!$A$1:$Q$58,17,FALSE)</f>
        <v>ccmuac_c</v>
      </c>
      <c r="AI986" s="1">
        <f>VLOOKUP($E986,'Product Parameters'!$A$2:$D$59,2,FALSE)</f>
        <v>1</v>
      </c>
      <c r="AJ986" s="1">
        <f>VLOOKUP($E986,'Product Parameters'!$A$2:$D$59,3,FALSE)</f>
        <v>0</v>
      </c>
      <c r="AK986" s="1">
        <f>VLOOKUP($E986,'Product Parameters'!$A$2:$D$59,4,FALSE)</f>
        <v>0.12</v>
      </c>
      <c r="AL986" s="1">
        <f>VLOOKUP($E986,'Product Parameters'!$A$2:$E$59,5,FALSE)</f>
        <v>40.65</v>
      </c>
      <c r="AM986" s="1">
        <f>VLOOKUP($E986,'Product Parameters'!$A$2:$F$59,6,FALSE)</f>
        <v>6</v>
      </c>
      <c r="AN986" s="1">
        <f>VLOOKUP($C986,'Substrate Heating'!$A$2:$C$33,3,FALSE)</f>
        <v>876.74109599999997</v>
      </c>
      <c r="AO986" s="1">
        <f>VLOOKUP($C986,'Substrate Heating'!$A$2:$B$33,2,FALSE)</f>
        <v>14.6</v>
      </c>
      <c r="AP986" s="1">
        <f>VLOOKUP($C986,'Substrate Heating'!$A$2:$M$33,13,FALSE)</f>
        <v>3.5</v>
      </c>
      <c r="AQ986" s="1">
        <f>VLOOKUP($C986,'Substrate Heating'!$A$2:$M$33,8,FALSE)</f>
        <v>2</v>
      </c>
      <c r="AR986" s="1">
        <f t="shared" si="15"/>
        <v>0.60185915492957698</v>
      </c>
    </row>
    <row r="987" spans="1:44" x14ac:dyDescent="0.2">
      <c r="A987" s="8" t="s">
        <v>34</v>
      </c>
      <c r="B987" s="9" t="s">
        <v>35</v>
      </c>
      <c r="C987" s="1" t="s">
        <v>322</v>
      </c>
      <c r="D987" s="10" t="s">
        <v>37</v>
      </c>
      <c r="E987" s="1" t="s">
        <v>124</v>
      </c>
      <c r="F987" s="1" t="s">
        <v>125</v>
      </c>
      <c r="G987" s="1">
        <v>-10</v>
      </c>
      <c r="H987" s="1">
        <v>-20</v>
      </c>
      <c r="I987" s="1" t="s">
        <v>40</v>
      </c>
      <c r="J987" s="1">
        <v>3.15</v>
      </c>
      <c r="K987" s="1">
        <v>-10</v>
      </c>
      <c r="L987" s="1">
        <v>-8.1199999999999992</v>
      </c>
      <c r="M987" s="1" t="s">
        <v>40</v>
      </c>
      <c r="N987" s="1">
        <v>8.1199999999999797</v>
      </c>
      <c r="O987" s="1">
        <v>3.95999999999998</v>
      </c>
      <c r="Q987" s="1">
        <v>0.39599999999999802</v>
      </c>
      <c r="R987" s="1">
        <v>0.47655558905284301</v>
      </c>
      <c r="S987" s="1" t="str">
        <f>VLOOKUP($E987,'Product Naming'!$A$1:$P$58,2,FALSE)</f>
        <v>Acrylate-PW1</v>
      </c>
      <c r="T987" s="1" t="str">
        <f>VLOOKUP($E987,'Product Naming'!$A$1:$P$58,3,FALSE)</f>
        <v>Acrylate (PW1)</v>
      </c>
      <c r="U987" s="1" t="str">
        <f>VLOOKUP($E987,'Product Naming'!$A$1:$P$58,4,FALSE)</f>
        <v>A</v>
      </c>
      <c r="V987" s="1" t="str">
        <f>VLOOKUP($E987,'Product Naming'!$A$1:$P$58,5,FALSE)</f>
        <v>C3H3O2</v>
      </c>
      <c r="W987" s="1">
        <f>VLOOKUP($E987,'Product Naming'!$A$1:$P$58,6,FALSE)</f>
        <v>3</v>
      </c>
      <c r="X987" s="1">
        <f>VLOOKUP($E987,'Product Naming'!$A$1:$P$58,7,FALSE)</f>
        <v>3</v>
      </c>
      <c r="Y987" s="1">
        <f>VLOOKUP($E987,'Product Naming'!$A$1:$P$58,8,FALSE)</f>
        <v>2</v>
      </c>
      <c r="Z987" s="1">
        <f>VLOOKUP($E987,'Product Naming'!$A$1:$P$58,9,FALSE)</f>
        <v>0</v>
      </c>
      <c r="AA987" s="1">
        <f>VLOOKUP($E987,'Product Naming'!$A$1:$P$58,10,FALSE)</f>
        <v>-1</v>
      </c>
      <c r="AB987" s="29">
        <f>VLOOKUP($E987,'Product Naming'!$A$1:$P$58,11,FALSE)</f>
        <v>3.6666666666666665</v>
      </c>
      <c r="AC987" s="3">
        <f>VLOOKUP($E987,'Product Naming'!$A$1:$P$58,12,FALSE)</f>
        <v>71.053619999999995</v>
      </c>
      <c r="AD987" s="1">
        <f>VLOOKUP($E987,'Product Naming'!$A$1:$P$58,13,FALSE)</f>
        <v>80</v>
      </c>
      <c r="AE987" s="1" t="str">
        <f>VLOOKUP($E987,'Product Naming'!$A$1:$P$58,14,FALSE)</f>
        <v>Carboxylate</v>
      </c>
      <c r="AF987" s="1" t="str">
        <f>VLOOKUP($E987,'Product Naming'!$A$1:$P$58,15,FALSE)</f>
        <v>Glyceraldehyde 3-P</v>
      </c>
      <c r="AG987" s="30" t="str">
        <f>VLOOKUP($E987,'Product Naming'!$A$1:$P$58,16,FALSE)</f>
        <v>Proton symporter</v>
      </c>
      <c r="AH987" s="3" t="str">
        <f>VLOOKUP($E987,'Product Naming'!$A$1:$Q$58,17,FALSE)</f>
        <v>acryl_c</v>
      </c>
      <c r="AI987" s="1">
        <f>VLOOKUP($E987,'Product Parameters'!$A$2:$D$59,2,FALSE)</f>
        <v>1</v>
      </c>
      <c r="AJ987" s="1">
        <f>VLOOKUP($E987,'Product Parameters'!$A$2:$D$59,3,FALSE)</f>
        <v>0</v>
      </c>
      <c r="AK987" s="1">
        <f>VLOOKUP($E987,'Product Parameters'!$A$2:$D$59,4,FALSE)</f>
        <v>0.12</v>
      </c>
      <c r="AL987" s="1">
        <f>VLOOKUP($E987,'Product Parameters'!$A$2:$E$59,5,FALSE)</f>
        <v>53.1</v>
      </c>
      <c r="AM987" s="1">
        <f>VLOOKUP($E987,'Product Parameters'!$A$2:$F$59,6,FALSE)</f>
        <v>3</v>
      </c>
      <c r="AN987" s="1">
        <f>VLOOKUP($C987,'Substrate Heating'!$A$2:$C$33,3,FALSE)</f>
        <v>876.74109599999997</v>
      </c>
      <c r="AO987" s="1">
        <f>VLOOKUP($C987,'Substrate Heating'!$A$2:$B$33,2,FALSE)</f>
        <v>14.6</v>
      </c>
      <c r="AP987" s="1">
        <f>VLOOKUP($C987,'Substrate Heating'!$A$2:$M$33,13,FALSE)</f>
        <v>3.5</v>
      </c>
      <c r="AQ987" s="1">
        <f>VLOOKUP($C987,'Substrate Heating'!$A$2:$M$33,8,FALSE)</f>
        <v>2</v>
      </c>
      <c r="AR987" s="1">
        <f t="shared" si="15"/>
        <v>0.59399999999999697</v>
      </c>
    </row>
    <row r="988" spans="1:44" x14ac:dyDescent="0.2">
      <c r="A988" s="17" t="s">
        <v>323</v>
      </c>
      <c r="B988" s="18" t="s">
        <v>324</v>
      </c>
      <c r="C988" t="s">
        <v>327</v>
      </c>
      <c r="D988" s="19" t="s">
        <v>326</v>
      </c>
      <c r="E988" t="s">
        <v>215</v>
      </c>
      <c r="F988" t="s">
        <v>216</v>
      </c>
      <c r="G988">
        <v>-10</v>
      </c>
      <c r="H988">
        <v>0</v>
      </c>
      <c r="I988">
        <v>-5</v>
      </c>
      <c r="J988">
        <v>0.45</v>
      </c>
      <c r="K988">
        <v>-10</v>
      </c>
      <c r="L988">
        <v>0</v>
      </c>
      <c r="M988">
        <v>-5</v>
      </c>
      <c r="N988">
        <v>2.0262295081967201</v>
      </c>
      <c r="O988">
        <v>0.94754098360655703</v>
      </c>
      <c r="P988"/>
      <c r="Q988">
        <v>9.4754098360655695E-2</v>
      </c>
      <c r="R988">
        <v>0.47709739896735998</v>
      </c>
      <c r="S988" s="1" t="str">
        <f>VLOOKUP($E988,'Product Naming'!$A$1:$P$58,2,FALSE)</f>
        <v>Glutamate_L</v>
      </c>
      <c r="T988" s="1" t="str">
        <f>VLOOKUP($E988,'Product Naming'!$A$1:$P$58,3,FALSE)</f>
        <v>L-Glutamate</v>
      </c>
      <c r="U988" s="1" t="str">
        <f>VLOOKUP($E988,'Product Naming'!$A$1:$P$58,4,FALSE)</f>
        <v>iJO1366</v>
      </c>
      <c r="V988" s="1" t="str">
        <f>VLOOKUP($E988,'Product Naming'!$A$1:$P$58,5,FALSE)</f>
        <v>C5H8NO4</v>
      </c>
      <c r="W988" s="1">
        <f>VLOOKUP($E988,'Product Naming'!$A$1:$P$58,6,FALSE)</f>
        <v>5</v>
      </c>
      <c r="X988" s="1">
        <f>VLOOKUP($E988,'Product Naming'!$A$1:$P$58,7,FALSE)</f>
        <v>8</v>
      </c>
      <c r="Y988" s="1">
        <f>VLOOKUP($E988,'Product Naming'!$A$1:$P$58,8,FALSE)</f>
        <v>4</v>
      </c>
      <c r="Z988" s="1">
        <f>VLOOKUP($E988,'Product Naming'!$A$1:$P$58,9,FALSE)</f>
        <v>1</v>
      </c>
      <c r="AA988" s="1">
        <f>VLOOKUP($E988,'Product Naming'!$A$1:$P$58,10,FALSE)</f>
        <v>-1</v>
      </c>
      <c r="AB988" s="29">
        <f>VLOOKUP($E988,'Product Naming'!$A$1:$P$58,11,FALSE)</f>
        <v>3.4</v>
      </c>
      <c r="AC988" s="3">
        <f>VLOOKUP($E988,'Product Naming'!$A$1:$P$58,12,FALSE)</f>
        <v>146.11892</v>
      </c>
      <c r="AD988" s="1">
        <f>VLOOKUP($E988,'Product Naming'!$A$1:$P$58,13,FALSE)</f>
        <v>333.8</v>
      </c>
      <c r="AE988" s="1" t="str">
        <f>VLOOKUP($E988,'Product Naming'!$A$1:$P$58,14,FALSE)</f>
        <v>Amino acid</v>
      </c>
      <c r="AF988" s="1" t="str">
        <f>VLOOKUP($E988,'Product Naming'!$A$1:$P$58,15,FALSE)</f>
        <v>aKG</v>
      </c>
      <c r="AG988" s="30" t="str">
        <f>VLOOKUP($E988,'Product Naming'!$A$1:$P$58,16,FALSE)</f>
        <v>Proton symporter</v>
      </c>
      <c r="AH988" s="3" t="str">
        <f>VLOOKUP($E988,'Product Naming'!$A$1:$Q$58,17,FALSE)</f>
        <v>glu__L_c</v>
      </c>
      <c r="AI988" s="1">
        <f>VLOOKUP($E988,'Product Parameters'!$A$2:$D$59,2,FALSE)</f>
        <v>1</v>
      </c>
      <c r="AJ988" s="1">
        <f>VLOOKUP($E988,'Product Parameters'!$A$2:$D$59,3,FALSE)</f>
        <v>0</v>
      </c>
      <c r="AK988" s="1">
        <f>VLOOKUP($E988,'Product Parameters'!$A$2:$D$59,4,FALSE)</f>
        <v>0.12</v>
      </c>
      <c r="AL988" s="1">
        <f>VLOOKUP($E988,'Product Parameters'!$A$2:$E$59,5,FALSE)</f>
        <v>40.65</v>
      </c>
      <c r="AM988" s="1">
        <f>VLOOKUP($E988,'Product Parameters'!$A$2:$F$59,6,FALSE)</f>
        <v>5</v>
      </c>
      <c r="AN988" s="1">
        <f>VLOOKUP($C988,'Substrate Heating'!$A$2:$C$33,3,FALSE)</f>
        <v>269.26666666666665</v>
      </c>
      <c r="AO988" s="1">
        <f>VLOOKUP($C988,'Substrate Heating'!$A$2:$B$33,2,FALSE)</f>
        <v>13.919167510409219</v>
      </c>
      <c r="AP988" s="1">
        <f>VLOOKUP($C988,'Substrate Heating'!$A$2:$M$33,13,FALSE)</f>
        <v>1.3333333333333333</v>
      </c>
      <c r="AQ988" s="1">
        <f>VLOOKUP($C988,'Substrate Heating'!$A$2:$M$33,8,FALSE)</f>
        <v>0.66666666666666663</v>
      </c>
      <c r="AR988" s="1">
        <f t="shared" si="15"/>
        <v>0.71065573770491774</v>
      </c>
    </row>
    <row r="989" spans="1:44" x14ac:dyDescent="0.2">
      <c r="A989" s="8" t="s">
        <v>34</v>
      </c>
      <c r="B989" s="9" t="s">
        <v>35</v>
      </c>
      <c r="C989" s="1" t="s">
        <v>36</v>
      </c>
      <c r="D989" s="10" t="s">
        <v>37</v>
      </c>
      <c r="E989" s="1" t="s">
        <v>247</v>
      </c>
      <c r="F989" s="1" t="s">
        <v>248</v>
      </c>
      <c r="G989" s="1">
        <v>-10</v>
      </c>
      <c r="H989" s="1">
        <v>-20</v>
      </c>
      <c r="I989" s="1" t="s">
        <v>40</v>
      </c>
      <c r="J989" s="1">
        <v>3.15</v>
      </c>
      <c r="K989" s="1">
        <v>-10</v>
      </c>
      <c r="L989" s="1">
        <v>-3.3882352941176301</v>
      </c>
      <c r="M989" s="1" t="s">
        <v>40</v>
      </c>
      <c r="N989" s="1">
        <v>4.5630252100840298</v>
      </c>
      <c r="O989" s="1">
        <v>3.0873949579831899</v>
      </c>
      <c r="Q989" s="1">
        <v>0.308739495798319</v>
      </c>
      <c r="R989" s="1">
        <v>0.47739675823366401</v>
      </c>
      <c r="S989" s="1" t="str">
        <f>VLOOKUP($E989,'Product Naming'!$A$1:$P$58,2,FALSE)</f>
        <v>Isoprene</v>
      </c>
      <c r="T989" s="1" t="str">
        <f>VLOOKUP($E989,'Product Naming'!$A$1:$P$58,3,FALSE)</f>
        <v>Isoprene</v>
      </c>
      <c r="U989" s="1" t="str">
        <f>VLOOKUP($E989,'Product Naming'!$A$1:$P$58,4,FALSE)</f>
        <v>E</v>
      </c>
      <c r="V989" s="1" t="str">
        <f>VLOOKUP($E989,'Product Naming'!$A$1:$P$58,5,FALSE)</f>
        <v>C5H8</v>
      </c>
      <c r="W989" s="1">
        <f>VLOOKUP($E989,'Product Naming'!$A$1:$P$58,6,FALSE)</f>
        <v>5</v>
      </c>
      <c r="X989" s="1">
        <f>VLOOKUP($E989,'Product Naming'!$A$1:$P$58,7,FALSE)</f>
        <v>8</v>
      </c>
      <c r="Y989" s="1">
        <f>VLOOKUP($E989,'Product Naming'!$A$1:$P$58,8,FALSE)</f>
        <v>0</v>
      </c>
      <c r="Z989" s="1">
        <f>VLOOKUP($E989,'Product Naming'!$A$1:$P$58,9,FALSE)</f>
        <v>0</v>
      </c>
      <c r="AA989" s="1">
        <f>VLOOKUP($E989,'Product Naming'!$A$1:$P$58,10,FALSE)</f>
        <v>0</v>
      </c>
      <c r="AB989" s="29">
        <f>VLOOKUP($E989,'Product Naming'!$A$1:$P$58,11,FALSE)</f>
        <v>5.6</v>
      </c>
      <c r="AC989" s="3">
        <f>VLOOKUP($E989,'Product Naming'!$A$1:$P$58,12,FALSE)</f>
        <v>68.116219999999998</v>
      </c>
      <c r="AD989" s="1">
        <f>VLOOKUP($E989,'Product Naming'!$A$1:$P$58,13,FALSE)</f>
        <v>34.07</v>
      </c>
      <c r="AE989" s="1" t="str">
        <f>VLOOKUP($E989,'Product Naming'!$A$1:$P$58,14,FALSE)</f>
        <v>Hydrocarbon</v>
      </c>
      <c r="AF989" s="1" t="str">
        <f>VLOOKUP($E989,'Product Naming'!$A$1:$P$58,15,FALSE)</f>
        <v>Acetyl-CoA</v>
      </c>
      <c r="AG989" s="30" t="str">
        <f>VLOOKUP($E989,'Product Naming'!$A$1:$P$58,16,FALSE)</f>
        <v>Diffusion</v>
      </c>
      <c r="AH989" s="3" t="str">
        <f>VLOOKUP($E989,'Product Naming'!$A$1:$Q$58,17,FALSE)</f>
        <v>iprene_c</v>
      </c>
      <c r="AI989" s="1">
        <f>VLOOKUP($E989,'Product Parameters'!$A$2:$D$59,2,FALSE)</f>
        <v>0</v>
      </c>
      <c r="AJ989" s="1">
        <f>VLOOKUP($E989,'Product Parameters'!$A$2:$D$59,3,FALSE)</f>
        <v>1</v>
      </c>
      <c r="AK989" s="1">
        <f>VLOOKUP($E989,'Product Parameters'!$A$2:$D$59,4,FALSE)</f>
        <v>0.12</v>
      </c>
      <c r="AL989" s="1">
        <f>VLOOKUP($E989,'Product Parameters'!$A$2:$E$59,5,FALSE)</f>
        <v>26.4</v>
      </c>
      <c r="AM989" s="1">
        <f>VLOOKUP($E989,'Product Parameters'!$A$2:$F$59,6,FALSE)</f>
        <v>5</v>
      </c>
      <c r="AN989" s="1">
        <f>VLOOKUP($C989,'Substrate Heating'!$A$2:$C$33,3,FALSE)</f>
        <v>1064.1143145599999</v>
      </c>
      <c r="AO989" s="1">
        <f>VLOOKUP($C989,'Substrate Heating'!$A$2:$B$33,2,FALSE)</f>
        <v>24.155999999999999</v>
      </c>
      <c r="AP989" s="1">
        <f>VLOOKUP($C989,'Substrate Heating'!$A$2:$M$33,13,FALSE)</f>
        <v>5</v>
      </c>
      <c r="AQ989" s="1">
        <f>VLOOKUP($C989,'Substrate Heating'!$A$2:$M$33,8,FALSE)</f>
        <v>2</v>
      </c>
      <c r="AR989" s="1">
        <f t="shared" si="15"/>
        <v>0.77184873949579746</v>
      </c>
    </row>
    <row r="990" spans="1:44" x14ac:dyDescent="0.2">
      <c r="A990" s="17" t="s">
        <v>323</v>
      </c>
      <c r="B990" s="18" t="s">
        <v>324</v>
      </c>
      <c r="C990" t="s">
        <v>328</v>
      </c>
      <c r="D990" s="19" t="s">
        <v>326</v>
      </c>
      <c r="E990" t="s">
        <v>240</v>
      </c>
      <c r="F990" t="s">
        <v>241</v>
      </c>
      <c r="G990">
        <v>-10</v>
      </c>
      <c r="H990">
        <v>0</v>
      </c>
      <c r="I990">
        <v>-10</v>
      </c>
      <c r="J990">
        <v>0.45</v>
      </c>
      <c r="K990">
        <v>-10</v>
      </c>
      <c r="L990">
        <v>0</v>
      </c>
      <c r="M990">
        <v>-10</v>
      </c>
      <c r="N990">
        <v>3.3333333333333401</v>
      </c>
      <c r="O990">
        <v>1.6666666666666701</v>
      </c>
      <c r="P990"/>
      <c r="Q990">
        <v>0.16666666666666699</v>
      </c>
      <c r="R990">
        <v>0.478026973026973</v>
      </c>
      <c r="S990" s="1" t="str">
        <f>VLOOKUP($E990,'Product Naming'!$A$1:$P$58,2,FALSE)</f>
        <v>Isobutanol</v>
      </c>
      <c r="T990" s="1" t="str">
        <f>VLOOKUP($E990,'Product Naming'!$A$1:$P$58,3,FALSE)</f>
        <v>Isobutanol</v>
      </c>
      <c r="U990" s="1" t="str">
        <f>VLOOKUP($E990,'Product Naming'!$A$1:$P$58,4,FALSE)</f>
        <v>E</v>
      </c>
      <c r="V990" s="1" t="str">
        <f>VLOOKUP($E990,'Product Naming'!$A$1:$P$58,5,FALSE)</f>
        <v>C5H10O</v>
      </c>
      <c r="W990" s="1">
        <f>VLOOKUP($E990,'Product Naming'!$A$1:$P$58,6,FALSE)</f>
        <v>5</v>
      </c>
      <c r="X990" s="1">
        <f>VLOOKUP($E990,'Product Naming'!$A$1:$P$58,7,FALSE)</f>
        <v>10</v>
      </c>
      <c r="Y990" s="1">
        <f>VLOOKUP($E990,'Product Naming'!$A$1:$P$58,8,FALSE)</f>
        <v>1</v>
      </c>
      <c r="Z990" s="1">
        <f>VLOOKUP($E990,'Product Naming'!$A$1:$P$58,9,FALSE)</f>
        <v>0</v>
      </c>
      <c r="AA990" s="1">
        <f>VLOOKUP($E990,'Product Naming'!$A$1:$P$58,10,FALSE)</f>
        <v>0</v>
      </c>
      <c r="AB990" s="29">
        <f>VLOOKUP($E990,'Product Naming'!$A$1:$P$58,11,FALSE)</f>
        <v>5.6</v>
      </c>
      <c r="AC990" s="3">
        <f>VLOOKUP($E990,'Product Naming'!$A$1:$P$58,12,FALSE)</f>
        <v>86.130899999999997</v>
      </c>
      <c r="AD990" s="1">
        <f>VLOOKUP($E990,'Product Naming'!$A$1:$P$58,13,FALSE)</f>
        <v>108</v>
      </c>
      <c r="AE990" s="1" t="str">
        <f>VLOOKUP($E990,'Product Naming'!$A$1:$P$58,14,FALSE)</f>
        <v>Alcohol</v>
      </c>
      <c r="AF990" s="1" t="str">
        <f>VLOOKUP($E990,'Product Naming'!$A$1:$P$58,15,FALSE)</f>
        <v>Pyruvate</v>
      </c>
      <c r="AG990" s="30" t="str">
        <f>VLOOKUP($E990,'Product Naming'!$A$1:$P$58,16,FALSE)</f>
        <v>Proton symporter</v>
      </c>
      <c r="AH990" s="3" t="str">
        <f>VLOOKUP($E990,'Product Naming'!$A$1:$Q$58,17,FALSE)</f>
        <v>ibutoh_c</v>
      </c>
      <c r="AI990" s="1">
        <f>VLOOKUP($E990,'Product Parameters'!$A$2:$D$59,2,FALSE)</f>
        <v>1</v>
      </c>
      <c r="AJ990" s="1">
        <f>VLOOKUP($E990,'Product Parameters'!$A$2:$D$59,3,FALSE)</f>
        <v>0</v>
      </c>
      <c r="AK990" s="1">
        <f>VLOOKUP($E990,'Product Parameters'!$A$2:$D$59,4,FALSE)</f>
        <v>0.12</v>
      </c>
      <c r="AL990" s="1">
        <f>VLOOKUP($E990,'Product Parameters'!$A$2:$E$59,5,FALSE)</f>
        <v>51</v>
      </c>
      <c r="AM990" s="1">
        <f>VLOOKUP($E990,'Product Parameters'!$A$2:$F$59,6,FALSE)</f>
        <v>5</v>
      </c>
      <c r="AN990" s="1">
        <f>VLOOKUP($C990,'Substrate Heating'!$A$2:$C$33,3,FALSE)</f>
        <v>262.39999999999998</v>
      </c>
      <c r="AO990" s="1">
        <f>VLOOKUP($C990,'Substrate Heating'!$A$2:$B$33,2,FALSE)</f>
        <v>17.478546483008707</v>
      </c>
      <c r="AP990" s="1">
        <f>VLOOKUP($C990,'Substrate Heating'!$A$2:$M$33,13,FALSE)</f>
        <v>1</v>
      </c>
      <c r="AQ990" s="1">
        <f>VLOOKUP($C990,'Substrate Heating'!$A$2:$M$33,8,FALSE)</f>
        <v>0.5</v>
      </c>
      <c r="AR990" s="1">
        <f t="shared" si="15"/>
        <v>1.6666666666666698</v>
      </c>
    </row>
    <row r="991" spans="1:44" x14ac:dyDescent="0.2">
      <c r="A991" s="8" t="s">
        <v>34</v>
      </c>
      <c r="B991" s="9" t="s">
        <v>35</v>
      </c>
      <c r="C991" s="1" t="s">
        <v>349</v>
      </c>
      <c r="D991" s="25" t="s">
        <v>342</v>
      </c>
      <c r="E991" s="1" t="s">
        <v>240</v>
      </c>
      <c r="F991" s="1" t="s">
        <v>241</v>
      </c>
      <c r="G991" s="1">
        <v>-10</v>
      </c>
      <c r="H991" s="1">
        <v>-20</v>
      </c>
      <c r="I991" s="1" t="s">
        <v>40</v>
      </c>
      <c r="J991" s="1">
        <v>3.15</v>
      </c>
      <c r="K991" s="1">
        <v>-10</v>
      </c>
      <c r="L991" s="1">
        <v>-3.3730734255104699E-15</v>
      </c>
      <c r="M991" s="1" t="s">
        <v>40</v>
      </c>
      <c r="N991" s="1">
        <v>16.666666666666501</v>
      </c>
      <c r="O991" s="1">
        <v>8.3333333333333002</v>
      </c>
      <c r="Q991" s="1">
        <v>0.83333333333333004</v>
      </c>
      <c r="R991" s="1">
        <v>0.47809065476586798</v>
      </c>
      <c r="S991" s="1" t="str">
        <f>VLOOKUP($E991,'Product Naming'!$A$1:$P$58,2,FALSE)</f>
        <v>Isobutanol</v>
      </c>
      <c r="T991" s="1" t="str">
        <f>VLOOKUP($E991,'Product Naming'!$A$1:$P$58,3,FALSE)</f>
        <v>Isobutanol</v>
      </c>
      <c r="U991" s="1" t="str">
        <f>VLOOKUP($E991,'Product Naming'!$A$1:$P$58,4,FALSE)</f>
        <v>E</v>
      </c>
      <c r="V991" s="1" t="str">
        <f>VLOOKUP($E991,'Product Naming'!$A$1:$P$58,5,FALSE)</f>
        <v>C5H10O</v>
      </c>
      <c r="W991" s="1">
        <f>VLOOKUP($E991,'Product Naming'!$A$1:$P$58,6,FALSE)</f>
        <v>5</v>
      </c>
      <c r="X991" s="1">
        <f>VLOOKUP($E991,'Product Naming'!$A$1:$P$58,7,FALSE)</f>
        <v>10</v>
      </c>
      <c r="Y991" s="1">
        <f>VLOOKUP($E991,'Product Naming'!$A$1:$P$58,8,FALSE)</f>
        <v>1</v>
      </c>
      <c r="Z991" s="1">
        <f>VLOOKUP($E991,'Product Naming'!$A$1:$P$58,9,FALSE)</f>
        <v>0</v>
      </c>
      <c r="AA991" s="1">
        <f>VLOOKUP($E991,'Product Naming'!$A$1:$P$58,10,FALSE)</f>
        <v>0</v>
      </c>
      <c r="AB991" s="29">
        <f>VLOOKUP($E991,'Product Naming'!$A$1:$P$58,11,FALSE)</f>
        <v>5.6</v>
      </c>
      <c r="AC991" s="3">
        <f>VLOOKUP($E991,'Product Naming'!$A$1:$P$58,12,FALSE)</f>
        <v>86.130899999999997</v>
      </c>
      <c r="AD991" s="1">
        <f>VLOOKUP($E991,'Product Naming'!$A$1:$P$58,13,FALSE)</f>
        <v>108</v>
      </c>
      <c r="AE991" s="1" t="str">
        <f>VLOOKUP($E991,'Product Naming'!$A$1:$P$58,14,FALSE)</f>
        <v>Alcohol</v>
      </c>
      <c r="AF991" s="1" t="str">
        <f>VLOOKUP($E991,'Product Naming'!$A$1:$P$58,15,FALSE)</f>
        <v>Pyruvate</v>
      </c>
      <c r="AG991" s="30" t="str">
        <f>VLOOKUP($E991,'Product Naming'!$A$1:$P$58,16,FALSE)</f>
        <v>Proton symporter</v>
      </c>
      <c r="AH991" s="3" t="str">
        <f>VLOOKUP($E991,'Product Naming'!$A$1:$Q$58,17,FALSE)</f>
        <v>ibutoh_c</v>
      </c>
      <c r="AI991" s="1">
        <f>VLOOKUP($E991,'Product Parameters'!$A$2:$D$59,2,FALSE)</f>
        <v>1</v>
      </c>
      <c r="AJ991" s="1">
        <f>VLOOKUP($E991,'Product Parameters'!$A$2:$D$59,3,FALSE)</f>
        <v>0</v>
      </c>
      <c r="AK991" s="1">
        <f>VLOOKUP($E991,'Product Parameters'!$A$2:$D$59,4,FALSE)</f>
        <v>0.12</v>
      </c>
      <c r="AL991" s="1">
        <f>VLOOKUP($E991,'Product Parameters'!$A$2:$E$59,5,FALSE)</f>
        <v>51</v>
      </c>
      <c r="AM991" s="1">
        <f>VLOOKUP($E991,'Product Parameters'!$A$2:$F$59,6,FALSE)</f>
        <v>5</v>
      </c>
      <c r="AN991" s="1">
        <f>VLOOKUP($C991,'Substrate Heating'!$A$2:$C$33,3,FALSE)</f>
        <v>2342.0279999999998</v>
      </c>
      <c r="AO991" s="1">
        <f>VLOOKUP($C991,'Substrate Heating'!$A$2:$B$33,2,FALSE)</f>
        <v>15.6</v>
      </c>
      <c r="AP991" s="1">
        <f>VLOOKUP($C991,'Substrate Heating'!$A$2:$M$33,13,FALSE)</f>
        <v>4</v>
      </c>
      <c r="AQ991" s="1">
        <f>VLOOKUP($C991,'Substrate Heating'!$A$2:$M$33,8,FALSE)</f>
        <v>5</v>
      </c>
      <c r="AR991" s="1">
        <f t="shared" si="15"/>
        <v>0.83333333333333004</v>
      </c>
    </row>
    <row r="992" spans="1:44" x14ac:dyDescent="0.2">
      <c r="A992" s="8" t="s">
        <v>34</v>
      </c>
      <c r="B992" s="9" t="s">
        <v>35</v>
      </c>
      <c r="C992" s="1" t="s">
        <v>341</v>
      </c>
      <c r="D992" s="24" t="s">
        <v>342</v>
      </c>
      <c r="E992" s="1" t="s">
        <v>240</v>
      </c>
      <c r="F992" s="1" t="s">
        <v>241</v>
      </c>
      <c r="G992" s="1">
        <v>-10</v>
      </c>
      <c r="H992" s="1">
        <v>-20</v>
      </c>
      <c r="I992" s="1" t="s">
        <v>40</v>
      </c>
      <c r="J992" s="1">
        <v>3.15</v>
      </c>
      <c r="K992" s="1">
        <v>-10</v>
      </c>
      <c r="L992" s="1">
        <v>0</v>
      </c>
      <c r="M992" s="1" t="s">
        <v>40</v>
      </c>
      <c r="N992" s="1">
        <v>20</v>
      </c>
      <c r="O992" s="1">
        <v>10</v>
      </c>
      <c r="Q992" s="1">
        <v>1</v>
      </c>
      <c r="R992" s="1">
        <v>0.47810052695419702</v>
      </c>
      <c r="S992" s="1" t="str">
        <f>VLOOKUP($E992,'Product Naming'!$A$1:$P$58,2,FALSE)</f>
        <v>Isobutanol</v>
      </c>
      <c r="T992" s="1" t="str">
        <f>VLOOKUP($E992,'Product Naming'!$A$1:$P$58,3,FALSE)</f>
        <v>Isobutanol</v>
      </c>
      <c r="U992" s="1" t="str">
        <f>VLOOKUP($E992,'Product Naming'!$A$1:$P$58,4,FALSE)</f>
        <v>E</v>
      </c>
      <c r="V992" s="1" t="str">
        <f>VLOOKUP($E992,'Product Naming'!$A$1:$P$58,5,FALSE)</f>
        <v>C5H10O</v>
      </c>
      <c r="W992" s="1">
        <f>VLOOKUP($E992,'Product Naming'!$A$1:$P$58,6,FALSE)</f>
        <v>5</v>
      </c>
      <c r="X992" s="1">
        <f>VLOOKUP($E992,'Product Naming'!$A$1:$P$58,7,FALSE)</f>
        <v>10</v>
      </c>
      <c r="Y992" s="1">
        <f>VLOOKUP($E992,'Product Naming'!$A$1:$P$58,8,FALSE)</f>
        <v>1</v>
      </c>
      <c r="Z992" s="1">
        <f>VLOOKUP($E992,'Product Naming'!$A$1:$P$58,9,FALSE)</f>
        <v>0</v>
      </c>
      <c r="AA992" s="1">
        <f>VLOOKUP($E992,'Product Naming'!$A$1:$P$58,10,FALSE)</f>
        <v>0</v>
      </c>
      <c r="AB992" s="29">
        <f>VLOOKUP($E992,'Product Naming'!$A$1:$P$58,11,FALSE)</f>
        <v>5.6</v>
      </c>
      <c r="AC992" s="3">
        <f>VLOOKUP($E992,'Product Naming'!$A$1:$P$58,12,FALSE)</f>
        <v>86.130899999999997</v>
      </c>
      <c r="AD992" s="1">
        <f>VLOOKUP($E992,'Product Naming'!$A$1:$P$58,13,FALSE)</f>
        <v>108</v>
      </c>
      <c r="AE992" s="1" t="str">
        <f>VLOOKUP($E992,'Product Naming'!$A$1:$P$58,14,FALSE)</f>
        <v>Alcohol</v>
      </c>
      <c r="AF992" s="1" t="str">
        <f>VLOOKUP($E992,'Product Naming'!$A$1:$P$58,15,FALSE)</f>
        <v>Pyruvate</v>
      </c>
      <c r="AG992" s="30" t="str">
        <f>VLOOKUP($E992,'Product Naming'!$A$1:$P$58,16,FALSE)</f>
        <v>Proton symporter</v>
      </c>
      <c r="AH992" s="3" t="str">
        <f>VLOOKUP($E992,'Product Naming'!$A$1:$Q$58,17,FALSE)</f>
        <v>ibutoh_c</v>
      </c>
      <c r="AI992" s="1">
        <f>VLOOKUP($E992,'Product Parameters'!$A$2:$D$59,2,FALSE)</f>
        <v>1</v>
      </c>
      <c r="AJ992" s="1">
        <f>VLOOKUP($E992,'Product Parameters'!$A$2:$D$59,3,FALSE)</f>
        <v>0</v>
      </c>
      <c r="AK992" s="1">
        <f>VLOOKUP($E992,'Product Parameters'!$A$2:$D$59,4,FALSE)</f>
        <v>0.12</v>
      </c>
      <c r="AL992" s="1">
        <f>VLOOKUP($E992,'Product Parameters'!$A$2:$E$59,5,FALSE)</f>
        <v>51</v>
      </c>
      <c r="AM992" s="1">
        <f>VLOOKUP($E992,'Product Parameters'!$A$2:$F$59,6,FALSE)</f>
        <v>5</v>
      </c>
      <c r="AN992" s="1">
        <f>VLOOKUP($C992,'Substrate Heating'!$A$2:$C$33,3,FALSE)</f>
        <v>2828.4492</v>
      </c>
      <c r="AO992" s="1">
        <f>VLOOKUP($C992,'Substrate Heating'!$A$2:$B$33,2,FALSE)</f>
        <v>15.7</v>
      </c>
      <c r="AP992" s="1">
        <f>VLOOKUP($C992,'Substrate Heating'!$A$2:$M$33,13,FALSE)</f>
        <v>4</v>
      </c>
      <c r="AQ992" s="1">
        <f>VLOOKUP($C992,'Substrate Heating'!$A$2:$M$33,8,FALSE)</f>
        <v>6</v>
      </c>
      <c r="AR992" s="1">
        <f t="shared" si="15"/>
        <v>0.83333333333333337</v>
      </c>
    </row>
    <row r="993" spans="1:44" x14ac:dyDescent="0.2">
      <c r="A993" s="17" t="s">
        <v>231</v>
      </c>
      <c r="B993" s="9" t="s">
        <v>35</v>
      </c>
      <c r="C993" t="s">
        <v>36</v>
      </c>
      <c r="D993" s="10" t="s">
        <v>37</v>
      </c>
      <c r="E993" t="s">
        <v>236</v>
      </c>
      <c r="F993" t="s">
        <v>237</v>
      </c>
      <c r="G993">
        <v>-10</v>
      </c>
      <c r="H993">
        <v>-20</v>
      </c>
      <c r="I993" s="1" t="s">
        <v>40</v>
      </c>
      <c r="J993">
        <v>3.15</v>
      </c>
      <c r="K993">
        <v>-10</v>
      </c>
      <c r="L993">
        <v>-1.7584507042253501</v>
      </c>
      <c r="M993" s="1" t="s">
        <v>40</v>
      </c>
      <c r="N993">
        <v>5.3211267605633799</v>
      </c>
      <c r="O993">
        <v>2.4464788732394398</v>
      </c>
      <c r="P993"/>
      <c r="Q993">
        <v>0.24464788732394399</v>
      </c>
      <c r="R993">
        <v>0.47857968118272698</v>
      </c>
      <c r="S993" s="1" t="str">
        <f>VLOOKUP($E993,'Product Naming'!$A$1:$P$58,2,FALSE)</f>
        <v>Hexane</v>
      </c>
      <c r="T993" s="1" t="str">
        <f>VLOOKUP($E993,'Product Naming'!$A$1:$P$58,3,FALSE)</f>
        <v>Hexane</v>
      </c>
      <c r="U993" s="1" t="str">
        <f>VLOOKUP($E993,'Product Naming'!$A$1:$P$58,4,FALSE)</f>
        <v>E</v>
      </c>
      <c r="V993" s="1" t="str">
        <f>VLOOKUP($E993,'Product Naming'!$A$1:$P$58,5,FALSE)</f>
        <v>C6H14</v>
      </c>
      <c r="W993" s="1">
        <f>VLOOKUP($E993,'Product Naming'!$A$1:$P$58,6,FALSE)</f>
        <v>6</v>
      </c>
      <c r="X993" s="1">
        <f>VLOOKUP($E993,'Product Naming'!$A$1:$P$58,7,FALSE)</f>
        <v>14</v>
      </c>
      <c r="Y993" s="1">
        <f>VLOOKUP($E993,'Product Naming'!$A$1:$P$58,8,FALSE)</f>
        <v>0</v>
      </c>
      <c r="Z993" s="1">
        <f>VLOOKUP($E993,'Product Naming'!$A$1:$P$58,9,FALSE)</f>
        <v>0</v>
      </c>
      <c r="AA993" s="1">
        <f>VLOOKUP($E993,'Product Naming'!$A$1:$P$58,10,FALSE)</f>
        <v>0</v>
      </c>
      <c r="AB993" s="29">
        <f>VLOOKUP($E993,'Product Naming'!$A$1:$P$58,11,FALSE)</f>
        <v>6.333333333333333</v>
      </c>
      <c r="AC993" s="3">
        <f>VLOOKUP($E993,'Product Naming'!$A$1:$P$58,12,FALSE)</f>
        <v>86.173959999999994</v>
      </c>
      <c r="AD993" s="1">
        <f>VLOOKUP($E993,'Product Naming'!$A$1:$P$58,13,FALSE)</f>
        <v>69</v>
      </c>
      <c r="AE993" s="1" t="str">
        <f>VLOOKUP($E993,'Product Naming'!$A$1:$P$58,14,FALSE)</f>
        <v>Hydrocarbon (alkane)</v>
      </c>
      <c r="AF993" s="1" t="str">
        <f>VLOOKUP($E993,'Product Naming'!$A$1:$P$58,15,FALSE)</f>
        <v>Acetyl-CoA + Succinyl-CoA</v>
      </c>
      <c r="AG993" s="30" t="str">
        <f>VLOOKUP($E993,'Product Naming'!$A$1:$P$58,16,FALSE)</f>
        <v>Proton symporter</v>
      </c>
      <c r="AH993" s="3" t="str">
        <f>VLOOKUP($E993,'Product Naming'!$A$1:$Q$58,17,FALSE)</f>
        <v>hex_c</v>
      </c>
      <c r="AI993" s="1">
        <f>VLOOKUP($E993,'Product Parameters'!$A$2:$D$59,2,FALSE)</f>
        <v>1</v>
      </c>
      <c r="AJ993" s="1">
        <f>VLOOKUP($E993,'Product Parameters'!$A$2:$D$59,3,FALSE)</f>
        <v>0</v>
      </c>
      <c r="AK993" s="1">
        <f>VLOOKUP($E993,'Product Parameters'!$A$2:$D$59,4,FALSE)</f>
        <v>0.12</v>
      </c>
      <c r="AL993" s="1">
        <f>VLOOKUP($E993,'Product Parameters'!$A$2:$E$59,5,FALSE)</f>
        <v>31</v>
      </c>
      <c r="AM993" s="1">
        <f>VLOOKUP($E993,'Product Parameters'!$A$2:$F$59,6,FALSE)</f>
        <v>6</v>
      </c>
      <c r="AN993" s="1">
        <f>VLOOKUP($C993,'Substrate Heating'!$A$2:$C$33,3,FALSE)</f>
        <v>1064.1143145599999</v>
      </c>
      <c r="AO993" s="1">
        <f>VLOOKUP($C993,'Substrate Heating'!$A$2:$B$33,2,FALSE)</f>
        <v>24.155999999999999</v>
      </c>
      <c r="AP993" s="1">
        <f>VLOOKUP($C993,'Substrate Heating'!$A$2:$M$33,13,FALSE)</f>
        <v>5</v>
      </c>
      <c r="AQ993" s="1">
        <f>VLOOKUP($C993,'Substrate Heating'!$A$2:$M$33,8,FALSE)</f>
        <v>2</v>
      </c>
      <c r="AR993" s="1">
        <f t="shared" si="15"/>
        <v>0.73394366197183203</v>
      </c>
    </row>
    <row r="994" spans="1:44" x14ac:dyDescent="0.2">
      <c r="A994" s="8" t="s">
        <v>34</v>
      </c>
      <c r="B994" s="9" t="s">
        <v>35</v>
      </c>
      <c r="C994" s="1" t="s">
        <v>36</v>
      </c>
      <c r="D994" s="10" t="s">
        <v>37</v>
      </c>
      <c r="E994" s="1" t="s">
        <v>204</v>
      </c>
      <c r="F994" s="1" t="s">
        <v>205</v>
      </c>
      <c r="G994" s="1">
        <v>-10</v>
      </c>
      <c r="H994" s="1">
        <v>-20</v>
      </c>
      <c r="I994" s="1" t="s">
        <v>40</v>
      </c>
      <c r="J994" s="1">
        <v>3.15</v>
      </c>
      <c r="K994" s="1">
        <v>-10</v>
      </c>
      <c r="L994" s="1">
        <v>-3.32752808988764</v>
      </c>
      <c r="M994" s="1" t="s">
        <v>40</v>
      </c>
      <c r="N994" s="1">
        <v>4.5196629213483099</v>
      </c>
      <c r="O994" s="1">
        <v>1.0320224719101101</v>
      </c>
      <c r="Q994" s="1">
        <v>0.103202247191011</v>
      </c>
      <c r="R994" s="1">
        <v>0.47873776036353399</v>
      </c>
      <c r="S994" s="1" t="str">
        <f>VLOOKUP($E994,'Product Naming'!$A$1:$P$58,2,FALSE)</f>
        <v>Farnesene</v>
      </c>
      <c r="T994" s="1" t="str">
        <f>VLOOKUP($E994,'Product Naming'!$A$1:$P$58,3,FALSE)</f>
        <v>Farnesene</v>
      </c>
      <c r="U994" s="1" t="str">
        <f>VLOOKUP($E994,'Product Naming'!$A$1:$P$58,4,FALSE)</f>
        <v>A</v>
      </c>
      <c r="V994" s="1" t="str">
        <f>VLOOKUP($E994,'Product Naming'!$A$1:$P$58,5,FALSE)</f>
        <v>C15H24</v>
      </c>
      <c r="W994" s="1">
        <f>VLOOKUP($E994,'Product Naming'!$A$1:$P$58,6,FALSE)</f>
        <v>15</v>
      </c>
      <c r="X994" s="1">
        <f>VLOOKUP($E994,'Product Naming'!$A$1:$P$58,7,FALSE)</f>
        <v>24</v>
      </c>
      <c r="Y994" s="1">
        <f>VLOOKUP($E994,'Product Naming'!$A$1:$P$58,8,FALSE)</f>
        <v>0</v>
      </c>
      <c r="Z994" s="1">
        <f>VLOOKUP($E994,'Product Naming'!$A$1:$P$58,9,FALSE)</f>
        <v>0</v>
      </c>
      <c r="AA994" s="1">
        <f>VLOOKUP($E994,'Product Naming'!$A$1:$P$58,10,FALSE)</f>
        <v>0</v>
      </c>
      <c r="AB994" s="29">
        <f>VLOOKUP($E994,'Product Naming'!$A$1:$P$58,11,FALSE)</f>
        <v>5.6</v>
      </c>
      <c r="AC994" s="3">
        <f>VLOOKUP($E994,'Product Naming'!$A$1:$P$58,12,FALSE)</f>
        <v>204.34866000000002</v>
      </c>
      <c r="AD994" s="1" t="str">
        <f>VLOOKUP($E994,'Product Naming'!$A$1:$P$58,13,FALSE)</f>
        <v>260 (A)/272 (B)</v>
      </c>
      <c r="AE994" s="1" t="str">
        <f>VLOOKUP($E994,'Product Naming'!$A$1:$P$58,14,FALSE)</f>
        <v>Hydrocarbon</v>
      </c>
      <c r="AF994" s="1" t="str">
        <f>VLOOKUP($E994,'Product Naming'!$A$1:$P$58,15,FALSE)</f>
        <v>Acetyl-CoA</v>
      </c>
      <c r="AG994" s="30" t="str">
        <f>VLOOKUP($E994,'Product Naming'!$A$1:$P$58,16,FALSE)</f>
        <v>Proton symporter</v>
      </c>
      <c r="AH994" s="3" t="str">
        <f>VLOOKUP($E994,'Product Naming'!$A$1:$Q$58,17,FALSE)</f>
        <v>frene_c</v>
      </c>
      <c r="AI994" s="1">
        <f>VLOOKUP($E994,'Product Parameters'!$A$2:$D$59,2,FALSE)</f>
        <v>1</v>
      </c>
      <c r="AJ994" s="1">
        <f>VLOOKUP($E994,'Product Parameters'!$A$2:$D$59,3,FALSE)</f>
        <v>0</v>
      </c>
      <c r="AK994" s="1">
        <f>VLOOKUP($E994,'Product Parameters'!$A$2:$D$59,4,FALSE)</f>
        <v>0.12</v>
      </c>
      <c r="AL994" s="1">
        <f>VLOOKUP($E994,'Product Parameters'!$A$2:$E$59,5,FALSE)</f>
        <v>0</v>
      </c>
      <c r="AM994" s="1">
        <f>VLOOKUP($E994,'Product Parameters'!$A$2:$F$59,6,FALSE)</f>
        <v>15</v>
      </c>
      <c r="AN994" s="1">
        <f>VLOOKUP($C994,'Substrate Heating'!$A$2:$C$33,3,FALSE)</f>
        <v>1064.1143145599999</v>
      </c>
      <c r="AO994" s="1">
        <f>VLOOKUP($C994,'Substrate Heating'!$A$2:$B$33,2,FALSE)</f>
        <v>24.155999999999999</v>
      </c>
      <c r="AP994" s="1">
        <f>VLOOKUP($C994,'Substrate Heating'!$A$2:$M$33,13,FALSE)</f>
        <v>5</v>
      </c>
      <c r="AQ994" s="1">
        <f>VLOOKUP($C994,'Substrate Heating'!$A$2:$M$33,8,FALSE)</f>
        <v>2</v>
      </c>
      <c r="AR994" s="1">
        <f t="shared" si="15"/>
        <v>0.77401685393258246</v>
      </c>
    </row>
    <row r="995" spans="1:44" x14ac:dyDescent="0.2">
      <c r="A995" s="8" t="s">
        <v>816</v>
      </c>
      <c r="B995" s="18" t="s">
        <v>324</v>
      </c>
      <c r="C995" t="s">
        <v>815</v>
      </c>
      <c r="D995" s="19" t="s">
        <v>326</v>
      </c>
      <c r="E995" t="s">
        <v>225</v>
      </c>
      <c r="F995" t="s">
        <v>226</v>
      </c>
      <c r="G995">
        <v>-10</v>
      </c>
      <c r="H995">
        <v>0</v>
      </c>
      <c r="I995">
        <v>0</v>
      </c>
      <c r="J995">
        <v>0.45</v>
      </c>
      <c r="K995">
        <v>16.675862070000001</v>
      </c>
      <c r="L995">
        <v>0</v>
      </c>
      <c r="M995">
        <v>0</v>
      </c>
      <c r="N995">
        <v>16.675862070000001</v>
      </c>
      <c r="O995">
        <v>3.3241379310000001</v>
      </c>
      <c r="P995"/>
      <c r="Q995">
        <v>0.199338296</v>
      </c>
      <c r="R995">
        <v>0.47929280600000002</v>
      </c>
      <c r="S995" s="1" t="str">
        <f>VLOOKUP($E995,'Product Naming'!$A$1:$P$58,2,FALSE)</f>
        <v>Glycolate</v>
      </c>
      <c r="T995" s="1" t="str">
        <f>VLOOKUP($E995,'Product Naming'!$A$1:$P$58,3,FALSE)</f>
        <v>Glycolate</v>
      </c>
      <c r="U995" s="1" t="str">
        <f>VLOOKUP($E995,'Product Naming'!$A$1:$P$58,4,FALSE)</f>
        <v>iJO1366</v>
      </c>
      <c r="V995" s="1" t="str">
        <f>VLOOKUP($E995,'Product Naming'!$A$1:$P$58,5,FALSE)</f>
        <v>C2H3O3</v>
      </c>
      <c r="W995" s="1">
        <f>VLOOKUP($E995,'Product Naming'!$A$1:$P$58,6,FALSE)</f>
        <v>2</v>
      </c>
      <c r="X995" s="1">
        <f>VLOOKUP($E995,'Product Naming'!$A$1:$P$58,7,FALSE)</f>
        <v>3</v>
      </c>
      <c r="Y995" s="1">
        <f>VLOOKUP($E995,'Product Naming'!$A$1:$P$58,8,FALSE)</f>
        <v>3</v>
      </c>
      <c r="Z995" s="1">
        <f>VLOOKUP($E995,'Product Naming'!$A$1:$P$58,9,FALSE)</f>
        <v>0</v>
      </c>
      <c r="AA995" s="1">
        <f>VLOOKUP($E995,'Product Naming'!$A$1:$P$58,10,FALSE)</f>
        <v>-1</v>
      </c>
      <c r="AB995" s="29">
        <f>VLOOKUP($E995,'Product Naming'!$A$1:$P$58,11,FALSE)</f>
        <v>2.5</v>
      </c>
      <c r="AC995" s="3">
        <f>VLOOKUP($E995,'Product Naming'!$A$1:$P$58,12,FALSE)</f>
        <v>75.041920000000005</v>
      </c>
      <c r="AD995" s="1">
        <f>VLOOKUP($E995,'Product Naming'!$A$1:$P$58,13,FALSE)</f>
        <v>112</v>
      </c>
      <c r="AE995" s="1" t="str">
        <f>VLOOKUP($E995,'Product Naming'!$A$1:$P$58,14,FALSE)</f>
        <v>Carboxylate + Alcohol (hydroxy carboxylate)</v>
      </c>
      <c r="AF995" s="1" t="str">
        <f>VLOOKUP($E995,'Product Naming'!$A$1:$P$58,15,FALSE)</f>
        <v>Glyoxylate (*isocitrate)</v>
      </c>
      <c r="AG995" s="30" t="str">
        <f>VLOOKUP($E995,'Product Naming'!$A$1:$P$58,16,FALSE)</f>
        <v>Proton symporter</v>
      </c>
      <c r="AH995" s="3" t="str">
        <f>VLOOKUP($E995,'Product Naming'!$A$1:$Q$58,17,FALSE)</f>
        <v>glyclt_c</v>
      </c>
      <c r="AI995" s="1">
        <f>VLOOKUP($E995,'Product Parameters'!$A$2:$D$59,2,FALSE)</f>
        <v>1</v>
      </c>
      <c r="AJ995" s="1">
        <f>VLOOKUP($E995,'Product Parameters'!$A$2:$D$59,3,FALSE)</f>
        <v>0</v>
      </c>
      <c r="AK995" s="1">
        <f>VLOOKUP($E995,'Product Parameters'!$A$2:$D$59,4,FALSE)</f>
        <v>0.12</v>
      </c>
      <c r="AL995" s="1">
        <f>VLOOKUP($E995,'Product Parameters'!$A$2:$E$59,5,FALSE)</f>
        <v>40.65</v>
      </c>
      <c r="AM995" s="1">
        <f>VLOOKUP($E995,'Product Parameters'!$A$2:$F$59,6,FALSE)</f>
        <v>2</v>
      </c>
      <c r="AN995" s="1">
        <f>VLOOKUP($C995,'Substrate Heating'!$A$2:$C$33,3,FALSE)</f>
        <v>226.4</v>
      </c>
      <c r="AO995" s="1">
        <f>VLOOKUP($C995,'Substrate Heating'!$A$2:$B$33,2,FALSE)</f>
        <v>7.2542014450728134</v>
      </c>
      <c r="AP995" s="1">
        <f>VLOOKUP($C995,'Substrate Heating'!$A$2:$M$33,13,FALSE)</f>
        <v>1.6</v>
      </c>
      <c r="AQ995" s="1">
        <f>VLOOKUP($C995,'Substrate Heating'!$A$2:$M$33,8,FALSE)</f>
        <v>1</v>
      </c>
      <c r="AR995" s="1">
        <f t="shared" si="15"/>
        <v>0.398676592</v>
      </c>
    </row>
    <row r="996" spans="1:44" x14ac:dyDescent="0.2">
      <c r="A996" s="17" t="s">
        <v>185</v>
      </c>
      <c r="B996" s="9" t="s">
        <v>35</v>
      </c>
      <c r="C996" t="s">
        <v>36</v>
      </c>
      <c r="D996" s="10" t="s">
        <v>37</v>
      </c>
      <c r="E996" t="s">
        <v>259</v>
      </c>
      <c r="F996" t="s">
        <v>260</v>
      </c>
      <c r="G996">
        <v>-10</v>
      </c>
      <c r="H996">
        <v>-20</v>
      </c>
      <c r="I996" s="1" t="s">
        <v>40</v>
      </c>
      <c r="J996">
        <v>3.15</v>
      </c>
      <c r="K996">
        <v>-10</v>
      </c>
      <c r="L996">
        <v>-3.2970464135020898</v>
      </c>
      <c r="M996" s="1" t="s">
        <v>40</v>
      </c>
      <c r="N996">
        <v>4.4978902953586397</v>
      </c>
      <c r="O996">
        <v>1.55021097046413</v>
      </c>
      <c r="P996"/>
      <c r="Q996">
        <v>0.15502109704641301</v>
      </c>
      <c r="R996">
        <v>0.47941109054688602</v>
      </c>
      <c r="S996" s="1" t="str">
        <f>VLOOKUP($E996,'Product Naming'!$A$1:$P$58,2,FALSE)</f>
        <v>Limonene</v>
      </c>
      <c r="T996" s="1" t="str">
        <f>VLOOKUP($E996,'Product Naming'!$A$1:$P$58,3,FALSE)</f>
        <v>Limonene</v>
      </c>
      <c r="U996" s="1" t="str">
        <f>VLOOKUP($E996,'Product Naming'!$A$1:$P$58,4,FALSE)</f>
        <v>E</v>
      </c>
      <c r="V996" s="1" t="str">
        <f>VLOOKUP($E996,'Product Naming'!$A$1:$P$58,5,FALSE)</f>
        <v>C10H16</v>
      </c>
      <c r="W996" s="1">
        <f>VLOOKUP($E996,'Product Naming'!$A$1:$P$58,6,FALSE)</f>
        <v>10</v>
      </c>
      <c r="X996" s="1">
        <f>VLOOKUP($E996,'Product Naming'!$A$1:$P$58,7,FALSE)</f>
        <v>16</v>
      </c>
      <c r="Y996" s="1">
        <f>VLOOKUP($E996,'Product Naming'!$A$1:$P$58,8,FALSE)</f>
        <v>0</v>
      </c>
      <c r="Z996" s="1">
        <f>VLOOKUP($E996,'Product Naming'!$A$1:$P$58,9,FALSE)</f>
        <v>0</v>
      </c>
      <c r="AA996" s="1">
        <f>VLOOKUP($E996,'Product Naming'!$A$1:$P$58,10,FALSE)</f>
        <v>0</v>
      </c>
      <c r="AB996" s="29">
        <f>VLOOKUP($E996,'Product Naming'!$A$1:$P$58,11,FALSE)</f>
        <v>5.6</v>
      </c>
      <c r="AC996" s="3">
        <f>VLOOKUP($E996,'Product Naming'!$A$1:$P$58,12,FALSE)</f>
        <v>136.23244</v>
      </c>
      <c r="AD996" s="1">
        <f>VLOOKUP($E996,'Product Naming'!$A$1:$P$58,13,FALSE)</f>
        <v>176</v>
      </c>
      <c r="AE996" s="1" t="str">
        <f>VLOOKUP($E996,'Product Naming'!$A$1:$P$58,14,FALSE)</f>
        <v>Isoprenoid; Aromatic (Cycloalkane)</v>
      </c>
      <c r="AF996" s="1" t="str">
        <f>VLOOKUP($E996,'Product Naming'!$A$1:$P$58,15,FALSE)</f>
        <v>Acetyl-CoA</v>
      </c>
      <c r="AG996" s="30" t="str">
        <f>VLOOKUP($E996,'Product Naming'!$A$1:$P$58,16,FALSE)</f>
        <v>Proton symporter</v>
      </c>
      <c r="AH996" s="3" t="str">
        <f>VLOOKUP($E996,'Product Naming'!$A$1:$Q$58,17,FALSE)</f>
        <v>limnen_c</v>
      </c>
      <c r="AI996" s="1">
        <f>VLOOKUP($E996,'Product Parameters'!$A$2:$D$59,2,FALSE)</f>
        <v>1</v>
      </c>
      <c r="AJ996" s="1">
        <f>VLOOKUP($E996,'Product Parameters'!$A$2:$D$59,3,FALSE)</f>
        <v>0</v>
      </c>
      <c r="AK996" s="1">
        <f>VLOOKUP($E996,'Product Parameters'!$A$2:$D$59,4,FALSE)</f>
        <v>0.12</v>
      </c>
      <c r="AL996" s="1">
        <f>VLOOKUP($E996,'Product Parameters'!$A$2:$E$59,5,FALSE)</f>
        <v>49.5</v>
      </c>
      <c r="AM996" s="1">
        <f>VLOOKUP($E996,'Product Parameters'!$A$2:$F$59,6,FALSE)</f>
        <v>10</v>
      </c>
      <c r="AN996" s="1">
        <f>VLOOKUP($C996,'Substrate Heating'!$A$2:$C$33,3,FALSE)</f>
        <v>1064.1143145599999</v>
      </c>
      <c r="AO996" s="1">
        <f>VLOOKUP($C996,'Substrate Heating'!$A$2:$B$33,2,FALSE)</f>
        <v>24.155999999999999</v>
      </c>
      <c r="AP996" s="1">
        <f>VLOOKUP($C996,'Substrate Heating'!$A$2:$M$33,13,FALSE)</f>
        <v>5</v>
      </c>
      <c r="AQ996" s="1">
        <f>VLOOKUP($C996,'Substrate Heating'!$A$2:$M$33,8,FALSE)</f>
        <v>2</v>
      </c>
      <c r="AR996" s="1">
        <f t="shared" si="15"/>
        <v>0.77510548523206502</v>
      </c>
    </row>
    <row r="997" spans="1:44" x14ac:dyDescent="0.2">
      <c r="A997" s="8" t="s">
        <v>34</v>
      </c>
      <c r="B997" s="9" t="s">
        <v>35</v>
      </c>
      <c r="C997" s="1" t="s">
        <v>348</v>
      </c>
      <c r="D997" s="23" t="s">
        <v>338</v>
      </c>
      <c r="E997" s="1" t="s">
        <v>85</v>
      </c>
      <c r="F997" s="1" t="s">
        <v>86</v>
      </c>
      <c r="G997" s="1">
        <v>-10</v>
      </c>
      <c r="H997" s="1">
        <v>-20</v>
      </c>
      <c r="I997" s="1" t="s">
        <v>40</v>
      </c>
      <c r="J997" s="1">
        <v>3.15</v>
      </c>
      <c r="K997" s="1">
        <v>-10</v>
      </c>
      <c r="L997" s="1">
        <v>-5.6182692307692301</v>
      </c>
      <c r="M997" s="1" t="s">
        <v>40</v>
      </c>
      <c r="N997" s="1">
        <v>3.1769230769230798</v>
      </c>
      <c r="O997" s="1">
        <v>1.70576923076923</v>
      </c>
      <c r="Q997" s="1">
        <v>0.17057692307692299</v>
      </c>
      <c r="R997" s="1">
        <v>0.479767393655324</v>
      </c>
      <c r="S997" s="1" t="str">
        <f>VLOOKUP($E997,'Product Naming'!$A$1:$P$58,2,FALSE)</f>
        <v>2-3-butanediol</v>
      </c>
      <c r="T997" s="1" t="str">
        <f>VLOOKUP($E997,'Product Naming'!$A$1:$P$58,3,FALSE)</f>
        <v>2,3-Butanediol</v>
      </c>
      <c r="U997" s="1" t="str">
        <f>VLOOKUP($E997,'Product Naming'!$A$1:$P$58,4,FALSE)</f>
        <v>E</v>
      </c>
      <c r="V997" s="1" t="str">
        <f>VLOOKUP($E997,'Product Naming'!$A$1:$P$58,5,FALSE)</f>
        <v>C4H10O2</v>
      </c>
      <c r="W997" s="1">
        <f>VLOOKUP($E997,'Product Naming'!$A$1:$P$58,6,FALSE)</f>
        <v>4</v>
      </c>
      <c r="X997" s="1">
        <f>VLOOKUP($E997,'Product Naming'!$A$1:$P$58,7,FALSE)</f>
        <v>10</v>
      </c>
      <c r="Y997" s="1">
        <f>VLOOKUP($E997,'Product Naming'!$A$1:$P$58,8,FALSE)</f>
        <v>2</v>
      </c>
      <c r="Z997" s="1">
        <f>VLOOKUP($E997,'Product Naming'!$A$1:$P$58,9,FALSE)</f>
        <v>0</v>
      </c>
      <c r="AA997" s="1">
        <f>VLOOKUP($E997,'Product Naming'!$A$1:$P$58,10,FALSE)</f>
        <v>0</v>
      </c>
      <c r="AB997" s="29">
        <f>VLOOKUP($E997,'Product Naming'!$A$1:$P$58,11,FALSE)</f>
        <v>5.5</v>
      </c>
      <c r="AC997" s="3">
        <f>VLOOKUP($E997,'Product Naming'!$A$1:$P$58,12,FALSE)</f>
        <v>90.119200000000006</v>
      </c>
      <c r="AD997" s="1">
        <f>VLOOKUP($E997,'Product Naming'!$A$1:$P$58,13,FALSE)</f>
        <v>177</v>
      </c>
      <c r="AE997" s="1" t="str">
        <f>VLOOKUP($E997,'Product Naming'!$A$1:$P$58,14,FALSE)</f>
        <v>Diol</v>
      </c>
      <c r="AF997" s="1" t="str">
        <f>VLOOKUP($E997,'Product Naming'!$A$1:$P$58,15,FALSE)</f>
        <v>Pyruvate</v>
      </c>
      <c r="AG997" s="30" t="str">
        <f>VLOOKUP($E997,'Product Naming'!$A$1:$P$58,16,FALSE)</f>
        <v>Proton symporter</v>
      </c>
      <c r="AH997" s="3" t="str">
        <f>VLOOKUP($E997,'Product Naming'!$A$1:$Q$58,17,FALSE)</f>
        <v>btd_RR_c</v>
      </c>
      <c r="AI997" s="1">
        <f>VLOOKUP($E997,'Product Parameters'!$A$2:$D$59,2,FALSE)</f>
        <v>1</v>
      </c>
      <c r="AJ997" s="1">
        <f>VLOOKUP($E997,'Product Parameters'!$A$2:$D$59,3,FALSE)</f>
        <v>0</v>
      </c>
      <c r="AK997" s="1">
        <f>VLOOKUP($E997,'Product Parameters'!$A$2:$D$59,4,FALSE)</f>
        <v>0.12</v>
      </c>
      <c r="AL997" s="1">
        <f>VLOOKUP($E997,'Product Parameters'!$A$2:$E$59,5,FALSE)</f>
        <v>63</v>
      </c>
      <c r="AM997" s="1">
        <f>VLOOKUP($E997,'Product Parameters'!$A$2:$F$59,6,FALSE)</f>
        <v>4</v>
      </c>
      <c r="AN997" s="1">
        <f>VLOOKUP($C997,'Substrate Heating'!$A$2:$C$33,3,FALSE)</f>
        <v>638.57832580000002</v>
      </c>
      <c r="AO997" s="1">
        <f>VLOOKUP($C997,'Substrate Heating'!$A$2:$B$33,2,FALSE)</f>
        <v>19.93</v>
      </c>
      <c r="AP997" s="1">
        <f>VLOOKUP($C997,'Substrate Heating'!$A$2:$M$33,13,FALSE)</f>
        <v>6</v>
      </c>
      <c r="AQ997" s="1">
        <f>VLOOKUP($C997,'Substrate Heating'!$A$2:$M$33,8,FALSE)</f>
        <v>1</v>
      </c>
      <c r="AR997" s="1">
        <f t="shared" si="15"/>
        <v>0.68230769230769195</v>
      </c>
    </row>
    <row r="998" spans="1:44" x14ac:dyDescent="0.2">
      <c r="A998" s="8" t="s">
        <v>807</v>
      </c>
      <c r="B998" s="18" t="s">
        <v>324</v>
      </c>
      <c r="C998" t="s">
        <v>371</v>
      </c>
      <c r="D998" s="23" t="s">
        <v>338</v>
      </c>
      <c r="E998" t="s">
        <v>264</v>
      </c>
      <c r="F998" t="s">
        <v>265</v>
      </c>
      <c r="G998">
        <v>-10</v>
      </c>
      <c r="H998">
        <v>0</v>
      </c>
      <c r="I998">
        <v>0</v>
      </c>
      <c r="J998">
        <v>0.45</v>
      </c>
      <c r="K998">
        <v>-10</v>
      </c>
      <c r="L998">
        <v>0</v>
      </c>
      <c r="M998">
        <v>4.0751173708920101</v>
      </c>
      <c r="N998">
        <v>0</v>
      </c>
      <c r="O998">
        <v>1.0187793427230001</v>
      </c>
      <c r="P998"/>
      <c r="Q998">
        <v>0.10187793427230001</v>
      </c>
      <c r="R998">
        <v>0.48033220606506899</v>
      </c>
      <c r="S998" s="1" t="str">
        <f>VLOOKUP($E998,'Product Naming'!$A$1:$P$58,2,FALSE)</f>
        <v>Lysine_L</v>
      </c>
      <c r="T998" s="1" t="str">
        <f>VLOOKUP($E998,'Product Naming'!$A$1:$P$58,3,FALSE)</f>
        <v>L-Lysine</v>
      </c>
      <c r="U998" s="1" t="str">
        <f>VLOOKUP($E998,'Product Naming'!$A$1:$P$58,4,FALSE)</f>
        <v>iJO1366</v>
      </c>
      <c r="V998" s="1" t="str">
        <f>VLOOKUP($E998,'Product Naming'!$A$1:$P$58,5,FALSE)</f>
        <v>C6H15N2O2</v>
      </c>
      <c r="W998" s="1">
        <f>VLOOKUP($E998,'Product Naming'!$A$1:$P$58,6,FALSE)</f>
        <v>6</v>
      </c>
      <c r="X998" s="1">
        <f>VLOOKUP($E998,'Product Naming'!$A$1:$P$58,7,FALSE)</f>
        <v>15</v>
      </c>
      <c r="Y998" s="1">
        <f>VLOOKUP($E998,'Product Naming'!$A$1:$P$58,8,FALSE)</f>
        <v>2</v>
      </c>
      <c r="Z998" s="1">
        <f>VLOOKUP($E998,'Product Naming'!$A$1:$P$58,9,FALSE)</f>
        <v>2</v>
      </c>
      <c r="AA998" s="1">
        <f>VLOOKUP($E998,'Product Naming'!$A$1:$P$58,10,FALSE)</f>
        <v>1</v>
      </c>
      <c r="AB998" s="29">
        <f>VLOOKUP($E998,'Product Naming'!$A$1:$P$58,11,FALSE)</f>
        <v>4.833333333333333</v>
      </c>
      <c r="AC998" s="3">
        <f>VLOOKUP($E998,'Product Naming'!$A$1:$P$58,12,FALSE)</f>
        <v>147.19319999999999</v>
      </c>
      <c r="AD998" s="1" t="str">
        <f>VLOOKUP($E998,'Product Naming'!$A$1:$P$58,13,FALSE)</f>
        <v>NA</v>
      </c>
      <c r="AE998" s="1" t="str">
        <f>VLOOKUP($E998,'Product Naming'!$A$1:$P$58,14,FALSE)</f>
        <v>Amino acid</v>
      </c>
      <c r="AF998" s="1" t="str">
        <f>VLOOKUP($E998,'Product Naming'!$A$1:$P$58,15,FALSE)</f>
        <v>Oxaloacetate</v>
      </c>
      <c r="AG998" s="30" t="str">
        <f>VLOOKUP($E998,'Product Naming'!$A$1:$P$58,16,FALSE)</f>
        <v>Proton antiport</v>
      </c>
      <c r="AH998" s="3" t="str">
        <f>VLOOKUP($E998,'Product Naming'!$A$1:$Q$58,17,FALSE)</f>
        <v>lys__L_</v>
      </c>
      <c r="AI998" s="1">
        <f>VLOOKUP($E998,'Product Parameters'!$A$2:$D$59,2,FALSE)</f>
        <v>1</v>
      </c>
      <c r="AJ998" s="1">
        <f>VLOOKUP($E998,'Product Parameters'!$A$2:$D$59,3,FALSE)</f>
        <v>0</v>
      </c>
      <c r="AK998" s="1">
        <f>VLOOKUP($E998,'Product Parameters'!$A$2:$D$59,4,FALSE)</f>
        <v>0.12</v>
      </c>
      <c r="AL998" s="1">
        <f>VLOOKUP($E998,'Product Parameters'!$A$2:$E$59,5,FALSE)</f>
        <v>40.65</v>
      </c>
      <c r="AM998" s="1">
        <f>VLOOKUP($E998,'Product Parameters'!$A$2:$F$59,6,FALSE)</f>
        <v>6</v>
      </c>
      <c r="AN998" s="1">
        <f>VLOOKUP($C998,'Substrate Heating'!$A$2:$C$33,3,FALSE)</f>
        <v>638.57832580000002</v>
      </c>
      <c r="AO998" s="1">
        <f>VLOOKUP($C998,'Substrate Heating'!$A$2:$B$33,2,FALSE)</f>
        <v>19.93</v>
      </c>
      <c r="AP998" s="1">
        <f>VLOOKUP($C998,'Substrate Heating'!$A$2:$M$33,13,FALSE)</f>
        <v>6</v>
      </c>
      <c r="AQ998" s="1">
        <f>VLOOKUP($C998,'Substrate Heating'!$A$2:$M$33,8,FALSE)</f>
        <v>1</v>
      </c>
      <c r="AR998" s="1">
        <f t="shared" si="15"/>
        <v>0.6112676056338</v>
      </c>
    </row>
    <row r="999" spans="1:44" x14ac:dyDescent="0.2">
      <c r="A999" s="8" t="s">
        <v>34</v>
      </c>
      <c r="B999" s="9" t="s">
        <v>35</v>
      </c>
      <c r="C999" s="1" t="s">
        <v>322</v>
      </c>
      <c r="D999" s="10" t="s">
        <v>37</v>
      </c>
      <c r="E999" s="1" t="s">
        <v>209</v>
      </c>
      <c r="F999" s="1" t="s">
        <v>210</v>
      </c>
      <c r="G999" s="1">
        <v>-10</v>
      </c>
      <c r="H999" s="1">
        <v>-20</v>
      </c>
      <c r="I999" s="1" t="s">
        <v>40</v>
      </c>
      <c r="J999" s="1">
        <v>3.15</v>
      </c>
      <c r="K999" s="1">
        <v>-10</v>
      </c>
      <c r="L999" s="1">
        <v>-5.1624999999999996</v>
      </c>
      <c r="M999" s="1" t="s">
        <v>40</v>
      </c>
      <c r="N999" s="1">
        <v>6.8111111111110896</v>
      </c>
      <c r="O999" s="1">
        <v>3.2972222222222198</v>
      </c>
      <c r="Q999" s="1">
        <v>0.32972222222222197</v>
      </c>
      <c r="R999" s="1">
        <v>0.48075322004926402</v>
      </c>
      <c r="S999" s="1" t="str">
        <f>VLOOKUP($E999,'Product Naming'!$A$1:$P$58,2,FALSE)</f>
        <v>GammaButyrolactone</v>
      </c>
      <c r="T999" s="1" t="str">
        <f>VLOOKUP($E999,'Product Naming'!$A$1:$P$58,3,FALSE)</f>
        <v>Gamma butyrolactone</v>
      </c>
      <c r="U999" s="1" t="str">
        <f>VLOOKUP($E999,'Product Naming'!$A$1:$P$58,4,FALSE)</f>
        <v>A</v>
      </c>
      <c r="V999" s="1" t="str">
        <f>VLOOKUP($E999,'Product Naming'!$A$1:$P$58,5,FALSE)</f>
        <v>C4H6O2</v>
      </c>
      <c r="W999" s="1">
        <f>VLOOKUP($E999,'Product Naming'!$A$1:$P$58,6,FALSE)</f>
        <v>4</v>
      </c>
      <c r="X999" s="1">
        <f>VLOOKUP($E999,'Product Naming'!$A$1:$P$58,7,FALSE)</f>
        <v>6</v>
      </c>
      <c r="Y999" s="1">
        <f>VLOOKUP($E999,'Product Naming'!$A$1:$P$58,8,FALSE)</f>
        <v>2</v>
      </c>
      <c r="Z999" s="1">
        <f>VLOOKUP($E999,'Product Naming'!$A$1:$P$58,9,FALSE)</f>
        <v>0</v>
      </c>
      <c r="AA999" s="1">
        <f>VLOOKUP($E999,'Product Naming'!$A$1:$P$58,10,FALSE)</f>
        <v>0</v>
      </c>
      <c r="AB999" s="29">
        <f>VLOOKUP($E999,'Product Naming'!$A$1:$P$58,11,FALSE)</f>
        <v>4.5</v>
      </c>
      <c r="AC999" s="3">
        <f>VLOOKUP($E999,'Product Naming'!$A$1:$P$58,12,FALSE)</f>
        <v>86.08784</v>
      </c>
      <c r="AD999" s="1">
        <f>VLOOKUP($E999,'Product Naming'!$A$1:$P$58,13,FALSE)</f>
        <v>204</v>
      </c>
      <c r="AE999" s="1" t="str">
        <f>VLOOKUP($E999,'Product Naming'!$A$1:$P$58,14,FALSE)</f>
        <v>Lactone (cyclic ester)</v>
      </c>
      <c r="AF999" s="1" t="str">
        <f>VLOOKUP($E999,'Product Naming'!$A$1:$P$58,15,FALSE)</f>
        <v>aKG</v>
      </c>
      <c r="AG999" s="30" t="str">
        <f>VLOOKUP($E999,'Product Naming'!$A$1:$P$58,16,FALSE)</f>
        <v>Proton symporter</v>
      </c>
      <c r="AH999" s="3" t="str">
        <f>VLOOKUP($E999,'Product Naming'!$A$1:$Q$58,17,FALSE)</f>
        <v>gblt_c</v>
      </c>
      <c r="AI999" s="1">
        <f>VLOOKUP($E999,'Product Parameters'!$A$2:$D$59,2,FALSE)</f>
        <v>1</v>
      </c>
      <c r="AJ999" s="1">
        <f>VLOOKUP($E999,'Product Parameters'!$A$2:$D$59,3,FALSE)</f>
        <v>0</v>
      </c>
      <c r="AK999" s="1">
        <f>VLOOKUP($E999,'Product Parameters'!$A$2:$D$59,4,FALSE)</f>
        <v>0.12</v>
      </c>
      <c r="AL999" s="1">
        <f>VLOOKUP($E999,'Product Parameters'!$A$2:$E$59,5,FALSE)</f>
        <v>0</v>
      </c>
      <c r="AM999" s="1">
        <f>VLOOKUP($E999,'Product Parameters'!$A$2:$F$59,6,FALSE)</f>
        <v>4</v>
      </c>
      <c r="AN999" s="1">
        <f>VLOOKUP($C999,'Substrate Heating'!$A$2:$C$33,3,FALSE)</f>
        <v>876.74109599999997</v>
      </c>
      <c r="AO999" s="1">
        <f>VLOOKUP($C999,'Substrate Heating'!$A$2:$B$33,2,FALSE)</f>
        <v>14.6</v>
      </c>
      <c r="AP999" s="1">
        <f>VLOOKUP($C999,'Substrate Heating'!$A$2:$M$33,13,FALSE)</f>
        <v>3.5</v>
      </c>
      <c r="AQ999" s="1">
        <f>VLOOKUP($C999,'Substrate Heating'!$A$2:$M$33,8,FALSE)</f>
        <v>2</v>
      </c>
      <c r="AR999" s="1">
        <f t="shared" si="15"/>
        <v>0.65944444444444394</v>
      </c>
    </row>
    <row r="1000" spans="1:44" x14ac:dyDescent="0.2">
      <c r="A1000" s="8" t="s">
        <v>34</v>
      </c>
      <c r="B1000" s="9" t="s">
        <v>35</v>
      </c>
      <c r="C1000" s="1" t="s">
        <v>331</v>
      </c>
      <c r="D1000" s="10" t="s">
        <v>37</v>
      </c>
      <c r="E1000" s="1" t="s">
        <v>164</v>
      </c>
      <c r="F1000" s="1" t="s">
        <v>165</v>
      </c>
      <c r="G1000" s="1">
        <v>-10</v>
      </c>
      <c r="H1000" s="1">
        <v>-20</v>
      </c>
      <c r="I1000" s="1" t="s">
        <v>40</v>
      </c>
      <c r="J1000" s="1">
        <v>3.15</v>
      </c>
      <c r="K1000" s="1">
        <v>-10</v>
      </c>
      <c r="L1000" s="1">
        <v>-0.79348837209302803</v>
      </c>
      <c r="M1000" s="1" t="s">
        <v>40</v>
      </c>
      <c r="N1000" s="1">
        <v>3.8623255813953401</v>
      </c>
      <c r="O1000" s="1">
        <v>4.0344186046511599</v>
      </c>
      <c r="Q1000" s="1">
        <v>0.40344186046511599</v>
      </c>
      <c r="R1000" s="1">
        <v>0.48179355313094502</v>
      </c>
      <c r="S1000" s="1" t="str">
        <f>VLOOKUP($E1000,'Product Naming'!$A$1:$P$58,2,FALSE)</f>
        <v>Butanol-PW1</v>
      </c>
      <c r="T1000" s="1" t="str">
        <f>VLOOKUP($E1000,'Product Naming'!$A$1:$P$58,3,FALSE)</f>
        <v>Butanol (PW1)</v>
      </c>
      <c r="U1000" s="1" t="str">
        <f>VLOOKUP($E1000,'Product Naming'!$A$1:$P$58,4,FALSE)</f>
        <v>E</v>
      </c>
      <c r="V1000" s="1" t="str">
        <f>VLOOKUP($E1000,'Product Naming'!$A$1:$P$58,5,FALSE)</f>
        <v>C4H10O</v>
      </c>
      <c r="W1000" s="1">
        <f>VLOOKUP($E1000,'Product Naming'!$A$1:$P$58,6,FALSE)</f>
        <v>4</v>
      </c>
      <c r="X1000" s="1">
        <f>VLOOKUP($E1000,'Product Naming'!$A$1:$P$58,7,FALSE)</f>
        <v>10</v>
      </c>
      <c r="Y1000" s="1">
        <f>VLOOKUP($E1000,'Product Naming'!$A$1:$P$58,8,FALSE)</f>
        <v>1</v>
      </c>
      <c r="Z1000" s="1">
        <f>VLOOKUP($E1000,'Product Naming'!$A$1:$P$58,9,FALSE)</f>
        <v>0</v>
      </c>
      <c r="AA1000" s="1">
        <f>VLOOKUP($E1000,'Product Naming'!$A$1:$P$58,10,FALSE)</f>
        <v>0</v>
      </c>
      <c r="AB1000" s="29">
        <f>VLOOKUP($E1000,'Product Naming'!$A$1:$P$58,11,FALSE)</f>
        <v>6</v>
      </c>
      <c r="AC1000" s="3">
        <f>VLOOKUP($E1000,'Product Naming'!$A$1:$P$58,12,FALSE)</f>
        <v>74.120199999999997</v>
      </c>
      <c r="AD1000" s="1">
        <f>VLOOKUP($E1000,'Product Naming'!$A$1:$P$58,13,FALSE)</f>
        <v>117.7</v>
      </c>
      <c r="AE1000" s="1" t="str">
        <f>VLOOKUP($E1000,'Product Naming'!$A$1:$P$58,14,FALSE)</f>
        <v>Alcohol</v>
      </c>
      <c r="AF1000" s="1" t="str">
        <f>VLOOKUP($E1000,'Product Naming'!$A$1:$P$58,15,FALSE)</f>
        <v>Acetyl-CoA</v>
      </c>
      <c r="AG1000" s="30" t="str">
        <f>VLOOKUP($E1000,'Product Naming'!$A$1:$P$58,16,FALSE)</f>
        <v>Proton symporter</v>
      </c>
      <c r="AH1000" s="3" t="str">
        <f>VLOOKUP($E1000,'Product Naming'!$A$1:$Q$58,17,FALSE)</f>
        <v>btoh_c</v>
      </c>
      <c r="AI1000" s="1">
        <f>VLOOKUP($E1000,'Product Parameters'!$A$2:$D$59,2,FALSE)</f>
        <v>1</v>
      </c>
      <c r="AJ1000" s="1">
        <f>VLOOKUP($E1000,'Product Parameters'!$A$2:$D$59,3,FALSE)</f>
        <v>0</v>
      </c>
      <c r="AK1000" s="1">
        <f>VLOOKUP($E1000,'Product Parameters'!$A$2:$D$59,4,FALSE)</f>
        <v>0.12</v>
      </c>
      <c r="AL1000" s="1">
        <f>VLOOKUP($E1000,'Product Parameters'!$A$2:$E$59,5,FALSE)</f>
        <v>52</v>
      </c>
      <c r="AM1000" s="1">
        <f>VLOOKUP($E1000,'Product Parameters'!$A$2:$F$59,6,FALSE)</f>
        <v>4</v>
      </c>
      <c r="AN1000" s="1">
        <f>VLOOKUP($C1000,'Substrate Heating'!$A$2:$C$33,3,FALSE)</f>
        <v>1055.1294800000001</v>
      </c>
      <c r="AO1000" s="1">
        <f>VLOOKUP($C1000,'Substrate Heating'!$A$2:$B$33,2,FALSE)</f>
        <v>17</v>
      </c>
      <c r="AP1000" s="1">
        <f>VLOOKUP($C1000,'Substrate Heating'!$A$2:$M$33,13,FALSE)</f>
        <v>5</v>
      </c>
      <c r="AQ1000" s="1">
        <f>VLOOKUP($C1000,'Substrate Heating'!$A$2:$M$33,8,FALSE)</f>
        <v>2</v>
      </c>
      <c r="AR1000" s="1">
        <f t="shared" si="15"/>
        <v>0.80688372093023197</v>
      </c>
    </row>
    <row r="1001" spans="1:44" x14ac:dyDescent="0.2">
      <c r="A1001" s="8" t="s">
        <v>34</v>
      </c>
      <c r="B1001" s="9" t="s">
        <v>35</v>
      </c>
      <c r="C1001" s="1" t="s">
        <v>36</v>
      </c>
      <c r="D1001" s="10" t="s">
        <v>37</v>
      </c>
      <c r="E1001" s="1" t="s">
        <v>145</v>
      </c>
      <c r="F1001" s="1" t="s">
        <v>146</v>
      </c>
      <c r="G1001" s="1">
        <v>-10</v>
      </c>
      <c r="H1001" s="1">
        <v>-20</v>
      </c>
      <c r="I1001" s="1" t="s">
        <v>40</v>
      </c>
      <c r="J1001" s="1">
        <v>3.15</v>
      </c>
      <c r="K1001" s="1">
        <v>-10</v>
      </c>
      <c r="L1001" s="1">
        <v>-8.2701785714285698</v>
      </c>
      <c r="M1001" s="1" t="s">
        <v>40</v>
      </c>
      <c r="N1001" s="1">
        <v>6.2225000000000099</v>
      </c>
      <c r="O1001" s="1">
        <v>1.9682142857142899</v>
      </c>
      <c r="Q1001" s="1">
        <v>0.19682142857142901</v>
      </c>
      <c r="R1001" s="1">
        <v>0.48314991340381702</v>
      </c>
      <c r="S1001" s="1" t="str">
        <f>VLOOKUP($E1001,'Product Naming'!$A$1:$P$58,2,FALSE)</f>
        <v>Benzyl alcohol</v>
      </c>
      <c r="T1001" s="1" t="str">
        <f>VLOOKUP($E1001,'Product Naming'!$A$1:$P$58,3,FALSE)</f>
        <v>Benzyl alcohol</v>
      </c>
      <c r="U1001" s="1" t="str">
        <f>VLOOKUP($E1001,'Product Naming'!$A$1:$P$58,4,FALSE)</f>
        <v>E</v>
      </c>
      <c r="V1001" s="1" t="str">
        <f>VLOOKUP($E1001,'Product Naming'!$A$1:$P$58,5,FALSE)</f>
        <v>C7H8O</v>
      </c>
      <c r="W1001" s="1">
        <f>VLOOKUP($E1001,'Product Naming'!$A$1:$P$58,6,FALSE)</f>
        <v>7</v>
      </c>
      <c r="X1001" s="1">
        <f>VLOOKUP($E1001,'Product Naming'!$A$1:$P$58,7,FALSE)</f>
        <v>8</v>
      </c>
      <c r="Y1001" s="1">
        <f>VLOOKUP($E1001,'Product Naming'!$A$1:$P$58,8,FALSE)</f>
        <v>1</v>
      </c>
      <c r="Z1001" s="1">
        <f>VLOOKUP($E1001,'Product Naming'!$A$1:$P$58,9,FALSE)</f>
        <v>0</v>
      </c>
      <c r="AA1001" s="1">
        <f>VLOOKUP($E1001,'Product Naming'!$A$1:$P$58,10,FALSE)</f>
        <v>0</v>
      </c>
      <c r="AB1001" s="29">
        <f>VLOOKUP($E1001,'Product Naming'!$A$1:$P$58,11,FALSE)</f>
        <v>4.8571428571428568</v>
      </c>
      <c r="AC1001" s="3">
        <f>VLOOKUP($E1001,'Product Naming'!$A$1:$P$58,12,FALSE)</f>
        <v>108.13661999999999</v>
      </c>
      <c r="AD1001" s="1">
        <f>VLOOKUP($E1001,'Product Naming'!$A$1:$P$58,13,FALSE)</f>
        <v>205</v>
      </c>
      <c r="AE1001" s="1" t="str">
        <f>VLOOKUP($E1001,'Product Naming'!$A$1:$P$58,14,FALSE)</f>
        <v>Aromatic + Alcohol</v>
      </c>
      <c r="AF1001" s="1" t="str">
        <f>VLOOKUP($E1001,'Product Naming'!$A$1:$P$58,15,FALSE)</f>
        <v>E4P</v>
      </c>
      <c r="AG1001" s="30" t="str">
        <f>VLOOKUP($E1001,'Product Naming'!$A$1:$P$58,16,FALSE)</f>
        <v>Proton symporter</v>
      </c>
      <c r="AH1001" s="3" t="str">
        <f>VLOOKUP($E1001,'Product Naming'!$A$1:$Q$58,17,FALSE)</f>
        <v>bzalc_c</v>
      </c>
      <c r="AI1001" s="1">
        <f>VLOOKUP($E1001,'Product Parameters'!$A$2:$D$59,2,FALSE)</f>
        <v>1</v>
      </c>
      <c r="AJ1001" s="1">
        <f>VLOOKUP($E1001,'Product Parameters'!$A$2:$D$59,3,FALSE)</f>
        <v>0</v>
      </c>
      <c r="AK1001" s="1">
        <f>VLOOKUP($E1001,'Product Parameters'!$A$2:$D$59,4,FALSE)</f>
        <v>0.12</v>
      </c>
      <c r="AL1001" s="1">
        <f>VLOOKUP($E1001,'Product Parameters'!$A$2:$E$59,5,FALSE)</f>
        <v>63</v>
      </c>
      <c r="AM1001" s="1">
        <f>VLOOKUP($E1001,'Product Parameters'!$A$2:$F$59,6,FALSE)</f>
        <v>7</v>
      </c>
      <c r="AN1001" s="1">
        <f>VLOOKUP($C1001,'Substrate Heating'!$A$2:$C$33,3,FALSE)</f>
        <v>1064.1143145599999</v>
      </c>
      <c r="AO1001" s="1">
        <f>VLOOKUP($C1001,'Substrate Heating'!$A$2:$B$33,2,FALSE)</f>
        <v>24.155999999999999</v>
      </c>
      <c r="AP1001" s="1">
        <f>VLOOKUP($C1001,'Substrate Heating'!$A$2:$M$33,13,FALSE)</f>
        <v>5</v>
      </c>
      <c r="AQ1001" s="1">
        <f>VLOOKUP($C1001,'Substrate Heating'!$A$2:$M$33,8,FALSE)</f>
        <v>2</v>
      </c>
      <c r="AR1001" s="1">
        <f t="shared" si="15"/>
        <v>0.68887500000000157</v>
      </c>
    </row>
    <row r="1002" spans="1:44" x14ac:dyDescent="0.2">
      <c r="A1002" s="8" t="s">
        <v>807</v>
      </c>
      <c r="B1002" s="18" t="s">
        <v>324</v>
      </c>
      <c r="C1002" t="s">
        <v>371</v>
      </c>
      <c r="D1002" s="23" t="s">
        <v>338</v>
      </c>
      <c r="E1002" t="s">
        <v>91</v>
      </c>
      <c r="F1002" t="s">
        <v>92</v>
      </c>
      <c r="G1002">
        <v>-10</v>
      </c>
      <c r="H1002">
        <v>0</v>
      </c>
      <c r="I1002">
        <v>0</v>
      </c>
      <c r="J1002">
        <v>0.45</v>
      </c>
      <c r="K1002">
        <v>-10</v>
      </c>
      <c r="L1002">
        <v>0</v>
      </c>
      <c r="M1002">
        <v>0</v>
      </c>
      <c r="N1002">
        <v>0</v>
      </c>
      <c r="O1002">
        <v>1.75708502024291</v>
      </c>
      <c r="P1002"/>
      <c r="Q1002">
        <v>0.175708502024291</v>
      </c>
      <c r="R1002">
        <v>0.48338299451904398</v>
      </c>
      <c r="S1002" s="1" t="str">
        <f>VLOOKUP($E1002,'Product Naming'!$A$1:$P$58,2,FALSE)</f>
        <v>2-Methyl-1-Butanol</v>
      </c>
      <c r="T1002" s="1" t="str">
        <f>VLOOKUP($E1002,'Product Naming'!$A$1:$P$58,3,FALSE)</f>
        <v>2-Methyl-1-butanol</v>
      </c>
      <c r="U1002" s="1" t="str">
        <f>VLOOKUP($E1002,'Product Naming'!$A$1:$P$58,4,FALSE)</f>
        <v>A</v>
      </c>
      <c r="V1002" s="1" t="str">
        <f>VLOOKUP($E1002,'Product Naming'!$A$1:$P$58,5,FALSE)</f>
        <v>C5H12O</v>
      </c>
      <c r="W1002" s="1">
        <f>VLOOKUP($E1002,'Product Naming'!$A$1:$P$58,6,FALSE)</f>
        <v>5</v>
      </c>
      <c r="X1002" s="1">
        <f>VLOOKUP($E1002,'Product Naming'!$A$1:$P$58,7,FALSE)</f>
        <v>12</v>
      </c>
      <c r="Y1002" s="1">
        <f>VLOOKUP($E1002,'Product Naming'!$A$1:$P$58,8,FALSE)</f>
        <v>1</v>
      </c>
      <c r="Z1002" s="1">
        <f>VLOOKUP($E1002,'Product Naming'!$A$1:$P$58,9,FALSE)</f>
        <v>0</v>
      </c>
      <c r="AA1002" s="1">
        <f>VLOOKUP($E1002,'Product Naming'!$A$1:$P$58,10,FALSE)</f>
        <v>0</v>
      </c>
      <c r="AB1002" s="29">
        <f>VLOOKUP($E1002,'Product Naming'!$A$1:$P$58,11,FALSE)</f>
        <v>6</v>
      </c>
      <c r="AC1002" s="3">
        <f>VLOOKUP($E1002,'Product Naming'!$A$1:$P$58,12,FALSE)</f>
        <v>88.14658</v>
      </c>
      <c r="AD1002" s="1">
        <f>VLOOKUP($E1002,'Product Naming'!$A$1:$P$58,13,FALSE)</f>
        <v>129</v>
      </c>
      <c r="AE1002" s="1" t="str">
        <f>VLOOKUP($E1002,'Product Naming'!$A$1:$P$58,14,FALSE)</f>
        <v>Alcohol</v>
      </c>
      <c r="AF1002" s="1" t="str">
        <f>VLOOKUP($E1002,'Product Naming'!$A$1:$P$58,15,FALSE)</f>
        <v>PEP</v>
      </c>
      <c r="AG1002" s="30" t="str">
        <f>VLOOKUP($E1002,'Product Naming'!$A$1:$P$58,16,FALSE)</f>
        <v>Proton symporter</v>
      </c>
      <c r="AH1002" s="3" t="str">
        <f>VLOOKUP($E1002,'Product Naming'!$A$1:$Q$58,17,FALSE)</f>
        <v>2mbtoh_c</v>
      </c>
      <c r="AI1002" s="1">
        <f>VLOOKUP($E1002,'Product Parameters'!$A$2:$D$59,2,FALSE)</f>
        <v>1</v>
      </c>
      <c r="AJ1002" s="1">
        <f>VLOOKUP($E1002,'Product Parameters'!$A$2:$D$59,3,FALSE)</f>
        <v>0</v>
      </c>
      <c r="AK1002" s="1">
        <f>VLOOKUP($E1002,'Product Parameters'!$A$2:$D$59,4,FALSE)</f>
        <v>0.12</v>
      </c>
      <c r="AL1002" s="1">
        <f>VLOOKUP($E1002,'Product Parameters'!$A$2:$E$59,5,FALSE)</f>
        <v>54.6</v>
      </c>
      <c r="AM1002" s="1">
        <f>VLOOKUP($E1002,'Product Parameters'!$A$2:$F$59,6,FALSE)</f>
        <v>5</v>
      </c>
      <c r="AN1002" s="1">
        <f>VLOOKUP($C1002,'Substrate Heating'!$A$2:$C$33,3,FALSE)</f>
        <v>638.57832580000002</v>
      </c>
      <c r="AO1002" s="1">
        <f>VLOOKUP($C1002,'Substrate Heating'!$A$2:$B$33,2,FALSE)</f>
        <v>19.93</v>
      </c>
      <c r="AP1002" s="1">
        <f>VLOOKUP($C1002,'Substrate Heating'!$A$2:$M$33,13,FALSE)</f>
        <v>6</v>
      </c>
      <c r="AQ1002" s="1">
        <f>VLOOKUP($C1002,'Substrate Heating'!$A$2:$M$33,8,FALSE)</f>
        <v>1</v>
      </c>
      <c r="AR1002" s="1">
        <f t="shared" si="15"/>
        <v>0.87854251012145501</v>
      </c>
    </row>
    <row r="1003" spans="1:44" x14ac:dyDescent="0.2">
      <c r="A1003" s="17" t="s">
        <v>323</v>
      </c>
      <c r="B1003" s="18" t="s">
        <v>324</v>
      </c>
      <c r="C1003" t="s">
        <v>328</v>
      </c>
      <c r="D1003" s="19" t="s">
        <v>326</v>
      </c>
      <c r="E1003" t="s">
        <v>119</v>
      </c>
      <c r="F1003" t="s">
        <v>120</v>
      </c>
      <c r="G1003">
        <v>-10</v>
      </c>
      <c r="H1003">
        <v>0</v>
      </c>
      <c r="I1003">
        <v>-10</v>
      </c>
      <c r="J1003">
        <v>0.45</v>
      </c>
      <c r="K1003">
        <v>-10</v>
      </c>
      <c r="L1003">
        <v>0</v>
      </c>
      <c r="M1003">
        <v>-10</v>
      </c>
      <c r="N1003">
        <v>2.5</v>
      </c>
      <c r="O1003">
        <v>2.5</v>
      </c>
      <c r="P1003"/>
      <c r="Q1003">
        <v>0.25</v>
      </c>
      <c r="R1003">
        <v>0.48350099900099902</v>
      </c>
      <c r="S1003" s="1" t="str">
        <f>VLOOKUP($E1003,'Product Naming'!$A$1:$P$58,2,FALSE)</f>
        <v>Acetone</v>
      </c>
      <c r="T1003" s="1" t="str">
        <f>VLOOKUP($E1003,'Product Naming'!$A$1:$P$58,3,FALSE)</f>
        <v>Acetone</v>
      </c>
      <c r="U1003" s="1" t="str">
        <f>VLOOKUP($E1003,'Product Naming'!$A$1:$P$58,4,FALSE)</f>
        <v>A</v>
      </c>
      <c r="V1003" s="1" t="str">
        <f>VLOOKUP($E1003,'Product Naming'!$A$1:$P$58,5,FALSE)</f>
        <v>C3H6O</v>
      </c>
      <c r="W1003" s="1">
        <f>VLOOKUP($E1003,'Product Naming'!$A$1:$P$58,6,FALSE)</f>
        <v>3</v>
      </c>
      <c r="X1003" s="1">
        <f>VLOOKUP($E1003,'Product Naming'!$A$1:$P$58,7,FALSE)</f>
        <v>6</v>
      </c>
      <c r="Y1003" s="1">
        <f>VLOOKUP($E1003,'Product Naming'!$A$1:$P$58,8,FALSE)</f>
        <v>1</v>
      </c>
      <c r="Z1003" s="1">
        <f>VLOOKUP($E1003,'Product Naming'!$A$1:$P$58,9,FALSE)</f>
        <v>0</v>
      </c>
      <c r="AA1003" s="1">
        <f>VLOOKUP($E1003,'Product Naming'!$A$1:$P$58,10,FALSE)</f>
        <v>0</v>
      </c>
      <c r="AB1003" s="29">
        <f>VLOOKUP($E1003,'Product Naming'!$A$1:$P$58,11,FALSE)</f>
        <v>5.333333333333333</v>
      </c>
      <c r="AC1003" s="3">
        <f>VLOOKUP($E1003,'Product Naming'!$A$1:$P$58,12,FALSE)</f>
        <v>58.078140000000005</v>
      </c>
      <c r="AD1003" s="1">
        <f>VLOOKUP($E1003,'Product Naming'!$A$1:$P$58,13,FALSE)</f>
        <v>56</v>
      </c>
      <c r="AE1003" s="1" t="str">
        <f>VLOOKUP($E1003,'Product Naming'!$A$1:$P$58,14,FALSE)</f>
        <v>Ketone</v>
      </c>
      <c r="AF1003" s="1" t="str">
        <f>VLOOKUP($E1003,'Product Naming'!$A$1:$P$58,15,FALSE)</f>
        <v>Acetyl-CoA</v>
      </c>
      <c r="AG1003" s="30" t="str">
        <f>VLOOKUP($E1003,'Product Naming'!$A$1:$P$58,16,FALSE)</f>
        <v>Proton symporter</v>
      </c>
      <c r="AH1003" s="3" t="str">
        <f>VLOOKUP($E1003,'Product Naming'!$A$1:$Q$58,17,FALSE)</f>
        <v>acetone_c</v>
      </c>
      <c r="AI1003" s="1">
        <f>VLOOKUP($E1003,'Product Parameters'!$A$2:$D$59,2,FALSE)</f>
        <v>1</v>
      </c>
      <c r="AJ1003" s="1">
        <f>VLOOKUP($E1003,'Product Parameters'!$A$2:$D$59,3,FALSE)</f>
        <v>0</v>
      </c>
      <c r="AK1003" s="1">
        <f>VLOOKUP($E1003,'Product Parameters'!$A$2:$D$59,4,FALSE)</f>
        <v>0.12</v>
      </c>
      <c r="AL1003" s="1">
        <f>VLOOKUP($E1003,'Product Parameters'!$A$2:$E$59,5,FALSE)</f>
        <v>31.3</v>
      </c>
      <c r="AM1003" s="1">
        <f>VLOOKUP($E1003,'Product Parameters'!$A$2:$F$59,6,FALSE)</f>
        <v>3</v>
      </c>
      <c r="AN1003" s="1">
        <f>VLOOKUP($C1003,'Substrate Heating'!$A$2:$C$33,3,FALSE)</f>
        <v>262.39999999999998</v>
      </c>
      <c r="AO1003" s="1">
        <f>VLOOKUP($C1003,'Substrate Heating'!$A$2:$B$33,2,FALSE)</f>
        <v>17.478546483008707</v>
      </c>
      <c r="AP1003" s="1">
        <f>VLOOKUP($C1003,'Substrate Heating'!$A$2:$M$33,13,FALSE)</f>
        <v>1</v>
      </c>
      <c r="AQ1003" s="1">
        <f>VLOOKUP($C1003,'Substrate Heating'!$A$2:$M$33,8,FALSE)</f>
        <v>0.5</v>
      </c>
      <c r="AR1003" s="1">
        <f t="shared" si="15"/>
        <v>1.5</v>
      </c>
    </row>
    <row r="1004" spans="1:44" x14ac:dyDescent="0.2">
      <c r="A1004" s="8" t="s">
        <v>34</v>
      </c>
      <c r="B1004" s="9" t="s">
        <v>35</v>
      </c>
      <c r="C1004" s="1" t="s">
        <v>345</v>
      </c>
      <c r="D1004" s="10" t="s">
        <v>37</v>
      </c>
      <c r="E1004" s="1" t="s">
        <v>119</v>
      </c>
      <c r="F1004" s="1" t="s">
        <v>120</v>
      </c>
      <c r="G1004" s="1">
        <v>-10</v>
      </c>
      <c r="H1004" s="1">
        <v>-20</v>
      </c>
      <c r="I1004" s="1" t="s">
        <v>40</v>
      </c>
      <c r="J1004" s="1">
        <v>3.15</v>
      </c>
      <c r="K1004" s="1">
        <v>-10</v>
      </c>
      <c r="L1004" s="1">
        <v>1.79522129840311E-16</v>
      </c>
      <c r="M1004" s="1" t="s">
        <v>40</v>
      </c>
      <c r="N1004" s="1">
        <v>5</v>
      </c>
      <c r="O1004" s="1">
        <v>5</v>
      </c>
      <c r="Q1004" s="1">
        <v>0.5</v>
      </c>
      <c r="R1004" s="1">
        <v>0.483565409978019</v>
      </c>
      <c r="S1004" s="1" t="str">
        <f>VLOOKUP($E1004,'Product Naming'!$A$1:$P$58,2,FALSE)</f>
        <v>Acetone</v>
      </c>
      <c r="T1004" s="1" t="str">
        <f>VLOOKUP($E1004,'Product Naming'!$A$1:$P$58,3,FALSE)</f>
        <v>Acetone</v>
      </c>
      <c r="U1004" s="1" t="str">
        <f>VLOOKUP($E1004,'Product Naming'!$A$1:$P$58,4,FALSE)</f>
        <v>A</v>
      </c>
      <c r="V1004" s="1" t="str">
        <f>VLOOKUP($E1004,'Product Naming'!$A$1:$P$58,5,FALSE)</f>
        <v>C3H6O</v>
      </c>
      <c r="W1004" s="1">
        <f>VLOOKUP($E1004,'Product Naming'!$A$1:$P$58,6,FALSE)</f>
        <v>3</v>
      </c>
      <c r="X1004" s="1">
        <f>VLOOKUP($E1004,'Product Naming'!$A$1:$P$58,7,FALSE)</f>
        <v>6</v>
      </c>
      <c r="Y1004" s="1">
        <f>VLOOKUP($E1004,'Product Naming'!$A$1:$P$58,8,FALSE)</f>
        <v>1</v>
      </c>
      <c r="Z1004" s="1">
        <f>VLOOKUP($E1004,'Product Naming'!$A$1:$P$58,9,FALSE)</f>
        <v>0</v>
      </c>
      <c r="AA1004" s="1">
        <f>VLOOKUP($E1004,'Product Naming'!$A$1:$P$58,10,FALSE)</f>
        <v>0</v>
      </c>
      <c r="AB1004" s="29">
        <f>VLOOKUP($E1004,'Product Naming'!$A$1:$P$58,11,FALSE)</f>
        <v>5.333333333333333</v>
      </c>
      <c r="AC1004" s="3">
        <f>VLOOKUP($E1004,'Product Naming'!$A$1:$P$58,12,FALSE)</f>
        <v>58.078140000000005</v>
      </c>
      <c r="AD1004" s="1">
        <f>VLOOKUP($E1004,'Product Naming'!$A$1:$P$58,13,FALSE)</f>
        <v>56</v>
      </c>
      <c r="AE1004" s="1" t="str">
        <f>VLOOKUP($E1004,'Product Naming'!$A$1:$P$58,14,FALSE)</f>
        <v>Ketone</v>
      </c>
      <c r="AF1004" s="1" t="str">
        <f>VLOOKUP($E1004,'Product Naming'!$A$1:$P$58,15,FALSE)</f>
        <v>Acetyl-CoA</v>
      </c>
      <c r="AG1004" s="30" t="str">
        <f>VLOOKUP($E1004,'Product Naming'!$A$1:$P$58,16,FALSE)</f>
        <v>Proton symporter</v>
      </c>
      <c r="AH1004" s="3" t="str">
        <f>VLOOKUP($E1004,'Product Naming'!$A$1:$Q$58,17,FALSE)</f>
        <v>acetone_c</v>
      </c>
      <c r="AI1004" s="1">
        <f>VLOOKUP($E1004,'Product Parameters'!$A$2:$D$59,2,FALSE)</f>
        <v>1</v>
      </c>
      <c r="AJ1004" s="1">
        <f>VLOOKUP($E1004,'Product Parameters'!$A$2:$D$59,3,FALSE)</f>
        <v>0</v>
      </c>
      <c r="AK1004" s="1">
        <f>VLOOKUP($E1004,'Product Parameters'!$A$2:$D$59,4,FALSE)</f>
        <v>0.12</v>
      </c>
      <c r="AL1004" s="1">
        <f>VLOOKUP($E1004,'Product Parameters'!$A$2:$E$59,5,FALSE)</f>
        <v>31.3</v>
      </c>
      <c r="AM1004" s="1">
        <f>VLOOKUP($E1004,'Product Parameters'!$A$2:$F$59,6,FALSE)</f>
        <v>3</v>
      </c>
      <c r="AN1004" s="1">
        <f>VLOOKUP($C1004,'Substrate Heating'!$A$2:$C$33,3,FALSE)</f>
        <v>1020.8629199999999</v>
      </c>
      <c r="AO1004" s="1">
        <f>VLOOKUP($C1004,'Substrate Heating'!$A$2:$B$33,2,FALSE)</f>
        <v>17</v>
      </c>
      <c r="AP1004" s="1">
        <f>VLOOKUP($C1004,'Substrate Heating'!$A$2:$M$33,13,FALSE)</f>
        <v>4</v>
      </c>
      <c r="AQ1004" s="1">
        <f>VLOOKUP($C1004,'Substrate Heating'!$A$2:$M$33,8,FALSE)</f>
        <v>2</v>
      </c>
      <c r="AR1004" s="1">
        <f t="shared" si="15"/>
        <v>0.75</v>
      </c>
    </row>
    <row r="1005" spans="1:44" x14ac:dyDescent="0.2">
      <c r="A1005" s="8" t="s">
        <v>34</v>
      </c>
      <c r="B1005" s="9" t="s">
        <v>35</v>
      </c>
      <c r="C1005" s="1" t="s">
        <v>345</v>
      </c>
      <c r="D1005" s="10" t="s">
        <v>37</v>
      </c>
      <c r="E1005" s="1" t="s">
        <v>66</v>
      </c>
      <c r="F1005" s="1" t="s">
        <v>67</v>
      </c>
      <c r="G1005" s="1">
        <v>-10</v>
      </c>
      <c r="H1005" s="1">
        <v>-20</v>
      </c>
      <c r="I1005" s="1" t="s">
        <v>40</v>
      </c>
      <c r="J1005" s="1">
        <v>3.15</v>
      </c>
      <c r="K1005" s="1">
        <v>-10</v>
      </c>
      <c r="L1005" s="1">
        <v>-2.2593023255813902</v>
      </c>
      <c r="M1005" s="1" t="s">
        <v>40</v>
      </c>
      <c r="N1005" s="1">
        <v>7.0976744186046297</v>
      </c>
      <c r="O1005" s="1">
        <v>3.2255813953488301</v>
      </c>
      <c r="Q1005" s="1">
        <v>0.32255813953488299</v>
      </c>
      <c r="R1005" s="1">
        <v>0.48405850743309198</v>
      </c>
      <c r="S1005" s="1" t="str">
        <f>VLOOKUP($E1005,'Product Naming'!$A$1:$P$58,2,FALSE)</f>
        <v>1-4-butanediol</v>
      </c>
      <c r="T1005" s="1" t="str">
        <f>VLOOKUP($E1005,'Product Naming'!$A$1:$P$58,3,FALSE)</f>
        <v>1,4-Butanediol</v>
      </c>
      <c r="U1005" s="1" t="str">
        <f>VLOOKUP($E1005,'Product Naming'!$A$1:$P$58,4,FALSE)</f>
        <v>E</v>
      </c>
      <c r="V1005" s="1" t="str">
        <f>VLOOKUP($E1005,'Product Naming'!$A$1:$P$58,5,FALSE)</f>
        <v>C4H10O2</v>
      </c>
      <c r="W1005" s="1">
        <f>VLOOKUP($E1005,'Product Naming'!$A$1:$P$58,6,FALSE)</f>
        <v>4</v>
      </c>
      <c r="X1005" s="1">
        <f>VLOOKUP($E1005,'Product Naming'!$A$1:$P$58,7,FALSE)</f>
        <v>10</v>
      </c>
      <c r="Y1005" s="1">
        <f>VLOOKUP($E1005,'Product Naming'!$A$1:$P$58,8,FALSE)</f>
        <v>2</v>
      </c>
      <c r="Z1005" s="1">
        <f>VLOOKUP($E1005,'Product Naming'!$A$1:$P$58,9,FALSE)</f>
        <v>0</v>
      </c>
      <c r="AA1005" s="1">
        <f>VLOOKUP($E1005,'Product Naming'!$A$1:$P$58,10,FALSE)</f>
        <v>0</v>
      </c>
      <c r="AB1005" s="29">
        <f>VLOOKUP($E1005,'Product Naming'!$A$1:$P$58,11,FALSE)</f>
        <v>5.5</v>
      </c>
      <c r="AC1005" s="3">
        <f>VLOOKUP($E1005,'Product Naming'!$A$1:$P$58,12,FALSE)</f>
        <v>90.119200000000006</v>
      </c>
      <c r="AD1005" s="1">
        <f>VLOOKUP($E1005,'Product Naming'!$A$1:$P$58,13,FALSE)</f>
        <v>230</v>
      </c>
      <c r="AE1005" s="1" t="str">
        <f>VLOOKUP($E1005,'Product Naming'!$A$1:$P$58,14,FALSE)</f>
        <v>Diol</v>
      </c>
      <c r="AF1005" s="1" t="str">
        <f>VLOOKUP($E1005,'Product Naming'!$A$1:$P$58,15,FALSE)</f>
        <v>aKG</v>
      </c>
      <c r="AG1005" s="30" t="str">
        <f>VLOOKUP($E1005,'Product Naming'!$A$1:$P$58,16,FALSE)</f>
        <v>Proton symporter</v>
      </c>
      <c r="AH1005" s="3" t="str">
        <f>VLOOKUP($E1005,'Product Naming'!$A$1:$Q$58,17,FALSE)</f>
        <v>14bdo_c</v>
      </c>
      <c r="AI1005" s="1">
        <f>VLOOKUP($E1005,'Product Parameters'!$A$2:$D$59,2,FALSE)</f>
        <v>1</v>
      </c>
      <c r="AJ1005" s="1">
        <f>VLOOKUP($E1005,'Product Parameters'!$A$2:$D$59,3,FALSE)</f>
        <v>0</v>
      </c>
      <c r="AK1005" s="1">
        <f>VLOOKUP($E1005,'Product Parameters'!$A$2:$D$59,4,FALSE)</f>
        <v>0.12</v>
      </c>
      <c r="AL1005" s="1">
        <f>VLOOKUP($E1005,'Product Parameters'!$A$2:$E$59,5,FALSE)</f>
        <v>78</v>
      </c>
      <c r="AM1005" s="1">
        <f>VLOOKUP($E1005,'Product Parameters'!$A$2:$F$59,6,FALSE)</f>
        <v>4</v>
      </c>
      <c r="AN1005" s="1">
        <f>VLOOKUP($C1005,'Substrate Heating'!$A$2:$C$33,3,FALSE)</f>
        <v>1020.8629199999999</v>
      </c>
      <c r="AO1005" s="1">
        <f>VLOOKUP($C1005,'Substrate Heating'!$A$2:$B$33,2,FALSE)</f>
        <v>17</v>
      </c>
      <c r="AP1005" s="1">
        <f>VLOOKUP($C1005,'Substrate Heating'!$A$2:$M$33,13,FALSE)</f>
        <v>4</v>
      </c>
      <c r="AQ1005" s="1">
        <f>VLOOKUP($C1005,'Substrate Heating'!$A$2:$M$33,8,FALSE)</f>
        <v>2</v>
      </c>
      <c r="AR1005" s="1">
        <f t="shared" si="15"/>
        <v>0.64511627906976599</v>
      </c>
    </row>
    <row r="1006" spans="1:44" x14ac:dyDescent="0.2">
      <c r="A1006" s="8" t="s">
        <v>34</v>
      </c>
      <c r="B1006" s="9" t="s">
        <v>35</v>
      </c>
      <c r="C1006" s="1" t="s">
        <v>348</v>
      </c>
      <c r="D1006" s="23" t="s">
        <v>338</v>
      </c>
      <c r="E1006" s="1" t="s">
        <v>66</v>
      </c>
      <c r="F1006" s="1" t="s">
        <v>67</v>
      </c>
      <c r="G1006" s="1">
        <v>-10</v>
      </c>
      <c r="H1006" s="1">
        <v>-20</v>
      </c>
      <c r="I1006" s="1" t="s">
        <v>40</v>
      </c>
      <c r="J1006" s="1">
        <v>3.15</v>
      </c>
      <c r="K1006" s="1">
        <v>-10</v>
      </c>
      <c r="L1006" s="1">
        <v>-5.5271844660194196</v>
      </c>
      <c r="M1006" s="1" t="s">
        <v>40</v>
      </c>
      <c r="N1006" s="1">
        <v>3.11067961165049</v>
      </c>
      <c r="O1006" s="1">
        <v>1.7223300970873801</v>
      </c>
      <c r="Q1006" s="1">
        <v>0.17223300970873801</v>
      </c>
      <c r="R1006" s="1">
        <v>0.48442532951605499</v>
      </c>
      <c r="S1006" s="1" t="str">
        <f>VLOOKUP($E1006,'Product Naming'!$A$1:$P$58,2,FALSE)</f>
        <v>1-4-butanediol</v>
      </c>
      <c r="T1006" s="1" t="str">
        <f>VLOOKUP($E1006,'Product Naming'!$A$1:$P$58,3,FALSE)</f>
        <v>1,4-Butanediol</v>
      </c>
      <c r="U1006" s="1" t="str">
        <f>VLOOKUP($E1006,'Product Naming'!$A$1:$P$58,4,FALSE)</f>
        <v>E</v>
      </c>
      <c r="V1006" s="1" t="str">
        <f>VLOOKUP($E1006,'Product Naming'!$A$1:$P$58,5,FALSE)</f>
        <v>C4H10O2</v>
      </c>
      <c r="W1006" s="1">
        <f>VLOOKUP($E1006,'Product Naming'!$A$1:$P$58,6,FALSE)</f>
        <v>4</v>
      </c>
      <c r="X1006" s="1">
        <f>VLOOKUP($E1006,'Product Naming'!$A$1:$P$58,7,FALSE)</f>
        <v>10</v>
      </c>
      <c r="Y1006" s="1">
        <f>VLOOKUP($E1006,'Product Naming'!$A$1:$P$58,8,FALSE)</f>
        <v>2</v>
      </c>
      <c r="Z1006" s="1">
        <f>VLOOKUP($E1006,'Product Naming'!$A$1:$P$58,9,FALSE)</f>
        <v>0</v>
      </c>
      <c r="AA1006" s="1">
        <f>VLOOKUP($E1006,'Product Naming'!$A$1:$P$58,10,FALSE)</f>
        <v>0</v>
      </c>
      <c r="AB1006" s="29">
        <f>VLOOKUP($E1006,'Product Naming'!$A$1:$P$58,11,FALSE)</f>
        <v>5.5</v>
      </c>
      <c r="AC1006" s="3">
        <f>VLOOKUP($E1006,'Product Naming'!$A$1:$P$58,12,FALSE)</f>
        <v>90.119200000000006</v>
      </c>
      <c r="AD1006" s="1">
        <f>VLOOKUP($E1006,'Product Naming'!$A$1:$P$58,13,FALSE)</f>
        <v>230</v>
      </c>
      <c r="AE1006" s="1" t="str">
        <f>VLOOKUP($E1006,'Product Naming'!$A$1:$P$58,14,FALSE)</f>
        <v>Diol</v>
      </c>
      <c r="AF1006" s="1" t="str">
        <f>VLOOKUP($E1006,'Product Naming'!$A$1:$P$58,15,FALSE)</f>
        <v>aKG</v>
      </c>
      <c r="AG1006" s="30" t="str">
        <f>VLOOKUP($E1006,'Product Naming'!$A$1:$P$58,16,FALSE)</f>
        <v>Proton symporter</v>
      </c>
      <c r="AH1006" s="3" t="str">
        <f>VLOOKUP($E1006,'Product Naming'!$A$1:$Q$58,17,FALSE)</f>
        <v>14bdo_c</v>
      </c>
      <c r="AI1006" s="1">
        <f>VLOOKUP($E1006,'Product Parameters'!$A$2:$D$59,2,FALSE)</f>
        <v>1</v>
      </c>
      <c r="AJ1006" s="1">
        <f>VLOOKUP($E1006,'Product Parameters'!$A$2:$D$59,3,FALSE)</f>
        <v>0</v>
      </c>
      <c r="AK1006" s="1">
        <f>VLOOKUP($E1006,'Product Parameters'!$A$2:$D$59,4,FALSE)</f>
        <v>0.12</v>
      </c>
      <c r="AL1006" s="1">
        <f>VLOOKUP($E1006,'Product Parameters'!$A$2:$E$59,5,FALSE)</f>
        <v>78</v>
      </c>
      <c r="AM1006" s="1">
        <f>VLOOKUP($E1006,'Product Parameters'!$A$2:$F$59,6,FALSE)</f>
        <v>4</v>
      </c>
      <c r="AN1006" s="1">
        <f>VLOOKUP($C1006,'Substrate Heating'!$A$2:$C$33,3,FALSE)</f>
        <v>638.57832580000002</v>
      </c>
      <c r="AO1006" s="1">
        <f>VLOOKUP($C1006,'Substrate Heating'!$A$2:$B$33,2,FALSE)</f>
        <v>19.93</v>
      </c>
      <c r="AP1006" s="1">
        <f>VLOOKUP($C1006,'Substrate Heating'!$A$2:$M$33,13,FALSE)</f>
        <v>6</v>
      </c>
      <c r="AQ1006" s="1">
        <f>VLOOKUP($C1006,'Substrate Heating'!$A$2:$M$33,8,FALSE)</f>
        <v>1</v>
      </c>
      <c r="AR1006" s="1">
        <f t="shared" si="15"/>
        <v>0.68893203883495202</v>
      </c>
    </row>
    <row r="1007" spans="1:44" x14ac:dyDescent="0.2">
      <c r="A1007" s="8" t="s">
        <v>34</v>
      </c>
      <c r="B1007" s="9" t="s">
        <v>35</v>
      </c>
      <c r="C1007" s="1" t="s">
        <v>348</v>
      </c>
      <c r="D1007" s="23" t="s">
        <v>338</v>
      </c>
      <c r="E1007" s="1" t="s">
        <v>52</v>
      </c>
      <c r="F1007" s="1" t="s">
        <v>53</v>
      </c>
      <c r="G1007" s="1">
        <v>-10</v>
      </c>
      <c r="H1007" s="1">
        <v>-20</v>
      </c>
      <c r="I1007" s="1" t="s">
        <v>40</v>
      </c>
      <c r="J1007" s="1">
        <v>3.15</v>
      </c>
      <c r="K1007" s="1">
        <v>-10</v>
      </c>
      <c r="L1007" s="1">
        <v>-6.8436781609195396</v>
      </c>
      <c r="M1007" s="1" t="s">
        <v>40</v>
      </c>
      <c r="N1007" s="1">
        <v>3.88275862068966</v>
      </c>
      <c r="O1007" s="1">
        <v>2.03908045977012</v>
      </c>
      <c r="Q1007" s="1">
        <v>0.20390804597701201</v>
      </c>
      <c r="R1007" s="1">
        <v>0.48454929329149399</v>
      </c>
      <c r="S1007" s="1" t="str">
        <f>VLOOKUP($E1007,'Product Naming'!$A$1:$P$58,2,FALSE)</f>
        <v>1-3-Diaminopropane</v>
      </c>
      <c r="T1007" s="1" t="str">
        <f>VLOOKUP($E1007,'Product Naming'!$A$1:$P$58,3,FALSE)</f>
        <v>1,3-Diaminopropane</v>
      </c>
      <c r="U1007" s="1" t="str">
        <f>VLOOKUP($E1007,'Product Naming'!$A$1:$P$58,4,FALSE)</f>
        <v>A</v>
      </c>
      <c r="V1007" s="1" t="str">
        <f>VLOOKUP($E1007,'Product Naming'!$A$1:$P$58,5,FALSE)</f>
        <v>C3H12N2</v>
      </c>
      <c r="W1007" s="1">
        <f>VLOOKUP($E1007,'Product Naming'!$A$1:$P$58,6,FALSE)</f>
        <v>3</v>
      </c>
      <c r="X1007" s="1">
        <f>VLOOKUP($E1007,'Product Naming'!$A$1:$P$58,7,FALSE)</f>
        <v>12</v>
      </c>
      <c r="Y1007" s="1">
        <f>VLOOKUP($E1007,'Product Naming'!$A$1:$P$58,8,FALSE)</f>
        <v>0</v>
      </c>
      <c r="Z1007" s="1">
        <f>VLOOKUP($E1007,'Product Naming'!$A$1:$P$58,9,FALSE)</f>
        <v>2</v>
      </c>
      <c r="AA1007" s="1">
        <f>VLOOKUP($E1007,'Product Naming'!$A$1:$P$58,10,FALSE)</f>
        <v>2</v>
      </c>
      <c r="AB1007" s="29">
        <f>VLOOKUP($E1007,'Product Naming'!$A$1:$P$58,11,FALSE)</f>
        <v>6</v>
      </c>
      <c r="AC1007" s="3">
        <f>VLOOKUP($E1007,'Product Naming'!$A$1:$P$58,12,FALSE)</f>
        <v>76.139580000000009</v>
      </c>
      <c r="AD1007" s="1">
        <f>VLOOKUP($E1007,'Product Naming'!$A$1:$P$58,13,FALSE)</f>
        <v>139.30000000000001</v>
      </c>
      <c r="AE1007" s="1" t="str">
        <f>VLOOKUP($E1007,'Product Naming'!$A$1:$P$58,14,FALSE)</f>
        <v>Diamine</v>
      </c>
      <c r="AF1007" s="1" t="str">
        <f>VLOOKUP($E1007,'Product Naming'!$A$1:$P$58,15,FALSE)</f>
        <v>Oxaloacetate + aKG</v>
      </c>
      <c r="AG1007" s="30" t="str">
        <f>VLOOKUP($E1007,'Product Naming'!$A$1:$P$58,16,FALSE)</f>
        <v>Proton symporter</v>
      </c>
      <c r="AH1007" s="3" t="str">
        <f>VLOOKUP($E1007,'Product Naming'!$A$1:$Q$58,17,FALSE)</f>
        <v>13dampp_c</v>
      </c>
      <c r="AI1007" s="1">
        <f>VLOOKUP($E1007,'Product Parameters'!$A$2:$D$59,2,FALSE)</f>
        <v>1</v>
      </c>
      <c r="AJ1007" s="1">
        <f>VLOOKUP($E1007,'Product Parameters'!$A$2:$D$59,3,FALSE)</f>
        <v>0</v>
      </c>
      <c r="AK1007" s="1">
        <f>VLOOKUP($E1007,'Product Parameters'!$A$2:$D$59,4,FALSE)</f>
        <v>0.12</v>
      </c>
      <c r="AL1007" s="1">
        <f>VLOOKUP($E1007,'Product Parameters'!$A$2:$E$59,5,FALSE)</f>
        <v>50.18</v>
      </c>
      <c r="AM1007" s="1">
        <f>VLOOKUP($E1007,'Product Parameters'!$A$2:$F$59,6,FALSE)</f>
        <v>3</v>
      </c>
      <c r="AN1007" s="1">
        <f>VLOOKUP($C1007,'Substrate Heating'!$A$2:$C$33,3,FALSE)</f>
        <v>638.57832580000002</v>
      </c>
      <c r="AO1007" s="1">
        <f>VLOOKUP($C1007,'Substrate Heating'!$A$2:$B$33,2,FALSE)</f>
        <v>19.93</v>
      </c>
      <c r="AP1007" s="1">
        <f>VLOOKUP($C1007,'Substrate Heating'!$A$2:$M$33,13,FALSE)</f>
        <v>6</v>
      </c>
      <c r="AQ1007" s="1">
        <f>VLOOKUP($C1007,'Substrate Heating'!$A$2:$M$33,8,FALSE)</f>
        <v>1</v>
      </c>
      <c r="AR1007" s="1">
        <f t="shared" si="15"/>
        <v>0.61172413793103608</v>
      </c>
    </row>
    <row r="1008" spans="1:44" x14ac:dyDescent="0.2">
      <c r="A1008" s="8" t="s">
        <v>34</v>
      </c>
      <c r="B1008" s="9" t="s">
        <v>35</v>
      </c>
      <c r="C1008" s="1" t="s">
        <v>330</v>
      </c>
      <c r="D1008" s="10" t="s">
        <v>37</v>
      </c>
      <c r="E1008" s="1" t="s">
        <v>114</v>
      </c>
      <c r="F1008" s="1" t="s">
        <v>115</v>
      </c>
      <c r="G1008" s="1">
        <v>-10</v>
      </c>
      <c r="H1008" s="1">
        <v>-20</v>
      </c>
      <c r="I1008" s="1" t="s">
        <v>40</v>
      </c>
      <c r="J1008" s="1">
        <v>3.15</v>
      </c>
      <c r="K1008" s="1">
        <v>-10</v>
      </c>
      <c r="L1008" s="1">
        <v>-9.5724137931034505</v>
      </c>
      <c r="M1008" s="1" t="s">
        <v>40</v>
      </c>
      <c r="N1008" s="1">
        <v>7.1436781609195403</v>
      </c>
      <c r="O1008" s="1">
        <v>2.5712643678160898</v>
      </c>
      <c r="Q1008" s="1">
        <v>0.25712643678160901</v>
      </c>
      <c r="R1008" s="1">
        <v>0.485301748546347</v>
      </c>
      <c r="S1008" s="1" t="str">
        <f>VLOOKUP($E1008,'Product Naming'!$A$1:$P$58,2,FALSE)</f>
        <v>5-Aminopentanoate</v>
      </c>
      <c r="T1008" s="1" t="str">
        <f>VLOOKUP($E1008,'Product Naming'!$A$1:$P$58,3,FALSE)</f>
        <v>5-Aminopentanoate</v>
      </c>
      <c r="U1008" s="1" t="str">
        <f>VLOOKUP($E1008,'Product Naming'!$A$1:$P$58,4,FALSE)</f>
        <v>A</v>
      </c>
      <c r="V1008" s="1" t="str">
        <f>VLOOKUP($E1008,'Product Naming'!$A$1:$P$58,5,FALSE)</f>
        <v>C5H11NO2</v>
      </c>
      <c r="W1008" s="1">
        <f>VLOOKUP($E1008,'Product Naming'!$A$1:$P$58,6,FALSE)</f>
        <v>5</v>
      </c>
      <c r="X1008" s="1">
        <f>VLOOKUP($E1008,'Product Naming'!$A$1:$P$58,7,FALSE)</f>
        <v>11</v>
      </c>
      <c r="Y1008" s="1">
        <f>VLOOKUP($E1008,'Product Naming'!$A$1:$P$58,8,FALSE)</f>
        <v>2</v>
      </c>
      <c r="Z1008" s="1">
        <f>VLOOKUP($E1008,'Product Naming'!$A$1:$P$58,9,FALSE)</f>
        <v>1</v>
      </c>
      <c r="AA1008" s="1">
        <f>VLOOKUP($E1008,'Product Naming'!$A$1:$P$58,10,FALSE)</f>
        <v>0</v>
      </c>
      <c r="AB1008" s="29">
        <f>VLOOKUP($E1008,'Product Naming'!$A$1:$P$58,11,FALSE)</f>
        <v>4.8</v>
      </c>
      <c r="AC1008" s="3">
        <f>VLOOKUP($E1008,'Product Naming'!$A$1:$P$58,12,FALSE)</f>
        <v>117.14444</v>
      </c>
      <c r="AD1008" s="1">
        <f>VLOOKUP($E1008,'Product Naming'!$A$1:$P$58,13,FALSE)</f>
        <v>247.5</v>
      </c>
      <c r="AE1008" s="1" t="str">
        <f>VLOOKUP($E1008,'Product Naming'!$A$1:$P$58,14,FALSE)</f>
        <v>D-Amino Acid</v>
      </c>
      <c r="AF1008" s="1" t="str">
        <f>VLOOKUP($E1008,'Product Naming'!$A$1:$P$58,15,FALSE)</f>
        <v>Oxaloacetate</v>
      </c>
      <c r="AG1008" s="30" t="str">
        <f>VLOOKUP($E1008,'Product Naming'!$A$1:$P$58,16,FALSE)</f>
        <v>Proton symporter</v>
      </c>
      <c r="AH1008" s="3" t="str">
        <f>VLOOKUP($E1008,'Product Naming'!$A$1:$Q$58,17,FALSE)</f>
        <v>5aptn_c</v>
      </c>
      <c r="AI1008" s="1">
        <f>VLOOKUP($E1008,'Product Parameters'!$A$2:$D$59,2,FALSE)</f>
        <v>1</v>
      </c>
      <c r="AJ1008" s="1">
        <f>VLOOKUP($E1008,'Product Parameters'!$A$2:$D$59,3,FALSE)</f>
        <v>0</v>
      </c>
      <c r="AK1008" s="1">
        <f>VLOOKUP($E1008,'Product Parameters'!$A$2:$D$59,4,FALSE)</f>
        <v>0.12</v>
      </c>
      <c r="AL1008" s="1">
        <f>VLOOKUP($E1008,'Product Parameters'!$A$2:$E$59,5,FALSE)</f>
        <v>40.65</v>
      </c>
      <c r="AM1008" s="1">
        <f>VLOOKUP($E1008,'Product Parameters'!$A$2:$F$59,6,FALSE)</f>
        <v>5</v>
      </c>
      <c r="AN1008" s="1">
        <f>VLOOKUP($C1008,'Substrate Heating'!$A$2:$C$33,3,FALSE)</f>
        <v>1055.1294800000001</v>
      </c>
      <c r="AO1008" s="1">
        <f>VLOOKUP($C1008,'Substrate Heating'!$A$2:$B$33,2,FALSE)</f>
        <v>17</v>
      </c>
      <c r="AP1008" s="1">
        <f>VLOOKUP($C1008,'Substrate Heating'!$A$2:$M$33,13,FALSE)</f>
        <v>5</v>
      </c>
      <c r="AQ1008" s="1">
        <f>VLOOKUP($C1008,'Substrate Heating'!$A$2:$M$33,8,FALSE)</f>
        <v>2</v>
      </c>
      <c r="AR1008" s="1">
        <f t="shared" si="15"/>
        <v>0.64281609195402256</v>
      </c>
    </row>
    <row r="1009" spans="1:44" x14ac:dyDescent="0.2">
      <c r="A1009" s="8" t="s">
        <v>34</v>
      </c>
      <c r="B1009" s="9" t="s">
        <v>35</v>
      </c>
      <c r="C1009" s="1" t="s">
        <v>332</v>
      </c>
      <c r="D1009" s="10" t="s">
        <v>37</v>
      </c>
      <c r="E1009" s="1" t="s">
        <v>158</v>
      </c>
      <c r="F1009" s="1" t="s">
        <v>159</v>
      </c>
      <c r="G1009" s="1">
        <v>-10</v>
      </c>
      <c r="H1009" s="1">
        <v>-20</v>
      </c>
      <c r="I1009" s="1" t="s">
        <v>40</v>
      </c>
      <c r="J1009" s="1">
        <v>3.15</v>
      </c>
      <c r="K1009" s="1">
        <v>-10</v>
      </c>
      <c r="L1009" s="1">
        <v>-4.9750000000000103</v>
      </c>
      <c r="M1009" s="1" t="s">
        <v>40</v>
      </c>
      <c r="N1009" s="1">
        <v>4.5999999999999703</v>
      </c>
      <c r="O1009" s="1">
        <v>3.8499999999999899</v>
      </c>
      <c r="Q1009" s="1">
        <v>0.38499999999999901</v>
      </c>
      <c r="R1009" s="1">
        <v>0.48573704117268002</v>
      </c>
      <c r="S1009" s="1" t="str">
        <f>VLOOKUP($E1009,'Product Naming'!$A$1:$P$58,2,FALSE)</f>
        <v>Butane</v>
      </c>
      <c r="T1009" s="1" t="str">
        <f>VLOOKUP($E1009,'Product Naming'!$A$1:$P$58,3,FALSE)</f>
        <v>Butane</v>
      </c>
      <c r="U1009" s="1" t="str">
        <f>VLOOKUP($E1009,'Product Naming'!$A$1:$P$58,4,FALSE)</f>
        <v>E</v>
      </c>
      <c r="V1009" s="1" t="str">
        <f>VLOOKUP($E1009,'Product Naming'!$A$1:$P$58,5,FALSE)</f>
        <v>C4H10</v>
      </c>
      <c r="W1009" s="1">
        <f>VLOOKUP($E1009,'Product Naming'!$A$1:$P$58,6,FALSE)</f>
        <v>4</v>
      </c>
      <c r="X1009" s="1">
        <f>VLOOKUP($E1009,'Product Naming'!$A$1:$P$58,7,FALSE)</f>
        <v>10</v>
      </c>
      <c r="Y1009" s="1">
        <f>VLOOKUP($E1009,'Product Naming'!$A$1:$P$58,8,FALSE)</f>
        <v>0</v>
      </c>
      <c r="Z1009" s="1">
        <f>VLOOKUP($E1009,'Product Naming'!$A$1:$P$58,9,FALSE)</f>
        <v>0</v>
      </c>
      <c r="AA1009" s="1">
        <f>VLOOKUP($E1009,'Product Naming'!$A$1:$P$58,10,FALSE)</f>
        <v>0</v>
      </c>
      <c r="AB1009" s="29">
        <f>VLOOKUP($E1009,'Product Naming'!$A$1:$P$58,11,FALSE)</f>
        <v>6.5</v>
      </c>
      <c r="AC1009" s="3">
        <f>VLOOKUP($E1009,'Product Naming'!$A$1:$P$58,12,FALSE)</f>
        <v>58.121200000000002</v>
      </c>
      <c r="AD1009" s="1">
        <f>VLOOKUP($E1009,'Product Naming'!$A$1:$P$58,13,FALSE)</f>
        <v>-1</v>
      </c>
      <c r="AE1009" s="1" t="str">
        <f>VLOOKUP($E1009,'Product Naming'!$A$1:$P$58,14,FALSE)</f>
        <v>Hydrocarbon (alkane)</v>
      </c>
      <c r="AF1009" s="1" t="str">
        <f>VLOOKUP($E1009,'Product Naming'!$A$1:$P$58,15,FALSE)</f>
        <v>Acetyl-CoA + Succinyl-CoA</v>
      </c>
      <c r="AG1009" s="30" t="str">
        <f>VLOOKUP($E1009,'Product Naming'!$A$1:$P$58,16,FALSE)</f>
        <v>Diffusion</v>
      </c>
      <c r="AH1009" s="3" t="str">
        <f>VLOOKUP($E1009,'Product Naming'!$A$1:$Q$58,17,FALSE)</f>
        <v>butn_c</v>
      </c>
      <c r="AI1009" s="1">
        <f>VLOOKUP($E1009,'Product Parameters'!$A$2:$D$59,2,FALSE)</f>
        <v>0</v>
      </c>
      <c r="AJ1009" s="1">
        <f>VLOOKUP($E1009,'Product Parameters'!$A$2:$D$59,3,FALSE)</f>
        <v>1</v>
      </c>
      <c r="AK1009" s="1">
        <f>VLOOKUP($E1009,'Product Parameters'!$A$2:$D$59,4,FALSE)</f>
        <v>0.12</v>
      </c>
      <c r="AL1009" s="1">
        <f>VLOOKUP($E1009,'Product Parameters'!$A$2:$E$59,5,FALSE)</f>
        <v>0</v>
      </c>
      <c r="AM1009" s="1">
        <f>VLOOKUP($E1009,'Product Parameters'!$A$2:$F$59,6,FALSE)</f>
        <v>4</v>
      </c>
      <c r="AN1009" s="1">
        <f>VLOOKUP($C1009,'Substrate Heating'!$A$2:$C$33,3,FALSE)</f>
        <v>1230.0006480000002</v>
      </c>
      <c r="AO1009" s="1">
        <f>VLOOKUP($C1009,'Substrate Heating'!$A$2:$B$33,2,FALSE)</f>
        <v>26.7</v>
      </c>
      <c r="AP1009" s="1">
        <f>VLOOKUP($C1009,'Substrate Heating'!$A$2:$M$33,13,FALSE)</f>
        <v>6</v>
      </c>
      <c r="AQ1009" s="1">
        <f>VLOOKUP($C1009,'Substrate Heating'!$A$2:$M$33,8,FALSE)</f>
        <v>2</v>
      </c>
      <c r="AR1009" s="1">
        <f t="shared" si="15"/>
        <v>0.76999999999999802</v>
      </c>
    </row>
    <row r="1010" spans="1:44" x14ac:dyDescent="0.2">
      <c r="A1010" s="17" t="s">
        <v>231</v>
      </c>
      <c r="B1010" s="9" t="s">
        <v>35</v>
      </c>
      <c r="C1010" t="s">
        <v>36</v>
      </c>
      <c r="D1010" s="10" t="s">
        <v>37</v>
      </c>
      <c r="E1010" t="s">
        <v>232</v>
      </c>
      <c r="F1010" t="s">
        <v>233</v>
      </c>
      <c r="G1010">
        <v>-10</v>
      </c>
      <c r="H1010">
        <v>-20</v>
      </c>
      <c r="I1010" s="1" t="s">
        <v>40</v>
      </c>
      <c r="J1010">
        <v>3.15</v>
      </c>
      <c r="K1010">
        <v>-10</v>
      </c>
      <c r="L1010">
        <v>-1.49901477832513</v>
      </c>
      <c r="M1010" s="1" t="s">
        <v>40</v>
      </c>
      <c r="N1010">
        <v>5.0448275862068801</v>
      </c>
      <c r="O1010">
        <v>2.1364532019704399</v>
      </c>
      <c r="P1010"/>
      <c r="Q1010">
        <v>0.21364532019704399</v>
      </c>
      <c r="R1010">
        <v>0.48595864780777598</v>
      </c>
      <c r="S1010" s="1" t="str">
        <f>VLOOKUP($E1010,'Product Naming'!$A$1:$P$58,2,FALSE)</f>
        <v>Heptane</v>
      </c>
      <c r="T1010" s="1" t="str">
        <f>VLOOKUP($E1010,'Product Naming'!$A$1:$P$58,3,FALSE)</f>
        <v>Heptane</v>
      </c>
      <c r="U1010" s="1" t="str">
        <f>VLOOKUP($E1010,'Product Naming'!$A$1:$P$58,4,FALSE)</f>
        <v>E</v>
      </c>
      <c r="V1010" s="1" t="str">
        <f>VLOOKUP($E1010,'Product Naming'!$A$1:$P$58,5,FALSE)</f>
        <v>C7H16</v>
      </c>
      <c r="W1010" s="1">
        <f>VLOOKUP($E1010,'Product Naming'!$A$1:$P$58,6,FALSE)</f>
        <v>7</v>
      </c>
      <c r="X1010" s="1">
        <f>VLOOKUP($E1010,'Product Naming'!$A$1:$P$58,7,FALSE)</f>
        <v>16</v>
      </c>
      <c r="Y1010" s="1">
        <f>VLOOKUP($E1010,'Product Naming'!$A$1:$P$58,8,FALSE)</f>
        <v>0</v>
      </c>
      <c r="Z1010" s="1">
        <f>VLOOKUP($E1010,'Product Naming'!$A$1:$P$58,9,FALSE)</f>
        <v>0</v>
      </c>
      <c r="AA1010" s="1">
        <f>VLOOKUP($E1010,'Product Naming'!$A$1:$P$58,10,FALSE)</f>
        <v>0</v>
      </c>
      <c r="AB1010" s="29">
        <f>VLOOKUP($E1010,'Product Naming'!$A$1:$P$58,11,FALSE)</f>
        <v>6.2857142857142856</v>
      </c>
      <c r="AC1010" s="3">
        <f>VLOOKUP($E1010,'Product Naming'!$A$1:$P$58,12,FALSE)</f>
        <v>100.20034</v>
      </c>
      <c r="AD1010" s="1">
        <f>VLOOKUP($E1010,'Product Naming'!$A$1:$P$58,13,FALSE)</f>
        <v>98</v>
      </c>
      <c r="AE1010" s="1" t="str">
        <f>VLOOKUP($E1010,'Product Naming'!$A$1:$P$58,14,FALSE)</f>
        <v>Hydrocarbon (alkane)</v>
      </c>
      <c r="AF1010" s="1" t="str">
        <f>VLOOKUP($E1010,'Product Naming'!$A$1:$P$58,15,FALSE)</f>
        <v>Acetyl-CoA</v>
      </c>
      <c r="AG1010" s="30" t="str">
        <f>VLOOKUP($E1010,'Product Naming'!$A$1:$P$58,16,FALSE)</f>
        <v>Proton symporter</v>
      </c>
      <c r="AH1010" s="3" t="str">
        <f>VLOOKUP($E1010,'Product Naming'!$A$1:$Q$58,17,FALSE)</f>
        <v>hept_c</v>
      </c>
      <c r="AI1010" s="1">
        <f>VLOOKUP($E1010,'Product Parameters'!$A$2:$D$59,2,FALSE)</f>
        <v>1</v>
      </c>
      <c r="AJ1010" s="1">
        <f>VLOOKUP($E1010,'Product Parameters'!$A$2:$D$59,3,FALSE)</f>
        <v>0</v>
      </c>
      <c r="AK1010" s="1">
        <f>VLOOKUP($E1010,'Product Parameters'!$A$2:$D$59,4,FALSE)</f>
        <v>0.12</v>
      </c>
      <c r="AL1010" s="1">
        <f>VLOOKUP($E1010,'Product Parameters'!$A$2:$E$59,5,FALSE)</f>
        <v>36</v>
      </c>
      <c r="AM1010" s="1">
        <f>VLOOKUP($E1010,'Product Parameters'!$A$2:$F$59,6,FALSE)</f>
        <v>7</v>
      </c>
      <c r="AN1010" s="1">
        <f>VLOOKUP($C1010,'Substrate Heating'!$A$2:$C$33,3,FALSE)</f>
        <v>1064.1143145599999</v>
      </c>
      <c r="AO1010" s="1">
        <f>VLOOKUP($C1010,'Substrate Heating'!$A$2:$B$33,2,FALSE)</f>
        <v>24.155999999999999</v>
      </c>
      <c r="AP1010" s="1">
        <f>VLOOKUP($C1010,'Substrate Heating'!$A$2:$M$33,13,FALSE)</f>
        <v>5</v>
      </c>
      <c r="AQ1010" s="1">
        <f>VLOOKUP($C1010,'Substrate Heating'!$A$2:$M$33,8,FALSE)</f>
        <v>2</v>
      </c>
      <c r="AR1010" s="1">
        <f t="shared" si="15"/>
        <v>0.74775862068965393</v>
      </c>
    </row>
    <row r="1011" spans="1:44" x14ac:dyDescent="0.2">
      <c r="A1011" s="8" t="s">
        <v>34</v>
      </c>
      <c r="B1011" s="9" t="s">
        <v>35</v>
      </c>
      <c r="C1011" s="1" t="s">
        <v>348</v>
      </c>
      <c r="D1011" s="23" t="s">
        <v>338</v>
      </c>
      <c r="E1011" s="1" t="s">
        <v>209</v>
      </c>
      <c r="F1011" s="1" t="s">
        <v>210</v>
      </c>
      <c r="G1011" s="1">
        <v>-10</v>
      </c>
      <c r="H1011" s="1">
        <v>-20</v>
      </c>
      <c r="I1011" s="1" t="s">
        <v>40</v>
      </c>
      <c r="J1011" s="1">
        <v>3.15</v>
      </c>
      <c r="K1011" s="1">
        <v>-10</v>
      </c>
      <c r="L1011" s="1">
        <v>-6.85408163265304</v>
      </c>
      <c r="M1011" s="1" t="s">
        <v>40</v>
      </c>
      <c r="N1011" s="1">
        <v>2.7591836734693902</v>
      </c>
      <c r="O1011" s="1">
        <v>1.8102040816326499</v>
      </c>
      <c r="Q1011" s="1">
        <v>0.18102040816326501</v>
      </c>
      <c r="R1011" s="1">
        <v>0.48636518063677903</v>
      </c>
      <c r="S1011" s="1" t="str">
        <f>VLOOKUP($E1011,'Product Naming'!$A$1:$P$58,2,FALSE)</f>
        <v>GammaButyrolactone</v>
      </c>
      <c r="T1011" s="1" t="str">
        <f>VLOOKUP($E1011,'Product Naming'!$A$1:$P$58,3,FALSE)</f>
        <v>Gamma butyrolactone</v>
      </c>
      <c r="U1011" s="1" t="str">
        <f>VLOOKUP($E1011,'Product Naming'!$A$1:$P$58,4,FALSE)</f>
        <v>A</v>
      </c>
      <c r="V1011" s="1" t="str">
        <f>VLOOKUP($E1011,'Product Naming'!$A$1:$P$58,5,FALSE)</f>
        <v>C4H6O2</v>
      </c>
      <c r="W1011" s="1">
        <f>VLOOKUP($E1011,'Product Naming'!$A$1:$P$58,6,FALSE)</f>
        <v>4</v>
      </c>
      <c r="X1011" s="1">
        <f>VLOOKUP($E1011,'Product Naming'!$A$1:$P$58,7,FALSE)</f>
        <v>6</v>
      </c>
      <c r="Y1011" s="1">
        <f>VLOOKUP($E1011,'Product Naming'!$A$1:$P$58,8,FALSE)</f>
        <v>2</v>
      </c>
      <c r="Z1011" s="1">
        <f>VLOOKUP($E1011,'Product Naming'!$A$1:$P$58,9,FALSE)</f>
        <v>0</v>
      </c>
      <c r="AA1011" s="1">
        <f>VLOOKUP($E1011,'Product Naming'!$A$1:$P$58,10,FALSE)</f>
        <v>0</v>
      </c>
      <c r="AB1011" s="29">
        <f>VLOOKUP($E1011,'Product Naming'!$A$1:$P$58,11,FALSE)</f>
        <v>4.5</v>
      </c>
      <c r="AC1011" s="3">
        <f>VLOOKUP($E1011,'Product Naming'!$A$1:$P$58,12,FALSE)</f>
        <v>86.08784</v>
      </c>
      <c r="AD1011" s="1">
        <f>VLOOKUP($E1011,'Product Naming'!$A$1:$P$58,13,FALSE)</f>
        <v>204</v>
      </c>
      <c r="AE1011" s="1" t="str">
        <f>VLOOKUP($E1011,'Product Naming'!$A$1:$P$58,14,FALSE)</f>
        <v>Lactone (cyclic ester)</v>
      </c>
      <c r="AF1011" s="1" t="str">
        <f>VLOOKUP($E1011,'Product Naming'!$A$1:$P$58,15,FALSE)</f>
        <v>aKG</v>
      </c>
      <c r="AG1011" s="30" t="str">
        <f>VLOOKUP($E1011,'Product Naming'!$A$1:$P$58,16,FALSE)</f>
        <v>Proton symporter</v>
      </c>
      <c r="AH1011" s="3" t="str">
        <f>VLOOKUP($E1011,'Product Naming'!$A$1:$Q$58,17,FALSE)</f>
        <v>gblt_c</v>
      </c>
      <c r="AI1011" s="1">
        <f>VLOOKUP($E1011,'Product Parameters'!$A$2:$D$59,2,FALSE)</f>
        <v>1</v>
      </c>
      <c r="AJ1011" s="1">
        <f>VLOOKUP($E1011,'Product Parameters'!$A$2:$D$59,3,FALSE)</f>
        <v>0</v>
      </c>
      <c r="AK1011" s="1">
        <f>VLOOKUP($E1011,'Product Parameters'!$A$2:$D$59,4,FALSE)</f>
        <v>0.12</v>
      </c>
      <c r="AL1011" s="1">
        <f>VLOOKUP($E1011,'Product Parameters'!$A$2:$E$59,5,FALSE)</f>
        <v>0</v>
      </c>
      <c r="AM1011" s="1">
        <f>VLOOKUP($E1011,'Product Parameters'!$A$2:$F$59,6,FALSE)</f>
        <v>4</v>
      </c>
      <c r="AN1011" s="1">
        <f>VLOOKUP($C1011,'Substrate Heating'!$A$2:$C$33,3,FALSE)</f>
        <v>638.57832580000002</v>
      </c>
      <c r="AO1011" s="1">
        <f>VLOOKUP($C1011,'Substrate Heating'!$A$2:$B$33,2,FALSE)</f>
        <v>19.93</v>
      </c>
      <c r="AP1011" s="1">
        <f>VLOOKUP($C1011,'Substrate Heating'!$A$2:$M$33,13,FALSE)</f>
        <v>6</v>
      </c>
      <c r="AQ1011" s="1">
        <f>VLOOKUP($C1011,'Substrate Heating'!$A$2:$M$33,8,FALSE)</f>
        <v>1</v>
      </c>
      <c r="AR1011" s="1">
        <f t="shared" si="15"/>
        <v>0.72408163265306003</v>
      </c>
    </row>
    <row r="1012" spans="1:44" x14ac:dyDescent="0.2">
      <c r="A1012" s="17" t="s">
        <v>231</v>
      </c>
      <c r="B1012" s="9" t="s">
        <v>35</v>
      </c>
      <c r="C1012" t="s">
        <v>36</v>
      </c>
      <c r="D1012" s="10" t="s">
        <v>37</v>
      </c>
      <c r="E1012" t="s">
        <v>283</v>
      </c>
      <c r="F1012" t="s">
        <v>284</v>
      </c>
      <c r="G1012">
        <v>-10</v>
      </c>
      <c r="H1012">
        <v>-20</v>
      </c>
      <c r="I1012" s="1" t="s">
        <v>40</v>
      </c>
      <c r="J1012">
        <v>3.15</v>
      </c>
      <c r="K1012">
        <v>-10</v>
      </c>
      <c r="L1012">
        <v>-1.5270270270270301</v>
      </c>
      <c r="M1012" s="1" t="s">
        <v>40</v>
      </c>
      <c r="N1012">
        <v>4.97729729729729</v>
      </c>
      <c r="O1012">
        <v>1.87783783783784</v>
      </c>
      <c r="P1012"/>
      <c r="Q1012">
        <v>0.18778378378378399</v>
      </c>
      <c r="R1012">
        <v>0.486925509691572</v>
      </c>
      <c r="S1012" s="1" t="str">
        <f>VLOOKUP($E1012,'Product Naming'!$A$1:$P$58,2,FALSE)</f>
        <v>Octane</v>
      </c>
      <c r="T1012" s="1" t="str">
        <f>VLOOKUP($E1012,'Product Naming'!$A$1:$P$58,3,FALSE)</f>
        <v>Octane</v>
      </c>
      <c r="U1012" s="1" t="str">
        <f>VLOOKUP($E1012,'Product Naming'!$A$1:$P$58,4,FALSE)</f>
        <v>E</v>
      </c>
      <c r="V1012" s="1" t="str">
        <f>VLOOKUP($E1012,'Product Naming'!$A$1:$P$58,5,FALSE)</f>
        <v>C8H18</v>
      </c>
      <c r="W1012" s="1">
        <f>VLOOKUP($E1012,'Product Naming'!$A$1:$P$58,6,FALSE)</f>
        <v>8</v>
      </c>
      <c r="X1012" s="1">
        <f>VLOOKUP($E1012,'Product Naming'!$A$1:$P$58,7,FALSE)</f>
        <v>18</v>
      </c>
      <c r="Y1012" s="1">
        <f>VLOOKUP($E1012,'Product Naming'!$A$1:$P$58,8,FALSE)</f>
        <v>0</v>
      </c>
      <c r="Z1012" s="1">
        <f>VLOOKUP($E1012,'Product Naming'!$A$1:$P$58,9,FALSE)</f>
        <v>0</v>
      </c>
      <c r="AA1012" s="1">
        <f>VLOOKUP($E1012,'Product Naming'!$A$1:$P$58,10,FALSE)</f>
        <v>0</v>
      </c>
      <c r="AB1012" s="29">
        <f>VLOOKUP($E1012,'Product Naming'!$A$1:$P$58,11,FALSE)</f>
        <v>6.25</v>
      </c>
      <c r="AC1012" s="3">
        <f>VLOOKUP($E1012,'Product Naming'!$A$1:$P$58,12,FALSE)</f>
        <v>114.22672</v>
      </c>
      <c r="AD1012" s="1">
        <f>VLOOKUP($E1012,'Product Naming'!$A$1:$P$58,13,FALSE)</f>
        <v>126</v>
      </c>
      <c r="AE1012" s="1" t="str">
        <f>VLOOKUP($E1012,'Product Naming'!$A$1:$P$58,14,FALSE)</f>
        <v>Hydrocarbon (alkane)</v>
      </c>
      <c r="AF1012" s="1" t="str">
        <f>VLOOKUP($E1012,'Product Naming'!$A$1:$P$58,15,FALSE)</f>
        <v>Acetyl-CoA + Succinyl-CoA</v>
      </c>
      <c r="AG1012" s="30" t="str">
        <f>VLOOKUP($E1012,'Product Naming'!$A$1:$P$58,16,FALSE)</f>
        <v>Proton symporter</v>
      </c>
      <c r="AH1012" s="3" t="str">
        <f>VLOOKUP($E1012,'Product Naming'!$A$1:$Q$58,17,FALSE)</f>
        <v>octn_c</v>
      </c>
      <c r="AI1012" s="1">
        <f>VLOOKUP($E1012,'Product Parameters'!$A$2:$D$59,2,FALSE)</f>
        <v>1</v>
      </c>
      <c r="AJ1012" s="1">
        <f>VLOOKUP($E1012,'Product Parameters'!$A$2:$D$59,3,FALSE)</f>
        <v>0</v>
      </c>
      <c r="AK1012" s="1">
        <f>VLOOKUP($E1012,'Product Parameters'!$A$2:$D$59,4,FALSE)</f>
        <v>0.12</v>
      </c>
      <c r="AL1012" s="1">
        <f>VLOOKUP($E1012,'Product Parameters'!$A$2:$E$59,5,FALSE)</f>
        <v>41</v>
      </c>
      <c r="AM1012" s="1">
        <f>VLOOKUP($E1012,'Product Parameters'!$A$2:$F$59,6,FALSE)</f>
        <v>8</v>
      </c>
      <c r="AN1012" s="1">
        <f>VLOOKUP($C1012,'Substrate Heating'!$A$2:$C$33,3,FALSE)</f>
        <v>1064.1143145599999</v>
      </c>
      <c r="AO1012" s="1">
        <f>VLOOKUP($C1012,'Substrate Heating'!$A$2:$B$33,2,FALSE)</f>
        <v>24.155999999999999</v>
      </c>
      <c r="AP1012" s="1">
        <f>VLOOKUP($C1012,'Substrate Heating'!$A$2:$M$33,13,FALSE)</f>
        <v>5</v>
      </c>
      <c r="AQ1012" s="1">
        <f>VLOOKUP($C1012,'Substrate Heating'!$A$2:$M$33,8,FALSE)</f>
        <v>2</v>
      </c>
      <c r="AR1012" s="1">
        <f t="shared" si="15"/>
        <v>0.75113513513513597</v>
      </c>
    </row>
    <row r="1013" spans="1:44" x14ac:dyDescent="0.2">
      <c r="A1013" s="8" t="s">
        <v>34</v>
      </c>
      <c r="B1013" s="9" t="s">
        <v>35</v>
      </c>
      <c r="C1013" s="1" t="s">
        <v>343</v>
      </c>
      <c r="D1013" s="24" t="s">
        <v>342</v>
      </c>
      <c r="E1013" s="1" t="s">
        <v>72</v>
      </c>
      <c r="F1013" s="1" t="s">
        <v>73</v>
      </c>
      <c r="G1013" s="1">
        <v>-10</v>
      </c>
      <c r="H1013" s="1">
        <v>-20</v>
      </c>
      <c r="I1013" s="1" t="s">
        <v>40</v>
      </c>
      <c r="J1013" s="1">
        <v>3.15</v>
      </c>
      <c r="K1013" s="1">
        <v>-10</v>
      </c>
      <c r="L1013" s="1">
        <v>-1.4125000000000001</v>
      </c>
      <c r="M1013" s="1" t="s">
        <v>40</v>
      </c>
      <c r="N1013" s="1">
        <v>7.6083333333333298</v>
      </c>
      <c r="O1013" s="1">
        <v>7.4638888888888903</v>
      </c>
      <c r="Q1013" s="1">
        <v>0.74638888888888899</v>
      </c>
      <c r="R1013" s="1">
        <v>0.48703984196647399</v>
      </c>
      <c r="S1013" s="1" t="str">
        <f>VLOOKUP($E1013,'Product Naming'!$A$1:$P$58,2,FALSE)</f>
        <v>1-propanol-PW1</v>
      </c>
      <c r="T1013" s="1" t="str">
        <f>VLOOKUP($E1013,'Product Naming'!$A$1:$P$58,3,FALSE)</f>
        <v>1-Propanol (PW1)</v>
      </c>
      <c r="U1013" s="1" t="str">
        <f>VLOOKUP($E1013,'Product Naming'!$A$1:$P$58,4,FALSE)</f>
        <v>E-S</v>
      </c>
      <c r="V1013" s="1" t="str">
        <f>VLOOKUP($E1013,'Product Naming'!$A$1:$P$58,5,FALSE)</f>
        <v>C3H8O</v>
      </c>
      <c r="W1013" s="1">
        <f>VLOOKUP($E1013,'Product Naming'!$A$1:$P$58,6,FALSE)</f>
        <v>3</v>
      </c>
      <c r="X1013" s="1">
        <f>VLOOKUP($E1013,'Product Naming'!$A$1:$P$58,7,FALSE)</f>
        <v>8</v>
      </c>
      <c r="Y1013" s="1">
        <f>VLOOKUP($E1013,'Product Naming'!$A$1:$P$58,8,FALSE)</f>
        <v>1</v>
      </c>
      <c r="Z1013" s="1">
        <f>VLOOKUP($E1013,'Product Naming'!$A$1:$P$58,9,FALSE)</f>
        <v>0</v>
      </c>
      <c r="AA1013" s="1">
        <f>VLOOKUP($E1013,'Product Naming'!$A$1:$P$58,10,FALSE)</f>
        <v>0</v>
      </c>
      <c r="AB1013" s="29">
        <f>VLOOKUP($E1013,'Product Naming'!$A$1:$P$58,11,FALSE)</f>
        <v>6</v>
      </c>
      <c r="AC1013" s="3">
        <f>VLOOKUP($E1013,'Product Naming'!$A$1:$P$58,12,FALSE)</f>
        <v>60.093820000000001</v>
      </c>
      <c r="AD1013" s="1">
        <f>VLOOKUP($E1013,'Product Naming'!$A$1:$P$58,13,FALSE)</f>
        <v>97</v>
      </c>
      <c r="AE1013" s="1" t="str">
        <f>VLOOKUP($E1013,'Product Naming'!$A$1:$P$58,14,FALSE)</f>
        <v>Alcohol</v>
      </c>
      <c r="AF1013" s="1" t="str">
        <f>VLOOKUP($E1013,'Product Naming'!$A$1:$P$58,15,FALSE)</f>
        <v>Glyceraldehyde 3-P (--&gt;DHAP)</v>
      </c>
      <c r="AG1013" s="30" t="str">
        <f>VLOOKUP($E1013,'Product Naming'!$A$1:$P$58,16,FALSE)</f>
        <v>Proton symporter</v>
      </c>
      <c r="AH1013" s="3" t="str">
        <f>VLOOKUP($E1013,'Product Naming'!$A$1:$Q$58,17,FALSE)</f>
        <v>ppoh_c</v>
      </c>
      <c r="AI1013" s="1">
        <f>VLOOKUP($E1013,'Product Parameters'!$A$2:$D$59,2,FALSE)</f>
        <v>1</v>
      </c>
      <c r="AJ1013" s="1">
        <f>VLOOKUP($E1013,'Product Parameters'!$A$2:$D$59,3,FALSE)</f>
        <v>0</v>
      </c>
      <c r="AK1013" s="1">
        <f>VLOOKUP($E1013,'Product Parameters'!$A$2:$D$59,4,FALSE)</f>
        <v>0.12</v>
      </c>
      <c r="AL1013" s="1">
        <f>VLOOKUP($E1013,'Product Parameters'!$A$2:$E$59,5,FALSE)</f>
        <v>47</v>
      </c>
      <c r="AM1013" s="1">
        <f>VLOOKUP($E1013,'Product Parameters'!$A$2:$F$59,6,FALSE)</f>
        <v>3</v>
      </c>
      <c r="AN1013" s="1">
        <f>VLOOKUP($C1013,'Substrate Heating'!$A$2:$C$33,3,FALSE)</f>
        <v>1648.4793779999998</v>
      </c>
      <c r="AO1013" s="1">
        <f>VLOOKUP($C1013,'Substrate Heating'!$A$2:$B$33,2,FALSE)</f>
        <v>17.899999999999999</v>
      </c>
      <c r="AP1013" s="1">
        <f>VLOOKUP($C1013,'Substrate Heating'!$A$2:$M$33,13,FALSE)</f>
        <v>4.666666666666667</v>
      </c>
      <c r="AQ1013" s="1">
        <f>VLOOKUP($C1013,'Substrate Heating'!$A$2:$M$33,8,FALSE)</f>
        <v>3</v>
      </c>
      <c r="AR1013" s="1">
        <f t="shared" si="15"/>
        <v>0.74638888888888888</v>
      </c>
    </row>
    <row r="1014" spans="1:44" x14ac:dyDescent="0.2">
      <c r="A1014" s="8" t="s">
        <v>816</v>
      </c>
      <c r="B1014" s="18" t="s">
        <v>324</v>
      </c>
      <c r="C1014" t="s">
        <v>815</v>
      </c>
      <c r="D1014" s="19" t="s">
        <v>326</v>
      </c>
      <c r="E1014" t="s">
        <v>60</v>
      </c>
      <c r="F1014" t="s">
        <v>61</v>
      </c>
      <c r="G1014">
        <v>-10</v>
      </c>
      <c r="H1014">
        <v>0</v>
      </c>
      <c r="I1014">
        <v>0</v>
      </c>
      <c r="J1014">
        <v>0.45</v>
      </c>
      <c r="K1014">
        <v>25</v>
      </c>
      <c r="L1014">
        <v>0</v>
      </c>
      <c r="M1014">
        <v>0</v>
      </c>
      <c r="N1014">
        <v>25</v>
      </c>
      <c r="O1014">
        <v>5</v>
      </c>
      <c r="P1014"/>
      <c r="Q1014">
        <v>0.2</v>
      </c>
      <c r="R1014">
        <v>0.48761819899999997</v>
      </c>
      <c r="S1014" s="1" t="str">
        <f>VLOOKUP($E1014,'Product Naming'!$A$1:$P$58,2,FALSE)</f>
        <v>1-3-Propanediol</v>
      </c>
      <c r="T1014" s="1" t="str">
        <f>VLOOKUP($E1014,'Product Naming'!$A$1:$P$58,3,FALSE)</f>
        <v>1,3-Propanediol</v>
      </c>
      <c r="U1014" s="1" t="str">
        <f>VLOOKUP($E1014,'Product Naming'!$A$1:$P$58,4,FALSE)</f>
        <v>A</v>
      </c>
      <c r="V1014" s="1" t="str">
        <f>VLOOKUP($E1014,'Product Naming'!$A$1:$P$58,5,FALSE)</f>
        <v>C3H8O2</v>
      </c>
      <c r="W1014" s="1">
        <f>VLOOKUP($E1014,'Product Naming'!$A$1:$P$58,6,FALSE)</f>
        <v>3</v>
      </c>
      <c r="X1014" s="1">
        <f>VLOOKUP($E1014,'Product Naming'!$A$1:$P$58,7,FALSE)</f>
        <v>8</v>
      </c>
      <c r="Y1014" s="1">
        <f>VLOOKUP($E1014,'Product Naming'!$A$1:$P$58,8,FALSE)</f>
        <v>2</v>
      </c>
      <c r="Z1014" s="1">
        <f>VLOOKUP($E1014,'Product Naming'!$A$1:$P$58,9,FALSE)</f>
        <v>0</v>
      </c>
      <c r="AA1014" s="1">
        <f>VLOOKUP($E1014,'Product Naming'!$A$1:$P$58,10,FALSE)</f>
        <v>0</v>
      </c>
      <c r="AB1014" s="29">
        <f>VLOOKUP($E1014,'Product Naming'!$A$1:$P$58,11,FALSE)</f>
        <v>5.333333333333333</v>
      </c>
      <c r="AC1014" s="3">
        <f>VLOOKUP($E1014,'Product Naming'!$A$1:$P$58,12,FALSE)</f>
        <v>76.092820000000003</v>
      </c>
      <c r="AD1014" s="1">
        <f>VLOOKUP($E1014,'Product Naming'!$A$1:$P$58,13,FALSE)</f>
        <v>213</v>
      </c>
      <c r="AE1014" s="1" t="str">
        <f>VLOOKUP($E1014,'Product Naming'!$A$1:$P$58,14,FALSE)</f>
        <v>Diol</v>
      </c>
      <c r="AF1014" s="1" t="str">
        <f>VLOOKUP($E1014,'Product Naming'!$A$1:$P$58,15,FALSE)</f>
        <v>Glyceraldehyde 3-P</v>
      </c>
      <c r="AG1014" s="30" t="str">
        <f>VLOOKUP($E1014,'Product Naming'!$A$1:$P$58,16,FALSE)</f>
        <v>Proton symporter</v>
      </c>
      <c r="AH1014" s="3" t="str">
        <f>VLOOKUP($E1014,'Product Naming'!$A$1:$Q$58,17,FALSE)</f>
        <v>13ppd_c</v>
      </c>
      <c r="AI1014" s="1">
        <f>VLOOKUP($E1014,'Product Parameters'!$A$2:$D$59,2,FALSE)</f>
        <v>1</v>
      </c>
      <c r="AJ1014" s="1">
        <f>VLOOKUP($E1014,'Product Parameters'!$A$2:$D$59,3,FALSE)</f>
        <v>0</v>
      </c>
      <c r="AK1014" s="1">
        <f>VLOOKUP($E1014,'Product Parameters'!$A$2:$D$59,4,FALSE)</f>
        <v>0.12</v>
      </c>
      <c r="AL1014" s="1">
        <f>VLOOKUP($E1014,'Product Parameters'!$A$2:$E$59,5,FALSE)</f>
        <v>70</v>
      </c>
      <c r="AM1014" s="1">
        <f>VLOOKUP($E1014,'Product Parameters'!$A$2:$F$59,6,FALSE)</f>
        <v>3</v>
      </c>
      <c r="AN1014" s="1">
        <f>VLOOKUP($C1014,'Substrate Heating'!$A$2:$C$33,3,FALSE)</f>
        <v>226.4</v>
      </c>
      <c r="AO1014" s="1">
        <f>VLOOKUP($C1014,'Substrate Heating'!$A$2:$B$33,2,FALSE)</f>
        <v>7.2542014450728134</v>
      </c>
      <c r="AP1014" s="1">
        <f>VLOOKUP($C1014,'Substrate Heating'!$A$2:$M$33,13,FALSE)</f>
        <v>1.6</v>
      </c>
      <c r="AQ1014" s="1">
        <f>VLOOKUP($C1014,'Substrate Heating'!$A$2:$M$33,8,FALSE)</f>
        <v>1</v>
      </c>
      <c r="AR1014" s="1">
        <f t="shared" si="15"/>
        <v>0.60000000000000009</v>
      </c>
    </row>
    <row r="1015" spans="1:44" x14ac:dyDescent="0.2">
      <c r="A1015" s="8" t="s">
        <v>34</v>
      </c>
      <c r="B1015" s="9" t="s">
        <v>35</v>
      </c>
      <c r="C1015" s="1" t="s">
        <v>348</v>
      </c>
      <c r="D1015" s="23" t="s">
        <v>338</v>
      </c>
      <c r="E1015" s="1" t="s">
        <v>38</v>
      </c>
      <c r="F1015" s="1" t="s">
        <v>39</v>
      </c>
      <c r="G1015" s="1">
        <v>-10</v>
      </c>
      <c r="H1015" s="1">
        <v>-20</v>
      </c>
      <c r="I1015" s="1" t="s">
        <v>40</v>
      </c>
      <c r="J1015" s="1">
        <v>3.15</v>
      </c>
      <c r="K1015" s="1">
        <v>-10</v>
      </c>
      <c r="L1015" s="1">
        <v>-5.4343137254901999</v>
      </c>
      <c r="M1015" s="1" t="s">
        <v>40</v>
      </c>
      <c r="N1015" s="1">
        <v>3.0431372549019602</v>
      </c>
      <c r="O1015" s="1">
        <v>1.7392156862745101</v>
      </c>
      <c r="Q1015" s="1">
        <v>0.17392156862745101</v>
      </c>
      <c r="R1015" s="1">
        <v>0.48917459745248698</v>
      </c>
      <c r="S1015" s="1" t="str">
        <f>VLOOKUP($E1015,'Product Naming'!$A$1:$P$58,2,FALSE)</f>
        <v>1-3-butanediol-PW1</v>
      </c>
      <c r="T1015" s="1" t="str">
        <f>VLOOKUP($E1015,'Product Naming'!$A$1:$P$58,3,FALSE)</f>
        <v>1,3-Butanediol (PW1)</v>
      </c>
      <c r="U1015" s="1" t="str">
        <f>VLOOKUP($E1015,'Product Naming'!$A$1:$P$58,4,FALSE)</f>
        <v>E</v>
      </c>
      <c r="V1015" s="1" t="str">
        <f>VLOOKUP($E1015,'Product Naming'!$A$1:$P$58,5,FALSE)</f>
        <v>C4H10O2</v>
      </c>
      <c r="W1015" s="1">
        <f>VLOOKUP($E1015,'Product Naming'!$A$1:$P$58,6,FALSE)</f>
        <v>4</v>
      </c>
      <c r="X1015" s="1">
        <f>VLOOKUP($E1015,'Product Naming'!$A$1:$P$58,7,FALSE)</f>
        <v>10</v>
      </c>
      <c r="Y1015" s="1">
        <f>VLOOKUP($E1015,'Product Naming'!$A$1:$P$58,8,FALSE)</f>
        <v>2</v>
      </c>
      <c r="Z1015" s="1">
        <f>VLOOKUP($E1015,'Product Naming'!$A$1:$P$58,9,FALSE)</f>
        <v>0</v>
      </c>
      <c r="AA1015" s="1">
        <f>VLOOKUP($E1015,'Product Naming'!$A$1:$P$58,10,FALSE)</f>
        <v>0</v>
      </c>
      <c r="AB1015" s="29">
        <f>VLOOKUP($E1015,'Product Naming'!$A$1:$P$58,11,FALSE)</f>
        <v>5.5</v>
      </c>
      <c r="AC1015" s="3">
        <f>VLOOKUP($E1015,'Product Naming'!$A$1:$P$58,12,FALSE)</f>
        <v>90.119200000000006</v>
      </c>
      <c r="AD1015" s="1">
        <f>VLOOKUP($E1015,'Product Naming'!$A$1:$P$58,13,FALSE)</f>
        <v>207</v>
      </c>
      <c r="AE1015" s="1" t="str">
        <f>VLOOKUP($E1015,'Product Naming'!$A$1:$P$58,14,FALSE)</f>
        <v>Diol</v>
      </c>
      <c r="AF1015" s="1" t="str">
        <f>VLOOKUP($E1015,'Product Naming'!$A$1:$P$58,15,FALSE)</f>
        <v>Acetyl-CoA</v>
      </c>
      <c r="AG1015" s="30" t="str">
        <f>VLOOKUP($E1015,'Product Naming'!$A$1:$P$58,16,FALSE)</f>
        <v>Proton symporter</v>
      </c>
      <c r="AH1015" s="3" t="str">
        <f>VLOOKUP($E1015,'Product Naming'!$A$1:$Q$58,17,FALSE)</f>
        <v>13bdo__R_c</v>
      </c>
      <c r="AI1015" s="1">
        <f>VLOOKUP($E1015,'Product Parameters'!$A$2:$D$59,2,FALSE)</f>
        <v>1</v>
      </c>
      <c r="AJ1015" s="1">
        <f>VLOOKUP($E1015,'Product Parameters'!$A$2:$D$59,3,FALSE)</f>
        <v>0</v>
      </c>
      <c r="AK1015" s="1">
        <f>VLOOKUP($E1015,'Product Parameters'!$A$2:$D$59,4,FALSE)</f>
        <v>0.12</v>
      </c>
      <c r="AL1015" s="1">
        <f>VLOOKUP($E1015,'Product Parameters'!$A$2:$E$59,5,FALSE)</f>
        <v>72.599999999999994</v>
      </c>
      <c r="AM1015" s="1">
        <f>VLOOKUP($E1015,'Product Parameters'!$A$2:$F$59,6,FALSE)</f>
        <v>4</v>
      </c>
      <c r="AN1015" s="1">
        <f>VLOOKUP($C1015,'Substrate Heating'!$A$2:$C$33,3,FALSE)</f>
        <v>638.57832580000002</v>
      </c>
      <c r="AO1015" s="1">
        <f>VLOOKUP($C1015,'Substrate Heating'!$A$2:$B$33,2,FALSE)</f>
        <v>19.93</v>
      </c>
      <c r="AP1015" s="1">
        <f>VLOOKUP($C1015,'Substrate Heating'!$A$2:$M$33,13,FALSE)</f>
        <v>6</v>
      </c>
      <c r="AQ1015" s="1">
        <f>VLOOKUP($C1015,'Substrate Heating'!$A$2:$M$33,8,FALSE)</f>
        <v>1</v>
      </c>
      <c r="AR1015" s="1">
        <f t="shared" si="15"/>
        <v>0.69568627450980403</v>
      </c>
    </row>
    <row r="1016" spans="1:44" x14ac:dyDescent="0.2">
      <c r="A1016" s="8" t="s">
        <v>812</v>
      </c>
      <c r="B1016" s="9" t="s">
        <v>35</v>
      </c>
      <c r="C1016" t="s">
        <v>813</v>
      </c>
      <c r="E1016" t="s">
        <v>301</v>
      </c>
      <c r="F1016" t="s">
        <v>302</v>
      </c>
      <c r="G1016">
        <v>-10</v>
      </c>
      <c r="H1016">
        <v>-20</v>
      </c>
      <c r="I1016">
        <v>0</v>
      </c>
      <c r="J1016">
        <v>3.15</v>
      </c>
      <c r="K1016">
        <v>-10</v>
      </c>
      <c r="L1016">
        <v>-11.6370967741935</v>
      </c>
      <c r="M1016">
        <v>0</v>
      </c>
      <c r="N1016">
        <v>9.9822580645161292</v>
      </c>
      <c r="O1016">
        <v>6.6725806451612897</v>
      </c>
      <c r="P1016"/>
      <c r="Q1016">
        <v>0.66725806451612901</v>
      </c>
      <c r="R1016">
        <v>0.48960023842814498</v>
      </c>
      <c r="S1016" s="1" t="str">
        <f>VLOOKUP($E1016,'Product Naming'!$A$1:$P$58,2,FALSE)</f>
        <v>Propane-PW1</v>
      </c>
      <c r="T1016" s="1" t="str">
        <f>VLOOKUP($E1016,'Product Naming'!$A$1:$P$58,3,FALSE)</f>
        <v>Propane (PW1)</v>
      </c>
      <c r="U1016" s="1" t="str">
        <f>VLOOKUP($E1016,'Product Naming'!$A$1:$P$58,4,FALSE)</f>
        <v>E</v>
      </c>
      <c r="V1016" s="1" t="str">
        <f>VLOOKUP($E1016,'Product Naming'!$A$1:$P$58,5,FALSE)</f>
        <v>C3H8</v>
      </c>
      <c r="W1016" s="1">
        <f>VLOOKUP($E1016,'Product Naming'!$A$1:$P$58,6,FALSE)</f>
        <v>3</v>
      </c>
      <c r="X1016" s="1">
        <f>VLOOKUP($E1016,'Product Naming'!$A$1:$P$58,7,FALSE)</f>
        <v>8</v>
      </c>
      <c r="Y1016" s="1">
        <f>VLOOKUP($E1016,'Product Naming'!$A$1:$P$58,8,FALSE)</f>
        <v>0</v>
      </c>
      <c r="Z1016" s="1">
        <f>VLOOKUP($E1016,'Product Naming'!$A$1:$P$58,9,FALSE)</f>
        <v>0</v>
      </c>
      <c r="AA1016" s="1">
        <f>VLOOKUP($E1016,'Product Naming'!$A$1:$P$58,10,FALSE)</f>
        <v>0</v>
      </c>
      <c r="AB1016" s="29">
        <f>VLOOKUP($E1016,'Product Naming'!$A$1:$P$58,11,FALSE)</f>
        <v>6.666666666666667</v>
      </c>
      <c r="AC1016" s="3">
        <f>VLOOKUP($E1016,'Product Naming'!$A$1:$P$58,12,FALSE)</f>
        <v>44.094819999999999</v>
      </c>
      <c r="AD1016" s="1">
        <f>VLOOKUP($E1016,'Product Naming'!$A$1:$P$58,13,FALSE)</f>
        <v>-42</v>
      </c>
      <c r="AE1016" s="1" t="str">
        <f>VLOOKUP($E1016,'Product Naming'!$A$1:$P$58,14,FALSE)</f>
        <v>Hydrocarbon</v>
      </c>
      <c r="AF1016" s="1" t="str">
        <f>VLOOKUP($E1016,'Product Naming'!$A$1:$P$58,15,FALSE)</f>
        <v>Acetyl-CoA</v>
      </c>
      <c r="AG1016" s="30" t="str">
        <f>VLOOKUP($E1016,'Product Naming'!$A$1:$P$58,16,FALSE)</f>
        <v>Diffusion</v>
      </c>
      <c r="AH1016" s="3" t="str">
        <f>VLOOKUP($E1016,'Product Naming'!$A$1:$Q$58,17,FALSE)</f>
        <v>prop_c</v>
      </c>
      <c r="AI1016" s="1">
        <f>VLOOKUP($E1016,'Product Parameters'!$A$2:$D$59,2,FALSE)</f>
        <v>0</v>
      </c>
      <c r="AJ1016" s="1">
        <f>VLOOKUP($E1016,'Product Parameters'!$A$2:$D$59,3,FALSE)</f>
        <v>1</v>
      </c>
      <c r="AK1016" s="1">
        <f>VLOOKUP($E1016,'Product Parameters'!$A$2:$D$59,4,FALSE)</f>
        <v>0.12</v>
      </c>
      <c r="AL1016" s="1">
        <f>VLOOKUP($E1016,'Product Parameters'!$A$2:$E$59,5,FALSE)</f>
        <v>0</v>
      </c>
      <c r="AM1016" s="1">
        <f>VLOOKUP($E1016,'Product Parameters'!$A$2:$F$59,6,FALSE)</f>
        <v>3</v>
      </c>
      <c r="AN1016" s="1">
        <f>VLOOKUP($C1016,'Substrate Heating'!$A$2:$C$33,3,FALSE)</f>
        <v>1843.720736</v>
      </c>
      <c r="AO1016" s="1">
        <f>VLOOKUP($C1016,'Substrate Heating'!$A$2:$B$33,2,FALSE)</f>
        <v>30.68</v>
      </c>
      <c r="AP1016" s="1">
        <f>VLOOKUP($C1016,'Substrate Heating'!$A$2:$M$33,13,FALSE)</f>
        <v>6</v>
      </c>
      <c r="AQ1016" s="1">
        <f>VLOOKUP($C1016,'Substrate Heating'!$A$2:$M$33,8,FALSE)</f>
        <v>3</v>
      </c>
      <c r="AR1016" s="1">
        <f t="shared" si="15"/>
        <v>0.66725806451612912</v>
      </c>
    </row>
    <row r="1017" spans="1:44" x14ac:dyDescent="0.2">
      <c r="A1017" s="8" t="s">
        <v>34</v>
      </c>
      <c r="B1017" s="9" t="s">
        <v>35</v>
      </c>
      <c r="C1017" s="1" t="s">
        <v>348</v>
      </c>
      <c r="D1017" s="23" t="s">
        <v>338</v>
      </c>
      <c r="E1017" s="1" t="s">
        <v>132</v>
      </c>
      <c r="F1017" s="1" t="s">
        <v>133</v>
      </c>
      <c r="G1017" s="1">
        <v>-10</v>
      </c>
      <c r="H1017" s="1">
        <v>-20</v>
      </c>
      <c r="I1017" s="1" t="s">
        <v>40</v>
      </c>
      <c r="J1017" s="1">
        <v>3.15</v>
      </c>
      <c r="K1017" s="1">
        <v>-10</v>
      </c>
      <c r="L1017" s="1">
        <v>-7.9112704918032701</v>
      </c>
      <c r="M1017" s="1" t="s">
        <v>40</v>
      </c>
      <c r="N1017" s="1">
        <v>3.4565573770491702</v>
      </c>
      <c r="O1017" s="1">
        <v>1.0905737704917999</v>
      </c>
      <c r="Q1017" s="1">
        <v>0.10905737704918</v>
      </c>
      <c r="R1017" s="1">
        <v>0.49054767937979599</v>
      </c>
      <c r="S1017" s="1" t="str">
        <f>VLOOKUP($E1017,'Product Naming'!$A$1:$P$58,2,FALSE)</f>
        <v>Adipate</v>
      </c>
      <c r="T1017" s="1" t="str">
        <f>VLOOKUP($E1017,'Product Naming'!$A$1:$P$58,3,FALSE)</f>
        <v>Adipate</v>
      </c>
      <c r="U1017" s="1" t="str">
        <f>VLOOKUP($E1017,'Product Naming'!$A$1:$P$58,4,FALSE)</f>
        <v>E</v>
      </c>
      <c r="V1017" s="1" t="str">
        <f>VLOOKUP($E1017,'Product Naming'!$A$1:$P$58,5,FALSE)</f>
        <v>C6H8O4</v>
      </c>
      <c r="W1017" s="1">
        <f>VLOOKUP($E1017,'Product Naming'!$A$1:$P$58,6,FALSE)</f>
        <v>6</v>
      </c>
      <c r="X1017" s="1">
        <f>VLOOKUP($E1017,'Product Naming'!$A$1:$P$58,7,FALSE)</f>
        <v>8</v>
      </c>
      <c r="Y1017" s="1">
        <f>VLOOKUP($E1017,'Product Naming'!$A$1:$P$58,8,FALSE)</f>
        <v>4</v>
      </c>
      <c r="Z1017" s="1">
        <f>VLOOKUP($E1017,'Product Naming'!$A$1:$P$58,9,FALSE)</f>
        <v>0</v>
      </c>
      <c r="AA1017" s="1">
        <f>VLOOKUP($E1017,'Product Naming'!$A$1:$P$58,10,FALSE)</f>
        <v>-2</v>
      </c>
      <c r="AB1017" s="29">
        <f>VLOOKUP($E1017,'Product Naming'!$A$1:$P$58,11,FALSE)</f>
        <v>4</v>
      </c>
      <c r="AC1017" s="3">
        <f>VLOOKUP($E1017,'Product Naming'!$A$1:$P$58,12,FALSE)</f>
        <v>144.12291999999999</v>
      </c>
      <c r="AD1017" s="1">
        <f>VLOOKUP($E1017,'Product Naming'!$A$1:$P$58,13,FALSE)</f>
        <v>337.5</v>
      </c>
      <c r="AE1017" s="1" t="str">
        <f>VLOOKUP($E1017,'Product Naming'!$A$1:$P$58,14,FALSE)</f>
        <v>Dicarboxylate</v>
      </c>
      <c r="AF1017" s="1" t="str">
        <f>VLOOKUP($E1017,'Product Naming'!$A$1:$P$58,15,FALSE)</f>
        <v>Glyceraldehyde 3-P</v>
      </c>
      <c r="AG1017" s="30" t="str">
        <f>VLOOKUP($E1017,'Product Naming'!$A$1:$P$58,16,FALSE)</f>
        <v>Proton symporter</v>
      </c>
      <c r="AH1017" s="3" t="str">
        <f>VLOOKUP($E1017,'Product Naming'!$A$1:$Q$58,17,FALSE)</f>
        <v>adpac_c</v>
      </c>
      <c r="AI1017" s="1">
        <f>VLOOKUP($E1017,'Product Parameters'!$A$2:$D$59,2,FALSE)</f>
        <v>1</v>
      </c>
      <c r="AJ1017" s="1">
        <f>VLOOKUP($E1017,'Product Parameters'!$A$2:$D$59,3,FALSE)</f>
        <v>0</v>
      </c>
      <c r="AK1017" s="1">
        <f>VLOOKUP($E1017,'Product Parameters'!$A$2:$D$59,4,FALSE)</f>
        <v>0.12</v>
      </c>
      <c r="AL1017" s="1">
        <f>VLOOKUP($E1017,'Product Parameters'!$A$2:$E$59,5,FALSE)</f>
        <v>40.65</v>
      </c>
      <c r="AM1017" s="1">
        <f>VLOOKUP($E1017,'Product Parameters'!$A$2:$F$59,6,FALSE)</f>
        <v>6</v>
      </c>
      <c r="AN1017" s="1">
        <f>VLOOKUP($C1017,'Substrate Heating'!$A$2:$C$33,3,FALSE)</f>
        <v>638.57832580000002</v>
      </c>
      <c r="AO1017" s="1">
        <f>VLOOKUP($C1017,'Substrate Heating'!$A$2:$B$33,2,FALSE)</f>
        <v>19.93</v>
      </c>
      <c r="AP1017" s="1">
        <f>VLOOKUP($C1017,'Substrate Heating'!$A$2:$M$33,13,FALSE)</f>
        <v>6</v>
      </c>
      <c r="AQ1017" s="1">
        <f>VLOOKUP($C1017,'Substrate Heating'!$A$2:$M$33,8,FALSE)</f>
        <v>1</v>
      </c>
      <c r="AR1017" s="1">
        <f t="shared" si="15"/>
        <v>0.65434426229508003</v>
      </c>
    </row>
    <row r="1018" spans="1:44" x14ac:dyDescent="0.2">
      <c r="A1018" s="17" t="s">
        <v>231</v>
      </c>
      <c r="B1018" s="9" t="s">
        <v>35</v>
      </c>
      <c r="C1018" t="s">
        <v>36</v>
      </c>
      <c r="D1018" s="10" t="s">
        <v>37</v>
      </c>
      <c r="E1018" t="s">
        <v>279</v>
      </c>
      <c r="F1018" t="s">
        <v>280</v>
      </c>
      <c r="G1018">
        <v>-10</v>
      </c>
      <c r="H1018">
        <v>-20</v>
      </c>
      <c r="I1018" s="1" t="s">
        <v>40</v>
      </c>
      <c r="J1018">
        <v>3.15</v>
      </c>
      <c r="K1018">
        <v>-10</v>
      </c>
      <c r="L1018">
        <v>-1.3743190661478599</v>
      </c>
      <c r="M1018" s="1" t="s">
        <v>40</v>
      </c>
      <c r="N1018">
        <v>4.8120622568093401</v>
      </c>
      <c r="O1018">
        <v>1.6875486381322999</v>
      </c>
      <c r="P1018"/>
      <c r="Q1018">
        <v>0.16875486381322999</v>
      </c>
      <c r="R1018">
        <v>0.49131599791074299</v>
      </c>
      <c r="S1018" s="1" t="str">
        <f>VLOOKUP($E1018,'Product Naming'!$A$1:$P$58,2,FALSE)</f>
        <v>Nonane</v>
      </c>
      <c r="T1018" s="1" t="str">
        <f>VLOOKUP($E1018,'Product Naming'!$A$1:$P$58,3,FALSE)</f>
        <v>Nonane</v>
      </c>
      <c r="U1018" s="1" t="str">
        <f>VLOOKUP($E1018,'Product Naming'!$A$1:$P$58,4,FALSE)</f>
        <v>E</v>
      </c>
      <c r="V1018" s="1" t="str">
        <f>VLOOKUP($E1018,'Product Naming'!$A$1:$P$58,5,FALSE)</f>
        <v>C9H20</v>
      </c>
      <c r="W1018" s="1">
        <f>VLOOKUP($E1018,'Product Naming'!$A$1:$P$58,6,FALSE)</f>
        <v>9</v>
      </c>
      <c r="X1018" s="1">
        <f>VLOOKUP($E1018,'Product Naming'!$A$1:$P$58,7,FALSE)</f>
        <v>20</v>
      </c>
      <c r="Y1018" s="1">
        <f>VLOOKUP($E1018,'Product Naming'!$A$1:$P$58,8,FALSE)</f>
        <v>0</v>
      </c>
      <c r="Z1018" s="1">
        <f>VLOOKUP($E1018,'Product Naming'!$A$1:$P$58,9,FALSE)</f>
        <v>0</v>
      </c>
      <c r="AA1018" s="1">
        <f>VLOOKUP($E1018,'Product Naming'!$A$1:$P$58,10,FALSE)</f>
        <v>0</v>
      </c>
      <c r="AB1018" s="29">
        <f>VLOOKUP($E1018,'Product Naming'!$A$1:$P$58,11,FALSE)</f>
        <v>6.2222222222222223</v>
      </c>
      <c r="AC1018" s="3">
        <f>VLOOKUP($E1018,'Product Naming'!$A$1:$P$58,12,FALSE)</f>
        <v>128.25309999999999</v>
      </c>
      <c r="AD1018" s="1">
        <f>VLOOKUP($E1018,'Product Naming'!$A$1:$P$58,13,FALSE)</f>
        <v>151</v>
      </c>
      <c r="AE1018" s="1" t="str">
        <f>VLOOKUP($E1018,'Product Naming'!$A$1:$P$58,14,FALSE)</f>
        <v>Hydrocarbon (alkane)</v>
      </c>
      <c r="AF1018" s="1" t="str">
        <f>VLOOKUP($E1018,'Product Naming'!$A$1:$P$58,15,FALSE)</f>
        <v>Acetyl-CoA</v>
      </c>
      <c r="AG1018" s="30" t="str">
        <f>VLOOKUP($E1018,'Product Naming'!$A$1:$P$58,16,FALSE)</f>
        <v>Proton symporter</v>
      </c>
      <c r="AH1018" s="3" t="str">
        <f>VLOOKUP($E1018,'Product Naming'!$A$1:$Q$58,17,FALSE)</f>
        <v>nonan_c</v>
      </c>
      <c r="AI1018" s="1">
        <f>VLOOKUP($E1018,'Product Parameters'!$A$2:$D$59,2,FALSE)</f>
        <v>1</v>
      </c>
      <c r="AJ1018" s="1">
        <f>VLOOKUP($E1018,'Product Parameters'!$A$2:$D$59,3,FALSE)</f>
        <v>0</v>
      </c>
      <c r="AK1018" s="1">
        <f>VLOOKUP($E1018,'Product Parameters'!$A$2:$D$59,4,FALSE)</f>
        <v>0.12</v>
      </c>
      <c r="AL1018" s="1">
        <f>VLOOKUP($E1018,'Product Parameters'!$A$2:$E$59,5,FALSE)</f>
        <v>46.5</v>
      </c>
      <c r="AM1018" s="1">
        <f>VLOOKUP($E1018,'Product Parameters'!$A$2:$F$59,6,FALSE)</f>
        <v>9</v>
      </c>
      <c r="AN1018" s="1">
        <f>VLOOKUP($C1018,'Substrate Heating'!$A$2:$C$33,3,FALSE)</f>
        <v>1064.1143145599999</v>
      </c>
      <c r="AO1018" s="1">
        <f>VLOOKUP($C1018,'Substrate Heating'!$A$2:$B$33,2,FALSE)</f>
        <v>24.155999999999999</v>
      </c>
      <c r="AP1018" s="1">
        <f>VLOOKUP($C1018,'Substrate Heating'!$A$2:$M$33,13,FALSE)</f>
        <v>5</v>
      </c>
      <c r="AQ1018" s="1">
        <f>VLOOKUP($C1018,'Substrate Heating'!$A$2:$M$33,8,FALSE)</f>
        <v>2</v>
      </c>
      <c r="AR1018" s="1">
        <f t="shared" si="15"/>
        <v>0.75939688715953491</v>
      </c>
    </row>
    <row r="1019" spans="1:44" x14ac:dyDescent="0.2">
      <c r="A1019" s="17" t="s">
        <v>323</v>
      </c>
      <c r="B1019" s="18" t="s">
        <v>324</v>
      </c>
      <c r="C1019" t="s">
        <v>327</v>
      </c>
      <c r="D1019" s="19" t="s">
        <v>326</v>
      </c>
      <c r="E1019" t="s">
        <v>60</v>
      </c>
      <c r="F1019" t="s">
        <v>61</v>
      </c>
      <c r="G1019">
        <v>-10</v>
      </c>
      <c r="H1019">
        <v>0</v>
      </c>
      <c r="I1019">
        <v>-5</v>
      </c>
      <c r="J1019">
        <v>0.45</v>
      </c>
      <c r="K1019">
        <v>-10</v>
      </c>
      <c r="L1019">
        <v>0</v>
      </c>
      <c r="M1019">
        <v>-5</v>
      </c>
      <c r="N1019">
        <v>4.375</v>
      </c>
      <c r="O1019">
        <v>1.875</v>
      </c>
      <c r="P1019"/>
      <c r="Q1019">
        <v>0.1875</v>
      </c>
      <c r="R1019">
        <v>0.49164037732598198</v>
      </c>
      <c r="S1019" s="1" t="str">
        <f>VLOOKUP($E1019,'Product Naming'!$A$1:$P$58,2,FALSE)</f>
        <v>1-3-Propanediol</v>
      </c>
      <c r="T1019" s="1" t="str">
        <f>VLOOKUP($E1019,'Product Naming'!$A$1:$P$58,3,FALSE)</f>
        <v>1,3-Propanediol</v>
      </c>
      <c r="U1019" s="1" t="str">
        <f>VLOOKUP($E1019,'Product Naming'!$A$1:$P$58,4,FALSE)</f>
        <v>A</v>
      </c>
      <c r="V1019" s="1" t="str">
        <f>VLOOKUP($E1019,'Product Naming'!$A$1:$P$58,5,FALSE)</f>
        <v>C3H8O2</v>
      </c>
      <c r="W1019" s="1">
        <f>VLOOKUP($E1019,'Product Naming'!$A$1:$P$58,6,FALSE)</f>
        <v>3</v>
      </c>
      <c r="X1019" s="1">
        <f>VLOOKUP($E1019,'Product Naming'!$A$1:$P$58,7,FALSE)</f>
        <v>8</v>
      </c>
      <c r="Y1019" s="1">
        <f>VLOOKUP($E1019,'Product Naming'!$A$1:$P$58,8,FALSE)</f>
        <v>2</v>
      </c>
      <c r="Z1019" s="1">
        <f>VLOOKUP($E1019,'Product Naming'!$A$1:$P$58,9,FALSE)</f>
        <v>0</v>
      </c>
      <c r="AA1019" s="1">
        <f>VLOOKUP($E1019,'Product Naming'!$A$1:$P$58,10,FALSE)</f>
        <v>0</v>
      </c>
      <c r="AB1019" s="29">
        <f>VLOOKUP($E1019,'Product Naming'!$A$1:$P$58,11,FALSE)</f>
        <v>5.333333333333333</v>
      </c>
      <c r="AC1019" s="3">
        <f>VLOOKUP($E1019,'Product Naming'!$A$1:$P$58,12,FALSE)</f>
        <v>76.092820000000003</v>
      </c>
      <c r="AD1019" s="1">
        <f>VLOOKUP($E1019,'Product Naming'!$A$1:$P$58,13,FALSE)</f>
        <v>213</v>
      </c>
      <c r="AE1019" s="1" t="str">
        <f>VLOOKUP($E1019,'Product Naming'!$A$1:$P$58,14,FALSE)</f>
        <v>Diol</v>
      </c>
      <c r="AF1019" s="1" t="str">
        <f>VLOOKUP($E1019,'Product Naming'!$A$1:$P$58,15,FALSE)</f>
        <v>Glyceraldehyde 3-P</v>
      </c>
      <c r="AG1019" s="30" t="str">
        <f>VLOOKUP($E1019,'Product Naming'!$A$1:$P$58,16,FALSE)</f>
        <v>Proton symporter</v>
      </c>
      <c r="AH1019" s="3" t="str">
        <f>VLOOKUP($E1019,'Product Naming'!$A$1:$Q$58,17,FALSE)</f>
        <v>13ppd_c</v>
      </c>
      <c r="AI1019" s="1">
        <f>VLOOKUP($E1019,'Product Parameters'!$A$2:$D$59,2,FALSE)</f>
        <v>1</v>
      </c>
      <c r="AJ1019" s="1">
        <f>VLOOKUP($E1019,'Product Parameters'!$A$2:$D$59,3,FALSE)</f>
        <v>0</v>
      </c>
      <c r="AK1019" s="1">
        <f>VLOOKUP($E1019,'Product Parameters'!$A$2:$D$59,4,FALSE)</f>
        <v>0.12</v>
      </c>
      <c r="AL1019" s="1">
        <f>VLOOKUP($E1019,'Product Parameters'!$A$2:$E$59,5,FALSE)</f>
        <v>70</v>
      </c>
      <c r="AM1019" s="1">
        <f>VLOOKUP($E1019,'Product Parameters'!$A$2:$F$59,6,FALSE)</f>
        <v>3</v>
      </c>
      <c r="AN1019" s="1">
        <f>VLOOKUP($C1019,'Substrate Heating'!$A$2:$C$33,3,FALSE)</f>
        <v>269.26666666666665</v>
      </c>
      <c r="AO1019" s="1">
        <f>VLOOKUP($C1019,'Substrate Heating'!$A$2:$B$33,2,FALSE)</f>
        <v>13.919167510409219</v>
      </c>
      <c r="AP1019" s="1">
        <f>VLOOKUP($C1019,'Substrate Heating'!$A$2:$M$33,13,FALSE)</f>
        <v>1.3333333333333333</v>
      </c>
      <c r="AQ1019" s="1">
        <f>VLOOKUP($C1019,'Substrate Heating'!$A$2:$M$33,8,FALSE)</f>
        <v>0.66666666666666663</v>
      </c>
      <c r="AR1019" s="1">
        <f t="shared" si="15"/>
        <v>0.84375</v>
      </c>
    </row>
    <row r="1020" spans="1:44" x14ac:dyDescent="0.2">
      <c r="A1020" s="8" t="s">
        <v>34</v>
      </c>
      <c r="B1020" s="9" t="s">
        <v>35</v>
      </c>
      <c r="C1020" s="1" t="s">
        <v>348</v>
      </c>
      <c r="D1020" s="23" t="s">
        <v>338</v>
      </c>
      <c r="E1020" s="1" t="s">
        <v>244</v>
      </c>
      <c r="F1020" s="1" t="s">
        <v>245</v>
      </c>
      <c r="G1020" s="1">
        <v>-10</v>
      </c>
      <c r="H1020" s="1">
        <v>-20</v>
      </c>
      <c r="I1020" s="1" t="s">
        <v>40</v>
      </c>
      <c r="J1020" s="1">
        <v>3.15</v>
      </c>
      <c r="K1020" s="1">
        <v>-10</v>
      </c>
      <c r="L1020" s="1">
        <v>-5.9489795918367303</v>
      </c>
      <c r="M1020" s="1" t="s">
        <v>40</v>
      </c>
      <c r="N1020" s="1">
        <v>2.75918367346938</v>
      </c>
      <c r="O1020" s="1">
        <v>1.8102040816326499</v>
      </c>
      <c r="Q1020" s="1">
        <v>0.18102040816326501</v>
      </c>
      <c r="R1020" s="1">
        <v>0.49205911236573002</v>
      </c>
      <c r="S1020" s="1" t="str">
        <f>VLOOKUP($E1020,'Product Naming'!$A$1:$P$58,2,FALSE)</f>
        <v>Isobutyrate</v>
      </c>
      <c r="T1020" s="1" t="str">
        <f>VLOOKUP($E1020,'Product Naming'!$A$1:$P$58,3,FALSE)</f>
        <v>Isobutyrate</v>
      </c>
      <c r="U1020" s="1" t="str">
        <f>VLOOKUP($E1020,'Product Naming'!$A$1:$P$58,4,FALSE)</f>
        <v>A</v>
      </c>
      <c r="V1020" s="1" t="str">
        <f>VLOOKUP($E1020,'Product Naming'!$A$1:$P$58,5,FALSE)</f>
        <v>C4H7O2</v>
      </c>
      <c r="W1020" s="1">
        <f>VLOOKUP($E1020,'Product Naming'!$A$1:$P$58,6,FALSE)</f>
        <v>4</v>
      </c>
      <c r="X1020" s="1">
        <f>VLOOKUP($E1020,'Product Naming'!$A$1:$P$58,7,FALSE)</f>
        <v>7</v>
      </c>
      <c r="Y1020" s="1">
        <f>VLOOKUP($E1020,'Product Naming'!$A$1:$P$58,8,FALSE)</f>
        <v>2</v>
      </c>
      <c r="Z1020" s="1">
        <f>VLOOKUP($E1020,'Product Naming'!$A$1:$P$58,9,FALSE)</f>
        <v>0</v>
      </c>
      <c r="AA1020" s="1">
        <f>VLOOKUP($E1020,'Product Naming'!$A$1:$P$58,10,FALSE)</f>
        <v>-1</v>
      </c>
      <c r="AB1020" s="29">
        <f>VLOOKUP($E1020,'Product Naming'!$A$1:$P$58,11,FALSE)</f>
        <v>4.75</v>
      </c>
      <c r="AC1020" s="3">
        <f>VLOOKUP($E1020,'Product Naming'!$A$1:$P$58,12,FALSE)</f>
        <v>87.095680000000002</v>
      </c>
      <c r="AD1020" s="1">
        <f>VLOOKUP($E1020,'Product Naming'!$A$1:$P$58,13,FALSE)</f>
        <v>155</v>
      </c>
      <c r="AE1020" s="1" t="str">
        <f>VLOOKUP($E1020,'Product Naming'!$A$1:$P$58,14,FALSE)</f>
        <v>Carboxylate</v>
      </c>
      <c r="AF1020" s="1" t="str">
        <f>VLOOKUP($E1020,'Product Naming'!$A$1:$P$58,15,FALSE)</f>
        <v>Pyruvate</v>
      </c>
      <c r="AG1020" s="30" t="str">
        <f>VLOOKUP($E1020,'Product Naming'!$A$1:$P$58,16,FALSE)</f>
        <v>Proton symporter</v>
      </c>
      <c r="AH1020" s="3" t="str">
        <f>VLOOKUP($E1020,'Product Naming'!$A$1:$Q$58,17,FALSE)</f>
        <v>ibt_c</v>
      </c>
      <c r="AI1020" s="1">
        <f>VLOOKUP($E1020,'Product Parameters'!$A$2:$D$59,2,FALSE)</f>
        <v>1</v>
      </c>
      <c r="AJ1020" s="1">
        <f>VLOOKUP($E1020,'Product Parameters'!$A$2:$D$59,3,FALSE)</f>
        <v>0</v>
      </c>
      <c r="AK1020" s="1">
        <f>VLOOKUP($E1020,'Product Parameters'!$A$2:$D$59,4,FALSE)</f>
        <v>0.12</v>
      </c>
      <c r="AL1020" s="1">
        <f>VLOOKUP($E1020,'Product Parameters'!$A$2:$E$59,5,FALSE)</f>
        <v>44.5</v>
      </c>
      <c r="AM1020" s="1">
        <f>VLOOKUP($E1020,'Product Parameters'!$A$2:$F$59,6,FALSE)</f>
        <v>4</v>
      </c>
      <c r="AN1020" s="1">
        <f>VLOOKUP($C1020,'Substrate Heating'!$A$2:$C$33,3,FALSE)</f>
        <v>638.57832580000002</v>
      </c>
      <c r="AO1020" s="1">
        <f>VLOOKUP($C1020,'Substrate Heating'!$A$2:$B$33,2,FALSE)</f>
        <v>19.93</v>
      </c>
      <c r="AP1020" s="1">
        <f>VLOOKUP($C1020,'Substrate Heating'!$A$2:$M$33,13,FALSE)</f>
        <v>6</v>
      </c>
      <c r="AQ1020" s="1">
        <f>VLOOKUP($C1020,'Substrate Heating'!$A$2:$M$33,8,FALSE)</f>
        <v>1</v>
      </c>
      <c r="AR1020" s="1">
        <f t="shared" si="15"/>
        <v>0.72408163265306003</v>
      </c>
    </row>
    <row r="1021" spans="1:44" x14ac:dyDescent="0.2">
      <c r="A1021" s="8" t="s">
        <v>34</v>
      </c>
      <c r="B1021" s="9" t="s">
        <v>35</v>
      </c>
      <c r="C1021" s="1" t="s">
        <v>330</v>
      </c>
      <c r="D1021" s="10" t="s">
        <v>37</v>
      </c>
      <c r="E1021" s="1" t="s">
        <v>85</v>
      </c>
      <c r="F1021" s="1" t="s">
        <v>86</v>
      </c>
      <c r="G1021" s="1">
        <v>-10</v>
      </c>
      <c r="H1021" s="1">
        <v>-20</v>
      </c>
      <c r="I1021" s="1" t="s">
        <v>40</v>
      </c>
      <c r="J1021" s="1">
        <v>3.15</v>
      </c>
      <c r="K1021" s="1">
        <v>-10</v>
      </c>
      <c r="L1021" s="1">
        <v>-6.3583333333333298</v>
      </c>
      <c r="M1021" s="1" t="s">
        <v>40</v>
      </c>
      <c r="N1021" s="1">
        <v>6.4424242424242797</v>
      </c>
      <c r="O1021" s="1">
        <v>3.3893939393939498</v>
      </c>
      <c r="Q1021" s="1">
        <v>0.33893939393939498</v>
      </c>
      <c r="R1021" s="1">
        <v>0.49213337700113402</v>
      </c>
      <c r="S1021" s="1" t="str">
        <f>VLOOKUP($E1021,'Product Naming'!$A$1:$P$58,2,FALSE)</f>
        <v>2-3-butanediol</v>
      </c>
      <c r="T1021" s="1" t="str">
        <f>VLOOKUP($E1021,'Product Naming'!$A$1:$P$58,3,FALSE)</f>
        <v>2,3-Butanediol</v>
      </c>
      <c r="U1021" s="1" t="str">
        <f>VLOOKUP($E1021,'Product Naming'!$A$1:$P$58,4,FALSE)</f>
        <v>E</v>
      </c>
      <c r="V1021" s="1" t="str">
        <f>VLOOKUP($E1021,'Product Naming'!$A$1:$P$58,5,FALSE)</f>
        <v>C4H10O2</v>
      </c>
      <c r="W1021" s="1">
        <f>VLOOKUP($E1021,'Product Naming'!$A$1:$P$58,6,FALSE)</f>
        <v>4</v>
      </c>
      <c r="X1021" s="1">
        <f>VLOOKUP($E1021,'Product Naming'!$A$1:$P$58,7,FALSE)</f>
        <v>10</v>
      </c>
      <c r="Y1021" s="1">
        <f>VLOOKUP($E1021,'Product Naming'!$A$1:$P$58,8,FALSE)</f>
        <v>2</v>
      </c>
      <c r="Z1021" s="1">
        <f>VLOOKUP($E1021,'Product Naming'!$A$1:$P$58,9,FALSE)</f>
        <v>0</v>
      </c>
      <c r="AA1021" s="1">
        <f>VLOOKUP($E1021,'Product Naming'!$A$1:$P$58,10,FALSE)</f>
        <v>0</v>
      </c>
      <c r="AB1021" s="29">
        <f>VLOOKUP($E1021,'Product Naming'!$A$1:$P$58,11,FALSE)</f>
        <v>5.5</v>
      </c>
      <c r="AC1021" s="3">
        <f>VLOOKUP($E1021,'Product Naming'!$A$1:$P$58,12,FALSE)</f>
        <v>90.119200000000006</v>
      </c>
      <c r="AD1021" s="1">
        <f>VLOOKUP($E1021,'Product Naming'!$A$1:$P$58,13,FALSE)</f>
        <v>177</v>
      </c>
      <c r="AE1021" s="1" t="str">
        <f>VLOOKUP($E1021,'Product Naming'!$A$1:$P$58,14,FALSE)</f>
        <v>Diol</v>
      </c>
      <c r="AF1021" s="1" t="str">
        <f>VLOOKUP($E1021,'Product Naming'!$A$1:$P$58,15,FALSE)</f>
        <v>Pyruvate</v>
      </c>
      <c r="AG1021" s="30" t="str">
        <f>VLOOKUP($E1021,'Product Naming'!$A$1:$P$58,16,FALSE)</f>
        <v>Proton symporter</v>
      </c>
      <c r="AH1021" s="3" t="str">
        <f>VLOOKUP($E1021,'Product Naming'!$A$1:$Q$58,17,FALSE)</f>
        <v>btd_RR_c</v>
      </c>
      <c r="AI1021" s="1">
        <f>VLOOKUP($E1021,'Product Parameters'!$A$2:$D$59,2,FALSE)</f>
        <v>1</v>
      </c>
      <c r="AJ1021" s="1">
        <f>VLOOKUP($E1021,'Product Parameters'!$A$2:$D$59,3,FALSE)</f>
        <v>0</v>
      </c>
      <c r="AK1021" s="1">
        <f>VLOOKUP($E1021,'Product Parameters'!$A$2:$D$59,4,FALSE)</f>
        <v>0.12</v>
      </c>
      <c r="AL1021" s="1">
        <f>VLOOKUP($E1021,'Product Parameters'!$A$2:$E$59,5,FALSE)</f>
        <v>63</v>
      </c>
      <c r="AM1021" s="1">
        <f>VLOOKUP($E1021,'Product Parameters'!$A$2:$F$59,6,FALSE)</f>
        <v>4</v>
      </c>
      <c r="AN1021" s="1">
        <f>VLOOKUP($C1021,'Substrate Heating'!$A$2:$C$33,3,FALSE)</f>
        <v>1055.1294800000001</v>
      </c>
      <c r="AO1021" s="1">
        <f>VLOOKUP($C1021,'Substrate Heating'!$A$2:$B$33,2,FALSE)</f>
        <v>17</v>
      </c>
      <c r="AP1021" s="1">
        <f>VLOOKUP($C1021,'Substrate Heating'!$A$2:$M$33,13,FALSE)</f>
        <v>5</v>
      </c>
      <c r="AQ1021" s="1">
        <f>VLOOKUP($C1021,'Substrate Heating'!$A$2:$M$33,8,FALSE)</f>
        <v>2</v>
      </c>
      <c r="AR1021" s="1">
        <f t="shared" si="15"/>
        <v>0.67787878787878997</v>
      </c>
    </row>
    <row r="1022" spans="1:44" x14ac:dyDescent="0.2">
      <c r="A1022" s="8" t="s">
        <v>34</v>
      </c>
      <c r="B1022" s="9" t="s">
        <v>35</v>
      </c>
      <c r="C1022" s="1" t="s">
        <v>346</v>
      </c>
      <c r="D1022" s="23" t="s">
        <v>338</v>
      </c>
      <c r="E1022" s="1" t="s">
        <v>291</v>
      </c>
      <c r="F1022" s="1" t="s">
        <v>292</v>
      </c>
      <c r="G1022" s="1">
        <v>-10</v>
      </c>
      <c r="H1022" s="1">
        <v>-20</v>
      </c>
      <c r="I1022" s="1" t="s">
        <v>40</v>
      </c>
      <c r="J1022" s="1">
        <v>3.15</v>
      </c>
      <c r="K1022" s="1">
        <v>-10</v>
      </c>
      <c r="L1022" s="1">
        <v>-1.5774193548387101</v>
      </c>
      <c r="M1022" s="1" t="s">
        <v>40</v>
      </c>
      <c r="N1022" s="1">
        <v>1.0516129032258099</v>
      </c>
      <c r="O1022" s="1">
        <v>1.7896774193548399</v>
      </c>
      <c r="Q1022" s="1">
        <v>0.17896774193548401</v>
      </c>
      <c r="R1022" s="1">
        <v>0.492349328703092</v>
      </c>
      <c r="S1022" s="1" t="str">
        <f>VLOOKUP($E1022,'Product Naming'!$A$1:$P$58,2,FALSE)</f>
        <v>Pentanol-PW1</v>
      </c>
      <c r="T1022" s="1" t="str">
        <f>VLOOKUP($E1022,'Product Naming'!$A$1:$P$58,3,FALSE)</f>
        <v>Pentanol (PW1)</v>
      </c>
      <c r="U1022" s="1" t="str">
        <f>VLOOKUP($E1022,'Product Naming'!$A$1:$P$58,4,FALSE)</f>
        <v>E</v>
      </c>
      <c r="V1022" s="1" t="str">
        <f>VLOOKUP($E1022,'Product Naming'!$A$1:$P$58,5,FALSE)</f>
        <v>C5H12O</v>
      </c>
      <c r="W1022" s="1">
        <f>VLOOKUP($E1022,'Product Naming'!$A$1:$P$58,6,FALSE)</f>
        <v>5</v>
      </c>
      <c r="X1022" s="1">
        <f>VLOOKUP($E1022,'Product Naming'!$A$1:$P$58,7,FALSE)</f>
        <v>12</v>
      </c>
      <c r="Y1022" s="1">
        <f>VLOOKUP($E1022,'Product Naming'!$A$1:$P$58,8,FALSE)</f>
        <v>1</v>
      </c>
      <c r="Z1022" s="1">
        <f>VLOOKUP($E1022,'Product Naming'!$A$1:$P$58,9,FALSE)</f>
        <v>0</v>
      </c>
      <c r="AA1022" s="1">
        <f>VLOOKUP($E1022,'Product Naming'!$A$1:$P$58,10,FALSE)</f>
        <v>0</v>
      </c>
      <c r="AB1022" s="29">
        <f>VLOOKUP($E1022,'Product Naming'!$A$1:$P$58,11,FALSE)</f>
        <v>6</v>
      </c>
      <c r="AC1022" s="3">
        <f>VLOOKUP($E1022,'Product Naming'!$A$1:$P$58,12,FALSE)</f>
        <v>88.14658</v>
      </c>
      <c r="AD1022" s="1">
        <f>VLOOKUP($E1022,'Product Naming'!$A$1:$P$58,13,FALSE)</f>
        <v>138</v>
      </c>
      <c r="AE1022" s="1" t="str">
        <f>VLOOKUP($E1022,'Product Naming'!$A$1:$P$58,14,FALSE)</f>
        <v>Alcohol</v>
      </c>
      <c r="AF1022" s="1" t="str">
        <f>VLOOKUP($E1022,'Product Naming'!$A$1:$P$58,15,FALSE)</f>
        <v>Acetyl-CoA + Succinyl-CoA</v>
      </c>
      <c r="AG1022" s="30" t="str">
        <f>VLOOKUP($E1022,'Product Naming'!$A$1:$P$58,16,FALSE)</f>
        <v>Proton symporter</v>
      </c>
      <c r="AH1022" s="3" t="str">
        <f>VLOOKUP($E1022,'Product Naming'!$A$1:$Q$58,17,FALSE)</f>
        <v>pentoh_c</v>
      </c>
      <c r="AI1022" s="1">
        <f>VLOOKUP($E1022,'Product Parameters'!$A$2:$D$59,2,FALSE)</f>
        <v>1</v>
      </c>
      <c r="AJ1022" s="1">
        <f>VLOOKUP($E1022,'Product Parameters'!$A$2:$D$59,3,FALSE)</f>
        <v>0</v>
      </c>
      <c r="AK1022" s="1">
        <f>VLOOKUP($E1022,'Product Parameters'!$A$2:$D$59,4,FALSE)</f>
        <v>0.12</v>
      </c>
      <c r="AL1022" s="1">
        <f>VLOOKUP($E1022,'Product Parameters'!$A$2:$E$59,5,FALSE)</f>
        <v>57</v>
      </c>
      <c r="AM1022" s="1">
        <f>VLOOKUP($E1022,'Product Parameters'!$A$2:$F$59,6,FALSE)</f>
        <v>5</v>
      </c>
      <c r="AN1022" s="1">
        <f>VLOOKUP($C1022,'Substrate Heating'!$A$2:$C$33,3,FALSE)</f>
        <v>638.57832580000002</v>
      </c>
      <c r="AO1022" s="1">
        <f>VLOOKUP($C1022,'Substrate Heating'!$A$2:$B$33,2,FALSE)</f>
        <v>19.93</v>
      </c>
      <c r="AP1022" s="1">
        <f>VLOOKUP($C1022,'Substrate Heating'!$A$2:$M$33,13,FALSE)</f>
        <v>6</v>
      </c>
      <c r="AQ1022" s="1">
        <f>VLOOKUP($C1022,'Substrate Heating'!$A$2:$M$33,8,FALSE)</f>
        <v>1</v>
      </c>
      <c r="AR1022" s="1">
        <f t="shared" si="15"/>
        <v>0.89483870967742007</v>
      </c>
    </row>
    <row r="1023" spans="1:44" x14ac:dyDescent="0.2">
      <c r="A1023" s="8" t="s">
        <v>34</v>
      </c>
      <c r="B1023" s="9" t="s">
        <v>35</v>
      </c>
      <c r="C1023" s="1" t="s">
        <v>347</v>
      </c>
      <c r="D1023" s="23" t="s">
        <v>338</v>
      </c>
      <c r="E1023" s="1" t="s">
        <v>291</v>
      </c>
      <c r="F1023" s="1" t="s">
        <v>292</v>
      </c>
      <c r="G1023" s="1">
        <v>-10</v>
      </c>
      <c r="H1023" s="1">
        <v>-20</v>
      </c>
      <c r="I1023" s="1" t="s">
        <v>40</v>
      </c>
      <c r="J1023" s="1">
        <v>3.15</v>
      </c>
      <c r="K1023" s="1">
        <v>-10</v>
      </c>
      <c r="L1023" s="1">
        <v>-1.5774193548387101</v>
      </c>
      <c r="M1023" s="1" t="s">
        <v>40</v>
      </c>
      <c r="N1023" s="1">
        <v>1.0516129032258099</v>
      </c>
      <c r="O1023" s="1">
        <v>1.7896774193548399</v>
      </c>
      <c r="Q1023" s="1">
        <v>0.17896774193548401</v>
      </c>
      <c r="R1023" s="1">
        <v>0.492349328703092</v>
      </c>
      <c r="S1023" s="1" t="str">
        <f>VLOOKUP($E1023,'Product Naming'!$A$1:$P$58,2,FALSE)</f>
        <v>Pentanol-PW1</v>
      </c>
      <c r="T1023" s="1" t="str">
        <f>VLOOKUP($E1023,'Product Naming'!$A$1:$P$58,3,FALSE)</f>
        <v>Pentanol (PW1)</v>
      </c>
      <c r="U1023" s="1" t="str">
        <f>VLOOKUP($E1023,'Product Naming'!$A$1:$P$58,4,FALSE)</f>
        <v>E</v>
      </c>
      <c r="V1023" s="1" t="str">
        <f>VLOOKUP($E1023,'Product Naming'!$A$1:$P$58,5,FALSE)</f>
        <v>C5H12O</v>
      </c>
      <c r="W1023" s="1">
        <f>VLOOKUP($E1023,'Product Naming'!$A$1:$P$58,6,FALSE)</f>
        <v>5</v>
      </c>
      <c r="X1023" s="1">
        <f>VLOOKUP($E1023,'Product Naming'!$A$1:$P$58,7,FALSE)</f>
        <v>12</v>
      </c>
      <c r="Y1023" s="1">
        <f>VLOOKUP($E1023,'Product Naming'!$A$1:$P$58,8,FALSE)</f>
        <v>1</v>
      </c>
      <c r="Z1023" s="1">
        <f>VLOOKUP($E1023,'Product Naming'!$A$1:$P$58,9,FALSE)</f>
        <v>0</v>
      </c>
      <c r="AA1023" s="1">
        <f>VLOOKUP($E1023,'Product Naming'!$A$1:$P$58,10,FALSE)</f>
        <v>0</v>
      </c>
      <c r="AB1023" s="29">
        <f>VLOOKUP($E1023,'Product Naming'!$A$1:$P$58,11,FALSE)</f>
        <v>6</v>
      </c>
      <c r="AC1023" s="3">
        <f>VLOOKUP($E1023,'Product Naming'!$A$1:$P$58,12,FALSE)</f>
        <v>88.14658</v>
      </c>
      <c r="AD1023" s="1">
        <f>VLOOKUP($E1023,'Product Naming'!$A$1:$P$58,13,FALSE)</f>
        <v>138</v>
      </c>
      <c r="AE1023" s="1" t="str">
        <f>VLOOKUP($E1023,'Product Naming'!$A$1:$P$58,14,FALSE)</f>
        <v>Alcohol</v>
      </c>
      <c r="AF1023" s="1" t="str">
        <f>VLOOKUP($E1023,'Product Naming'!$A$1:$P$58,15,FALSE)</f>
        <v>Acetyl-CoA + Succinyl-CoA</v>
      </c>
      <c r="AG1023" s="30" t="str">
        <f>VLOOKUP($E1023,'Product Naming'!$A$1:$P$58,16,FALSE)</f>
        <v>Proton symporter</v>
      </c>
      <c r="AH1023" s="3" t="str">
        <f>VLOOKUP($E1023,'Product Naming'!$A$1:$Q$58,17,FALSE)</f>
        <v>pentoh_c</v>
      </c>
      <c r="AI1023" s="1">
        <f>VLOOKUP($E1023,'Product Parameters'!$A$2:$D$59,2,FALSE)</f>
        <v>1</v>
      </c>
      <c r="AJ1023" s="1">
        <f>VLOOKUP($E1023,'Product Parameters'!$A$2:$D$59,3,FALSE)</f>
        <v>0</v>
      </c>
      <c r="AK1023" s="1">
        <f>VLOOKUP($E1023,'Product Parameters'!$A$2:$D$59,4,FALSE)</f>
        <v>0.12</v>
      </c>
      <c r="AL1023" s="1">
        <f>VLOOKUP($E1023,'Product Parameters'!$A$2:$E$59,5,FALSE)</f>
        <v>57</v>
      </c>
      <c r="AM1023" s="1">
        <f>VLOOKUP($E1023,'Product Parameters'!$A$2:$F$59,6,FALSE)</f>
        <v>5</v>
      </c>
      <c r="AN1023" s="1">
        <f>VLOOKUP($C1023,'Substrate Heating'!$A$2:$C$33,3,FALSE)</f>
        <v>638.57832580000002</v>
      </c>
      <c r="AO1023" s="1">
        <f>VLOOKUP($C1023,'Substrate Heating'!$A$2:$B$33,2,FALSE)</f>
        <v>19.93</v>
      </c>
      <c r="AP1023" s="1">
        <f>VLOOKUP($C1023,'Substrate Heating'!$A$2:$M$33,13,FALSE)</f>
        <v>6</v>
      </c>
      <c r="AQ1023" s="1">
        <f>VLOOKUP($C1023,'Substrate Heating'!$A$2:$M$33,8,FALSE)</f>
        <v>1</v>
      </c>
      <c r="AR1023" s="1">
        <f t="shared" si="15"/>
        <v>0.89483870967742007</v>
      </c>
    </row>
    <row r="1024" spans="1:44" x14ac:dyDescent="0.2">
      <c r="A1024" s="8" t="s">
        <v>34</v>
      </c>
      <c r="B1024" s="9" t="s">
        <v>35</v>
      </c>
      <c r="C1024" s="1" t="s">
        <v>330</v>
      </c>
      <c r="D1024" s="22" t="s">
        <v>37</v>
      </c>
      <c r="E1024" s="1" t="s">
        <v>38</v>
      </c>
      <c r="F1024" s="1" t="s">
        <v>39</v>
      </c>
      <c r="G1024" s="1">
        <v>-10</v>
      </c>
      <c r="H1024" s="1">
        <v>-20</v>
      </c>
      <c r="I1024" s="1" t="s">
        <v>40</v>
      </c>
      <c r="J1024" s="1">
        <v>3.15</v>
      </c>
      <c r="K1024" s="1">
        <v>-10</v>
      </c>
      <c r="L1024" s="1">
        <v>-6.3436507936507898</v>
      </c>
      <c r="M1024" s="1" t="s">
        <v>40</v>
      </c>
      <c r="N1024" s="1">
        <v>6.4317460317460302</v>
      </c>
      <c r="O1024" s="1">
        <v>3.3920634920634898</v>
      </c>
      <c r="Q1024" s="1">
        <v>0.33920634920634901</v>
      </c>
      <c r="R1024" s="1">
        <v>0.49252099083234802</v>
      </c>
      <c r="S1024" s="1" t="str">
        <f>VLOOKUP($E1024,'Product Naming'!$A$1:$P$58,2,FALSE)</f>
        <v>1-3-butanediol-PW1</v>
      </c>
      <c r="T1024" s="1" t="str">
        <f>VLOOKUP($E1024,'Product Naming'!$A$1:$P$58,3,FALSE)</f>
        <v>1,3-Butanediol (PW1)</v>
      </c>
      <c r="U1024" s="1" t="str">
        <f>VLOOKUP($E1024,'Product Naming'!$A$1:$P$58,4,FALSE)</f>
        <v>E</v>
      </c>
      <c r="V1024" s="1" t="str">
        <f>VLOOKUP($E1024,'Product Naming'!$A$1:$P$58,5,FALSE)</f>
        <v>C4H10O2</v>
      </c>
      <c r="W1024" s="1">
        <f>VLOOKUP($E1024,'Product Naming'!$A$1:$P$58,6,FALSE)</f>
        <v>4</v>
      </c>
      <c r="X1024" s="1">
        <f>VLOOKUP($E1024,'Product Naming'!$A$1:$P$58,7,FALSE)</f>
        <v>10</v>
      </c>
      <c r="Y1024" s="1">
        <f>VLOOKUP($E1024,'Product Naming'!$A$1:$P$58,8,FALSE)</f>
        <v>2</v>
      </c>
      <c r="Z1024" s="1">
        <f>VLOOKUP($E1024,'Product Naming'!$A$1:$P$58,9,FALSE)</f>
        <v>0</v>
      </c>
      <c r="AA1024" s="1">
        <f>VLOOKUP($E1024,'Product Naming'!$A$1:$P$58,10,FALSE)</f>
        <v>0</v>
      </c>
      <c r="AB1024" s="29">
        <f>VLOOKUP($E1024,'Product Naming'!$A$1:$P$58,11,FALSE)</f>
        <v>5.5</v>
      </c>
      <c r="AC1024" s="3">
        <f>VLOOKUP($E1024,'Product Naming'!$A$1:$P$58,12,FALSE)</f>
        <v>90.119200000000006</v>
      </c>
      <c r="AD1024" s="1">
        <f>VLOOKUP($E1024,'Product Naming'!$A$1:$P$58,13,FALSE)</f>
        <v>207</v>
      </c>
      <c r="AE1024" s="1" t="str">
        <f>VLOOKUP($E1024,'Product Naming'!$A$1:$P$58,14,FALSE)</f>
        <v>Diol</v>
      </c>
      <c r="AF1024" s="1" t="str">
        <f>VLOOKUP($E1024,'Product Naming'!$A$1:$P$58,15,FALSE)</f>
        <v>Acetyl-CoA</v>
      </c>
      <c r="AG1024" s="30" t="str">
        <f>VLOOKUP($E1024,'Product Naming'!$A$1:$P$58,16,FALSE)</f>
        <v>Proton symporter</v>
      </c>
      <c r="AH1024" s="3" t="str">
        <f>VLOOKUP($E1024,'Product Naming'!$A$1:$Q$58,17,FALSE)</f>
        <v>13bdo__R_c</v>
      </c>
      <c r="AI1024" s="1">
        <f>VLOOKUP($E1024,'Product Parameters'!$A$2:$D$59,2,FALSE)</f>
        <v>1</v>
      </c>
      <c r="AJ1024" s="1">
        <f>VLOOKUP($E1024,'Product Parameters'!$A$2:$D$59,3,FALSE)</f>
        <v>0</v>
      </c>
      <c r="AK1024" s="1">
        <f>VLOOKUP($E1024,'Product Parameters'!$A$2:$D$59,4,FALSE)</f>
        <v>0.12</v>
      </c>
      <c r="AL1024" s="1">
        <f>VLOOKUP($E1024,'Product Parameters'!$A$2:$E$59,5,FALSE)</f>
        <v>72.599999999999994</v>
      </c>
      <c r="AM1024" s="1">
        <f>VLOOKUP($E1024,'Product Parameters'!$A$2:$F$59,6,FALSE)</f>
        <v>4</v>
      </c>
      <c r="AN1024" s="1">
        <f>VLOOKUP($C1024,'Substrate Heating'!$A$2:$C$33,3,FALSE)</f>
        <v>1055.1294800000001</v>
      </c>
      <c r="AO1024" s="1">
        <f>VLOOKUP($C1024,'Substrate Heating'!$A$2:$B$33,2,FALSE)</f>
        <v>17</v>
      </c>
      <c r="AP1024" s="1">
        <f>VLOOKUP($C1024,'Substrate Heating'!$A$2:$M$33,13,FALSE)</f>
        <v>5</v>
      </c>
      <c r="AQ1024" s="1">
        <f>VLOOKUP($C1024,'Substrate Heating'!$A$2:$M$33,8,FALSE)</f>
        <v>2</v>
      </c>
      <c r="AR1024" s="1">
        <f t="shared" si="15"/>
        <v>0.67841269841269802</v>
      </c>
    </row>
    <row r="1025" spans="1:44" x14ac:dyDescent="0.2">
      <c r="A1025" s="17" t="s">
        <v>185</v>
      </c>
      <c r="B1025" s="9" t="s">
        <v>35</v>
      </c>
      <c r="C1025" t="s">
        <v>322</v>
      </c>
      <c r="D1025" s="10" t="s">
        <v>37</v>
      </c>
      <c r="E1025" t="s">
        <v>264</v>
      </c>
      <c r="F1025" t="s">
        <v>265</v>
      </c>
      <c r="G1025">
        <v>-10</v>
      </c>
      <c r="H1025">
        <v>-20</v>
      </c>
      <c r="I1025" s="1" t="s">
        <v>40</v>
      </c>
      <c r="J1025">
        <v>3.15</v>
      </c>
      <c r="K1025">
        <v>-10</v>
      </c>
      <c r="L1025">
        <v>-6.14</v>
      </c>
      <c r="M1025" s="1" t="s">
        <v>40</v>
      </c>
      <c r="N1025">
        <v>8.1200000000000099</v>
      </c>
      <c r="O1025">
        <v>1.98</v>
      </c>
      <c r="P1025"/>
      <c r="Q1025">
        <v>0.19800000000000001</v>
      </c>
      <c r="R1025">
        <v>0.49361131868139402</v>
      </c>
      <c r="S1025" s="1" t="str">
        <f>VLOOKUP($E1025,'Product Naming'!$A$1:$P$58,2,FALSE)</f>
        <v>Lysine_L</v>
      </c>
      <c r="T1025" s="1" t="str">
        <f>VLOOKUP($E1025,'Product Naming'!$A$1:$P$58,3,FALSE)</f>
        <v>L-Lysine</v>
      </c>
      <c r="U1025" s="1" t="str">
        <f>VLOOKUP($E1025,'Product Naming'!$A$1:$P$58,4,FALSE)</f>
        <v>iJO1366</v>
      </c>
      <c r="V1025" s="1" t="str">
        <f>VLOOKUP($E1025,'Product Naming'!$A$1:$P$58,5,FALSE)</f>
        <v>C6H15N2O2</v>
      </c>
      <c r="W1025" s="1">
        <f>VLOOKUP($E1025,'Product Naming'!$A$1:$P$58,6,FALSE)</f>
        <v>6</v>
      </c>
      <c r="X1025" s="1">
        <f>VLOOKUP($E1025,'Product Naming'!$A$1:$P$58,7,FALSE)</f>
        <v>15</v>
      </c>
      <c r="Y1025" s="1">
        <f>VLOOKUP($E1025,'Product Naming'!$A$1:$P$58,8,FALSE)</f>
        <v>2</v>
      </c>
      <c r="Z1025" s="1">
        <f>VLOOKUP($E1025,'Product Naming'!$A$1:$P$58,9,FALSE)</f>
        <v>2</v>
      </c>
      <c r="AA1025" s="1">
        <f>VLOOKUP($E1025,'Product Naming'!$A$1:$P$58,10,FALSE)</f>
        <v>1</v>
      </c>
      <c r="AB1025" s="29">
        <f>VLOOKUP($E1025,'Product Naming'!$A$1:$P$58,11,FALSE)</f>
        <v>4.833333333333333</v>
      </c>
      <c r="AC1025" s="3">
        <f>VLOOKUP($E1025,'Product Naming'!$A$1:$P$58,12,FALSE)</f>
        <v>147.19319999999999</v>
      </c>
      <c r="AD1025" s="1" t="str">
        <f>VLOOKUP($E1025,'Product Naming'!$A$1:$P$58,13,FALSE)</f>
        <v>NA</v>
      </c>
      <c r="AE1025" s="1" t="str">
        <f>VLOOKUP($E1025,'Product Naming'!$A$1:$P$58,14,FALSE)</f>
        <v>Amino acid</v>
      </c>
      <c r="AF1025" s="1" t="str">
        <f>VLOOKUP($E1025,'Product Naming'!$A$1:$P$58,15,FALSE)</f>
        <v>Oxaloacetate</v>
      </c>
      <c r="AG1025" s="30" t="str">
        <f>VLOOKUP($E1025,'Product Naming'!$A$1:$P$58,16,FALSE)</f>
        <v>Proton antiport</v>
      </c>
      <c r="AH1025" s="3" t="str">
        <f>VLOOKUP($E1025,'Product Naming'!$A$1:$Q$58,17,FALSE)</f>
        <v>lys__L_</v>
      </c>
      <c r="AI1025" s="1">
        <f>VLOOKUP($E1025,'Product Parameters'!$A$2:$D$59,2,FALSE)</f>
        <v>1</v>
      </c>
      <c r="AJ1025" s="1">
        <f>VLOOKUP($E1025,'Product Parameters'!$A$2:$D$59,3,FALSE)</f>
        <v>0</v>
      </c>
      <c r="AK1025" s="1">
        <f>VLOOKUP($E1025,'Product Parameters'!$A$2:$D$59,4,FALSE)</f>
        <v>0.12</v>
      </c>
      <c r="AL1025" s="1">
        <f>VLOOKUP($E1025,'Product Parameters'!$A$2:$E$59,5,FALSE)</f>
        <v>40.65</v>
      </c>
      <c r="AM1025" s="1">
        <f>VLOOKUP($E1025,'Product Parameters'!$A$2:$F$59,6,FALSE)</f>
        <v>6</v>
      </c>
      <c r="AN1025" s="1">
        <f>VLOOKUP($C1025,'Substrate Heating'!$A$2:$C$33,3,FALSE)</f>
        <v>876.74109599999997</v>
      </c>
      <c r="AO1025" s="1">
        <f>VLOOKUP($C1025,'Substrate Heating'!$A$2:$B$33,2,FALSE)</f>
        <v>14.6</v>
      </c>
      <c r="AP1025" s="1">
        <f>VLOOKUP($C1025,'Substrate Heating'!$A$2:$M$33,13,FALSE)</f>
        <v>3.5</v>
      </c>
      <c r="AQ1025" s="1">
        <f>VLOOKUP($C1025,'Substrate Heating'!$A$2:$M$33,8,FALSE)</f>
        <v>2</v>
      </c>
      <c r="AR1025" s="1">
        <f t="shared" si="15"/>
        <v>0.59400000000000008</v>
      </c>
    </row>
    <row r="1026" spans="1:44" x14ac:dyDescent="0.2">
      <c r="A1026" s="8" t="s">
        <v>34</v>
      </c>
      <c r="B1026" s="9" t="s">
        <v>35</v>
      </c>
      <c r="C1026" s="1" t="s">
        <v>343</v>
      </c>
      <c r="D1026" s="24" t="s">
        <v>342</v>
      </c>
      <c r="E1026" s="1" t="s">
        <v>119</v>
      </c>
      <c r="F1026" s="1" t="s">
        <v>120</v>
      </c>
      <c r="G1026" s="1">
        <v>-10</v>
      </c>
      <c r="H1026" s="1">
        <v>-20</v>
      </c>
      <c r="I1026" s="1" t="s">
        <v>40</v>
      </c>
      <c r="J1026" s="1">
        <v>3.15</v>
      </c>
      <c r="K1026" s="1">
        <v>-10</v>
      </c>
      <c r="L1026" s="1">
        <v>-3.5898989898989799</v>
      </c>
      <c r="M1026" s="1" t="s">
        <v>40</v>
      </c>
      <c r="N1026" s="1">
        <v>6.4424242424241696</v>
      </c>
      <c r="O1026" s="1">
        <v>7.8525252525252096</v>
      </c>
      <c r="Q1026" s="1">
        <v>0.78525252525252098</v>
      </c>
      <c r="R1026" s="1">
        <v>0.49521244853313101</v>
      </c>
      <c r="S1026" s="1" t="str">
        <f>VLOOKUP($E1026,'Product Naming'!$A$1:$P$58,2,FALSE)</f>
        <v>Acetone</v>
      </c>
      <c r="T1026" s="1" t="str">
        <f>VLOOKUP($E1026,'Product Naming'!$A$1:$P$58,3,FALSE)</f>
        <v>Acetone</v>
      </c>
      <c r="U1026" s="1" t="str">
        <f>VLOOKUP($E1026,'Product Naming'!$A$1:$P$58,4,FALSE)</f>
        <v>A</v>
      </c>
      <c r="V1026" s="1" t="str">
        <f>VLOOKUP($E1026,'Product Naming'!$A$1:$P$58,5,FALSE)</f>
        <v>C3H6O</v>
      </c>
      <c r="W1026" s="1">
        <f>VLOOKUP($E1026,'Product Naming'!$A$1:$P$58,6,FALSE)</f>
        <v>3</v>
      </c>
      <c r="X1026" s="1">
        <f>VLOOKUP($E1026,'Product Naming'!$A$1:$P$58,7,FALSE)</f>
        <v>6</v>
      </c>
      <c r="Y1026" s="1">
        <f>VLOOKUP($E1026,'Product Naming'!$A$1:$P$58,8,FALSE)</f>
        <v>1</v>
      </c>
      <c r="Z1026" s="1">
        <f>VLOOKUP($E1026,'Product Naming'!$A$1:$P$58,9,FALSE)</f>
        <v>0</v>
      </c>
      <c r="AA1026" s="1">
        <f>VLOOKUP($E1026,'Product Naming'!$A$1:$P$58,10,FALSE)</f>
        <v>0</v>
      </c>
      <c r="AB1026" s="29">
        <f>VLOOKUP($E1026,'Product Naming'!$A$1:$P$58,11,FALSE)</f>
        <v>5.333333333333333</v>
      </c>
      <c r="AC1026" s="3">
        <f>VLOOKUP($E1026,'Product Naming'!$A$1:$P$58,12,FALSE)</f>
        <v>58.078140000000005</v>
      </c>
      <c r="AD1026" s="1">
        <f>VLOOKUP($E1026,'Product Naming'!$A$1:$P$58,13,FALSE)</f>
        <v>56</v>
      </c>
      <c r="AE1026" s="1" t="str">
        <f>VLOOKUP($E1026,'Product Naming'!$A$1:$P$58,14,FALSE)</f>
        <v>Ketone</v>
      </c>
      <c r="AF1026" s="1" t="str">
        <f>VLOOKUP($E1026,'Product Naming'!$A$1:$P$58,15,FALSE)</f>
        <v>Acetyl-CoA</v>
      </c>
      <c r="AG1026" s="30" t="str">
        <f>VLOOKUP($E1026,'Product Naming'!$A$1:$P$58,16,FALSE)</f>
        <v>Proton symporter</v>
      </c>
      <c r="AH1026" s="3" t="str">
        <f>VLOOKUP($E1026,'Product Naming'!$A$1:$Q$58,17,FALSE)</f>
        <v>acetone_c</v>
      </c>
      <c r="AI1026" s="1">
        <f>VLOOKUP($E1026,'Product Parameters'!$A$2:$D$59,2,FALSE)</f>
        <v>1</v>
      </c>
      <c r="AJ1026" s="1">
        <f>VLOOKUP($E1026,'Product Parameters'!$A$2:$D$59,3,FALSE)</f>
        <v>0</v>
      </c>
      <c r="AK1026" s="1">
        <f>VLOOKUP($E1026,'Product Parameters'!$A$2:$D$59,4,FALSE)</f>
        <v>0.12</v>
      </c>
      <c r="AL1026" s="1">
        <f>VLOOKUP($E1026,'Product Parameters'!$A$2:$E$59,5,FALSE)</f>
        <v>31.3</v>
      </c>
      <c r="AM1026" s="1">
        <f>VLOOKUP($E1026,'Product Parameters'!$A$2:$F$59,6,FALSE)</f>
        <v>3</v>
      </c>
      <c r="AN1026" s="1">
        <f>VLOOKUP($C1026,'Substrate Heating'!$A$2:$C$33,3,FALSE)</f>
        <v>1648.4793779999998</v>
      </c>
      <c r="AO1026" s="1">
        <f>VLOOKUP($C1026,'Substrate Heating'!$A$2:$B$33,2,FALSE)</f>
        <v>17.899999999999999</v>
      </c>
      <c r="AP1026" s="1">
        <f>VLOOKUP($C1026,'Substrate Heating'!$A$2:$M$33,13,FALSE)</f>
        <v>4.666666666666667</v>
      </c>
      <c r="AQ1026" s="1">
        <f>VLOOKUP($C1026,'Substrate Heating'!$A$2:$M$33,8,FALSE)</f>
        <v>3</v>
      </c>
      <c r="AR1026" s="1">
        <f t="shared" si="15"/>
        <v>0.78525252525252098</v>
      </c>
    </row>
    <row r="1027" spans="1:44" x14ac:dyDescent="0.2">
      <c r="A1027" s="8" t="s">
        <v>34</v>
      </c>
      <c r="B1027" s="9" t="s">
        <v>35</v>
      </c>
      <c r="C1027" s="1" t="s">
        <v>322</v>
      </c>
      <c r="D1027" s="10" t="s">
        <v>37</v>
      </c>
      <c r="E1027" s="1" t="s">
        <v>221</v>
      </c>
      <c r="F1027" s="1" t="s">
        <v>222</v>
      </c>
      <c r="G1027" s="1">
        <v>-10</v>
      </c>
      <c r="H1027" s="1">
        <v>-20</v>
      </c>
      <c r="I1027" s="1" t="s">
        <v>40</v>
      </c>
      <c r="J1027" s="1">
        <v>3.15</v>
      </c>
      <c r="K1027" s="1">
        <v>-10</v>
      </c>
      <c r="L1027" s="1">
        <v>-8.7105263157894708</v>
      </c>
      <c r="M1027" s="1" t="s">
        <v>40</v>
      </c>
      <c r="N1027" s="1">
        <v>8.7105263157894708</v>
      </c>
      <c r="O1027" s="1">
        <v>2.2578947368421001</v>
      </c>
      <c r="Q1027" s="1">
        <v>0.22578947368421001</v>
      </c>
      <c r="R1027" s="1">
        <v>0.49750976568802602</v>
      </c>
      <c r="S1027" s="1" t="str">
        <f>VLOOKUP($E1027,'Product Naming'!$A$1:$P$58,2,FALSE)</f>
        <v>Glutarate</v>
      </c>
      <c r="T1027" s="1" t="str">
        <f>VLOOKUP($E1027,'Product Naming'!$A$1:$P$58,3,FALSE)</f>
        <v>Glutarate</v>
      </c>
      <c r="U1027" s="1" t="str">
        <f>VLOOKUP($E1027,'Product Naming'!$A$1:$P$58,4,FALSE)</f>
        <v>A</v>
      </c>
      <c r="V1027" s="1" t="str">
        <f>VLOOKUP($E1027,'Product Naming'!$A$1:$P$58,5,FALSE)</f>
        <v>C5H6O4</v>
      </c>
      <c r="W1027" s="1">
        <f>VLOOKUP($E1027,'Product Naming'!$A$1:$P$58,6,FALSE)</f>
        <v>5</v>
      </c>
      <c r="X1027" s="1">
        <f>VLOOKUP($E1027,'Product Naming'!$A$1:$P$58,7,FALSE)</f>
        <v>6</v>
      </c>
      <c r="Y1027" s="1">
        <f>VLOOKUP($E1027,'Product Naming'!$A$1:$P$58,8,FALSE)</f>
        <v>4</v>
      </c>
      <c r="Z1027" s="1">
        <f>VLOOKUP($E1027,'Product Naming'!$A$1:$P$58,9,FALSE)</f>
        <v>0</v>
      </c>
      <c r="AA1027" s="1">
        <f>VLOOKUP($E1027,'Product Naming'!$A$1:$P$58,10,FALSE)</f>
        <v>-2</v>
      </c>
      <c r="AB1027" s="29">
        <f>VLOOKUP($E1027,'Product Naming'!$A$1:$P$58,11,FALSE)</f>
        <v>3.6</v>
      </c>
      <c r="AC1027" s="3">
        <f>VLOOKUP($E1027,'Product Naming'!$A$1:$P$58,12,FALSE)</f>
        <v>130.09654</v>
      </c>
      <c r="AD1027" s="1">
        <f>VLOOKUP($E1027,'Product Naming'!$A$1:$P$58,13,FALSE)</f>
        <v>200</v>
      </c>
      <c r="AE1027" s="1" t="str">
        <f>VLOOKUP($E1027,'Product Naming'!$A$1:$P$58,14,FALSE)</f>
        <v>Dicarboxylate</v>
      </c>
      <c r="AF1027" s="1" t="str">
        <f>VLOOKUP($E1027,'Product Naming'!$A$1:$P$58,15,FALSE)</f>
        <v>Oxaloacetate + aKG</v>
      </c>
      <c r="AG1027" s="30" t="str">
        <f>VLOOKUP($E1027,'Product Naming'!$A$1:$P$58,16,FALSE)</f>
        <v>Proton symporter</v>
      </c>
      <c r="AH1027" s="3" t="str">
        <f>VLOOKUP($E1027,'Product Naming'!$A$1:$Q$58,17,FALSE)</f>
        <v>glutar_c</v>
      </c>
      <c r="AI1027" s="1">
        <f>VLOOKUP($E1027,'Product Parameters'!$A$2:$D$59,2,FALSE)</f>
        <v>1</v>
      </c>
      <c r="AJ1027" s="1">
        <f>VLOOKUP($E1027,'Product Parameters'!$A$2:$D$59,3,FALSE)</f>
        <v>0</v>
      </c>
      <c r="AK1027" s="1">
        <f>VLOOKUP($E1027,'Product Parameters'!$A$2:$D$59,4,FALSE)</f>
        <v>0.12</v>
      </c>
      <c r="AL1027" s="1">
        <f>VLOOKUP($E1027,'Product Parameters'!$A$2:$E$59,5,FALSE)</f>
        <v>40.65</v>
      </c>
      <c r="AM1027" s="1">
        <f>VLOOKUP($E1027,'Product Parameters'!$A$2:$F$59,6,FALSE)</f>
        <v>5</v>
      </c>
      <c r="AN1027" s="1">
        <f>VLOOKUP($C1027,'Substrate Heating'!$A$2:$C$33,3,FALSE)</f>
        <v>876.74109599999997</v>
      </c>
      <c r="AO1027" s="1">
        <f>VLOOKUP($C1027,'Substrate Heating'!$A$2:$B$33,2,FALSE)</f>
        <v>14.6</v>
      </c>
      <c r="AP1027" s="1">
        <f>VLOOKUP($C1027,'Substrate Heating'!$A$2:$M$33,13,FALSE)</f>
        <v>3.5</v>
      </c>
      <c r="AQ1027" s="1">
        <f>VLOOKUP($C1027,'Substrate Heating'!$A$2:$M$33,8,FALSE)</f>
        <v>2</v>
      </c>
      <c r="AR1027" s="1">
        <f t="shared" ref="AR1027:AR1090" si="16">Q1027*W1027/AQ1027</f>
        <v>0.56447368421052502</v>
      </c>
    </row>
    <row r="1028" spans="1:44" x14ac:dyDescent="0.2">
      <c r="A1028" s="8" t="s">
        <v>34</v>
      </c>
      <c r="B1028" s="9" t="s">
        <v>35</v>
      </c>
      <c r="C1028" s="1" t="s">
        <v>330</v>
      </c>
      <c r="D1028" s="10" t="s">
        <v>37</v>
      </c>
      <c r="E1028" s="1" t="s">
        <v>244</v>
      </c>
      <c r="F1028" s="1" t="s">
        <v>245</v>
      </c>
      <c r="G1028" s="1">
        <v>-10</v>
      </c>
      <c r="H1028" s="1">
        <v>-20</v>
      </c>
      <c r="I1028" s="1" t="s">
        <v>40</v>
      </c>
      <c r="J1028" s="1">
        <v>3.15</v>
      </c>
      <c r="K1028" s="1">
        <v>-10</v>
      </c>
      <c r="L1028" s="1">
        <v>-7.2460317460317398</v>
      </c>
      <c r="M1028" s="1" t="s">
        <v>40</v>
      </c>
      <c r="N1028" s="1">
        <v>5.7968253968253904</v>
      </c>
      <c r="O1028" s="1">
        <v>3.5507936507936502</v>
      </c>
      <c r="Q1028" s="1">
        <v>0.35507936507936499</v>
      </c>
      <c r="R1028" s="1">
        <v>0.49827086403521997</v>
      </c>
      <c r="S1028" s="1" t="str">
        <f>VLOOKUP($E1028,'Product Naming'!$A$1:$P$58,2,FALSE)</f>
        <v>Isobutyrate</v>
      </c>
      <c r="T1028" s="1" t="str">
        <f>VLOOKUP($E1028,'Product Naming'!$A$1:$P$58,3,FALSE)</f>
        <v>Isobutyrate</v>
      </c>
      <c r="U1028" s="1" t="str">
        <f>VLOOKUP($E1028,'Product Naming'!$A$1:$P$58,4,FALSE)</f>
        <v>A</v>
      </c>
      <c r="V1028" s="1" t="str">
        <f>VLOOKUP($E1028,'Product Naming'!$A$1:$P$58,5,FALSE)</f>
        <v>C4H7O2</v>
      </c>
      <c r="W1028" s="1">
        <f>VLOOKUP($E1028,'Product Naming'!$A$1:$P$58,6,FALSE)</f>
        <v>4</v>
      </c>
      <c r="X1028" s="1">
        <f>VLOOKUP($E1028,'Product Naming'!$A$1:$P$58,7,FALSE)</f>
        <v>7</v>
      </c>
      <c r="Y1028" s="1">
        <f>VLOOKUP($E1028,'Product Naming'!$A$1:$P$58,8,FALSE)</f>
        <v>2</v>
      </c>
      <c r="Z1028" s="1">
        <f>VLOOKUP($E1028,'Product Naming'!$A$1:$P$58,9,FALSE)</f>
        <v>0</v>
      </c>
      <c r="AA1028" s="1">
        <f>VLOOKUP($E1028,'Product Naming'!$A$1:$P$58,10,FALSE)</f>
        <v>-1</v>
      </c>
      <c r="AB1028" s="29">
        <f>VLOOKUP($E1028,'Product Naming'!$A$1:$P$58,11,FALSE)</f>
        <v>4.75</v>
      </c>
      <c r="AC1028" s="3">
        <f>VLOOKUP($E1028,'Product Naming'!$A$1:$P$58,12,FALSE)</f>
        <v>87.095680000000002</v>
      </c>
      <c r="AD1028" s="1">
        <f>VLOOKUP($E1028,'Product Naming'!$A$1:$P$58,13,FALSE)</f>
        <v>155</v>
      </c>
      <c r="AE1028" s="1" t="str">
        <f>VLOOKUP($E1028,'Product Naming'!$A$1:$P$58,14,FALSE)</f>
        <v>Carboxylate</v>
      </c>
      <c r="AF1028" s="1" t="str">
        <f>VLOOKUP($E1028,'Product Naming'!$A$1:$P$58,15,FALSE)</f>
        <v>Pyruvate</v>
      </c>
      <c r="AG1028" s="30" t="str">
        <f>VLOOKUP($E1028,'Product Naming'!$A$1:$P$58,16,FALSE)</f>
        <v>Proton symporter</v>
      </c>
      <c r="AH1028" s="3" t="str">
        <f>VLOOKUP($E1028,'Product Naming'!$A$1:$Q$58,17,FALSE)</f>
        <v>ibt_c</v>
      </c>
      <c r="AI1028" s="1">
        <f>VLOOKUP($E1028,'Product Parameters'!$A$2:$D$59,2,FALSE)</f>
        <v>1</v>
      </c>
      <c r="AJ1028" s="1">
        <f>VLOOKUP($E1028,'Product Parameters'!$A$2:$D$59,3,FALSE)</f>
        <v>0</v>
      </c>
      <c r="AK1028" s="1">
        <f>VLOOKUP($E1028,'Product Parameters'!$A$2:$D$59,4,FALSE)</f>
        <v>0.12</v>
      </c>
      <c r="AL1028" s="1">
        <f>VLOOKUP($E1028,'Product Parameters'!$A$2:$E$59,5,FALSE)</f>
        <v>44.5</v>
      </c>
      <c r="AM1028" s="1">
        <f>VLOOKUP($E1028,'Product Parameters'!$A$2:$F$59,6,FALSE)</f>
        <v>4</v>
      </c>
      <c r="AN1028" s="1">
        <f>VLOOKUP($C1028,'Substrate Heating'!$A$2:$C$33,3,FALSE)</f>
        <v>1055.1294800000001</v>
      </c>
      <c r="AO1028" s="1">
        <f>VLOOKUP($C1028,'Substrate Heating'!$A$2:$B$33,2,FALSE)</f>
        <v>17</v>
      </c>
      <c r="AP1028" s="1">
        <f>VLOOKUP($C1028,'Substrate Heating'!$A$2:$M$33,13,FALSE)</f>
        <v>5</v>
      </c>
      <c r="AQ1028" s="1">
        <f>VLOOKUP($C1028,'Substrate Heating'!$A$2:$M$33,8,FALSE)</f>
        <v>2</v>
      </c>
      <c r="AR1028" s="1">
        <f t="shared" si="16"/>
        <v>0.71015873015872999</v>
      </c>
    </row>
    <row r="1029" spans="1:44" x14ac:dyDescent="0.2">
      <c r="A1029" s="8" t="s">
        <v>812</v>
      </c>
      <c r="B1029" s="18" t="s">
        <v>324</v>
      </c>
      <c r="C1029" t="s">
        <v>814</v>
      </c>
      <c r="E1029" t="s">
        <v>52</v>
      </c>
      <c r="F1029" t="s">
        <v>53</v>
      </c>
      <c r="G1029">
        <v>-10</v>
      </c>
      <c r="H1029">
        <v>0</v>
      </c>
      <c r="I1029">
        <v>-10</v>
      </c>
      <c r="J1029">
        <v>0.45</v>
      </c>
      <c r="K1029">
        <v>-7.6516129032258</v>
      </c>
      <c r="L1029">
        <v>0</v>
      </c>
      <c r="M1029">
        <v>-10</v>
      </c>
      <c r="N1029">
        <v>0</v>
      </c>
      <c r="O1029">
        <v>1.17419354838709</v>
      </c>
      <c r="P1029"/>
      <c r="Q1029">
        <v>0.153456998313659</v>
      </c>
      <c r="R1029">
        <v>0.49831886058332497</v>
      </c>
      <c r="S1029" s="1" t="str">
        <f>VLOOKUP($E1029,'Product Naming'!$A$1:$P$58,2,FALSE)</f>
        <v>1-3-Diaminopropane</v>
      </c>
      <c r="T1029" s="1" t="str">
        <f>VLOOKUP($E1029,'Product Naming'!$A$1:$P$58,3,FALSE)</f>
        <v>1,3-Diaminopropane</v>
      </c>
      <c r="U1029" s="1" t="str">
        <f>VLOOKUP($E1029,'Product Naming'!$A$1:$P$58,4,FALSE)</f>
        <v>A</v>
      </c>
      <c r="V1029" s="1" t="str">
        <f>VLOOKUP($E1029,'Product Naming'!$A$1:$P$58,5,FALSE)</f>
        <v>C3H12N2</v>
      </c>
      <c r="W1029" s="1">
        <f>VLOOKUP($E1029,'Product Naming'!$A$1:$P$58,6,FALSE)</f>
        <v>3</v>
      </c>
      <c r="X1029" s="1">
        <f>VLOOKUP($E1029,'Product Naming'!$A$1:$P$58,7,FALSE)</f>
        <v>12</v>
      </c>
      <c r="Y1029" s="1">
        <f>VLOOKUP($E1029,'Product Naming'!$A$1:$P$58,8,FALSE)</f>
        <v>0</v>
      </c>
      <c r="Z1029" s="1">
        <f>VLOOKUP($E1029,'Product Naming'!$A$1:$P$58,9,FALSE)</f>
        <v>2</v>
      </c>
      <c r="AA1029" s="1">
        <f>VLOOKUP($E1029,'Product Naming'!$A$1:$P$58,10,FALSE)</f>
        <v>2</v>
      </c>
      <c r="AB1029" s="29">
        <f>VLOOKUP($E1029,'Product Naming'!$A$1:$P$58,11,FALSE)</f>
        <v>6</v>
      </c>
      <c r="AC1029" s="3">
        <f>VLOOKUP($E1029,'Product Naming'!$A$1:$P$58,12,FALSE)</f>
        <v>76.139580000000009</v>
      </c>
      <c r="AD1029" s="1">
        <f>VLOOKUP($E1029,'Product Naming'!$A$1:$P$58,13,FALSE)</f>
        <v>139.30000000000001</v>
      </c>
      <c r="AE1029" s="1" t="str">
        <f>VLOOKUP($E1029,'Product Naming'!$A$1:$P$58,14,FALSE)</f>
        <v>Diamine</v>
      </c>
      <c r="AF1029" s="1" t="str">
        <f>VLOOKUP($E1029,'Product Naming'!$A$1:$P$58,15,FALSE)</f>
        <v>Oxaloacetate + aKG</v>
      </c>
      <c r="AG1029" s="30" t="str">
        <f>VLOOKUP($E1029,'Product Naming'!$A$1:$P$58,16,FALSE)</f>
        <v>Proton symporter</v>
      </c>
      <c r="AH1029" s="3" t="str">
        <f>VLOOKUP($E1029,'Product Naming'!$A$1:$Q$58,17,FALSE)</f>
        <v>13dampp_c</v>
      </c>
      <c r="AI1029" s="1">
        <f>VLOOKUP($E1029,'Product Parameters'!$A$2:$D$59,2,FALSE)</f>
        <v>1</v>
      </c>
      <c r="AJ1029" s="1">
        <f>VLOOKUP($E1029,'Product Parameters'!$A$2:$D$59,3,FALSE)</f>
        <v>0</v>
      </c>
      <c r="AK1029" s="1">
        <f>VLOOKUP($E1029,'Product Parameters'!$A$2:$D$59,4,FALSE)</f>
        <v>0.12</v>
      </c>
      <c r="AL1029" s="1">
        <f>VLOOKUP($E1029,'Product Parameters'!$A$2:$E$59,5,FALSE)</f>
        <v>50.18</v>
      </c>
      <c r="AM1029" s="1">
        <f>VLOOKUP($E1029,'Product Parameters'!$A$2:$F$59,6,FALSE)</f>
        <v>3</v>
      </c>
      <c r="AN1029" s="1">
        <f>VLOOKUP($C1029,'Substrate Heating'!$A$2:$C$33,3,FALSE)</f>
        <v>209.92000000000002</v>
      </c>
      <c r="AO1029" s="1">
        <f>VLOOKUP($C1029,'Substrate Heating'!$A$2:$B$33,2,FALSE)</f>
        <v>10.086540906516333</v>
      </c>
      <c r="AP1029" s="1">
        <f>VLOOKUP($C1029,'Substrate Heating'!$A$2:$M$33,13,FALSE)</f>
        <v>0.8</v>
      </c>
      <c r="AQ1029" s="1">
        <f>VLOOKUP($C1029,'Substrate Heating'!$A$2:$M$33,8,FALSE)</f>
        <v>0.8</v>
      </c>
      <c r="AR1029" s="1">
        <f t="shared" si="16"/>
        <v>0.57546374367622122</v>
      </c>
    </row>
    <row r="1030" spans="1:44" x14ac:dyDescent="0.2">
      <c r="A1030" s="8" t="s">
        <v>34</v>
      </c>
      <c r="B1030" s="9" t="s">
        <v>35</v>
      </c>
      <c r="C1030" s="1" t="s">
        <v>322</v>
      </c>
      <c r="D1030" s="10" t="s">
        <v>37</v>
      </c>
      <c r="E1030" s="1" t="s">
        <v>198</v>
      </c>
      <c r="F1030" s="1" t="s">
        <v>199</v>
      </c>
      <c r="G1030" s="1">
        <v>-10</v>
      </c>
      <c r="H1030" s="1">
        <v>-20</v>
      </c>
      <c r="I1030" s="1" t="s">
        <v>40</v>
      </c>
      <c r="J1030" s="1">
        <v>3.15</v>
      </c>
      <c r="K1030" s="1">
        <v>-10</v>
      </c>
      <c r="L1030" s="1">
        <v>-3.28169014084507</v>
      </c>
      <c r="M1030" s="1" t="s">
        <v>40</v>
      </c>
      <c r="N1030" s="1">
        <v>6.6253521126760599</v>
      </c>
      <c r="O1030" s="1">
        <v>3.3436619718309801</v>
      </c>
      <c r="Q1030" s="1">
        <v>0.33436619718309801</v>
      </c>
      <c r="R1030" s="1">
        <v>0.49893939765928003</v>
      </c>
      <c r="S1030" s="1" t="str">
        <f>VLOOKUP($E1030,'Product Naming'!$A$1:$P$58,2,FALSE)</f>
        <v>EthylAcetate</v>
      </c>
      <c r="T1030" s="1" t="str">
        <f>VLOOKUP($E1030,'Product Naming'!$A$1:$P$58,3,FALSE)</f>
        <v>Ethyl acetate</v>
      </c>
      <c r="U1030" s="1" t="str">
        <f>VLOOKUP($E1030,'Product Naming'!$A$1:$P$58,4,FALSE)</f>
        <v>E</v>
      </c>
      <c r="V1030" s="1" t="str">
        <f>VLOOKUP($E1030,'Product Naming'!$A$1:$P$58,5,FALSE)</f>
        <v>C4H8O2</v>
      </c>
      <c r="W1030" s="1">
        <f>VLOOKUP($E1030,'Product Naming'!$A$1:$P$58,6,FALSE)</f>
        <v>4</v>
      </c>
      <c r="X1030" s="1">
        <f>VLOOKUP($E1030,'Product Naming'!$A$1:$P$58,7,FALSE)</f>
        <v>8</v>
      </c>
      <c r="Y1030" s="1">
        <f>VLOOKUP($E1030,'Product Naming'!$A$1:$P$58,8,FALSE)</f>
        <v>2</v>
      </c>
      <c r="Z1030" s="1">
        <f>VLOOKUP($E1030,'Product Naming'!$A$1:$P$58,9,FALSE)</f>
        <v>0</v>
      </c>
      <c r="AA1030" s="1">
        <f>VLOOKUP($E1030,'Product Naming'!$A$1:$P$58,10,FALSE)</f>
        <v>0</v>
      </c>
      <c r="AB1030" s="29">
        <f>VLOOKUP($E1030,'Product Naming'!$A$1:$P$58,11,FALSE)</f>
        <v>5</v>
      </c>
      <c r="AC1030" s="3">
        <f>VLOOKUP($E1030,'Product Naming'!$A$1:$P$58,12,FALSE)</f>
        <v>88.103520000000003</v>
      </c>
      <c r="AD1030" s="1">
        <f>VLOOKUP($E1030,'Product Naming'!$A$1:$P$58,13,FALSE)</f>
        <v>77.099999999999994</v>
      </c>
      <c r="AE1030" s="1" t="str">
        <f>VLOOKUP($E1030,'Product Naming'!$A$1:$P$58,14,FALSE)</f>
        <v>Carboxylate Ester</v>
      </c>
      <c r="AF1030" s="1" t="str">
        <f>VLOOKUP($E1030,'Product Naming'!$A$1:$P$58,15,FALSE)</f>
        <v>Acetyl-CoA</v>
      </c>
      <c r="AG1030" s="30" t="str">
        <f>VLOOKUP($E1030,'Product Naming'!$A$1:$P$58,16,FALSE)</f>
        <v>Proton symporter</v>
      </c>
      <c r="AH1030" s="3" t="str">
        <f>VLOOKUP($E1030,'Product Naming'!$A$1:$Q$58,17,FALSE)</f>
        <v>aces_c</v>
      </c>
      <c r="AI1030" s="1">
        <f>VLOOKUP($E1030,'Product Parameters'!$A$2:$D$59,2,FALSE)</f>
        <v>1</v>
      </c>
      <c r="AJ1030" s="1">
        <f>VLOOKUP($E1030,'Product Parameters'!$A$2:$D$59,3,FALSE)</f>
        <v>0</v>
      </c>
      <c r="AK1030" s="1">
        <f>VLOOKUP($E1030,'Product Parameters'!$A$2:$D$59,4,FALSE)</f>
        <v>0.12</v>
      </c>
      <c r="AL1030" s="1">
        <f>VLOOKUP($E1030,'Product Parameters'!$A$2:$E$59,5,FALSE)</f>
        <v>35</v>
      </c>
      <c r="AM1030" s="1">
        <f>VLOOKUP($E1030,'Product Parameters'!$A$2:$F$59,6,FALSE)</f>
        <v>4</v>
      </c>
      <c r="AN1030" s="1">
        <f>VLOOKUP($C1030,'Substrate Heating'!$A$2:$C$33,3,FALSE)</f>
        <v>876.74109599999997</v>
      </c>
      <c r="AO1030" s="1">
        <f>VLOOKUP($C1030,'Substrate Heating'!$A$2:$B$33,2,FALSE)</f>
        <v>14.6</v>
      </c>
      <c r="AP1030" s="1">
        <f>VLOOKUP($C1030,'Substrate Heating'!$A$2:$M$33,13,FALSE)</f>
        <v>3.5</v>
      </c>
      <c r="AQ1030" s="1">
        <f>VLOOKUP($C1030,'Substrate Heating'!$A$2:$M$33,8,FALSE)</f>
        <v>2</v>
      </c>
      <c r="AR1030" s="1">
        <f t="shared" si="16"/>
        <v>0.66873239436619603</v>
      </c>
    </row>
    <row r="1031" spans="1:44" x14ac:dyDescent="0.2">
      <c r="A1031" s="8" t="s">
        <v>34</v>
      </c>
      <c r="B1031" s="9" t="s">
        <v>35</v>
      </c>
      <c r="C1031" s="1" t="s">
        <v>348</v>
      </c>
      <c r="D1031" s="23" t="s">
        <v>338</v>
      </c>
      <c r="E1031" s="1" t="s">
        <v>48</v>
      </c>
      <c r="F1031" s="1" t="s">
        <v>39</v>
      </c>
      <c r="G1031" s="1">
        <v>-10</v>
      </c>
      <c r="H1031" s="1">
        <v>-20</v>
      </c>
      <c r="I1031" s="1" t="s">
        <v>40</v>
      </c>
      <c r="J1031" s="1">
        <v>3.15</v>
      </c>
      <c r="K1031" s="1">
        <v>-10</v>
      </c>
      <c r="L1031" s="1">
        <v>-5.2429999999999799</v>
      </c>
      <c r="M1031" s="1" t="s">
        <v>40</v>
      </c>
      <c r="N1031" s="1">
        <v>2.9039999999999999</v>
      </c>
      <c r="O1031" s="1">
        <v>1.77399999999999</v>
      </c>
      <c r="Q1031" s="1">
        <v>0.177399999999999</v>
      </c>
      <c r="R1031" s="1">
        <v>0.49895808940153502</v>
      </c>
      <c r="S1031" s="1" t="str">
        <f>VLOOKUP($E1031,'Product Naming'!$A$1:$P$58,2,FALSE)</f>
        <v>1-3-butanediol-PW2</v>
      </c>
      <c r="T1031" s="1" t="str">
        <f>VLOOKUP($E1031,'Product Naming'!$A$1:$P$58,3,FALSE)</f>
        <v>1,3-Butanediol (PW2)</v>
      </c>
      <c r="U1031" s="1" t="str">
        <f>VLOOKUP($E1031,'Product Naming'!$A$1:$P$58,4,FALSE)</f>
        <v>E</v>
      </c>
      <c r="V1031" s="1" t="str">
        <f>VLOOKUP($E1031,'Product Naming'!$A$1:$P$58,5,FALSE)</f>
        <v>C4H10O2</v>
      </c>
      <c r="W1031" s="1">
        <f>VLOOKUP($E1031,'Product Naming'!$A$1:$P$58,6,FALSE)</f>
        <v>4</v>
      </c>
      <c r="X1031" s="1">
        <f>VLOOKUP($E1031,'Product Naming'!$A$1:$P$58,7,FALSE)</f>
        <v>10</v>
      </c>
      <c r="Y1031" s="1">
        <f>VLOOKUP($E1031,'Product Naming'!$A$1:$P$58,8,FALSE)</f>
        <v>2</v>
      </c>
      <c r="Z1031" s="1">
        <f>VLOOKUP($E1031,'Product Naming'!$A$1:$P$58,9,FALSE)</f>
        <v>0</v>
      </c>
      <c r="AA1031" s="1">
        <f>VLOOKUP($E1031,'Product Naming'!$A$1:$P$58,10,FALSE)</f>
        <v>0</v>
      </c>
      <c r="AB1031" s="29">
        <f>VLOOKUP($E1031,'Product Naming'!$A$1:$P$58,11,FALSE)</f>
        <v>5.5</v>
      </c>
      <c r="AC1031" s="3">
        <f>VLOOKUP($E1031,'Product Naming'!$A$1:$P$58,12,FALSE)</f>
        <v>90.119200000000006</v>
      </c>
      <c r="AD1031" s="1">
        <f>VLOOKUP($E1031,'Product Naming'!$A$1:$P$58,13,FALSE)</f>
        <v>207</v>
      </c>
      <c r="AE1031" s="1" t="str">
        <f>VLOOKUP($E1031,'Product Naming'!$A$1:$P$58,14,FALSE)</f>
        <v>Diol</v>
      </c>
      <c r="AF1031" s="1" t="str">
        <f>VLOOKUP($E1031,'Product Naming'!$A$1:$P$58,15,FALSE)</f>
        <v>Pyruvate (acetalehyde)</v>
      </c>
      <c r="AG1031" s="30" t="str">
        <f>VLOOKUP($E1031,'Product Naming'!$A$1:$P$58,16,FALSE)</f>
        <v>Proton symporter</v>
      </c>
      <c r="AH1031" s="3" t="str">
        <f>VLOOKUP($E1031,'Product Naming'!$A$1:$Q$58,17,FALSE)</f>
        <v>13bdo__R_c</v>
      </c>
      <c r="AI1031" s="1">
        <f>VLOOKUP($E1031,'Product Parameters'!$A$2:$D$59,2,FALSE)</f>
        <v>1</v>
      </c>
      <c r="AJ1031" s="1">
        <f>VLOOKUP($E1031,'Product Parameters'!$A$2:$D$59,3,FALSE)</f>
        <v>0</v>
      </c>
      <c r="AK1031" s="1">
        <f>VLOOKUP($E1031,'Product Parameters'!$A$2:$D$59,4,FALSE)</f>
        <v>0.12</v>
      </c>
      <c r="AL1031" s="1">
        <f>VLOOKUP($E1031,'Product Parameters'!$A$2:$E$59,5,FALSE)</f>
        <v>72.599999999999994</v>
      </c>
      <c r="AM1031" s="1">
        <f>VLOOKUP($E1031,'Product Parameters'!$A$2:$F$59,6,FALSE)</f>
        <v>4</v>
      </c>
      <c r="AN1031" s="1">
        <f>VLOOKUP($C1031,'Substrate Heating'!$A$2:$C$33,3,FALSE)</f>
        <v>638.57832580000002</v>
      </c>
      <c r="AO1031" s="1">
        <f>VLOOKUP($C1031,'Substrate Heating'!$A$2:$B$33,2,FALSE)</f>
        <v>19.93</v>
      </c>
      <c r="AP1031" s="1">
        <f>VLOOKUP($C1031,'Substrate Heating'!$A$2:$M$33,13,FALSE)</f>
        <v>6</v>
      </c>
      <c r="AQ1031" s="1">
        <f>VLOOKUP($C1031,'Substrate Heating'!$A$2:$M$33,8,FALSE)</f>
        <v>1</v>
      </c>
      <c r="AR1031" s="1">
        <f t="shared" si="16"/>
        <v>0.70959999999999601</v>
      </c>
    </row>
    <row r="1032" spans="1:44" x14ac:dyDescent="0.2">
      <c r="A1032" s="17" t="s">
        <v>185</v>
      </c>
      <c r="B1032" s="9" t="s">
        <v>35</v>
      </c>
      <c r="C1032" t="s">
        <v>344</v>
      </c>
      <c r="D1032" s="10" t="s">
        <v>37</v>
      </c>
      <c r="E1032" t="s">
        <v>264</v>
      </c>
      <c r="F1032" t="s">
        <v>265</v>
      </c>
      <c r="G1032">
        <v>-10</v>
      </c>
      <c r="H1032">
        <v>-20</v>
      </c>
      <c r="I1032" s="1" t="s">
        <v>40</v>
      </c>
      <c r="J1032">
        <v>3.15</v>
      </c>
      <c r="K1032">
        <v>-10</v>
      </c>
      <c r="L1032">
        <v>-5.7220588235294096</v>
      </c>
      <c r="M1032" s="1" t="s">
        <v>40</v>
      </c>
      <c r="N1032">
        <v>7.7617647058823502</v>
      </c>
      <c r="O1032">
        <v>2.0397058823529401</v>
      </c>
      <c r="P1032"/>
      <c r="Q1032">
        <v>0.20397058823529399</v>
      </c>
      <c r="R1032">
        <v>0.49995143522672503</v>
      </c>
      <c r="S1032" s="1" t="str">
        <f>VLOOKUP($E1032,'Product Naming'!$A$1:$P$58,2,FALSE)</f>
        <v>Lysine_L</v>
      </c>
      <c r="T1032" s="1" t="str">
        <f>VLOOKUP($E1032,'Product Naming'!$A$1:$P$58,3,FALSE)</f>
        <v>L-Lysine</v>
      </c>
      <c r="U1032" s="1" t="str">
        <f>VLOOKUP($E1032,'Product Naming'!$A$1:$P$58,4,FALSE)</f>
        <v>iJO1366</v>
      </c>
      <c r="V1032" s="1" t="str">
        <f>VLOOKUP($E1032,'Product Naming'!$A$1:$P$58,5,FALSE)</f>
        <v>C6H15N2O2</v>
      </c>
      <c r="W1032" s="1">
        <f>VLOOKUP($E1032,'Product Naming'!$A$1:$P$58,6,FALSE)</f>
        <v>6</v>
      </c>
      <c r="X1032" s="1">
        <f>VLOOKUP($E1032,'Product Naming'!$A$1:$P$58,7,FALSE)</f>
        <v>15</v>
      </c>
      <c r="Y1032" s="1">
        <f>VLOOKUP($E1032,'Product Naming'!$A$1:$P$58,8,FALSE)</f>
        <v>2</v>
      </c>
      <c r="Z1032" s="1">
        <f>VLOOKUP($E1032,'Product Naming'!$A$1:$P$58,9,FALSE)</f>
        <v>2</v>
      </c>
      <c r="AA1032" s="1">
        <f>VLOOKUP($E1032,'Product Naming'!$A$1:$P$58,10,FALSE)</f>
        <v>1</v>
      </c>
      <c r="AB1032" s="29">
        <f>VLOOKUP($E1032,'Product Naming'!$A$1:$P$58,11,FALSE)</f>
        <v>4.833333333333333</v>
      </c>
      <c r="AC1032" s="3">
        <f>VLOOKUP($E1032,'Product Naming'!$A$1:$P$58,12,FALSE)</f>
        <v>147.19319999999999</v>
      </c>
      <c r="AD1032" s="1" t="str">
        <f>VLOOKUP($E1032,'Product Naming'!$A$1:$P$58,13,FALSE)</f>
        <v>NA</v>
      </c>
      <c r="AE1032" s="1" t="str">
        <f>VLOOKUP($E1032,'Product Naming'!$A$1:$P$58,14,FALSE)</f>
        <v>Amino acid</v>
      </c>
      <c r="AF1032" s="1" t="str">
        <f>VLOOKUP($E1032,'Product Naming'!$A$1:$P$58,15,FALSE)</f>
        <v>Oxaloacetate</v>
      </c>
      <c r="AG1032" s="30" t="str">
        <f>VLOOKUP($E1032,'Product Naming'!$A$1:$P$58,16,FALSE)</f>
        <v>Proton antiport</v>
      </c>
      <c r="AH1032" s="3" t="str">
        <f>VLOOKUP($E1032,'Product Naming'!$A$1:$Q$58,17,FALSE)</f>
        <v>lys__L_</v>
      </c>
      <c r="AI1032" s="1">
        <f>VLOOKUP($E1032,'Product Parameters'!$A$2:$D$59,2,FALSE)</f>
        <v>1</v>
      </c>
      <c r="AJ1032" s="1">
        <f>VLOOKUP($E1032,'Product Parameters'!$A$2:$D$59,3,FALSE)</f>
        <v>0</v>
      </c>
      <c r="AK1032" s="1">
        <f>VLOOKUP($E1032,'Product Parameters'!$A$2:$D$59,4,FALSE)</f>
        <v>0.12</v>
      </c>
      <c r="AL1032" s="1">
        <f>VLOOKUP($E1032,'Product Parameters'!$A$2:$E$59,5,FALSE)</f>
        <v>40.65</v>
      </c>
      <c r="AM1032" s="1">
        <f>VLOOKUP($E1032,'Product Parameters'!$A$2:$F$59,6,FALSE)</f>
        <v>6</v>
      </c>
      <c r="AN1032" s="1">
        <f>VLOOKUP($C1032,'Substrate Heating'!$A$2:$C$33,3,FALSE)</f>
        <v>1020.8629199999999</v>
      </c>
      <c r="AO1032" s="1">
        <f>VLOOKUP($C1032,'Substrate Heating'!$A$2:$B$33,2,FALSE)</f>
        <v>17</v>
      </c>
      <c r="AP1032" s="1">
        <f>VLOOKUP($C1032,'Substrate Heating'!$A$2:$M$33,13,FALSE)</f>
        <v>4</v>
      </c>
      <c r="AQ1032" s="1">
        <f>VLOOKUP($C1032,'Substrate Heating'!$A$2:$M$33,8,FALSE)</f>
        <v>2</v>
      </c>
      <c r="AR1032" s="1">
        <f t="shared" si="16"/>
        <v>0.61191176470588193</v>
      </c>
    </row>
    <row r="1033" spans="1:44" x14ac:dyDescent="0.2">
      <c r="A1033" s="8" t="s">
        <v>34</v>
      </c>
      <c r="B1033" s="9" t="s">
        <v>35</v>
      </c>
      <c r="C1033" s="1" t="s">
        <v>330</v>
      </c>
      <c r="D1033" s="10" t="s">
        <v>37</v>
      </c>
      <c r="E1033" s="1" t="s">
        <v>48</v>
      </c>
      <c r="F1033" s="1" t="s">
        <v>39</v>
      </c>
      <c r="G1033" s="1">
        <v>-10</v>
      </c>
      <c r="H1033" s="1">
        <v>-20</v>
      </c>
      <c r="I1033" s="1" t="s">
        <v>40</v>
      </c>
      <c r="J1033" s="1">
        <v>3.15</v>
      </c>
      <c r="K1033" s="1">
        <v>-10</v>
      </c>
      <c r="L1033" s="1">
        <v>-6.0427419354838703</v>
      </c>
      <c r="M1033" s="1" t="s">
        <v>40</v>
      </c>
      <c r="N1033" s="1">
        <v>6.2129032258064498</v>
      </c>
      <c r="O1033" s="1">
        <v>3.4467741935483902</v>
      </c>
      <c r="Q1033" s="1">
        <v>0.34467741935483898</v>
      </c>
      <c r="R1033" s="1">
        <v>0.50046487778125603</v>
      </c>
      <c r="S1033" s="1" t="str">
        <f>VLOOKUP($E1033,'Product Naming'!$A$1:$P$58,2,FALSE)</f>
        <v>1-3-butanediol-PW2</v>
      </c>
      <c r="T1033" s="1" t="str">
        <f>VLOOKUP($E1033,'Product Naming'!$A$1:$P$58,3,FALSE)</f>
        <v>1,3-Butanediol (PW2)</v>
      </c>
      <c r="U1033" s="1" t="str">
        <f>VLOOKUP($E1033,'Product Naming'!$A$1:$P$58,4,FALSE)</f>
        <v>E</v>
      </c>
      <c r="V1033" s="1" t="str">
        <f>VLOOKUP($E1033,'Product Naming'!$A$1:$P$58,5,FALSE)</f>
        <v>C4H10O2</v>
      </c>
      <c r="W1033" s="1">
        <f>VLOOKUP($E1033,'Product Naming'!$A$1:$P$58,6,FALSE)</f>
        <v>4</v>
      </c>
      <c r="X1033" s="1">
        <f>VLOOKUP($E1033,'Product Naming'!$A$1:$P$58,7,FALSE)</f>
        <v>10</v>
      </c>
      <c r="Y1033" s="1">
        <f>VLOOKUP($E1033,'Product Naming'!$A$1:$P$58,8,FALSE)</f>
        <v>2</v>
      </c>
      <c r="Z1033" s="1">
        <f>VLOOKUP($E1033,'Product Naming'!$A$1:$P$58,9,FALSE)</f>
        <v>0</v>
      </c>
      <c r="AA1033" s="1">
        <f>VLOOKUP($E1033,'Product Naming'!$A$1:$P$58,10,FALSE)</f>
        <v>0</v>
      </c>
      <c r="AB1033" s="29">
        <f>VLOOKUP($E1033,'Product Naming'!$A$1:$P$58,11,FALSE)</f>
        <v>5.5</v>
      </c>
      <c r="AC1033" s="3">
        <f>VLOOKUP($E1033,'Product Naming'!$A$1:$P$58,12,FALSE)</f>
        <v>90.119200000000006</v>
      </c>
      <c r="AD1033" s="1">
        <f>VLOOKUP($E1033,'Product Naming'!$A$1:$P$58,13,FALSE)</f>
        <v>207</v>
      </c>
      <c r="AE1033" s="1" t="str">
        <f>VLOOKUP($E1033,'Product Naming'!$A$1:$P$58,14,FALSE)</f>
        <v>Diol</v>
      </c>
      <c r="AF1033" s="1" t="str">
        <f>VLOOKUP($E1033,'Product Naming'!$A$1:$P$58,15,FALSE)</f>
        <v>Pyruvate (acetalehyde)</v>
      </c>
      <c r="AG1033" s="30" t="str">
        <f>VLOOKUP($E1033,'Product Naming'!$A$1:$P$58,16,FALSE)</f>
        <v>Proton symporter</v>
      </c>
      <c r="AH1033" s="3" t="str">
        <f>VLOOKUP($E1033,'Product Naming'!$A$1:$Q$58,17,FALSE)</f>
        <v>13bdo__R_c</v>
      </c>
      <c r="AI1033" s="1">
        <f>VLOOKUP($E1033,'Product Parameters'!$A$2:$D$59,2,FALSE)</f>
        <v>1</v>
      </c>
      <c r="AJ1033" s="1">
        <f>VLOOKUP($E1033,'Product Parameters'!$A$2:$D$59,3,FALSE)</f>
        <v>0</v>
      </c>
      <c r="AK1033" s="1">
        <f>VLOOKUP($E1033,'Product Parameters'!$A$2:$D$59,4,FALSE)</f>
        <v>0.12</v>
      </c>
      <c r="AL1033" s="1">
        <f>VLOOKUP($E1033,'Product Parameters'!$A$2:$E$59,5,FALSE)</f>
        <v>72.599999999999994</v>
      </c>
      <c r="AM1033" s="1">
        <f>VLOOKUP($E1033,'Product Parameters'!$A$2:$F$59,6,FALSE)</f>
        <v>4</v>
      </c>
      <c r="AN1033" s="1">
        <f>VLOOKUP($C1033,'Substrate Heating'!$A$2:$C$33,3,FALSE)</f>
        <v>1055.1294800000001</v>
      </c>
      <c r="AO1033" s="1">
        <f>VLOOKUP($C1033,'Substrate Heating'!$A$2:$B$33,2,FALSE)</f>
        <v>17</v>
      </c>
      <c r="AP1033" s="1">
        <f>VLOOKUP($C1033,'Substrate Heating'!$A$2:$M$33,13,FALSE)</f>
        <v>5</v>
      </c>
      <c r="AQ1033" s="1">
        <f>VLOOKUP($C1033,'Substrate Heating'!$A$2:$M$33,8,FALSE)</f>
        <v>2</v>
      </c>
      <c r="AR1033" s="1">
        <f t="shared" si="16"/>
        <v>0.68935483870967795</v>
      </c>
    </row>
    <row r="1034" spans="1:44" x14ac:dyDescent="0.2">
      <c r="A1034" s="8" t="s">
        <v>34</v>
      </c>
      <c r="B1034" s="9" t="s">
        <v>35</v>
      </c>
      <c r="C1034" s="1" t="s">
        <v>344</v>
      </c>
      <c r="D1034" s="10" t="s">
        <v>37</v>
      </c>
      <c r="E1034" s="1" t="s">
        <v>221</v>
      </c>
      <c r="F1034" s="1" t="s">
        <v>222</v>
      </c>
      <c r="G1034" s="1">
        <v>-10</v>
      </c>
      <c r="H1034" s="1">
        <v>-20</v>
      </c>
      <c r="I1034" s="1" t="s">
        <v>40</v>
      </c>
      <c r="J1034" s="1">
        <v>3.15</v>
      </c>
      <c r="K1034" s="1">
        <v>-10</v>
      </c>
      <c r="L1034" s="1">
        <v>-8.4416666666666593</v>
      </c>
      <c r="M1034" s="1" t="s">
        <v>40</v>
      </c>
      <c r="N1034" s="1">
        <v>8.4416666666666593</v>
      </c>
      <c r="O1034" s="1">
        <v>2.3116666666666701</v>
      </c>
      <c r="Q1034" s="1">
        <v>0.23116666666666699</v>
      </c>
      <c r="R1034" s="1">
        <v>0.50079903244965496</v>
      </c>
      <c r="S1034" s="1" t="str">
        <f>VLOOKUP($E1034,'Product Naming'!$A$1:$P$58,2,FALSE)</f>
        <v>Glutarate</v>
      </c>
      <c r="T1034" s="1" t="str">
        <f>VLOOKUP($E1034,'Product Naming'!$A$1:$P$58,3,FALSE)</f>
        <v>Glutarate</v>
      </c>
      <c r="U1034" s="1" t="str">
        <f>VLOOKUP($E1034,'Product Naming'!$A$1:$P$58,4,FALSE)</f>
        <v>A</v>
      </c>
      <c r="V1034" s="1" t="str">
        <f>VLOOKUP($E1034,'Product Naming'!$A$1:$P$58,5,FALSE)</f>
        <v>C5H6O4</v>
      </c>
      <c r="W1034" s="1">
        <f>VLOOKUP($E1034,'Product Naming'!$A$1:$P$58,6,FALSE)</f>
        <v>5</v>
      </c>
      <c r="X1034" s="1">
        <f>VLOOKUP($E1034,'Product Naming'!$A$1:$P$58,7,FALSE)</f>
        <v>6</v>
      </c>
      <c r="Y1034" s="1">
        <f>VLOOKUP($E1034,'Product Naming'!$A$1:$P$58,8,FALSE)</f>
        <v>4</v>
      </c>
      <c r="Z1034" s="1">
        <f>VLOOKUP($E1034,'Product Naming'!$A$1:$P$58,9,FALSE)</f>
        <v>0</v>
      </c>
      <c r="AA1034" s="1">
        <f>VLOOKUP($E1034,'Product Naming'!$A$1:$P$58,10,FALSE)</f>
        <v>-2</v>
      </c>
      <c r="AB1034" s="29">
        <f>VLOOKUP($E1034,'Product Naming'!$A$1:$P$58,11,FALSE)</f>
        <v>3.6</v>
      </c>
      <c r="AC1034" s="3">
        <f>VLOOKUP($E1034,'Product Naming'!$A$1:$P$58,12,FALSE)</f>
        <v>130.09654</v>
      </c>
      <c r="AD1034" s="1">
        <f>VLOOKUP($E1034,'Product Naming'!$A$1:$P$58,13,FALSE)</f>
        <v>200</v>
      </c>
      <c r="AE1034" s="1" t="str">
        <f>VLOOKUP($E1034,'Product Naming'!$A$1:$P$58,14,FALSE)</f>
        <v>Dicarboxylate</v>
      </c>
      <c r="AF1034" s="1" t="str">
        <f>VLOOKUP($E1034,'Product Naming'!$A$1:$P$58,15,FALSE)</f>
        <v>Oxaloacetate + aKG</v>
      </c>
      <c r="AG1034" s="30" t="str">
        <f>VLOOKUP($E1034,'Product Naming'!$A$1:$P$58,16,FALSE)</f>
        <v>Proton symporter</v>
      </c>
      <c r="AH1034" s="3" t="str">
        <f>VLOOKUP($E1034,'Product Naming'!$A$1:$Q$58,17,FALSE)</f>
        <v>glutar_c</v>
      </c>
      <c r="AI1034" s="1">
        <f>VLOOKUP($E1034,'Product Parameters'!$A$2:$D$59,2,FALSE)</f>
        <v>1</v>
      </c>
      <c r="AJ1034" s="1">
        <f>VLOOKUP($E1034,'Product Parameters'!$A$2:$D$59,3,FALSE)</f>
        <v>0</v>
      </c>
      <c r="AK1034" s="1">
        <f>VLOOKUP($E1034,'Product Parameters'!$A$2:$D$59,4,FALSE)</f>
        <v>0.12</v>
      </c>
      <c r="AL1034" s="1">
        <f>VLOOKUP($E1034,'Product Parameters'!$A$2:$E$59,5,FALSE)</f>
        <v>40.65</v>
      </c>
      <c r="AM1034" s="1">
        <f>VLOOKUP($E1034,'Product Parameters'!$A$2:$F$59,6,FALSE)</f>
        <v>5</v>
      </c>
      <c r="AN1034" s="1">
        <f>VLOOKUP($C1034,'Substrate Heating'!$A$2:$C$33,3,FALSE)</f>
        <v>1020.8629199999999</v>
      </c>
      <c r="AO1034" s="1">
        <f>VLOOKUP($C1034,'Substrate Heating'!$A$2:$B$33,2,FALSE)</f>
        <v>17</v>
      </c>
      <c r="AP1034" s="1">
        <f>VLOOKUP($C1034,'Substrate Heating'!$A$2:$M$33,13,FALSE)</f>
        <v>4</v>
      </c>
      <c r="AQ1034" s="1">
        <f>VLOOKUP($C1034,'Substrate Heating'!$A$2:$M$33,8,FALSE)</f>
        <v>2</v>
      </c>
      <c r="AR1034" s="1">
        <f t="shared" si="16"/>
        <v>0.57791666666666752</v>
      </c>
    </row>
    <row r="1035" spans="1:44" x14ac:dyDescent="0.2">
      <c r="A1035" s="8" t="s">
        <v>34</v>
      </c>
      <c r="B1035" s="9" t="s">
        <v>35</v>
      </c>
      <c r="C1035" s="1" t="s">
        <v>345</v>
      </c>
      <c r="D1035" s="10" t="s">
        <v>37</v>
      </c>
      <c r="E1035" s="1" t="s">
        <v>132</v>
      </c>
      <c r="F1035" s="1" t="s">
        <v>133</v>
      </c>
      <c r="G1035" s="1">
        <v>-10</v>
      </c>
      <c r="H1035" s="1">
        <v>-20</v>
      </c>
      <c r="I1035" s="1" t="s">
        <v>40</v>
      </c>
      <c r="J1035" s="1">
        <v>3.15</v>
      </c>
      <c r="K1035" s="1">
        <v>-10</v>
      </c>
      <c r="L1035" s="1">
        <v>-6.37455919395466</v>
      </c>
      <c r="M1035" s="1" t="s">
        <v>40</v>
      </c>
      <c r="N1035" s="1">
        <v>7.4226700251889204</v>
      </c>
      <c r="O1035" s="1">
        <v>2.0962216624685102</v>
      </c>
      <c r="Q1035" s="1">
        <v>0.20962216624685101</v>
      </c>
      <c r="R1035" s="1">
        <v>0.50308663651871199</v>
      </c>
      <c r="S1035" s="1" t="str">
        <f>VLOOKUP($E1035,'Product Naming'!$A$1:$P$58,2,FALSE)</f>
        <v>Adipate</v>
      </c>
      <c r="T1035" s="1" t="str">
        <f>VLOOKUP($E1035,'Product Naming'!$A$1:$P$58,3,FALSE)</f>
        <v>Adipate</v>
      </c>
      <c r="U1035" s="1" t="str">
        <f>VLOOKUP($E1035,'Product Naming'!$A$1:$P$58,4,FALSE)</f>
        <v>E</v>
      </c>
      <c r="V1035" s="1" t="str">
        <f>VLOOKUP($E1035,'Product Naming'!$A$1:$P$58,5,FALSE)</f>
        <v>C6H8O4</v>
      </c>
      <c r="W1035" s="1">
        <f>VLOOKUP($E1035,'Product Naming'!$A$1:$P$58,6,FALSE)</f>
        <v>6</v>
      </c>
      <c r="X1035" s="1">
        <f>VLOOKUP($E1035,'Product Naming'!$A$1:$P$58,7,FALSE)</f>
        <v>8</v>
      </c>
      <c r="Y1035" s="1">
        <f>VLOOKUP($E1035,'Product Naming'!$A$1:$P$58,8,FALSE)</f>
        <v>4</v>
      </c>
      <c r="Z1035" s="1">
        <f>VLOOKUP($E1035,'Product Naming'!$A$1:$P$58,9,FALSE)</f>
        <v>0</v>
      </c>
      <c r="AA1035" s="1">
        <f>VLOOKUP($E1035,'Product Naming'!$A$1:$P$58,10,FALSE)</f>
        <v>-2</v>
      </c>
      <c r="AB1035" s="29">
        <f>VLOOKUP($E1035,'Product Naming'!$A$1:$P$58,11,FALSE)</f>
        <v>4</v>
      </c>
      <c r="AC1035" s="3">
        <f>VLOOKUP($E1035,'Product Naming'!$A$1:$P$58,12,FALSE)</f>
        <v>144.12291999999999</v>
      </c>
      <c r="AD1035" s="1">
        <f>VLOOKUP($E1035,'Product Naming'!$A$1:$P$58,13,FALSE)</f>
        <v>337.5</v>
      </c>
      <c r="AE1035" s="1" t="str">
        <f>VLOOKUP($E1035,'Product Naming'!$A$1:$P$58,14,FALSE)</f>
        <v>Dicarboxylate</v>
      </c>
      <c r="AF1035" s="1" t="str">
        <f>VLOOKUP($E1035,'Product Naming'!$A$1:$P$58,15,FALSE)</f>
        <v>Glyceraldehyde 3-P</v>
      </c>
      <c r="AG1035" s="30" t="str">
        <f>VLOOKUP($E1035,'Product Naming'!$A$1:$P$58,16,FALSE)</f>
        <v>Proton symporter</v>
      </c>
      <c r="AH1035" s="3" t="str">
        <f>VLOOKUP($E1035,'Product Naming'!$A$1:$Q$58,17,FALSE)</f>
        <v>adpac_c</v>
      </c>
      <c r="AI1035" s="1">
        <f>VLOOKUP($E1035,'Product Parameters'!$A$2:$D$59,2,FALSE)</f>
        <v>1</v>
      </c>
      <c r="AJ1035" s="1">
        <f>VLOOKUP($E1035,'Product Parameters'!$A$2:$D$59,3,FALSE)</f>
        <v>0</v>
      </c>
      <c r="AK1035" s="1">
        <f>VLOOKUP($E1035,'Product Parameters'!$A$2:$D$59,4,FALSE)</f>
        <v>0.12</v>
      </c>
      <c r="AL1035" s="1">
        <f>VLOOKUP($E1035,'Product Parameters'!$A$2:$E$59,5,FALSE)</f>
        <v>40.65</v>
      </c>
      <c r="AM1035" s="1">
        <f>VLOOKUP($E1035,'Product Parameters'!$A$2:$F$59,6,FALSE)</f>
        <v>6</v>
      </c>
      <c r="AN1035" s="1">
        <f>VLOOKUP($C1035,'Substrate Heating'!$A$2:$C$33,3,FALSE)</f>
        <v>1020.8629199999999</v>
      </c>
      <c r="AO1035" s="1">
        <f>VLOOKUP($C1035,'Substrate Heating'!$A$2:$B$33,2,FALSE)</f>
        <v>17</v>
      </c>
      <c r="AP1035" s="1">
        <f>VLOOKUP($C1035,'Substrate Heating'!$A$2:$M$33,13,FALSE)</f>
        <v>4</v>
      </c>
      <c r="AQ1035" s="1">
        <f>VLOOKUP($C1035,'Substrate Heating'!$A$2:$M$33,8,FALSE)</f>
        <v>2</v>
      </c>
      <c r="AR1035" s="1">
        <f t="shared" si="16"/>
        <v>0.628866498740553</v>
      </c>
    </row>
    <row r="1036" spans="1:44" x14ac:dyDescent="0.2">
      <c r="A1036" s="8" t="s">
        <v>34</v>
      </c>
      <c r="B1036" s="9" t="s">
        <v>35</v>
      </c>
      <c r="C1036" s="1" t="s">
        <v>330</v>
      </c>
      <c r="D1036" s="10" t="s">
        <v>37</v>
      </c>
      <c r="E1036" s="1" t="s">
        <v>209</v>
      </c>
      <c r="F1036" s="1" t="s">
        <v>210</v>
      </c>
      <c r="G1036" s="1">
        <v>-10</v>
      </c>
      <c r="H1036" s="1">
        <v>-20</v>
      </c>
      <c r="I1036" s="1" t="s">
        <v>40</v>
      </c>
      <c r="J1036" s="1">
        <v>3.15</v>
      </c>
      <c r="K1036" s="1">
        <v>-10</v>
      </c>
      <c r="L1036" s="1">
        <v>-8.6320895522387708</v>
      </c>
      <c r="M1036" s="1" t="s">
        <v>40</v>
      </c>
      <c r="N1036" s="1">
        <v>5.4507462686566601</v>
      </c>
      <c r="O1036" s="1">
        <v>3.6373134328358199</v>
      </c>
      <c r="Q1036" s="1">
        <v>0.36373134328358198</v>
      </c>
      <c r="R1036" s="1">
        <v>0.50450558891094199</v>
      </c>
      <c r="S1036" s="1" t="str">
        <f>VLOOKUP($E1036,'Product Naming'!$A$1:$P$58,2,FALSE)</f>
        <v>GammaButyrolactone</v>
      </c>
      <c r="T1036" s="1" t="str">
        <f>VLOOKUP($E1036,'Product Naming'!$A$1:$P$58,3,FALSE)</f>
        <v>Gamma butyrolactone</v>
      </c>
      <c r="U1036" s="1" t="str">
        <f>VLOOKUP($E1036,'Product Naming'!$A$1:$P$58,4,FALSE)</f>
        <v>A</v>
      </c>
      <c r="V1036" s="1" t="str">
        <f>VLOOKUP($E1036,'Product Naming'!$A$1:$P$58,5,FALSE)</f>
        <v>C4H6O2</v>
      </c>
      <c r="W1036" s="1">
        <f>VLOOKUP($E1036,'Product Naming'!$A$1:$P$58,6,FALSE)</f>
        <v>4</v>
      </c>
      <c r="X1036" s="1">
        <f>VLOOKUP($E1036,'Product Naming'!$A$1:$P$58,7,FALSE)</f>
        <v>6</v>
      </c>
      <c r="Y1036" s="1">
        <f>VLOOKUP($E1036,'Product Naming'!$A$1:$P$58,8,FALSE)</f>
        <v>2</v>
      </c>
      <c r="Z1036" s="1">
        <f>VLOOKUP($E1036,'Product Naming'!$A$1:$P$58,9,FALSE)</f>
        <v>0</v>
      </c>
      <c r="AA1036" s="1">
        <f>VLOOKUP($E1036,'Product Naming'!$A$1:$P$58,10,FALSE)</f>
        <v>0</v>
      </c>
      <c r="AB1036" s="29">
        <f>VLOOKUP($E1036,'Product Naming'!$A$1:$P$58,11,FALSE)</f>
        <v>4.5</v>
      </c>
      <c r="AC1036" s="3">
        <f>VLOOKUP($E1036,'Product Naming'!$A$1:$P$58,12,FALSE)</f>
        <v>86.08784</v>
      </c>
      <c r="AD1036" s="1">
        <f>VLOOKUP($E1036,'Product Naming'!$A$1:$P$58,13,FALSE)</f>
        <v>204</v>
      </c>
      <c r="AE1036" s="1" t="str">
        <f>VLOOKUP($E1036,'Product Naming'!$A$1:$P$58,14,FALSE)</f>
        <v>Lactone (cyclic ester)</v>
      </c>
      <c r="AF1036" s="1" t="str">
        <f>VLOOKUP($E1036,'Product Naming'!$A$1:$P$58,15,FALSE)</f>
        <v>aKG</v>
      </c>
      <c r="AG1036" s="30" t="str">
        <f>VLOOKUP($E1036,'Product Naming'!$A$1:$P$58,16,FALSE)</f>
        <v>Proton symporter</v>
      </c>
      <c r="AH1036" s="3" t="str">
        <f>VLOOKUP($E1036,'Product Naming'!$A$1:$Q$58,17,FALSE)</f>
        <v>gblt_c</v>
      </c>
      <c r="AI1036" s="1">
        <f>VLOOKUP($E1036,'Product Parameters'!$A$2:$D$59,2,FALSE)</f>
        <v>1</v>
      </c>
      <c r="AJ1036" s="1">
        <f>VLOOKUP($E1036,'Product Parameters'!$A$2:$D$59,3,FALSE)</f>
        <v>0</v>
      </c>
      <c r="AK1036" s="1">
        <f>VLOOKUP($E1036,'Product Parameters'!$A$2:$D$59,4,FALSE)</f>
        <v>0.12</v>
      </c>
      <c r="AL1036" s="1">
        <f>VLOOKUP($E1036,'Product Parameters'!$A$2:$E$59,5,FALSE)</f>
        <v>0</v>
      </c>
      <c r="AM1036" s="1">
        <f>VLOOKUP($E1036,'Product Parameters'!$A$2:$F$59,6,FALSE)</f>
        <v>4</v>
      </c>
      <c r="AN1036" s="1">
        <f>VLOOKUP($C1036,'Substrate Heating'!$A$2:$C$33,3,FALSE)</f>
        <v>1055.1294800000001</v>
      </c>
      <c r="AO1036" s="1">
        <f>VLOOKUP($C1036,'Substrate Heating'!$A$2:$B$33,2,FALSE)</f>
        <v>17</v>
      </c>
      <c r="AP1036" s="1">
        <f>VLOOKUP($C1036,'Substrate Heating'!$A$2:$M$33,13,FALSE)</f>
        <v>5</v>
      </c>
      <c r="AQ1036" s="1">
        <f>VLOOKUP($C1036,'Substrate Heating'!$A$2:$M$33,8,FALSE)</f>
        <v>2</v>
      </c>
      <c r="AR1036" s="1">
        <f t="shared" si="16"/>
        <v>0.72746268656716395</v>
      </c>
    </row>
    <row r="1037" spans="1:44" x14ac:dyDescent="0.2">
      <c r="A1037" s="8" t="s">
        <v>34</v>
      </c>
      <c r="B1037" s="9" t="s">
        <v>35</v>
      </c>
      <c r="C1037" s="1" t="s">
        <v>332</v>
      </c>
      <c r="D1037" s="10" t="s">
        <v>37</v>
      </c>
      <c r="E1037" s="1" t="s">
        <v>313</v>
      </c>
      <c r="F1037" s="1" t="s">
        <v>314</v>
      </c>
      <c r="G1037" s="1">
        <v>-10</v>
      </c>
      <c r="H1037" s="1">
        <v>-20</v>
      </c>
      <c r="I1037" s="1" t="s">
        <v>40</v>
      </c>
      <c r="J1037" s="1">
        <v>3.15</v>
      </c>
      <c r="K1037" s="1">
        <v>-10</v>
      </c>
      <c r="L1037" s="1">
        <v>-7.6456558773424099</v>
      </c>
      <c r="M1037" s="1" t="s">
        <v>40</v>
      </c>
      <c r="N1037" s="1">
        <v>2.1165247018739102</v>
      </c>
      <c r="O1037" s="1">
        <v>2.2354344122657501</v>
      </c>
      <c r="Q1037" s="1">
        <v>0.22354344122657499</v>
      </c>
      <c r="R1037" s="1">
        <v>0.50538241002249196</v>
      </c>
      <c r="S1037" s="1" t="str">
        <f>VLOOKUP($E1037,'Product Naming'!$A$1:$P$58,2,FALSE)</f>
        <v>Styrene</v>
      </c>
      <c r="T1037" s="1" t="str">
        <f>VLOOKUP($E1037,'Product Naming'!$A$1:$P$58,3,FALSE)</f>
        <v>Styrene</v>
      </c>
      <c r="U1037" s="1" t="str">
        <f>VLOOKUP($E1037,'Product Naming'!$A$1:$P$58,4,FALSE)</f>
        <v>E-S</v>
      </c>
      <c r="V1037" s="1" t="str">
        <f>VLOOKUP($E1037,'Product Naming'!$A$1:$P$58,5,FALSE)</f>
        <v>C8H8</v>
      </c>
      <c r="W1037" s="1">
        <f>VLOOKUP($E1037,'Product Naming'!$A$1:$P$58,6,FALSE)</f>
        <v>8</v>
      </c>
      <c r="X1037" s="1">
        <f>VLOOKUP($E1037,'Product Naming'!$A$1:$P$58,7,FALSE)</f>
        <v>8</v>
      </c>
      <c r="Y1037" s="1">
        <f>VLOOKUP($E1037,'Product Naming'!$A$1:$P$58,8,FALSE)</f>
        <v>0</v>
      </c>
      <c r="Z1037" s="1">
        <f>VLOOKUP($E1037,'Product Naming'!$A$1:$P$58,9,FALSE)</f>
        <v>0</v>
      </c>
      <c r="AA1037" s="1">
        <f>VLOOKUP($E1037,'Product Naming'!$A$1:$P$58,10,FALSE)</f>
        <v>0</v>
      </c>
      <c r="AB1037" s="29">
        <f>VLOOKUP($E1037,'Product Naming'!$A$1:$P$58,11,FALSE)</f>
        <v>5</v>
      </c>
      <c r="AC1037" s="3">
        <f>VLOOKUP($E1037,'Product Naming'!$A$1:$P$58,12,FALSE)</f>
        <v>104.14832</v>
      </c>
      <c r="AD1037" s="1">
        <f>VLOOKUP($E1037,'Product Naming'!$A$1:$P$58,13,FALSE)</f>
        <v>145</v>
      </c>
      <c r="AE1037" s="1" t="str">
        <f>VLOOKUP($E1037,'Product Naming'!$A$1:$P$58,14,FALSE)</f>
        <v>Cycloalkane</v>
      </c>
      <c r="AF1037" s="1" t="str">
        <f>VLOOKUP($E1037,'Product Naming'!$A$1:$P$58,15,FALSE)</f>
        <v>E4P</v>
      </c>
      <c r="AG1037" s="30" t="str">
        <f>VLOOKUP($E1037,'Product Naming'!$A$1:$P$58,16,FALSE)</f>
        <v>Proton symporter</v>
      </c>
      <c r="AH1037" s="3" t="str">
        <f>VLOOKUP($E1037,'Product Naming'!$A$1:$Q$58,17,FALSE)</f>
        <v>styr_c</v>
      </c>
      <c r="AI1037" s="1">
        <f>VLOOKUP($E1037,'Product Parameters'!$A$2:$D$59,2,FALSE)</f>
        <v>1</v>
      </c>
      <c r="AJ1037" s="1">
        <f>VLOOKUP($E1037,'Product Parameters'!$A$2:$D$59,3,FALSE)</f>
        <v>0</v>
      </c>
      <c r="AK1037" s="1">
        <f>VLOOKUP($E1037,'Product Parameters'!$A$2:$D$59,4,FALSE)</f>
        <v>0.12</v>
      </c>
      <c r="AL1037" s="1">
        <f>VLOOKUP($E1037,'Product Parameters'!$A$2:$E$59,5,FALSE)</f>
        <v>43.9</v>
      </c>
      <c r="AM1037" s="1">
        <f>VLOOKUP($E1037,'Product Parameters'!$A$2:$F$59,6,FALSE)</f>
        <v>8</v>
      </c>
      <c r="AN1037" s="1">
        <f>VLOOKUP($C1037,'Substrate Heating'!$A$2:$C$33,3,FALSE)</f>
        <v>1230.0006480000002</v>
      </c>
      <c r="AO1037" s="1">
        <f>VLOOKUP($C1037,'Substrate Heating'!$A$2:$B$33,2,FALSE)</f>
        <v>26.7</v>
      </c>
      <c r="AP1037" s="1">
        <f>VLOOKUP($C1037,'Substrate Heating'!$A$2:$M$33,13,FALSE)</f>
        <v>6</v>
      </c>
      <c r="AQ1037" s="1">
        <f>VLOOKUP($C1037,'Substrate Heating'!$A$2:$M$33,8,FALSE)</f>
        <v>2</v>
      </c>
      <c r="AR1037" s="1">
        <f t="shared" si="16"/>
        <v>0.89417376490629996</v>
      </c>
    </row>
    <row r="1038" spans="1:44" x14ac:dyDescent="0.2">
      <c r="A1038" s="8" t="s">
        <v>34</v>
      </c>
      <c r="B1038" s="9" t="s">
        <v>35</v>
      </c>
      <c r="C1038" s="1" t="s">
        <v>346</v>
      </c>
      <c r="D1038" s="23" t="s">
        <v>338</v>
      </c>
      <c r="E1038" s="1" t="s">
        <v>81</v>
      </c>
      <c r="F1038" s="1" t="s">
        <v>73</v>
      </c>
      <c r="G1038" s="1">
        <v>-10</v>
      </c>
      <c r="H1038" s="1">
        <v>-20</v>
      </c>
      <c r="I1038" s="1" t="s">
        <v>40</v>
      </c>
      <c r="J1038" s="1">
        <v>3.15</v>
      </c>
      <c r="K1038" s="1">
        <v>-10</v>
      </c>
      <c r="L1038" s="1">
        <v>-2.8602272727272702</v>
      </c>
      <c r="M1038" s="1" t="s">
        <v>40</v>
      </c>
      <c r="N1038" s="1">
        <v>1.90681818181816</v>
      </c>
      <c r="O1038" s="1">
        <v>2.6977272727272701</v>
      </c>
      <c r="Q1038" s="1">
        <v>0.269772727272727</v>
      </c>
      <c r="R1038" s="1">
        <v>0.50596558645801104</v>
      </c>
      <c r="S1038" s="1" t="str">
        <f>VLOOKUP($E1038,'Product Naming'!$A$1:$P$58,2,FALSE)</f>
        <v>1-propanol-PW2</v>
      </c>
      <c r="T1038" s="1" t="str">
        <f>VLOOKUP($E1038,'Product Naming'!$A$1:$P$58,3,FALSE)</f>
        <v>1-Propanol (PW2)</v>
      </c>
      <c r="U1038" s="1" t="str">
        <f>VLOOKUP($E1038,'Product Naming'!$A$1:$P$58,4,FALSE)</f>
        <v>E-S</v>
      </c>
      <c r="V1038" s="1" t="str">
        <f>VLOOKUP($E1038,'Product Naming'!$A$1:$P$58,5,FALSE)</f>
        <v>C3H8O</v>
      </c>
      <c r="W1038" s="1">
        <f>VLOOKUP($E1038,'Product Naming'!$A$1:$P$58,6,FALSE)</f>
        <v>3</v>
      </c>
      <c r="X1038" s="1">
        <f>VLOOKUP($E1038,'Product Naming'!$A$1:$P$58,7,FALSE)</f>
        <v>8</v>
      </c>
      <c r="Y1038" s="1">
        <f>VLOOKUP($E1038,'Product Naming'!$A$1:$P$58,8,FALSE)</f>
        <v>1</v>
      </c>
      <c r="Z1038" s="1">
        <f>VLOOKUP($E1038,'Product Naming'!$A$1:$P$58,9,FALSE)</f>
        <v>0</v>
      </c>
      <c r="AA1038" s="1">
        <f>VLOOKUP($E1038,'Product Naming'!$A$1:$P$58,10,FALSE)</f>
        <v>0</v>
      </c>
      <c r="AB1038" s="29">
        <f>VLOOKUP($E1038,'Product Naming'!$A$1:$P$58,11,FALSE)</f>
        <v>6</v>
      </c>
      <c r="AC1038" s="3">
        <f>VLOOKUP($E1038,'Product Naming'!$A$1:$P$58,12,FALSE)</f>
        <v>60.093820000000001</v>
      </c>
      <c r="AD1038" s="1">
        <f>VLOOKUP($E1038,'Product Naming'!$A$1:$P$58,13,FALSE)</f>
        <v>97</v>
      </c>
      <c r="AE1038" s="1" t="str">
        <f>VLOOKUP($E1038,'Product Naming'!$A$1:$P$58,14,FALSE)</f>
        <v>Alcohol</v>
      </c>
      <c r="AF1038" s="1" t="str">
        <f>VLOOKUP($E1038,'Product Naming'!$A$1:$P$58,15,FALSE)</f>
        <v>Oxaloacetate</v>
      </c>
      <c r="AG1038" s="30" t="str">
        <f>VLOOKUP($E1038,'Product Naming'!$A$1:$P$58,16,FALSE)</f>
        <v>Proton symporter</v>
      </c>
      <c r="AH1038" s="3" t="str">
        <f>VLOOKUP($E1038,'Product Naming'!$A$1:$Q$58,17,FALSE)</f>
        <v>ppoh_c</v>
      </c>
      <c r="AI1038" s="1">
        <f>VLOOKUP($E1038,'Product Parameters'!$A$2:$D$59,2,FALSE)</f>
        <v>1</v>
      </c>
      <c r="AJ1038" s="1">
        <f>VLOOKUP($E1038,'Product Parameters'!$A$2:$D$59,3,FALSE)</f>
        <v>0</v>
      </c>
      <c r="AK1038" s="1">
        <f>VLOOKUP($E1038,'Product Parameters'!$A$2:$D$59,4,FALSE)</f>
        <v>0.12</v>
      </c>
      <c r="AL1038" s="1">
        <f>VLOOKUP($E1038,'Product Parameters'!$A$2:$E$59,5,FALSE)</f>
        <v>47</v>
      </c>
      <c r="AM1038" s="1">
        <f>VLOOKUP($E1038,'Product Parameters'!$A$2:$F$59,6,FALSE)</f>
        <v>3</v>
      </c>
      <c r="AN1038" s="1">
        <f>VLOOKUP($C1038,'Substrate Heating'!$A$2:$C$33,3,FALSE)</f>
        <v>638.57832580000002</v>
      </c>
      <c r="AO1038" s="1">
        <f>VLOOKUP($C1038,'Substrate Heating'!$A$2:$B$33,2,FALSE)</f>
        <v>19.93</v>
      </c>
      <c r="AP1038" s="1">
        <f>VLOOKUP($C1038,'Substrate Heating'!$A$2:$M$33,13,FALSE)</f>
        <v>6</v>
      </c>
      <c r="AQ1038" s="1">
        <f>VLOOKUP($C1038,'Substrate Heating'!$A$2:$M$33,8,FALSE)</f>
        <v>1</v>
      </c>
      <c r="AR1038" s="1">
        <f t="shared" si="16"/>
        <v>0.80931818181818094</v>
      </c>
    </row>
    <row r="1039" spans="1:44" x14ac:dyDescent="0.2">
      <c r="A1039" s="8" t="s">
        <v>34</v>
      </c>
      <c r="B1039" s="9" t="s">
        <v>35</v>
      </c>
      <c r="C1039" s="1" t="s">
        <v>347</v>
      </c>
      <c r="D1039" s="23" t="s">
        <v>338</v>
      </c>
      <c r="E1039" s="1" t="s">
        <v>81</v>
      </c>
      <c r="F1039" s="1" t="s">
        <v>73</v>
      </c>
      <c r="G1039" s="1">
        <v>-10</v>
      </c>
      <c r="H1039" s="1">
        <v>-20</v>
      </c>
      <c r="I1039" s="1" t="s">
        <v>40</v>
      </c>
      <c r="J1039" s="1">
        <v>3.15</v>
      </c>
      <c r="K1039" s="1">
        <v>-10</v>
      </c>
      <c r="L1039" s="1">
        <v>-2.8602272727272799</v>
      </c>
      <c r="M1039" s="1" t="s">
        <v>40</v>
      </c>
      <c r="N1039" s="1">
        <v>1.9068181818182099</v>
      </c>
      <c r="O1039" s="1">
        <v>2.6977272727272799</v>
      </c>
      <c r="Q1039" s="1">
        <v>0.269772727272728</v>
      </c>
      <c r="R1039" s="1">
        <v>0.50596558645801404</v>
      </c>
      <c r="S1039" s="1" t="str">
        <f>VLOOKUP($E1039,'Product Naming'!$A$1:$P$58,2,FALSE)</f>
        <v>1-propanol-PW2</v>
      </c>
      <c r="T1039" s="1" t="str">
        <f>VLOOKUP($E1039,'Product Naming'!$A$1:$P$58,3,FALSE)</f>
        <v>1-Propanol (PW2)</v>
      </c>
      <c r="U1039" s="1" t="str">
        <f>VLOOKUP($E1039,'Product Naming'!$A$1:$P$58,4,FALSE)</f>
        <v>E-S</v>
      </c>
      <c r="V1039" s="1" t="str">
        <f>VLOOKUP($E1039,'Product Naming'!$A$1:$P$58,5,FALSE)</f>
        <v>C3H8O</v>
      </c>
      <c r="W1039" s="1">
        <f>VLOOKUP($E1039,'Product Naming'!$A$1:$P$58,6,FALSE)</f>
        <v>3</v>
      </c>
      <c r="X1039" s="1">
        <f>VLOOKUP($E1039,'Product Naming'!$A$1:$P$58,7,FALSE)</f>
        <v>8</v>
      </c>
      <c r="Y1039" s="1">
        <f>VLOOKUP($E1039,'Product Naming'!$A$1:$P$58,8,FALSE)</f>
        <v>1</v>
      </c>
      <c r="Z1039" s="1">
        <f>VLOOKUP($E1039,'Product Naming'!$A$1:$P$58,9,FALSE)</f>
        <v>0</v>
      </c>
      <c r="AA1039" s="1">
        <f>VLOOKUP($E1039,'Product Naming'!$A$1:$P$58,10,FALSE)</f>
        <v>0</v>
      </c>
      <c r="AB1039" s="29">
        <f>VLOOKUP($E1039,'Product Naming'!$A$1:$P$58,11,FALSE)</f>
        <v>6</v>
      </c>
      <c r="AC1039" s="3">
        <f>VLOOKUP($E1039,'Product Naming'!$A$1:$P$58,12,FALSE)</f>
        <v>60.093820000000001</v>
      </c>
      <c r="AD1039" s="1">
        <f>VLOOKUP($E1039,'Product Naming'!$A$1:$P$58,13,FALSE)</f>
        <v>97</v>
      </c>
      <c r="AE1039" s="1" t="str">
        <f>VLOOKUP($E1039,'Product Naming'!$A$1:$P$58,14,FALSE)</f>
        <v>Alcohol</v>
      </c>
      <c r="AF1039" s="1" t="str">
        <f>VLOOKUP($E1039,'Product Naming'!$A$1:$P$58,15,FALSE)</f>
        <v>Oxaloacetate</v>
      </c>
      <c r="AG1039" s="30" t="str">
        <f>VLOOKUP($E1039,'Product Naming'!$A$1:$P$58,16,FALSE)</f>
        <v>Proton symporter</v>
      </c>
      <c r="AH1039" s="3" t="str">
        <f>VLOOKUP($E1039,'Product Naming'!$A$1:$Q$58,17,FALSE)</f>
        <v>ppoh_c</v>
      </c>
      <c r="AI1039" s="1">
        <f>VLOOKUP($E1039,'Product Parameters'!$A$2:$D$59,2,FALSE)</f>
        <v>1</v>
      </c>
      <c r="AJ1039" s="1">
        <f>VLOOKUP($E1039,'Product Parameters'!$A$2:$D$59,3,FALSE)</f>
        <v>0</v>
      </c>
      <c r="AK1039" s="1">
        <f>VLOOKUP($E1039,'Product Parameters'!$A$2:$D$59,4,FALSE)</f>
        <v>0.12</v>
      </c>
      <c r="AL1039" s="1">
        <f>VLOOKUP($E1039,'Product Parameters'!$A$2:$E$59,5,FALSE)</f>
        <v>47</v>
      </c>
      <c r="AM1039" s="1">
        <f>VLOOKUP($E1039,'Product Parameters'!$A$2:$F$59,6,FALSE)</f>
        <v>3</v>
      </c>
      <c r="AN1039" s="1">
        <f>VLOOKUP($C1039,'Substrate Heating'!$A$2:$C$33,3,FALSE)</f>
        <v>638.57832580000002</v>
      </c>
      <c r="AO1039" s="1">
        <f>VLOOKUP($C1039,'Substrate Heating'!$A$2:$B$33,2,FALSE)</f>
        <v>19.93</v>
      </c>
      <c r="AP1039" s="1">
        <f>VLOOKUP($C1039,'Substrate Heating'!$A$2:$M$33,13,FALSE)</f>
        <v>6</v>
      </c>
      <c r="AQ1039" s="1">
        <f>VLOOKUP($C1039,'Substrate Heating'!$A$2:$M$33,8,FALSE)</f>
        <v>1</v>
      </c>
      <c r="AR1039" s="1">
        <f t="shared" si="16"/>
        <v>0.80931818181818405</v>
      </c>
    </row>
    <row r="1040" spans="1:44" x14ac:dyDescent="0.2">
      <c r="A1040" s="17" t="s">
        <v>323</v>
      </c>
      <c r="B1040" s="18" t="s">
        <v>324</v>
      </c>
      <c r="C1040" t="s">
        <v>328</v>
      </c>
      <c r="D1040" s="19" t="s">
        <v>326</v>
      </c>
      <c r="E1040" t="s">
        <v>130</v>
      </c>
      <c r="F1040" t="s">
        <v>125</v>
      </c>
      <c r="G1040">
        <v>-10</v>
      </c>
      <c r="H1040">
        <v>0</v>
      </c>
      <c r="I1040">
        <v>-10</v>
      </c>
      <c r="J1040">
        <v>0.45</v>
      </c>
      <c r="K1040">
        <v>-10</v>
      </c>
      <c r="L1040">
        <v>0</v>
      </c>
      <c r="M1040">
        <v>-10</v>
      </c>
      <c r="N1040">
        <v>0</v>
      </c>
      <c r="O1040">
        <v>2.1411764705882401</v>
      </c>
      <c r="P1040"/>
      <c r="Q1040">
        <v>0.214117647058824</v>
      </c>
      <c r="R1040">
        <v>0.50662117647058802</v>
      </c>
      <c r="S1040" s="1" t="str">
        <f>VLOOKUP($E1040,'Product Naming'!$A$1:$P$58,2,FALSE)</f>
        <v>Acrylate-PW2</v>
      </c>
      <c r="T1040" s="1" t="str">
        <f>VLOOKUP($E1040,'Product Naming'!$A$1:$P$58,3,FALSE)</f>
        <v>Acrylate (PW2)</v>
      </c>
      <c r="U1040" s="1" t="str">
        <f>VLOOKUP($E1040,'Product Naming'!$A$1:$P$58,4,FALSE)</f>
        <v>A</v>
      </c>
      <c r="V1040" s="1" t="str">
        <f>VLOOKUP($E1040,'Product Naming'!$A$1:$P$58,5,FALSE)</f>
        <v>C3H3O2</v>
      </c>
      <c r="W1040" s="1">
        <f>VLOOKUP($E1040,'Product Naming'!$A$1:$P$58,6,FALSE)</f>
        <v>3</v>
      </c>
      <c r="X1040" s="1">
        <f>VLOOKUP($E1040,'Product Naming'!$A$1:$P$58,7,FALSE)</f>
        <v>3</v>
      </c>
      <c r="Y1040" s="1">
        <f>VLOOKUP($E1040,'Product Naming'!$A$1:$P$58,8,FALSE)</f>
        <v>2</v>
      </c>
      <c r="Z1040" s="1">
        <f>VLOOKUP($E1040,'Product Naming'!$A$1:$P$58,9,FALSE)</f>
        <v>0</v>
      </c>
      <c r="AA1040" s="1">
        <f>VLOOKUP($E1040,'Product Naming'!$A$1:$P$58,10,FALSE)</f>
        <v>-1</v>
      </c>
      <c r="AB1040" s="29">
        <f>VLOOKUP($E1040,'Product Naming'!$A$1:$P$58,11,FALSE)</f>
        <v>3.6666666666666665</v>
      </c>
      <c r="AC1040" s="3">
        <f>VLOOKUP($E1040,'Product Naming'!$A$1:$P$58,12,FALSE)</f>
        <v>71.053619999999995</v>
      </c>
      <c r="AD1040" s="1">
        <f>VLOOKUP($E1040,'Product Naming'!$A$1:$P$58,13,FALSE)</f>
        <v>80</v>
      </c>
      <c r="AE1040" s="1" t="str">
        <f>VLOOKUP($E1040,'Product Naming'!$A$1:$P$58,14,FALSE)</f>
        <v>Carboxylate</v>
      </c>
      <c r="AF1040" s="1" t="str">
        <f>VLOOKUP($E1040,'Product Naming'!$A$1:$P$58,15,FALSE)</f>
        <v>Pyruvate</v>
      </c>
      <c r="AG1040" s="30" t="str">
        <f>VLOOKUP($E1040,'Product Naming'!$A$1:$P$58,16,FALSE)</f>
        <v>Proton symporter</v>
      </c>
      <c r="AH1040" s="3" t="str">
        <f>VLOOKUP($E1040,'Product Naming'!$A$1:$Q$58,17,FALSE)</f>
        <v>acryl_c</v>
      </c>
      <c r="AI1040" s="1">
        <f>VLOOKUP($E1040,'Product Parameters'!$A$2:$D$59,2,FALSE)</f>
        <v>1</v>
      </c>
      <c r="AJ1040" s="1">
        <f>VLOOKUP($E1040,'Product Parameters'!$A$2:$D$59,3,FALSE)</f>
        <v>0</v>
      </c>
      <c r="AK1040" s="1">
        <f>VLOOKUP($E1040,'Product Parameters'!$A$2:$D$59,4,FALSE)</f>
        <v>0.12</v>
      </c>
      <c r="AL1040" s="1">
        <f>VLOOKUP($E1040,'Product Parameters'!$A$2:$E$59,5,FALSE)</f>
        <v>53.1</v>
      </c>
      <c r="AM1040" s="1">
        <f>VLOOKUP($E1040,'Product Parameters'!$A$2:$F$59,6,FALSE)</f>
        <v>3</v>
      </c>
      <c r="AN1040" s="1">
        <f>VLOOKUP($C1040,'Substrate Heating'!$A$2:$C$33,3,FALSE)</f>
        <v>262.39999999999998</v>
      </c>
      <c r="AO1040" s="1">
        <f>VLOOKUP($C1040,'Substrate Heating'!$A$2:$B$33,2,FALSE)</f>
        <v>17.478546483008707</v>
      </c>
      <c r="AP1040" s="1">
        <f>VLOOKUP($C1040,'Substrate Heating'!$A$2:$M$33,13,FALSE)</f>
        <v>1</v>
      </c>
      <c r="AQ1040" s="1">
        <f>VLOOKUP($C1040,'Substrate Heating'!$A$2:$M$33,8,FALSE)</f>
        <v>0.5</v>
      </c>
      <c r="AR1040" s="1">
        <f t="shared" si="16"/>
        <v>1.284705882352944</v>
      </c>
    </row>
    <row r="1041" spans="1:44" x14ac:dyDescent="0.2">
      <c r="A1041" s="8" t="s">
        <v>34</v>
      </c>
      <c r="B1041" s="9" t="s">
        <v>35</v>
      </c>
      <c r="C1041" s="1" t="s">
        <v>346</v>
      </c>
      <c r="D1041" s="23" t="s">
        <v>338</v>
      </c>
      <c r="E1041" s="1" t="s">
        <v>251</v>
      </c>
      <c r="F1041" s="1" t="s">
        <v>252</v>
      </c>
      <c r="G1041" s="1">
        <v>-10</v>
      </c>
      <c r="H1041" s="1">
        <v>-20</v>
      </c>
      <c r="I1041" s="1" t="s">
        <v>40</v>
      </c>
      <c r="J1041" s="1">
        <v>3.15</v>
      </c>
      <c r="K1041" s="1">
        <v>-10</v>
      </c>
      <c r="L1041" s="1">
        <v>-2.83363636363636</v>
      </c>
      <c r="M1041" s="1" t="s">
        <v>40</v>
      </c>
      <c r="N1041" s="1">
        <v>1.88909090909091</v>
      </c>
      <c r="O1041" s="1">
        <v>2.7036363636363698</v>
      </c>
      <c r="Q1041" s="1">
        <v>0.27036363636363703</v>
      </c>
      <c r="R1041" s="1">
        <v>0.50707385143256301</v>
      </c>
      <c r="S1041" s="1" t="str">
        <f>VLOOKUP($E1041,'Product Naming'!$A$1:$P$58,2,FALSE)</f>
        <v>Isopropanol</v>
      </c>
      <c r="T1041" s="1" t="str">
        <f>VLOOKUP($E1041,'Product Naming'!$A$1:$P$58,3,FALSE)</f>
        <v>Isopropanol</v>
      </c>
      <c r="U1041" s="1" t="str">
        <f>VLOOKUP($E1041,'Product Naming'!$A$1:$P$58,4,FALSE)</f>
        <v>A</v>
      </c>
      <c r="V1041" s="1" t="str">
        <f>VLOOKUP($E1041,'Product Naming'!$A$1:$P$58,5,FALSE)</f>
        <v>C3H8O</v>
      </c>
      <c r="W1041" s="1">
        <f>VLOOKUP($E1041,'Product Naming'!$A$1:$P$58,6,FALSE)</f>
        <v>3</v>
      </c>
      <c r="X1041" s="1">
        <f>VLOOKUP($E1041,'Product Naming'!$A$1:$P$58,7,FALSE)</f>
        <v>8</v>
      </c>
      <c r="Y1041" s="1">
        <f>VLOOKUP($E1041,'Product Naming'!$A$1:$P$58,8,FALSE)</f>
        <v>1</v>
      </c>
      <c r="Z1041" s="1">
        <f>VLOOKUP($E1041,'Product Naming'!$A$1:$P$58,9,FALSE)</f>
        <v>0</v>
      </c>
      <c r="AA1041" s="1">
        <f>VLOOKUP($E1041,'Product Naming'!$A$1:$P$58,10,FALSE)</f>
        <v>0</v>
      </c>
      <c r="AB1041" s="29">
        <f>VLOOKUP($E1041,'Product Naming'!$A$1:$P$58,11,FALSE)</f>
        <v>6</v>
      </c>
      <c r="AC1041" s="3">
        <f>VLOOKUP($E1041,'Product Naming'!$A$1:$P$58,12,FALSE)</f>
        <v>60.093820000000001</v>
      </c>
      <c r="AD1041" s="1">
        <f>VLOOKUP($E1041,'Product Naming'!$A$1:$P$58,13,FALSE)</f>
        <v>82.5</v>
      </c>
      <c r="AE1041" s="1" t="str">
        <f>VLOOKUP($E1041,'Product Naming'!$A$1:$P$58,14,FALSE)</f>
        <v>Alcohol</v>
      </c>
      <c r="AF1041" s="1" t="str">
        <f>VLOOKUP($E1041,'Product Naming'!$A$1:$P$58,15,FALSE)</f>
        <v>Acetyl-CoA</v>
      </c>
      <c r="AG1041" s="30" t="str">
        <f>VLOOKUP($E1041,'Product Naming'!$A$1:$P$58,16,FALSE)</f>
        <v>Proton symporter</v>
      </c>
      <c r="AH1041" s="3" t="str">
        <f>VLOOKUP($E1041,'Product Naming'!$A$1:$Q$58,17,FALSE)</f>
        <v>2ppoh_c</v>
      </c>
      <c r="AI1041" s="1">
        <f>VLOOKUP($E1041,'Product Parameters'!$A$2:$D$59,2,FALSE)</f>
        <v>1</v>
      </c>
      <c r="AJ1041" s="1">
        <f>VLOOKUP($E1041,'Product Parameters'!$A$2:$D$59,3,FALSE)</f>
        <v>0</v>
      </c>
      <c r="AK1041" s="1">
        <f>VLOOKUP($E1041,'Product Parameters'!$A$2:$D$59,4,FALSE)</f>
        <v>0.12</v>
      </c>
      <c r="AL1041" s="1">
        <f>VLOOKUP($E1041,'Product Parameters'!$A$2:$E$59,5,FALSE)</f>
        <v>45</v>
      </c>
      <c r="AM1041" s="1">
        <f>VLOOKUP($E1041,'Product Parameters'!$A$2:$F$59,6,FALSE)</f>
        <v>3</v>
      </c>
      <c r="AN1041" s="1">
        <f>VLOOKUP($C1041,'Substrate Heating'!$A$2:$C$33,3,FALSE)</f>
        <v>638.57832580000002</v>
      </c>
      <c r="AO1041" s="1">
        <f>VLOOKUP($C1041,'Substrate Heating'!$A$2:$B$33,2,FALSE)</f>
        <v>19.93</v>
      </c>
      <c r="AP1041" s="1">
        <f>VLOOKUP($C1041,'Substrate Heating'!$A$2:$M$33,13,FALSE)</f>
        <v>6</v>
      </c>
      <c r="AQ1041" s="1">
        <f>VLOOKUP($C1041,'Substrate Heating'!$A$2:$M$33,8,FALSE)</f>
        <v>1</v>
      </c>
      <c r="AR1041" s="1">
        <f t="shared" si="16"/>
        <v>0.81109090909091108</v>
      </c>
    </row>
    <row r="1042" spans="1:44" x14ac:dyDescent="0.2">
      <c r="A1042" s="8" t="s">
        <v>34</v>
      </c>
      <c r="B1042" s="9" t="s">
        <v>35</v>
      </c>
      <c r="C1042" s="1" t="s">
        <v>347</v>
      </c>
      <c r="D1042" s="23" t="s">
        <v>338</v>
      </c>
      <c r="E1042" s="1" t="s">
        <v>251</v>
      </c>
      <c r="F1042" s="1" t="s">
        <v>252</v>
      </c>
      <c r="G1042" s="1">
        <v>-10</v>
      </c>
      <c r="H1042" s="1">
        <v>-20</v>
      </c>
      <c r="I1042" s="1" t="s">
        <v>40</v>
      </c>
      <c r="J1042" s="1">
        <v>3.15</v>
      </c>
      <c r="K1042" s="1">
        <v>-10</v>
      </c>
      <c r="L1042" s="1">
        <v>-2.83363636363636</v>
      </c>
      <c r="M1042" s="1" t="s">
        <v>40</v>
      </c>
      <c r="N1042" s="1">
        <v>1.88909090909091</v>
      </c>
      <c r="O1042" s="1">
        <v>2.7036363636363698</v>
      </c>
      <c r="Q1042" s="1">
        <v>0.27036363636363703</v>
      </c>
      <c r="R1042" s="1">
        <v>0.50707385143256301</v>
      </c>
      <c r="S1042" s="1" t="str">
        <f>VLOOKUP($E1042,'Product Naming'!$A$1:$P$58,2,FALSE)</f>
        <v>Isopropanol</v>
      </c>
      <c r="T1042" s="1" t="str">
        <f>VLOOKUP($E1042,'Product Naming'!$A$1:$P$58,3,FALSE)</f>
        <v>Isopropanol</v>
      </c>
      <c r="U1042" s="1" t="str">
        <f>VLOOKUP($E1042,'Product Naming'!$A$1:$P$58,4,FALSE)</f>
        <v>A</v>
      </c>
      <c r="V1042" s="1" t="str">
        <f>VLOOKUP($E1042,'Product Naming'!$A$1:$P$58,5,FALSE)</f>
        <v>C3H8O</v>
      </c>
      <c r="W1042" s="1">
        <f>VLOOKUP($E1042,'Product Naming'!$A$1:$P$58,6,FALSE)</f>
        <v>3</v>
      </c>
      <c r="X1042" s="1">
        <f>VLOOKUP($E1042,'Product Naming'!$A$1:$P$58,7,FALSE)</f>
        <v>8</v>
      </c>
      <c r="Y1042" s="1">
        <f>VLOOKUP($E1042,'Product Naming'!$A$1:$P$58,8,FALSE)</f>
        <v>1</v>
      </c>
      <c r="Z1042" s="1">
        <f>VLOOKUP($E1042,'Product Naming'!$A$1:$P$58,9,FALSE)</f>
        <v>0</v>
      </c>
      <c r="AA1042" s="1">
        <f>VLOOKUP($E1042,'Product Naming'!$A$1:$P$58,10,FALSE)</f>
        <v>0</v>
      </c>
      <c r="AB1042" s="29">
        <f>VLOOKUP($E1042,'Product Naming'!$A$1:$P$58,11,FALSE)</f>
        <v>6</v>
      </c>
      <c r="AC1042" s="3">
        <f>VLOOKUP($E1042,'Product Naming'!$A$1:$P$58,12,FALSE)</f>
        <v>60.093820000000001</v>
      </c>
      <c r="AD1042" s="1">
        <f>VLOOKUP($E1042,'Product Naming'!$A$1:$P$58,13,FALSE)</f>
        <v>82.5</v>
      </c>
      <c r="AE1042" s="1" t="str">
        <f>VLOOKUP($E1042,'Product Naming'!$A$1:$P$58,14,FALSE)</f>
        <v>Alcohol</v>
      </c>
      <c r="AF1042" s="1" t="str">
        <f>VLOOKUP($E1042,'Product Naming'!$A$1:$P$58,15,FALSE)</f>
        <v>Acetyl-CoA</v>
      </c>
      <c r="AG1042" s="30" t="str">
        <f>VLOOKUP($E1042,'Product Naming'!$A$1:$P$58,16,FALSE)</f>
        <v>Proton symporter</v>
      </c>
      <c r="AH1042" s="3" t="str">
        <f>VLOOKUP($E1042,'Product Naming'!$A$1:$Q$58,17,FALSE)</f>
        <v>2ppoh_c</v>
      </c>
      <c r="AI1042" s="1">
        <f>VLOOKUP($E1042,'Product Parameters'!$A$2:$D$59,2,FALSE)</f>
        <v>1</v>
      </c>
      <c r="AJ1042" s="1">
        <f>VLOOKUP($E1042,'Product Parameters'!$A$2:$D$59,3,FALSE)</f>
        <v>0</v>
      </c>
      <c r="AK1042" s="1">
        <f>VLOOKUP($E1042,'Product Parameters'!$A$2:$D$59,4,FALSE)</f>
        <v>0.12</v>
      </c>
      <c r="AL1042" s="1">
        <f>VLOOKUP($E1042,'Product Parameters'!$A$2:$E$59,5,FALSE)</f>
        <v>45</v>
      </c>
      <c r="AM1042" s="1">
        <f>VLOOKUP($E1042,'Product Parameters'!$A$2:$F$59,6,FALSE)</f>
        <v>3</v>
      </c>
      <c r="AN1042" s="1">
        <f>VLOOKUP($C1042,'Substrate Heating'!$A$2:$C$33,3,FALSE)</f>
        <v>638.57832580000002</v>
      </c>
      <c r="AO1042" s="1">
        <f>VLOOKUP($C1042,'Substrate Heating'!$A$2:$B$33,2,FALSE)</f>
        <v>19.93</v>
      </c>
      <c r="AP1042" s="1">
        <f>VLOOKUP($C1042,'Substrate Heating'!$A$2:$M$33,13,FALSE)</f>
        <v>6</v>
      </c>
      <c r="AQ1042" s="1">
        <f>VLOOKUP($C1042,'Substrate Heating'!$A$2:$M$33,8,FALSE)</f>
        <v>1</v>
      </c>
      <c r="AR1042" s="1">
        <f t="shared" si="16"/>
        <v>0.81109090909091108</v>
      </c>
    </row>
    <row r="1043" spans="1:44" x14ac:dyDescent="0.2">
      <c r="A1043" s="8" t="s">
        <v>34</v>
      </c>
      <c r="B1043" s="9" t="s">
        <v>35</v>
      </c>
      <c r="C1043" s="1" t="s">
        <v>344</v>
      </c>
      <c r="D1043" s="10" t="s">
        <v>37</v>
      </c>
      <c r="E1043" s="1" t="s">
        <v>124</v>
      </c>
      <c r="F1043" s="1" t="s">
        <v>125</v>
      </c>
      <c r="G1043" s="1">
        <v>-10</v>
      </c>
      <c r="H1043" s="1">
        <v>-20</v>
      </c>
      <c r="I1043" s="1" t="s">
        <v>40</v>
      </c>
      <c r="J1043" s="1">
        <v>3.15</v>
      </c>
      <c r="K1043" s="1">
        <v>-10</v>
      </c>
      <c r="L1043" s="1">
        <v>-7.13</v>
      </c>
      <c r="M1043" s="1" t="s">
        <v>40</v>
      </c>
      <c r="N1043" s="1">
        <v>7.1300000000000097</v>
      </c>
      <c r="O1043" s="1">
        <v>4.2900000000000098</v>
      </c>
      <c r="Q1043" s="1">
        <v>0.42900000000000099</v>
      </c>
      <c r="R1043" s="1">
        <v>0.50759346866049504</v>
      </c>
      <c r="S1043" s="1" t="str">
        <f>VLOOKUP($E1043,'Product Naming'!$A$1:$P$58,2,FALSE)</f>
        <v>Acrylate-PW1</v>
      </c>
      <c r="T1043" s="1" t="str">
        <f>VLOOKUP($E1043,'Product Naming'!$A$1:$P$58,3,FALSE)</f>
        <v>Acrylate (PW1)</v>
      </c>
      <c r="U1043" s="1" t="str">
        <f>VLOOKUP($E1043,'Product Naming'!$A$1:$P$58,4,FALSE)</f>
        <v>A</v>
      </c>
      <c r="V1043" s="1" t="str">
        <f>VLOOKUP($E1043,'Product Naming'!$A$1:$P$58,5,FALSE)</f>
        <v>C3H3O2</v>
      </c>
      <c r="W1043" s="1">
        <f>VLOOKUP($E1043,'Product Naming'!$A$1:$P$58,6,FALSE)</f>
        <v>3</v>
      </c>
      <c r="X1043" s="1">
        <f>VLOOKUP($E1043,'Product Naming'!$A$1:$P$58,7,FALSE)</f>
        <v>3</v>
      </c>
      <c r="Y1043" s="1">
        <f>VLOOKUP($E1043,'Product Naming'!$A$1:$P$58,8,FALSE)</f>
        <v>2</v>
      </c>
      <c r="Z1043" s="1">
        <f>VLOOKUP($E1043,'Product Naming'!$A$1:$P$58,9,FALSE)</f>
        <v>0</v>
      </c>
      <c r="AA1043" s="1">
        <f>VLOOKUP($E1043,'Product Naming'!$A$1:$P$58,10,FALSE)</f>
        <v>-1</v>
      </c>
      <c r="AB1043" s="29">
        <f>VLOOKUP($E1043,'Product Naming'!$A$1:$P$58,11,FALSE)</f>
        <v>3.6666666666666665</v>
      </c>
      <c r="AC1043" s="3">
        <f>VLOOKUP($E1043,'Product Naming'!$A$1:$P$58,12,FALSE)</f>
        <v>71.053619999999995</v>
      </c>
      <c r="AD1043" s="1">
        <f>VLOOKUP($E1043,'Product Naming'!$A$1:$P$58,13,FALSE)</f>
        <v>80</v>
      </c>
      <c r="AE1043" s="1" t="str">
        <f>VLOOKUP($E1043,'Product Naming'!$A$1:$P$58,14,FALSE)</f>
        <v>Carboxylate</v>
      </c>
      <c r="AF1043" s="1" t="str">
        <f>VLOOKUP($E1043,'Product Naming'!$A$1:$P$58,15,FALSE)</f>
        <v>Glyceraldehyde 3-P</v>
      </c>
      <c r="AG1043" s="30" t="str">
        <f>VLOOKUP($E1043,'Product Naming'!$A$1:$P$58,16,FALSE)</f>
        <v>Proton symporter</v>
      </c>
      <c r="AH1043" s="3" t="str">
        <f>VLOOKUP($E1043,'Product Naming'!$A$1:$Q$58,17,FALSE)</f>
        <v>acryl_c</v>
      </c>
      <c r="AI1043" s="1">
        <f>VLOOKUP($E1043,'Product Parameters'!$A$2:$D$59,2,FALSE)</f>
        <v>1</v>
      </c>
      <c r="AJ1043" s="1">
        <f>VLOOKUP($E1043,'Product Parameters'!$A$2:$D$59,3,FALSE)</f>
        <v>0</v>
      </c>
      <c r="AK1043" s="1">
        <f>VLOOKUP($E1043,'Product Parameters'!$A$2:$D$59,4,FALSE)</f>
        <v>0.12</v>
      </c>
      <c r="AL1043" s="1">
        <f>VLOOKUP($E1043,'Product Parameters'!$A$2:$E$59,5,FALSE)</f>
        <v>53.1</v>
      </c>
      <c r="AM1043" s="1">
        <f>VLOOKUP($E1043,'Product Parameters'!$A$2:$F$59,6,FALSE)</f>
        <v>3</v>
      </c>
      <c r="AN1043" s="1">
        <f>VLOOKUP($C1043,'Substrate Heating'!$A$2:$C$33,3,FALSE)</f>
        <v>1020.8629199999999</v>
      </c>
      <c r="AO1043" s="1">
        <f>VLOOKUP($C1043,'Substrate Heating'!$A$2:$B$33,2,FALSE)</f>
        <v>17</v>
      </c>
      <c r="AP1043" s="1">
        <f>VLOOKUP($C1043,'Substrate Heating'!$A$2:$M$33,13,FALSE)</f>
        <v>4</v>
      </c>
      <c r="AQ1043" s="1">
        <f>VLOOKUP($C1043,'Substrate Heating'!$A$2:$M$33,8,FALSE)</f>
        <v>2</v>
      </c>
      <c r="AR1043" s="1">
        <f t="shared" si="16"/>
        <v>0.64350000000000152</v>
      </c>
    </row>
    <row r="1044" spans="1:44" x14ac:dyDescent="0.2">
      <c r="A1044" s="17" t="s">
        <v>323</v>
      </c>
      <c r="B1044" s="18" t="s">
        <v>324</v>
      </c>
      <c r="C1044" t="s">
        <v>327</v>
      </c>
      <c r="D1044" s="19" t="s">
        <v>326</v>
      </c>
      <c r="E1044" t="s">
        <v>275</v>
      </c>
      <c r="F1044" t="s">
        <v>276</v>
      </c>
      <c r="G1044">
        <v>-10</v>
      </c>
      <c r="H1044">
        <v>0</v>
      </c>
      <c r="I1044">
        <v>-5</v>
      </c>
      <c r="J1044">
        <v>0.45</v>
      </c>
      <c r="K1044">
        <v>-10</v>
      </c>
      <c r="L1044">
        <v>0</v>
      </c>
      <c r="M1044">
        <v>-5</v>
      </c>
      <c r="N1044">
        <v>1.0549999999999999</v>
      </c>
      <c r="O1044">
        <v>1.4450000000000001</v>
      </c>
      <c r="P1044"/>
      <c r="Q1044">
        <v>0.14449999999999999</v>
      </c>
      <c r="R1044">
        <v>0.50810910441075097</v>
      </c>
      <c r="S1044" s="1" t="str">
        <f>VLOOKUP($E1044,'Product Naming'!$A$1:$P$58,2,FALSE)</f>
        <v>Malonate</v>
      </c>
      <c r="T1044" s="1" t="str">
        <f>VLOOKUP($E1044,'Product Naming'!$A$1:$P$58,3,FALSE)</f>
        <v>Malonate</v>
      </c>
      <c r="U1044" s="1" t="str">
        <f>VLOOKUP($E1044,'Product Naming'!$A$1:$P$58,4,FALSE)</f>
        <v>A</v>
      </c>
      <c r="V1044" s="1" t="str">
        <f>VLOOKUP($E1044,'Product Naming'!$A$1:$P$58,5,FALSE)</f>
        <v>C3H2O4</v>
      </c>
      <c r="W1044" s="1">
        <f>VLOOKUP($E1044,'Product Naming'!$A$1:$P$58,6,FALSE)</f>
        <v>3</v>
      </c>
      <c r="X1044" s="1">
        <f>VLOOKUP($E1044,'Product Naming'!$A$1:$P$58,7,FALSE)</f>
        <v>2</v>
      </c>
      <c r="Y1044" s="1">
        <f>VLOOKUP($E1044,'Product Naming'!$A$1:$P$58,8,FALSE)</f>
        <v>4</v>
      </c>
      <c r="Z1044" s="1">
        <f>VLOOKUP($E1044,'Product Naming'!$A$1:$P$58,9,FALSE)</f>
        <v>0</v>
      </c>
      <c r="AA1044" s="1">
        <f>VLOOKUP($E1044,'Product Naming'!$A$1:$P$58,10,FALSE)</f>
        <v>-2</v>
      </c>
      <c r="AB1044" s="29">
        <f>VLOOKUP($E1044,'Product Naming'!$A$1:$P$58,11,FALSE)</f>
        <v>2</v>
      </c>
      <c r="AC1044" s="3">
        <f>VLOOKUP($E1044,'Product Naming'!$A$1:$P$58,12,FALSE)</f>
        <v>102.04378</v>
      </c>
      <c r="AD1044" s="1">
        <f>VLOOKUP($E1044,'Product Naming'!$A$1:$P$58,13,FALSE)</f>
        <v>199</v>
      </c>
      <c r="AE1044" s="1" t="str">
        <f>VLOOKUP($E1044,'Product Naming'!$A$1:$P$58,14,FALSE)</f>
        <v>Dicarboxylate</v>
      </c>
      <c r="AF1044" s="1" t="str">
        <f>VLOOKUP($E1044,'Product Naming'!$A$1:$P$58,15,FALSE)</f>
        <v>Oxaloacetate</v>
      </c>
      <c r="AG1044" s="30" t="str">
        <f>VLOOKUP($E1044,'Product Naming'!$A$1:$P$58,16,FALSE)</f>
        <v>Proton symporter</v>
      </c>
      <c r="AH1044" s="3" t="str">
        <f>VLOOKUP($E1044,'Product Naming'!$A$1:$Q$58,17,FALSE)</f>
        <v>malon_c</v>
      </c>
      <c r="AI1044" s="1">
        <f>VLOOKUP($E1044,'Product Parameters'!$A$2:$D$59,2,FALSE)</f>
        <v>1</v>
      </c>
      <c r="AJ1044" s="1">
        <f>VLOOKUP($E1044,'Product Parameters'!$A$2:$D$59,3,FALSE)</f>
        <v>0</v>
      </c>
      <c r="AK1044" s="1">
        <f>VLOOKUP($E1044,'Product Parameters'!$A$2:$D$59,4,FALSE)</f>
        <v>0.12</v>
      </c>
      <c r="AL1044" s="1">
        <f>VLOOKUP($E1044,'Product Parameters'!$A$2:$E$59,5,FALSE)</f>
        <v>40.65</v>
      </c>
      <c r="AM1044" s="1">
        <f>VLOOKUP($E1044,'Product Parameters'!$A$2:$F$59,6,FALSE)</f>
        <v>3</v>
      </c>
      <c r="AN1044" s="1">
        <f>VLOOKUP($C1044,'Substrate Heating'!$A$2:$C$33,3,FALSE)</f>
        <v>269.26666666666665</v>
      </c>
      <c r="AO1044" s="1">
        <f>VLOOKUP($C1044,'Substrate Heating'!$A$2:$B$33,2,FALSE)</f>
        <v>13.919167510409219</v>
      </c>
      <c r="AP1044" s="1">
        <f>VLOOKUP($C1044,'Substrate Heating'!$A$2:$M$33,13,FALSE)</f>
        <v>1.3333333333333333</v>
      </c>
      <c r="AQ1044" s="1">
        <f>VLOOKUP($C1044,'Substrate Heating'!$A$2:$M$33,8,FALSE)</f>
        <v>0.66666666666666663</v>
      </c>
      <c r="AR1044" s="1">
        <f t="shared" si="16"/>
        <v>0.65024999999999999</v>
      </c>
    </row>
    <row r="1045" spans="1:44" x14ac:dyDescent="0.2">
      <c r="A1045" s="8" t="s">
        <v>34</v>
      </c>
      <c r="B1045" s="9" t="s">
        <v>35</v>
      </c>
      <c r="C1045" s="1" t="s">
        <v>331</v>
      </c>
      <c r="D1045" s="10" t="s">
        <v>37</v>
      </c>
      <c r="E1045" s="1" t="s">
        <v>192</v>
      </c>
      <c r="F1045" s="1" t="s">
        <v>193</v>
      </c>
      <c r="G1045" s="1">
        <v>-10</v>
      </c>
      <c r="H1045" s="1">
        <v>-20</v>
      </c>
      <c r="I1045" s="1" t="s">
        <v>40</v>
      </c>
      <c r="J1045" s="1">
        <v>3.15</v>
      </c>
      <c r="K1045" s="1">
        <v>-10</v>
      </c>
      <c r="L1045" s="1">
        <v>-6.5977152899824301</v>
      </c>
      <c r="M1045" s="1" t="s">
        <v>40</v>
      </c>
      <c r="N1045" s="1">
        <v>2.5662565905096701</v>
      </c>
      <c r="O1045" s="1">
        <v>1.9370826010544799</v>
      </c>
      <c r="Q1045" s="1">
        <v>0.193708260105448</v>
      </c>
      <c r="R1045" s="1">
        <v>0.50918290874241801</v>
      </c>
      <c r="S1045" s="1" t="str">
        <f>VLOOKUP($E1045,'Product Naming'!$A$1:$P$58,2,FALSE)</f>
        <v>Coumaric acid</v>
      </c>
      <c r="T1045" s="1" t="str">
        <f>VLOOKUP($E1045,'Product Naming'!$A$1:$P$58,3,FALSE)</f>
        <v>Coumaric acid</v>
      </c>
      <c r="U1045" s="1" t="str">
        <f>VLOOKUP($E1045,'Product Naming'!$A$1:$P$58,4,FALSE)</f>
        <v>E</v>
      </c>
      <c r="V1045" s="1" t="str">
        <f>VLOOKUP($E1045,'Product Naming'!$A$1:$P$58,5,FALSE)</f>
        <v>C9H7O3</v>
      </c>
      <c r="W1045" s="1">
        <f>VLOOKUP($E1045,'Product Naming'!$A$1:$P$58,6,FALSE)</f>
        <v>9</v>
      </c>
      <c r="X1045" s="1">
        <f>VLOOKUP($E1045,'Product Naming'!$A$1:$P$58,7,FALSE)</f>
        <v>7</v>
      </c>
      <c r="Y1045" s="1">
        <f>VLOOKUP($E1045,'Product Naming'!$A$1:$P$58,8,FALSE)</f>
        <v>3</v>
      </c>
      <c r="Z1045" s="1">
        <f>VLOOKUP($E1045,'Product Naming'!$A$1:$P$58,9,FALSE)</f>
        <v>0</v>
      </c>
      <c r="AA1045" s="1">
        <f>VLOOKUP($E1045,'Product Naming'!$A$1:$P$58,10,FALSE)</f>
        <v>-1</v>
      </c>
      <c r="AB1045" s="29">
        <f>VLOOKUP($E1045,'Product Naming'!$A$1:$P$58,11,FALSE)</f>
        <v>4.1111111111111107</v>
      </c>
      <c r="AC1045" s="3">
        <f>VLOOKUP($E1045,'Product Naming'!$A$1:$P$58,12,FALSE)</f>
        <v>163.14818</v>
      </c>
      <c r="AD1045" s="1">
        <f>VLOOKUP($E1045,'Product Naming'!$A$1:$P$58,13,FALSE)</f>
        <v>346</v>
      </c>
      <c r="AE1045" s="1" t="str">
        <f>VLOOKUP($E1045,'Product Naming'!$A$1:$P$58,14,FALSE)</f>
        <v>Aromatic + Alcohol + Carboxylate</v>
      </c>
      <c r="AF1045" s="1" t="str">
        <f>VLOOKUP($E1045,'Product Naming'!$A$1:$P$58,15,FALSE)</f>
        <v>E4P + L-glutamate</v>
      </c>
      <c r="AG1045" s="30" t="str">
        <f>VLOOKUP($E1045,'Product Naming'!$A$1:$P$58,16,FALSE)</f>
        <v>Proton symporter</v>
      </c>
      <c r="AH1045" s="3" t="str">
        <f>VLOOKUP($E1045,'Product Naming'!$A$1:$Q$58,17,FALSE)</f>
        <v>T4hcinnm_c</v>
      </c>
      <c r="AI1045" s="1">
        <f>VLOOKUP($E1045,'Product Parameters'!$A$2:$D$59,2,FALSE)</f>
        <v>1</v>
      </c>
      <c r="AJ1045" s="1">
        <f>VLOOKUP($E1045,'Product Parameters'!$A$2:$D$59,3,FALSE)</f>
        <v>0</v>
      </c>
      <c r="AK1045" s="1">
        <f>VLOOKUP($E1045,'Product Parameters'!$A$2:$D$59,4,FALSE)</f>
        <v>0.12</v>
      </c>
      <c r="AL1045" s="1">
        <f>VLOOKUP($E1045,'Product Parameters'!$A$2:$E$59,5,FALSE)</f>
        <v>40.65</v>
      </c>
      <c r="AM1045" s="1">
        <f>VLOOKUP($E1045,'Product Parameters'!$A$2:$F$59,6,FALSE)</f>
        <v>9</v>
      </c>
      <c r="AN1045" s="1">
        <f>VLOOKUP($C1045,'Substrate Heating'!$A$2:$C$33,3,FALSE)</f>
        <v>1055.1294800000001</v>
      </c>
      <c r="AO1045" s="1">
        <f>VLOOKUP($C1045,'Substrate Heating'!$A$2:$B$33,2,FALSE)</f>
        <v>17</v>
      </c>
      <c r="AP1045" s="1">
        <f>VLOOKUP($C1045,'Substrate Heating'!$A$2:$M$33,13,FALSE)</f>
        <v>5</v>
      </c>
      <c r="AQ1045" s="1">
        <f>VLOOKUP($C1045,'Substrate Heating'!$A$2:$M$33,8,FALSE)</f>
        <v>2</v>
      </c>
      <c r="AR1045" s="1">
        <f t="shared" si="16"/>
        <v>0.87168717047451605</v>
      </c>
    </row>
    <row r="1046" spans="1:44" x14ac:dyDescent="0.2">
      <c r="A1046" s="8" t="s">
        <v>34</v>
      </c>
      <c r="B1046" s="9" t="s">
        <v>35</v>
      </c>
      <c r="C1046" s="1" t="s">
        <v>343</v>
      </c>
      <c r="D1046" s="24" t="s">
        <v>342</v>
      </c>
      <c r="E1046" s="1" t="s">
        <v>136</v>
      </c>
      <c r="F1046" s="1" t="s">
        <v>137</v>
      </c>
      <c r="G1046" s="1">
        <v>-10</v>
      </c>
      <c r="H1046" s="1">
        <v>-20</v>
      </c>
      <c r="I1046" s="1" t="s">
        <v>40</v>
      </c>
      <c r="J1046" s="1">
        <v>3.15</v>
      </c>
      <c r="K1046" s="1">
        <v>-10</v>
      </c>
      <c r="L1046" s="1">
        <v>-5.9537037037037104</v>
      </c>
      <c r="M1046" s="1" t="s">
        <v>40</v>
      </c>
      <c r="N1046" s="1">
        <v>2.8901234567901302</v>
      </c>
      <c r="O1046" s="1">
        <v>3.87283950617284</v>
      </c>
      <c r="Q1046" s="1">
        <v>0.38728395061728399</v>
      </c>
      <c r="R1046" s="1">
        <v>0.50931509362469196</v>
      </c>
      <c r="S1046" s="1" t="str">
        <f>VLOOKUP($E1046,'Product Naming'!$A$1:$P$58,2,FALSE)</f>
        <v>Benzoate-PW1</v>
      </c>
      <c r="T1046" s="1" t="str">
        <f>VLOOKUP($E1046,'Product Naming'!$A$1:$P$58,3,FALSE)</f>
        <v>Benzoate (PW1)</v>
      </c>
      <c r="U1046" s="1" t="str">
        <f>VLOOKUP($E1046,'Product Naming'!$A$1:$P$58,4,FALSE)</f>
        <v>A</v>
      </c>
      <c r="V1046" s="1" t="str">
        <f>VLOOKUP($E1046,'Product Naming'!$A$1:$P$58,5,FALSE)</f>
        <v>C7H5O2</v>
      </c>
      <c r="W1046" s="1">
        <f>VLOOKUP($E1046,'Product Naming'!$A$1:$P$58,6,FALSE)</f>
        <v>7</v>
      </c>
      <c r="X1046" s="1">
        <f>VLOOKUP($E1046,'Product Naming'!$A$1:$P$58,7,FALSE)</f>
        <v>5</v>
      </c>
      <c r="Y1046" s="1">
        <f>VLOOKUP($E1046,'Product Naming'!$A$1:$P$58,8,FALSE)</f>
        <v>2</v>
      </c>
      <c r="Z1046" s="1">
        <f>VLOOKUP($E1046,'Product Naming'!$A$1:$P$58,9,FALSE)</f>
        <v>0</v>
      </c>
      <c r="AA1046" s="1">
        <f>VLOOKUP($E1046,'Product Naming'!$A$1:$P$58,10,FALSE)</f>
        <v>-1</v>
      </c>
      <c r="AB1046" s="29">
        <f>VLOOKUP($E1046,'Product Naming'!$A$1:$P$58,11,FALSE)</f>
        <v>4.1428571428571432</v>
      </c>
      <c r="AC1046" s="3">
        <f>VLOOKUP($E1046,'Product Naming'!$A$1:$P$58,12,FALSE)</f>
        <v>121.1121</v>
      </c>
      <c r="AD1046" s="1">
        <f>VLOOKUP($E1046,'Product Naming'!$A$1:$P$58,13,FALSE)</f>
        <v>249.2</v>
      </c>
      <c r="AE1046" s="1" t="str">
        <f>VLOOKUP($E1046,'Product Naming'!$A$1:$P$58,14,FALSE)</f>
        <v>Aromatic + Carboxylate</v>
      </c>
      <c r="AF1046" s="1" t="str">
        <f>VLOOKUP($E1046,'Product Naming'!$A$1:$P$58,15,FALSE)</f>
        <v>E4P + aKG</v>
      </c>
      <c r="AG1046" s="30" t="str">
        <f>VLOOKUP($E1046,'Product Naming'!$A$1:$P$58,16,FALSE)</f>
        <v>Proton symporter</v>
      </c>
      <c r="AH1046" s="3" t="str">
        <f>VLOOKUP($E1046,'Product Naming'!$A$1:$Q$58,17,FALSE)</f>
        <v>bz_c</v>
      </c>
      <c r="AI1046" s="1">
        <f>VLOOKUP($E1046,'Product Parameters'!$A$2:$D$59,2,FALSE)</f>
        <v>1</v>
      </c>
      <c r="AJ1046" s="1">
        <f>VLOOKUP($E1046,'Product Parameters'!$A$2:$D$59,3,FALSE)</f>
        <v>0</v>
      </c>
      <c r="AK1046" s="1">
        <f>VLOOKUP($E1046,'Product Parameters'!$A$2:$D$59,4,FALSE)</f>
        <v>0.12</v>
      </c>
      <c r="AL1046" s="1">
        <f>VLOOKUP($E1046,'Product Parameters'!$A$2:$E$59,5,FALSE)</f>
        <v>40.65</v>
      </c>
      <c r="AM1046" s="1">
        <f>VLOOKUP($E1046,'Product Parameters'!$A$2:$F$59,6,FALSE)</f>
        <v>7</v>
      </c>
      <c r="AN1046" s="1">
        <f>VLOOKUP($C1046,'Substrate Heating'!$A$2:$C$33,3,FALSE)</f>
        <v>1648.4793779999998</v>
      </c>
      <c r="AO1046" s="1">
        <f>VLOOKUP($C1046,'Substrate Heating'!$A$2:$B$33,2,FALSE)</f>
        <v>17.899999999999999</v>
      </c>
      <c r="AP1046" s="1">
        <f>VLOOKUP($C1046,'Substrate Heating'!$A$2:$M$33,13,FALSE)</f>
        <v>4.666666666666667</v>
      </c>
      <c r="AQ1046" s="1">
        <f>VLOOKUP($C1046,'Substrate Heating'!$A$2:$M$33,8,FALSE)</f>
        <v>3</v>
      </c>
      <c r="AR1046" s="1">
        <f t="shared" si="16"/>
        <v>0.90366255144032925</v>
      </c>
    </row>
    <row r="1047" spans="1:44" x14ac:dyDescent="0.2">
      <c r="A1047" s="8" t="s">
        <v>34</v>
      </c>
      <c r="B1047" s="9" t="s">
        <v>35</v>
      </c>
      <c r="C1047" s="1" t="s">
        <v>343</v>
      </c>
      <c r="D1047" s="24" t="s">
        <v>342</v>
      </c>
      <c r="E1047" s="1" t="s">
        <v>143</v>
      </c>
      <c r="F1047" s="1" t="s">
        <v>137</v>
      </c>
      <c r="G1047" s="1">
        <v>-10</v>
      </c>
      <c r="H1047" s="1">
        <v>-20</v>
      </c>
      <c r="I1047" s="1" t="s">
        <v>40</v>
      </c>
      <c r="J1047" s="1">
        <v>3.15</v>
      </c>
      <c r="K1047" s="1">
        <v>-10</v>
      </c>
      <c r="L1047" s="1">
        <v>-5.9537037037037104</v>
      </c>
      <c r="M1047" s="1" t="s">
        <v>40</v>
      </c>
      <c r="N1047" s="1">
        <v>2.8901234567901302</v>
      </c>
      <c r="O1047" s="1">
        <v>3.8728395061728502</v>
      </c>
      <c r="Q1047" s="1">
        <v>0.38728395061728499</v>
      </c>
      <c r="R1047" s="1">
        <v>0.50931509362469396</v>
      </c>
      <c r="S1047" s="1" t="str">
        <f>VLOOKUP($E1047,'Product Naming'!$A$1:$P$58,2,FALSE)</f>
        <v>Benzoate-PW2</v>
      </c>
      <c r="T1047" s="1" t="str">
        <f>VLOOKUP($E1047,'Product Naming'!$A$1:$P$58,3,FALSE)</f>
        <v>Benzoate (PW2)</v>
      </c>
      <c r="U1047" s="1" t="str">
        <f>VLOOKUP($E1047,'Product Naming'!$A$1:$P$58,4,FALSE)</f>
        <v>A</v>
      </c>
      <c r="V1047" s="1" t="str">
        <f>VLOOKUP($E1047,'Product Naming'!$A$1:$P$58,5,FALSE)</f>
        <v>C7H5O2</v>
      </c>
      <c r="W1047" s="1">
        <f>VLOOKUP($E1047,'Product Naming'!$A$1:$P$58,6,FALSE)</f>
        <v>7</v>
      </c>
      <c r="X1047" s="1">
        <f>VLOOKUP($E1047,'Product Naming'!$A$1:$P$58,7,FALSE)</f>
        <v>5</v>
      </c>
      <c r="Y1047" s="1">
        <f>VLOOKUP($E1047,'Product Naming'!$A$1:$P$58,8,FALSE)</f>
        <v>2</v>
      </c>
      <c r="Z1047" s="1">
        <f>VLOOKUP($E1047,'Product Naming'!$A$1:$P$58,9,FALSE)</f>
        <v>0</v>
      </c>
      <c r="AA1047" s="1">
        <f>VLOOKUP($E1047,'Product Naming'!$A$1:$P$58,10,FALSE)</f>
        <v>-1</v>
      </c>
      <c r="AB1047" s="29">
        <f>VLOOKUP($E1047,'Product Naming'!$A$1:$P$58,11,FALSE)</f>
        <v>4.1428571428571432</v>
      </c>
      <c r="AC1047" s="3">
        <f>VLOOKUP($E1047,'Product Naming'!$A$1:$P$58,12,FALSE)</f>
        <v>121.1121</v>
      </c>
      <c r="AD1047" s="1">
        <f>VLOOKUP($E1047,'Product Naming'!$A$1:$P$58,13,FALSE)</f>
        <v>249.2</v>
      </c>
      <c r="AE1047" s="1" t="str">
        <f>VLOOKUP($E1047,'Product Naming'!$A$1:$P$58,14,FALSE)</f>
        <v>Aromatic + Carboxylate</v>
      </c>
      <c r="AF1047" s="1" t="str">
        <f>VLOOKUP($E1047,'Product Naming'!$A$1:$P$58,15,FALSE)</f>
        <v>E4P + aKG</v>
      </c>
      <c r="AG1047" s="30" t="str">
        <f>VLOOKUP($E1047,'Product Naming'!$A$1:$P$58,16,FALSE)</f>
        <v>Proton symporter</v>
      </c>
      <c r="AH1047" s="3" t="str">
        <f>VLOOKUP($E1047,'Product Naming'!$A$1:$Q$58,17,FALSE)</f>
        <v>bz_c</v>
      </c>
      <c r="AI1047" s="1">
        <f>VLOOKUP($E1047,'Product Parameters'!$A$2:$D$59,2,FALSE)</f>
        <v>1</v>
      </c>
      <c r="AJ1047" s="1">
        <f>VLOOKUP($E1047,'Product Parameters'!$A$2:$D$59,3,FALSE)</f>
        <v>0</v>
      </c>
      <c r="AK1047" s="1">
        <f>VLOOKUP($E1047,'Product Parameters'!$A$2:$D$59,4,FALSE)</f>
        <v>0.12</v>
      </c>
      <c r="AL1047" s="1">
        <f>VLOOKUP($E1047,'Product Parameters'!$A$2:$E$59,5,FALSE)</f>
        <v>40.65</v>
      </c>
      <c r="AM1047" s="1">
        <f>VLOOKUP($E1047,'Product Parameters'!$A$2:$F$59,6,FALSE)</f>
        <v>7</v>
      </c>
      <c r="AN1047" s="1">
        <f>VLOOKUP($C1047,'Substrate Heating'!$A$2:$C$33,3,FALSE)</f>
        <v>1648.4793779999998</v>
      </c>
      <c r="AO1047" s="1">
        <f>VLOOKUP($C1047,'Substrate Heating'!$A$2:$B$33,2,FALSE)</f>
        <v>17.899999999999999</v>
      </c>
      <c r="AP1047" s="1">
        <f>VLOOKUP($C1047,'Substrate Heating'!$A$2:$M$33,13,FALSE)</f>
        <v>4.666666666666667</v>
      </c>
      <c r="AQ1047" s="1">
        <f>VLOOKUP($C1047,'Substrate Heating'!$A$2:$M$33,8,FALSE)</f>
        <v>3</v>
      </c>
      <c r="AR1047" s="1">
        <f t="shared" si="16"/>
        <v>0.9036625514403317</v>
      </c>
    </row>
    <row r="1048" spans="1:44" x14ac:dyDescent="0.2">
      <c r="A1048" s="8" t="s">
        <v>34</v>
      </c>
      <c r="B1048" s="9" t="s">
        <v>35</v>
      </c>
      <c r="C1048" s="1" t="s">
        <v>345</v>
      </c>
      <c r="D1048" s="10" t="s">
        <v>37</v>
      </c>
      <c r="E1048" s="1" t="s">
        <v>52</v>
      </c>
      <c r="F1048" s="1" t="s">
        <v>53</v>
      </c>
      <c r="G1048" s="1">
        <v>-10</v>
      </c>
      <c r="H1048" s="1">
        <v>-20</v>
      </c>
      <c r="I1048" s="1" t="s">
        <v>40</v>
      </c>
      <c r="J1048" s="1">
        <v>3.15</v>
      </c>
      <c r="K1048" s="1">
        <v>-10</v>
      </c>
      <c r="L1048" s="1">
        <v>-3.9243243243243202</v>
      </c>
      <c r="M1048" s="1" t="s">
        <v>40</v>
      </c>
      <c r="N1048" s="1">
        <v>7.9432432432432396</v>
      </c>
      <c r="O1048" s="1">
        <v>4.0189189189189198</v>
      </c>
      <c r="Q1048" s="1">
        <v>0.40189189189189201</v>
      </c>
      <c r="R1048" s="1">
        <v>0.50955638203646902</v>
      </c>
      <c r="S1048" s="1" t="str">
        <f>VLOOKUP($E1048,'Product Naming'!$A$1:$P$58,2,FALSE)</f>
        <v>1-3-Diaminopropane</v>
      </c>
      <c r="T1048" s="1" t="str">
        <f>VLOOKUP($E1048,'Product Naming'!$A$1:$P$58,3,FALSE)</f>
        <v>1,3-Diaminopropane</v>
      </c>
      <c r="U1048" s="1" t="str">
        <f>VLOOKUP($E1048,'Product Naming'!$A$1:$P$58,4,FALSE)</f>
        <v>A</v>
      </c>
      <c r="V1048" s="1" t="str">
        <f>VLOOKUP($E1048,'Product Naming'!$A$1:$P$58,5,FALSE)</f>
        <v>C3H12N2</v>
      </c>
      <c r="W1048" s="1">
        <f>VLOOKUP($E1048,'Product Naming'!$A$1:$P$58,6,FALSE)</f>
        <v>3</v>
      </c>
      <c r="X1048" s="1">
        <f>VLOOKUP($E1048,'Product Naming'!$A$1:$P$58,7,FALSE)</f>
        <v>12</v>
      </c>
      <c r="Y1048" s="1">
        <f>VLOOKUP($E1048,'Product Naming'!$A$1:$P$58,8,FALSE)</f>
        <v>0</v>
      </c>
      <c r="Z1048" s="1">
        <f>VLOOKUP($E1048,'Product Naming'!$A$1:$P$58,9,FALSE)</f>
        <v>2</v>
      </c>
      <c r="AA1048" s="1">
        <f>VLOOKUP($E1048,'Product Naming'!$A$1:$P$58,10,FALSE)</f>
        <v>2</v>
      </c>
      <c r="AB1048" s="29">
        <f>VLOOKUP($E1048,'Product Naming'!$A$1:$P$58,11,FALSE)</f>
        <v>6</v>
      </c>
      <c r="AC1048" s="3">
        <f>VLOOKUP($E1048,'Product Naming'!$A$1:$P$58,12,FALSE)</f>
        <v>76.139580000000009</v>
      </c>
      <c r="AD1048" s="1">
        <f>VLOOKUP($E1048,'Product Naming'!$A$1:$P$58,13,FALSE)</f>
        <v>139.30000000000001</v>
      </c>
      <c r="AE1048" s="1" t="str">
        <f>VLOOKUP($E1048,'Product Naming'!$A$1:$P$58,14,FALSE)</f>
        <v>Diamine</v>
      </c>
      <c r="AF1048" s="1" t="str">
        <f>VLOOKUP($E1048,'Product Naming'!$A$1:$P$58,15,FALSE)</f>
        <v>Oxaloacetate + aKG</v>
      </c>
      <c r="AG1048" s="30" t="str">
        <f>VLOOKUP($E1048,'Product Naming'!$A$1:$P$58,16,FALSE)</f>
        <v>Proton symporter</v>
      </c>
      <c r="AH1048" s="3" t="str">
        <f>VLOOKUP($E1048,'Product Naming'!$A$1:$Q$58,17,FALSE)</f>
        <v>13dampp_c</v>
      </c>
      <c r="AI1048" s="1">
        <f>VLOOKUP($E1048,'Product Parameters'!$A$2:$D$59,2,FALSE)</f>
        <v>1</v>
      </c>
      <c r="AJ1048" s="1">
        <f>VLOOKUP($E1048,'Product Parameters'!$A$2:$D$59,3,FALSE)</f>
        <v>0</v>
      </c>
      <c r="AK1048" s="1">
        <f>VLOOKUP($E1048,'Product Parameters'!$A$2:$D$59,4,FALSE)</f>
        <v>0.12</v>
      </c>
      <c r="AL1048" s="1">
        <f>VLOOKUP($E1048,'Product Parameters'!$A$2:$E$59,5,FALSE)</f>
        <v>50.18</v>
      </c>
      <c r="AM1048" s="1">
        <f>VLOOKUP($E1048,'Product Parameters'!$A$2:$F$59,6,FALSE)</f>
        <v>3</v>
      </c>
      <c r="AN1048" s="1">
        <f>VLOOKUP($C1048,'Substrate Heating'!$A$2:$C$33,3,FALSE)</f>
        <v>1020.8629199999999</v>
      </c>
      <c r="AO1048" s="1">
        <f>VLOOKUP($C1048,'Substrate Heating'!$A$2:$B$33,2,FALSE)</f>
        <v>17</v>
      </c>
      <c r="AP1048" s="1">
        <f>VLOOKUP($C1048,'Substrate Heating'!$A$2:$M$33,13,FALSE)</f>
        <v>4</v>
      </c>
      <c r="AQ1048" s="1">
        <f>VLOOKUP($C1048,'Substrate Heating'!$A$2:$M$33,8,FALSE)</f>
        <v>2</v>
      </c>
      <c r="AR1048" s="1">
        <f t="shared" si="16"/>
        <v>0.60283783783783806</v>
      </c>
    </row>
    <row r="1049" spans="1:44" x14ac:dyDescent="0.2">
      <c r="A1049" s="17" t="s">
        <v>323</v>
      </c>
      <c r="B1049" s="18" t="s">
        <v>324</v>
      </c>
      <c r="C1049" t="s">
        <v>329</v>
      </c>
      <c r="D1049" s="19" t="s">
        <v>326</v>
      </c>
      <c r="E1049" t="s">
        <v>91</v>
      </c>
      <c r="F1049" t="s">
        <v>92</v>
      </c>
      <c r="G1049">
        <v>-10</v>
      </c>
      <c r="H1049">
        <v>0</v>
      </c>
      <c r="I1049">
        <v>-20</v>
      </c>
      <c r="J1049">
        <v>0.45</v>
      </c>
      <c r="K1049">
        <v>-10</v>
      </c>
      <c r="L1049">
        <v>0</v>
      </c>
      <c r="M1049">
        <v>-20</v>
      </c>
      <c r="N1049">
        <v>0</v>
      </c>
      <c r="O1049">
        <v>1.8560000000000001</v>
      </c>
      <c r="P1049"/>
      <c r="Q1049">
        <v>0.18559999999999999</v>
      </c>
      <c r="R1049" s="20">
        <v>0.51045258184087405</v>
      </c>
      <c r="S1049" s="1" t="str">
        <f>VLOOKUP($E1049,'Product Naming'!$A$1:$P$58,2,FALSE)</f>
        <v>2-Methyl-1-Butanol</v>
      </c>
      <c r="T1049" s="1" t="str">
        <f>VLOOKUP($E1049,'Product Naming'!$A$1:$P$58,3,FALSE)</f>
        <v>2-Methyl-1-butanol</v>
      </c>
      <c r="U1049" s="1" t="str">
        <f>VLOOKUP($E1049,'Product Naming'!$A$1:$P$58,4,FALSE)</f>
        <v>A</v>
      </c>
      <c r="V1049" s="1" t="str">
        <f>VLOOKUP($E1049,'Product Naming'!$A$1:$P$58,5,FALSE)</f>
        <v>C5H12O</v>
      </c>
      <c r="W1049" s="1">
        <f>VLOOKUP($E1049,'Product Naming'!$A$1:$P$58,6,FALSE)</f>
        <v>5</v>
      </c>
      <c r="X1049" s="1">
        <f>VLOOKUP($E1049,'Product Naming'!$A$1:$P$58,7,FALSE)</f>
        <v>12</v>
      </c>
      <c r="Y1049" s="1">
        <f>VLOOKUP($E1049,'Product Naming'!$A$1:$P$58,8,FALSE)</f>
        <v>1</v>
      </c>
      <c r="Z1049" s="1">
        <f>VLOOKUP($E1049,'Product Naming'!$A$1:$P$58,9,FALSE)</f>
        <v>0</v>
      </c>
      <c r="AA1049" s="1">
        <f>VLOOKUP($E1049,'Product Naming'!$A$1:$P$58,10,FALSE)</f>
        <v>0</v>
      </c>
      <c r="AB1049" s="29">
        <f>VLOOKUP($E1049,'Product Naming'!$A$1:$P$58,11,FALSE)</f>
        <v>6</v>
      </c>
      <c r="AC1049" s="3">
        <f>VLOOKUP($E1049,'Product Naming'!$A$1:$P$58,12,FALSE)</f>
        <v>88.14658</v>
      </c>
      <c r="AD1049" s="1">
        <f>VLOOKUP($E1049,'Product Naming'!$A$1:$P$58,13,FALSE)</f>
        <v>129</v>
      </c>
      <c r="AE1049" s="1" t="str">
        <f>VLOOKUP($E1049,'Product Naming'!$A$1:$P$58,14,FALSE)</f>
        <v>Alcohol</v>
      </c>
      <c r="AF1049" s="1" t="str">
        <f>VLOOKUP($E1049,'Product Naming'!$A$1:$P$58,15,FALSE)</f>
        <v>PEP</v>
      </c>
      <c r="AG1049" s="30" t="str">
        <f>VLOOKUP($E1049,'Product Naming'!$A$1:$P$58,16,FALSE)</f>
        <v>Proton symporter</v>
      </c>
      <c r="AH1049" s="3" t="str">
        <f>VLOOKUP($E1049,'Product Naming'!$A$1:$Q$58,17,FALSE)</f>
        <v>2mbtoh_c</v>
      </c>
      <c r="AI1049" s="1">
        <f>VLOOKUP($E1049,'Product Parameters'!$A$2:$D$59,2,FALSE)</f>
        <v>1</v>
      </c>
      <c r="AJ1049" s="1">
        <f>VLOOKUP($E1049,'Product Parameters'!$A$2:$D$59,3,FALSE)</f>
        <v>0</v>
      </c>
      <c r="AK1049" s="1">
        <f>VLOOKUP($E1049,'Product Parameters'!$A$2:$D$59,4,FALSE)</f>
        <v>0.12</v>
      </c>
      <c r="AL1049" s="1">
        <f>VLOOKUP($E1049,'Product Parameters'!$A$2:$E$59,5,FALSE)</f>
        <v>54.6</v>
      </c>
      <c r="AM1049" s="1">
        <f>VLOOKUP($E1049,'Product Parameters'!$A$2:$F$59,6,FALSE)</f>
        <v>5</v>
      </c>
      <c r="AN1049" s="1">
        <f>VLOOKUP($C1049,'Substrate Heating'!$A$2:$C$33,3,FALSE)</f>
        <v>255.53333333333336</v>
      </c>
      <c r="AO1049" s="1">
        <f>VLOOKUP($C1049,'Substrate Heating'!$A$2:$B$33,2,FALSE)</f>
        <v>23.925550527978785</v>
      </c>
      <c r="AP1049" s="1">
        <f>VLOOKUP($C1049,'Substrate Heating'!$A$2:$M$33,13,FALSE)</f>
        <v>0.66666666666666663</v>
      </c>
      <c r="AQ1049" s="1">
        <f>VLOOKUP($C1049,'Substrate Heating'!$A$2:$M$33,8,FALSE)</f>
        <v>0.33333333333333331</v>
      </c>
      <c r="AR1049" s="1">
        <f t="shared" si="16"/>
        <v>2.7839999999999998</v>
      </c>
    </row>
    <row r="1050" spans="1:44" x14ac:dyDescent="0.2">
      <c r="A1050" s="8" t="s">
        <v>807</v>
      </c>
      <c r="B1050" s="18" t="s">
        <v>324</v>
      </c>
      <c r="C1050" t="s">
        <v>372</v>
      </c>
      <c r="D1050" s="23" t="s">
        <v>338</v>
      </c>
      <c r="E1050" t="s">
        <v>91</v>
      </c>
      <c r="F1050" t="s">
        <v>92</v>
      </c>
      <c r="G1050">
        <v>-10</v>
      </c>
      <c r="H1050">
        <v>0</v>
      </c>
      <c r="I1050">
        <v>0</v>
      </c>
      <c r="J1050">
        <v>0.45</v>
      </c>
      <c r="K1050">
        <v>-10</v>
      </c>
      <c r="L1050">
        <v>0</v>
      </c>
      <c r="M1050">
        <v>0</v>
      </c>
      <c r="N1050">
        <v>0</v>
      </c>
      <c r="O1050">
        <v>1.8559999999999901</v>
      </c>
      <c r="P1050"/>
      <c r="Q1050">
        <v>0.18559999999999999</v>
      </c>
      <c r="R1050">
        <v>0.51059500678192205</v>
      </c>
      <c r="S1050" s="1" t="str">
        <f>VLOOKUP($E1050,'Product Naming'!$A$1:$P$58,2,FALSE)</f>
        <v>2-Methyl-1-Butanol</v>
      </c>
      <c r="T1050" s="1" t="str">
        <f>VLOOKUP($E1050,'Product Naming'!$A$1:$P$58,3,FALSE)</f>
        <v>2-Methyl-1-butanol</v>
      </c>
      <c r="U1050" s="1" t="str">
        <f>VLOOKUP($E1050,'Product Naming'!$A$1:$P$58,4,FALSE)</f>
        <v>A</v>
      </c>
      <c r="V1050" s="1" t="str">
        <f>VLOOKUP($E1050,'Product Naming'!$A$1:$P$58,5,FALSE)</f>
        <v>C5H12O</v>
      </c>
      <c r="W1050" s="1">
        <f>VLOOKUP($E1050,'Product Naming'!$A$1:$P$58,6,FALSE)</f>
        <v>5</v>
      </c>
      <c r="X1050" s="1">
        <f>VLOOKUP($E1050,'Product Naming'!$A$1:$P$58,7,FALSE)</f>
        <v>12</v>
      </c>
      <c r="Y1050" s="1">
        <f>VLOOKUP($E1050,'Product Naming'!$A$1:$P$58,8,FALSE)</f>
        <v>1</v>
      </c>
      <c r="Z1050" s="1">
        <f>VLOOKUP($E1050,'Product Naming'!$A$1:$P$58,9,FALSE)</f>
        <v>0</v>
      </c>
      <c r="AA1050" s="1">
        <f>VLOOKUP($E1050,'Product Naming'!$A$1:$P$58,10,FALSE)</f>
        <v>0</v>
      </c>
      <c r="AB1050" s="29">
        <f>VLOOKUP($E1050,'Product Naming'!$A$1:$P$58,11,FALSE)</f>
        <v>6</v>
      </c>
      <c r="AC1050" s="3">
        <f>VLOOKUP($E1050,'Product Naming'!$A$1:$P$58,12,FALSE)</f>
        <v>88.14658</v>
      </c>
      <c r="AD1050" s="1">
        <f>VLOOKUP($E1050,'Product Naming'!$A$1:$P$58,13,FALSE)</f>
        <v>129</v>
      </c>
      <c r="AE1050" s="1" t="str">
        <f>VLOOKUP($E1050,'Product Naming'!$A$1:$P$58,14,FALSE)</f>
        <v>Alcohol</v>
      </c>
      <c r="AF1050" s="1" t="str">
        <f>VLOOKUP($E1050,'Product Naming'!$A$1:$P$58,15,FALSE)</f>
        <v>PEP</v>
      </c>
      <c r="AG1050" s="30" t="str">
        <f>VLOOKUP($E1050,'Product Naming'!$A$1:$P$58,16,FALSE)</f>
        <v>Proton symporter</v>
      </c>
      <c r="AH1050" s="3" t="str">
        <f>VLOOKUP($E1050,'Product Naming'!$A$1:$Q$58,17,FALSE)</f>
        <v>2mbtoh_c</v>
      </c>
      <c r="AI1050" s="1">
        <f>VLOOKUP($E1050,'Product Parameters'!$A$2:$D$59,2,FALSE)</f>
        <v>1</v>
      </c>
      <c r="AJ1050" s="1">
        <f>VLOOKUP($E1050,'Product Parameters'!$A$2:$D$59,3,FALSE)</f>
        <v>0</v>
      </c>
      <c r="AK1050" s="1">
        <f>VLOOKUP($E1050,'Product Parameters'!$A$2:$D$59,4,FALSE)</f>
        <v>0.12</v>
      </c>
      <c r="AL1050" s="1">
        <f>VLOOKUP($E1050,'Product Parameters'!$A$2:$E$59,5,FALSE)</f>
        <v>54.6</v>
      </c>
      <c r="AM1050" s="1">
        <f>VLOOKUP($E1050,'Product Parameters'!$A$2:$F$59,6,FALSE)</f>
        <v>5</v>
      </c>
      <c r="AN1050" s="1">
        <f>VLOOKUP($C1050,'Substrate Heating'!$A$2:$C$33,3,FALSE)</f>
        <v>638.57832580000002</v>
      </c>
      <c r="AO1050" s="1">
        <f>VLOOKUP($C1050,'Substrate Heating'!$A$2:$B$33,2,FALSE)</f>
        <v>19.93</v>
      </c>
      <c r="AP1050" s="1">
        <f>VLOOKUP($C1050,'Substrate Heating'!$A$2:$M$33,13,FALSE)</f>
        <v>6</v>
      </c>
      <c r="AQ1050" s="1">
        <f>VLOOKUP($C1050,'Substrate Heating'!$A$2:$M$33,8,FALSE)</f>
        <v>1</v>
      </c>
      <c r="AR1050" s="1">
        <f t="shared" si="16"/>
        <v>0.92799999999999994</v>
      </c>
    </row>
    <row r="1051" spans="1:44" x14ac:dyDescent="0.2">
      <c r="A1051" s="8" t="s">
        <v>34</v>
      </c>
      <c r="B1051" s="9" t="s">
        <v>35</v>
      </c>
      <c r="C1051" s="1" t="s">
        <v>344</v>
      </c>
      <c r="D1051" s="10" t="s">
        <v>37</v>
      </c>
      <c r="E1051" s="1" t="s">
        <v>180</v>
      </c>
      <c r="F1051" s="1" t="s">
        <v>181</v>
      </c>
      <c r="G1051" s="1">
        <v>-10</v>
      </c>
      <c r="H1051" s="1">
        <v>-20</v>
      </c>
      <c r="I1051" s="1" t="s">
        <v>40</v>
      </c>
      <c r="J1051" s="1">
        <v>3.15</v>
      </c>
      <c r="K1051" s="1">
        <v>-10</v>
      </c>
      <c r="L1051" s="1">
        <v>-7.9596153846153799</v>
      </c>
      <c r="M1051" s="1" t="s">
        <v>40</v>
      </c>
      <c r="N1051" s="1">
        <v>6.8650349650349698</v>
      </c>
      <c r="O1051" s="1">
        <v>2.1891608391608401</v>
      </c>
      <c r="Q1051" s="1">
        <v>0.218916083916084</v>
      </c>
      <c r="R1051" s="1">
        <v>0.51069565884391999</v>
      </c>
      <c r="S1051" s="1" t="str">
        <f>VLOOKUP($E1051,'Product Naming'!$A$1:$P$58,2,FALSE)</f>
        <v>ciscisMuconate</v>
      </c>
      <c r="T1051" s="1" t="str">
        <f>VLOOKUP($E1051,'Product Naming'!$A$1:$P$58,3,FALSE)</f>
        <v>cis,cis-Muconate</v>
      </c>
      <c r="U1051" s="1" t="str">
        <f>VLOOKUP($E1051,'Product Naming'!$A$1:$P$58,4,FALSE)</f>
        <v>A</v>
      </c>
      <c r="V1051" s="1" t="str">
        <f>VLOOKUP($E1051,'Product Naming'!$A$1:$P$58,5,FALSE)</f>
        <v>C6H4O4</v>
      </c>
      <c r="W1051" s="1">
        <f>VLOOKUP($E1051,'Product Naming'!$A$1:$P$58,6,FALSE)</f>
        <v>6</v>
      </c>
      <c r="X1051" s="1">
        <f>VLOOKUP($E1051,'Product Naming'!$A$1:$P$58,7,FALSE)</f>
        <v>4</v>
      </c>
      <c r="Y1051" s="1">
        <f>VLOOKUP($E1051,'Product Naming'!$A$1:$P$58,8,FALSE)</f>
        <v>4</v>
      </c>
      <c r="Z1051" s="1">
        <f>VLOOKUP($E1051,'Product Naming'!$A$1:$P$58,9,FALSE)</f>
        <v>0</v>
      </c>
      <c r="AA1051" s="1">
        <f>VLOOKUP($E1051,'Product Naming'!$A$1:$P$58,10,FALSE)</f>
        <v>-2</v>
      </c>
      <c r="AB1051" s="29">
        <f>VLOOKUP($E1051,'Product Naming'!$A$1:$P$58,11,FALSE)</f>
        <v>3.3333333333333335</v>
      </c>
      <c r="AC1051" s="3">
        <f>VLOOKUP($E1051,'Product Naming'!$A$1:$P$58,12,FALSE)</f>
        <v>140.09156000000002</v>
      </c>
      <c r="AD1051" s="1">
        <f>VLOOKUP($E1051,'Product Naming'!$A$1:$P$58,13,FALSE)</f>
        <v>345.4</v>
      </c>
      <c r="AE1051" s="1" t="str">
        <f>VLOOKUP($E1051,'Product Naming'!$A$1:$P$58,14,FALSE)</f>
        <v>Dicarboxylate</v>
      </c>
      <c r="AF1051" s="1" t="str">
        <f>VLOOKUP($E1051,'Product Naming'!$A$1:$P$58,15,FALSE)</f>
        <v>Glyceraldehyde 3-P</v>
      </c>
      <c r="AG1051" s="30" t="str">
        <f>VLOOKUP($E1051,'Product Naming'!$A$1:$P$58,16,FALSE)</f>
        <v>Proton symporter</v>
      </c>
      <c r="AH1051" s="3" t="str">
        <f>VLOOKUP($E1051,'Product Naming'!$A$1:$Q$58,17,FALSE)</f>
        <v>ccmuac_c</v>
      </c>
      <c r="AI1051" s="1">
        <f>VLOOKUP($E1051,'Product Parameters'!$A$2:$D$59,2,FALSE)</f>
        <v>1</v>
      </c>
      <c r="AJ1051" s="1">
        <f>VLOOKUP($E1051,'Product Parameters'!$A$2:$D$59,3,FALSE)</f>
        <v>0</v>
      </c>
      <c r="AK1051" s="1">
        <f>VLOOKUP($E1051,'Product Parameters'!$A$2:$D$59,4,FALSE)</f>
        <v>0.12</v>
      </c>
      <c r="AL1051" s="1">
        <f>VLOOKUP($E1051,'Product Parameters'!$A$2:$E$59,5,FALSE)</f>
        <v>40.65</v>
      </c>
      <c r="AM1051" s="1">
        <f>VLOOKUP($E1051,'Product Parameters'!$A$2:$F$59,6,FALSE)</f>
        <v>6</v>
      </c>
      <c r="AN1051" s="1">
        <f>VLOOKUP($C1051,'Substrate Heating'!$A$2:$C$33,3,FALSE)</f>
        <v>1020.8629199999999</v>
      </c>
      <c r="AO1051" s="1">
        <f>VLOOKUP($C1051,'Substrate Heating'!$A$2:$B$33,2,FALSE)</f>
        <v>17</v>
      </c>
      <c r="AP1051" s="1">
        <f>VLOOKUP($C1051,'Substrate Heating'!$A$2:$M$33,13,FALSE)</f>
        <v>4</v>
      </c>
      <c r="AQ1051" s="1">
        <f>VLOOKUP($C1051,'Substrate Heating'!$A$2:$M$33,8,FALSE)</f>
        <v>2</v>
      </c>
      <c r="AR1051" s="1">
        <f t="shared" si="16"/>
        <v>0.65674825174825202</v>
      </c>
    </row>
    <row r="1052" spans="1:44" x14ac:dyDescent="0.2">
      <c r="A1052" s="8" t="s">
        <v>34</v>
      </c>
      <c r="B1052" s="9" t="s">
        <v>35</v>
      </c>
      <c r="C1052" s="1" t="s">
        <v>349</v>
      </c>
      <c r="D1052" s="25" t="s">
        <v>342</v>
      </c>
      <c r="E1052" s="1" t="s">
        <v>114</v>
      </c>
      <c r="F1052" s="1" t="s">
        <v>115</v>
      </c>
      <c r="G1052" s="1">
        <v>-10</v>
      </c>
      <c r="H1052" s="1">
        <v>-20</v>
      </c>
      <c r="I1052" s="1" t="s">
        <v>40</v>
      </c>
      <c r="J1052" s="1">
        <v>3.15</v>
      </c>
      <c r="K1052" s="1">
        <v>-10</v>
      </c>
      <c r="L1052" s="1">
        <v>-10.7134328358209</v>
      </c>
      <c r="M1052" s="1" t="s">
        <v>40</v>
      </c>
      <c r="N1052" s="1">
        <v>17.261194029850699</v>
      </c>
      <c r="O1052" s="1">
        <v>6.5477611940298504</v>
      </c>
      <c r="Q1052" s="1">
        <v>0.65477611940298497</v>
      </c>
      <c r="R1052" s="1">
        <v>0.51091308754303499</v>
      </c>
      <c r="S1052" s="1" t="str">
        <f>VLOOKUP($E1052,'Product Naming'!$A$1:$P$58,2,FALSE)</f>
        <v>5-Aminopentanoate</v>
      </c>
      <c r="T1052" s="1" t="str">
        <f>VLOOKUP($E1052,'Product Naming'!$A$1:$P$58,3,FALSE)</f>
        <v>5-Aminopentanoate</v>
      </c>
      <c r="U1052" s="1" t="str">
        <f>VLOOKUP($E1052,'Product Naming'!$A$1:$P$58,4,FALSE)</f>
        <v>A</v>
      </c>
      <c r="V1052" s="1" t="str">
        <f>VLOOKUP($E1052,'Product Naming'!$A$1:$P$58,5,FALSE)</f>
        <v>C5H11NO2</v>
      </c>
      <c r="W1052" s="1">
        <f>VLOOKUP($E1052,'Product Naming'!$A$1:$P$58,6,FALSE)</f>
        <v>5</v>
      </c>
      <c r="X1052" s="1">
        <f>VLOOKUP($E1052,'Product Naming'!$A$1:$P$58,7,FALSE)</f>
        <v>11</v>
      </c>
      <c r="Y1052" s="1">
        <f>VLOOKUP($E1052,'Product Naming'!$A$1:$P$58,8,FALSE)</f>
        <v>2</v>
      </c>
      <c r="Z1052" s="1">
        <f>VLOOKUP($E1052,'Product Naming'!$A$1:$P$58,9,FALSE)</f>
        <v>1</v>
      </c>
      <c r="AA1052" s="1">
        <f>VLOOKUP($E1052,'Product Naming'!$A$1:$P$58,10,FALSE)</f>
        <v>0</v>
      </c>
      <c r="AB1052" s="29">
        <f>VLOOKUP($E1052,'Product Naming'!$A$1:$P$58,11,FALSE)</f>
        <v>4.8</v>
      </c>
      <c r="AC1052" s="3">
        <f>VLOOKUP($E1052,'Product Naming'!$A$1:$P$58,12,FALSE)</f>
        <v>117.14444</v>
      </c>
      <c r="AD1052" s="1">
        <f>VLOOKUP($E1052,'Product Naming'!$A$1:$P$58,13,FALSE)</f>
        <v>247.5</v>
      </c>
      <c r="AE1052" s="1" t="str">
        <f>VLOOKUP($E1052,'Product Naming'!$A$1:$P$58,14,FALSE)</f>
        <v>D-Amino Acid</v>
      </c>
      <c r="AF1052" s="1" t="str">
        <f>VLOOKUP($E1052,'Product Naming'!$A$1:$P$58,15,FALSE)</f>
        <v>Oxaloacetate</v>
      </c>
      <c r="AG1052" s="30" t="str">
        <f>VLOOKUP($E1052,'Product Naming'!$A$1:$P$58,16,FALSE)</f>
        <v>Proton symporter</v>
      </c>
      <c r="AH1052" s="3" t="str">
        <f>VLOOKUP($E1052,'Product Naming'!$A$1:$Q$58,17,FALSE)</f>
        <v>5aptn_c</v>
      </c>
      <c r="AI1052" s="1">
        <f>VLOOKUP($E1052,'Product Parameters'!$A$2:$D$59,2,FALSE)</f>
        <v>1</v>
      </c>
      <c r="AJ1052" s="1">
        <f>VLOOKUP($E1052,'Product Parameters'!$A$2:$D$59,3,FALSE)</f>
        <v>0</v>
      </c>
      <c r="AK1052" s="1">
        <f>VLOOKUP($E1052,'Product Parameters'!$A$2:$D$59,4,FALSE)</f>
        <v>0.12</v>
      </c>
      <c r="AL1052" s="1">
        <f>VLOOKUP($E1052,'Product Parameters'!$A$2:$E$59,5,FALSE)</f>
        <v>40.65</v>
      </c>
      <c r="AM1052" s="1">
        <f>VLOOKUP($E1052,'Product Parameters'!$A$2:$F$59,6,FALSE)</f>
        <v>5</v>
      </c>
      <c r="AN1052" s="1">
        <f>VLOOKUP($C1052,'Substrate Heating'!$A$2:$C$33,3,FALSE)</f>
        <v>2342.0279999999998</v>
      </c>
      <c r="AO1052" s="1">
        <f>VLOOKUP($C1052,'Substrate Heating'!$A$2:$B$33,2,FALSE)</f>
        <v>15.6</v>
      </c>
      <c r="AP1052" s="1">
        <f>VLOOKUP($C1052,'Substrate Heating'!$A$2:$M$33,13,FALSE)</f>
        <v>4</v>
      </c>
      <c r="AQ1052" s="1">
        <f>VLOOKUP($C1052,'Substrate Heating'!$A$2:$M$33,8,FALSE)</f>
        <v>5</v>
      </c>
      <c r="AR1052" s="1">
        <f t="shared" si="16"/>
        <v>0.65477611940298497</v>
      </c>
    </row>
    <row r="1053" spans="1:44" x14ac:dyDescent="0.2">
      <c r="A1053" s="8" t="s">
        <v>832</v>
      </c>
      <c r="B1053" s="18" t="s">
        <v>324</v>
      </c>
      <c r="C1053" t="s">
        <v>328</v>
      </c>
      <c r="D1053" s="19" t="s">
        <v>326</v>
      </c>
      <c r="E1053" t="s">
        <v>332</v>
      </c>
      <c r="F1053" t="s">
        <v>826</v>
      </c>
      <c r="G1053">
        <v>-10</v>
      </c>
      <c r="H1053">
        <v>0</v>
      </c>
      <c r="I1053">
        <v>-10</v>
      </c>
      <c r="J1053">
        <v>0.45</v>
      </c>
      <c r="K1053">
        <v>-10</v>
      </c>
      <c r="L1053">
        <v>0</v>
      </c>
      <c r="M1053">
        <v>-10</v>
      </c>
      <c r="N1053">
        <v>3.3333333333333299</v>
      </c>
      <c r="O1053">
        <v>3.3333333333333299</v>
      </c>
      <c r="P1053"/>
      <c r="Q1053">
        <v>0.33333333333333298</v>
      </c>
      <c r="R1053">
        <v>0.51141721619041203</v>
      </c>
      <c r="S1053" s="1" t="str">
        <f>VLOOKUP($E1053,'Product Naming'!$A$1:$P$58,2,FALSE)</f>
        <v>Ethanol</v>
      </c>
      <c r="T1053" s="1" t="str">
        <f>VLOOKUP($E1053,'Product Naming'!$A$1:$P$58,3,FALSE)</f>
        <v>Ethanol</v>
      </c>
      <c r="U1053" s="1" t="str">
        <f>VLOOKUP($E1053,'Product Naming'!$A$1:$P$58,4,FALSE)</f>
        <v>A</v>
      </c>
      <c r="V1053" s="1" t="str">
        <f>VLOOKUP($E1053,'Product Naming'!$A$1:$P$58,5,FALSE)</f>
        <v>C2H6O</v>
      </c>
      <c r="W1053" s="1">
        <f>VLOOKUP($E1053,'Product Naming'!$A$1:$P$58,6,FALSE)</f>
        <v>2</v>
      </c>
      <c r="X1053" s="1">
        <f>VLOOKUP($E1053,'Product Naming'!$A$1:$P$58,7,FALSE)</f>
        <v>6</v>
      </c>
      <c r="Y1053" s="1">
        <f>VLOOKUP($E1053,'Product Naming'!$A$1:$P$58,8,FALSE)</f>
        <v>1</v>
      </c>
      <c r="Z1053" s="1">
        <f>VLOOKUP($E1053,'Product Naming'!$A$1:$P$58,9,FALSE)</f>
        <v>0</v>
      </c>
      <c r="AA1053" s="1">
        <f>VLOOKUP($E1053,'Product Naming'!$A$1:$P$58,10,FALSE)</f>
        <v>0</v>
      </c>
      <c r="AB1053" s="29">
        <f>VLOOKUP($E1053,'Product Naming'!$A$1:$P$58,11,FALSE)</f>
        <v>6</v>
      </c>
      <c r="AC1053" s="3">
        <f>VLOOKUP($E1053,'Product Naming'!$A$1:$P$58,12,FALSE)</f>
        <v>46.067440000000005</v>
      </c>
      <c r="AD1053" s="1">
        <f>VLOOKUP($E1053,'Product Naming'!$A$1:$P$58,13,FALSE)</f>
        <v>78.37</v>
      </c>
      <c r="AE1053" s="1" t="str">
        <f>VLOOKUP($E1053,'Product Naming'!$A$1:$P$58,14,FALSE)</f>
        <v>Alcohol</v>
      </c>
      <c r="AF1053" s="1" t="str">
        <f>VLOOKUP($E1053,'Product Naming'!$A$1:$P$58,15,FALSE)</f>
        <v>Acetyl-CoA</v>
      </c>
      <c r="AG1053" s="30" t="str">
        <f>VLOOKUP($E1053,'Product Naming'!$A$1:$P$58,16,FALSE)</f>
        <v>Proton symporter</v>
      </c>
      <c r="AH1053" s="3" t="str">
        <f>VLOOKUP($E1053,'Product Naming'!$A$1:$Q$58,17,FALSE)</f>
        <v>etoh_c</v>
      </c>
      <c r="AI1053" s="1">
        <f>VLOOKUP($E1053,'Product Parameters'!$A$2:$D$59,2,FALSE)</f>
        <v>1</v>
      </c>
      <c r="AJ1053" s="1">
        <f>VLOOKUP($E1053,'Product Parameters'!$A$2:$D$59,3,FALSE)</f>
        <v>0</v>
      </c>
      <c r="AK1053" s="1">
        <f>VLOOKUP($E1053,'Product Parameters'!$A$2:$D$59,4,FALSE)</f>
        <v>0.12</v>
      </c>
      <c r="AL1053" s="1">
        <f>VLOOKUP($E1053,'Product Parameters'!$A$2:$E$59,5,FALSE)</f>
        <v>42.3</v>
      </c>
      <c r="AM1053" s="1">
        <f>VLOOKUP($E1053,'Product Parameters'!$A$2:$F$59,6,FALSE)</f>
        <v>2</v>
      </c>
      <c r="AN1053" s="1">
        <f>VLOOKUP($C1053,'Substrate Heating'!$A$2:$C$33,3,FALSE)</f>
        <v>262.39999999999998</v>
      </c>
      <c r="AO1053" s="1">
        <f>VLOOKUP($C1053,'Substrate Heating'!$A$2:$B$33,2,FALSE)</f>
        <v>17.478546483008707</v>
      </c>
      <c r="AP1053" s="1">
        <f>VLOOKUP($C1053,'Substrate Heating'!$A$2:$M$33,13,FALSE)</f>
        <v>1</v>
      </c>
      <c r="AQ1053" s="1">
        <f>VLOOKUP($C1053,'Substrate Heating'!$A$2:$M$33,8,FALSE)</f>
        <v>0.5</v>
      </c>
      <c r="AR1053" s="1">
        <f t="shared" si="16"/>
        <v>1.3333333333333319</v>
      </c>
    </row>
    <row r="1054" spans="1:44" x14ac:dyDescent="0.2">
      <c r="A1054" s="8" t="s">
        <v>34</v>
      </c>
      <c r="B1054" s="9" t="s">
        <v>35</v>
      </c>
      <c r="C1054" s="1" t="s">
        <v>345</v>
      </c>
      <c r="D1054" s="10" t="s">
        <v>37</v>
      </c>
      <c r="E1054" s="1" t="s">
        <v>85</v>
      </c>
      <c r="F1054" s="1" t="s">
        <v>86</v>
      </c>
      <c r="G1054" s="1">
        <v>-10</v>
      </c>
      <c r="H1054" s="1">
        <v>-20</v>
      </c>
      <c r="I1054" s="1" t="s">
        <v>40</v>
      </c>
      <c r="J1054" s="1">
        <v>3.15</v>
      </c>
      <c r="K1054" s="1">
        <v>-10</v>
      </c>
      <c r="L1054" s="1">
        <v>-1.2160305343511399</v>
      </c>
      <c r="M1054" s="1" t="s">
        <v>40</v>
      </c>
      <c r="N1054" s="1">
        <v>6.3389312977099204</v>
      </c>
      <c r="O1054" s="1">
        <v>3.4152671755725201</v>
      </c>
      <c r="Q1054" s="1">
        <v>0.341526717557252</v>
      </c>
      <c r="R1054" s="1">
        <v>0.51252438827825098</v>
      </c>
      <c r="S1054" s="1" t="str">
        <f>VLOOKUP($E1054,'Product Naming'!$A$1:$P$58,2,FALSE)</f>
        <v>2-3-butanediol</v>
      </c>
      <c r="T1054" s="1" t="str">
        <f>VLOOKUP($E1054,'Product Naming'!$A$1:$P$58,3,FALSE)</f>
        <v>2,3-Butanediol</v>
      </c>
      <c r="U1054" s="1" t="str">
        <f>VLOOKUP($E1054,'Product Naming'!$A$1:$P$58,4,FALSE)</f>
        <v>E</v>
      </c>
      <c r="V1054" s="1" t="str">
        <f>VLOOKUP($E1054,'Product Naming'!$A$1:$P$58,5,FALSE)</f>
        <v>C4H10O2</v>
      </c>
      <c r="W1054" s="1">
        <f>VLOOKUP($E1054,'Product Naming'!$A$1:$P$58,6,FALSE)</f>
        <v>4</v>
      </c>
      <c r="X1054" s="1">
        <f>VLOOKUP($E1054,'Product Naming'!$A$1:$P$58,7,FALSE)</f>
        <v>10</v>
      </c>
      <c r="Y1054" s="1">
        <f>VLOOKUP($E1054,'Product Naming'!$A$1:$P$58,8,FALSE)</f>
        <v>2</v>
      </c>
      <c r="Z1054" s="1">
        <f>VLOOKUP($E1054,'Product Naming'!$A$1:$P$58,9,FALSE)</f>
        <v>0</v>
      </c>
      <c r="AA1054" s="1">
        <f>VLOOKUP($E1054,'Product Naming'!$A$1:$P$58,10,FALSE)</f>
        <v>0</v>
      </c>
      <c r="AB1054" s="29">
        <f>VLOOKUP($E1054,'Product Naming'!$A$1:$P$58,11,FALSE)</f>
        <v>5.5</v>
      </c>
      <c r="AC1054" s="3">
        <f>VLOOKUP($E1054,'Product Naming'!$A$1:$P$58,12,FALSE)</f>
        <v>90.119200000000006</v>
      </c>
      <c r="AD1054" s="1">
        <f>VLOOKUP($E1054,'Product Naming'!$A$1:$P$58,13,FALSE)</f>
        <v>177</v>
      </c>
      <c r="AE1054" s="1" t="str">
        <f>VLOOKUP($E1054,'Product Naming'!$A$1:$P$58,14,FALSE)</f>
        <v>Diol</v>
      </c>
      <c r="AF1054" s="1" t="str">
        <f>VLOOKUP($E1054,'Product Naming'!$A$1:$P$58,15,FALSE)</f>
        <v>Pyruvate</v>
      </c>
      <c r="AG1054" s="30" t="str">
        <f>VLOOKUP($E1054,'Product Naming'!$A$1:$P$58,16,FALSE)</f>
        <v>Proton symporter</v>
      </c>
      <c r="AH1054" s="3" t="str">
        <f>VLOOKUP($E1054,'Product Naming'!$A$1:$Q$58,17,FALSE)</f>
        <v>btd_RR_c</v>
      </c>
      <c r="AI1054" s="1">
        <f>VLOOKUP($E1054,'Product Parameters'!$A$2:$D$59,2,FALSE)</f>
        <v>1</v>
      </c>
      <c r="AJ1054" s="1">
        <f>VLOOKUP($E1054,'Product Parameters'!$A$2:$D$59,3,FALSE)</f>
        <v>0</v>
      </c>
      <c r="AK1054" s="1">
        <f>VLOOKUP($E1054,'Product Parameters'!$A$2:$D$59,4,FALSE)</f>
        <v>0.12</v>
      </c>
      <c r="AL1054" s="1">
        <f>VLOOKUP($E1054,'Product Parameters'!$A$2:$E$59,5,FALSE)</f>
        <v>63</v>
      </c>
      <c r="AM1054" s="1">
        <f>VLOOKUP($E1054,'Product Parameters'!$A$2:$F$59,6,FALSE)</f>
        <v>4</v>
      </c>
      <c r="AN1054" s="1">
        <f>VLOOKUP($C1054,'Substrate Heating'!$A$2:$C$33,3,FALSE)</f>
        <v>1020.8629199999999</v>
      </c>
      <c r="AO1054" s="1">
        <f>VLOOKUP($C1054,'Substrate Heating'!$A$2:$B$33,2,FALSE)</f>
        <v>17</v>
      </c>
      <c r="AP1054" s="1">
        <f>VLOOKUP($C1054,'Substrate Heating'!$A$2:$M$33,13,FALSE)</f>
        <v>4</v>
      </c>
      <c r="AQ1054" s="1">
        <f>VLOOKUP($C1054,'Substrate Heating'!$A$2:$M$33,8,FALSE)</f>
        <v>2</v>
      </c>
      <c r="AR1054" s="1">
        <f t="shared" si="16"/>
        <v>0.683053435114504</v>
      </c>
    </row>
    <row r="1055" spans="1:44" x14ac:dyDescent="0.2">
      <c r="A1055" s="17" t="s">
        <v>323</v>
      </c>
      <c r="B1055" s="18" t="s">
        <v>324</v>
      </c>
      <c r="C1055" t="s">
        <v>336</v>
      </c>
      <c r="D1055" s="19" t="s">
        <v>326</v>
      </c>
      <c r="E1055" t="s">
        <v>60</v>
      </c>
      <c r="F1055" t="s">
        <v>61</v>
      </c>
      <c r="G1055">
        <v>-10</v>
      </c>
      <c r="H1055">
        <v>0</v>
      </c>
      <c r="I1055">
        <v>-20</v>
      </c>
      <c r="J1055">
        <v>0.45</v>
      </c>
      <c r="K1055">
        <v>-10</v>
      </c>
      <c r="L1055">
        <v>0</v>
      </c>
      <c r="M1055">
        <v>-16.6666666666667</v>
      </c>
      <c r="N1055">
        <v>0</v>
      </c>
      <c r="O1055">
        <v>3.3333333333333299</v>
      </c>
      <c r="P1055"/>
      <c r="Q1055">
        <v>0.33333333333333298</v>
      </c>
      <c r="R1055" s="20">
        <v>0.513481476482893</v>
      </c>
      <c r="S1055" s="1" t="str">
        <f>VLOOKUP($E1055,'Product Naming'!$A$1:$P$58,2,FALSE)</f>
        <v>1-3-Propanediol</v>
      </c>
      <c r="T1055" s="1" t="str">
        <f>VLOOKUP($E1055,'Product Naming'!$A$1:$P$58,3,FALSE)</f>
        <v>1,3-Propanediol</v>
      </c>
      <c r="U1055" s="1" t="str">
        <f>VLOOKUP($E1055,'Product Naming'!$A$1:$P$58,4,FALSE)</f>
        <v>A</v>
      </c>
      <c r="V1055" s="1" t="str">
        <f>VLOOKUP($E1055,'Product Naming'!$A$1:$P$58,5,FALSE)</f>
        <v>C3H8O2</v>
      </c>
      <c r="W1055" s="1">
        <f>VLOOKUP($E1055,'Product Naming'!$A$1:$P$58,6,FALSE)</f>
        <v>3</v>
      </c>
      <c r="X1055" s="1">
        <f>VLOOKUP($E1055,'Product Naming'!$A$1:$P$58,7,FALSE)</f>
        <v>8</v>
      </c>
      <c r="Y1055" s="1">
        <f>VLOOKUP($E1055,'Product Naming'!$A$1:$P$58,8,FALSE)</f>
        <v>2</v>
      </c>
      <c r="Z1055" s="1">
        <f>VLOOKUP($E1055,'Product Naming'!$A$1:$P$58,9,FALSE)</f>
        <v>0</v>
      </c>
      <c r="AA1055" s="1">
        <f>VLOOKUP($E1055,'Product Naming'!$A$1:$P$58,10,FALSE)</f>
        <v>0</v>
      </c>
      <c r="AB1055" s="29">
        <f>VLOOKUP($E1055,'Product Naming'!$A$1:$P$58,11,FALSE)</f>
        <v>5.333333333333333</v>
      </c>
      <c r="AC1055" s="3">
        <f>VLOOKUP($E1055,'Product Naming'!$A$1:$P$58,12,FALSE)</f>
        <v>76.092820000000003</v>
      </c>
      <c r="AD1055" s="1">
        <f>VLOOKUP($E1055,'Product Naming'!$A$1:$P$58,13,FALSE)</f>
        <v>213</v>
      </c>
      <c r="AE1055" s="1" t="str">
        <f>VLOOKUP($E1055,'Product Naming'!$A$1:$P$58,14,FALSE)</f>
        <v>Diol</v>
      </c>
      <c r="AF1055" s="1" t="str">
        <f>VLOOKUP($E1055,'Product Naming'!$A$1:$P$58,15,FALSE)</f>
        <v>Glyceraldehyde 3-P</v>
      </c>
      <c r="AG1055" s="30" t="str">
        <f>VLOOKUP($E1055,'Product Naming'!$A$1:$P$58,16,FALSE)</f>
        <v>Proton symporter</v>
      </c>
      <c r="AH1055" s="3" t="str">
        <f>VLOOKUP($E1055,'Product Naming'!$A$1:$Q$58,17,FALSE)</f>
        <v>13ppd_c</v>
      </c>
      <c r="AI1055" s="1">
        <f>VLOOKUP($E1055,'Product Parameters'!$A$2:$D$59,2,FALSE)</f>
        <v>1</v>
      </c>
      <c r="AJ1055" s="1">
        <f>VLOOKUP($E1055,'Product Parameters'!$A$2:$D$59,3,FALSE)</f>
        <v>0</v>
      </c>
      <c r="AK1055" s="1">
        <f>VLOOKUP($E1055,'Product Parameters'!$A$2:$D$59,4,FALSE)</f>
        <v>0.12</v>
      </c>
      <c r="AL1055" s="1">
        <f>VLOOKUP($E1055,'Product Parameters'!$A$2:$E$59,5,FALSE)</f>
        <v>70</v>
      </c>
      <c r="AM1055" s="1">
        <f>VLOOKUP($E1055,'Product Parameters'!$A$2:$F$59,6,FALSE)</f>
        <v>3</v>
      </c>
      <c r="AN1055" s="1">
        <f>VLOOKUP($C1055,'Substrate Heating'!$A$2:$C$33,3,FALSE)</f>
        <v>245.86666666666667</v>
      </c>
      <c r="AO1055" s="1">
        <f>VLOOKUP($C1055,'Substrate Heating'!$A$2:$B$33,2,FALSE)</f>
        <v>15.038360459876978</v>
      </c>
      <c r="AP1055" s="1">
        <f>VLOOKUP($C1055,'Substrate Heating'!$A$2:$M$33,13,FALSE)</f>
        <v>0.33333333333333331</v>
      </c>
      <c r="AQ1055" s="1">
        <f>VLOOKUP($C1055,'Substrate Heating'!$A$2:$M$33,8,FALSE)</f>
        <v>0.33333333333333331</v>
      </c>
      <c r="AR1055" s="1">
        <f t="shared" si="16"/>
        <v>2.9999999999999969</v>
      </c>
    </row>
    <row r="1056" spans="1:44" x14ac:dyDescent="0.2">
      <c r="A1056" s="8" t="s">
        <v>809</v>
      </c>
      <c r="B1056" s="18" t="s">
        <v>324</v>
      </c>
      <c r="C1056" t="s">
        <v>808</v>
      </c>
      <c r="D1056" s="19" t="s">
        <v>326</v>
      </c>
      <c r="E1056" t="s">
        <v>60</v>
      </c>
      <c r="F1056" t="s">
        <v>61</v>
      </c>
      <c r="G1056">
        <v>-10</v>
      </c>
      <c r="H1056">
        <v>0</v>
      </c>
      <c r="I1056">
        <v>-20</v>
      </c>
      <c r="J1056">
        <v>0.45</v>
      </c>
      <c r="K1056">
        <v>-7.5</v>
      </c>
      <c r="L1056">
        <v>0</v>
      </c>
      <c r="M1056">
        <v>-20</v>
      </c>
      <c r="N1056">
        <v>-7.5</v>
      </c>
      <c r="O1056">
        <v>2.5</v>
      </c>
      <c r="P1056"/>
      <c r="Q1056">
        <v>0.33333333333333298</v>
      </c>
      <c r="R1056">
        <v>0.51359238110665595</v>
      </c>
      <c r="S1056" s="1" t="str">
        <f>VLOOKUP($E1056,'Product Naming'!$A$1:$P$58,2,FALSE)</f>
        <v>1-3-Propanediol</v>
      </c>
      <c r="T1056" s="1" t="str">
        <f>VLOOKUP($E1056,'Product Naming'!$A$1:$P$58,3,FALSE)</f>
        <v>1,3-Propanediol</v>
      </c>
      <c r="U1056" s="1" t="str">
        <f>VLOOKUP($E1056,'Product Naming'!$A$1:$P$58,4,FALSE)</f>
        <v>A</v>
      </c>
      <c r="V1056" s="1" t="str">
        <f>VLOOKUP($E1056,'Product Naming'!$A$1:$P$58,5,FALSE)</f>
        <v>C3H8O2</v>
      </c>
      <c r="W1056" s="1">
        <f>VLOOKUP($E1056,'Product Naming'!$A$1:$P$58,6,FALSE)</f>
        <v>3</v>
      </c>
      <c r="X1056" s="1">
        <f>VLOOKUP($E1056,'Product Naming'!$A$1:$P$58,7,FALSE)</f>
        <v>8</v>
      </c>
      <c r="Y1056" s="1">
        <f>VLOOKUP($E1056,'Product Naming'!$A$1:$P$58,8,FALSE)</f>
        <v>2</v>
      </c>
      <c r="Z1056" s="1">
        <f>VLOOKUP($E1056,'Product Naming'!$A$1:$P$58,9,FALSE)</f>
        <v>0</v>
      </c>
      <c r="AA1056" s="1">
        <f>VLOOKUP($E1056,'Product Naming'!$A$1:$P$58,10,FALSE)</f>
        <v>0</v>
      </c>
      <c r="AB1056" s="29">
        <f>VLOOKUP($E1056,'Product Naming'!$A$1:$P$58,11,FALSE)</f>
        <v>5.333333333333333</v>
      </c>
      <c r="AC1056" s="3">
        <f>VLOOKUP($E1056,'Product Naming'!$A$1:$P$58,12,FALSE)</f>
        <v>76.092820000000003</v>
      </c>
      <c r="AD1056" s="1">
        <f>VLOOKUP($E1056,'Product Naming'!$A$1:$P$58,13,FALSE)</f>
        <v>213</v>
      </c>
      <c r="AE1056" s="1" t="str">
        <f>VLOOKUP($E1056,'Product Naming'!$A$1:$P$58,14,FALSE)</f>
        <v>Diol</v>
      </c>
      <c r="AF1056" s="1" t="str">
        <f>VLOOKUP($E1056,'Product Naming'!$A$1:$P$58,15,FALSE)</f>
        <v>Glyceraldehyde 3-P</v>
      </c>
      <c r="AG1056" s="30" t="str">
        <f>VLOOKUP($E1056,'Product Naming'!$A$1:$P$58,16,FALSE)</f>
        <v>Proton symporter</v>
      </c>
      <c r="AH1056" s="3" t="str">
        <f>VLOOKUP($E1056,'Product Naming'!$A$1:$Q$58,17,FALSE)</f>
        <v>13ppd_c</v>
      </c>
      <c r="AI1056" s="1">
        <f>VLOOKUP($E1056,'Product Parameters'!$A$2:$D$59,2,FALSE)</f>
        <v>1</v>
      </c>
      <c r="AJ1056" s="1">
        <f>VLOOKUP($E1056,'Product Parameters'!$A$2:$D$59,3,FALSE)</f>
        <v>0</v>
      </c>
      <c r="AK1056" s="1">
        <f>VLOOKUP($E1056,'Product Parameters'!$A$2:$D$59,4,FALSE)</f>
        <v>0.12</v>
      </c>
      <c r="AL1056" s="1">
        <f>VLOOKUP($E1056,'Product Parameters'!$A$2:$E$59,5,FALSE)</f>
        <v>70</v>
      </c>
      <c r="AM1056" s="1">
        <f>VLOOKUP($E1056,'Product Parameters'!$A$2:$F$59,6,FALSE)</f>
        <v>3</v>
      </c>
      <c r="AN1056" s="1">
        <f>VLOOKUP($C1056,'Substrate Heating'!$A$2:$C$33,3,FALSE)</f>
        <v>120.9</v>
      </c>
      <c r="AO1056" s="1">
        <f>VLOOKUP($C1056,'Substrate Heating'!$A$2:$B$33,2,FALSE)</f>
        <v>5.2537372583834907</v>
      </c>
      <c r="AP1056" s="1">
        <f>VLOOKUP($C1056,'Substrate Heating'!$A$2:$M$33,13,FALSE)</f>
        <v>0</v>
      </c>
      <c r="AQ1056" s="1">
        <f>VLOOKUP($C1056,'Substrate Heating'!$A$2:$M$33,8,FALSE)</f>
        <v>0.33333333333333331</v>
      </c>
      <c r="AR1056" s="1">
        <f t="shared" si="16"/>
        <v>2.9999999999999969</v>
      </c>
    </row>
    <row r="1057" spans="1:44" x14ac:dyDescent="0.2">
      <c r="A1057" s="8" t="s">
        <v>34</v>
      </c>
      <c r="B1057" s="9" t="s">
        <v>35</v>
      </c>
      <c r="C1057" s="1" t="s">
        <v>345</v>
      </c>
      <c r="D1057" s="10" t="s">
        <v>37</v>
      </c>
      <c r="E1057" s="1" t="s">
        <v>38</v>
      </c>
      <c r="F1057" s="1" t="s">
        <v>39</v>
      </c>
      <c r="G1057" s="1">
        <v>-10</v>
      </c>
      <c r="H1057" s="1">
        <v>-20</v>
      </c>
      <c r="I1057" s="1" t="s">
        <v>40</v>
      </c>
      <c r="J1057" s="1">
        <v>3.15</v>
      </c>
      <c r="K1057" s="1">
        <v>-10</v>
      </c>
      <c r="L1057" s="1">
        <v>-1.1758974358974399</v>
      </c>
      <c r="M1057" s="1" t="s">
        <v>40</v>
      </c>
      <c r="N1057" s="1">
        <v>6.3097435897435998</v>
      </c>
      <c r="O1057" s="1">
        <v>3.42256410256411</v>
      </c>
      <c r="Q1057" s="1">
        <v>0.34225641025641101</v>
      </c>
      <c r="R1057" s="1">
        <v>0.51361942794877002</v>
      </c>
      <c r="S1057" s="1" t="str">
        <f>VLOOKUP($E1057,'Product Naming'!$A$1:$P$58,2,FALSE)</f>
        <v>1-3-butanediol-PW1</v>
      </c>
      <c r="T1057" s="1" t="str">
        <f>VLOOKUP($E1057,'Product Naming'!$A$1:$P$58,3,FALSE)</f>
        <v>1,3-Butanediol (PW1)</v>
      </c>
      <c r="U1057" s="1" t="str">
        <f>VLOOKUP($E1057,'Product Naming'!$A$1:$P$58,4,FALSE)</f>
        <v>E</v>
      </c>
      <c r="V1057" s="1" t="str">
        <f>VLOOKUP($E1057,'Product Naming'!$A$1:$P$58,5,FALSE)</f>
        <v>C4H10O2</v>
      </c>
      <c r="W1057" s="1">
        <f>VLOOKUP($E1057,'Product Naming'!$A$1:$P$58,6,FALSE)</f>
        <v>4</v>
      </c>
      <c r="X1057" s="1">
        <f>VLOOKUP($E1057,'Product Naming'!$A$1:$P$58,7,FALSE)</f>
        <v>10</v>
      </c>
      <c r="Y1057" s="1">
        <f>VLOOKUP($E1057,'Product Naming'!$A$1:$P$58,8,FALSE)</f>
        <v>2</v>
      </c>
      <c r="Z1057" s="1">
        <f>VLOOKUP($E1057,'Product Naming'!$A$1:$P$58,9,FALSE)</f>
        <v>0</v>
      </c>
      <c r="AA1057" s="1">
        <f>VLOOKUP($E1057,'Product Naming'!$A$1:$P$58,10,FALSE)</f>
        <v>0</v>
      </c>
      <c r="AB1057" s="29">
        <f>VLOOKUP($E1057,'Product Naming'!$A$1:$P$58,11,FALSE)</f>
        <v>5.5</v>
      </c>
      <c r="AC1057" s="3">
        <f>VLOOKUP($E1057,'Product Naming'!$A$1:$P$58,12,FALSE)</f>
        <v>90.119200000000006</v>
      </c>
      <c r="AD1057" s="1">
        <f>VLOOKUP($E1057,'Product Naming'!$A$1:$P$58,13,FALSE)</f>
        <v>207</v>
      </c>
      <c r="AE1057" s="1" t="str">
        <f>VLOOKUP($E1057,'Product Naming'!$A$1:$P$58,14,FALSE)</f>
        <v>Diol</v>
      </c>
      <c r="AF1057" s="1" t="str">
        <f>VLOOKUP($E1057,'Product Naming'!$A$1:$P$58,15,FALSE)</f>
        <v>Acetyl-CoA</v>
      </c>
      <c r="AG1057" s="30" t="str">
        <f>VLOOKUP($E1057,'Product Naming'!$A$1:$P$58,16,FALSE)</f>
        <v>Proton symporter</v>
      </c>
      <c r="AH1057" s="3" t="str">
        <f>VLOOKUP($E1057,'Product Naming'!$A$1:$Q$58,17,FALSE)</f>
        <v>13bdo__R_c</v>
      </c>
      <c r="AI1057" s="1">
        <f>VLOOKUP($E1057,'Product Parameters'!$A$2:$D$59,2,FALSE)</f>
        <v>1</v>
      </c>
      <c r="AJ1057" s="1">
        <f>VLOOKUP($E1057,'Product Parameters'!$A$2:$D$59,3,FALSE)</f>
        <v>0</v>
      </c>
      <c r="AK1057" s="1">
        <f>VLOOKUP($E1057,'Product Parameters'!$A$2:$D$59,4,FALSE)</f>
        <v>0.12</v>
      </c>
      <c r="AL1057" s="1">
        <f>VLOOKUP($E1057,'Product Parameters'!$A$2:$E$59,5,FALSE)</f>
        <v>72.599999999999994</v>
      </c>
      <c r="AM1057" s="1">
        <f>VLOOKUP($E1057,'Product Parameters'!$A$2:$F$59,6,FALSE)</f>
        <v>4</v>
      </c>
      <c r="AN1057" s="1">
        <f>VLOOKUP($C1057,'Substrate Heating'!$A$2:$C$33,3,FALSE)</f>
        <v>1020.8629199999999</v>
      </c>
      <c r="AO1057" s="1">
        <f>VLOOKUP($C1057,'Substrate Heating'!$A$2:$B$33,2,FALSE)</f>
        <v>17</v>
      </c>
      <c r="AP1057" s="1">
        <f>VLOOKUP($C1057,'Substrate Heating'!$A$2:$M$33,13,FALSE)</f>
        <v>4</v>
      </c>
      <c r="AQ1057" s="1">
        <f>VLOOKUP($C1057,'Substrate Heating'!$A$2:$M$33,8,FALSE)</f>
        <v>2</v>
      </c>
      <c r="AR1057" s="1">
        <f t="shared" si="16"/>
        <v>0.68451282051282203</v>
      </c>
    </row>
    <row r="1058" spans="1:44" x14ac:dyDescent="0.2">
      <c r="A1058" s="8" t="s">
        <v>34</v>
      </c>
      <c r="B1058" s="9" t="s">
        <v>35</v>
      </c>
      <c r="C1058" s="1" t="s">
        <v>345</v>
      </c>
      <c r="D1058" s="10" t="s">
        <v>37</v>
      </c>
      <c r="E1058" s="1" t="s">
        <v>48</v>
      </c>
      <c r="F1058" s="1" t="s">
        <v>39</v>
      </c>
      <c r="G1058" s="1">
        <v>-10</v>
      </c>
      <c r="H1058" s="1">
        <v>-20</v>
      </c>
      <c r="I1058" s="1" t="s">
        <v>40</v>
      </c>
      <c r="J1058" s="1">
        <v>3.15</v>
      </c>
      <c r="K1058" s="1">
        <v>-10</v>
      </c>
      <c r="L1058" s="1">
        <v>-1.1758974358974399</v>
      </c>
      <c r="M1058" s="1" t="s">
        <v>40</v>
      </c>
      <c r="N1058" s="1">
        <v>6.3097435897435901</v>
      </c>
      <c r="O1058" s="1">
        <v>3.4225641025640998</v>
      </c>
      <c r="Q1058" s="1">
        <v>0.34225641025641101</v>
      </c>
      <c r="R1058" s="1">
        <v>0.51361942794877002</v>
      </c>
      <c r="S1058" s="1" t="str">
        <f>VLOOKUP($E1058,'Product Naming'!$A$1:$P$58,2,FALSE)</f>
        <v>1-3-butanediol-PW2</v>
      </c>
      <c r="T1058" s="1" t="str">
        <f>VLOOKUP($E1058,'Product Naming'!$A$1:$P$58,3,FALSE)</f>
        <v>1,3-Butanediol (PW2)</v>
      </c>
      <c r="U1058" s="1" t="str">
        <f>VLOOKUP($E1058,'Product Naming'!$A$1:$P$58,4,FALSE)</f>
        <v>E</v>
      </c>
      <c r="V1058" s="1" t="str">
        <f>VLOOKUP($E1058,'Product Naming'!$A$1:$P$58,5,FALSE)</f>
        <v>C4H10O2</v>
      </c>
      <c r="W1058" s="1">
        <f>VLOOKUP($E1058,'Product Naming'!$A$1:$P$58,6,FALSE)</f>
        <v>4</v>
      </c>
      <c r="X1058" s="1">
        <f>VLOOKUP($E1058,'Product Naming'!$A$1:$P$58,7,FALSE)</f>
        <v>10</v>
      </c>
      <c r="Y1058" s="1">
        <f>VLOOKUP($E1058,'Product Naming'!$A$1:$P$58,8,FALSE)</f>
        <v>2</v>
      </c>
      <c r="Z1058" s="1">
        <f>VLOOKUP($E1058,'Product Naming'!$A$1:$P$58,9,FALSE)</f>
        <v>0</v>
      </c>
      <c r="AA1058" s="1">
        <f>VLOOKUP($E1058,'Product Naming'!$A$1:$P$58,10,FALSE)</f>
        <v>0</v>
      </c>
      <c r="AB1058" s="29">
        <f>VLOOKUP($E1058,'Product Naming'!$A$1:$P$58,11,FALSE)</f>
        <v>5.5</v>
      </c>
      <c r="AC1058" s="3">
        <f>VLOOKUP($E1058,'Product Naming'!$A$1:$P$58,12,FALSE)</f>
        <v>90.119200000000006</v>
      </c>
      <c r="AD1058" s="1">
        <f>VLOOKUP($E1058,'Product Naming'!$A$1:$P$58,13,FALSE)</f>
        <v>207</v>
      </c>
      <c r="AE1058" s="1" t="str">
        <f>VLOOKUP($E1058,'Product Naming'!$A$1:$P$58,14,FALSE)</f>
        <v>Diol</v>
      </c>
      <c r="AF1058" s="1" t="str">
        <f>VLOOKUP($E1058,'Product Naming'!$A$1:$P$58,15,FALSE)</f>
        <v>Pyruvate (acetalehyde)</v>
      </c>
      <c r="AG1058" s="30" t="str">
        <f>VLOOKUP($E1058,'Product Naming'!$A$1:$P$58,16,FALSE)</f>
        <v>Proton symporter</v>
      </c>
      <c r="AH1058" s="3" t="str">
        <f>VLOOKUP($E1058,'Product Naming'!$A$1:$Q$58,17,FALSE)</f>
        <v>13bdo__R_c</v>
      </c>
      <c r="AI1058" s="1">
        <f>VLOOKUP($E1058,'Product Parameters'!$A$2:$D$59,2,FALSE)</f>
        <v>1</v>
      </c>
      <c r="AJ1058" s="1">
        <f>VLOOKUP($E1058,'Product Parameters'!$A$2:$D$59,3,FALSE)</f>
        <v>0</v>
      </c>
      <c r="AK1058" s="1">
        <f>VLOOKUP($E1058,'Product Parameters'!$A$2:$D$59,4,FALSE)</f>
        <v>0.12</v>
      </c>
      <c r="AL1058" s="1">
        <f>VLOOKUP($E1058,'Product Parameters'!$A$2:$E$59,5,FALSE)</f>
        <v>72.599999999999994</v>
      </c>
      <c r="AM1058" s="1">
        <f>VLOOKUP($E1058,'Product Parameters'!$A$2:$F$59,6,FALSE)</f>
        <v>4</v>
      </c>
      <c r="AN1058" s="1">
        <f>VLOOKUP($C1058,'Substrate Heating'!$A$2:$C$33,3,FALSE)</f>
        <v>1020.8629199999999</v>
      </c>
      <c r="AO1058" s="1">
        <f>VLOOKUP($C1058,'Substrate Heating'!$A$2:$B$33,2,FALSE)</f>
        <v>17</v>
      </c>
      <c r="AP1058" s="1">
        <f>VLOOKUP($C1058,'Substrate Heating'!$A$2:$M$33,13,FALSE)</f>
        <v>4</v>
      </c>
      <c r="AQ1058" s="1">
        <f>VLOOKUP($C1058,'Substrate Heating'!$A$2:$M$33,8,FALSE)</f>
        <v>2</v>
      </c>
      <c r="AR1058" s="1">
        <f t="shared" si="16"/>
        <v>0.68451282051282203</v>
      </c>
    </row>
    <row r="1059" spans="1:44" x14ac:dyDescent="0.2">
      <c r="A1059" s="8" t="s">
        <v>34</v>
      </c>
      <c r="B1059" s="9" t="s">
        <v>35</v>
      </c>
      <c r="C1059" s="1" t="s">
        <v>331</v>
      </c>
      <c r="D1059" s="10" t="s">
        <v>37</v>
      </c>
      <c r="E1059" s="1" t="s">
        <v>251</v>
      </c>
      <c r="F1059" s="1" t="s">
        <v>252</v>
      </c>
      <c r="G1059" s="1">
        <v>-10</v>
      </c>
      <c r="H1059" s="1">
        <v>-20</v>
      </c>
      <c r="I1059" s="1" t="s">
        <v>40</v>
      </c>
      <c r="J1059" s="1">
        <v>3.15</v>
      </c>
      <c r="K1059" s="1">
        <v>-10</v>
      </c>
      <c r="L1059" s="1">
        <v>-1.0975000000000099</v>
      </c>
      <c r="M1059" s="1" t="s">
        <v>40</v>
      </c>
      <c r="N1059" s="1">
        <v>4.0650000000000004</v>
      </c>
      <c r="O1059" s="1">
        <v>5.3116666666666701</v>
      </c>
      <c r="Q1059" s="1">
        <v>0.53116666666666701</v>
      </c>
      <c r="R1059" s="1">
        <v>0.51428525025886196</v>
      </c>
      <c r="S1059" s="1" t="str">
        <f>VLOOKUP($E1059,'Product Naming'!$A$1:$P$58,2,FALSE)</f>
        <v>Isopropanol</v>
      </c>
      <c r="T1059" s="1" t="str">
        <f>VLOOKUP($E1059,'Product Naming'!$A$1:$P$58,3,FALSE)</f>
        <v>Isopropanol</v>
      </c>
      <c r="U1059" s="1" t="str">
        <f>VLOOKUP($E1059,'Product Naming'!$A$1:$P$58,4,FALSE)</f>
        <v>A</v>
      </c>
      <c r="V1059" s="1" t="str">
        <f>VLOOKUP($E1059,'Product Naming'!$A$1:$P$58,5,FALSE)</f>
        <v>C3H8O</v>
      </c>
      <c r="W1059" s="1">
        <f>VLOOKUP($E1059,'Product Naming'!$A$1:$P$58,6,FALSE)</f>
        <v>3</v>
      </c>
      <c r="X1059" s="1">
        <f>VLOOKUP($E1059,'Product Naming'!$A$1:$P$58,7,FALSE)</f>
        <v>8</v>
      </c>
      <c r="Y1059" s="1">
        <f>VLOOKUP($E1059,'Product Naming'!$A$1:$P$58,8,FALSE)</f>
        <v>1</v>
      </c>
      <c r="Z1059" s="1">
        <f>VLOOKUP($E1059,'Product Naming'!$A$1:$P$58,9,FALSE)</f>
        <v>0</v>
      </c>
      <c r="AA1059" s="1">
        <f>VLOOKUP($E1059,'Product Naming'!$A$1:$P$58,10,FALSE)</f>
        <v>0</v>
      </c>
      <c r="AB1059" s="29">
        <f>VLOOKUP($E1059,'Product Naming'!$A$1:$P$58,11,FALSE)</f>
        <v>6</v>
      </c>
      <c r="AC1059" s="3">
        <f>VLOOKUP($E1059,'Product Naming'!$A$1:$P$58,12,FALSE)</f>
        <v>60.093820000000001</v>
      </c>
      <c r="AD1059" s="1">
        <f>VLOOKUP($E1059,'Product Naming'!$A$1:$P$58,13,FALSE)</f>
        <v>82.5</v>
      </c>
      <c r="AE1059" s="1" t="str">
        <f>VLOOKUP($E1059,'Product Naming'!$A$1:$P$58,14,FALSE)</f>
        <v>Alcohol</v>
      </c>
      <c r="AF1059" s="1" t="str">
        <f>VLOOKUP($E1059,'Product Naming'!$A$1:$P$58,15,FALSE)</f>
        <v>Acetyl-CoA</v>
      </c>
      <c r="AG1059" s="30" t="str">
        <f>VLOOKUP($E1059,'Product Naming'!$A$1:$P$58,16,FALSE)</f>
        <v>Proton symporter</v>
      </c>
      <c r="AH1059" s="3" t="str">
        <f>VLOOKUP($E1059,'Product Naming'!$A$1:$Q$58,17,FALSE)</f>
        <v>2ppoh_c</v>
      </c>
      <c r="AI1059" s="1">
        <f>VLOOKUP($E1059,'Product Parameters'!$A$2:$D$59,2,FALSE)</f>
        <v>1</v>
      </c>
      <c r="AJ1059" s="1">
        <f>VLOOKUP($E1059,'Product Parameters'!$A$2:$D$59,3,FALSE)</f>
        <v>0</v>
      </c>
      <c r="AK1059" s="1">
        <f>VLOOKUP($E1059,'Product Parameters'!$A$2:$D$59,4,FALSE)</f>
        <v>0.12</v>
      </c>
      <c r="AL1059" s="1">
        <f>VLOOKUP($E1059,'Product Parameters'!$A$2:$E$59,5,FALSE)</f>
        <v>45</v>
      </c>
      <c r="AM1059" s="1">
        <f>VLOOKUP($E1059,'Product Parameters'!$A$2:$F$59,6,FALSE)</f>
        <v>3</v>
      </c>
      <c r="AN1059" s="1">
        <f>VLOOKUP($C1059,'Substrate Heating'!$A$2:$C$33,3,FALSE)</f>
        <v>1055.1294800000001</v>
      </c>
      <c r="AO1059" s="1">
        <f>VLOOKUP($C1059,'Substrate Heating'!$A$2:$B$33,2,FALSE)</f>
        <v>17</v>
      </c>
      <c r="AP1059" s="1">
        <f>VLOOKUP($C1059,'Substrate Heating'!$A$2:$M$33,13,FALSE)</f>
        <v>5</v>
      </c>
      <c r="AQ1059" s="1">
        <f>VLOOKUP($C1059,'Substrate Heating'!$A$2:$M$33,8,FALSE)</f>
        <v>2</v>
      </c>
      <c r="AR1059" s="1">
        <f t="shared" si="16"/>
        <v>0.79675000000000051</v>
      </c>
    </row>
    <row r="1060" spans="1:44" x14ac:dyDescent="0.2">
      <c r="A1060" s="8" t="s">
        <v>34</v>
      </c>
      <c r="B1060" s="9" t="s">
        <v>35</v>
      </c>
      <c r="C1060" s="1" t="s">
        <v>322</v>
      </c>
      <c r="D1060" s="10" t="s">
        <v>37</v>
      </c>
      <c r="E1060" s="1" t="s">
        <v>171</v>
      </c>
      <c r="F1060" s="1" t="s">
        <v>172</v>
      </c>
      <c r="G1060" s="1">
        <v>-10</v>
      </c>
      <c r="H1060" s="1">
        <v>-20</v>
      </c>
      <c r="I1060" s="1" t="s">
        <v>40</v>
      </c>
      <c r="J1060" s="1">
        <v>3.15</v>
      </c>
      <c r="K1060" s="1">
        <v>-10</v>
      </c>
      <c r="L1060" s="1">
        <v>-2.5441176470588198</v>
      </c>
      <c r="M1060" s="1" t="s">
        <v>40</v>
      </c>
      <c r="N1060" s="1">
        <v>6.0352941176470596</v>
      </c>
      <c r="O1060" s="1">
        <v>3.49117647058823</v>
      </c>
      <c r="Q1060" s="1">
        <v>0.34911764705882298</v>
      </c>
      <c r="R1060" s="1">
        <v>0.51499212556879304</v>
      </c>
      <c r="S1060" s="1" t="str">
        <f>VLOOKUP($E1060,'Product Naming'!$A$1:$P$58,2,FALSE)</f>
        <v>Butyrate</v>
      </c>
      <c r="T1060" s="1" t="str">
        <f>VLOOKUP($E1060,'Product Naming'!$A$1:$P$58,3,FALSE)</f>
        <v>Butyrate</v>
      </c>
      <c r="U1060" s="1" t="str">
        <f>VLOOKUP($E1060,'Product Naming'!$A$1:$P$58,4,FALSE)</f>
        <v>A</v>
      </c>
      <c r="V1060" s="1" t="str">
        <f>VLOOKUP($E1060,'Product Naming'!$A$1:$P$58,5,FALSE)</f>
        <v>C4H7O2</v>
      </c>
      <c r="W1060" s="1">
        <f>VLOOKUP($E1060,'Product Naming'!$A$1:$P$58,6,FALSE)</f>
        <v>4</v>
      </c>
      <c r="X1060" s="1">
        <f>VLOOKUP($E1060,'Product Naming'!$A$1:$P$58,7,FALSE)</f>
        <v>7</v>
      </c>
      <c r="Y1060" s="1">
        <f>VLOOKUP($E1060,'Product Naming'!$A$1:$P$58,8,FALSE)</f>
        <v>2</v>
      </c>
      <c r="Z1060" s="1">
        <f>VLOOKUP($E1060,'Product Naming'!$A$1:$P$58,9,FALSE)</f>
        <v>0</v>
      </c>
      <c r="AA1060" s="1">
        <f>VLOOKUP($E1060,'Product Naming'!$A$1:$P$58,10,FALSE)</f>
        <v>-1</v>
      </c>
      <c r="AB1060" s="29">
        <f>VLOOKUP($E1060,'Product Naming'!$A$1:$P$58,11,FALSE)</f>
        <v>4.75</v>
      </c>
      <c r="AC1060" s="3">
        <f>VLOOKUP($E1060,'Product Naming'!$A$1:$P$58,12,FALSE)</f>
        <v>87.095680000000002</v>
      </c>
      <c r="AD1060" s="1">
        <f>VLOOKUP($E1060,'Product Naming'!$A$1:$P$58,13,FALSE)</f>
        <v>163.5</v>
      </c>
      <c r="AE1060" s="1" t="str">
        <f>VLOOKUP($E1060,'Product Naming'!$A$1:$P$58,14,FALSE)</f>
        <v>Carboxylate</v>
      </c>
      <c r="AF1060" s="1" t="str">
        <f>VLOOKUP($E1060,'Product Naming'!$A$1:$P$58,15,FALSE)</f>
        <v>Acetyl-CoA</v>
      </c>
      <c r="AG1060" s="30" t="str">
        <f>VLOOKUP($E1060,'Product Naming'!$A$1:$P$58,16,FALSE)</f>
        <v>Proton symporter</v>
      </c>
      <c r="AH1060" s="3" t="str">
        <f>VLOOKUP($E1060,'Product Naming'!$A$1:$Q$58,17,FALSE)</f>
        <v>but_c</v>
      </c>
      <c r="AI1060" s="1">
        <f>VLOOKUP($E1060,'Product Parameters'!$A$2:$D$59,2,FALSE)</f>
        <v>1</v>
      </c>
      <c r="AJ1060" s="1">
        <f>VLOOKUP($E1060,'Product Parameters'!$A$2:$D$59,3,FALSE)</f>
        <v>0</v>
      </c>
      <c r="AK1060" s="1">
        <f>VLOOKUP($E1060,'Product Parameters'!$A$2:$D$59,4,FALSE)</f>
        <v>0.12</v>
      </c>
      <c r="AL1060" s="1">
        <f>VLOOKUP($E1060,'Product Parameters'!$A$2:$E$59,5,FALSE)</f>
        <v>42</v>
      </c>
      <c r="AM1060" s="1">
        <f>VLOOKUP($E1060,'Product Parameters'!$A$2:$F$59,6,FALSE)</f>
        <v>4</v>
      </c>
      <c r="AN1060" s="1">
        <f>VLOOKUP($C1060,'Substrate Heating'!$A$2:$C$33,3,FALSE)</f>
        <v>876.74109599999997</v>
      </c>
      <c r="AO1060" s="1">
        <f>VLOOKUP($C1060,'Substrate Heating'!$A$2:$B$33,2,FALSE)</f>
        <v>14.6</v>
      </c>
      <c r="AP1060" s="1">
        <f>VLOOKUP($C1060,'Substrate Heating'!$A$2:$M$33,13,FALSE)</f>
        <v>3.5</v>
      </c>
      <c r="AQ1060" s="1">
        <f>VLOOKUP($C1060,'Substrate Heating'!$A$2:$M$33,8,FALSE)</f>
        <v>2</v>
      </c>
      <c r="AR1060" s="1">
        <f t="shared" si="16"/>
        <v>0.69823529411764595</v>
      </c>
    </row>
    <row r="1061" spans="1:44" x14ac:dyDescent="0.2">
      <c r="A1061" s="8" t="s">
        <v>34</v>
      </c>
      <c r="B1061" s="9" t="s">
        <v>35</v>
      </c>
      <c r="C1061" s="1" t="s">
        <v>332</v>
      </c>
      <c r="D1061" s="10" t="s">
        <v>37</v>
      </c>
      <c r="E1061" s="1" t="s">
        <v>301</v>
      </c>
      <c r="F1061" s="1" t="s">
        <v>302</v>
      </c>
      <c r="G1061" s="1">
        <v>-10</v>
      </c>
      <c r="H1061" s="1">
        <v>-20</v>
      </c>
      <c r="I1061" s="1" t="s">
        <v>40</v>
      </c>
      <c r="J1061" s="1">
        <v>3.15</v>
      </c>
      <c r="K1061" s="1">
        <v>-10</v>
      </c>
      <c r="L1061" s="1">
        <v>-3.0887096774193501</v>
      </c>
      <c r="M1061" s="1" t="s">
        <v>40</v>
      </c>
      <c r="N1061" s="1">
        <v>3.8532258064516101</v>
      </c>
      <c r="O1061" s="1">
        <v>5.3822580645161304</v>
      </c>
      <c r="Q1061" s="1">
        <v>0.538225806451613</v>
      </c>
      <c r="R1061" s="1">
        <v>0.51517883465716197</v>
      </c>
      <c r="S1061" s="1" t="str">
        <f>VLOOKUP($E1061,'Product Naming'!$A$1:$P$58,2,FALSE)</f>
        <v>Propane-PW1</v>
      </c>
      <c r="T1061" s="1" t="str">
        <f>VLOOKUP($E1061,'Product Naming'!$A$1:$P$58,3,FALSE)</f>
        <v>Propane (PW1)</v>
      </c>
      <c r="U1061" s="1" t="str">
        <f>VLOOKUP($E1061,'Product Naming'!$A$1:$P$58,4,FALSE)</f>
        <v>E</v>
      </c>
      <c r="V1061" s="1" t="str">
        <f>VLOOKUP($E1061,'Product Naming'!$A$1:$P$58,5,FALSE)</f>
        <v>C3H8</v>
      </c>
      <c r="W1061" s="1">
        <f>VLOOKUP($E1061,'Product Naming'!$A$1:$P$58,6,FALSE)</f>
        <v>3</v>
      </c>
      <c r="X1061" s="1">
        <f>VLOOKUP($E1061,'Product Naming'!$A$1:$P$58,7,FALSE)</f>
        <v>8</v>
      </c>
      <c r="Y1061" s="1">
        <f>VLOOKUP($E1061,'Product Naming'!$A$1:$P$58,8,FALSE)</f>
        <v>0</v>
      </c>
      <c r="Z1061" s="1">
        <f>VLOOKUP($E1061,'Product Naming'!$A$1:$P$58,9,FALSE)</f>
        <v>0</v>
      </c>
      <c r="AA1061" s="1">
        <f>VLOOKUP($E1061,'Product Naming'!$A$1:$P$58,10,FALSE)</f>
        <v>0</v>
      </c>
      <c r="AB1061" s="29">
        <f>VLOOKUP($E1061,'Product Naming'!$A$1:$P$58,11,FALSE)</f>
        <v>6.666666666666667</v>
      </c>
      <c r="AC1061" s="3">
        <f>VLOOKUP($E1061,'Product Naming'!$A$1:$P$58,12,FALSE)</f>
        <v>44.094819999999999</v>
      </c>
      <c r="AD1061" s="1">
        <f>VLOOKUP($E1061,'Product Naming'!$A$1:$P$58,13,FALSE)</f>
        <v>-42</v>
      </c>
      <c r="AE1061" s="1" t="str">
        <f>VLOOKUP($E1061,'Product Naming'!$A$1:$P$58,14,FALSE)</f>
        <v>Hydrocarbon</v>
      </c>
      <c r="AF1061" s="1" t="str">
        <f>VLOOKUP($E1061,'Product Naming'!$A$1:$P$58,15,FALSE)</f>
        <v>Acetyl-CoA</v>
      </c>
      <c r="AG1061" s="30" t="str">
        <f>VLOOKUP($E1061,'Product Naming'!$A$1:$P$58,16,FALSE)</f>
        <v>Diffusion</v>
      </c>
      <c r="AH1061" s="3" t="str">
        <f>VLOOKUP($E1061,'Product Naming'!$A$1:$Q$58,17,FALSE)</f>
        <v>prop_c</v>
      </c>
      <c r="AI1061" s="1">
        <f>VLOOKUP($E1061,'Product Parameters'!$A$2:$D$59,2,FALSE)</f>
        <v>0</v>
      </c>
      <c r="AJ1061" s="1">
        <f>VLOOKUP($E1061,'Product Parameters'!$A$2:$D$59,3,FALSE)</f>
        <v>1</v>
      </c>
      <c r="AK1061" s="1">
        <f>VLOOKUP($E1061,'Product Parameters'!$A$2:$D$59,4,FALSE)</f>
        <v>0.12</v>
      </c>
      <c r="AL1061" s="1">
        <f>VLOOKUP($E1061,'Product Parameters'!$A$2:$E$59,5,FALSE)</f>
        <v>0</v>
      </c>
      <c r="AM1061" s="1">
        <f>VLOOKUP($E1061,'Product Parameters'!$A$2:$F$59,6,FALSE)</f>
        <v>3</v>
      </c>
      <c r="AN1061" s="1">
        <f>VLOOKUP($C1061,'Substrate Heating'!$A$2:$C$33,3,FALSE)</f>
        <v>1230.0006480000002</v>
      </c>
      <c r="AO1061" s="1">
        <f>VLOOKUP($C1061,'Substrate Heating'!$A$2:$B$33,2,FALSE)</f>
        <v>26.7</v>
      </c>
      <c r="AP1061" s="1">
        <f>VLOOKUP($C1061,'Substrate Heating'!$A$2:$M$33,13,FALSE)</f>
        <v>6</v>
      </c>
      <c r="AQ1061" s="1">
        <f>VLOOKUP($C1061,'Substrate Heating'!$A$2:$M$33,8,FALSE)</f>
        <v>2</v>
      </c>
      <c r="AR1061" s="1">
        <f t="shared" si="16"/>
        <v>0.8073387096774195</v>
      </c>
    </row>
    <row r="1062" spans="1:44" x14ac:dyDescent="0.2">
      <c r="A1062" s="8" t="s">
        <v>34</v>
      </c>
      <c r="B1062" s="9" t="s">
        <v>35</v>
      </c>
      <c r="C1062" s="1" t="s">
        <v>349</v>
      </c>
      <c r="D1062" s="25" t="s">
        <v>342</v>
      </c>
      <c r="E1062" s="1" t="s">
        <v>192</v>
      </c>
      <c r="F1062" s="1" t="s">
        <v>193</v>
      </c>
      <c r="G1062" s="1">
        <v>-10</v>
      </c>
      <c r="H1062" s="1">
        <v>-20</v>
      </c>
      <c r="I1062" s="1" t="s">
        <v>40</v>
      </c>
      <c r="J1062" s="1">
        <v>3.15</v>
      </c>
      <c r="K1062" s="1">
        <v>-10</v>
      </c>
      <c r="L1062" s="1">
        <v>-4.9443243243243398</v>
      </c>
      <c r="M1062" s="1" t="s">
        <v>40</v>
      </c>
      <c r="N1062" s="1">
        <v>7.31567567567566</v>
      </c>
      <c r="O1062" s="1">
        <v>4.7427027027027</v>
      </c>
      <c r="Q1062" s="1">
        <v>0.47427027027027002</v>
      </c>
      <c r="R1062" s="1">
        <v>0.51539553335577604</v>
      </c>
      <c r="S1062" s="1" t="str">
        <f>VLOOKUP($E1062,'Product Naming'!$A$1:$P$58,2,FALSE)</f>
        <v>Coumaric acid</v>
      </c>
      <c r="T1062" s="1" t="str">
        <f>VLOOKUP($E1062,'Product Naming'!$A$1:$P$58,3,FALSE)</f>
        <v>Coumaric acid</v>
      </c>
      <c r="U1062" s="1" t="str">
        <f>VLOOKUP($E1062,'Product Naming'!$A$1:$P$58,4,FALSE)</f>
        <v>E</v>
      </c>
      <c r="V1062" s="1" t="str">
        <f>VLOOKUP($E1062,'Product Naming'!$A$1:$P$58,5,FALSE)</f>
        <v>C9H7O3</v>
      </c>
      <c r="W1062" s="1">
        <f>VLOOKUP($E1062,'Product Naming'!$A$1:$P$58,6,FALSE)</f>
        <v>9</v>
      </c>
      <c r="X1062" s="1">
        <f>VLOOKUP($E1062,'Product Naming'!$A$1:$P$58,7,FALSE)</f>
        <v>7</v>
      </c>
      <c r="Y1062" s="1">
        <f>VLOOKUP($E1062,'Product Naming'!$A$1:$P$58,8,FALSE)</f>
        <v>3</v>
      </c>
      <c r="Z1062" s="1">
        <f>VLOOKUP($E1062,'Product Naming'!$A$1:$P$58,9,FALSE)</f>
        <v>0</v>
      </c>
      <c r="AA1062" s="1">
        <f>VLOOKUP($E1062,'Product Naming'!$A$1:$P$58,10,FALSE)</f>
        <v>-1</v>
      </c>
      <c r="AB1062" s="29">
        <f>VLOOKUP($E1062,'Product Naming'!$A$1:$P$58,11,FALSE)</f>
        <v>4.1111111111111107</v>
      </c>
      <c r="AC1062" s="3">
        <f>VLOOKUP($E1062,'Product Naming'!$A$1:$P$58,12,FALSE)</f>
        <v>163.14818</v>
      </c>
      <c r="AD1062" s="1">
        <f>VLOOKUP($E1062,'Product Naming'!$A$1:$P$58,13,FALSE)</f>
        <v>346</v>
      </c>
      <c r="AE1062" s="1" t="str">
        <f>VLOOKUP($E1062,'Product Naming'!$A$1:$P$58,14,FALSE)</f>
        <v>Aromatic + Alcohol + Carboxylate</v>
      </c>
      <c r="AF1062" s="1" t="str">
        <f>VLOOKUP($E1062,'Product Naming'!$A$1:$P$58,15,FALSE)</f>
        <v>E4P + L-glutamate</v>
      </c>
      <c r="AG1062" s="30" t="str">
        <f>VLOOKUP($E1062,'Product Naming'!$A$1:$P$58,16,FALSE)</f>
        <v>Proton symporter</v>
      </c>
      <c r="AH1062" s="3" t="str">
        <f>VLOOKUP($E1062,'Product Naming'!$A$1:$Q$58,17,FALSE)</f>
        <v>T4hcinnm_c</v>
      </c>
      <c r="AI1062" s="1">
        <f>VLOOKUP($E1062,'Product Parameters'!$A$2:$D$59,2,FALSE)</f>
        <v>1</v>
      </c>
      <c r="AJ1062" s="1">
        <f>VLOOKUP($E1062,'Product Parameters'!$A$2:$D$59,3,FALSE)</f>
        <v>0</v>
      </c>
      <c r="AK1062" s="1">
        <f>VLOOKUP($E1062,'Product Parameters'!$A$2:$D$59,4,FALSE)</f>
        <v>0.12</v>
      </c>
      <c r="AL1062" s="1">
        <f>VLOOKUP($E1062,'Product Parameters'!$A$2:$E$59,5,FALSE)</f>
        <v>40.65</v>
      </c>
      <c r="AM1062" s="1">
        <f>VLOOKUP($E1062,'Product Parameters'!$A$2:$F$59,6,FALSE)</f>
        <v>9</v>
      </c>
      <c r="AN1062" s="1">
        <f>VLOOKUP($C1062,'Substrate Heating'!$A$2:$C$33,3,FALSE)</f>
        <v>2342.0279999999998</v>
      </c>
      <c r="AO1062" s="1">
        <f>VLOOKUP($C1062,'Substrate Heating'!$A$2:$B$33,2,FALSE)</f>
        <v>15.6</v>
      </c>
      <c r="AP1062" s="1">
        <f>VLOOKUP($C1062,'Substrate Heating'!$A$2:$M$33,13,FALSE)</f>
        <v>4</v>
      </c>
      <c r="AQ1062" s="1">
        <f>VLOOKUP($C1062,'Substrate Heating'!$A$2:$M$33,8,FALSE)</f>
        <v>5</v>
      </c>
      <c r="AR1062" s="1">
        <f t="shared" si="16"/>
        <v>0.85368648648648604</v>
      </c>
    </row>
    <row r="1063" spans="1:44" x14ac:dyDescent="0.2">
      <c r="A1063" s="8" t="s">
        <v>34</v>
      </c>
      <c r="B1063" s="9" t="s">
        <v>35</v>
      </c>
      <c r="C1063" s="1" t="s">
        <v>345</v>
      </c>
      <c r="D1063" s="10" t="s">
        <v>37</v>
      </c>
      <c r="E1063" s="1" t="s">
        <v>60</v>
      </c>
      <c r="F1063" s="1" t="s">
        <v>61</v>
      </c>
      <c r="G1063" s="1">
        <v>-10</v>
      </c>
      <c r="H1063" s="1">
        <v>-20</v>
      </c>
      <c r="I1063" s="1" t="s">
        <v>40</v>
      </c>
      <c r="J1063" s="1">
        <v>3.15</v>
      </c>
      <c r="K1063" s="1">
        <v>-10</v>
      </c>
      <c r="L1063" s="1">
        <v>-3.6823529411764699</v>
      </c>
      <c r="M1063" s="1" t="s">
        <v>40</v>
      </c>
      <c r="N1063" s="1">
        <v>7.7617647058823698</v>
      </c>
      <c r="O1063" s="1">
        <v>4.0794117647058901</v>
      </c>
      <c r="Q1063" s="1">
        <v>0.40794117647058897</v>
      </c>
      <c r="R1063" s="1">
        <v>0.51690858775336002</v>
      </c>
      <c r="S1063" s="1" t="str">
        <f>VLOOKUP($E1063,'Product Naming'!$A$1:$P$58,2,FALSE)</f>
        <v>1-3-Propanediol</v>
      </c>
      <c r="T1063" s="1" t="str">
        <f>VLOOKUP($E1063,'Product Naming'!$A$1:$P$58,3,FALSE)</f>
        <v>1,3-Propanediol</v>
      </c>
      <c r="U1063" s="1" t="str">
        <f>VLOOKUP($E1063,'Product Naming'!$A$1:$P$58,4,FALSE)</f>
        <v>A</v>
      </c>
      <c r="V1063" s="1" t="str">
        <f>VLOOKUP($E1063,'Product Naming'!$A$1:$P$58,5,FALSE)</f>
        <v>C3H8O2</v>
      </c>
      <c r="W1063" s="1">
        <f>VLOOKUP($E1063,'Product Naming'!$A$1:$P$58,6,FALSE)</f>
        <v>3</v>
      </c>
      <c r="X1063" s="1">
        <f>VLOOKUP($E1063,'Product Naming'!$A$1:$P$58,7,FALSE)</f>
        <v>8</v>
      </c>
      <c r="Y1063" s="1">
        <f>VLOOKUP($E1063,'Product Naming'!$A$1:$P$58,8,FALSE)</f>
        <v>2</v>
      </c>
      <c r="Z1063" s="1">
        <f>VLOOKUP($E1063,'Product Naming'!$A$1:$P$58,9,FALSE)</f>
        <v>0</v>
      </c>
      <c r="AA1063" s="1">
        <f>VLOOKUP($E1063,'Product Naming'!$A$1:$P$58,10,FALSE)</f>
        <v>0</v>
      </c>
      <c r="AB1063" s="29">
        <f>VLOOKUP($E1063,'Product Naming'!$A$1:$P$58,11,FALSE)</f>
        <v>5.333333333333333</v>
      </c>
      <c r="AC1063" s="3">
        <f>VLOOKUP($E1063,'Product Naming'!$A$1:$P$58,12,FALSE)</f>
        <v>76.092820000000003</v>
      </c>
      <c r="AD1063" s="1">
        <f>VLOOKUP($E1063,'Product Naming'!$A$1:$P$58,13,FALSE)</f>
        <v>213</v>
      </c>
      <c r="AE1063" s="1" t="str">
        <f>VLOOKUP($E1063,'Product Naming'!$A$1:$P$58,14,FALSE)</f>
        <v>Diol</v>
      </c>
      <c r="AF1063" s="1" t="str">
        <f>VLOOKUP($E1063,'Product Naming'!$A$1:$P$58,15,FALSE)</f>
        <v>Glyceraldehyde 3-P</v>
      </c>
      <c r="AG1063" s="30" t="str">
        <f>VLOOKUP($E1063,'Product Naming'!$A$1:$P$58,16,FALSE)</f>
        <v>Proton symporter</v>
      </c>
      <c r="AH1063" s="3" t="str">
        <f>VLOOKUP($E1063,'Product Naming'!$A$1:$Q$58,17,FALSE)</f>
        <v>13ppd_c</v>
      </c>
      <c r="AI1063" s="1">
        <f>VLOOKUP($E1063,'Product Parameters'!$A$2:$D$59,2,FALSE)</f>
        <v>1</v>
      </c>
      <c r="AJ1063" s="1">
        <f>VLOOKUP($E1063,'Product Parameters'!$A$2:$D$59,3,FALSE)</f>
        <v>0</v>
      </c>
      <c r="AK1063" s="1">
        <f>VLOOKUP($E1063,'Product Parameters'!$A$2:$D$59,4,FALSE)</f>
        <v>0.12</v>
      </c>
      <c r="AL1063" s="1">
        <f>VLOOKUP($E1063,'Product Parameters'!$A$2:$E$59,5,FALSE)</f>
        <v>70</v>
      </c>
      <c r="AM1063" s="1">
        <f>VLOOKUP($E1063,'Product Parameters'!$A$2:$F$59,6,FALSE)</f>
        <v>3</v>
      </c>
      <c r="AN1063" s="1">
        <f>VLOOKUP($C1063,'Substrate Heating'!$A$2:$C$33,3,FALSE)</f>
        <v>1020.8629199999999</v>
      </c>
      <c r="AO1063" s="1">
        <f>VLOOKUP($C1063,'Substrate Heating'!$A$2:$B$33,2,FALSE)</f>
        <v>17</v>
      </c>
      <c r="AP1063" s="1">
        <f>VLOOKUP($C1063,'Substrate Heating'!$A$2:$M$33,13,FALSE)</f>
        <v>4</v>
      </c>
      <c r="AQ1063" s="1">
        <f>VLOOKUP($C1063,'Substrate Heating'!$A$2:$M$33,8,FALSE)</f>
        <v>2</v>
      </c>
      <c r="AR1063" s="1">
        <f t="shared" si="16"/>
        <v>0.61191176470588349</v>
      </c>
    </row>
    <row r="1064" spans="1:44" x14ac:dyDescent="0.2">
      <c r="A1064" s="8" t="s">
        <v>34</v>
      </c>
      <c r="B1064" s="9" t="s">
        <v>35</v>
      </c>
      <c r="C1064" s="1" t="s">
        <v>341</v>
      </c>
      <c r="D1064" s="24" t="s">
        <v>342</v>
      </c>
      <c r="E1064" s="1" t="s">
        <v>114</v>
      </c>
      <c r="F1064" s="1" t="s">
        <v>115</v>
      </c>
      <c r="G1064" s="1">
        <v>-10</v>
      </c>
      <c r="H1064" s="1">
        <v>-20</v>
      </c>
      <c r="I1064" s="1" t="s">
        <v>40</v>
      </c>
      <c r="J1064" s="1">
        <v>3.15</v>
      </c>
      <c r="K1064" s="1">
        <v>-10</v>
      </c>
      <c r="L1064" s="1">
        <v>-12.2977443609023</v>
      </c>
      <c r="M1064" s="1" t="s">
        <v>40</v>
      </c>
      <c r="N1064" s="1">
        <v>20.2481203007519</v>
      </c>
      <c r="O1064" s="1">
        <v>7.9503759398496303</v>
      </c>
      <c r="Q1064" s="1">
        <v>0.79503759398496199</v>
      </c>
      <c r="R1064" s="1">
        <v>0.516975048699444</v>
      </c>
      <c r="S1064" s="1" t="str">
        <f>VLOOKUP($E1064,'Product Naming'!$A$1:$P$58,2,FALSE)</f>
        <v>5-Aminopentanoate</v>
      </c>
      <c r="T1064" s="1" t="str">
        <f>VLOOKUP($E1064,'Product Naming'!$A$1:$P$58,3,FALSE)</f>
        <v>5-Aminopentanoate</v>
      </c>
      <c r="U1064" s="1" t="str">
        <f>VLOOKUP($E1064,'Product Naming'!$A$1:$P$58,4,FALSE)</f>
        <v>A</v>
      </c>
      <c r="V1064" s="1" t="str">
        <f>VLOOKUP($E1064,'Product Naming'!$A$1:$P$58,5,FALSE)</f>
        <v>C5H11NO2</v>
      </c>
      <c r="W1064" s="1">
        <f>VLOOKUP($E1064,'Product Naming'!$A$1:$P$58,6,FALSE)</f>
        <v>5</v>
      </c>
      <c r="X1064" s="1">
        <f>VLOOKUP($E1064,'Product Naming'!$A$1:$P$58,7,FALSE)</f>
        <v>11</v>
      </c>
      <c r="Y1064" s="1">
        <f>VLOOKUP($E1064,'Product Naming'!$A$1:$P$58,8,FALSE)</f>
        <v>2</v>
      </c>
      <c r="Z1064" s="1">
        <f>VLOOKUP($E1064,'Product Naming'!$A$1:$P$58,9,FALSE)</f>
        <v>1</v>
      </c>
      <c r="AA1064" s="1">
        <f>VLOOKUP($E1064,'Product Naming'!$A$1:$P$58,10,FALSE)</f>
        <v>0</v>
      </c>
      <c r="AB1064" s="29">
        <f>VLOOKUP($E1064,'Product Naming'!$A$1:$P$58,11,FALSE)</f>
        <v>4.8</v>
      </c>
      <c r="AC1064" s="3">
        <f>VLOOKUP($E1064,'Product Naming'!$A$1:$P$58,12,FALSE)</f>
        <v>117.14444</v>
      </c>
      <c r="AD1064" s="1">
        <f>VLOOKUP($E1064,'Product Naming'!$A$1:$P$58,13,FALSE)</f>
        <v>247.5</v>
      </c>
      <c r="AE1064" s="1" t="str">
        <f>VLOOKUP($E1064,'Product Naming'!$A$1:$P$58,14,FALSE)</f>
        <v>D-Amino Acid</v>
      </c>
      <c r="AF1064" s="1" t="str">
        <f>VLOOKUP($E1064,'Product Naming'!$A$1:$P$58,15,FALSE)</f>
        <v>Oxaloacetate</v>
      </c>
      <c r="AG1064" s="30" t="str">
        <f>VLOOKUP($E1064,'Product Naming'!$A$1:$P$58,16,FALSE)</f>
        <v>Proton symporter</v>
      </c>
      <c r="AH1064" s="3" t="str">
        <f>VLOOKUP($E1064,'Product Naming'!$A$1:$Q$58,17,FALSE)</f>
        <v>5aptn_c</v>
      </c>
      <c r="AI1064" s="1">
        <f>VLOOKUP($E1064,'Product Parameters'!$A$2:$D$59,2,FALSE)</f>
        <v>1</v>
      </c>
      <c r="AJ1064" s="1">
        <f>VLOOKUP($E1064,'Product Parameters'!$A$2:$D$59,3,FALSE)</f>
        <v>0</v>
      </c>
      <c r="AK1064" s="1">
        <f>VLOOKUP($E1064,'Product Parameters'!$A$2:$D$59,4,FALSE)</f>
        <v>0.12</v>
      </c>
      <c r="AL1064" s="1">
        <f>VLOOKUP($E1064,'Product Parameters'!$A$2:$E$59,5,FALSE)</f>
        <v>40.65</v>
      </c>
      <c r="AM1064" s="1">
        <f>VLOOKUP($E1064,'Product Parameters'!$A$2:$F$59,6,FALSE)</f>
        <v>5</v>
      </c>
      <c r="AN1064" s="1">
        <f>VLOOKUP($C1064,'Substrate Heating'!$A$2:$C$33,3,FALSE)</f>
        <v>2828.4492</v>
      </c>
      <c r="AO1064" s="1">
        <f>VLOOKUP($C1064,'Substrate Heating'!$A$2:$B$33,2,FALSE)</f>
        <v>15.7</v>
      </c>
      <c r="AP1064" s="1">
        <f>VLOOKUP($C1064,'Substrate Heating'!$A$2:$M$33,13,FALSE)</f>
        <v>4</v>
      </c>
      <c r="AQ1064" s="1">
        <f>VLOOKUP($C1064,'Substrate Heating'!$A$2:$M$33,8,FALSE)</f>
        <v>6</v>
      </c>
      <c r="AR1064" s="1">
        <f t="shared" si="16"/>
        <v>0.66253132832080164</v>
      </c>
    </row>
    <row r="1065" spans="1:44" x14ac:dyDescent="0.2">
      <c r="A1065" s="8" t="s">
        <v>34</v>
      </c>
      <c r="B1065" s="9" t="s">
        <v>35</v>
      </c>
      <c r="C1065" s="1" t="s">
        <v>346</v>
      </c>
      <c r="D1065" s="23" t="s">
        <v>338</v>
      </c>
      <c r="E1065" s="1" t="s">
        <v>164</v>
      </c>
      <c r="F1065" s="1" t="s">
        <v>165</v>
      </c>
      <c r="G1065" s="1">
        <v>-10</v>
      </c>
      <c r="H1065" s="1">
        <v>-20</v>
      </c>
      <c r="I1065" s="1" t="s">
        <v>40</v>
      </c>
      <c r="J1065" s="1">
        <v>3.15</v>
      </c>
      <c r="K1065" s="1">
        <v>-10</v>
      </c>
      <c r="L1065" s="1">
        <v>-1.5834586466165399</v>
      </c>
      <c r="M1065" s="1" t="s">
        <v>40</v>
      </c>
      <c r="N1065" s="1">
        <v>1.0556390977443599</v>
      </c>
      <c r="O1065" s="1">
        <v>2.2360902255639101</v>
      </c>
      <c r="Q1065" s="1">
        <v>0.22360902255639101</v>
      </c>
      <c r="R1065" s="1">
        <v>0.51727207132611097</v>
      </c>
      <c r="S1065" s="1" t="str">
        <f>VLOOKUP($E1065,'Product Naming'!$A$1:$P$58,2,FALSE)</f>
        <v>Butanol-PW1</v>
      </c>
      <c r="T1065" s="1" t="str">
        <f>VLOOKUP($E1065,'Product Naming'!$A$1:$P$58,3,FALSE)</f>
        <v>Butanol (PW1)</v>
      </c>
      <c r="U1065" s="1" t="str">
        <f>VLOOKUP($E1065,'Product Naming'!$A$1:$P$58,4,FALSE)</f>
        <v>E</v>
      </c>
      <c r="V1065" s="1" t="str">
        <f>VLOOKUP($E1065,'Product Naming'!$A$1:$P$58,5,FALSE)</f>
        <v>C4H10O</v>
      </c>
      <c r="W1065" s="1">
        <f>VLOOKUP($E1065,'Product Naming'!$A$1:$P$58,6,FALSE)</f>
        <v>4</v>
      </c>
      <c r="X1065" s="1">
        <f>VLOOKUP($E1065,'Product Naming'!$A$1:$P$58,7,FALSE)</f>
        <v>10</v>
      </c>
      <c r="Y1065" s="1">
        <f>VLOOKUP($E1065,'Product Naming'!$A$1:$P$58,8,FALSE)</f>
        <v>1</v>
      </c>
      <c r="Z1065" s="1">
        <f>VLOOKUP($E1065,'Product Naming'!$A$1:$P$58,9,FALSE)</f>
        <v>0</v>
      </c>
      <c r="AA1065" s="1">
        <f>VLOOKUP($E1065,'Product Naming'!$A$1:$P$58,10,FALSE)</f>
        <v>0</v>
      </c>
      <c r="AB1065" s="29">
        <f>VLOOKUP($E1065,'Product Naming'!$A$1:$P$58,11,FALSE)</f>
        <v>6</v>
      </c>
      <c r="AC1065" s="3">
        <f>VLOOKUP($E1065,'Product Naming'!$A$1:$P$58,12,FALSE)</f>
        <v>74.120199999999997</v>
      </c>
      <c r="AD1065" s="1">
        <f>VLOOKUP($E1065,'Product Naming'!$A$1:$P$58,13,FALSE)</f>
        <v>117.7</v>
      </c>
      <c r="AE1065" s="1" t="str">
        <f>VLOOKUP($E1065,'Product Naming'!$A$1:$P$58,14,FALSE)</f>
        <v>Alcohol</v>
      </c>
      <c r="AF1065" s="1" t="str">
        <f>VLOOKUP($E1065,'Product Naming'!$A$1:$P$58,15,FALSE)</f>
        <v>Acetyl-CoA</v>
      </c>
      <c r="AG1065" s="30" t="str">
        <f>VLOOKUP($E1065,'Product Naming'!$A$1:$P$58,16,FALSE)</f>
        <v>Proton symporter</v>
      </c>
      <c r="AH1065" s="3" t="str">
        <f>VLOOKUP($E1065,'Product Naming'!$A$1:$Q$58,17,FALSE)</f>
        <v>btoh_c</v>
      </c>
      <c r="AI1065" s="1">
        <f>VLOOKUP($E1065,'Product Parameters'!$A$2:$D$59,2,FALSE)</f>
        <v>1</v>
      </c>
      <c r="AJ1065" s="1">
        <f>VLOOKUP($E1065,'Product Parameters'!$A$2:$D$59,3,FALSE)</f>
        <v>0</v>
      </c>
      <c r="AK1065" s="1">
        <f>VLOOKUP($E1065,'Product Parameters'!$A$2:$D$59,4,FALSE)</f>
        <v>0.12</v>
      </c>
      <c r="AL1065" s="1">
        <f>VLOOKUP($E1065,'Product Parameters'!$A$2:$E$59,5,FALSE)</f>
        <v>52</v>
      </c>
      <c r="AM1065" s="1">
        <f>VLOOKUP($E1065,'Product Parameters'!$A$2:$F$59,6,FALSE)</f>
        <v>4</v>
      </c>
      <c r="AN1065" s="1">
        <f>VLOOKUP($C1065,'Substrate Heating'!$A$2:$C$33,3,FALSE)</f>
        <v>638.57832580000002</v>
      </c>
      <c r="AO1065" s="1">
        <f>VLOOKUP($C1065,'Substrate Heating'!$A$2:$B$33,2,FALSE)</f>
        <v>19.93</v>
      </c>
      <c r="AP1065" s="1">
        <f>VLOOKUP($C1065,'Substrate Heating'!$A$2:$M$33,13,FALSE)</f>
        <v>6</v>
      </c>
      <c r="AQ1065" s="1">
        <f>VLOOKUP($C1065,'Substrate Heating'!$A$2:$M$33,8,FALSE)</f>
        <v>1</v>
      </c>
      <c r="AR1065" s="1">
        <f t="shared" si="16"/>
        <v>0.89443609022556403</v>
      </c>
    </row>
    <row r="1066" spans="1:44" x14ac:dyDescent="0.2">
      <c r="A1066" s="8" t="s">
        <v>34</v>
      </c>
      <c r="B1066" s="9" t="s">
        <v>35</v>
      </c>
      <c r="C1066" s="1" t="s">
        <v>347</v>
      </c>
      <c r="D1066" s="23" t="s">
        <v>338</v>
      </c>
      <c r="E1066" s="1" t="s">
        <v>164</v>
      </c>
      <c r="F1066" s="1" t="s">
        <v>165</v>
      </c>
      <c r="G1066" s="1">
        <v>-10</v>
      </c>
      <c r="H1066" s="1">
        <v>-20</v>
      </c>
      <c r="I1066" s="1" t="s">
        <v>40</v>
      </c>
      <c r="J1066" s="1">
        <v>3.15</v>
      </c>
      <c r="K1066" s="1">
        <v>-10</v>
      </c>
      <c r="L1066" s="1">
        <v>-1.5834586466165399</v>
      </c>
      <c r="M1066" s="1" t="s">
        <v>40</v>
      </c>
      <c r="N1066" s="1">
        <v>1.0556390977443599</v>
      </c>
      <c r="O1066" s="1">
        <v>2.2360902255639101</v>
      </c>
      <c r="Q1066" s="1">
        <v>0.22360902255639101</v>
      </c>
      <c r="R1066" s="1">
        <v>0.51727207132611097</v>
      </c>
      <c r="S1066" s="1" t="str">
        <f>VLOOKUP($E1066,'Product Naming'!$A$1:$P$58,2,FALSE)</f>
        <v>Butanol-PW1</v>
      </c>
      <c r="T1066" s="1" t="str">
        <f>VLOOKUP($E1066,'Product Naming'!$A$1:$P$58,3,FALSE)</f>
        <v>Butanol (PW1)</v>
      </c>
      <c r="U1066" s="1" t="str">
        <f>VLOOKUP($E1066,'Product Naming'!$A$1:$P$58,4,FALSE)</f>
        <v>E</v>
      </c>
      <c r="V1066" s="1" t="str">
        <f>VLOOKUP($E1066,'Product Naming'!$A$1:$P$58,5,FALSE)</f>
        <v>C4H10O</v>
      </c>
      <c r="W1066" s="1">
        <f>VLOOKUP($E1066,'Product Naming'!$A$1:$P$58,6,FALSE)</f>
        <v>4</v>
      </c>
      <c r="X1066" s="1">
        <f>VLOOKUP($E1066,'Product Naming'!$A$1:$P$58,7,FALSE)</f>
        <v>10</v>
      </c>
      <c r="Y1066" s="1">
        <f>VLOOKUP($E1066,'Product Naming'!$A$1:$P$58,8,FALSE)</f>
        <v>1</v>
      </c>
      <c r="Z1066" s="1">
        <f>VLOOKUP($E1066,'Product Naming'!$A$1:$P$58,9,FALSE)</f>
        <v>0</v>
      </c>
      <c r="AA1066" s="1">
        <f>VLOOKUP($E1066,'Product Naming'!$A$1:$P$58,10,FALSE)</f>
        <v>0</v>
      </c>
      <c r="AB1066" s="29">
        <f>VLOOKUP($E1066,'Product Naming'!$A$1:$P$58,11,FALSE)</f>
        <v>6</v>
      </c>
      <c r="AC1066" s="3">
        <f>VLOOKUP($E1066,'Product Naming'!$A$1:$P$58,12,FALSE)</f>
        <v>74.120199999999997</v>
      </c>
      <c r="AD1066" s="1">
        <f>VLOOKUP($E1066,'Product Naming'!$A$1:$P$58,13,FALSE)</f>
        <v>117.7</v>
      </c>
      <c r="AE1066" s="1" t="str">
        <f>VLOOKUP($E1066,'Product Naming'!$A$1:$P$58,14,FALSE)</f>
        <v>Alcohol</v>
      </c>
      <c r="AF1066" s="1" t="str">
        <f>VLOOKUP($E1066,'Product Naming'!$A$1:$P$58,15,FALSE)</f>
        <v>Acetyl-CoA</v>
      </c>
      <c r="AG1066" s="30" t="str">
        <f>VLOOKUP($E1066,'Product Naming'!$A$1:$P$58,16,FALSE)</f>
        <v>Proton symporter</v>
      </c>
      <c r="AH1066" s="3" t="str">
        <f>VLOOKUP($E1066,'Product Naming'!$A$1:$Q$58,17,FALSE)</f>
        <v>btoh_c</v>
      </c>
      <c r="AI1066" s="1">
        <f>VLOOKUP($E1066,'Product Parameters'!$A$2:$D$59,2,FALSE)</f>
        <v>1</v>
      </c>
      <c r="AJ1066" s="1">
        <f>VLOOKUP($E1066,'Product Parameters'!$A$2:$D$59,3,FALSE)</f>
        <v>0</v>
      </c>
      <c r="AK1066" s="1">
        <f>VLOOKUP($E1066,'Product Parameters'!$A$2:$D$59,4,FALSE)</f>
        <v>0.12</v>
      </c>
      <c r="AL1066" s="1">
        <f>VLOOKUP($E1066,'Product Parameters'!$A$2:$E$59,5,FALSE)</f>
        <v>52</v>
      </c>
      <c r="AM1066" s="1">
        <f>VLOOKUP($E1066,'Product Parameters'!$A$2:$F$59,6,FALSE)</f>
        <v>4</v>
      </c>
      <c r="AN1066" s="1">
        <f>VLOOKUP($C1066,'Substrate Heating'!$A$2:$C$33,3,FALSE)</f>
        <v>638.57832580000002</v>
      </c>
      <c r="AO1066" s="1">
        <f>VLOOKUP($C1066,'Substrate Heating'!$A$2:$B$33,2,FALSE)</f>
        <v>19.93</v>
      </c>
      <c r="AP1066" s="1">
        <f>VLOOKUP($C1066,'Substrate Heating'!$A$2:$M$33,13,FALSE)</f>
        <v>6</v>
      </c>
      <c r="AQ1066" s="1">
        <f>VLOOKUP($C1066,'Substrate Heating'!$A$2:$M$33,8,FALSE)</f>
        <v>1</v>
      </c>
      <c r="AR1066" s="1">
        <f t="shared" si="16"/>
        <v>0.89443609022556403</v>
      </c>
    </row>
    <row r="1067" spans="1:44" x14ac:dyDescent="0.2">
      <c r="A1067" s="8" t="s">
        <v>812</v>
      </c>
      <c r="B1067" s="9" t="s">
        <v>35</v>
      </c>
      <c r="C1067" t="s">
        <v>813</v>
      </c>
      <c r="E1067" t="s">
        <v>287</v>
      </c>
      <c r="F1067" t="s">
        <v>288</v>
      </c>
      <c r="G1067">
        <v>-10</v>
      </c>
      <c r="H1067">
        <v>-20</v>
      </c>
      <c r="I1067">
        <v>0</v>
      </c>
      <c r="J1067">
        <v>3.15</v>
      </c>
      <c r="K1067">
        <v>-10</v>
      </c>
      <c r="L1067">
        <v>-10.524999999999901</v>
      </c>
      <c r="M1067">
        <v>0</v>
      </c>
      <c r="N1067">
        <v>8.453125</v>
      </c>
      <c r="O1067">
        <v>4.3093750000000002</v>
      </c>
      <c r="P1067"/>
      <c r="Q1067">
        <v>0.43093749999999997</v>
      </c>
      <c r="R1067">
        <v>0.51736407826664998</v>
      </c>
      <c r="S1067" s="1" t="str">
        <f>VLOOKUP($E1067,'Product Naming'!$A$1:$P$58,2,FALSE)</f>
        <v>Pentane</v>
      </c>
      <c r="T1067" s="1" t="str">
        <f>VLOOKUP($E1067,'Product Naming'!$A$1:$P$58,3,FALSE)</f>
        <v>Pentane</v>
      </c>
      <c r="U1067" s="1" t="str">
        <f>VLOOKUP($E1067,'Product Naming'!$A$1:$P$58,4,FALSE)</f>
        <v>E</v>
      </c>
      <c r="V1067" s="1" t="str">
        <f>VLOOKUP($E1067,'Product Naming'!$A$1:$P$58,5,FALSE)</f>
        <v>C5H12</v>
      </c>
      <c r="W1067" s="1">
        <f>VLOOKUP($E1067,'Product Naming'!$A$1:$P$58,6,FALSE)</f>
        <v>5</v>
      </c>
      <c r="X1067" s="1">
        <f>VLOOKUP($E1067,'Product Naming'!$A$1:$P$58,7,FALSE)</f>
        <v>12</v>
      </c>
      <c r="Y1067" s="1">
        <f>VLOOKUP($E1067,'Product Naming'!$A$1:$P$58,8,FALSE)</f>
        <v>0</v>
      </c>
      <c r="Z1067" s="1">
        <f>VLOOKUP($E1067,'Product Naming'!$A$1:$P$58,9,FALSE)</f>
        <v>0</v>
      </c>
      <c r="AA1067" s="1">
        <f>VLOOKUP($E1067,'Product Naming'!$A$1:$P$58,10,FALSE)</f>
        <v>0</v>
      </c>
      <c r="AB1067" s="29">
        <f>VLOOKUP($E1067,'Product Naming'!$A$1:$P$58,11,FALSE)</f>
        <v>6.4</v>
      </c>
      <c r="AC1067" s="3">
        <f>VLOOKUP($E1067,'Product Naming'!$A$1:$P$58,12,FALSE)</f>
        <v>72.147580000000005</v>
      </c>
      <c r="AD1067" s="1">
        <f>VLOOKUP($E1067,'Product Naming'!$A$1:$P$58,13,FALSE)</f>
        <v>36.1</v>
      </c>
      <c r="AE1067" s="1" t="str">
        <f>VLOOKUP($E1067,'Product Naming'!$A$1:$P$58,14,FALSE)</f>
        <v>Hydrocarbon (alkane)</v>
      </c>
      <c r="AF1067" s="1" t="str">
        <f>VLOOKUP($E1067,'Product Naming'!$A$1:$P$58,15,FALSE)</f>
        <v>Acetyl-CoA</v>
      </c>
      <c r="AG1067" s="30" t="str">
        <f>VLOOKUP($E1067,'Product Naming'!$A$1:$P$58,16,FALSE)</f>
        <v>Diffusion</v>
      </c>
      <c r="AH1067" s="3" t="str">
        <f>VLOOKUP($E1067,'Product Naming'!$A$1:$Q$58,17,FALSE)</f>
        <v>pent_c</v>
      </c>
      <c r="AI1067" s="1">
        <f>VLOOKUP($E1067,'Product Parameters'!$A$2:$D$59,2,FALSE)</f>
        <v>0</v>
      </c>
      <c r="AJ1067" s="1">
        <f>VLOOKUP($E1067,'Product Parameters'!$A$2:$D$59,3,FALSE)</f>
        <v>1</v>
      </c>
      <c r="AK1067" s="1">
        <f>VLOOKUP($E1067,'Product Parameters'!$A$2:$D$59,4,FALSE)</f>
        <v>0.12</v>
      </c>
      <c r="AL1067" s="1">
        <f>VLOOKUP($E1067,'Product Parameters'!$A$2:$E$59,5,FALSE)</f>
        <v>26.5</v>
      </c>
      <c r="AM1067" s="1">
        <f>VLOOKUP($E1067,'Product Parameters'!$A$2:$F$59,6,FALSE)</f>
        <v>5</v>
      </c>
      <c r="AN1067" s="1">
        <f>VLOOKUP($C1067,'Substrate Heating'!$A$2:$C$33,3,FALSE)</f>
        <v>1843.720736</v>
      </c>
      <c r="AO1067" s="1">
        <f>VLOOKUP($C1067,'Substrate Heating'!$A$2:$B$33,2,FALSE)</f>
        <v>30.68</v>
      </c>
      <c r="AP1067" s="1">
        <f>VLOOKUP($C1067,'Substrate Heating'!$A$2:$M$33,13,FALSE)</f>
        <v>6</v>
      </c>
      <c r="AQ1067" s="1">
        <f>VLOOKUP($C1067,'Substrate Heating'!$A$2:$M$33,8,FALSE)</f>
        <v>3</v>
      </c>
      <c r="AR1067" s="1">
        <f t="shared" si="16"/>
        <v>0.71822916666666659</v>
      </c>
    </row>
    <row r="1068" spans="1:44" x14ac:dyDescent="0.2">
      <c r="A1068" s="8" t="s">
        <v>34</v>
      </c>
      <c r="B1068" s="9" t="s">
        <v>35</v>
      </c>
      <c r="C1068" s="1" t="s">
        <v>341</v>
      </c>
      <c r="D1068" s="24" t="s">
        <v>342</v>
      </c>
      <c r="E1068" s="1" t="s">
        <v>192</v>
      </c>
      <c r="F1068" s="1" t="s">
        <v>193</v>
      </c>
      <c r="G1068" s="1">
        <v>-10</v>
      </c>
      <c r="H1068" s="1">
        <v>-20</v>
      </c>
      <c r="I1068" s="1" t="s">
        <v>40</v>
      </c>
      <c r="J1068" s="1">
        <v>3.15</v>
      </c>
      <c r="K1068" s="1">
        <v>-10</v>
      </c>
      <c r="L1068" s="1">
        <v>-5.7010810810810701</v>
      </c>
      <c r="M1068" s="1" t="s">
        <v>40</v>
      </c>
      <c r="N1068" s="1">
        <v>8.5589189189189199</v>
      </c>
      <c r="O1068" s="1">
        <v>5.7156756756756799</v>
      </c>
      <c r="Q1068" s="1">
        <v>0.57156756756756799</v>
      </c>
      <c r="R1068" s="1">
        <v>0.51761880779791303</v>
      </c>
      <c r="S1068" s="1" t="str">
        <f>VLOOKUP($E1068,'Product Naming'!$A$1:$P$58,2,FALSE)</f>
        <v>Coumaric acid</v>
      </c>
      <c r="T1068" s="1" t="str">
        <f>VLOOKUP($E1068,'Product Naming'!$A$1:$P$58,3,FALSE)</f>
        <v>Coumaric acid</v>
      </c>
      <c r="U1068" s="1" t="str">
        <f>VLOOKUP($E1068,'Product Naming'!$A$1:$P$58,4,FALSE)</f>
        <v>E</v>
      </c>
      <c r="V1068" s="1" t="str">
        <f>VLOOKUP($E1068,'Product Naming'!$A$1:$P$58,5,FALSE)</f>
        <v>C9H7O3</v>
      </c>
      <c r="W1068" s="1">
        <f>VLOOKUP($E1068,'Product Naming'!$A$1:$P$58,6,FALSE)</f>
        <v>9</v>
      </c>
      <c r="X1068" s="1">
        <f>VLOOKUP($E1068,'Product Naming'!$A$1:$P$58,7,FALSE)</f>
        <v>7</v>
      </c>
      <c r="Y1068" s="1">
        <f>VLOOKUP($E1068,'Product Naming'!$A$1:$P$58,8,FALSE)</f>
        <v>3</v>
      </c>
      <c r="Z1068" s="1">
        <f>VLOOKUP($E1068,'Product Naming'!$A$1:$P$58,9,FALSE)</f>
        <v>0</v>
      </c>
      <c r="AA1068" s="1">
        <f>VLOOKUP($E1068,'Product Naming'!$A$1:$P$58,10,FALSE)</f>
        <v>-1</v>
      </c>
      <c r="AB1068" s="29">
        <f>VLOOKUP($E1068,'Product Naming'!$A$1:$P$58,11,FALSE)</f>
        <v>4.1111111111111107</v>
      </c>
      <c r="AC1068" s="3">
        <f>VLOOKUP($E1068,'Product Naming'!$A$1:$P$58,12,FALSE)</f>
        <v>163.14818</v>
      </c>
      <c r="AD1068" s="1">
        <f>VLOOKUP($E1068,'Product Naming'!$A$1:$P$58,13,FALSE)</f>
        <v>346</v>
      </c>
      <c r="AE1068" s="1" t="str">
        <f>VLOOKUP($E1068,'Product Naming'!$A$1:$P$58,14,FALSE)</f>
        <v>Aromatic + Alcohol + Carboxylate</v>
      </c>
      <c r="AF1068" s="1" t="str">
        <f>VLOOKUP($E1068,'Product Naming'!$A$1:$P$58,15,FALSE)</f>
        <v>E4P + L-glutamate</v>
      </c>
      <c r="AG1068" s="30" t="str">
        <f>VLOOKUP($E1068,'Product Naming'!$A$1:$P$58,16,FALSE)</f>
        <v>Proton symporter</v>
      </c>
      <c r="AH1068" s="3" t="str">
        <f>VLOOKUP($E1068,'Product Naming'!$A$1:$Q$58,17,FALSE)</f>
        <v>T4hcinnm_c</v>
      </c>
      <c r="AI1068" s="1">
        <f>VLOOKUP($E1068,'Product Parameters'!$A$2:$D$59,2,FALSE)</f>
        <v>1</v>
      </c>
      <c r="AJ1068" s="1">
        <f>VLOOKUP($E1068,'Product Parameters'!$A$2:$D$59,3,FALSE)</f>
        <v>0</v>
      </c>
      <c r="AK1068" s="1">
        <f>VLOOKUP($E1068,'Product Parameters'!$A$2:$D$59,4,FALSE)</f>
        <v>0.12</v>
      </c>
      <c r="AL1068" s="1">
        <f>VLOOKUP($E1068,'Product Parameters'!$A$2:$E$59,5,FALSE)</f>
        <v>40.65</v>
      </c>
      <c r="AM1068" s="1">
        <f>VLOOKUP($E1068,'Product Parameters'!$A$2:$F$59,6,FALSE)</f>
        <v>9</v>
      </c>
      <c r="AN1068" s="1">
        <f>VLOOKUP($C1068,'Substrate Heating'!$A$2:$C$33,3,FALSE)</f>
        <v>2828.4492</v>
      </c>
      <c r="AO1068" s="1">
        <f>VLOOKUP($C1068,'Substrate Heating'!$A$2:$B$33,2,FALSE)</f>
        <v>15.7</v>
      </c>
      <c r="AP1068" s="1">
        <f>VLOOKUP($C1068,'Substrate Heating'!$A$2:$M$33,13,FALSE)</f>
        <v>4</v>
      </c>
      <c r="AQ1068" s="1">
        <f>VLOOKUP($C1068,'Substrate Heating'!$A$2:$M$33,8,FALSE)</f>
        <v>6</v>
      </c>
      <c r="AR1068" s="1">
        <f t="shared" si="16"/>
        <v>0.85735135135135199</v>
      </c>
    </row>
    <row r="1069" spans="1:44" x14ac:dyDescent="0.2">
      <c r="A1069" s="8" t="s">
        <v>34</v>
      </c>
      <c r="B1069" s="9" t="s">
        <v>35</v>
      </c>
      <c r="C1069" s="1" t="s">
        <v>330</v>
      </c>
      <c r="D1069" s="10" t="s">
        <v>37</v>
      </c>
      <c r="E1069" s="1" t="s">
        <v>198</v>
      </c>
      <c r="F1069" s="1" t="s">
        <v>199</v>
      </c>
      <c r="G1069" s="1">
        <v>-10</v>
      </c>
      <c r="H1069" s="1">
        <v>-20</v>
      </c>
      <c r="I1069" s="1" t="s">
        <v>40</v>
      </c>
      <c r="J1069" s="1">
        <v>3.15</v>
      </c>
      <c r="K1069" s="1">
        <v>-10</v>
      </c>
      <c r="L1069" s="1">
        <v>-6.7350427350427404</v>
      </c>
      <c r="M1069" s="1" t="s">
        <v>40</v>
      </c>
      <c r="N1069" s="1">
        <v>5.3880341880341902</v>
      </c>
      <c r="O1069" s="1">
        <v>3.6529914529914498</v>
      </c>
      <c r="Q1069" s="1">
        <v>0.36529914529914498</v>
      </c>
      <c r="R1069" s="1">
        <v>0.51854369761813401</v>
      </c>
      <c r="S1069" s="1" t="str">
        <f>VLOOKUP($E1069,'Product Naming'!$A$1:$P$58,2,FALSE)</f>
        <v>EthylAcetate</v>
      </c>
      <c r="T1069" s="1" t="str">
        <f>VLOOKUP($E1069,'Product Naming'!$A$1:$P$58,3,FALSE)</f>
        <v>Ethyl acetate</v>
      </c>
      <c r="U1069" s="1" t="str">
        <f>VLOOKUP($E1069,'Product Naming'!$A$1:$P$58,4,FALSE)</f>
        <v>E</v>
      </c>
      <c r="V1069" s="1" t="str">
        <f>VLOOKUP($E1069,'Product Naming'!$A$1:$P$58,5,FALSE)</f>
        <v>C4H8O2</v>
      </c>
      <c r="W1069" s="1">
        <f>VLOOKUP($E1069,'Product Naming'!$A$1:$P$58,6,FALSE)</f>
        <v>4</v>
      </c>
      <c r="X1069" s="1">
        <f>VLOOKUP($E1069,'Product Naming'!$A$1:$P$58,7,FALSE)</f>
        <v>8</v>
      </c>
      <c r="Y1069" s="1">
        <f>VLOOKUP($E1069,'Product Naming'!$A$1:$P$58,8,FALSE)</f>
        <v>2</v>
      </c>
      <c r="Z1069" s="1">
        <f>VLOOKUP($E1069,'Product Naming'!$A$1:$P$58,9,FALSE)</f>
        <v>0</v>
      </c>
      <c r="AA1069" s="1">
        <f>VLOOKUP($E1069,'Product Naming'!$A$1:$P$58,10,FALSE)</f>
        <v>0</v>
      </c>
      <c r="AB1069" s="29">
        <f>VLOOKUP($E1069,'Product Naming'!$A$1:$P$58,11,FALSE)</f>
        <v>5</v>
      </c>
      <c r="AC1069" s="3">
        <f>VLOOKUP($E1069,'Product Naming'!$A$1:$P$58,12,FALSE)</f>
        <v>88.103520000000003</v>
      </c>
      <c r="AD1069" s="1">
        <f>VLOOKUP($E1069,'Product Naming'!$A$1:$P$58,13,FALSE)</f>
        <v>77.099999999999994</v>
      </c>
      <c r="AE1069" s="1" t="str">
        <f>VLOOKUP($E1069,'Product Naming'!$A$1:$P$58,14,FALSE)</f>
        <v>Carboxylate Ester</v>
      </c>
      <c r="AF1069" s="1" t="str">
        <f>VLOOKUP($E1069,'Product Naming'!$A$1:$P$58,15,FALSE)</f>
        <v>Acetyl-CoA</v>
      </c>
      <c r="AG1069" s="30" t="str">
        <f>VLOOKUP($E1069,'Product Naming'!$A$1:$P$58,16,FALSE)</f>
        <v>Proton symporter</v>
      </c>
      <c r="AH1069" s="3" t="str">
        <f>VLOOKUP($E1069,'Product Naming'!$A$1:$Q$58,17,FALSE)</f>
        <v>aces_c</v>
      </c>
      <c r="AI1069" s="1">
        <f>VLOOKUP($E1069,'Product Parameters'!$A$2:$D$59,2,FALSE)</f>
        <v>1</v>
      </c>
      <c r="AJ1069" s="1">
        <f>VLOOKUP($E1069,'Product Parameters'!$A$2:$D$59,3,FALSE)</f>
        <v>0</v>
      </c>
      <c r="AK1069" s="1">
        <f>VLOOKUP($E1069,'Product Parameters'!$A$2:$D$59,4,FALSE)</f>
        <v>0.12</v>
      </c>
      <c r="AL1069" s="1">
        <f>VLOOKUP($E1069,'Product Parameters'!$A$2:$E$59,5,FALSE)</f>
        <v>35</v>
      </c>
      <c r="AM1069" s="1">
        <f>VLOOKUP($E1069,'Product Parameters'!$A$2:$F$59,6,FALSE)</f>
        <v>4</v>
      </c>
      <c r="AN1069" s="1">
        <f>VLOOKUP($C1069,'Substrate Heating'!$A$2:$C$33,3,FALSE)</f>
        <v>1055.1294800000001</v>
      </c>
      <c r="AO1069" s="1">
        <f>VLOOKUP($C1069,'Substrate Heating'!$A$2:$B$33,2,FALSE)</f>
        <v>17</v>
      </c>
      <c r="AP1069" s="1">
        <f>VLOOKUP($C1069,'Substrate Heating'!$A$2:$M$33,13,FALSE)</f>
        <v>5</v>
      </c>
      <c r="AQ1069" s="1">
        <f>VLOOKUP($C1069,'Substrate Heating'!$A$2:$M$33,8,FALSE)</f>
        <v>2</v>
      </c>
      <c r="AR1069" s="1">
        <f t="shared" si="16"/>
        <v>0.73059829059828996</v>
      </c>
    </row>
    <row r="1070" spans="1:44" x14ac:dyDescent="0.2">
      <c r="A1070" s="8" t="s">
        <v>34</v>
      </c>
      <c r="B1070" s="9" t="s">
        <v>35</v>
      </c>
      <c r="C1070" s="1" t="s">
        <v>331</v>
      </c>
      <c r="D1070" s="10" t="s">
        <v>37</v>
      </c>
      <c r="E1070" s="1" t="s">
        <v>175</v>
      </c>
      <c r="F1070" s="1" t="s">
        <v>176</v>
      </c>
      <c r="G1070" s="1">
        <v>-10</v>
      </c>
      <c r="H1070" s="1">
        <v>-20</v>
      </c>
      <c r="I1070" s="1" t="s">
        <v>40</v>
      </c>
      <c r="J1070" s="1">
        <v>3.15</v>
      </c>
      <c r="K1070" s="1">
        <v>-10</v>
      </c>
      <c r="L1070" s="1">
        <v>-5.9965517241379303</v>
      </c>
      <c r="M1070" s="1" t="s">
        <v>40</v>
      </c>
      <c r="N1070" s="1">
        <v>2.4583554376657899</v>
      </c>
      <c r="O1070" s="1">
        <v>2.9236074270557002</v>
      </c>
      <c r="Q1070" s="1">
        <v>0.29236074270557</v>
      </c>
      <c r="R1070" s="1">
        <v>0.51866419165838296</v>
      </c>
      <c r="S1070" s="1" t="str">
        <f>VLOOKUP($E1070,'Product Naming'!$A$1:$P$58,2,FALSE)</f>
        <v>Catechol</v>
      </c>
      <c r="T1070" s="1" t="str">
        <f>VLOOKUP($E1070,'Product Naming'!$A$1:$P$58,3,FALSE)</f>
        <v>Catechol</v>
      </c>
      <c r="U1070" s="1" t="str">
        <f>VLOOKUP($E1070,'Product Naming'!$A$1:$P$58,4,FALSE)</f>
        <v>E</v>
      </c>
      <c r="V1070" s="1" t="str">
        <f>VLOOKUP($E1070,'Product Naming'!$A$1:$P$58,5,FALSE)</f>
        <v>C6H6O2</v>
      </c>
      <c r="W1070" s="1">
        <f>VLOOKUP($E1070,'Product Naming'!$A$1:$P$58,6,FALSE)</f>
        <v>6</v>
      </c>
      <c r="X1070" s="1">
        <f>VLOOKUP($E1070,'Product Naming'!$A$1:$P$58,7,FALSE)</f>
        <v>6</v>
      </c>
      <c r="Y1070" s="1">
        <f>VLOOKUP($E1070,'Product Naming'!$A$1:$P$58,8,FALSE)</f>
        <v>2</v>
      </c>
      <c r="Z1070" s="1">
        <f>VLOOKUP($E1070,'Product Naming'!$A$1:$P$58,9,FALSE)</f>
        <v>0</v>
      </c>
      <c r="AA1070" s="1">
        <f>VLOOKUP($E1070,'Product Naming'!$A$1:$P$58,10,FALSE)</f>
        <v>0</v>
      </c>
      <c r="AB1070" s="29">
        <f>VLOOKUP($E1070,'Product Naming'!$A$1:$P$58,11,FALSE)</f>
        <v>4.333333333333333</v>
      </c>
      <c r="AC1070" s="3">
        <f>VLOOKUP($E1070,'Product Naming'!$A$1:$P$58,12,FALSE)</f>
        <v>110.10924</v>
      </c>
      <c r="AD1070" s="1">
        <f>VLOOKUP($E1070,'Product Naming'!$A$1:$P$58,13,FALSE)</f>
        <v>245</v>
      </c>
      <c r="AE1070" s="1" t="str">
        <f>VLOOKUP($E1070,'Product Naming'!$A$1:$P$58,14,FALSE)</f>
        <v>Aromatic + Diol</v>
      </c>
      <c r="AF1070" s="1" t="str">
        <f>VLOOKUP($E1070,'Product Naming'!$A$1:$P$58,15,FALSE)</f>
        <v>Glyceraldehyde 3-P</v>
      </c>
      <c r="AG1070" s="30" t="str">
        <f>VLOOKUP($E1070,'Product Naming'!$A$1:$P$58,16,FALSE)</f>
        <v>Proton symporter</v>
      </c>
      <c r="AH1070" s="3" t="str">
        <f>VLOOKUP($E1070,'Product Naming'!$A$1:$Q$58,17,FALSE)</f>
        <v>catechol_c</v>
      </c>
      <c r="AI1070" s="1">
        <f>VLOOKUP($E1070,'Product Parameters'!$A$2:$D$59,2,FALSE)</f>
        <v>1</v>
      </c>
      <c r="AJ1070" s="1">
        <f>VLOOKUP($E1070,'Product Parameters'!$A$2:$D$59,3,FALSE)</f>
        <v>0</v>
      </c>
      <c r="AK1070" s="1">
        <f>VLOOKUP($E1070,'Product Parameters'!$A$2:$D$59,4,FALSE)</f>
        <v>0.12</v>
      </c>
      <c r="AL1070" s="1">
        <f>VLOOKUP($E1070,'Product Parameters'!$A$2:$E$59,5,FALSE)</f>
        <v>40.65</v>
      </c>
      <c r="AM1070" s="1">
        <f>VLOOKUP($E1070,'Product Parameters'!$A$2:$F$59,6,FALSE)</f>
        <v>6</v>
      </c>
      <c r="AN1070" s="1">
        <f>VLOOKUP($C1070,'Substrate Heating'!$A$2:$C$33,3,FALSE)</f>
        <v>1055.1294800000001</v>
      </c>
      <c r="AO1070" s="1">
        <f>VLOOKUP($C1070,'Substrate Heating'!$A$2:$B$33,2,FALSE)</f>
        <v>17</v>
      </c>
      <c r="AP1070" s="1">
        <f>VLOOKUP($C1070,'Substrate Heating'!$A$2:$M$33,13,FALSE)</f>
        <v>5</v>
      </c>
      <c r="AQ1070" s="1">
        <f>VLOOKUP($C1070,'Substrate Heating'!$A$2:$M$33,8,FALSE)</f>
        <v>2</v>
      </c>
      <c r="AR1070" s="1">
        <f t="shared" si="16"/>
        <v>0.87708222811670999</v>
      </c>
    </row>
    <row r="1071" spans="1:44" x14ac:dyDescent="0.2">
      <c r="A1071" s="8" t="s">
        <v>34</v>
      </c>
      <c r="B1071" s="9" t="s">
        <v>35</v>
      </c>
      <c r="C1071" s="1" t="s">
        <v>348</v>
      </c>
      <c r="D1071" s="23" t="s">
        <v>338</v>
      </c>
      <c r="E1071" s="1" t="s">
        <v>180</v>
      </c>
      <c r="F1071" s="1" t="s">
        <v>181</v>
      </c>
      <c r="G1071" s="1">
        <v>-10</v>
      </c>
      <c r="H1071" s="1">
        <v>-20</v>
      </c>
      <c r="I1071" s="1" t="s">
        <v>40</v>
      </c>
      <c r="J1071" s="1">
        <v>3.15</v>
      </c>
      <c r="K1071" s="1">
        <v>-10</v>
      </c>
      <c r="L1071" s="1">
        <v>-8.4369955156950596</v>
      </c>
      <c r="M1071" s="1" t="s">
        <v>40</v>
      </c>
      <c r="N1071" s="1">
        <v>2.8403587443945999</v>
      </c>
      <c r="O1071" s="1">
        <v>1.19327354260089</v>
      </c>
      <c r="Q1071" s="1">
        <v>0.119327354260089</v>
      </c>
      <c r="R1071" s="1">
        <v>0.52172915655625995</v>
      </c>
      <c r="S1071" s="1" t="str">
        <f>VLOOKUP($E1071,'Product Naming'!$A$1:$P$58,2,FALSE)</f>
        <v>ciscisMuconate</v>
      </c>
      <c r="T1071" s="1" t="str">
        <f>VLOOKUP($E1071,'Product Naming'!$A$1:$P$58,3,FALSE)</f>
        <v>cis,cis-Muconate</v>
      </c>
      <c r="U1071" s="1" t="str">
        <f>VLOOKUP($E1071,'Product Naming'!$A$1:$P$58,4,FALSE)</f>
        <v>A</v>
      </c>
      <c r="V1071" s="1" t="str">
        <f>VLOOKUP($E1071,'Product Naming'!$A$1:$P$58,5,FALSE)</f>
        <v>C6H4O4</v>
      </c>
      <c r="W1071" s="1">
        <f>VLOOKUP($E1071,'Product Naming'!$A$1:$P$58,6,FALSE)</f>
        <v>6</v>
      </c>
      <c r="X1071" s="1">
        <f>VLOOKUP($E1071,'Product Naming'!$A$1:$P$58,7,FALSE)</f>
        <v>4</v>
      </c>
      <c r="Y1071" s="1">
        <f>VLOOKUP($E1071,'Product Naming'!$A$1:$P$58,8,FALSE)</f>
        <v>4</v>
      </c>
      <c r="Z1071" s="1">
        <f>VLOOKUP($E1071,'Product Naming'!$A$1:$P$58,9,FALSE)</f>
        <v>0</v>
      </c>
      <c r="AA1071" s="1">
        <f>VLOOKUP($E1071,'Product Naming'!$A$1:$P$58,10,FALSE)</f>
        <v>-2</v>
      </c>
      <c r="AB1071" s="29">
        <f>VLOOKUP($E1071,'Product Naming'!$A$1:$P$58,11,FALSE)</f>
        <v>3.3333333333333335</v>
      </c>
      <c r="AC1071" s="3">
        <f>VLOOKUP($E1071,'Product Naming'!$A$1:$P$58,12,FALSE)</f>
        <v>140.09156000000002</v>
      </c>
      <c r="AD1071" s="1">
        <f>VLOOKUP($E1071,'Product Naming'!$A$1:$P$58,13,FALSE)</f>
        <v>345.4</v>
      </c>
      <c r="AE1071" s="1" t="str">
        <f>VLOOKUP($E1071,'Product Naming'!$A$1:$P$58,14,FALSE)</f>
        <v>Dicarboxylate</v>
      </c>
      <c r="AF1071" s="1" t="str">
        <f>VLOOKUP($E1071,'Product Naming'!$A$1:$P$58,15,FALSE)</f>
        <v>Glyceraldehyde 3-P</v>
      </c>
      <c r="AG1071" s="30" t="str">
        <f>VLOOKUP($E1071,'Product Naming'!$A$1:$P$58,16,FALSE)</f>
        <v>Proton symporter</v>
      </c>
      <c r="AH1071" s="3" t="str">
        <f>VLOOKUP($E1071,'Product Naming'!$A$1:$Q$58,17,FALSE)</f>
        <v>ccmuac_c</v>
      </c>
      <c r="AI1071" s="1">
        <f>VLOOKUP($E1071,'Product Parameters'!$A$2:$D$59,2,FALSE)</f>
        <v>1</v>
      </c>
      <c r="AJ1071" s="1">
        <f>VLOOKUP($E1071,'Product Parameters'!$A$2:$D$59,3,FALSE)</f>
        <v>0</v>
      </c>
      <c r="AK1071" s="1">
        <f>VLOOKUP($E1071,'Product Parameters'!$A$2:$D$59,4,FALSE)</f>
        <v>0.12</v>
      </c>
      <c r="AL1071" s="1">
        <f>VLOOKUP($E1071,'Product Parameters'!$A$2:$E$59,5,FALSE)</f>
        <v>40.65</v>
      </c>
      <c r="AM1071" s="1">
        <f>VLOOKUP($E1071,'Product Parameters'!$A$2:$F$59,6,FALSE)</f>
        <v>6</v>
      </c>
      <c r="AN1071" s="1">
        <f>VLOOKUP($C1071,'Substrate Heating'!$A$2:$C$33,3,FALSE)</f>
        <v>638.57832580000002</v>
      </c>
      <c r="AO1071" s="1">
        <f>VLOOKUP($C1071,'Substrate Heating'!$A$2:$B$33,2,FALSE)</f>
        <v>19.93</v>
      </c>
      <c r="AP1071" s="1">
        <f>VLOOKUP($C1071,'Substrate Heating'!$A$2:$M$33,13,FALSE)</f>
        <v>6</v>
      </c>
      <c r="AQ1071" s="1">
        <f>VLOOKUP($C1071,'Substrate Heating'!$A$2:$M$33,8,FALSE)</f>
        <v>1</v>
      </c>
      <c r="AR1071" s="1">
        <f t="shared" si="16"/>
        <v>0.71596412556053401</v>
      </c>
    </row>
    <row r="1072" spans="1:44" x14ac:dyDescent="0.2">
      <c r="A1072" s="17" t="s">
        <v>323</v>
      </c>
      <c r="B1072" s="18" t="s">
        <v>324</v>
      </c>
      <c r="C1072" t="s">
        <v>329</v>
      </c>
      <c r="D1072" s="19" t="s">
        <v>326</v>
      </c>
      <c r="E1072" t="s">
        <v>264</v>
      </c>
      <c r="F1072" t="s">
        <v>265</v>
      </c>
      <c r="G1072">
        <v>-10</v>
      </c>
      <c r="H1072">
        <v>0</v>
      </c>
      <c r="I1072">
        <v>-20</v>
      </c>
      <c r="J1072">
        <v>0.45</v>
      </c>
      <c r="K1072">
        <v>-10</v>
      </c>
      <c r="L1072">
        <v>0</v>
      </c>
      <c r="M1072">
        <v>-15.5809523809524</v>
      </c>
      <c r="N1072">
        <v>0</v>
      </c>
      <c r="O1072">
        <v>1.1047619047618999</v>
      </c>
      <c r="P1072"/>
      <c r="Q1072">
        <v>0.11047619047619001</v>
      </c>
      <c r="R1072" s="20">
        <v>0.52191032797578396</v>
      </c>
      <c r="S1072" s="1" t="str">
        <f>VLOOKUP($E1072,'Product Naming'!$A$1:$P$58,2,FALSE)</f>
        <v>Lysine_L</v>
      </c>
      <c r="T1072" s="1" t="str">
        <f>VLOOKUP($E1072,'Product Naming'!$A$1:$P$58,3,FALSE)</f>
        <v>L-Lysine</v>
      </c>
      <c r="U1072" s="1" t="str">
        <f>VLOOKUP($E1072,'Product Naming'!$A$1:$P$58,4,FALSE)</f>
        <v>iJO1366</v>
      </c>
      <c r="V1072" s="1" t="str">
        <f>VLOOKUP($E1072,'Product Naming'!$A$1:$P$58,5,FALSE)</f>
        <v>C6H15N2O2</v>
      </c>
      <c r="W1072" s="1">
        <f>VLOOKUP($E1072,'Product Naming'!$A$1:$P$58,6,FALSE)</f>
        <v>6</v>
      </c>
      <c r="X1072" s="1">
        <f>VLOOKUP($E1072,'Product Naming'!$A$1:$P$58,7,FALSE)</f>
        <v>15</v>
      </c>
      <c r="Y1072" s="1">
        <f>VLOOKUP($E1072,'Product Naming'!$A$1:$P$58,8,FALSE)</f>
        <v>2</v>
      </c>
      <c r="Z1072" s="1">
        <f>VLOOKUP($E1072,'Product Naming'!$A$1:$P$58,9,FALSE)</f>
        <v>2</v>
      </c>
      <c r="AA1072" s="1">
        <f>VLOOKUP($E1072,'Product Naming'!$A$1:$P$58,10,FALSE)</f>
        <v>1</v>
      </c>
      <c r="AB1072" s="29">
        <f>VLOOKUP($E1072,'Product Naming'!$A$1:$P$58,11,FALSE)</f>
        <v>4.833333333333333</v>
      </c>
      <c r="AC1072" s="3">
        <f>VLOOKUP($E1072,'Product Naming'!$A$1:$P$58,12,FALSE)</f>
        <v>147.19319999999999</v>
      </c>
      <c r="AD1072" s="1" t="str">
        <f>VLOOKUP($E1072,'Product Naming'!$A$1:$P$58,13,FALSE)</f>
        <v>NA</v>
      </c>
      <c r="AE1072" s="1" t="str">
        <f>VLOOKUP($E1072,'Product Naming'!$A$1:$P$58,14,FALSE)</f>
        <v>Amino acid</v>
      </c>
      <c r="AF1072" s="1" t="str">
        <f>VLOOKUP($E1072,'Product Naming'!$A$1:$P$58,15,FALSE)</f>
        <v>Oxaloacetate</v>
      </c>
      <c r="AG1072" s="30" t="str">
        <f>VLOOKUP($E1072,'Product Naming'!$A$1:$P$58,16,FALSE)</f>
        <v>Proton antiport</v>
      </c>
      <c r="AH1072" s="3" t="str">
        <f>VLOOKUP($E1072,'Product Naming'!$A$1:$Q$58,17,FALSE)</f>
        <v>lys__L_</v>
      </c>
      <c r="AI1072" s="1">
        <f>VLOOKUP($E1072,'Product Parameters'!$A$2:$D$59,2,FALSE)</f>
        <v>1</v>
      </c>
      <c r="AJ1072" s="1">
        <f>VLOOKUP($E1072,'Product Parameters'!$A$2:$D$59,3,FALSE)</f>
        <v>0</v>
      </c>
      <c r="AK1072" s="1">
        <f>VLOOKUP($E1072,'Product Parameters'!$A$2:$D$59,4,FALSE)</f>
        <v>0.12</v>
      </c>
      <c r="AL1072" s="1">
        <f>VLOOKUP($E1072,'Product Parameters'!$A$2:$E$59,5,FALSE)</f>
        <v>40.65</v>
      </c>
      <c r="AM1072" s="1">
        <f>VLOOKUP($E1072,'Product Parameters'!$A$2:$F$59,6,FALSE)</f>
        <v>6</v>
      </c>
      <c r="AN1072" s="1">
        <f>VLOOKUP($C1072,'Substrate Heating'!$A$2:$C$33,3,FALSE)</f>
        <v>255.53333333333336</v>
      </c>
      <c r="AO1072" s="1">
        <f>VLOOKUP($C1072,'Substrate Heating'!$A$2:$B$33,2,FALSE)</f>
        <v>23.925550527978785</v>
      </c>
      <c r="AP1072" s="1">
        <f>VLOOKUP($C1072,'Substrate Heating'!$A$2:$M$33,13,FALSE)</f>
        <v>0.66666666666666663</v>
      </c>
      <c r="AQ1072" s="1">
        <f>VLOOKUP($C1072,'Substrate Heating'!$A$2:$M$33,8,FALSE)</f>
        <v>0.33333333333333331</v>
      </c>
      <c r="AR1072" s="1">
        <f t="shared" si="16"/>
        <v>1.9885714285714202</v>
      </c>
    </row>
    <row r="1073" spans="1:44" x14ac:dyDescent="0.2">
      <c r="A1073" s="8" t="s">
        <v>807</v>
      </c>
      <c r="B1073" s="18" t="s">
        <v>324</v>
      </c>
      <c r="C1073" t="s">
        <v>372</v>
      </c>
      <c r="D1073" s="23" t="s">
        <v>338</v>
      </c>
      <c r="E1073" t="s">
        <v>264</v>
      </c>
      <c r="F1073" t="s">
        <v>265</v>
      </c>
      <c r="G1073">
        <v>-10</v>
      </c>
      <c r="H1073">
        <v>0</v>
      </c>
      <c r="I1073">
        <v>0</v>
      </c>
      <c r="J1073">
        <v>0.45</v>
      </c>
      <c r="K1073">
        <v>-10</v>
      </c>
      <c r="L1073">
        <v>0</v>
      </c>
      <c r="M1073">
        <v>4.4190476190476096</v>
      </c>
      <c r="N1073">
        <v>0</v>
      </c>
      <c r="O1073">
        <v>1.1047619047618999</v>
      </c>
      <c r="P1073"/>
      <c r="Q1073">
        <v>0.11047619047619001</v>
      </c>
      <c r="R1073">
        <v>0.52203049870016704</v>
      </c>
      <c r="S1073" s="1" t="str">
        <f>VLOOKUP($E1073,'Product Naming'!$A$1:$P$58,2,FALSE)</f>
        <v>Lysine_L</v>
      </c>
      <c r="T1073" s="1" t="str">
        <f>VLOOKUP($E1073,'Product Naming'!$A$1:$P$58,3,FALSE)</f>
        <v>L-Lysine</v>
      </c>
      <c r="U1073" s="1" t="str">
        <f>VLOOKUP($E1073,'Product Naming'!$A$1:$P$58,4,FALSE)</f>
        <v>iJO1366</v>
      </c>
      <c r="V1073" s="1" t="str">
        <f>VLOOKUP($E1073,'Product Naming'!$A$1:$P$58,5,FALSE)</f>
        <v>C6H15N2O2</v>
      </c>
      <c r="W1073" s="1">
        <f>VLOOKUP($E1073,'Product Naming'!$A$1:$P$58,6,FALSE)</f>
        <v>6</v>
      </c>
      <c r="X1073" s="1">
        <f>VLOOKUP($E1073,'Product Naming'!$A$1:$P$58,7,FALSE)</f>
        <v>15</v>
      </c>
      <c r="Y1073" s="1">
        <f>VLOOKUP($E1073,'Product Naming'!$A$1:$P$58,8,FALSE)</f>
        <v>2</v>
      </c>
      <c r="Z1073" s="1">
        <f>VLOOKUP($E1073,'Product Naming'!$A$1:$P$58,9,FALSE)</f>
        <v>2</v>
      </c>
      <c r="AA1073" s="1">
        <f>VLOOKUP($E1073,'Product Naming'!$A$1:$P$58,10,FALSE)</f>
        <v>1</v>
      </c>
      <c r="AB1073" s="29">
        <f>VLOOKUP($E1073,'Product Naming'!$A$1:$P$58,11,FALSE)</f>
        <v>4.833333333333333</v>
      </c>
      <c r="AC1073" s="3">
        <f>VLOOKUP($E1073,'Product Naming'!$A$1:$P$58,12,FALSE)</f>
        <v>147.19319999999999</v>
      </c>
      <c r="AD1073" s="1" t="str">
        <f>VLOOKUP($E1073,'Product Naming'!$A$1:$P$58,13,FALSE)</f>
        <v>NA</v>
      </c>
      <c r="AE1073" s="1" t="str">
        <f>VLOOKUP($E1073,'Product Naming'!$A$1:$P$58,14,FALSE)</f>
        <v>Amino acid</v>
      </c>
      <c r="AF1073" s="1" t="str">
        <f>VLOOKUP($E1073,'Product Naming'!$A$1:$P$58,15,FALSE)</f>
        <v>Oxaloacetate</v>
      </c>
      <c r="AG1073" s="30" t="str">
        <f>VLOOKUP($E1073,'Product Naming'!$A$1:$P$58,16,FALSE)</f>
        <v>Proton antiport</v>
      </c>
      <c r="AH1073" s="3" t="str">
        <f>VLOOKUP($E1073,'Product Naming'!$A$1:$Q$58,17,FALSE)</f>
        <v>lys__L_</v>
      </c>
      <c r="AI1073" s="1">
        <f>VLOOKUP($E1073,'Product Parameters'!$A$2:$D$59,2,FALSE)</f>
        <v>1</v>
      </c>
      <c r="AJ1073" s="1">
        <f>VLOOKUP($E1073,'Product Parameters'!$A$2:$D$59,3,FALSE)</f>
        <v>0</v>
      </c>
      <c r="AK1073" s="1">
        <f>VLOOKUP($E1073,'Product Parameters'!$A$2:$D$59,4,FALSE)</f>
        <v>0.12</v>
      </c>
      <c r="AL1073" s="1">
        <f>VLOOKUP($E1073,'Product Parameters'!$A$2:$E$59,5,FALSE)</f>
        <v>40.65</v>
      </c>
      <c r="AM1073" s="1">
        <f>VLOOKUP($E1073,'Product Parameters'!$A$2:$F$59,6,FALSE)</f>
        <v>6</v>
      </c>
      <c r="AN1073" s="1">
        <f>VLOOKUP($C1073,'Substrate Heating'!$A$2:$C$33,3,FALSE)</f>
        <v>638.57832580000002</v>
      </c>
      <c r="AO1073" s="1">
        <f>VLOOKUP($C1073,'Substrate Heating'!$A$2:$B$33,2,FALSE)</f>
        <v>19.93</v>
      </c>
      <c r="AP1073" s="1">
        <f>VLOOKUP($C1073,'Substrate Heating'!$A$2:$M$33,13,FALSE)</f>
        <v>6</v>
      </c>
      <c r="AQ1073" s="1">
        <f>VLOOKUP($C1073,'Substrate Heating'!$A$2:$M$33,8,FALSE)</f>
        <v>1</v>
      </c>
      <c r="AR1073" s="1">
        <f t="shared" si="16"/>
        <v>0.66285714285714004</v>
      </c>
    </row>
    <row r="1074" spans="1:44" x14ac:dyDescent="0.2">
      <c r="A1074" s="8" t="s">
        <v>34</v>
      </c>
      <c r="B1074" s="9" t="s">
        <v>35</v>
      </c>
      <c r="C1074" s="1" t="s">
        <v>348</v>
      </c>
      <c r="D1074" s="23" t="s">
        <v>338</v>
      </c>
      <c r="E1074" s="1" t="s">
        <v>198</v>
      </c>
      <c r="F1074" s="1" t="s">
        <v>199</v>
      </c>
      <c r="G1074" s="1">
        <v>-10</v>
      </c>
      <c r="H1074" s="1">
        <v>-20</v>
      </c>
      <c r="I1074" s="1" t="s">
        <v>40</v>
      </c>
      <c r="J1074" s="1">
        <v>3.15</v>
      </c>
      <c r="K1074" s="1">
        <v>-10</v>
      </c>
      <c r="L1074" s="1">
        <v>-5.4623655913978704</v>
      </c>
      <c r="M1074" s="1" t="s">
        <v>40</v>
      </c>
      <c r="N1074" s="1">
        <v>2.3698924731182802</v>
      </c>
      <c r="O1074" s="1">
        <v>1.9075268817204301</v>
      </c>
      <c r="Q1074" s="1">
        <v>0.19075268817204299</v>
      </c>
      <c r="R1074" s="1">
        <v>0.524513960443861</v>
      </c>
      <c r="S1074" s="1" t="str">
        <f>VLOOKUP($E1074,'Product Naming'!$A$1:$P$58,2,FALSE)</f>
        <v>EthylAcetate</v>
      </c>
      <c r="T1074" s="1" t="str">
        <f>VLOOKUP($E1074,'Product Naming'!$A$1:$P$58,3,FALSE)</f>
        <v>Ethyl acetate</v>
      </c>
      <c r="U1074" s="1" t="str">
        <f>VLOOKUP($E1074,'Product Naming'!$A$1:$P$58,4,FALSE)</f>
        <v>E</v>
      </c>
      <c r="V1074" s="1" t="str">
        <f>VLOOKUP($E1074,'Product Naming'!$A$1:$P$58,5,FALSE)</f>
        <v>C4H8O2</v>
      </c>
      <c r="W1074" s="1">
        <f>VLOOKUP($E1074,'Product Naming'!$A$1:$P$58,6,FALSE)</f>
        <v>4</v>
      </c>
      <c r="X1074" s="1">
        <f>VLOOKUP($E1074,'Product Naming'!$A$1:$P$58,7,FALSE)</f>
        <v>8</v>
      </c>
      <c r="Y1074" s="1">
        <f>VLOOKUP($E1074,'Product Naming'!$A$1:$P$58,8,FALSE)</f>
        <v>2</v>
      </c>
      <c r="Z1074" s="1">
        <f>VLOOKUP($E1074,'Product Naming'!$A$1:$P$58,9,FALSE)</f>
        <v>0</v>
      </c>
      <c r="AA1074" s="1">
        <f>VLOOKUP($E1074,'Product Naming'!$A$1:$P$58,10,FALSE)</f>
        <v>0</v>
      </c>
      <c r="AB1074" s="29">
        <f>VLOOKUP($E1074,'Product Naming'!$A$1:$P$58,11,FALSE)</f>
        <v>5</v>
      </c>
      <c r="AC1074" s="3">
        <f>VLOOKUP($E1074,'Product Naming'!$A$1:$P$58,12,FALSE)</f>
        <v>88.103520000000003</v>
      </c>
      <c r="AD1074" s="1">
        <f>VLOOKUP($E1074,'Product Naming'!$A$1:$P$58,13,FALSE)</f>
        <v>77.099999999999994</v>
      </c>
      <c r="AE1074" s="1" t="str">
        <f>VLOOKUP($E1074,'Product Naming'!$A$1:$P$58,14,FALSE)</f>
        <v>Carboxylate Ester</v>
      </c>
      <c r="AF1074" s="1" t="str">
        <f>VLOOKUP($E1074,'Product Naming'!$A$1:$P$58,15,FALSE)</f>
        <v>Acetyl-CoA</v>
      </c>
      <c r="AG1074" s="30" t="str">
        <f>VLOOKUP($E1074,'Product Naming'!$A$1:$P$58,16,FALSE)</f>
        <v>Proton symporter</v>
      </c>
      <c r="AH1074" s="3" t="str">
        <f>VLOOKUP($E1074,'Product Naming'!$A$1:$Q$58,17,FALSE)</f>
        <v>aces_c</v>
      </c>
      <c r="AI1074" s="1">
        <f>VLOOKUP($E1074,'Product Parameters'!$A$2:$D$59,2,FALSE)</f>
        <v>1</v>
      </c>
      <c r="AJ1074" s="1">
        <f>VLOOKUP($E1074,'Product Parameters'!$A$2:$D$59,3,FALSE)</f>
        <v>0</v>
      </c>
      <c r="AK1074" s="1">
        <f>VLOOKUP($E1074,'Product Parameters'!$A$2:$D$59,4,FALSE)</f>
        <v>0.12</v>
      </c>
      <c r="AL1074" s="1">
        <f>VLOOKUP($E1074,'Product Parameters'!$A$2:$E$59,5,FALSE)</f>
        <v>35</v>
      </c>
      <c r="AM1074" s="1">
        <f>VLOOKUP($E1074,'Product Parameters'!$A$2:$F$59,6,FALSE)</f>
        <v>4</v>
      </c>
      <c r="AN1074" s="1">
        <f>VLOOKUP($C1074,'Substrate Heating'!$A$2:$C$33,3,FALSE)</f>
        <v>638.57832580000002</v>
      </c>
      <c r="AO1074" s="1">
        <f>VLOOKUP($C1074,'Substrate Heating'!$A$2:$B$33,2,FALSE)</f>
        <v>19.93</v>
      </c>
      <c r="AP1074" s="1">
        <f>VLOOKUP($C1074,'Substrate Heating'!$A$2:$M$33,13,FALSE)</f>
        <v>6</v>
      </c>
      <c r="AQ1074" s="1">
        <f>VLOOKUP($C1074,'Substrate Heating'!$A$2:$M$33,8,FALSE)</f>
        <v>1</v>
      </c>
      <c r="AR1074" s="1">
        <f t="shared" si="16"/>
        <v>0.76301075268817198</v>
      </c>
    </row>
    <row r="1075" spans="1:44" x14ac:dyDescent="0.2">
      <c r="A1075" s="8" t="s">
        <v>34</v>
      </c>
      <c r="B1075" s="9" t="s">
        <v>35</v>
      </c>
      <c r="C1075" s="1" t="s">
        <v>330</v>
      </c>
      <c r="D1075" s="10" t="s">
        <v>37</v>
      </c>
      <c r="E1075" s="1" t="s">
        <v>171</v>
      </c>
      <c r="F1075" s="1" t="s">
        <v>172</v>
      </c>
      <c r="G1075" s="1">
        <v>-10</v>
      </c>
      <c r="H1075" s="1">
        <v>-20</v>
      </c>
      <c r="I1075" s="1" t="s">
        <v>40</v>
      </c>
      <c r="J1075" s="1">
        <v>3.15</v>
      </c>
      <c r="K1075" s="1">
        <v>-10</v>
      </c>
      <c r="L1075" s="1">
        <v>-6.2543859649122702</v>
      </c>
      <c r="M1075" s="1" t="s">
        <v>40</v>
      </c>
      <c r="N1075" s="1">
        <v>5.0035087719298401</v>
      </c>
      <c r="O1075" s="1">
        <v>3.74912280701755</v>
      </c>
      <c r="Q1075" s="1">
        <v>0.37491228070175497</v>
      </c>
      <c r="R1075" s="1">
        <v>0.52610172376793596</v>
      </c>
      <c r="S1075" s="1" t="str">
        <f>VLOOKUP($E1075,'Product Naming'!$A$1:$P$58,2,FALSE)</f>
        <v>Butyrate</v>
      </c>
      <c r="T1075" s="1" t="str">
        <f>VLOOKUP($E1075,'Product Naming'!$A$1:$P$58,3,FALSE)</f>
        <v>Butyrate</v>
      </c>
      <c r="U1075" s="1" t="str">
        <f>VLOOKUP($E1075,'Product Naming'!$A$1:$P$58,4,FALSE)</f>
        <v>A</v>
      </c>
      <c r="V1075" s="1" t="str">
        <f>VLOOKUP($E1075,'Product Naming'!$A$1:$P$58,5,FALSE)</f>
        <v>C4H7O2</v>
      </c>
      <c r="W1075" s="1">
        <f>VLOOKUP($E1075,'Product Naming'!$A$1:$P$58,6,FALSE)</f>
        <v>4</v>
      </c>
      <c r="X1075" s="1">
        <f>VLOOKUP($E1075,'Product Naming'!$A$1:$P$58,7,FALSE)</f>
        <v>7</v>
      </c>
      <c r="Y1075" s="1">
        <f>VLOOKUP($E1075,'Product Naming'!$A$1:$P$58,8,FALSE)</f>
        <v>2</v>
      </c>
      <c r="Z1075" s="1">
        <f>VLOOKUP($E1075,'Product Naming'!$A$1:$P$58,9,FALSE)</f>
        <v>0</v>
      </c>
      <c r="AA1075" s="1">
        <f>VLOOKUP($E1075,'Product Naming'!$A$1:$P$58,10,FALSE)</f>
        <v>-1</v>
      </c>
      <c r="AB1075" s="29">
        <f>VLOOKUP($E1075,'Product Naming'!$A$1:$P$58,11,FALSE)</f>
        <v>4.75</v>
      </c>
      <c r="AC1075" s="3">
        <f>VLOOKUP($E1075,'Product Naming'!$A$1:$P$58,12,FALSE)</f>
        <v>87.095680000000002</v>
      </c>
      <c r="AD1075" s="1">
        <f>VLOOKUP($E1075,'Product Naming'!$A$1:$P$58,13,FALSE)</f>
        <v>163.5</v>
      </c>
      <c r="AE1075" s="1" t="str">
        <f>VLOOKUP($E1075,'Product Naming'!$A$1:$P$58,14,FALSE)</f>
        <v>Carboxylate</v>
      </c>
      <c r="AF1075" s="1" t="str">
        <f>VLOOKUP($E1075,'Product Naming'!$A$1:$P$58,15,FALSE)</f>
        <v>Acetyl-CoA</v>
      </c>
      <c r="AG1075" s="30" t="str">
        <f>VLOOKUP($E1075,'Product Naming'!$A$1:$P$58,16,FALSE)</f>
        <v>Proton symporter</v>
      </c>
      <c r="AH1075" s="3" t="str">
        <f>VLOOKUP($E1075,'Product Naming'!$A$1:$Q$58,17,FALSE)</f>
        <v>but_c</v>
      </c>
      <c r="AI1075" s="1">
        <f>VLOOKUP($E1075,'Product Parameters'!$A$2:$D$59,2,FALSE)</f>
        <v>1</v>
      </c>
      <c r="AJ1075" s="1">
        <f>VLOOKUP($E1075,'Product Parameters'!$A$2:$D$59,3,FALSE)</f>
        <v>0</v>
      </c>
      <c r="AK1075" s="1">
        <f>VLOOKUP($E1075,'Product Parameters'!$A$2:$D$59,4,FALSE)</f>
        <v>0.12</v>
      </c>
      <c r="AL1075" s="1">
        <f>VLOOKUP($E1075,'Product Parameters'!$A$2:$E$59,5,FALSE)</f>
        <v>42</v>
      </c>
      <c r="AM1075" s="1">
        <f>VLOOKUP($E1075,'Product Parameters'!$A$2:$F$59,6,FALSE)</f>
        <v>4</v>
      </c>
      <c r="AN1075" s="1">
        <f>VLOOKUP($C1075,'Substrate Heating'!$A$2:$C$33,3,FALSE)</f>
        <v>1055.1294800000001</v>
      </c>
      <c r="AO1075" s="1">
        <f>VLOOKUP($C1075,'Substrate Heating'!$A$2:$B$33,2,FALSE)</f>
        <v>17</v>
      </c>
      <c r="AP1075" s="1">
        <f>VLOOKUP($C1075,'Substrate Heating'!$A$2:$M$33,13,FALSE)</f>
        <v>5</v>
      </c>
      <c r="AQ1075" s="1">
        <f>VLOOKUP($C1075,'Substrate Heating'!$A$2:$M$33,8,FALSE)</f>
        <v>2</v>
      </c>
      <c r="AR1075" s="1">
        <f t="shared" si="16"/>
        <v>0.74982456140350995</v>
      </c>
    </row>
    <row r="1076" spans="1:44" x14ac:dyDescent="0.2">
      <c r="A1076" s="8" t="s">
        <v>34</v>
      </c>
      <c r="B1076" s="9" t="s">
        <v>35</v>
      </c>
      <c r="C1076" s="1" t="s">
        <v>349</v>
      </c>
      <c r="D1076" s="25" t="s">
        <v>342</v>
      </c>
      <c r="E1076" s="1" t="s">
        <v>175</v>
      </c>
      <c r="F1076" s="1" t="s">
        <v>176</v>
      </c>
      <c r="G1076" s="1">
        <v>-10</v>
      </c>
      <c r="H1076" s="1">
        <v>-20</v>
      </c>
      <c r="I1076" s="1" t="s">
        <v>40</v>
      </c>
      <c r="J1076" s="1">
        <v>3.15</v>
      </c>
      <c r="K1076" s="1">
        <v>-10</v>
      </c>
      <c r="L1076" s="1">
        <v>-3.3642348754448399</v>
      </c>
      <c r="M1076" s="1" t="s">
        <v>40</v>
      </c>
      <c r="N1076" s="1">
        <v>6.9516014234875501</v>
      </c>
      <c r="O1076" s="1">
        <v>7.1747330960854097</v>
      </c>
      <c r="Q1076" s="1">
        <v>0.71747330960854105</v>
      </c>
      <c r="R1076" s="1">
        <v>0.52621355386186097</v>
      </c>
      <c r="S1076" s="1" t="str">
        <f>VLOOKUP($E1076,'Product Naming'!$A$1:$P$58,2,FALSE)</f>
        <v>Catechol</v>
      </c>
      <c r="T1076" s="1" t="str">
        <f>VLOOKUP($E1076,'Product Naming'!$A$1:$P$58,3,FALSE)</f>
        <v>Catechol</v>
      </c>
      <c r="U1076" s="1" t="str">
        <f>VLOOKUP($E1076,'Product Naming'!$A$1:$P$58,4,FALSE)</f>
        <v>E</v>
      </c>
      <c r="V1076" s="1" t="str">
        <f>VLOOKUP($E1076,'Product Naming'!$A$1:$P$58,5,FALSE)</f>
        <v>C6H6O2</v>
      </c>
      <c r="W1076" s="1">
        <f>VLOOKUP($E1076,'Product Naming'!$A$1:$P$58,6,FALSE)</f>
        <v>6</v>
      </c>
      <c r="X1076" s="1">
        <f>VLOOKUP($E1076,'Product Naming'!$A$1:$P$58,7,FALSE)</f>
        <v>6</v>
      </c>
      <c r="Y1076" s="1">
        <f>VLOOKUP($E1076,'Product Naming'!$A$1:$P$58,8,FALSE)</f>
        <v>2</v>
      </c>
      <c r="Z1076" s="1">
        <f>VLOOKUP($E1076,'Product Naming'!$A$1:$P$58,9,FALSE)</f>
        <v>0</v>
      </c>
      <c r="AA1076" s="1">
        <f>VLOOKUP($E1076,'Product Naming'!$A$1:$P$58,10,FALSE)</f>
        <v>0</v>
      </c>
      <c r="AB1076" s="29">
        <f>VLOOKUP($E1076,'Product Naming'!$A$1:$P$58,11,FALSE)</f>
        <v>4.333333333333333</v>
      </c>
      <c r="AC1076" s="3">
        <f>VLOOKUP($E1076,'Product Naming'!$A$1:$P$58,12,FALSE)</f>
        <v>110.10924</v>
      </c>
      <c r="AD1076" s="1">
        <f>VLOOKUP($E1076,'Product Naming'!$A$1:$P$58,13,FALSE)</f>
        <v>245</v>
      </c>
      <c r="AE1076" s="1" t="str">
        <f>VLOOKUP($E1076,'Product Naming'!$A$1:$P$58,14,FALSE)</f>
        <v>Aromatic + Diol</v>
      </c>
      <c r="AF1076" s="1" t="str">
        <f>VLOOKUP($E1076,'Product Naming'!$A$1:$P$58,15,FALSE)</f>
        <v>Glyceraldehyde 3-P</v>
      </c>
      <c r="AG1076" s="30" t="str">
        <f>VLOOKUP($E1076,'Product Naming'!$A$1:$P$58,16,FALSE)</f>
        <v>Proton symporter</v>
      </c>
      <c r="AH1076" s="3" t="str">
        <f>VLOOKUP($E1076,'Product Naming'!$A$1:$Q$58,17,FALSE)</f>
        <v>catechol_c</v>
      </c>
      <c r="AI1076" s="1">
        <f>VLOOKUP($E1076,'Product Parameters'!$A$2:$D$59,2,FALSE)</f>
        <v>1</v>
      </c>
      <c r="AJ1076" s="1">
        <f>VLOOKUP($E1076,'Product Parameters'!$A$2:$D$59,3,FALSE)</f>
        <v>0</v>
      </c>
      <c r="AK1076" s="1">
        <f>VLOOKUP($E1076,'Product Parameters'!$A$2:$D$59,4,FALSE)</f>
        <v>0.12</v>
      </c>
      <c r="AL1076" s="1">
        <f>VLOOKUP($E1076,'Product Parameters'!$A$2:$E$59,5,FALSE)</f>
        <v>40.65</v>
      </c>
      <c r="AM1076" s="1">
        <f>VLOOKUP($E1076,'Product Parameters'!$A$2:$F$59,6,FALSE)</f>
        <v>6</v>
      </c>
      <c r="AN1076" s="1">
        <f>VLOOKUP($C1076,'Substrate Heating'!$A$2:$C$33,3,FALSE)</f>
        <v>2342.0279999999998</v>
      </c>
      <c r="AO1076" s="1">
        <f>VLOOKUP($C1076,'Substrate Heating'!$A$2:$B$33,2,FALSE)</f>
        <v>15.6</v>
      </c>
      <c r="AP1076" s="1">
        <f>VLOOKUP($C1076,'Substrate Heating'!$A$2:$M$33,13,FALSE)</f>
        <v>4</v>
      </c>
      <c r="AQ1076" s="1">
        <f>VLOOKUP($C1076,'Substrate Heating'!$A$2:$M$33,8,FALSE)</f>
        <v>5</v>
      </c>
      <c r="AR1076" s="1">
        <f t="shared" si="16"/>
        <v>0.86096797153024929</v>
      </c>
    </row>
    <row r="1077" spans="1:44" x14ac:dyDescent="0.2">
      <c r="A1077" s="8" t="s">
        <v>34</v>
      </c>
      <c r="B1077" s="9" t="s">
        <v>35</v>
      </c>
      <c r="C1077" s="1" t="s">
        <v>332</v>
      </c>
      <c r="D1077" s="10" t="s">
        <v>37</v>
      </c>
      <c r="E1077" s="1" t="s">
        <v>151</v>
      </c>
      <c r="F1077" s="1" t="s">
        <v>152</v>
      </c>
      <c r="G1077" s="1">
        <v>-10</v>
      </c>
      <c r="H1077" s="1">
        <v>-20</v>
      </c>
      <c r="I1077" s="1" t="s">
        <v>40</v>
      </c>
      <c r="J1077" s="1">
        <v>3.15</v>
      </c>
      <c r="K1077" s="1">
        <v>-10</v>
      </c>
      <c r="L1077" s="1">
        <v>-5.6054140127388496</v>
      </c>
      <c r="M1077" s="1" t="s">
        <v>40</v>
      </c>
      <c r="N1077" s="1">
        <v>1.9299363057324801</v>
      </c>
      <c r="O1077" s="1">
        <v>0.45175159235668799</v>
      </c>
      <c r="Q1077" s="1">
        <v>4.5175159235668803E-2</v>
      </c>
      <c r="R1077" s="1">
        <v>0.52646845625418204</v>
      </c>
      <c r="S1077" s="1" t="str">
        <f>VLOOKUP($E1077,'Product Naming'!$A$1:$P$58,2,FALSE)</f>
        <v>BetaCarotene</v>
      </c>
      <c r="T1077" s="1" t="str">
        <f>VLOOKUP($E1077,'Product Naming'!$A$1:$P$58,3,FALSE)</f>
        <v>Beta carotene</v>
      </c>
      <c r="U1077" s="1" t="str">
        <f>VLOOKUP($E1077,'Product Naming'!$A$1:$P$58,4,FALSE)</f>
        <v>A</v>
      </c>
      <c r="V1077" s="1" t="str">
        <f>VLOOKUP($E1077,'Product Naming'!$A$1:$P$58,5,FALSE)</f>
        <v>C40H56</v>
      </c>
      <c r="W1077" s="1">
        <f>VLOOKUP($E1077,'Product Naming'!$A$1:$P$58,6,FALSE)</f>
        <v>40</v>
      </c>
      <c r="X1077" s="1">
        <f>VLOOKUP($E1077,'Product Naming'!$A$1:$P$58,7,FALSE)</f>
        <v>56</v>
      </c>
      <c r="Y1077" s="1">
        <f>VLOOKUP($E1077,'Product Naming'!$A$1:$P$58,8,FALSE)</f>
        <v>0</v>
      </c>
      <c r="Z1077" s="1">
        <f>VLOOKUP($E1077,'Product Naming'!$A$1:$P$58,9,FALSE)</f>
        <v>0</v>
      </c>
      <c r="AA1077" s="1">
        <f>VLOOKUP($E1077,'Product Naming'!$A$1:$P$58,10,FALSE)</f>
        <v>0</v>
      </c>
      <c r="AB1077" s="29">
        <f>VLOOKUP($E1077,'Product Naming'!$A$1:$P$58,11,FALSE)</f>
        <v>5.4</v>
      </c>
      <c r="AC1077" s="3">
        <f>VLOOKUP($E1077,'Product Naming'!$A$1:$P$58,12,FALSE)</f>
        <v>536.86703999999997</v>
      </c>
      <c r="AD1077" s="1">
        <f>VLOOKUP($E1077,'Product Naming'!$A$1:$P$58,13,FALSE)</f>
        <v>633</v>
      </c>
      <c r="AE1077" s="1" t="str">
        <f>VLOOKUP($E1077,'Product Naming'!$A$1:$P$58,14,FALSE)</f>
        <v>Hydrocarbon</v>
      </c>
      <c r="AF1077" s="1" t="str">
        <f>VLOOKUP($E1077,'Product Naming'!$A$1:$P$58,15,FALSE)</f>
        <v>Acetyl-CoA</v>
      </c>
      <c r="AG1077" s="30" t="str">
        <f>VLOOKUP($E1077,'Product Naming'!$A$1:$P$58,16,FALSE)</f>
        <v>ABC Transporter</v>
      </c>
      <c r="AH1077" s="3" t="str">
        <f>VLOOKUP($E1077,'Product Naming'!$A$1:$Q$58,17,FALSE)</f>
        <v>caro_c</v>
      </c>
      <c r="AI1077" s="1">
        <f>VLOOKUP($E1077,'Product Parameters'!$A$2:$D$59,2,FALSE)</f>
        <v>1</v>
      </c>
      <c r="AJ1077" s="1">
        <f>VLOOKUP($E1077,'Product Parameters'!$A$2:$D$59,3,FALSE)</f>
        <v>0</v>
      </c>
      <c r="AK1077" s="1">
        <f>VLOOKUP($E1077,'Product Parameters'!$A$2:$D$59,4,FALSE)</f>
        <v>0.12</v>
      </c>
      <c r="AL1077" s="1">
        <f>VLOOKUP($E1077,'Product Parameters'!$A$2:$E$59,5,FALSE)</f>
        <v>40.65</v>
      </c>
      <c r="AM1077" s="1">
        <f>VLOOKUP($E1077,'Product Parameters'!$A$2:$F$59,6,FALSE)</f>
        <v>40</v>
      </c>
      <c r="AN1077" s="1">
        <f>VLOOKUP($C1077,'Substrate Heating'!$A$2:$C$33,3,FALSE)</f>
        <v>1230.0006480000002</v>
      </c>
      <c r="AO1077" s="1">
        <f>VLOOKUP($C1077,'Substrate Heating'!$A$2:$B$33,2,FALSE)</f>
        <v>26.7</v>
      </c>
      <c r="AP1077" s="1">
        <f>VLOOKUP($C1077,'Substrate Heating'!$A$2:$M$33,13,FALSE)</f>
        <v>6</v>
      </c>
      <c r="AQ1077" s="1">
        <f>VLOOKUP($C1077,'Substrate Heating'!$A$2:$M$33,8,FALSE)</f>
        <v>2</v>
      </c>
      <c r="AR1077" s="1">
        <f t="shared" si="16"/>
        <v>0.9035031847133761</v>
      </c>
    </row>
    <row r="1078" spans="1:44" x14ac:dyDescent="0.2">
      <c r="A1078" s="8" t="s">
        <v>812</v>
      </c>
      <c r="B1078" s="9" t="s">
        <v>35</v>
      </c>
      <c r="C1078" t="s">
        <v>813</v>
      </c>
      <c r="E1078" t="s">
        <v>151</v>
      </c>
      <c r="F1078" t="s">
        <v>152</v>
      </c>
      <c r="G1078">
        <v>-10</v>
      </c>
      <c r="H1078">
        <v>-20</v>
      </c>
      <c r="I1078">
        <v>0</v>
      </c>
      <c r="J1078">
        <v>3.15</v>
      </c>
      <c r="K1078">
        <v>-10</v>
      </c>
      <c r="L1078">
        <v>-13.1582706766917</v>
      </c>
      <c r="M1078">
        <v>0</v>
      </c>
      <c r="N1078">
        <v>6.4135338345864703</v>
      </c>
      <c r="O1078">
        <v>0.589661654135338</v>
      </c>
      <c r="P1078"/>
      <c r="Q1078">
        <v>5.8966165413533798E-2</v>
      </c>
      <c r="R1078">
        <v>0.52678068607333395</v>
      </c>
      <c r="S1078" s="1" t="str">
        <f>VLOOKUP($E1078,'Product Naming'!$A$1:$P$58,2,FALSE)</f>
        <v>BetaCarotene</v>
      </c>
      <c r="T1078" s="1" t="str">
        <f>VLOOKUP($E1078,'Product Naming'!$A$1:$P$58,3,FALSE)</f>
        <v>Beta carotene</v>
      </c>
      <c r="U1078" s="1" t="str">
        <f>VLOOKUP($E1078,'Product Naming'!$A$1:$P$58,4,FALSE)</f>
        <v>A</v>
      </c>
      <c r="V1078" s="1" t="str">
        <f>VLOOKUP($E1078,'Product Naming'!$A$1:$P$58,5,FALSE)</f>
        <v>C40H56</v>
      </c>
      <c r="W1078" s="1">
        <f>VLOOKUP($E1078,'Product Naming'!$A$1:$P$58,6,FALSE)</f>
        <v>40</v>
      </c>
      <c r="X1078" s="1">
        <f>VLOOKUP($E1078,'Product Naming'!$A$1:$P$58,7,FALSE)</f>
        <v>56</v>
      </c>
      <c r="Y1078" s="1">
        <f>VLOOKUP($E1078,'Product Naming'!$A$1:$P$58,8,FALSE)</f>
        <v>0</v>
      </c>
      <c r="Z1078" s="1">
        <f>VLOOKUP($E1078,'Product Naming'!$A$1:$P$58,9,FALSE)</f>
        <v>0</v>
      </c>
      <c r="AA1078" s="1">
        <f>VLOOKUP($E1078,'Product Naming'!$A$1:$P$58,10,FALSE)</f>
        <v>0</v>
      </c>
      <c r="AB1078" s="29">
        <f>VLOOKUP($E1078,'Product Naming'!$A$1:$P$58,11,FALSE)</f>
        <v>5.4</v>
      </c>
      <c r="AC1078" s="3">
        <f>VLOOKUP($E1078,'Product Naming'!$A$1:$P$58,12,FALSE)</f>
        <v>536.86703999999997</v>
      </c>
      <c r="AD1078" s="1">
        <f>VLOOKUP($E1078,'Product Naming'!$A$1:$P$58,13,FALSE)</f>
        <v>633</v>
      </c>
      <c r="AE1078" s="1" t="str">
        <f>VLOOKUP($E1078,'Product Naming'!$A$1:$P$58,14,FALSE)</f>
        <v>Hydrocarbon</v>
      </c>
      <c r="AF1078" s="1" t="str">
        <f>VLOOKUP($E1078,'Product Naming'!$A$1:$P$58,15,FALSE)</f>
        <v>Acetyl-CoA</v>
      </c>
      <c r="AG1078" s="30" t="str">
        <f>VLOOKUP($E1078,'Product Naming'!$A$1:$P$58,16,FALSE)</f>
        <v>ABC Transporter</v>
      </c>
      <c r="AH1078" s="3" t="str">
        <f>VLOOKUP($E1078,'Product Naming'!$A$1:$Q$58,17,FALSE)</f>
        <v>caro_c</v>
      </c>
      <c r="AI1078" s="1">
        <f>VLOOKUP($E1078,'Product Parameters'!$A$2:$D$59,2,FALSE)</f>
        <v>1</v>
      </c>
      <c r="AJ1078" s="1">
        <f>VLOOKUP($E1078,'Product Parameters'!$A$2:$D$59,3,FALSE)</f>
        <v>0</v>
      </c>
      <c r="AK1078" s="1">
        <f>VLOOKUP($E1078,'Product Parameters'!$A$2:$D$59,4,FALSE)</f>
        <v>0.12</v>
      </c>
      <c r="AL1078" s="1">
        <f>VLOOKUP($E1078,'Product Parameters'!$A$2:$E$59,5,FALSE)</f>
        <v>40.65</v>
      </c>
      <c r="AM1078" s="1">
        <f>VLOOKUP($E1078,'Product Parameters'!$A$2:$F$59,6,FALSE)</f>
        <v>40</v>
      </c>
      <c r="AN1078" s="1">
        <f>VLOOKUP($C1078,'Substrate Heating'!$A$2:$C$33,3,FALSE)</f>
        <v>1843.720736</v>
      </c>
      <c r="AO1078" s="1">
        <f>VLOOKUP($C1078,'Substrate Heating'!$A$2:$B$33,2,FALSE)</f>
        <v>30.68</v>
      </c>
      <c r="AP1078" s="1">
        <f>VLOOKUP($C1078,'Substrate Heating'!$A$2:$M$33,13,FALSE)</f>
        <v>6</v>
      </c>
      <c r="AQ1078" s="1">
        <f>VLOOKUP($C1078,'Substrate Heating'!$A$2:$M$33,8,FALSE)</f>
        <v>3</v>
      </c>
      <c r="AR1078" s="1">
        <f t="shared" si="16"/>
        <v>0.78621553884711737</v>
      </c>
    </row>
    <row r="1079" spans="1:44" x14ac:dyDescent="0.2">
      <c r="A1079" s="8" t="s">
        <v>34</v>
      </c>
      <c r="B1079" s="9" t="s">
        <v>35</v>
      </c>
      <c r="C1079" s="1" t="s">
        <v>341</v>
      </c>
      <c r="D1079" s="24" t="s">
        <v>342</v>
      </c>
      <c r="E1079" s="1" t="s">
        <v>175</v>
      </c>
      <c r="F1079" s="1" t="s">
        <v>176</v>
      </c>
      <c r="G1079" s="1">
        <v>-10</v>
      </c>
      <c r="H1079" s="1">
        <v>-20</v>
      </c>
      <c r="I1079" s="1" t="s">
        <v>40</v>
      </c>
      <c r="J1079" s="1">
        <v>3.15</v>
      </c>
      <c r="K1079" s="1">
        <v>-10</v>
      </c>
      <c r="L1079" s="1">
        <v>-3.8802491103202899</v>
      </c>
      <c r="M1079" s="1" t="s">
        <v>40</v>
      </c>
      <c r="N1079" s="1">
        <v>8.1971530249110405</v>
      </c>
      <c r="O1079" s="1">
        <v>8.6338078291814995</v>
      </c>
      <c r="Q1079" s="1">
        <v>0.86338078291815001</v>
      </c>
      <c r="R1079" s="1">
        <v>0.52769913229919996</v>
      </c>
      <c r="S1079" s="1" t="str">
        <f>VLOOKUP($E1079,'Product Naming'!$A$1:$P$58,2,FALSE)</f>
        <v>Catechol</v>
      </c>
      <c r="T1079" s="1" t="str">
        <f>VLOOKUP($E1079,'Product Naming'!$A$1:$P$58,3,FALSE)</f>
        <v>Catechol</v>
      </c>
      <c r="U1079" s="1" t="str">
        <f>VLOOKUP($E1079,'Product Naming'!$A$1:$P$58,4,FALSE)</f>
        <v>E</v>
      </c>
      <c r="V1079" s="1" t="str">
        <f>VLOOKUP($E1079,'Product Naming'!$A$1:$P$58,5,FALSE)</f>
        <v>C6H6O2</v>
      </c>
      <c r="W1079" s="1">
        <f>VLOOKUP($E1079,'Product Naming'!$A$1:$P$58,6,FALSE)</f>
        <v>6</v>
      </c>
      <c r="X1079" s="1">
        <f>VLOOKUP($E1079,'Product Naming'!$A$1:$P$58,7,FALSE)</f>
        <v>6</v>
      </c>
      <c r="Y1079" s="1">
        <f>VLOOKUP($E1079,'Product Naming'!$A$1:$P$58,8,FALSE)</f>
        <v>2</v>
      </c>
      <c r="Z1079" s="1">
        <f>VLOOKUP($E1079,'Product Naming'!$A$1:$P$58,9,FALSE)</f>
        <v>0</v>
      </c>
      <c r="AA1079" s="1">
        <f>VLOOKUP($E1079,'Product Naming'!$A$1:$P$58,10,FALSE)</f>
        <v>0</v>
      </c>
      <c r="AB1079" s="29">
        <f>VLOOKUP($E1079,'Product Naming'!$A$1:$P$58,11,FALSE)</f>
        <v>4.333333333333333</v>
      </c>
      <c r="AC1079" s="3">
        <f>VLOOKUP($E1079,'Product Naming'!$A$1:$P$58,12,FALSE)</f>
        <v>110.10924</v>
      </c>
      <c r="AD1079" s="1">
        <f>VLOOKUP($E1079,'Product Naming'!$A$1:$P$58,13,FALSE)</f>
        <v>245</v>
      </c>
      <c r="AE1079" s="1" t="str">
        <f>VLOOKUP($E1079,'Product Naming'!$A$1:$P$58,14,FALSE)</f>
        <v>Aromatic + Diol</v>
      </c>
      <c r="AF1079" s="1" t="str">
        <f>VLOOKUP($E1079,'Product Naming'!$A$1:$P$58,15,FALSE)</f>
        <v>Glyceraldehyde 3-P</v>
      </c>
      <c r="AG1079" s="30" t="str">
        <f>VLOOKUP($E1079,'Product Naming'!$A$1:$P$58,16,FALSE)</f>
        <v>Proton symporter</v>
      </c>
      <c r="AH1079" s="3" t="str">
        <f>VLOOKUP($E1079,'Product Naming'!$A$1:$Q$58,17,FALSE)</f>
        <v>catechol_c</v>
      </c>
      <c r="AI1079" s="1">
        <f>VLOOKUP($E1079,'Product Parameters'!$A$2:$D$59,2,FALSE)</f>
        <v>1</v>
      </c>
      <c r="AJ1079" s="1">
        <f>VLOOKUP($E1079,'Product Parameters'!$A$2:$D$59,3,FALSE)</f>
        <v>0</v>
      </c>
      <c r="AK1079" s="1">
        <f>VLOOKUP($E1079,'Product Parameters'!$A$2:$D$59,4,FALSE)</f>
        <v>0.12</v>
      </c>
      <c r="AL1079" s="1">
        <f>VLOOKUP($E1079,'Product Parameters'!$A$2:$E$59,5,FALSE)</f>
        <v>40.65</v>
      </c>
      <c r="AM1079" s="1">
        <f>VLOOKUP($E1079,'Product Parameters'!$A$2:$F$59,6,FALSE)</f>
        <v>6</v>
      </c>
      <c r="AN1079" s="1">
        <f>VLOOKUP($C1079,'Substrate Heating'!$A$2:$C$33,3,FALSE)</f>
        <v>2828.4492</v>
      </c>
      <c r="AO1079" s="1">
        <f>VLOOKUP($C1079,'Substrate Heating'!$A$2:$B$33,2,FALSE)</f>
        <v>15.7</v>
      </c>
      <c r="AP1079" s="1">
        <f>VLOOKUP($C1079,'Substrate Heating'!$A$2:$M$33,13,FALSE)</f>
        <v>4</v>
      </c>
      <c r="AQ1079" s="1">
        <f>VLOOKUP($C1079,'Substrate Heating'!$A$2:$M$33,8,FALSE)</f>
        <v>6</v>
      </c>
      <c r="AR1079" s="1">
        <f t="shared" si="16"/>
        <v>0.86338078291815001</v>
      </c>
    </row>
    <row r="1080" spans="1:44" x14ac:dyDescent="0.2">
      <c r="A1080" s="8" t="s">
        <v>34</v>
      </c>
      <c r="B1080" s="9" t="s">
        <v>35</v>
      </c>
      <c r="C1080" s="1" t="s">
        <v>36</v>
      </c>
      <c r="D1080" s="10" t="s">
        <v>37</v>
      </c>
      <c r="E1080" s="1" t="s">
        <v>297</v>
      </c>
      <c r="F1080" s="1" t="s">
        <v>298</v>
      </c>
      <c r="G1080" s="1">
        <v>-10</v>
      </c>
      <c r="H1080" s="1">
        <v>-20</v>
      </c>
      <c r="I1080" s="1" t="s">
        <v>40</v>
      </c>
      <c r="J1080" s="1">
        <v>3.15</v>
      </c>
      <c r="K1080" s="1">
        <v>-10</v>
      </c>
      <c r="L1080" s="1">
        <v>-7.7008968609865498</v>
      </c>
      <c r="M1080" s="1" t="s">
        <v>40</v>
      </c>
      <c r="N1080" s="1">
        <v>5.1721973094170401</v>
      </c>
      <c r="O1080" s="1">
        <v>2.4713004484304899</v>
      </c>
      <c r="Q1080" s="1">
        <v>0.24713004484304901</v>
      </c>
      <c r="R1080" s="1">
        <v>0.52795774405813001</v>
      </c>
      <c r="S1080" s="1" t="str">
        <f>VLOOKUP($E1080,'Product Naming'!$A$1:$P$58,2,FALSE)</f>
        <v>Phenol</v>
      </c>
      <c r="T1080" s="1" t="str">
        <f>VLOOKUP($E1080,'Product Naming'!$A$1:$P$58,3,FALSE)</f>
        <v>Phenol</v>
      </c>
      <c r="U1080" s="1" t="str">
        <f>VLOOKUP($E1080,'Product Naming'!$A$1:$P$58,4,FALSE)</f>
        <v>E-S</v>
      </c>
      <c r="V1080" s="1" t="str">
        <f>VLOOKUP($E1080,'Product Naming'!$A$1:$P$58,5,FALSE)</f>
        <v>C6H6O</v>
      </c>
      <c r="W1080" s="1">
        <f>VLOOKUP($E1080,'Product Naming'!$A$1:$P$58,6,FALSE)</f>
        <v>6</v>
      </c>
      <c r="X1080" s="1">
        <f>VLOOKUP($E1080,'Product Naming'!$A$1:$P$58,7,FALSE)</f>
        <v>6</v>
      </c>
      <c r="Y1080" s="1">
        <f>VLOOKUP($E1080,'Product Naming'!$A$1:$P$58,8,FALSE)</f>
        <v>1</v>
      </c>
      <c r="Z1080" s="1">
        <f>VLOOKUP($E1080,'Product Naming'!$A$1:$P$58,9,FALSE)</f>
        <v>0</v>
      </c>
      <c r="AA1080" s="1">
        <f>VLOOKUP($E1080,'Product Naming'!$A$1:$P$58,10,FALSE)</f>
        <v>0</v>
      </c>
      <c r="AB1080" s="29">
        <f>VLOOKUP($E1080,'Product Naming'!$A$1:$P$58,11,FALSE)</f>
        <v>4.666666666666667</v>
      </c>
      <c r="AC1080" s="3">
        <f>VLOOKUP($E1080,'Product Naming'!$A$1:$P$58,12,FALSE)</f>
        <v>94.11023999999999</v>
      </c>
      <c r="AD1080" s="1">
        <f>VLOOKUP($E1080,'Product Naming'!$A$1:$P$58,13,FALSE)</f>
        <v>181.7</v>
      </c>
      <c r="AE1080" s="1" t="str">
        <f>VLOOKUP($E1080,'Product Naming'!$A$1:$P$58,14,FALSE)</f>
        <v>Aromatic + Alcohol</v>
      </c>
      <c r="AF1080" s="1" t="str">
        <f>VLOOKUP($E1080,'Product Naming'!$A$1:$P$58,15,FALSE)</f>
        <v>E4P + L-glutamate</v>
      </c>
      <c r="AG1080" s="30" t="str">
        <f>VLOOKUP($E1080,'Product Naming'!$A$1:$P$58,16,FALSE)</f>
        <v>Proton symporter</v>
      </c>
      <c r="AH1080" s="3" t="str">
        <f>VLOOKUP($E1080,'Product Naming'!$A$1:$Q$58,17,FALSE)</f>
        <v>phenol_c</v>
      </c>
      <c r="AI1080" s="1">
        <f>VLOOKUP($E1080,'Product Parameters'!$A$2:$D$59,2,FALSE)</f>
        <v>1</v>
      </c>
      <c r="AJ1080" s="1">
        <f>VLOOKUP($E1080,'Product Parameters'!$A$2:$D$59,3,FALSE)</f>
        <v>0</v>
      </c>
      <c r="AK1080" s="1">
        <f>VLOOKUP($E1080,'Product Parameters'!$A$2:$D$59,4,FALSE)</f>
        <v>0.12</v>
      </c>
      <c r="AL1080" s="1">
        <f>VLOOKUP($E1080,'Product Parameters'!$A$2:$E$59,5,FALSE)</f>
        <v>58.8</v>
      </c>
      <c r="AM1080" s="1">
        <f>VLOOKUP($E1080,'Product Parameters'!$A$2:$F$59,6,FALSE)</f>
        <v>6</v>
      </c>
      <c r="AN1080" s="1">
        <f>VLOOKUP($C1080,'Substrate Heating'!$A$2:$C$33,3,FALSE)</f>
        <v>1064.1143145599999</v>
      </c>
      <c r="AO1080" s="1">
        <f>VLOOKUP($C1080,'Substrate Heating'!$A$2:$B$33,2,FALSE)</f>
        <v>24.155999999999999</v>
      </c>
      <c r="AP1080" s="1">
        <f>VLOOKUP($C1080,'Substrate Heating'!$A$2:$M$33,13,FALSE)</f>
        <v>5</v>
      </c>
      <c r="AQ1080" s="1">
        <f>VLOOKUP($C1080,'Substrate Heating'!$A$2:$M$33,8,FALSE)</f>
        <v>2</v>
      </c>
      <c r="AR1080" s="1">
        <f t="shared" si="16"/>
        <v>0.74139013452914704</v>
      </c>
    </row>
    <row r="1081" spans="1:44" x14ac:dyDescent="0.2">
      <c r="A1081" s="8" t="s">
        <v>34</v>
      </c>
      <c r="B1081" s="9" t="s">
        <v>35</v>
      </c>
      <c r="C1081" s="1" t="s">
        <v>348</v>
      </c>
      <c r="D1081" s="23" t="s">
        <v>338</v>
      </c>
      <c r="E1081" s="1" t="s">
        <v>221</v>
      </c>
      <c r="F1081" s="1" t="s">
        <v>222</v>
      </c>
      <c r="G1081" s="1">
        <v>-10</v>
      </c>
      <c r="H1081" s="1">
        <v>-20</v>
      </c>
      <c r="I1081" s="1" t="s">
        <v>40</v>
      </c>
      <c r="J1081" s="1">
        <v>3.15</v>
      </c>
      <c r="K1081" s="1">
        <v>-10</v>
      </c>
      <c r="L1081" s="1">
        <v>-8.4779411764705905</v>
      </c>
      <c r="M1081" s="1" t="s">
        <v>40</v>
      </c>
      <c r="N1081" s="1">
        <v>3.4779411764705901</v>
      </c>
      <c r="O1081" s="1">
        <v>1.3044117647058799</v>
      </c>
      <c r="Q1081" s="1">
        <v>0.13044117647058801</v>
      </c>
      <c r="R1081" s="1">
        <v>0.52963122107548599</v>
      </c>
      <c r="S1081" s="1" t="str">
        <f>VLOOKUP($E1081,'Product Naming'!$A$1:$P$58,2,FALSE)</f>
        <v>Glutarate</v>
      </c>
      <c r="T1081" s="1" t="str">
        <f>VLOOKUP($E1081,'Product Naming'!$A$1:$P$58,3,FALSE)</f>
        <v>Glutarate</v>
      </c>
      <c r="U1081" s="1" t="str">
        <f>VLOOKUP($E1081,'Product Naming'!$A$1:$P$58,4,FALSE)</f>
        <v>A</v>
      </c>
      <c r="V1081" s="1" t="str">
        <f>VLOOKUP($E1081,'Product Naming'!$A$1:$P$58,5,FALSE)</f>
        <v>C5H6O4</v>
      </c>
      <c r="W1081" s="1">
        <f>VLOOKUP($E1081,'Product Naming'!$A$1:$P$58,6,FALSE)</f>
        <v>5</v>
      </c>
      <c r="X1081" s="1">
        <f>VLOOKUP($E1081,'Product Naming'!$A$1:$P$58,7,FALSE)</f>
        <v>6</v>
      </c>
      <c r="Y1081" s="1">
        <f>VLOOKUP($E1081,'Product Naming'!$A$1:$P$58,8,FALSE)</f>
        <v>4</v>
      </c>
      <c r="Z1081" s="1">
        <f>VLOOKUP($E1081,'Product Naming'!$A$1:$P$58,9,FALSE)</f>
        <v>0</v>
      </c>
      <c r="AA1081" s="1">
        <f>VLOOKUP($E1081,'Product Naming'!$A$1:$P$58,10,FALSE)</f>
        <v>-2</v>
      </c>
      <c r="AB1081" s="29">
        <f>VLOOKUP($E1081,'Product Naming'!$A$1:$P$58,11,FALSE)</f>
        <v>3.6</v>
      </c>
      <c r="AC1081" s="3">
        <f>VLOOKUP($E1081,'Product Naming'!$A$1:$P$58,12,FALSE)</f>
        <v>130.09654</v>
      </c>
      <c r="AD1081" s="1">
        <f>VLOOKUP($E1081,'Product Naming'!$A$1:$P$58,13,FALSE)</f>
        <v>200</v>
      </c>
      <c r="AE1081" s="1" t="str">
        <f>VLOOKUP($E1081,'Product Naming'!$A$1:$P$58,14,FALSE)</f>
        <v>Dicarboxylate</v>
      </c>
      <c r="AF1081" s="1" t="str">
        <f>VLOOKUP($E1081,'Product Naming'!$A$1:$P$58,15,FALSE)</f>
        <v>Oxaloacetate + aKG</v>
      </c>
      <c r="AG1081" s="30" t="str">
        <f>VLOOKUP($E1081,'Product Naming'!$A$1:$P$58,16,FALSE)</f>
        <v>Proton symporter</v>
      </c>
      <c r="AH1081" s="3" t="str">
        <f>VLOOKUP($E1081,'Product Naming'!$A$1:$Q$58,17,FALSE)</f>
        <v>glutar_c</v>
      </c>
      <c r="AI1081" s="1">
        <f>VLOOKUP($E1081,'Product Parameters'!$A$2:$D$59,2,FALSE)</f>
        <v>1</v>
      </c>
      <c r="AJ1081" s="1">
        <f>VLOOKUP($E1081,'Product Parameters'!$A$2:$D$59,3,FALSE)</f>
        <v>0</v>
      </c>
      <c r="AK1081" s="1">
        <f>VLOOKUP($E1081,'Product Parameters'!$A$2:$D$59,4,FALSE)</f>
        <v>0.12</v>
      </c>
      <c r="AL1081" s="1">
        <f>VLOOKUP($E1081,'Product Parameters'!$A$2:$E$59,5,FALSE)</f>
        <v>40.65</v>
      </c>
      <c r="AM1081" s="1">
        <f>VLOOKUP($E1081,'Product Parameters'!$A$2:$F$59,6,FALSE)</f>
        <v>5</v>
      </c>
      <c r="AN1081" s="1">
        <f>VLOOKUP($C1081,'Substrate Heating'!$A$2:$C$33,3,FALSE)</f>
        <v>638.57832580000002</v>
      </c>
      <c r="AO1081" s="1">
        <f>VLOOKUP($C1081,'Substrate Heating'!$A$2:$B$33,2,FALSE)</f>
        <v>19.93</v>
      </c>
      <c r="AP1081" s="1">
        <f>VLOOKUP($C1081,'Substrate Heating'!$A$2:$M$33,13,FALSE)</f>
        <v>6</v>
      </c>
      <c r="AQ1081" s="1">
        <f>VLOOKUP($C1081,'Substrate Heating'!$A$2:$M$33,8,FALSE)</f>
        <v>1</v>
      </c>
      <c r="AR1081" s="1">
        <f t="shared" si="16"/>
        <v>0.65220588235293997</v>
      </c>
    </row>
    <row r="1082" spans="1:44" x14ac:dyDescent="0.2">
      <c r="A1082" s="8" t="s">
        <v>34</v>
      </c>
      <c r="B1082" s="9" t="s">
        <v>35</v>
      </c>
      <c r="C1082" s="1" t="s">
        <v>349</v>
      </c>
      <c r="D1082" s="25" t="s">
        <v>342</v>
      </c>
      <c r="E1082" s="1" t="s">
        <v>66</v>
      </c>
      <c r="F1082" s="1" t="s">
        <v>67</v>
      </c>
      <c r="G1082" s="1">
        <v>-10</v>
      </c>
      <c r="H1082" s="1">
        <v>-20</v>
      </c>
      <c r="I1082" s="1" t="s">
        <v>40</v>
      </c>
      <c r="J1082" s="1">
        <v>3.15</v>
      </c>
      <c r="K1082" s="1">
        <v>-10</v>
      </c>
      <c r="L1082" s="1">
        <v>-1.34844961240311</v>
      </c>
      <c r="M1082" s="1" t="s">
        <v>40</v>
      </c>
      <c r="N1082" s="1">
        <v>14.617054263565899</v>
      </c>
      <c r="O1082" s="1">
        <v>8.8457364341085292</v>
      </c>
      <c r="Q1082" s="1">
        <v>0.88457364341085298</v>
      </c>
      <c r="R1082" s="1">
        <v>0.53098693855506096</v>
      </c>
      <c r="S1082" s="1" t="str">
        <f>VLOOKUP($E1082,'Product Naming'!$A$1:$P$58,2,FALSE)</f>
        <v>1-4-butanediol</v>
      </c>
      <c r="T1082" s="1" t="str">
        <f>VLOOKUP($E1082,'Product Naming'!$A$1:$P$58,3,FALSE)</f>
        <v>1,4-Butanediol</v>
      </c>
      <c r="U1082" s="1" t="str">
        <f>VLOOKUP($E1082,'Product Naming'!$A$1:$P$58,4,FALSE)</f>
        <v>E</v>
      </c>
      <c r="V1082" s="1" t="str">
        <f>VLOOKUP($E1082,'Product Naming'!$A$1:$P$58,5,FALSE)</f>
        <v>C4H10O2</v>
      </c>
      <c r="W1082" s="1">
        <f>VLOOKUP($E1082,'Product Naming'!$A$1:$P$58,6,FALSE)</f>
        <v>4</v>
      </c>
      <c r="X1082" s="1">
        <f>VLOOKUP($E1082,'Product Naming'!$A$1:$P$58,7,FALSE)</f>
        <v>10</v>
      </c>
      <c r="Y1082" s="1">
        <f>VLOOKUP($E1082,'Product Naming'!$A$1:$P$58,8,FALSE)</f>
        <v>2</v>
      </c>
      <c r="Z1082" s="1">
        <f>VLOOKUP($E1082,'Product Naming'!$A$1:$P$58,9,FALSE)</f>
        <v>0</v>
      </c>
      <c r="AA1082" s="1">
        <f>VLOOKUP($E1082,'Product Naming'!$A$1:$P$58,10,FALSE)</f>
        <v>0</v>
      </c>
      <c r="AB1082" s="29">
        <f>VLOOKUP($E1082,'Product Naming'!$A$1:$P$58,11,FALSE)</f>
        <v>5.5</v>
      </c>
      <c r="AC1082" s="3">
        <f>VLOOKUP($E1082,'Product Naming'!$A$1:$P$58,12,FALSE)</f>
        <v>90.119200000000006</v>
      </c>
      <c r="AD1082" s="1">
        <f>VLOOKUP($E1082,'Product Naming'!$A$1:$P$58,13,FALSE)</f>
        <v>230</v>
      </c>
      <c r="AE1082" s="1" t="str">
        <f>VLOOKUP($E1082,'Product Naming'!$A$1:$P$58,14,FALSE)</f>
        <v>Diol</v>
      </c>
      <c r="AF1082" s="1" t="str">
        <f>VLOOKUP($E1082,'Product Naming'!$A$1:$P$58,15,FALSE)</f>
        <v>aKG</v>
      </c>
      <c r="AG1082" s="30" t="str">
        <f>VLOOKUP($E1082,'Product Naming'!$A$1:$P$58,16,FALSE)</f>
        <v>Proton symporter</v>
      </c>
      <c r="AH1082" s="3" t="str">
        <f>VLOOKUP($E1082,'Product Naming'!$A$1:$Q$58,17,FALSE)</f>
        <v>14bdo_c</v>
      </c>
      <c r="AI1082" s="1">
        <f>VLOOKUP($E1082,'Product Parameters'!$A$2:$D$59,2,FALSE)</f>
        <v>1</v>
      </c>
      <c r="AJ1082" s="1">
        <f>VLOOKUP($E1082,'Product Parameters'!$A$2:$D$59,3,FALSE)</f>
        <v>0</v>
      </c>
      <c r="AK1082" s="1">
        <f>VLOOKUP($E1082,'Product Parameters'!$A$2:$D$59,4,FALSE)</f>
        <v>0.12</v>
      </c>
      <c r="AL1082" s="1">
        <f>VLOOKUP($E1082,'Product Parameters'!$A$2:$E$59,5,FALSE)</f>
        <v>78</v>
      </c>
      <c r="AM1082" s="1">
        <f>VLOOKUP($E1082,'Product Parameters'!$A$2:$F$59,6,FALSE)</f>
        <v>4</v>
      </c>
      <c r="AN1082" s="1">
        <f>VLOOKUP($C1082,'Substrate Heating'!$A$2:$C$33,3,FALSE)</f>
        <v>2342.0279999999998</v>
      </c>
      <c r="AO1082" s="1">
        <f>VLOOKUP($C1082,'Substrate Heating'!$A$2:$B$33,2,FALSE)</f>
        <v>15.6</v>
      </c>
      <c r="AP1082" s="1">
        <f>VLOOKUP($C1082,'Substrate Heating'!$A$2:$M$33,13,FALSE)</f>
        <v>4</v>
      </c>
      <c r="AQ1082" s="1">
        <f>VLOOKUP($C1082,'Substrate Heating'!$A$2:$M$33,8,FALSE)</f>
        <v>5</v>
      </c>
      <c r="AR1082" s="1">
        <f t="shared" si="16"/>
        <v>0.70765891472868236</v>
      </c>
    </row>
    <row r="1083" spans="1:44" x14ac:dyDescent="0.2">
      <c r="A1083" s="8" t="s">
        <v>34</v>
      </c>
      <c r="B1083" s="9" t="s">
        <v>35</v>
      </c>
      <c r="C1083" s="1" t="s">
        <v>36</v>
      </c>
      <c r="D1083" s="10" t="s">
        <v>37</v>
      </c>
      <c r="E1083" s="1" t="s">
        <v>108</v>
      </c>
      <c r="F1083" s="1" t="s">
        <v>109</v>
      </c>
      <c r="G1083" s="1">
        <v>-10</v>
      </c>
      <c r="H1083" s="1">
        <v>-20</v>
      </c>
      <c r="I1083" s="1" t="s">
        <v>40</v>
      </c>
      <c r="J1083" s="1">
        <v>3.15</v>
      </c>
      <c r="K1083" s="1">
        <v>-10</v>
      </c>
      <c r="L1083" s="1">
        <v>-6.5001766784452499</v>
      </c>
      <c r="M1083" s="1" t="s">
        <v>40</v>
      </c>
      <c r="N1083" s="1">
        <v>4.4212014134275801</v>
      </c>
      <c r="O1083" s="1">
        <v>1.94734982332156</v>
      </c>
      <c r="Q1083" s="1">
        <v>0.194734982332156</v>
      </c>
      <c r="R1083" s="1">
        <v>0.53112262114966202</v>
      </c>
      <c r="S1083" s="1" t="str">
        <f>VLOOKUP($E1083,'Product Naming'!$A$1:$P$58,2,FALSE)</f>
        <v>4-Hydroxystyrene</v>
      </c>
      <c r="T1083" s="1" t="str">
        <f>VLOOKUP($E1083,'Product Naming'!$A$1:$P$58,3,FALSE)</f>
        <v>4-Hydroxystyrene</v>
      </c>
      <c r="U1083" s="1" t="str">
        <f>VLOOKUP($E1083,'Product Naming'!$A$1:$P$58,4,FALSE)</f>
        <v>E</v>
      </c>
      <c r="V1083" s="1" t="str">
        <f>VLOOKUP($E1083,'Product Naming'!$A$1:$P$58,5,FALSE)</f>
        <v>C8H8O</v>
      </c>
      <c r="W1083" s="1">
        <f>VLOOKUP($E1083,'Product Naming'!$A$1:$P$58,6,FALSE)</f>
        <v>8</v>
      </c>
      <c r="X1083" s="1">
        <f>VLOOKUP($E1083,'Product Naming'!$A$1:$P$58,7,FALSE)</f>
        <v>8</v>
      </c>
      <c r="Y1083" s="1">
        <f>VLOOKUP($E1083,'Product Naming'!$A$1:$P$58,8,FALSE)</f>
        <v>1</v>
      </c>
      <c r="Z1083" s="1">
        <f>VLOOKUP($E1083,'Product Naming'!$A$1:$P$58,9,FALSE)</f>
        <v>0</v>
      </c>
      <c r="AA1083" s="1">
        <f>VLOOKUP($E1083,'Product Naming'!$A$1:$P$58,10,FALSE)</f>
        <v>0</v>
      </c>
      <c r="AB1083" s="29">
        <f>VLOOKUP($E1083,'Product Naming'!$A$1:$P$58,11,FALSE)</f>
        <v>4.75</v>
      </c>
      <c r="AC1083" s="3">
        <f>VLOOKUP($E1083,'Product Naming'!$A$1:$P$58,12,FALSE)</f>
        <v>120.14731999999999</v>
      </c>
      <c r="AD1083" s="1">
        <f>VLOOKUP($E1083,'Product Naming'!$A$1:$P$58,13,FALSE)</f>
        <v>229</v>
      </c>
      <c r="AE1083" s="1" t="str">
        <f>VLOOKUP($E1083,'Product Naming'!$A$1:$P$58,14,FALSE)</f>
        <v>Aromatic + Alcohol</v>
      </c>
      <c r="AF1083" s="1" t="str">
        <f>VLOOKUP($E1083,'Product Naming'!$A$1:$P$58,15,FALSE)</f>
        <v>E4P + L-glutamate</v>
      </c>
      <c r="AG1083" s="30" t="str">
        <f>VLOOKUP($E1083,'Product Naming'!$A$1:$P$58,16,FALSE)</f>
        <v>Proton symporter</v>
      </c>
      <c r="AH1083" s="3" t="str">
        <f>VLOOKUP($E1083,'Product Naming'!$A$1:$Q$58,17,FALSE)</f>
        <v>4hxst_c</v>
      </c>
      <c r="AI1083" s="1">
        <f>VLOOKUP($E1083,'Product Parameters'!$A$2:$D$59,2,FALSE)</f>
        <v>1</v>
      </c>
      <c r="AJ1083" s="1">
        <f>VLOOKUP($E1083,'Product Parameters'!$A$2:$D$59,3,FALSE)</f>
        <v>0</v>
      </c>
      <c r="AK1083" s="1">
        <f>VLOOKUP($E1083,'Product Parameters'!$A$2:$D$59,4,FALSE)</f>
        <v>0.12</v>
      </c>
      <c r="AL1083" s="1">
        <f>VLOOKUP($E1083,'Product Parameters'!$A$2:$E$59,5,FALSE)</f>
        <v>40.65</v>
      </c>
      <c r="AM1083" s="1">
        <f>VLOOKUP($E1083,'Product Parameters'!$A$2:$F$59,6,FALSE)</f>
        <v>8</v>
      </c>
      <c r="AN1083" s="1">
        <f>VLOOKUP($C1083,'Substrate Heating'!$A$2:$C$33,3,FALSE)</f>
        <v>1064.1143145599999</v>
      </c>
      <c r="AO1083" s="1">
        <f>VLOOKUP($C1083,'Substrate Heating'!$A$2:$B$33,2,FALSE)</f>
        <v>24.155999999999999</v>
      </c>
      <c r="AP1083" s="1">
        <f>VLOOKUP($C1083,'Substrate Heating'!$A$2:$M$33,13,FALSE)</f>
        <v>5</v>
      </c>
      <c r="AQ1083" s="1">
        <f>VLOOKUP($C1083,'Substrate Heating'!$A$2:$M$33,8,FALSE)</f>
        <v>2</v>
      </c>
      <c r="AR1083" s="1">
        <f t="shared" si="16"/>
        <v>0.77893992932862399</v>
      </c>
    </row>
    <row r="1084" spans="1:44" x14ac:dyDescent="0.2">
      <c r="A1084" s="8" t="s">
        <v>34</v>
      </c>
      <c r="B1084" s="9" t="s">
        <v>35</v>
      </c>
      <c r="C1084" s="1" t="s">
        <v>348</v>
      </c>
      <c r="D1084" s="23" t="s">
        <v>338</v>
      </c>
      <c r="E1084" s="1" t="s">
        <v>124</v>
      </c>
      <c r="F1084" s="1" t="s">
        <v>125</v>
      </c>
      <c r="G1084" s="1">
        <v>-10</v>
      </c>
      <c r="H1084" s="1">
        <v>-20</v>
      </c>
      <c r="I1084" s="1" t="s">
        <v>40</v>
      </c>
      <c r="J1084" s="1">
        <v>3.15</v>
      </c>
      <c r="K1084" s="1">
        <v>-10</v>
      </c>
      <c r="L1084" s="1">
        <v>-7.8081081081081098</v>
      </c>
      <c r="M1084" s="1" t="s">
        <v>40</v>
      </c>
      <c r="N1084" s="1">
        <v>2.8081081081081098</v>
      </c>
      <c r="O1084" s="1">
        <v>2.3972972972973001</v>
      </c>
      <c r="Q1084" s="1">
        <v>0.23972972972973</v>
      </c>
      <c r="R1084" s="1">
        <v>0.53161990018179595</v>
      </c>
      <c r="S1084" s="1" t="str">
        <f>VLOOKUP($E1084,'Product Naming'!$A$1:$P$58,2,FALSE)</f>
        <v>Acrylate-PW1</v>
      </c>
      <c r="T1084" s="1" t="str">
        <f>VLOOKUP($E1084,'Product Naming'!$A$1:$P$58,3,FALSE)</f>
        <v>Acrylate (PW1)</v>
      </c>
      <c r="U1084" s="1" t="str">
        <f>VLOOKUP($E1084,'Product Naming'!$A$1:$P$58,4,FALSE)</f>
        <v>A</v>
      </c>
      <c r="V1084" s="1" t="str">
        <f>VLOOKUP($E1084,'Product Naming'!$A$1:$P$58,5,FALSE)</f>
        <v>C3H3O2</v>
      </c>
      <c r="W1084" s="1">
        <f>VLOOKUP($E1084,'Product Naming'!$A$1:$P$58,6,FALSE)</f>
        <v>3</v>
      </c>
      <c r="X1084" s="1">
        <f>VLOOKUP($E1084,'Product Naming'!$A$1:$P$58,7,FALSE)</f>
        <v>3</v>
      </c>
      <c r="Y1084" s="1">
        <f>VLOOKUP($E1084,'Product Naming'!$A$1:$P$58,8,FALSE)</f>
        <v>2</v>
      </c>
      <c r="Z1084" s="1">
        <f>VLOOKUP($E1084,'Product Naming'!$A$1:$P$58,9,FALSE)</f>
        <v>0</v>
      </c>
      <c r="AA1084" s="1">
        <f>VLOOKUP($E1084,'Product Naming'!$A$1:$P$58,10,FALSE)</f>
        <v>-1</v>
      </c>
      <c r="AB1084" s="29">
        <f>VLOOKUP($E1084,'Product Naming'!$A$1:$P$58,11,FALSE)</f>
        <v>3.6666666666666665</v>
      </c>
      <c r="AC1084" s="3">
        <f>VLOOKUP($E1084,'Product Naming'!$A$1:$P$58,12,FALSE)</f>
        <v>71.053619999999995</v>
      </c>
      <c r="AD1084" s="1">
        <f>VLOOKUP($E1084,'Product Naming'!$A$1:$P$58,13,FALSE)</f>
        <v>80</v>
      </c>
      <c r="AE1084" s="1" t="str">
        <f>VLOOKUP($E1084,'Product Naming'!$A$1:$P$58,14,FALSE)</f>
        <v>Carboxylate</v>
      </c>
      <c r="AF1084" s="1" t="str">
        <f>VLOOKUP($E1084,'Product Naming'!$A$1:$P$58,15,FALSE)</f>
        <v>Glyceraldehyde 3-P</v>
      </c>
      <c r="AG1084" s="30" t="str">
        <f>VLOOKUP($E1084,'Product Naming'!$A$1:$P$58,16,FALSE)</f>
        <v>Proton symporter</v>
      </c>
      <c r="AH1084" s="3" t="str">
        <f>VLOOKUP($E1084,'Product Naming'!$A$1:$Q$58,17,FALSE)</f>
        <v>acryl_c</v>
      </c>
      <c r="AI1084" s="1">
        <f>VLOOKUP($E1084,'Product Parameters'!$A$2:$D$59,2,FALSE)</f>
        <v>1</v>
      </c>
      <c r="AJ1084" s="1">
        <f>VLOOKUP($E1084,'Product Parameters'!$A$2:$D$59,3,FALSE)</f>
        <v>0</v>
      </c>
      <c r="AK1084" s="1">
        <f>VLOOKUP($E1084,'Product Parameters'!$A$2:$D$59,4,FALSE)</f>
        <v>0.12</v>
      </c>
      <c r="AL1084" s="1">
        <f>VLOOKUP($E1084,'Product Parameters'!$A$2:$E$59,5,FALSE)</f>
        <v>53.1</v>
      </c>
      <c r="AM1084" s="1">
        <f>VLOOKUP($E1084,'Product Parameters'!$A$2:$F$59,6,FALSE)</f>
        <v>3</v>
      </c>
      <c r="AN1084" s="1">
        <f>VLOOKUP($C1084,'Substrate Heating'!$A$2:$C$33,3,FALSE)</f>
        <v>638.57832580000002</v>
      </c>
      <c r="AO1084" s="1">
        <f>VLOOKUP($C1084,'Substrate Heating'!$A$2:$B$33,2,FALSE)</f>
        <v>19.93</v>
      </c>
      <c r="AP1084" s="1">
        <f>VLOOKUP($C1084,'Substrate Heating'!$A$2:$M$33,13,FALSE)</f>
        <v>6</v>
      </c>
      <c r="AQ1084" s="1">
        <f>VLOOKUP($C1084,'Substrate Heating'!$A$2:$M$33,8,FALSE)</f>
        <v>1</v>
      </c>
      <c r="AR1084" s="1">
        <f t="shared" si="16"/>
        <v>0.71918918918918995</v>
      </c>
    </row>
    <row r="1085" spans="1:44" x14ac:dyDescent="0.2">
      <c r="A1085" s="8" t="s">
        <v>34</v>
      </c>
      <c r="B1085" s="9" t="s">
        <v>35</v>
      </c>
      <c r="C1085" s="1" t="s">
        <v>36</v>
      </c>
      <c r="D1085" s="10" t="s">
        <v>37</v>
      </c>
      <c r="E1085" s="1" t="s">
        <v>103</v>
      </c>
      <c r="F1085" s="1" t="s">
        <v>104</v>
      </c>
      <c r="G1085" s="1">
        <v>-10</v>
      </c>
      <c r="H1085" s="1">
        <v>-20</v>
      </c>
      <c r="I1085" s="1" t="s">
        <v>40</v>
      </c>
      <c r="J1085" s="1">
        <v>3.15</v>
      </c>
      <c r="K1085" s="1">
        <v>-10</v>
      </c>
      <c r="L1085" s="1">
        <v>-4.3337500000000002</v>
      </c>
      <c r="M1085" s="1" t="s">
        <v>40</v>
      </c>
      <c r="N1085" s="1">
        <v>6.2225000000000001</v>
      </c>
      <c r="O1085" s="1">
        <v>2.2962500000000001</v>
      </c>
      <c r="Q1085" s="1">
        <v>0.229625</v>
      </c>
      <c r="R1085" s="1">
        <v>0.53258861711768102</v>
      </c>
      <c r="S1085" s="1" t="str">
        <f>VLOOKUP($E1085,'Product Naming'!$A$1:$P$58,2,FALSE)</f>
        <v>3-Methyl-1-Pentanol</v>
      </c>
      <c r="T1085" s="1" t="str">
        <f>VLOOKUP($E1085,'Product Naming'!$A$1:$P$58,3,FALSE)</f>
        <v>3-Methyl-1-pentanol</v>
      </c>
      <c r="U1085" s="1" t="str">
        <f>VLOOKUP($E1085,'Product Naming'!$A$1:$P$58,4,FALSE)</f>
        <v>A</v>
      </c>
      <c r="V1085" s="1" t="str">
        <f>VLOOKUP($E1085,'Product Naming'!$A$1:$P$58,5,FALSE)</f>
        <v>C6H14O</v>
      </c>
      <c r="W1085" s="1">
        <f>VLOOKUP($E1085,'Product Naming'!$A$1:$P$58,6,FALSE)</f>
        <v>6</v>
      </c>
      <c r="X1085" s="1">
        <f>VLOOKUP($E1085,'Product Naming'!$A$1:$P$58,7,FALSE)</f>
        <v>14</v>
      </c>
      <c r="Y1085" s="1">
        <f>VLOOKUP($E1085,'Product Naming'!$A$1:$P$58,8,FALSE)</f>
        <v>1</v>
      </c>
      <c r="Z1085" s="1">
        <f>VLOOKUP($E1085,'Product Naming'!$A$1:$P$58,9,FALSE)</f>
        <v>0</v>
      </c>
      <c r="AA1085" s="1">
        <f>VLOOKUP($E1085,'Product Naming'!$A$1:$P$58,10,FALSE)</f>
        <v>0</v>
      </c>
      <c r="AB1085" s="29">
        <f>VLOOKUP($E1085,'Product Naming'!$A$1:$P$58,11,FALSE)</f>
        <v>6</v>
      </c>
      <c r="AC1085" s="3">
        <f>VLOOKUP($E1085,'Product Naming'!$A$1:$P$58,12,FALSE)</f>
        <v>102.17295999999999</v>
      </c>
      <c r="AD1085" s="1">
        <f>VLOOKUP($E1085,'Product Naming'!$A$1:$P$58,13,FALSE)</f>
        <v>153</v>
      </c>
      <c r="AE1085" s="1" t="str">
        <f>VLOOKUP($E1085,'Product Naming'!$A$1:$P$58,14,FALSE)</f>
        <v>Alcohol</v>
      </c>
      <c r="AF1085" s="1" t="str">
        <f>VLOOKUP($E1085,'Product Naming'!$A$1:$P$58,15,FALSE)</f>
        <v>Oxaloacetate</v>
      </c>
      <c r="AG1085" s="30" t="str">
        <f>VLOOKUP($E1085,'Product Naming'!$A$1:$P$58,16,FALSE)</f>
        <v>Proton symporter</v>
      </c>
      <c r="AH1085" s="3" t="str">
        <f>VLOOKUP($E1085,'Product Naming'!$A$1:$Q$58,17,FALSE)</f>
        <v>3mptoh_c</v>
      </c>
      <c r="AI1085" s="1">
        <f>VLOOKUP($E1085,'Product Parameters'!$A$2:$D$59,2,FALSE)</f>
        <v>1</v>
      </c>
      <c r="AJ1085" s="1">
        <f>VLOOKUP($E1085,'Product Parameters'!$A$2:$D$59,3,FALSE)</f>
        <v>0</v>
      </c>
      <c r="AK1085" s="1">
        <f>VLOOKUP($E1085,'Product Parameters'!$A$2:$D$59,4,FALSE)</f>
        <v>0.12</v>
      </c>
      <c r="AL1085" s="1">
        <f>VLOOKUP($E1085,'Product Parameters'!$A$2:$E$59,5,FALSE)</f>
        <v>61.7</v>
      </c>
      <c r="AM1085" s="1">
        <f>VLOOKUP($E1085,'Product Parameters'!$A$2:$F$59,6,FALSE)</f>
        <v>6</v>
      </c>
      <c r="AN1085" s="1">
        <f>VLOOKUP($C1085,'Substrate Heating'!$A$2:$C$33,3,FALSE)</f>
        <v>1064.1143145599999</v>
      </c>
      <c r="AO1085" s="1">
        <f>VLOOKUP($C1085,'Substrate Heating'!$A$2:$B$33,2,FALSE)</f>
        <v>24.155999999999999</v>
      </c>
      <c r="AP1085" s="1">
        <f>VLOOKUP($C1085,'Substrate Heating'!$A$2:$M$33,13,FALSE)</f>
        <v>5</v>
      </c>
      <c r="AQ1085" s="1">
        <f>VLOOKUP($C1085,'Substrate Heating'!$A$2:$M$33,8,FALSE)</f>
        <v>2</v>
      </c>
      <c r="AR1085" s="1">
        <f t="shared" si="16"/>
        <v>0.68887500000000002</v>
      </c>
    </row>
    <row r="1086" spans="1:44" x14ac:dyDescent="0.2">
      <c r="A1086" s="8" t="s">
        <v>812</v>
      </c>
      <c r="B1086" s="9" t="s">
        <v>35</v>
      </c>
      <c r="C1086" t="s">
        <v>813</v>
      </c>
      <c r="E1086" t="s">
        <v>232</v>
      </c>
      <c r="F1086" t="s">
        <v>233</v>
      </c>
      <c r="G1086">
        <v>-10</v>
      </c>
      <c r="H1086">
        <v>-20</v>
      </c>
      <c r="I1086">
        <v>0</v>
      </c>
      <c r="J1086">
        <v>3.15</v>
      </c>
      <c r="K1086">
        <v>-10</v>
      </c>
      <c r="L1086">
        <v>-9.85945945945946</v>
      </c>
      <c r="M1086">
        <v>0</v>
      </c>
      <c r="N1086">
        <v>7.6378378378378304</v>
      </c>
      <c r="O1086">
        <v>3.1945945945945899</v>
      </c>
      <c r="P1086"/>
      <c r="Q1086">
        <v>0.31945945945945903</v>
      </c>
      <c r="R1086">
        <v>0.53265396327916403</v>
      </c>
      <c r="S1086" s="1" t="str">
        <f>VLOOKUP($E1086,'Product Naming'!$A$1:$P$58,2,FALSE)</f>
        <v>Heptane</v>
      </c>
      <c r="T1086" s="1" t="str">
        <f>VLOOKUP($E1086,'Product Naming'!$A$1:$P$58,3,FALSE)</f>
        <v>Heptane</v>
      </c>
      <c r="U1086" s="1" t="str">
        <f>VLOOKUP($E1086,'Product Naming'!$A$1:$P$58,4,FALSE)</f>
        <v>E</v>
      </c>
      <c r="V1086" s="1" t="str">
        <f>VLOOKUP($E1086,'Product Naming'!$A$1:$P$58,5,FALSE)</f>
        <v>C7H16</v>
      </c>
      <c r="W1086" s="1">
        <f>VLOOKUP($E1086,'Product Naming'!$A$1:$P$58,6,FALSE)</f>
        <v>7</v>
      </c>
      <c r="X1086" s="1">
        <f>VLOOKUP($E1086,'Product Naming'!$A$1:$P$58,7,FALSE)</f>
        <v>16</v>
      </c>
      <c r="Y1086" s="1">
        <f>VLOOKUP($E1086,'Product Naming'!$A$1:$P$58,8,FALSE)</f>
        <v>0</v>
      </c>
      <c r="Z1086" s="1">
        <f>VLOOKUP($E1086,'Product Naming'!$A$1:$P$58,9,FALSE)</f>
        <v>0</v>
      </c>
      <c r="AA1086" s="1">
        <f>VLOOKUP($E1086,'Product Naming'!$A$1:$P$58,10,FALSE)</f>
        <v>0</v>
      </c>
      <c r="AB1086" s="29">
        <f>VLOOKUP($E1086,'Product Naming'!$A$1:$P$58,11,FALSE)</f>
        <v>6.2857142857142856</v>
      </c>
      <c r="AC1086" s="3">
        <f>VLOOKUP($E1086,'Product Naming'!$A$1:$P$58,12,FALSE)</f>
        <v>100.20034</v>
      </c>
      <c r="AD1086" s="1">
        <f>VLOOKUP($E1086,'Product Naming'!$A$1:$P$58,13,FALSE)</f>
        <v>98</v>
      </c>
      <c r="AE1086" s="1" t="str">
        <f>VLOOKUP($E1086,'Product Naming'!$A$1:$P$58,14,FALSE)</f>
        <v>Hydrocarbon (alkane)</v>
      </c>
      <c r="AF1086" s="1" t="str">
        <f>VLOOKUP($E1086,'Product Naming'!$A$1:$P$58,15,FALSE)</f>
        <v>Acetyl-CoA</v>
      </c>
      <c r="AG1086" s="30" t="str">
        <f>VLOOKUP($E1086,'Product Naming'!$A$1:$P$58,16,FALSE)</f>
        <v>Proton symporter</v>
      </c>
      <c r="AH1086" s="3" t="str">
        <f>VLOOKUP($E1086,'Product Naming'!$A$1:$Q$58,17,FALSE)</f>
        <v>hept_c</v>
      </c>
      <c r="AI1086" s="1">
        <f>VLOOKUP($E1086,'Product Parameters'!$A$2:$D$59,2,FALSE)</f>
        <v>1</v>
      </c>
      <c r="AJ1086" s="1">
        <f>VLOOKUP($E1086,'Product Parameters'!$A$2:$D$59,3,FALSE)</f>
        <v>0</v>
      </c>
      <c r="AK1086" s="1">
        <f>VLOOKUP($E1086,'Product Parameters'!$A$2:$D$59,4,FALSE)</f>
        <v>0.12</v>
      </c>
      <c r="AL1086" s="1">
        <f>VLOOKUP($E1086,'Product Parameters'!$A$2:$E$59,5,FALSE)</f>
        <v>36</v>
      </c>
      <c r="AM1086" s="1">
        <f>VLOOKUP($E1086,'Product Parameters'!$A$2:$F$59,6,FALSE)</f>
        <v>7</v>
      </c>
      <c r="AN1086" s="1">
        <f>VLOOKUP($C1086,'Substrate Heating'!$A$2:$C$33,3,FALSE)</f>
        <v>1843.720736</v>
      </c>
      <c r="AO1086" s="1">
        <f>VLOOKUP($C1086,'Substrate Heating'!$A$2:$B$33,2,FALSE)</f>
        <v>30.68</v>
      </c>
      <c r="AP1086" s="1">
        <f>VLOOKUP($C1086,'Substrate Heating'!$A$2:$M$33,13,FALSE)</f>
        <v>6</v>
      </c>
      <c r="AQ1086" s="1">
        <f>VLOOKUP($C1086,'Substrate Heating'!$A$2:$M$33,8,FALSE)</f>
        <v>3</v>
      </c>
      <c r="AR1086" s="1">
        <f t="shared" si="16"/>
        <v>0.74540540540540434</v>
      </c>
    </row>
    <row r="1087" spans="1:44" x14ac:dyDescent="0.2">
      <c r="A1087" s="8" t="s">
        <v>34</v>
      </c>
      <c r="B1087" s="9" t="s">
        <v>35</v>
      </c>
      <c r="C1087" s="1" t="s">
        <v>347</v>
      </c>
      <c r="D1087" s="23" t="s">
        <v>338</v>
      </c>
      <c r="E1087" s="1" t="s">
        <v>119</v>
      </c>
      <c r="F1087" s="1" t="s">
        <v>120</v>
      </c>
      <c r="G1087" s="1">
        <v>-10</v>
      </c>
      <c r="H1087" s="1">
        <v>-20</v>
      </c>
      <c r="I1087" s="1" t="s">
        <v>40</v>
      </c>
      <c r="J1087" s="1">
        <v>3.15</v>
      </c>
      <c r="K1087" s="1">
        <v>-10</v>
      </c>
      <c r="L1087" s="1">
        <v>-3.22178217821783</v>
      </c>
      <c r="M1087" s="1" t="s">
        <v>40</v>
      </c>
      <c r="N1087" s="1">
        <v>1.16633663366336</v>
      </c>
      <c r="O1087" s="1">
        <v>2.9445544554455401</v>
      </c>
      <c r="Q1087" s="1">
        <v>0.294455445544554</v>
      </c>
      <c r="R1087" s="1">
        <v>0.53373467014196696</v>
      </c>
      <c r="S1087" s="1" t="str">
        <f>VLOOKUP($E1087,'Product Naming'!$A$1:$P$58,2,FALSE)</f>
        <v>Acetone</v>
      </c>
      <c r="T1087" s="1" t="str">
        <f>VLOOKUP($E1087,'Product Naming'!$A$1:$P$58,3,FALSE)</f>
        <v>Acetone</v>
      </c>
      <c r="U1087" s="1" t="str">
        <f>VLOOKUP($E1087,'Product Naming'!$A$1:$P$58,4,FALSE)</f>
        <v>A</v>
      </c>
      <c r="V1087" s="1" t="str">
        <f>VLOOKUP($E1087,'Product Naming'!$A$1:$P$58,5,FALSE)</f>
        <v>C3H6O</v>
      </c>
      <c r="W1087" s="1">
        <f>VLOOKUP($E1087,'Product Naming'!$A$1:$P$58,6,FALSE)</f>
        <v>3</v>
      </c>
      <c r="X1087" s="1">
        <f>VLOOKUP($E1087,'Product Naming'!$A$1:$P$58,7,FALSE)</f>
        <v>6</v>
      </c>
      <c r="Y1087" s="1">
        <f>VLOOKUP($E1087,'Product Naming'!$A$1:$P$58,8,FALSE)</f>
        <v>1</v>
      </c>
      <c r="Z1087" s="1">
        <f>VLOOKUP($E1087,'Product Naming'!$A$1:$P$58,9,FALSE)</f>
        <v>0</v>
      </c>
      <c r="AA1087" s="1">
        <f>VLOOKUP($E1087,'Product Naming'!$A$1:$P$58,10,FALSE)</f>
        <v>0</v>
      </c>
      <c r="AB1087" s="29">
        <f>VLOOKUP($E1087,'Product Naming'!$A$1:$P$58,11,FALSE)</f>
        <v>5.333333333333333</v>
      </c>
      <c r="AC1087" s="3">
        <f>VLOOKUP($E1087,'Product Naming'!$A$1:$P$58,12,FALSE)</f>
        <v>58.078140000000005</v>
      </c>
      <c r="AD1087" s="1">
        <f>VLOOKUP($E1087,'Product Naming'!$A$1:$P$58,13,FALSE)</f>
        <v>56</v>
      </c>
      <c r="AE1087" s="1" t="str">
        <f>VLOOKUP($E1087,'Product Naming'!$A$1:$P$58,14,FALSE)</f>
        <v>Ketone</v>
      </c>
      <c r="AF1087" s="1" t="str">
        <f>VLOOKUP($E1087,'Product Naming'!$A$1:$P$58,15,FALSE)</f>
        <v>Acetyl-CoA</v>
      </c>
      <c r="AG1087" s="30" t="str">
        <f>VLOOKUP($E1087,'Product Naming'!$A$1:$P$58,16,FALSE)</f>
        <v>Proton symporter</v>
      </c>
      <c r="AH1087" s="3" t="str">
        <f>VLOOKUP($E1087,'Product Naming'!$A$1:$Q$58,17,FALSE)</f>
        <v>acetone_c</v>
      </c>
      <c r="AI1087" s="1">
        <f>VLOOKUP($E1087,'Product Parameters'!$A$2:$D$59,2,FALSE)</f>
        <v>1</v>
      </c>
      <c r="AJ1087" s="1">
        <f>VLOOKUP($E1087,'Product Parameters'!$A$2:$D$59,3,FALSE)</f>
        <v>0</v>
      </c>
      <c r="AK1087" s="1">
        <f>VLOOKUP($E1087,'Product Parameters'!$A$2:$D$59,4,FALSE)</f>
        <v>0.12</v>
      </c>
      <c r="AL1087" s="1">
        <f>VLOOKUP($E1087,'Product Parameters'!$A$2:$E$59,5,FALSE)</f>
        <v>31.3</v>
      </c>
      <c r="AM1087" s="1">
        <f>VLOOKUP($E1087,'Product Parameters'!$A$2:$F$59,6,FALSE)</f>
        <v>3</v>
      </c>
      <c r="AN1087" s="1">
        <f>VLOOKUP($C1087,'Substrate Heating'!$A$2:$C$33,3,FALSE)</f>
        <v>638.57832580000002</v>
      </c>
      <c r="AO1087" s="1">
        <f>VLOOKUP($C1087,'Substrate Heating'!$A$2:$B$33,2,FALSE)</f>
        <v>19.93</v>
      </c>
      <c r="AP1087" s="1">
        <f>VLOOKUP($C1087,'Substrate Heating'!$A$2:$M$33,13,FALSE)</f>
        <v>6</v>
      </c>
      <c r="AQ1087" s="1">
        <f>VLOOKUP($C1087,'Substrate Heating'!$A$2:$M$33,8,FALSE)</f>
        <v>1</v>
      </c>
      <c r="AR1087" s="1">
        <f t="shared" si="16"/>
        <v>0.88336633663366193</v>
      </c>
    </row>
    <row r="1088" spans="1:44" x14ac:dyDescent="0.2">
      <c r="A1088" s="8" t="s">
        <v>34</v>
      </c>
      <c r="B1088" s="9" t="s">
        <v>35</v>
      </c>
      <c r="C1088" s="1" t="s">
        <v>346</v>
      </c>
      <c r="D1088" s="23" t="s">
        <v>338</v>
      </c>
      <c r="E1088" s="1" t="s">
        <v>119</v>
      </c>
      <c r="F1088" s="1" t="s">
        <v>120</v>
      </c>
      <c r="G1088" s="1">
        <v>-10</v>
      </c>
      <c r="H1088" s="1">
        <v>-20</v>
      </c>
      <c r="I1088" s="1" t="s">
        <v>40</v>
      </c>
      <c r="J1088" s="1">
        <v>3.15</v>
      </c>
      <c r="K1088" s="1">
        <v>-10</v>
      </c>
      <c r="L1088" s="1">
        <v>-3.2217821782178202</v>
      </c>
      <c r="M1088" s="1" t="s">
        <v>40</v>
      </c>
      <c r="N1088" s="1">
        <v>1.1663366336633501</v>
      </c>
      <c r="O1088" s="1">
        <v>2.9445544554455401</v>
      </c>
      <c r="Q1088" s="1">
        <v>0.294455445544554</v>
      </c>
      <c r="R1088" s="1">
        <v>0.53373467014196796</v>
      </c>
      <c r="S1088" s="1" t="str">
        <f>VLOOKUP($E1088,'Product Naming'!$A$1:$P$58,2,FALSE)</f>
        <v>Acetone</v>
      </c>
      <c r="T1088" s="1" t="str">
        <f>VLOOKUP($E1088,'Product Naming'!$A$1:$P$58,3,FALSE)</f>
        <v>Acetone</v>
      </c>
      <c r="U1088" s="1" t="str">
        <f>VLOOKUP($E1088,'Product Naming'!$A$1:$P$58,4,FALSE)</f>
        <v>A</v>
      </c>
      <c r="V1088" s="1" t="str">
        <f>VLOOKUP($E1088,'Product Naming'!$A$1:$P$58,5,FALSE)</f>
        <v>C3H6O</v>
      </c>
      <c r="W1088" s="1">
        <f>VLOOKUP($E1088,'Product Naming'!$A$1:$P$58,6,FALSE)</f>
        <v>3</v>
      </c>
      <c r="X1088" s="1">
        <f>VLOOKUP($E1088,'Product Naming'!$A$1:$P$58,7,FALSE)</f>
        <v>6</v>
      </c>
      <c r="Y1088" s="1">
        <f>VLOOKUP($E1088,'Product Naming'!$A$1:$P$58,8,FALSE)</f>
        <v>1</v>
      </c>
      <c r="Z1088" s="1">
        <f>VLOOKUP($E1088,'Product Naming'!$A$1:$P$58,9,FALSE)</f>
        <v>0</v>
      </c>
      <c r="AA1088" s="1">
        <f>VLOOKUP($E1088,'Product Naming'!$A$1:$P$58,10,FALSE)</f>
        <v>0</v>
      </c>
      <c r="AB1088" s="29">
        <f>VLOOKUP($E1088,'Product Naming'!$A$1:$P$58,11,FALSE)</f>
        <v>5.333333333333333</v>
      </c>
      <c r="AC1088" s="3">
        <f>VLOOKUP($E1088,'Product Naming'!$A$1:$P$58,12,FALSE)</f>
        <v>58.078140000000005</v>
      </c>
      <c r="AD1088" s="1">
        <f>VLOOKUP($E1088,'Product Naming'!$A$1:$P$58,13,FALSE)</f>
        <v>56</v>
      </c>
      <c r="AE1088" s="1" t="str">
        <f>VLOOKUP($E1088,'Product Naming'!$A$1:$P$58,14,FALSE)</f>
        <v>Ketone</v>
      </c>
      <c r="AF1088" s="1" t="str">
        <f>VLOOKUP($E1088,'Product Naming'!$A$1:$P$58,15,FALSE)</f>
        <v>Acetyl-CoA</v>
      </c>
      <c r="AG1088" s="30" t="str">
        <f>VLOOKUP($E1088,'Product Naming'!$A$1:$P$58,16,FALSE)</f>
        <v>Proton symporter</v>
      </c>
      <c r="AH1088" s="3" t="str">
        <f>VLOOKUP($E1088,'Product Naming'!$A$1:$Q$58,17,FALSE)</f>
        <v>acetone_c</v>
      </c>
      <c r="AI1088" s="1">
        <f>VLOOKUP($E1088,'Product Parameters'!$A$2:$D$59,2,FALSE)</f>
        <v>1</v>
      </c>
      <c r="AJ1088" s="1">
        <f>VLOOKUP($E1088,'Product Parameters'!$A$2:$D$59,3,FALSE)</f>
        <v>0</v>
      </c>
      <c r="AK1088" s="1">
        <f>VLOOKUP($E1088,'Product Parameters'!$A$2:$D$59,4,FALSE)</f>
        <v>0.12</v>
      </c>
      <c r="AL1088" s="1">
        <f>VLOOKUP($E1088,'Product Parameters'!$A$2:$E$59,5,FALSE)</f>
        <v>31.3</v>
      </c>
      <c r="AM1088" s="1">
        <f>VLOOKUP($E1088,'Product Parameters'!$A$2:$F$59,6,FALSE)</f>
        <v>3</v>
      </c>
      <c r="AN1088" s="1">
        <f>VLOOKUP($C1088,'Substrate Heating'!$A$2:$C$33,3,FALSE)</f>
        <v>638.57832580000002</v>
      </c>
      <c r="AO1088" s="1">
        <f>VLOOKUP($C1088,'Substrate Heating'!$A$2:$B$33,2,FALSE)</f>
        <v>19.93</v>
      </c>
      <c r="AP1088" s="1">
        <f>VLOOKUP($C1088,'Substrate Heating'!$A$2:$M$33,13,FALSE)</f>
        <v>6</v>
      </c>
      <c r="AQ1088" s="1">
        <f>VLOOKUP($C1088,'Substrate Heating'!$A$2:$M$33,8,FALSE)</f>
        <v>1</v>
      </c>
      <c r="AR1088" s="1">
        <f t="shared" si="16"/>
        <v>0.88336633663366193</v>
      </c>
    </row>
    <row r="1089" spans="1:44" x14ac:dyDescent="0.2">
      <c r="A1089" s="8" t="s">
        <v>34</v>
      </c>
      <c r="B1089" s="9" t="s">
        <v>35</v>
      </c>
      <c r="C1089" s="1" t="s">
        <v>332</v>
      </c>
      <c r="D1089" s="10" t="s">
        <v>37</v>
      </c>
      <c r="E1089" s="1" t="s">
        <v>247</v>
      </c>
      <c r="F1089" s="1" t="s">
        <v>248</v>
      </c>
      <c r="G1089" s="1">
        <v>-10</v>
      </c>
      <c r="H1089" s="1">
        <v>-20</v>
      </c>
      <c r="I1089" s="1" t="s">
        <v>40</v>
      </c>
      <c r="J1089" s="1">
        <v>3.15</v>
      </c>
      <c r="K1089" s="1">
        <v>-10</v>
      </c>
      <c r="L1089" s="1">
        <v>-4.7136986301369799</v>
      </c>
      <c r="M1089" s="1" t="s">
        <v>40</v>
      </c>
      <c r="N1089" s="1">
        <v>1.93835616438358</v>
      </c>
      <c r="O1089" s="1">
        <v>3.61232876712329</v>
      </c>
      <c r="Q1089" s="1">
        <v>0.36123287671232901</v>
      </c>
      <c r="R1089" s="1">
        <v>0.53412601397798298</v>
      </c>
      <c r="S1089" s="1" t="str">
        <f>VLOOKUP($E1089,'Product Naming'!$A$1:$P$58,2,FALSE)</f>
        <v>Isoprene</v>
      </c>
      <c r="T1089" s="1" t="str">
        <f>VLOOKUP($E1089,'Product Naming'!$A$1:$P$58,3,FALSE)</f>
        <v>Isoprene</v>
      </c>
      <c r="U1089" s="1" t="str">
        <f>VLOOKUP($E1089,'Product Naming'!$A$1:$P$58,4,FALSE)</f>
        <v>E</v>
      </c>
      <c r="V1089" s="1" t="str">
        <f>VLOOKUP($E1089,'Product Naming'!$A$1:$P$58,5,FALSE)</f>
        <v>C5H8</v>
      </c>
      <c r="W1089" s="1">
        <f>VLOOKUP($E1089,'Product Naming'!$A$1:$P$58,6,FALSE)</f>
        <v>5</v>
      </c>
      <c r="X1089" s="1">
        <f>VLOOKUP($E1089,'Product Naming'!$A$1:$P$58,7,FALSE)</f>
        <v>8</v>
      </c>
      <c r="Y1089" s="1">
        <f>VLOOKUP($E1089,'Product Naming'!$A$1:$P$58,8,FALSE)</f>
        <v>0</v>
      </c>
      <c r="Z1089" s="1">
        <f>VLOOKUP($E1089,'Product Naming'!$A$1:$P$58,9,FALSE)</f>
        <v>0</v>
      </c>
      <c r="AA1089" s="1">
        <f>VLOOKUP($E1089,'Product Naming'!$A$1:$P$58,10,FALSE)</f>
        <v>0</v>
      </c>
      <c r="AB1089" s="29">
        <f>VLOOKUP($E1089,'Product Naming'!$A$1:$P$58,11,FALSE)</f>
        <v>5.6</v>
      </c>
      <c r="AC1089" s="3">
        <f>VLOOKUP($E1089,'Product Naming'!$A$1:$P$58,12,FALSE)</f>
        <v>68.116219999999998</v>
      </c>
      <c r="AD1089" s="1">
        <f>VLOOKUP($E1089,'Product Naming'!$A$1:$P$58,13,FALSE)</f>
        <v>34.07</v>
      </c>
      <c r="AE1089" s="1" t="str">
        <f>VLOOKUP($E1089,'Product Naming'!$A$1:$P$58,14,FALSE)</f>
        <v>Hydrocarbon</v>
      </c>
      <c r="AF1089" s="1" t="str">
        <f>VLOOKUP($E1089,'Product Naming'!$A$1:$P$58,15,FALSE)</f>
        <v>Acetyl-CoA</v>
      </c>
      <c r="AG1089" s="30" t="str">
        <f>VLOOKUP($E1089,'Product Naming'!$A$1:$P$58,16,FALSE)</f>
        <v>Diffusion</v>
      </c>
      <c r="AH1089" s="3" t="str">
        <f>VLOOKUP($E1089,'Product Naming'!$A$1:$Q$58,17,FALSE)</f>
        <v>iprene_c</v>
      </c>
      <c r="AI1089" s="1">
        <f>VLOOKUP($E1089,'Product Parameters'!$A$2:$D$59,2,FALSE)</f>
        <v>0</v>
      </c>
      <c r="AJ1089" s="1">
        <f>VLOOKUP($E1089,'Product Parameters'!$A$2:$D$59,3,FALSE)</f>
        <v>1</v>
      </c>
      <c r="AK1089" s="1">
        <f>VLOOKUP($E1089,'Product Parameters'!$A$2:$D$59,4,FALSE)</f>
        <v>0.12</v>
      </c>
      <c r="AL1089" s="1">
        <f>VLOOKUP($E1089,'Product Parameters'!$A$2:$E$59,5,FALSE)</f>
        <v>26.4</v>
      </c>
      <c r="AM1089" s="1">
        <f>VLOOKUP($E1089,'Product Parameters'!$A$2:$F$59,6,FALSE)</f>
        <v>5</v>
      </c>
      <c r="AN1089" s="1">
        <f>VLOOKUP($C1089,'Substrate Heating'!$A$2:$C$33,3,FALSE)</f>
        <v>1230.0006480000002</v>
      </c>
      <c r="AO1089" s="1">
        <f>VLOOKUP($C1089,'Substrate Heating'!$A$2:$B$33,2,FALSE)</f>
        <v>26.7</v>
      </c>
      <c r="AP1089" s="1">
        <f>VLOOKUP($C1089,'Substrate Heating'!$A$2:$M$33,13,FALSE)</f>
        <v>6</v>
      </c>
      <c r="AQ1089" s="1">
        <f>VLOOKUP($C1089,'Substrate Heating'!$A$2:$M$33,8,FALSE)</f>
        <v>2</v>
      </c>
      <c r="AR1089" s="1">
        <f t="shared" si="16"/>
        <v>0.9030821917808225</v>
      </c>
    </row>
    <row r="1090" spans="1:44" x14ac:dyDescent="0.2">
      <c r="A1090" s="17" t="s">
        <v>323</v>
      </c>
      <c r="B1090" s="18" t="s">
        <v>324</v>
      </c>
      <c r="C1090" t="s">
        <v>328</v>
      </c>
      <c r="D1090" s="19" t="s">
        <v>326</v>
      </c>
      <c r="E1090" t="s">
        <v>254</v>
      </c>
      <c r="F1090" t="s">
        <v>255</v>
      </c>
      <c r="G1090">
        <v>-10</v>
      </c>
      <c r="H1090">
        <v>0</v>
      </c>
      <c r="I1090">
        <v>-10</v>
      </c>
      <c r="J1090">
        <v>0.45</v>
      </c>
      <c r="K1090">
        <v>-10</v>
      </c>
      <c r="L1090">
        <v>0</v>
      </c>
      <c r="M1090">
        <v>-10</v>
      </c>
      <c r="N1090">
        <v>0</v>
      </c>
      <c r="O1090">
        <v>1.2551724137931</v>
      </c>
      <c r="P1090"/>
      <c r="Q1090">
        <v>0.12551724137931</v>
      </c>
      <c r="R1090">
        <v>0.53534319749216297</v>
      </c>
      <c r="S1090" s="1" t="str">
        <f>VLOOKUP($E1090,'Product Naming'!$A$1:$P$58,2,FALSE)</f>
        <v>Itaconate</v>
      </c>
      <c r="T1090" s="1" t="str">
        <f>VLOOKUP($E1090,'Product Naming'!$A$1:$P$58,3,FALSE)</f>
        <v>Itaconate</v>
      </c>
      <c r="U1090" s="1" t="str">
        <f>VLOOKUP($E1090,'Product Naming'!$A$1:$P$58,4,FALSE)</f>
        <v>E</v>
      </c>
      <c r="V1090" s="1" t="str">
        <f>VLOOKUP($E1090,'Product Naming'!$A$1:$P$58,5,FALSE)</f>
        <v>C5H4O4</v>
      </c>
      <c r="W1090" s="1">
        <f>VLOOKUP($E1090,'Product Naming'!$A$1:$P$58,6,FALSE)</f>
        <v>5</v>
      </c>
      <c r="X1090" s="1">
        <f>VLOOKUP($E1090,'Product Naming'!$A$1:$P$58,7,FALSE)</f>
        <v>4</v>
      </c>
      <c r="Y1090" s="1">
        <f>VLOOKUP($E1090,'Product Naming'!$A$1:$P$58,8,FALSE)</f>
        <v>4</v>
      </c>
      <c r="Z1090" s="1">
        <f>VLOOKUP($E1090,'Product Naming'!$A$1:$P$58,9,FALSE)</f>
        <v>0</v>
      </c>
      <c r="AA1090" s="1">
        <f>VLOOKUP($E1090,'Product Naming'!$A$1:$P$58,10,FALSE)</f>
        <v>-2</v>
      </c>
      <c r="AB1090" s="29">
        <f>VLOOKUP($E1090,'Product Naming'!$A$1:$P$58,11,FALSE)</f>
        <v>3.2</v>
      </c>
      <c r="AC1090" s="3">
        <f>VLOOKUP($E1090,'Product Naming'!$A$1:$P$58,12,FALSE)</f>
        <v>128.08086</v>
      </c>
      <c r="AD1090" s="1">
        <f>VLOOKUP($E1090,'Product Naming'!$A$1:$P$58,13,FALSE)</f>
        <v>381</v>
      </c>
      <c r="AE1090" s="1" t="str">
        <f>VLOOKUP($E1090,'Product Naming'!$A$1:$P$58,14,FALSE)</f>
        <v>Dicarboxylate</v>
      </c>
      <c r="AF1090" s="1" t="str">
        <f>VLOOKUP($E1090,'Product Naming'!$A$1:$P$58,15,FALSE)</f>
        <v>Acetyl-CoA + Oxaloacetate</v>
      </c>
      <c r="AG1090" s="30" t="str">
        <f>VLOOKUP($E1090,'Product Naming'!$A$1:$P$58,16,FALSE)</f>
        <v>Proton symporter</v>
      </c>
      <c r="AH1090" s="3" t="str">
        <f>VLOOKUP($E1090,'Product Naming'!$A$1:$Q$58,17,FALSE)</f>
        <v>itacon_c</v>
      </c>
      <c r="AI1090" s="1">
        <f>VLOOKUP($E1090,'Product Parameters'!$A$2:$D$59,2,FALSE)</f>
        <v>1</v>
      </c>
      <c r="AJ1090" s="1">
        <f>VLOOKUP($E1090,'Product Parameters'!$A$2:$D$59,3,FALSE)</f>
        <v>0</v>
      </c>
      <c r="AK1090" s="1">
        <f>VLOOKUP($E1090,'Product Parameters'!$A$2:$D$59,4,FALSE)</f>
        <v>0.12</v>
      </c>
      <c r="AL1090" s="1">
        <f>VLOOKUP($E1090,'Product Parameters'!$A$2:$E$59,5,FALSE)</f>
        <v>40.65</v>
      </c>
      <c r="AM1090" s="1">
        <f>VLOOKUP($E1090,'Product Parameters'!$A$2:$F$59,6,FALSE)</f>
        <v>5</v>
      </c>
      <c r="AN1090" s="1">
        <f>VLOOKUP($C1090,'Substrate Heating'!$A$2:$C$33,3,FALSE)</f>
        <v>262.39999999999998</v>
      </c>
      <c r="AO1090" s="1">
        <f>VLOOKUP($C1090,'Substrate Heating'!$A$2:$B$33,2,FALSE)</f>
        <v>17.478546483008707</v>
      </c>
      <c r="AP1090" s="1">
        <f>VLOOKUP($C1090,'Substrate Heating'!$A$2:$M$33,13,FALSE)</f>
        <v>1</v>
      </c>
      <c r="AQ1090" s="1">
        <f>VLOOKUP($C1090,'Substrate Heating'!$A$2:$M$33,8,FALSE)</f>
        <v>0.5</v>
      </c>
      <c r="AR1090" s="1">
        <f t="shared" si="16"/>
        <v>1.2551724137931</v>
      </c>
    </row>
    <row r="1091" spans="1:44" x14ac:dyDescent="0.2">
      <c r="A1091" s="8" t="s">
        <v>34</v>
      </c>
      <c r="B1091" s="9" t="s">
        <v>35</v>
      </c>
      <c r="C1091" s="1" t="s">
        <v>332</v>
      </c>
      <c r="D1091" s="10" t="s">
        <v>37</v>
      </c>
      <c r="E1091" s="1" t="s">
        <v>204</v>
      </c>
      <c r="F1091" s="1" t="s">
        <v>205</v>
      </c>
      <c r="G1091" s="1">
        <v>-10</v>
      </c>
      <c r="H1091" s="1">
        <v>-20</v>
      </c>
      <c r="I1091" s="1" t="s">
        <v>40</v>
      </c>
      <c r="J1091" s="1">
        <v>3.15</v>
      </c>
      <c r="K1091" s="1">
        <v>-10</v>
      </c>
      <c r="L1091" s="1">
        <v>-4.6558352402745902</v>
      </c>
      <c r="M1091" s="1" t="s">
        <v>40</v>
      </c>
      <c r="N1091" s="1">
        <v>1.89702517162469</v>
      </c>
      <c r="O1091" s="1">
        <v>1.20686498855835</v>
      </c>
      <c r="Q1091" s="1">
        <v>0.120686498855835</v>
      </c>
      <c r="R1091" s="1">
        <v>0.53534827030287502</v>
      </c>
      <c r="S1091" s="1" t="str">
        <f>VLOOKUP($E1091,'Product Naming'!$A$1:$P$58,2,FALSE)</f>
        <v>Farnesene</v>
      </c>
      <c r="T1091" s="1" t="str">
        <f>VLOOKUP($E1091,'Product Naming'!$A$1:$P$58,3,FALSE)</f>
        <v>Farnesene</v>
      </c>
      <c r="U1091" s="1" t="str">
        <f>VLOOKUP($E1091,'Product Naming'!$A$1:$P$58,4,FALSE)</f>
        <v>A</v>
      </c>
      <c r="V1091" s="1" t="str">
        <f>VLOOKUP($E1091,'Product Naming'!$A$1:$P$58,5,FALSE)</f>
        <v>C15H24</v>
      </c>
      <c r="W1091" s="1">
        <f>VLOOKUP($E1091,'Product Naming'!$A$1:$P$58,6,FALSE)</f>
        <v>15</v>
      </c>
      <c r="X1091" s="1">
        <f>VLOOKUP($E1091,'Product Naming'!$A$1:$P$58,7,FALSE)</f>
        <v>24</v>
      </c>
      <c r="Y1091" s="1">
        <f>VLOOKUP($E1091,'Product Naming'!$A$1:$P$58,8,FALSE)</f>
        <v>0</v>
      </c>
      <c r="Z1091" s="1">
        <f>VLOOKUP($E1091,'Product Naming'!$A$1:$P$58,9,FALSE)</f>
        <v>0</v>
      </c>
      <c r="AA1091" s="1">
        <f>VLOOKUP($E1091,'Product Naming'!$A$1:$P$58,10,FALSE)</f>
        <v>0</v>
      </c>
      <c r="AB1091" s="29">
        <f>VLOOKUP($E1091,'Product Naming'!$A$1:$P$58,11,FALSE)</f>
        <v>5.6</v>
      </c>
      <c r="AC1091" s="3">
        <f>VLOOKUP($E1091,'Product Naming'!$A$1:$P$58,12,FALSE)</f>
        <v>204.34866000000002</v>
      </c>
      <c r="AD1091" s="1" t="str">
        <f>VLOOKUP($E1091,'Product Naming'!$A$1:$P$58,13,FALSE)</f>
        <v>260 (A)/272 (B)</v>
      </c>
      <c r="AE1091" s="1" t="str">
        <f>VLOOKUP($E1091,'Product Naming'!$A$1:$P$58,14,FALSE)</f>
        <v>Hydrocarbon</v>
      </c>
      <c r="AF1091" s="1" t="str">
        <f>VLOOKUP($E1091,'Product Naming'!$A$1:$P$58,15,FALSE)</f>
        <v>Acetyl-CoA</v>
      </c>
      <c r="AG1091" s="30" t="str">
        <f>VLOOKUP($E1091,'Product Naming'!$A$1:$P$58,16,FALSE)</f>
        <v>Proton symporter</v>
      </c>
      <c r="AH1091" s="3" t="str">
        <f>VLOOKUP($E1091,'Product Naming'!$A$1:$Q$58,17,FALSE)</f>
        <v>frene_c</v>
      </c>
      <c r="AI1091" s="1">
        <f>VLOOKUP($E1091,'Product Parameters'!$A$2:$D$59,2,FALSE)</f>
        <v>1</v>
      </c>
      <c r="AJ1091" s="1">
        <f>VLOOKUP($E1091,'Product Parameters'!$A$2:$D$59,3,FALSE)</f>
        <v>0</v>
      </c>
      <c r="AK1091" s="1">
        <f>VLOOKUP($E1091,'Product Parameters'!$A$2:$D$59,4,FALSE)</f>
        <v>0.12</v>
      </c>
      <c r="AL1091" s="1">
        <f>VLOOKUP($E1091,'Product Parameters'!$A$2:$E$59,5,FALSE)</f>
        <v>0</v>
      </c>
      <c r="AM1091" s="1">
        <f>VLOOKUP($E1091,'Product Parameters'!$A$2:$F$59,6,FALSE)</f>
        <v>15</v>
      </c>
      <c r="AN1091" s="1">
        <f>VLOOKUP($C1091,'Substrate Heating'!$A$2:$C$33,3,FALSE)</f>
        <v>1230.0006480000002</v>
      </c>
      <c r="AO1091" s="1">
        <f>VLOOKUP($C1091,'Substrate Heating'!$A$2:$B$33,2,FALSE)</f>
        <v>26.7</v>
      </c>
      <c r="AP1091" s="1">
        <f>VLOOKUP($C1091,'Substrate Heating'!$A$2:$M$33,13,FALSE)</f>
        <v>6</v>
      </c>
      <c r="AQ1091" s="1">
        <f>VLOOKUP($C1091,'Substrate Heating'!$A$2:$M$33,8,FALSE)</f>
        <v>2</v>
      </c>
      <c r="AR1091" s="1">
        <f t="shared" ref="AR1091:AR1154" si="17">Q1091*W1091/AQ1091</f>
        <v>0.90514874141876256</v>
      </c>
    </row>
    <row r="1092" spans="1:44" x14ac:dyDescent="0.2">
      <c r="A1092" s="8" t="s">
        <v>34</v>
      </c>
      <c r="B1092" s="9" t="s">
        <v>35</v>
      </c>
      <c r="C1092" s="1" t="s">
        <v>348</v>
      </c>
      <c r="D1092" s="23" t="s">
        <v>338</v>
      </c>
      <c r="E1092" s="1" t="s">
        <v>171</v>
      </c>
      <c r="F1092" s="1" t="s">
        <v>172</v>
      </c>
      <c r="G1092" s="1">
        <v>-10</v>
      </c>
      <c r="H1092" s="1">
        <v>-20</v>
      </c>
      <c r="I1092" s="1" t="s">
        <v>40</v>
      </c>
      <c r="J1092" s="1">
        <v>3.15</v>
      </c>
      <c r="K1092" s="1">
        <v>-10</v>
      </c>
      <c r="L1092" s="1">
        <v>-5.1444444444444501</v>
      </c>
      <c r="M1092" s="1" t="s">
        <v>40</v>
      </c>
      <c r="N1092" s="1">
        <v>2.1155555555555501</v>
      </c>
      <c r="O1092" s="1">
        <v>1.9711111111111099</v>
      </c>
      <c r="Q1092" s="1">
        <v>0.19711111111111099</v>
      </c>
      <c r="R1092" s="1">
        <v>0.53579770013157302</v>
      </c>
      <c r="S1092" s="1" t="str">
        <f>VLOOKUP($E1092,'Product Naming'!$A$1:$P$58,2,FALSE)</f>
        <v>Butyrate</v>
      </c>
      <c r="T1092" s="1" t="str">
        <f>VLOOKUP($E1092,'Product Naming'!$A$1:$P$58,3,FALSE)</f>
        <v>Butyrate</v>
      </c>
      <c r="U1092" s="1" t="str">
        <f>VLOOKUP($E1092,'Product Naming'!$A$1:$P$58,4,FALSE)</f>
        <v>A</v>
      </c>
      <c r="V1092" s="1" t="str">
        <f>VLOOKUP($E1092,'Product Naming'!$A$1:$P$58,5,FALSE)</f>
        <v>C4H7O2</v>
      </c>
      <c r="W1092" s="1">
        <f>VLOOKUP($E1092,'Product Naming'!$A$1:$P$58,6,FALSE)</f>
        <v>4</v>
      </c>
      <c r="X1092" s="1">
        <f>VLOOKUP($E1092,'Product Naming'!$A$1:$P$58,7,FALSE)</f>
        <v>7</v>
      </c>
      <c r="Y1092" s="1">
        <f>VLOOKUP($E1092,'Product Naming'!$A$1:$P$58,8,FALSE)</f>
        <v>2</v>
      </c>
      <c r="Z1092" s="1">
        <f>VLOOKUP($E1092,'Product Naming'!$A$1:$P$58,9,FALSE)</f>
        <v>0</v>
      </c>
      <c r="AA1092" s="1">
        <f>VLOOKUP($E1092,'Product Naming'!$A$1:$P$58,10,FALSE)</f>
        <v>-1</v>
      </c>
      <c r="AB1092" s="29">
        <f>VLOOKUP($E1092,'Product Naming'!$A$1:$P$58,11,FALSE)</f>
        <v>4.75</v>
      </c>
      <c r="AC1092" s="3">
        <f>VLOOKUP($E1092,'Product Naming'!$A$1:$P$58,12,FALSE)</f>
        <v>87.095680000000002</v>
      </c>
      <c r="AD1092" s="1">
        <f>VLOOKUP($E1092,'Product Naming'!$A$1:$P$58,13,FALSE)</f>
        <v>163.5</v>
      </c>
      <c r="AE1092" s="1" t="str">
        <f>VLOOKUP($E1092,'Product Naming'!$A$1:$P$58,14,FALSE)</f>
        <v>Carboxylate</v>
      </c>
      <c r="AF1092" s="1" t="str">
        <f>VLOOKUP($E1092,'Product Naming'!$A$1:$P$58,15,FALSE)</f>
        <v>Acetyl-CoA</v>
      </c>
      <c r="AG1092" s="30" t="str">
        <f>VLOOKUP($E1092,'Product Naming'!$A$1:$P$58,16,FALSE)</f>
        <v>Proton symporter</v>
      </c>
      <c r="AH1092" s="3" t="str">
        <f>VLOOKUP($E1092,'Product Naming'!$A$1:$Q$58,17,FALSE)</f>
        <v>but_c</v>
      </c>
      <c r="AI1092" s="1">
        <f>VLOOKUP($E1092,'Product Parameters'!$A$2:$D$59,2,FALSE)</f>
        <v>1</v>
      </c>
      <c r="AJ1092" s="1">
        <f>VLOOKUP($E1092,'Product Parameters'!$A$2:$D$59,3,FALSE)</f>
        <v>0</v>
      </c>
      <c r="AK1092" s="1">
        <f>VLOOKUP($E1092,'Product Parameters'!$A$2:$D$59,4,FALSE)</f>
        <v>0.12</v>
      </c>
      <c r="AL1092" s="1">
        <f>VLOOKUP($E1092,'Product Parameters'!$A$2:$E$59,5,FALSE)</f>
        <v>42</v>
      </c>
      <c r="AM1092" s="1">
        <f>VLOOKUP($E1092,'Product Parameters'!$A$2:$F$59,6,FALSE)</f>
        <v>4</v>
      </c>
      <c r="AN1092" s="1">
        <f>VLOOKUP($C1092,'Substrate Heating'!$A$2:$C$33,3,FALSE)</f>
        <v>638.57832580000002</v>
      </c>
      <c r="AO1092" s="1">
        <f>VLOOKUP($C1092,'Substrate Heating'!$A$2:$B$33,2,FALSE)</f>
        <v>19.93</v>
      </c>
      <c r="AP1092" s="1">
        <f>VLOOKUP($C1092,'Substrate Heating'!$A$2:$M$33,13,FALSE)</f>
        <v>6</v>
      </c>
      <c r="AQ1092" s="1">
        <f>VLOOKUP($C1092,'Substrate Heating'!$A$2:$M$33,8,FALSE)</f>
        <v>1</v>
      </c>
      <c r="AR1092" s="1">
        <f t="shared" si="17"/>
        <v>0.78844444444444395</v>
      </c>
    </row>
    <row r="1093" spans="1:44" x14ac:dyDescent="0.2">
      <c r="A1093" s="17" t="s">
        <v>185</v>
      </c>
      <c r="B1093" s="9" t="s">
        <v>35</v>
      </c>
      <c r="C1093" t="s">
        <v>332</v>
      </c>
      <c r="D1093" s="10" t="s">
        <v>37</v>
      </c>
      <c r="E1093" t="s">
        <v>259</v>
      </c>
      <c r="F1093" t="s">
        <v>260</v>
      </c>
      <c r="G1093">
        <v>-10</v>
      </c>
      <c r="H1093">
        <v>-20</v>
      </c>
      <c r="I1093" s="1" t="s">
        <v>40</v>
      </c>
      <c r="J1093">
        <v>3.15</v>
      </c>
      <c r="K1093">
        <v>-10</v>
      </c>
      <c r="L1093">
        <v>-4.6268041237113398</v>
      </c>
      <c r="M1093" s="1" t="s">
        <v>40</v>
      </c>
      <c r="N1093">
        <v>1.87628865979381</v>
      </c>
      <c r="O1093">
        <v>1.8123711340206199</v>
      </c>
      <c r="P1093"/>
      <c r="Q1093">
        <v>0.181237113402062</v>
      </c>
      <c r="R1093">
        <v>0.53596149856209896</v>
      </c>
      <c r="S1093" s="1" t="str">
        <f>VLOOKUP($E1093,'Product Naming'!$A$1:$P$58,2,FALSE)</f>
        <v>Limonene</v>
      </c>
      <c r="T1093" s="1" t="str">
        <f>VLOOKUP($E1093,'Product Naming'!$A$1:$P$58,3,FALSE)</f>
        <v>Limonene</v>
      </c>
      <c r="U1093" s="1" t="str">
        <f>VLOOKUP($E1093,'Product Naming'!$A$1:$P$58,4,FALSE)</f>
        <v>E</v>
      </c>
      <c r="V1093" s="1" t="str">
        <f>VLOOKUP($E1093,'Product Naming'!$A$1:$P$58,5,FALSE)</f>
        <v>C10H16</v>
      </c>
      <c r="W1093" s="1">
        <f>VLOOKUP($E1093,'Product Naming'!$A$1:$P$58,6,FALSE)</f>
        <v>10</v>
      </c>
      <c r="X1093" s="1">
        <f>VLOOKUP($E1093,'Product Naming'!$A$1:$P$58,7,FALSE)</f>
        <v>16</v>
      </c>
      <c r="Y1093" s="1">
        <f>VLOOKUP($E1093,'Product Naming'!$A$1:$P$58,8,FALSE)</f>
        <v>0</v>
      </c>
      <c r="Z1093" s="1">
        <f>VLOOKUP($E1093,'Product Naming'!$A$1:$P$58,9,FALSE)</f>
        <v>0</v>
      </c>
      <c r="AA1093" s="1">
        <f>VLOOKUP($E1093,'Product Naming'!$A$1:$P$58,10,FALSE)</f>
        <v>0</v>
      </c>
      <c r="AB1093" s="29">
        <f>VLOOKUP($E1093,'Product Naming'!$A$1:$P$58,11,FALSE)</f>
        <v>5.6</v>
      </c>
      <c r="AC1093" s="3">
        <f>VLOOKUP($E1093,'Product Naming'!$A$1:$P$58,12,FALSE)</f>
        <v>136.23244</v>
      </c>
      <c r="AD1093" s="1">
        <f>VLOOKUP($E1093,'Product Naming'!$A$1:$P$58,13,FALSE)</f>
        <v>176</v>
      </c>
      <c r="AE1093" s="1" t="str">
        <f>VLOOKUP($E1093,'Product Naming'!$A$1:$P$58,14,FALSE)</f>
        <v>Isoprenoid; Aromatic (Cycloalkane)</v>
      </c>
      <c r="AF1093" s="1" t="str">
        <f>VLOOKUP($E1093,'Product Naming'!$A$1:$P$58,15,FALSE)</f>
        <v>Acetyl-CoA</v>
      </c>
      <c r="AG1093" s="30" t="str">
        <f>VLOOKUP($E1093,'Product Naming'!$A$1:$P$58,16,FALSE)</f>
        <v>Proton symporter</v>
      </c>
      <c r="AH1093" s="3" t="str">
        <f>VLOOKUP($E1093,'Product Naming'!$A$1:$Q$58,17,FALSE)</f>
        <v>limnen_c</v>
      </c>
      <c r="AI1093" s="1">
        <f>VLOOKUP($E1093,'Product Parameters'!$A$2:$D$59,2,FALSE)</f>
        <v>1</v>
      </c>
      <c r="AJ1093" s="1">
        <f>VLOOKUP($E1093,'Product Parameters'!$A$2:$D$59,3,FALSE)</f>
        <v>0</v>
      </c>
      <c r="AK1093" s="1">
        <f>VLOOKUP($E1093,'Product Parameters'!$A$2:$D$59,4,FALSE)</f>
        <v>0.12</v>
      </c>
      <c r="AL1093" s="1">
        <f>VLOOKUP($E1093,'Product Parameters'!$A$2:$E$59,5,FALSE)</f>
        <v>49.5</v>
      </c>
      <c r="AM1093" s="1">
        <f>VLOOKUP($E1093,'Product Parameters'!$A$2:$F$59,6,FALSE)</f>
        <v>10</v>
      </c>
      <c r="AN1093" s="1">
        <f>VLOOKUP($C1093,'Substrate Heating'!$A$2:$C$33,3,FALSE)</f>
        <v>1230.0006480000002</v>
      </c>
      <c r="AO1093" s="1">
        <f>VLOOKUP($C1093,'Substrate Heating'!$A$2:$B$33,2,FALSE)</f>
        <v>26.7</v>
      </c>
      <c r="AP1093" s="1">
        <f>VLOOKUP($C1093,'Substrate Heating'!$A$2:$M$33,13,FALSE)</f>
        <v>6</v>
      </c>
      <c r="AQ1093" s="1">
        <f>VLOOKUP($C1093,'Substrate Heating'!$A$2:$M$33,8,FALSE)</f>
        <v>2</v>
      </c>
      <c r="AR1093" s="1">
        <f t="shared" si="17"/>
        <v>0.90618556701031006</v>
      </c>
    </row>
    <row r="1094" spans="1:44" x14ac:dyDescent="0.2">
      <c r="A1094" s="8" t="s">
        <v>812</v>
      </c>
      <c r="B1094" s="9" t="s">
        <v>35</v>
      </c>
      <c r="C1094" t="s">
        <v>813</v>
      </c>
      <c r="E1094" t="s">
        <v>313</v>
      </c>
      <c r="F1094" t="s">
        <v>314</v>
      </c>
      <c r="G1094">
        <v>-10</v>
      </c>
      <c r="H1094">
        <v>-20</v>
      </c>
      <c r="I1094">
        <v>0</v>
      </c>
      <c r="J1094">
        <v>3.15</v>
      </c>
      <c r="K1094">
        <v>-10</v>
      </c>
      <c r="L1094">
        <v>-14.0731034482758</v>
      </c>
      <c r="M1094">
        <v>0</v>
      </c>
      <c r="N1094">
        <v>5.2584827586206897</v>
      </c>
      <c r="O1094">
        <v>3.0926896551724101</v>
      </c>
      <c r="P1094"/>
      <c r="Q1094">
        <v>0.30926896551724098</v>
      </c>
      <c r="R1094">
        <v>0.53598029770694799</v>
      </c>
      <c r="S1094" s="1" t="str">
        <f>VLOOKUP($E1094,'Product Naming'!$A$1:$P$58,2,FALSE)</f>
        <v>Styrene</v>
      </c>
      <c r="T1094" s="1" t="str">
        <f>VLOOKUP($E1094,'Product Naming'!$A$1:$P$58,3,FALSE)</f>
        <v>Styrene</v>
      </c>
      <c r="U1094" s="1" t="str">
        <f>VLOOKUP($E1094,'Product Naming'!$A$1:$P$58,4,FALSE)</f>
        <v>E-S</v>
      </c>
      <c r="V1094" s="1" t="str">
        <f>VLOOKUP($E1094,'Product Naming'!$A$1:$P$58,5,FALSE)</f>
        <v>C8H8</v>
      </c>
      <c r="W1094" s="1">
        <f>VLOOKUP($E1094,'Product Naming'!$A$1:$P$58,6,FALSE)</f>
        <v>8</v>
      </c>
      <c r="X1094" s="1">
        <f>VLOOKUP($E1094,'Product Naming'!$A$1:$P$58,7,FALSE)</f>
        <v>8</v>
      </c>
      <c r="Y1094" s="1">
        <f>VLOOKUP($E1094,'Product Naming'!$A$1:$P$58,8,FALSE)</f>
        <v>0</v>
      </c>
      <c r="Z1094" s="1">
        <f>VLOOKUP($E1094,'Product Naming'!$A$1:$P$58,9,FALSE)</f>
        <v>0</v>
      </c>
      <c r="AA1094" s="1">
        <f>VLOOKUP($E1094,'Product Naming'!$A$1:$P$58,10,FALSE)</f>
        <v>0</v>
      </c>
      <c r="AB1094" s="29">
        <f>VLOOKUP($E1094,'Product Naming'!$A$1:$P$58,11,FALSE)</f>
        <v>5</v>
      </c>
      <c r="AC1094" s="3">
        <f>VLOOKUP($E1094,'Product Naming'!$A$1:$P$58,12,FALSE)</f>
        <v>104.14832</v>
      </c>
      <c r="AD1094" s="1">
        <f>VLOOKUP($E1094,'Product Naming'!$A$1:$P$58,13,FALSE)</f>
        <v>145</v>
      </c>
      <c r="AE1094" s="1" t="str">
        <f>VLOOKUP($E1094,'Product Naming'!$A$1:$P$58,14,FALSE)</f>
        <v>Cycloalkane</v>
      </c>
      <c r="AF1094" s="1" t="str">
        <f>VLOOKUP($E1094,'Product Naming'!$A$1:$P$58,15,FALSE)</f>
        <v>E4P</v>
      </c>
      <c r="AG1094" s="30" t="str">
        <f>VLOOKUP($E1094,'Product Naming'!$A$1:$P$58,16,FALSE)</f>
        <v>Proton symporter</v>
      </c>
      <c r="AH1094" s="3" t="str">
        <f>VLOOKUP($E1094,'Product Naming'!$A$1:$Q$58,17,FALSE)</f>
        <v>styr_c</v>
      </c>
      <c r="AI1094" s="1">
        <f>VLOOKUP($E1094,'Product Parameters'!$A$2:$D$59,2,FALSE)</f>
        <v>1</v>
      </c>
      <c r="AJ1094" s="1">
        <f>VLOOKUP($E1094,'Product Parameters'!$A$2:$D$59,3,FALSE)</f>
        <v>0</v>
      </c>
      <c r="AK1094" s="1">
        <f>VLOOKUP($E1094,'Product Parameters'!$A$2:$D$59,4,FALSE)</f>
        <v>0.12</v>
      </c>
      <c r="AL1094" s="1">
        <f>VLOOKUP($E1094,'Product Parameters'!$A$2:$E$59,5,FALSE)</f>
        <v>43.9</v>
      </c>
      <c r="AM1094" s="1">
        <f>VLOOKUP($E1094,'Product Parameters'!$A$2:$F$59,6,FALSE)</f>
        <v>8</v>
      </c>
      <c r="AN1094" s="1">
        <f>VLOOKUP($C1094,'Substrate Heating'!$A$2:$C$33,3,FALSE)</f>
        <v>1843.720736</v>
      </c>
      <c r="AO1094" s="1">
        <f>VLOOKUP($C1094,'Substrate Heating'!$A$2:$B$33,2,FALSE)</f>
        <v>30.68</v>
      </c>
      <c r="AP1094" s="1">
        <f>VLOOKUP($C1094,'Substrate Heating'!$A$2:$M$33,13,FALSE)</f>
        <v>6</v>
      </c>
      <c r="AQ1094" s="1">
        <f>VLOOKUP($C1094,'Substrate Heating'!$A$2:$M$33,8,FALSE)</f>
        <v>3</v>
      </c>
      <c r="AR1094" s="1">
        <f t="shared" si="17"/>
        <v>0.82471724137930924</v>
      </c>
    </row>
    <row r="1095" spans="1:44" x14ac:dyDescent="0.2">
      <c r="A1095" s="17" t="s">
        <v>185</v>
      </c>
      <c r="B1095" s="9" t="s">
        <v>35</v>
      </c>
      <c r="C1095" t="s">
        <v>348</v>
      </c>
      <c r="D1095" s="23" t="s">
        <v>338</v>
      </c>
      <c r="E1095" t="s">
        <v>264</v>
      </c>
      <c r="F1095" t="s">
        <v>265</v>
      </c>
      <c r="G1095">
        <v>-10</v>
      </c>
      <c r="H1095">
        <v>-20</v>
      </c>
      <c r="I1095" s="1" t="s">
        <v>40</v>
      </c>
      <c r="J1095">
        <v>3.15</v>
      </c>
      <c r="K1095">
        <v>-10</v>
      </c>
      <c r="L1095">
        <v>-6.8302631578947404</v>
      </c>
      <c r="M1095" s="1" t="s">
        <v>40</v>
      </c>
      <c r="N1095">
        <v>2.9973684210526401</v>
      </c>
      <c r="O1095">
        <v>1.16710526315789</v>
      </c>
      <c r="P1095"/>
      <c r="Q1095">
        <v>0.116710526315789</v>
      </c>
      <c r="R1095">
        <v>0.53615566532771597</v>
      </c>
      <c r="S1095" s="1" t="str">
        <f>VLOOKUP($E1095,'Product Naming'!$A$1:$P$58,2,FALSE)</f>
        <v>Lysine_L</v>
      </c>
      <c r="T1095" s="1" t="str">
        <f>VLOOKUP($E1095,'Product Naming'!$A$1:$P$58,3,FALSE)</f>
        <v>L-Lysine</v>
      </c>
      <c r="U1095" s="1" t="str">
        <f>VLOOKUP($E1095,'Product Naming'!$A$1:$P$58,4,FALSE)</f>
        <v>iJO1366</v>
      </c>
      <c r="V1095" s="1" t="str">
        <f>VLOOKUP($E1095,'Product Naming'!$A$1:$P$58,5,FALSE)</f>
        <v>C6H15N2O2</v>
      </c>
      <c r="W1095" s="1">
        <f>VLOOKUP($E1095,'Product Naming'!$A$1:$P$58,6,FALSE)</f>
        <v>6</v>
      </c>
      <c r="X1095" s="1">
        <f>VLOOKUP($E1095,'Product Naming'!$A$1:$P$58,7,FALSE)</f>
        <v>15</v>
      </c>
      <c r="Y1095" s="1">
        <f>VLOOKUP($E1095,'Product Naming'!$A$1:$P$58,8,FALSE)</f>
        <v>2</v>
      </c>
      <c r="Z1095" s="1">
        <f>VLOOKUP($E1095,'Product Naming'!$A$1:$P$58,9,FALSE)</f>
        <v>2</v>
      </c>
      <c r="AA1095" s="1">
        <f>VLOOKUP($E1095,'Product Naming'!$A$1:$P$58,10,FALSE)</f>
        <v>1</v>
      </c>
      <c r="AB1095" s="29">
        <f>VLOOKUP($E1095,'Product Naming'!$A$1:$P$58,11,FALSE)</f>
        <v>4.833333333333333</v>
      </c>
      <c r="AC1095" s="3">
        <f>VLOOKUP($E1095,'Product Naming'!$A$1:$P$58,12,FALSE)</f>
        <v>147.19319999999999</v>
      </c>
      <c r="AD1095" s="1" t="str">
        <f>VLOOKUP($E1095,'Product Naming'!$A$1:$P$58,13,FALSE)</f>
        <v>NA</v>
      </c>
      <c r="AE1095" s="1" t="str">
        <f>VLOOKUP($E1095,'Product Naming'!$A$1:$P$58,14,FALSE)</f>
        <v>Amino acid</v>
      </c>
      <c r="AF1095" s="1" t="str">
        <f>VLOOKUP($E1095,'Product Naming'!$A$1:$P$58,15,FALSE)</f>
        <v>Oxaloacetate</v>
      </c>
      <c r="AG1095" s="30" t="str">
        <f>VLOOKUP($E1095,'Product Naming'!$A$1:$P$58,16,FALSE)</f>
        <v>Proton antiport</v>
      </c>
      <c r="AH1095" s="3" t="str">
        <f>VLOOKUP($E1095,'Product Naming'!$A$1:$Q$58,17,FALSE)</f>
        <v>lys__L_</v>
      </c>
      <c r="AI1095" s="1">
        <f>VLOOKUP($E1095,'Product Parameters'!$A$2:$D$59,2,FALSE)</f>
        <v>1</v>
      </c>
      <c r="AJ1095" s="1">
        <f>VLOOKUP($E1095,'Product Parameters'!$A$2:$D$59,3,FALSE)</f>
        <v>0</v>
      </c>
      <c r="AK1095" s="1">
        <f>VLOOKUP($E1095,'Product Parameters'!$A$2:$D$59,4,FALSE)</f>
        <v>0.12</v>
      </c>
      <c r="AL1095" s="1">
        <f>VLOOKUP($E1095,'Product Parameters'!$A$2:$E$59,5,FALSE)</f>
        <v>40.65</v>
      </c>
      <c r="AM1095" s="1">
        <f>VLOOKUP($E1095,'Product Parameters'!$A$2:$F$59,6,FALSE)</f>
        <v>6</v>
      </c>
      <c r="AN1095" s="1">
        <f>VLOOKUP($C1095,'Substrate Heating'!$A$2:$C$33,3,FALSE)</f>
        <v>638.57832580000002</v>
      </c>
      <c r="AO1095" s="1">
        <f>VLOOKUP($C1095,'Substrate Heating'!$A$2:$B$33,2,FALSE)</f>
        <v>19.93</v>
      </c>
      <c r="AP1095" s="1">
        <f>VLOOKUP($C1095,'Substrate Heating'!$A$2:$M$33,13,FALSE)</f>
        <v>6</v>
      </c>
      <c r="AQ1095" s="1">
        <f>VLOOKUP($C1095,'Substrate Heating'!$A$2:$M$33,8,FALSE)</f>
        <v>1</v>
      </c>
      <c r="AR1095" s="1">
        <f t="shared" si="17"/>
        <v>0.70026315789473403</v>
      </c>
    </row>
    <row r="1096" spans="1:44" x14ac:dyDescent="0.2">
      <c r="A1096" s="8" t="s">
        <v>34</v>
      </c>
      <c r="B1096" s="9" t="s">
        <v>35</v>
      </c>
      <c r="C1096" s="1" t="s">
        <v>331</v>
      </c>
      <c r="D1096" s="10" t="s">
        <v>37</v>
      </c>
      <c r="E1096" s="1" t="s">
        <v>240</v>
      </c>
      <c r="F1096" s="1" t="s">
        <v>241</v>
      </c>
      <c r="G1096" s="1">
        <v>-10</v>
      </c>
      <c r="H1096" s="1">
        <v>-20</v>
      </c>
      <c r="I1096" s="1" t="s">
        <v>40</v>
      </c>
      <c r="J1096" s="1">
        <v>3.15</v>
      </c>
      <c r="K1096" s="1">
        <v>-10</v>
      </c>
      <c r="L1096" s="1">
        <v>-1.7957894736842099</v>
      </c>
      <c r="M1096" s="1" t="s">
        <v>40</v>
      </c>
      <c r="N1096" s="1">
        <v>4.5305263157894604</v>
      </c>
      <c r="O1096" s="1">
        <v>3.86736842105263</v>
      </c>
      <c r="Q1096" s="1">
        <v>0.38673684210526299</v>
      </c>
      <c r="R1096" s="1">
        <v>0.53668316953591899</v>
      </c>
      <c r="S1096" s="1" t="str">
        <f>VLOOKUP($E1096,'Product Naming'!$A$1:$P$58,2,FALSE)</f>
        <v>Isobutanol</v>
      </c>
      <c r="T1096" s="1" t="str">
        <f>VLOOKUP($E1096,'Product Naming'!$A$1:$P$58,3,FALSE)</f>
        <v>Isobutanol</v>
      </c>
      <c r="U1096" s="1" t="str">
        <f>VLOOKUP($E1096,'Product Naming'!$A$1:$P$58,4,FALSE)</f>
        <v>E</v>
      </c>
      <c r="V1096" s="1" t="str">
        <f>VLOOKUP($E1096,'Product Naming'!$A$1:$P$58,5,FALSE)</f>
        <v>C5H10O</v>
      </c>
      <c r="W1096" s="1">
        <f>VLOOKUP($E1096,'Product Naming'!$A$1:$P$58,6,FALSE)</f>
        <v>5</v>
      </c>
      <c r="X1096" s="1">
        <f>VLOOKUP($E1096,'Product Naming'!$A$1:$P$58,7,FALSE)</f>
        <v>10</v>
      </c>
      <c r="Y1096" s="1">
        <f>VLOOKUP($E1096,'Product Naming'!$A$1:$P$58,8,FALSE)</f>
        <v>1</v>
      </c>
      <c r="Z1096" s="1">
        <f>VLOOKUP($E1096,'Product Naming'!$A$1:$P$58,9,FALSE)</f>
        <v>0</v>
      </c>
      <c r="AA1096" s="1">
        <f>VLOOKUP($E1096,'Product Naming'!$A$1:$P$58,10,FALSE)</f>
        <v>0</v>
      </c>
      <c r="AB1096" s="29">
        <f>VLOOKUP($E1096,'Product Naming'!$A$1:$P$58,11,FALSE)</f>
        <v>5.6</v>
      </c>
      <c r="AC1096" s="3">
        <f>VLOOKUP($E1096,'Product Naming'!$A$1:$P$58,12,FALSE)</f>
        <v>86.130899999999997</v>
      </c>
      <c r="AD1096" s="1">
        <f>VLOOKUP($E1096,'Product Naming'!$A$1:$P$58,13,FALSE)</f>
        <v>108</v>
      </c>
      <c r="AE1096" s="1" t="str">
        <f>VLOOKUP($E1096,'Product Naming'!$A$1:$P$58,14,FALSE)</f>
        <v>Alcohol</v>
      </c>
      <c r="AF1096" s="1" t="str">
        <f>VLOOKUP($E1096,'Product Naming'!$A$1:$P$58,15,FALSE)</f>
        <v>Pyruvate</v>
      </c>
      <c r="AG1096" s="30" t="str">
        <f>VLOOKUP($E1096,'Product Naming'!$A$1:$P$58,16,FALSE)</f>
        <v>Proton symporter</v>
      </c>
      <c r="AH1096" s="3" t="str">
        <f>VLOOKUP($E1096,'Product Naming'!$A$1:$Q$58,17,FALSE)</f>
        <v>ibutoh_c</v>
      </c>
      <c r="AI1096" s="1">
        <f>VLOOKUP($E1096,'Product Parameters'!$A$2:$D$59,2,FALSE)</f>
        <v>1</v>
      </c>
      <c r="AJ1096" s="1">
        <f>VLOOKUP($E1096,'Product Parameters'!$A$2:$D$59,3,FALSE)</f>
        <v>0</v>
      </c>
      <c r="AK1096" s="1">
        <f>VLOOKUP($E1096,'Product Parameters'!$A$2:$D$59,4,FALSE)</f>
        <v>0.12</v>
      </c>
      <c r="AL1096" s="1">
        <f>VLOOKUP($E1096,'Product Parameters'!$A$2:$E$59,5,FALSE)</f>
        <v>51</v>
      </c>
      <c r="AM1096" s="1">
        <f>VLOOKUP($E1096,'Product Parameters'!$A$2:$F$59,6,FALSE)</f>
        <v>5</v>
      </c>
      <c r="AN1096" s="1">
        <f>VLOOKUP($C1096,'Substrate Heating'!$A$2:$C$33,3,FALSE)</f>
        <v>1055.1294800000001</v>
      </c>
      <c r="AO1096" s="1">
        <f>VLOOKUP($C1096,'Substrate Heating'!$A$2:$B$33,2,FALSE)</f>
        <v>17</v>
      </c>
      <c r="AP1096" s="1">
        <f>VLOOKUP($C1096,'Substrate Heating'!$A$2:$M$33,13,FALSE)</f>
        <v>5</v>
      </c>
      <c r="AQ1096" s="1">
        <f>VLOOKUP($C1096,'Substrate Heating'!$A$2:$M$33,8,FALSE)</f>
        <v>2</v>
      </c>
      <c r="AR1096" s="1">
        <f t="shared" si="17"/>
        <v>0.9668421052631575</v>
      </c>
    </row>
    <row r="1097" spans="1:44" x14ac:dyDescent="0.2">
      <c r="A1097" s="8" t="s">
        <v>34</v>
      </c>
      <c r="B1097" s="9" t="s">
        <v>35</v>
      </c>
      <c r="C1097" s="1" t="s">
        <v>331</v>
      </c>
      <c r="D1097" s="10" t="s">
        <v>37</v>
      </c>
      <c r="E1097" s="1" t="s">
        <v>119</v>
      </c>
      <c r="F1097" s="1" t="s">
        <v>120</v>
      </c>
      <c r="G1097" s="1">
        <v>-10</v>
      </c>
      <c r="H1097" s="1">
        <v>-20</v>
      </c>
      <c r="I1097" s="1" t="s">
        <v>40</v>
      </c>
      <c r="J1097" s="1">
        <v>3.15</v>
      </c>
      <c r="K1097" s="1">
        <v>-10</v>
      </c>
      <c r="L1097" s="1">
        <v>-2.0306306306306299</v>
      </c>
      <c r="M1097" s="1" t="s">
        <v>40</v>
      </c>
      <c r="N1097" s="1">
        <v>2.77297297297297</v>
      </c>
      <c r="O1097" s="1">
        <v>5.7423423423423401</v>
      </c>
      <c r="Q1097" s="1">
        <v>0.57423423423423403</v>
      </c>
      <c r="R1097" s="1">
        <v>0.53733511607969298</v>
      </c>
      <c r="S1097" s="1" t="str">
        <f>VLOOKUP($E1097,'Product Naming'!$A$1:$P$58,2,FALSE)</f>
        <v>Acetone</v>
      </c>
      <c r="T1097" s="1" t="str">
        <f>VLOOKUP($E1097,'Product Naming'!$A$1:$P$58,3,FALSE)</f>
        <v>Acetone</v>
      </c>
      <c r="U1097" s="1" t="str">
        <f>VLOOKUP($E1097,'Product Naming'!$A$1:$P$58,4,FALSE)</f>
        <v>A</v>
      </c>
      <c r="V1097" s="1" t="str">
        <f>VLOOKUP($E1097,'Product Naming'!$A$1:$P$58,5,FALSE)</f>
        <v>C3H6O</v>
      </c>
      <c r="W1097" s="1">
        <f>VLOOKUP($E1097,'Product Naming'!$A$1:$P$58,6,FALSE)</f>
        <v>3</v>
      </c>
      <c r="X1097" s="1">
        <f>VLOOKUP($E1097,'Product Naming'!$A$1:$P$58,7,FALSE)</f>
        <v>6</v>
      </c>
      <c r="Y1097" s="1">
        <f>VLOOKUP($E1097,'Product Naming'!$A$1:$P$58,8,FALSE)</f>
        <v>1</v>
      </c>
      <c r="Z1097" s="1">
        <f>VLOOKUP($E1097,'Product Naming'!$A$1:$P$58,9,FALSE)</f>
        <v>0</v>
      </c>
      <c r="AA1097" s="1">
        <f>VLOOKUP($E1097,'Product Naming'!$A$1:$P$58,10,FALSE)</f>
        <v>0</v>
      </c>
      <c r="AB1097" s="29">
        <f>VLOOKUP($E1097,'Product Naming'!$A$1:$P$58,11,FALSE)</f>
        <v>5.333333333333333</v>
      </c>
      <c r="AC1097" s="3">
        <f>VLOOKUP($E1097,'Product Naming'!$A$1:$P$58,12,FALSE)</f>
        <v>58.078140000000005</v>
      </c>
      <c r="AD1097" s="1">
        <f>VLOOKUP($E1097,'Product Naming'!$A$1:$P$58,13,FALSE)</f>
        <v>56</v>
      </c>
      <c r="AE1097" s="1" t="str">
        <f>VLOOKUP($E1097,'Product Naming'!$A$1:$P$58,14,FALSE)</f>
        <v>Ketone</v>
      </c>
      <c r="AF1097" s="1" t="str">
        <f>VLOOKUP($E1097,'Product Naming'!$A$1:$P$58,15,FALSE)</f>
        <v>Acetyl-CoA</v>
      </c>
      <c r="AG1097" s="30" t="str">
        <f>VLOOKUP($E1097,'Product Naming'!$A$1:$P$58,16,FALSE)</f>
        <v>Proton symporter</v>
      </c>
      <c r="AH1097" s="3" t="str">
        <f>VLOOKUP($E1097,'Product Naming'!$A$1:$Q$58,17,FALSE)</f>
        <v>acetone_c</v>
      </c>
      <c r="AI1097" s="1">
        <f>VLOOKUP($E1097,'Product Parameters'!$A$2:$D$59,2,FALSE)</f>
        <v>1</v>
      </c>
      <c r="AJ1097" s="1">
        <f>VLOOKUP($E1097,'Product Parameters'!$A$2:$D$59,3,FALSE)</f>
        <v>0</v>
      </c>
      <c r="AK1097" s="1">
        <f>VLOOKUP($E1097,'Product Parameters'!$A$2:$D$59,4,FALSE)</f>
        <v>0.12</v>
      </c>
      <c r="AL1097" s="1">
        <f>VLOOKUP($E1097,'Product Parameters'!$A$2:$E$59,5,FALSE)</f>
        <v>31.3</v>
      </c>
      <c r="AM1097" s="1">
        <f>VLOOKUP($E1097,'Product Parameters'!$A$2:$F$59,6,FALSE)</f>
        <v>3</v>
      </c>
      <c r="AN1097" s="1">
        <f>VLOOKUP($C1097,'Substrate Heating'!$A$2:$C$33,3,FALSE)</f>
        <v>1055.1294800000001</v>
      </c>
      <c r="AO1097" s="1">
        <f>VLOOKUP($C1097,'Substrate Heating'!$A$2:$B$33,2,FALSE)</f>
        <v>17</v>
      </c>
      <c r="AP1097" s="1">
        <f>VLOOKUP($C1097,'Substrate Heating'!$A$2:$M$33,13,FALSE)</f>
        <v>5</v>
      </c>
      <c r="AQ1097" s="1">
        <f>VLOOKUP($C1097,'Substrate Heating'!$A$2:$M$33,8,FALSE)</f>
        <v>2</v>
      </c>
      <c r="AR1097" s="1">
        <f t="shared" si="17"/>
        <v>0.8613513513513511</v>
      </c>
    </row>
    <row r="1098" spans="1:44" x14ac:dyDescent="0.2">
      <c r="A1098" s="17" t="s">
        <v>323</v>
      </c>
      <c r="B1098" s="18" t="s">
        <v>324</v>
      </c>
      <c r="C1098" t="s">
        <v>329</v>
      </c>
      <c r="D1098" s="19" t="s">
        <v>326</v>
      </c>
      <c r="E1098" t="s">
        <v>130</v>
      </c>
      <c r="F1098" t="s">
        <v>125</v>
      </c>
      <c r="G1098">
        <v>-10</v>
      </c>
      <c r="H1098">
        <v>0</v>
      </c>
      <c r="I1098">
        <v>-20</v>
      </c>
      <c r="J1098">
        <v>0.45</v>
      </c>
      <c r="K1098">
        <v>-10</v>
      </c>
      <c r="L1098">
        <v>0</v>
      </c>
      <c r="M1098">
        <v>-13.04</v>
      </c>
      <c r="N1098">
        <v>0</v>
      </c>
      <c r="O1098">
        <v>2.3199999999999998</v>
      </c>
      <c r="P1098"/>
      <c r="Q1098">
        <v>0.23200000000000001</v>
      </c>
      <c r="R1098" s="20">
        <v>0.53793228055794096</v>
      </c>
      <c r="S1098" s="1" t="str">
        <f>VLOOKUP($E1098,'Product Naming'!$A$1:$P$58,2,FALSE)</f>
        <v>Acrylate-PW2</v>
      </c>
      <c r="T1098" s="1" t="str">
        <f>VLOOKUP($E1098,'Product Naming'!$A$1:$P$58,3,FALSE)</f>
        <v>Acrylate (PW2)</v>
      </c>
      <c r="U1098" s="1" t="str">
        <f>VLOOKUP($E1098,'Product Naming'!$A$1:$P$58,4,FALSE)</f>
        <v>A</v>
      </c>
      <c r="V1098" s="1" t="str">
        <f>VLOOKUP($E1098,'Product Naming'!$A$1:$P$58,5,FALSE)</f>
        <v>C3H3O2</v>
      </c>
      <c r="W1098" s="1">
        <f>VLOOKUP($E1098,'Product Naming'!$A$1:$P$58,6,FALSE)</f>
        <v>3</v>
      </c>
      <c r="X1098" s="1">
        <f>VLOOKUP($E1098,'Product Naming'!$A$1:$P$58,7,FALSE)</f>
        <v>3</v>
      </c>
      <c r="Y1098" s="1">
        <f>VLOOKUP($E1098,'Product Naming'!$A$1:$P$58,8,FALSE)</f>
        <v>2</v>
      </c>
      <c r="Z1098" s="1">
        <f>VLOOKUP($E1098,'Product Naming'!$A$1:$P$58,9,FALSE)</f>
        <v>0</v>
      </c>
      <c r="AA1098" s="1">
        <f>VLOOKUP($E1098,'Product Naming'!$A$1:$P$58,10,FALSE)</f>
        <v>-1</v>
      </c>
      <c r="AB1098" s="29">
        <f>VLOOKUP($E1098,'Product Naming'!$A$1:$P$58,11,FALSE)</f>
        <v>3.6666666666666665</v>
      </c>
      <c r="AC1098" s="3">
        <f>VLOOKUP($E1098,'Product Naming'!$A$1:$P$58,12,FALSE)</f>
        <v>71.053619999999995</v>
      </c>
      <c r="AD1098" s="1">
        <f>VLOOKUP($E1098,'Product Naming'!$A$1:$P$58,13,FALSE)</f>
        <v>80</v>
      </c>
      <c r="AE1098" s="1" t="str">
        <f>VLOOKUP($E1098,'Product Naming'!$A$1:$P$58,14,FALSE)</f>
        <v>Carboxylate</v>
      </c>
      <c r="AF1098" s="1" t="str">
        <f>VLOOKUP($E1098,'Product Naming'!$A$1:$P$58,15,FALSE)</f>
        <v>Pyruvate</v>
      </c>
      <c r="AG1098" s="30" t="str">
        <f>VLOOKUP($E1098,'Product Naming'!$A$1:$P$58,16,FALSE)</f>
        <v>Proton symporter</v>
      </c>
      <c r="AH1098" s="3" t="str">
        <f>VLOOKUP($E1098,'Product Naming'!$A$1:$Q$58,17,FALSE)</f>
        <v>acryl_c</v>
      </c>
      <c r="AI1098" s="1">
        <f>VLOOKUP($E1098,'Product Parameters'!$A$2:$D$59,2,FALSE)</f>
        <v>1</v>
      </c>
      <c r="AJ1098" s="1">
        <f>VLOOKUP($E1098,'Product Parameters'!$A$2:$D$59,3,FALSE)</f>
        <v>0</v>
      </c>
      <c r="AK1098" s="1">
        <f>VLOOKUP($E1098,'Product Parameters'!$A$2:$D$59,4,FALSE)</f>
        <v>0.12</v>
      </c>
      <c r="AL1098" s="1">
        <f>VLOOKUP($E1098,'Product Parameters'!$A$2:$E$59,5,FALSE)</f>
        <v>53.1</v>
      </c>
      <c r="AM1098" s="1">
        <f>VLOOKUP($E1098,'Product Parameters'!$A$2:$F$59,6,FALSE)</f>
        <v>3</v>
      </c>
      <c r="AN1098" s="1">
        <f>VLOOKUP($C1098,'Substrate Heating'!$A$2:$C$33,3,FALSE)</f>
        <v>255.53333333333336</v>
      </c>
      <c r="AO1098" s="1">
        <f>VLOOKUP($C1098,'Substrate Heating'!$A$2:$B$33,2,FALSE)</f>
        <v>23.925550527978785</v>
      </c>
      <c r="AP1098" s="1">
        <f>VLOOKUP($C1098,'Substrate Heating'!$A$2:$M$33,13,FALSE)</f>
        <v>0.66666666666666663</v>
      </c>
      <c r="AQ1098" s="1">
        <f>VLOOKUP($C1098,'Substrate Heating'!$A$2:$M$33,8,FALSE)</f>
        <v>0.33333333333333331</v>
      </c>
      <c r="AR1098" s="1">
        <f t="shared" si="17"/>
        <v>2.0880000000000005</v>
      </c>
    </row>
    <row r="1099" spans="1:44" x14ac:dyDescent="0.2">
      <c r="A1099" s="17" t="s">
        <v>231</v>
      </c>
      <c r="B1099" s="9" t="s">
        <v>35</v>
      </c>
      <c r="C1099" t="s">
        <v>332</v>
      </c>
      <c r="D1099" s="10" t="s">
        <v>37</v>
      </c>
      <c r="E1099" t="s">
        <v>236</v>
      </c>
      <c r="F1099" t="s">
        <v>237</v>
      </c>
      <c r="G1099">
        <v>-10</v>
      </c>
      <c r="H1099">
        <v>-20</v>
      </c>
      <c r="I1099" s="1" t="s">
        <v>40</v>
      </c>
      <c r="J1099">
        <v>3.15</v>
      </c>
      <c r="K1099">
        <v>-10</v>
      </c>
      <c r="L1099">
        <v>-2.6789156626506001</v>
      </c>
      <c r="M1099" s="1" t="s">
        <v>40</v>
      </c>
      <c r="N1099">
        <v>2.7445783132530202</v>
      </c>
      <c r="O1099">
        <v>2.87590361445783</v>
      </c>
      <c r="P1099"/>
      <c r="Q1099">
        <v>0.28759036144578298</v>
      </c>
      <c r="R1099">
        <v>0.53796782073443805</v>
      </c>
      <c r="S1099" s="1" t="str">
        <f>VLOOKUP($E1099,'Product Naming'!$A$1:$P$58,2,FALSE)</f>
        <v>Hexane</v>
      </c>
      <c r="T1099" s="1" t="str">
        <f>VLOOKUP($E1099,'Product Naming'!$A$1:$P$58,3,FALSE)</f>
        <v>Hexane</v>
      </c>
      <c r="U1099" s="1" t="str">
        <f>VLOOKUP($E1099,'Product Naming'!$A$1:$P$58,4,FALSE)</f>
        <v>E</v>
      </c>
      <c r="V1099" s="1" t="str">
        <f>VLOOKUP($E1099,'Product Naming'!$A$1:$P$58,5,FALSE)</f>
        <v>C6H14</v>
      </c>
      <c r="W1099" s="1">
        <f>VLOOKUP($E1099,'Product Naming'!$A$1:$P$58,6,FALSE)</f>
        <v>6</v>
      </c>
      <c r="X1099" s="1">
        <f>VLOOKUP($E1099,'Product Naming'!$A$1:$P$58,7,FALSE)</f>
        <v>14</v>
      </c>
      <c r="Y1099" s="1">
        <f>VLOOKUP($E1099,'Product Naming'!$A$1:$P$58,8,FALSE)</f>
        <v>0</v>
      </c>
      <c r="Z1099" s="1">
        <f>VLOOKUP($E1099,'Product Naming'!$A$1:$P$58,9,FALSE)</f>
        <v>0</v>
      </c>
      <c r="AA1099" s="1">
        <f>VLOOKUP($E1099,'Product Naming'!$A$1:$P$58,10,FALSE)</f>
        <v>0</v>
      </c>
      <c r="AB1099" s="29">
        <f>VLOOKUP($E1099,'Product Naming'!$A$1:$P$58,11,FALSE)</f>
        <v>6.333333333333333</v>
      </c>
      <c r="AC1099" s="3">
        <f>VLOOKUP($E1099,'Product Naming'!$A$1:$P$58,12,FALSE)</f>
        <v>86.173959999999994</v>
      </c>
      <c r="AD1099" s="1">
        <f>VLOOKUP($E1099,'Product Naming'!$A$1:$P$58,13,FALSE)</f>
        <v>69</v>
      </c>
      <c r="AE1099" s="1" t="str">
        <f>VLOOKUP($E1099,'Product Naming'!$A$1:$P$58,14,FALSE)</f>
        <v>Hydrocarbon (alkane)</v>
      </c>
      <c r="AF1099" s="1" t="str">
        <f>VLOOKUP($E1099,'Product Naming'!$A$1:$P$58,15,FALSE)</f>
        <v>Acetyl-CoA + Succinyl-CoA</v>
      </c>
      <c r="AG1099" s="30" t="str">
        <f>VLOOKUP($E1099,'Product Naming'!$A$1:$P$58,16,FALSE)</f>
        <v>Proton symporter</v>
      </c>
      <c r="AH1099" s="3" t="str">
        <f>VLOOKUP($E1099,'Product Naming'!$A$1:$Q$58,17,FALSE)</f>
        <v>hex_c</v>
      </c>
      <c r="AI1099" s="1">
        <f>VLOOKUP($E1099,'Product Parameters'!$A$2:$D$59,2,FALSE)</f>
        <v>1</v>
      </c>
      <c r="AJ1099" s="1">
        <f>VLOOKUP($E1099,'Product Parameters'!$A$2:$D$59,3,FALSE)</f>
        <v>0</v>
      </c>
      <c r="AK1099" s="1">
        <f>VLOOKUP($E1099,'Product Parameters'!$A$2:$D$59,4,FALSE)</f>
        <v>0.12</v>
      </c>
      <c r="AL1099" s="1">
        <f>VLOOKUP($E1099,'Product Parameters'!$A$2:$E$59,5,FALSE)</f>
        <v>31</v>
      </c>
      <c r="AM1099" s="1">
        <f>VLOOKUP($E1099,'Product Parameters'!$A$2:$F$59,6,FALSE)</f>
        <v>6</v>
      </c>
      <c r="AN1099" s="1">
        <f>VLOOKUP($C1099,'Substrate Heating'!$A$2:$C$33,3,FALSE)</f>
        <v>1230.0006480000002</v>
      </c>
      <c r="AO1099" s="1">
        <f>VLOOKUP($C1099,'Substrate Heating'!$A$2:$B$33,2,FALSE)</f>
        <v>26.7</v>
      </c>
      <c r="AP1099" s="1">
        <f>VLOOKUP($C1099,'Substrate Heating'!$A$2:$M$33,13,FALSE)</f>
        <v>6</v>
      </c>
      <c r="AQ1099" s="1">
        <f>VLOOKUP($C1099,'Substrate Heating'!$A$2:$M$33,8,FALSE)</f>
        <v>2</v>
      </c>
      <c r="AR1099" s="1">
        <f t="shared" si="17"/>
        <v>0.86277108433734895</v>
      </c>
    </row>
    <row r="1100" spans="1:44" x14ac:dyDescent="0.2">
      <c r="A1100" s="8" t="s">
        <v>34</v>
      </c>
      <c r="B1100" s="9" t="s">
        <v>35</v>
      </c>
      <c r="C1100" s="1" t="s">
        <v>345</v>
      </c>
      <c r="D1100" s="10" t="s">
        <v>37</v>
      </c>
      <c r="E1100" s="1" t="s">
        <v>244</v>
      </c>
      <c r="F1100" s="1" t="s">
        <v>245</v>
      </c>
      <c r="G1100" s="1">
        <v>-10</v>
      </c>
      <c r="H1100" s="1">
        <v>-20</v>
      </c>
      <c r="I1100" s="1" t="s">
        <v>40</v>
      </c>
      <c r="J1100" s="1">
        <v>3.15</v>
      </c>
      <c r="K1100" s="1">
        <v>-10</v>
      </c>
      <c r="L1100" s="1">
        <v>-1.4125000000000101</v>
      </c>
      <c r="M1100" s="1" t="s">
        <v>40</v>
      </c>
      <c r="N1100" s="1">
        <v>5.1300000000000203</v>
      </c>
      <c r="O1100" s="1">
        <v>3.7174999999999998</v>
      </c>
      <c r="Q1100" s="1">
        <v>0.37175000000000002</v>
      </c>
      <c r="R1100" s="1">
        <v>0.53916304269632997</v>
      </c>
      <c r="S1100" s="1" t="str">
        <f>VLOOKUP($E1100,'Product Naming'!$A$1:$P$58,2,FALSE)</f>
        <v>Isobutyrate</v>
      </c>
      <c r="T1100" s="1" t="str">
        <f>VLOOKUP($E1100,'Product Naming'!$A$1:$P$58,3,FALSE)</f>
        <v>Isobutyrate</v>
      </c>
      <c r="U1100" s="1" t="str">
        <f>VLOOKUP($E1100,'Product Naming'!$A$1:$P$58,4,FALSE)</f>
        <v>A</v>
      </c>
      <c r="V1100" s="1" t="str">
        <f>VLOOKUP($E1100,'Product Naming'!$A$1:$P$58,5,FALSE)</f>
        <v>C4H7O2</v>
      </c>
      <c r="W1100" s="1">
        <f>VLOOKUP($E1100,'Product Naming'!$A$1:$P$58,6,FALSE)</f>
        <v>4</v>
      </c>
      <c r="X1100" s="1">
        <f>VLOOKUP($E1100,'Product Naming'!$A$1:$P$58,7,FALSE)</f>
        <v>7</v>
      </c>
      <c r="Y1100" s="1">
        <f>VLOOKUP($E1100,'Product Naming'!$A$1:$P$58,8,FALSE)</f>
        <v>2</v>
      </c>
      <c r="Z1100" s="1">
        <f>VLOOKUP($E1100,'Product Naming'!$A$1:$P$58,9,FALSE)</f>
        <v>0</v>
      </c>
      <c r="AA1100" s="1">
        <f>VLOOKUP($E1100,'Product Naming'!$A$1:$P$58,10,FALSE)</f>
        <v>-1</v>
      </c>
      <c r="AB1100" s="29">
        <f>VLOOKUP($E1100,'Product Naming'!$A$1:$P$58,11,FALSE)</f>
        <v>4.75</v>
      </c>
      <c r="AC1100" s="3">
        <f>VLOOKUP($E1100,'Product Naming'!$A$1:$P$58,12,FALSE)</f>
        <v>87.095680000000002</v>
      </c>
      <c r="AD1100" s="1">
        <f>VLOOKUP($E1100,'Product Naming'!$A$1:$P$58,13,FALSE)</f>
        <v>155</v>
      </c>
      <c r="AE1100" s="1" t="str">
        <f>VLOOKUP($E1100,'Product Naming'!$A$1:$P$58,14,FALSE)</f>
        <v>Carboxylate</v>
      </c>
      <c r="AF1100" s="1" t="str">
        <f>VLOOKUP($E1100,'Product Naming'!$A$1:$P$58,15,FALSE)</f>
        <v>Pyruvate</v>
      </c>
      <c r="AG1100" s="30" t="str">
        <f>VLOOKUP($E1100,'Product Naming'!$A$1:$P$58,16,FALSE)</f>
        <v>Proton symporter</v>
      </c>
      <c r="AH1100" s="3" t="str">
        <f>VLOOKUP($E1100,'Product Naming'!$A$1:$Q$58,17,FALSE)</f>
        <v>ibt_c</v>
      </c>
      <c r="AI1100" s="1">
        <f>VLOOKUP($E1100,'Product Parameters'!$A$2:$D$59,2,FALSE)</f>
        <v>1</v>
      </c>
      <c r="AJ1100" s="1">
        <f>VLOOKUP($E1100,'Product Parameters'!$A$2:$D$59,3,FALSE)</f>
        <v>0</v>
      </c>
      <c r="AK1100" s="1">
        <f>VLOOKUP($E1100,'Product Parameters'!$A$2:$D$59,4,FALSE)</f>
        <v>0.12</v>
      </c>
      <c r="AL1100" s="1">
        <f>VLOOKUP($E1100,'Product Parameters'!$A$2:$E$59,5,FALSE)</f>
        <v>44.5</v>
      </c>
      <c r="AM1100" s="1">
        <f>VLOOKUP($E1100,'Product Parameters'!$A$2:$F$59,6,FALSE)</f>
        <v>4</v>
      </c>
      <c r="AN1100" s="1">
        <f>VLOOKUP($C1100,'Substrate Heating'!$A$2:$C$33,3,FALSE)</f>
        <v>1020.8629199999999</v>
      </c>
      <c r="AO1100" s="1">
        <f>VLOOKUP($C1100,'Substrate Heating'!$A$2:$B$33,2,FALSE)</f>
        <v>17</v>
      </c>
      <c r="AP1100" s="1">
        <f>VLOOKUP($C1100,'Substrate Heating'!$A$2:$M$33,13,FALSE)</f>
        <v>4</v>
      </c>
      <c r="AQ1100" s="1">
        <f>VLOOKUP($C1100,'Substrate Heating'!$A$2:$M$33,8,FALSE)</f>
        <v>2</v>
      </c>
      <c r="AR1100" s="1">
        <f t="shared" si="17"/>
        <v>0.74350000000000005</v>
      </c>
    </row>
    <row r="1101" spans="1:44" x14ac:dyDescent="0.2">
      <c r="A1101" s="8" t="s">
        <v>34</v>
      </c>
      <c r="B1101" s="9" t="s">
        <v>35</v>
      </c>
      <c r="C1101" s="1" t="s">
        <v>341</v>
      </c>
      <c r="D1101" s="24" t="s">
        <v>342</v>
      </c>
      <c r="E1101" s="1" t="s">
        <v>66</v>
      </c>
      <c r="F1101" s="1" t="s">
        <v>67</v>
      </c>
      <c r="G1101" s="1">
        <v>-10</v>
      </c>
      <c r="H1101" s="1">
        <v>-20</v>
      </c>
      <c r="I1101" s="1" t="s">
        <v>40</v>
      </c>
      <c r="J1101" s="1">
        <v>3.15</v>
      </c>
      <c r="K1101" s="1">
        <v>-10</v>
      </c>
      <c r="L1101" s="1">
        <v>-0.689534883720892</v>
      </c>
      <c r="M1101" s="1" t="s">
        <v>40</v>
      </c>
      <c r="N1101" s="1">
        <v>16.865116279069799</v>
      </c>
      <c r="O1101" s="1">
        <v>10.783720930232599</v>
      </c>
      <c r="Q1101" s="1">
        <v>1.0783720930232601</v>
      </c>
      <c r="R1101" s="1">
        <v>0.53944379902148198</v>
      </c>
      <c r="S1101" s="1" t="str">
        <f>VLOOKUP($E1101,'Product Naming'!$A$1:$P$58,2,FALSE)</f>
        <v>1-4-butanediol</v>
      </c>
      <c r="T1101" s="1" t="str">
        <f>VLOOKUP($E1101,'Product Naming'!$A$1:$P$58,3,FALSE)</f>
        <v>1,4-Butanediol</v>
      </c>
      <c r="U1101" s="1" t="str">
        <f>VLOOKUP($E1101,'Product Naming'!$A$1:$P$58,4,FALSE)</f>
        <v>E</v>
      </c>
      <c r="V1101" s="1" t="str">
        <f>VLOOKUP($E1101,'Product Naming'!$A$1:$P$58,5,FALSE)</f>
        <v>C4H10O2</v>
      </c>
      <c r="W1101" s="1">
        <f>VLOOKUP($E1101,'Product Naming'!$A$1:$P$58,6,FALSE)</f>
        <v>4</v>
      </c>
      <c r="X1101" s="1">
        <f>VLOOKUP($E1101,'Product Naming'!$A$1:$P$58,7,FALSE)</f>
        <v>10</v>
      </c>
      <c r="Y1101" s="1">
        <f>VLOOKUP($E1101,'Product Naming'!$A$1:$P$58,8,FALSE)</f>
        <v>2</v>
      </c>
      <c r="Z1101" s="1">
        <f>VLOOKUP($E1101,'Product Naming'!$A$1:$P$58,9,FALSE)</f>
        <v>0</v>
      </c>
      <c r="AA1101" s="1">
        <f>VLOOKUP($E1101,'Product Naming'!$A$1:$P$58,10,FALSE)</f>
        <v>0</v>
      </c>
      <c r="AB1101" s="29">
        <f>VLOOKUP($E1101,'Product Naming'!$A$1:$P$58,11,FALSE)</f>
        <v>5.5</v>
      </c>
      <c r="AC1101" s="3">
        <f>VLOOKUP($E1101,'Product Naming'!$A$1:$P$58,12,FALSE)</f>
        <v>90.119200000000006</v>
      </c>
      <c r="AD1101" s="1">
        <f>VLOOKUP($E1101,'Product Naming'!$A$1:$P$58,13,FALSE)</f>
        <v>230</v>
      </c>
      <c r="AE1101" s="1" t="str">
        <f>VLOOKUP($E1101,'Product Naming'!$A$1:$P$58,14,FALSE)</f>
        <v>Diol</v>
      </c>
      <c r="AF1101" s="1" t="str">
        <f>VLOOKUP($E1101,'Product Naming'!$A$1:$P$58,15,FALSE)</f>
        <v>aKG</v>
      </c>
      <c r="AG1101" s="30" t="str">
        <f>VLOOKUP($E1101,'Product Naming'!$A$1:$P$58,16,FALSE)</f>
        <v>Proton symporter</v>
      </c>
      <c r="AH1101" s="3" t="str">
        <f>VLOOKUP($E1101,'Product Naming'!$A$1:$Q$58,17,FALSE)</f>
        <v>14bdo_c</v>
      </c>
      <c r="AI1101" s="1">
        <f>VLOOKUP($E1101,'Product Parameters'!$A$2:$D$59,2,FALSE)</f>
        <v>1</v>
      </c>
      <c r="AJ1101" s="1">
        <f>VLOOKUP($E1101,'Product Parameters'!$A$2:$D$59,3,FALSE)</f>
        <v>0</v>
      </c>
      <c r="AK1101" s="1">
        <f>VLOOKUP($E1101,'Product Parameters'!$A$2:$D$59,4,FALSE)</f>
        <v>0.12</v>
      </c>
      <c r="AL1101" s="1">
        <f>VLOOKUP($E1101,'Product Parameters'!$A$2:$E$59,5,FALSE)</f>
        <v>78</v>
      </c>
      <c r="AM1101" s="1">
        <f>VLOOKUP($E1101,'Product Parameters'!$A$2:$F$59,6,FALSE)</f>
        <v>4</v>
      </c>
      <c r="AN1101" s="1">
        <f>VLOOKUP($C1101,'Substrate Heating'!$A$2:$C$33,3,FALSE)</f>
        <v>2828.4492</v>
      </c>
      <c r="AO1101" s="1">
        <f>VLOOKUP($C1101,'Substrate Heating'!$A$2:$B$33,2,FALSE)</f>
        <v>15.7</v>
      </c>
      <c r="AP1101" s="1">
        <f>VLOOKUP($C1101,'Substrate Heating'!$A$2:$M$33,13,FALSE)</f>
        <v>4</v>
      </c>
      <c r="AQ1101" s="1">
        <f>VLOOKUP($C1101,'Substrate Heating'!$A$2:$M$33,8,FALSE)</f>
        <v>6</v>
      </c>
      <c r="AR1101" s="1">
        <f t="shared" si="17"/>
        <v>0.71891472868217343</v>
      </c>
    </row>
    <row r="1102" spans="1:44" x14ac:dyDescent="0.2">
      <c r="A1102" s="8" t="s">
        <v>812</v>
      </c>
      <c r="B1102" s="9" t="s">
        <v>35</v>
      </c>
      <c r="C1102" t="s">
        <v>813</v>
      </c>
      <c r="E1102" t="s">
        <v>279</v>
      </c>
      <c r="F1102" t="s">
        <v>280</v>
      </c>
      <c r="G1102">
        <v>-10</v>
      </c>
      <c r="H1102">
        <v>-20</v>
      </c>
      <c r="I1102">
        <v>0</v>
      </c>
      <c r="J1102">
        <v>3.15</v>
      </c>
      <c r="K1102">
        <v>-10</v>
      </c>
      <c r="L1102">
        <v>-9.5862686567163795</v>
      </c>
      <c r="M1102">
        <v>0</v>
      </c>
      <c r="N1102">
        <v>7.2340298507462704</v>
      </c>
      <c r="O1102">
        <v>2.5295522388059699</v>
      </c>
      <c r="P1102"/>
      <c r="Q1102">
        <v>0.25295522388059699</v>
      </c>
      <c r="R1102">
        <v>0.53984830109360904</v>
      </c>
      <c r="S1102" s="1" t="str">
        <f>VLOOKUP($E1102,'Product Naming'!$A$1:$P$58,2,FALSE)</f>
        <v>Nonane</v>
      </c>
      <c r="T1102" s="1" t="str">
        <f>VLOOKUP($E1102,'Product Naming'!$A$1:$P$58,3,FALSE)</f>
        <v>Nonane</v>
      </c>
      <c r="U1102" s="1" t="str">
        <f>VLOOKUP($E1102,'Product Naming'!$A$1:$P$58,4,FALSE)</f>
        <v>E</v>
      </c>
      <c r="V1102" s="1" t="str">
        <f>VLOOKUP($E1102,'Product Naming'!$A$1:$P$58,5,FALSE)</f>
        <v>C9H20</v>
      </c>
      <c r="W1102" s="1">
        <f>VLOOKUP($E1102,'Product Naming'!$A$1:$P$58,6,FALSE)</f>
        <v>9</v>
      </c>
      <c r="X1102" s="1">
        <f>VLOOKUP($E1102,'Product Naming'!$A$1:$P$58,7,FALSE)</f>
        <v>20</v>
      </c>
      <c r="Y1102" s="1">
        <f>VLOOKUP($E1102,'Product Naming'!$A$1:$P$58,8,FALSE)</f>
        <v>0</v>
      </c>
      <c r="Z1102" s="1">
        <f>VLOOKUP($E1102,'Product Naming'!$A$1:$P$58,9,FALSE)</f>
        <v>0</v>
      </c>
      <c r="AA1102" s="1">
        <f>VLOOKUP($E1102,'Product Naming'!$A$1:$P$58,10,FALSE)</f>
        <v>0</v>
      </c>
      <c r="AB1102" s="29">
        <f>VLOOKUP($E1102,'Product Naming'!$A$1:$P$58,11,FALSE)</f>
        <v>6.2222222222222223</v>
      </c>
      <c r="AC1102" s="3">
        <f>VLOOKUP($E1102,'Product Naming'!$A$1:$P$58,12,FALSE)</f>
        <v>128.25309999999999</v>
      </c>
      <c r="AD1102" s="1">
        <f>VLOOKUP($E1102,'Product Naming'!$A$1:$P$58,13,FALSE)</f>
        <v>151</v>
      </c>
      <c r="AE1102" s="1" t="str">
        <f>VLOOKUP($E1102,'Product Naming'!$A$1:$P$58,14,FALSE)</f>
        <v>Hydrocarbon (alkane)</v>
      </c>
      <c r="AF1102" s="1" t="str">
        <f>VLOOKUP($E1102,'Product Naming'!$A$1:$P$58,15,FALSE)</f>
        <v>Acetyl-CoA</v>
      </c>
      <c r="AG1102" s="30" t="str">
        <f>VLOOKUP($E1102,'Product Naming'!$A$1:$P$58,16,FALSE)</f>
        <v>Proton symporter</v>
      </c>
      <c r="AH1102" s="3" t="str">
        <f>VLOOKUP($E1102,'Product Naming'!$A$1:$Q$58,17,FALSE)</f>
        <v>nonan_c</v>
      </c>
      <c r="AI1102" s="1">
        <f>VLOOKUP($E1102,'Product Parameters'!$A$2:$D$59,2,FALSE)</f>
        <v>1</v>
      </c>
      <c r="AJ1102" s="1">
        <f>VLOOKUP($E1102,'Product Parameters'!$A$2:$D$59,3,FALSE)</f>
        <v>0</v>
      </c>
      <c r="AK1102" s="1">
        <f>VLOOKUP($E1102,'Product Parameters'!$A$2:$D$59,4,FALSE)</f>
        <v>0.12</v>
      </c>
      <c r="AL1102" s="1">
        <f>VLOOKUP($E1102,'Product Parameters'!$A$2:$E$59,5,FALSE)</f>
        <v>46.5</v>
      </c>
      <c r="AM1102" s="1">
        <f>VLOOKUP($E1102,'Product Parameters'!$A$2:$F$59,6,FALSE)</f>
        <v>9</v>
      </c>
      <c r="AN1102" s="1">
        <f>VLOOKUP($C1102,'Substrate Heating'!$A$2:$C$33,3,FALSE)</f>
        <v>1843.720736</v>
      </c>
      <c r="AO1102" s="1">
        <f>VLOOKUP($C1102,'Substrate Heating'!$A$2:$B$33,2,FALSE)</f>
        <v>30.68</v>
      </c>
      <c r="AP1102" s="1">
        <f>VLOOKUP($C1102,'Substrate Heating'!$A$2:$M$33,13,FALSE)</f>
        <v>6</v>
      </c>
      <c r="AQ1102" s="1">
        <f>VLOOKUP($C1102,'Substrate Heating'!$A$2:$M$33,8,FALSE)</f>
        <v>3</v>
      </c>
      <c r="AR1102" s="1">
        <f t="shared" si="17"/>
        <v>0.75886567164179086</v>
      </c>
    </row>
    <row r="1103" spans="1:44" x14ac:dyDescent="0.2">
      <c r="A1103" s="8" t="s">
        <v>812</v>
      </c>
      <c r="B1103" s="9" t="s">
        <v>35</v>
      </c>
      <c r="C1103" t="s">
        <v>813</v>
      </c>
      <c r="E1103" t="s">
        <v>158</v>
      </c>
      <c r="F1103" t="s">
        <v>159</v>
      </c>
      <c r="G1103">
        <v>-10</v>
      </c>
      <c r="H1103">
        <v>-20</v>
      </c>
      <c r="I1103">
        <v>0</v>
      </c>
      <c r="J1103">
        <v>3.15</v>
      </c>
      <c r="K1103">
        <v>-10</v>
      </c>
      <c r="L1103">
        <v>-8.6614864864864494</v>
      </c>
      <c r="M1103">
        <v>0</v>
      </c>
      <c r="N1103">
        <v>7.63783783783785</v>
      </c>
      <c r="O1103">
        <v>5.5905405405405499</v>
      </c>
      <c r="P1103"/>
      <c r="Q1103">
        <v>0.55905405405405495</v>
      </c>
      <c r="R1103">
        <v>0.54069031281178104</v>
      </c>
      <c r="S1103" s="1" t="str">
        <f>VLOOKUP($E1103,'Product Naming'!$A$1:$P$58,2,FALSE)</f>
        <v>Butane</v>
      </c>
      <c r="T1103" s="1" t="str">
        <f>VLOOKUP($E1103,'Product Naming'!$A$1:$P$58,3,FALSE)</f>
        <v>Butane</v>
      </c>
      <c r="U1103" s="1" t="str">
        <f>VLOOKUP($E1103,'Product Naming'!$A$1:$P$58,4,FALSE)</f>
        <v>E</v>
      </c>
      <c r="V1103" s="1" t="str">
        <f>VLOOKUP($E1103,'Product Naming'!$A$1:$P$58,5,FALSE)</f>
        <v>C4H10</v>
      </c>
      <c r="W1103" s="1">
        <f>VLOOKUP($E1103,'Product Naming'!$A$1:$P$58,6,FALSE)</f>
        <v>4</v>
      </c>
      <c r="X1103" s="1">
        <f>VLOOKUP($E1103,'Product Naming'!$A$1:$P$58,7,FALSE)</f>
        <v>10</v>
      </c>
      <c r="Y1103" s="1">
        <f>VLOOKUP($E1103,'Product Naming'!$A$1:$P$58,8,FALSE)</f>
        <v>0</v>
      </c>
      <c r="Z1103" s="1">
        <f>VLOOKUP($E1103,'Product Naming'!$A$1:$P$58,9,FALSE)</f>
        <v>0</v>
      </c>
      <c r="AA1103" s="1">
        <f>VLOOKUP($E1103,'Product Naming'!$A$1:$P$58,10,FALSE)</f>
        <v>0</v>
      </c>
      <c r="AB1103" s="29">
        <f>VLOOKUP($E1103,'Product Naming'!$A$1:$P$58,11,FALSE)</f>
        <v>6.5</v>
      </c>
      <c r="AC1103" s="3">
        <f>VLOOKUP($E1103,'Product Naming'!$A$1:$P$58,12,FALSE)</f>
        <v>58.121200000000002</v>
      </c>
      <c r="AD1103" s="1">
        <f>VLOOKUP($E1103,'Product Naming'!$A$1:$P$58,13,FALSE)</f>
        <v>-1</v>
      </c>
      <c r="AE1103" s="1" t="str">
        <f>VLOOKUP($E1103,'Product Naming'!$A$1:$P$58,14,FALSE)</f>
        <v>Hydrocarbon (alkane)</v>
      </c>
      <c r="AF1103" s="1" t="str">
        <f>VLOOKUP($E1103,'Product Naming'!$A$1:$P$58,15,FALSE)</f>
        <v>Acetyl-CoA + Succinyl-CoA</v>
      </c>
      <c r="AG1103" s="30" t="str">
        <f>VLOOKUP($E1103,'Product Naming'!$A$1:$P$58,16,FALSE)</f>
        <v>Diffusion</v>
      </c>
      <c r="AH1103" s="3" t="str">
        <f>VLOOKUP($E1103,'Product Naming'!$A$1:$Q$58,17,FALSE)</f>
        <v>butn_c</v>
      </c>
      <c r="AI1103" s="1">
        <f>VLOOKUP($E1103,'Product Parameters'!$A$2:$D$59,2,FALSE)</f>
        <v>0</v>
      </c>
      <c r="AJ1103" s="1">
        <f>VLOOKUP($E1103,'Product Parameters'!$A$2:$D$59,3,FALSE)</f>
        <v>1</v>
      </c>
      <c r="AK1103" s="1">
        <f>VLOOKUP($E1103,'Product Parameters'!$A$2:$D$59,4,FALSE)</f>
        <v>0.12</v>
      </c>
      <c r="AL1103" s="1">
        <f>VLOOKUP($E1103,'Product Parameters'!$A$2:$E$59,5,FALSE)</f>
        <v>0</v>
      </c>
      <c r="AM1103" s="1">
        <f>VLOOKUP($E1103,'Product Parameters'!$A$2:$F$59,6,FALSE)</f>
        <v>4</v>
      </c>
      <c r="AN1103" s="1">
        <f>VLOOKUP($C1103,'Substrate Heating'!$A$2:$C$33,3,FALSE)</f>
        <v>1843.720736</v>
      </c>
      <c r="AO1103" s="1">
        <f>VLOOKUP($C1103,'Substrate Heating'!$A$2:$B$33,2,FALSE)</f>
        <v>30.68</v>
      </c>
      <c r="AP1103" s="1">
        <f>VLOOKUP($C1103,'Substrate Heating'!$A$2:$M$33,13,FALSE)</f>
        <v>6</v>
      </c>
      <c r="AQ1103" s="1">
        <f>VLOOKUP($C1103,'Substrate Heating'!$A$2:$M$33,8,FALSE)</f>
        <v>3</v>
      </c>
      <c r="AR1103" s="1">
        <f t="shared" si="17"/>
        <v>0.74540540540540656</v>
      </c>
    </row>
    <row r="1104" spans="1:44" x14ac:dyDescent="0.2">
      <c r="A1104" s="8" t="s">
        <v>34</v>
      </c>
      <c r="B1104" s="9" t="s">
        <v>35</v>
      </c>
      <c r="C1104" s="1" t="s">
        <v>345</v>
      </c>
      <c r="D1104" s="10" t="s">
        <v>37</v>
      </c>
      <c r="E1104" s="1" t="s">
        <v>124</v>
      </c>
      <c r="F1104" s="1" t="s">
        <v>125</v>
      </c>
      <c r="G1104" s="1">
        <v>-10</v>
      </c>
      <c r="H1104" s="1">
        <v>-20</v>
      </c>
      <c r="I1104" s="1" t="s">
        <v>40</v>
      </c>
      <c r="J1104" s="1">
        <v>3.15</v>
      </c>
      <c r="K1104" s="1">
        <v>-10</v>
      </c>
      <c r="L1104" s="1">
        <v>-6.2738461538461499</v>
      </c>
      <c r="M1104" s="1" t="s">
        <v>40</v>
      </c>
      <c r="N1104" s="1">
        <v>6.2738461538461499</v>
      </c>
      <c r="O1104" s="1">
        <v>4.5753846153846096</v>
      </c>
      <c r="Q1104" s="1">
        <v>0.45753846153846101</v>
      </c>
      <c r="R1104" s="1">
        <v>0.54136022083425095</v>
      </c>
      <c r="S1104" s="1" t="str">
        <f>VLOOKUP($E1104,'Product Naming'!$A$1:$P$58,2,FALSE)</f>
        <v>Acrylate-PW1</v>
      </c>
      <c r="T1104" s="1" t="str">
        <f>VLOOKUP($E1104,'Product Naming'!$A$1:$P$58,3,FALSE)</f>
        <v>Acrylate (PW1)</v>
      </c>
      <c r="U1104" s="1" t="str">
        <f>VLOOKUP($E1104,'Product Naming'!$A$1:$P$58,4,FALSE)</f>
        <v>A</v>
      </c>
      <c r="V1104" s="1" t="str">
        <f>VLOOKUP($E1104,'Product Naming'!$A$1:$P$58,5,FALSE)</f>
        <v>C3H3O2</v>
      </c>
      <c r="W1104" s="1">
        <f>VLOOKUP($E1104,'Product Naming'!$A$1:$P$58,6,FALSE)</f>
        <v>3</v>
      </c>
      <c r="X1104" s="1">
        <f>VLOOKUP($E1104,'Product Naming'!$A$1:$P$58,7,FALSE)</f>
        <v>3</v>
      </c>
      <c r="Y1104" s="1">
        <f>VLOOKUP($E1104,'Product Naming'!$A$1:$P$58,8,FALSE)</f>
        <v>2</v>
      </c>
      <c r="Z1104" s="1">
        <f>VLOOKUP($E1104,'Product Naming'!$A$1:$P$58,9,FALSE)</f>
        <v>0</v>
      </c>
      <c r="AA1104" s="1">
        <f>VLOOKUP($E1104,'Product Naming'!$A$1:$P$58,10,FALSE)</f>
        <v>-1</v>
      </c>
      <c r="AB1104" s="29">
        <f>VLOOKUP($E1104,'Product Naming'!$A$1:$P$58,11,FALSE)</f>
        <v>3.6666666666666665</v>
      </c>
      <c r="AC1104" s="3">
        <f>VLOOKUP($E1104,'Product Naming'!$A$1:$P$58,12,FALSE)</f>
        <v>71.053619999999995</v>
      </c>
      <c r="AD1104" s="1">
        <f>VLOOKUP($E1104,'Product Naming'!$A$1:$P$58,13,FALSE)</f>
        <v>80</v>
      </c>
      <c r="AE1104" s="1" t="str">
        <f>VLOOKUP($E1104,'Product Naming'!$A$1:$P$58,14,FALSE)</f>
        <v>Carboxylate</v>
      </c>
      <c r="AF1104" s="1" t="str">
        <f>VLOOKUP($E1104,'Product Naming'!$A$1:$P$58,15,FALSE)</f>
        <v>Glyceraldehyde 3-P</v>
      </c>
      <c r="AG1104" s="30" t="str">
        <f>VLOOKUP($E1104,'Product Naming'!$A$1:$P$58,16,FALSE)</f>
        <v>Proton symporter</v>
      </c>
      <c r="AH1104" s="3" t="str">
        <f>VLOOKUP($E1104,'Product Naming'!$A$1:$Q$58,17,FALSE)</f>
        <v>acryl_c</v>
      </c>
      <c r="AI1104" s="1">
        <f>VLOOKUP($E1104,'Product Parameters'!$A$2:$D$59,2,FALSE)</f>
        <v>1</v>
      </c>
      <c r="AJ1104" s="1">
        <f>VLOOKUP($E1104,'Product Parameters'!$A$2:$D$59,3,FALSE)</f>
        <v>0</v>
      </c>
      <c r="AK1104" s="1">
        <f>VLOOKUP($E1104,'Product Parameters'!$A$2:$D$59,4,FALSE)</f>
        <v>0.12</v>
      </c>
      <c r="AL1104" s="1">
        <f>VLOOKUP($E1104,'Product Parameters'!$A$2:$E$59,5,FALSE)</f>
        <v>53.1</v>
      </c>
      <c r="AM1104" s="1">
        <f>VLOOKUP($E1104,'Product Parameters'!$A$2:$F$59,6,FALSE)</f>
        <v>3</v>
      </c>
      <c r="AN1104" s="1">
        <f>VLOOKUP($C1104,'Substrate Heating'!$A$2:$C$33,3,FALSE)</f>
        <v>1020.8629199999999</v>
      </c>
      <c r="AO1104" s="1">
        <f>VLOOKUP($C1104,'Substrate Heating'!$A$2:$B$33,2,FALSE)</f>
        <v>17</v>
      </c>
      <c r="AP1104" s="1">
        <f>VLOOKUP($C1104,'Substrate Heating'!$A$2:$M$33,13,FALSE)</f>
        <v>4</v>
      </c>
      <c r="AQ1104" s="1">
        <f>VLOOKUP($C1104,'Substrate Heating'!$A$2:$M$33,8,FALSE)</f>
        <v>2</v>
      </c>
      <c r="AR1104" s="1">
        <f t="shared" si="17"/>
        <v>0.68630769230769151</v>
      </c>
    </row>
    <row r="1105" spans="1:44" x14ac:dyDescent="0.2">
      <c r="A1105" s="8" t="s">
        <v>34</v>
      </c>
      <c r="B1105" s="9" t="s">
        <v>35</v>
      </c>
      <c r="C1105" s="1" t="s">
        <v>345</v>
      </c>
      <c r="D1105" s="10" t="s">
        <v>37</v>
      </c>
      <c r="E1105" s="1" t="s">
        <v>209</v>
      </c>
      <c r="F1105" s="1" t="s">
        <v>210</v>
      </c>
      <c r="G1105" s="1">
        <v>-10</v>
      </c>
      <c r="H1105" s="1">
        <v>-20</v>
      </c>
      <c r="I1105" s="1" t="s">
        <v>40</v>
      </c>
      <c r="J1105" s="1">
        <v>3.15</v>
      </c>
      <c r="K1105" s="1">
        <v>-10</v>
      </c>
      <c r="L1105" s="1">
        <v>-2.9964285714285701</v>
      </c>
      <c r="M1105" s="1" t="s">
        <v>40</v>
      </c>
      <c r="N1105" s="1">
        <v>4.8857142857142799</v>
      </c>
      <c r="O1105" s="1">
        <v>3.77857142857142</v>
      </c>
      <c r="Q1105" s="1">
        <v>0.377857142857142</v>
      </c>
      <c r="R1105" s="1">
        <v>0.54167896584864506</v>
      </c>
      <c r="S1105" s="1" t="str">
        <f>VLOOKUP($E1105,'Product Naming'!$A$1:$P$58,2,FALSE)</f>
        <v>GammaButyrolactone</v>
      </c>
      <c r="T1105" s="1" t="str">
        <f>VLOOKUP($E1105,'Product Naming'!$A$1:$P$58,3,FALSE)</f>
        <v>Gamma butyrolactone</v>
      </c>
      <c r="U1105" s="1" t="str">
        <f>VLOOKUP($E1105,'Product Naming'!$A$1:$P$58,4,FALSE)</f>
        <v>A</v>
      </c>
      <c r="V1105" s="1" t="str">
        <f>VLOOKUP($E1105,'Product Naming'!$A$1:$P$58,5,FALSE)</f>
        <v>C4H6O2</v>
      </c>
      <c r="W1105" s="1">
        <f>VLOOKUP($E1105,'Product Naming'!$A$1:$P$58,6,FALSE)</f>
        <v>4</v>
      </c>
      <c r="X1105" s="1">
        <f>VLOOKUP($E1105,'Product Naming'!$A$1:$P$58,7,FALSE)</f>
        <v>6</v>
      </c>
      <c r="Y1105" s="1">
        <f>VLOOKUP($E1105,'Product Naming'!$A$1:$P$58,8,FALSE)</f>
        <v>2</v>
      </c>
      <c r="Z1105" s="1">
        <f>VLOOKUP($E1105,'Product Naming'!$A$1:$P$58,9,FALSE)</f>
        <v>0</v>
      </c>
      <c r="AA1105" s="1">
        <f>VLOOKUP($E1105,'Product Naming'!$A$1:$P$58,10,FALSE)</f>
        <v>0</v>
      </c>
      <c r="AB1105" s="29">
        <f>VLOOKUP($E1105,'Product Naming'!$A$1:$P$58,11,FALSE)</f>
        <v>4.5</v>
      </c>
      <c r="AC1105" s="3">
        <f>VLOOKUP($E1105,'Product Naming'!$A$1:$P$58,12,FALSE)</f>
        <v>86.08784</v>
      </c>
      <c r="AD1105" s="1">
        <f>VLOOKUP($E1105,'Product Naming'!$A$1:$P$58,13,FALSE)</f>
        <v>204</v>
      </c>
      <c r="AE1105" s="1" t="str">
        <f>VLOOKUP($E1105,'Product Naming'!$A$1:$P$58,14,FALSE)</f>
        <v>Lactone (cyclic ester)</v>
      </c>
      <c r="AF1105" s="1" t="str">
        <f>VLOOKUP($E1105,'Product Naming'!$A$1:$P$58,15,FALSE)</f>
        <v>aKG</v>
      </c>
      <c r="AG1105" s="30" t="str">
        <f>VLOOKUP($E1105,'Product Naming'!$A$1:$P$58,16,FALSE)</f>
        <v>Proton symporter</v>
      </c>
      <c r="AH1105" s="3" t="str">
        <f>VLOOKUP($E1105,'Product Naming'!$A$1:$Q$58,17,FALSE)</f>
        <v>gblt_c</v>
      </c>
      <c r="AI1105" s="1">
        <f>VLOOKUP($E1105,'Product Parameters'!$A$2:$D$59,2,FALSE)</f>
        <v>1</v>
      </c>
      <c r="AJ1105" s="1">
        <f>VLOOKUP($E1105,'Product Parameters'!$A$2:$D$59,3,FALSE)</f>
        <v>0</v>
      </c>
      <c r="AK1105" s="1">
        <f>VLOOKUP($E1105,'Product Parameters'!$A$2:$D$59,4,FALSE)</f>
        <v>0.12</v>
      </c>
      <c r="AL1105" s="1">
        <f>VLOOKUP($E1105,'Product Parameters'!$A$2:$E$59,5,FALSE)</f>
        <v>0</v>
      </c>
      <c r="AM1105" s="1">
        <f>VLOOKUP($E1105,'Product Parameters'!$A$2:$F$59,6,FALSE)</f>
        <v>4</v>
      </c>
      <c r="AN1105" s="1">
        <f>VLOOKUP($C1105,'Substrate Heating'!$A$2:$C$33,3,FALSE)</f>
        <v>1020.8629199999999</v>
      </c>
      <c r="AO1105" s="1">
        <f>VLOOKUP($C1105,'Substrate Heating'!$A$2:$B$33,2,FALSE)</f>
        <v>17</v>
      </c>
      <c r="AP1105" s="1">
        <f>VLOOKUP($C1105,'Substrate Heating'!$A$2:$M$33,13,FALSE)</f>
        <v>4</v>
      </c>
      <c r="AQ1105" s="1">
        <f>VLOOKUP($C1105,'Substrate Heating'!$A$2:$M$33,8,FALSE)</f>
        <v>2</v>
      </c>
      <c r="AR1105" s="1">
        <f t="shared" si="17"/>
        <v>0.75571428571428401</v>
      </c>
    </row>
    <row r="1106" spans="1:44" x14ac:dyDescent="0.2">
      <c r="A1106" s="8" t="s">
        <v>34</v>
      </c>
      <c r="B1106" s="9" t="s">
        <v>35</v>
      </c>
      <c r="C1106" s="1" t="s">
        <v>331</v>
      </c>
      <c r="D1106" s="10" t="s">
        <v>37</v>
      </c>
      <c r="E1106" s="1" t="s">
        <v>114</v>
      </c>
      <c r="F1106" s="1" t="s">
        <v>115</v>
      </c>
      <c r="G1106" s="1">
        <v>-10</v>
      </c>
      <c r="H1106" s="1">
        <v>-20</v>
      </c>
      <c r="I1106" s="1" t="s">
        <v>40</v>
      </c>
      <c r="J1106" s="1">
        <v>3.15</v>
      </c>
      <c r="K1106" s="1">
        <v>-10</v>
      </c>
      <c r="L1106" s="1">
        <v>-7.7781249999999904</v>
      </c>
      <c r="M1106" s="1" t="s">
        <v>40</v>
      </c>
      <c r="N1106" s="1">
        <v>5.6484374999999902</v>
      </c>
      <c r="O1106" s="1">
        <v>2.8703124999999998</v>
      </c>
      <c r="Q1106" s="1">
        <v>0.28703125000000002</v>
      </c>
      <c r="R1106" s="1">
        <v>0.54174424557812295</v>
      </c>
      <c r="S1106" s="1" t="str">
        <f>VLOOKUP($E1106,'Product Naming'!$A$1:$P$58,2,FALSE)</f>
        <v>5-Aminopentanoate</v>
      </c>
      <c r="T1106" s="1" t="str">
        <f>VLOOKUP($E1106,'Product Naming'!$A$1:$P$58,3,FALSE)</f>
        <v>5-Aminopentanoate</v>
      </c>
      <c r="U1106" s="1" t="str">
        <f>VLOOKUP($E1106,'Product Naming'!$A$1:$P$58,4,FALSE)</f>
        <v>A</v>
      </c>
      <c r="V1106" s="1" t="str">
        <f>VLOOKUP($E1106,'Product Naming'!$A$1:$P$58,5,FALSE)</f>
        <v>C5H11NO2</v>
      </c>
      <c r="W1106" s="1">
        <f>VLOOKUP($E1106,'Product Naming'!$A$1:$P$58,6,FALSE)</f>
        <v>5</v>
      </c>
      <c r="X1106" s="1">
        <f>VLOOKUP($E1106,'Product Naming'!$A$1:$P$58,7,FALSE)</f>
        <v>11</v>
      </c>
      <c r="Y1106" s="1">
        <f>VLOOKUP($E1106,'Product Naming'!$A$1:$P$58,8,FALSE)</f>
        <v>2</v>
      </c>
      <c r="Z1106" s="1">
        <f>VLOOKUP($E1106,'Product Naming'!$A$1:$P$58,9,FALSE)</f>
        <v>1</v>
      </c>
      <c r="AA1106" s="1">
        <f>VLOOKUP($E1106,'Product Naming'!$A$1:$P$58,10,FALSE)</f>
        <v>0</v>
      </c>
      <c r="AB1106" s="29">
        <f>VLOOKUP($E1106,'Product Naming'!$A$1:$P$58,11,FALSE)</f>
        <v>4.8</v>
      </c>
      <c r="AC1106" s="3">
        <f>VLOOKUP($E1106,'Product Naming'!$A$1:$P$58,12,FALSE)</f>
        <v>117.14444</v>
      </c>
      <c r="AD1106" s="1">
        <f>VLOOKUP($E1106,'Product Naming'!$A$1:$P$58,13,FALSE)</f>
        <v>247.5</v>
      </c>
      <c r="AE1106" s="1" t="str">
        <f>VLOOKUP($E1106,'Product Naming'!$A$1:$P$58,14,FALSE)</f>
        <v>D-Amino Acid</v>
      </c>
      <c r="AF1106" s="1" t="str">
        <f>VLOOKUP($E1106,'Product Naming'!$A$1:$P$58,15,FALSE)</f>
        <v>Oxaloacetate</v>
      </c>
      <c r="AG1106" s="30" t="str">
        <f>VLOOKUP($E1106,'Product Naming'!$A$1:$P$58,16,FALSE)</f>
        <v>Proton symporter</v>
      </c>
      <c r="AH1106" s="3" t="str">
        <f>VLOOKUP($E1106,'Product Naming'!$A$1:$Q$58,17,FALSE)</f>
        <v>5aptn_c</v>
      </c>
      <c r="AI1106" s="1">
        <f>VLOOKUP($E1106,'Product Parameters'!$A$2:$D$59,2,FALSE)</f>
        <v>1</v>
      </c>
      <c r="AJ1106" s="1">
        <f>VLOOKUP($E1106,'Product Parameters'!$A$2:$D$59,3,FALSE)</f>
        <v>0</v>
      </c>
      <c r="AK1106" s="1">
        <f>VLOOKUP($E1106,'Product Parameters'!$A$2:$D$59,4,FALSE)</f>
        <v>0.12</v>
      </c>
      <c r="AL1106" s="1">
        <f>VLOOKUP($E1106,'Product Parameters'!$A$2:$E$59,5,FALSE)</f>
        <v>40.65</v>
      </c>
      <c r="AM1106" s="1">
        <f>VLOOKUP($E1106,'Product Parameters'!$A$2:$F$59,6,FALSE)</f>
        <v>5</v>
      </c>
      <c r="AN1106" s="1">
        <f>VLOOKUP($C1106,'Substrate Heating'!$A$2:$C$33,3,FALSE)</f>
        <v>1055.1294800000001</v>
      </c>
      <c r="AO1106" s="1">
        <f>VLOOKUP($C1106,'Substrate Heating'!$A$2:$B$33,2,FALSE)</f>
        <v>17</v>
      </c>
      <c r="AP1106" s="1">
        <f>VLOOKUP($C1106,'Substrate Heating'!$A$2:$M$33,13,FALSE)</f>
        <v>5</v>
      </c>
      <c r="AQ1106" s="1">
        <f>VLOOKUP($C1106,'Substrate Heating'!$A$2:$M$33,8,FALSE)</f>
        <v>2</v>
      </c>
      <c r="AR1106" s="1">
        <f t="shared" si="17"/>
        <v>0.71757812500000007</v>
      </c>
    </row>
    <row r="1107" spans="1:44" x14ac:dyDescent="0.2">
      <c r="A1107" s="8" t="s">
        <v>34</v>
      </c>
      <c r="B1107" s="9" t="s">
        <v>35</v>
      </c>
      <c r="C1107" s="1" t="s">
        <v>343</v>
      </c>
      <c r="D1107" s="24" t="s">
        <v>342</v>
      </c>
      <c r="E1107" s="1" t="s">
        <v>240</v>
      </c>
      <c r="F1107" s="1" t="s">
        <v>241</v>
      </c>
      <c r="G1107" s="1">
        <v>-10</v>
      </c>
      <c r="H1107" s="1">
        <v>-20</v>
      </c>
      <c r="I1107" s="1" t="s">
        <v>40</v>
      </c>
      <c r="J1107" s="1">
        <v>3.15</v>
      </c>
      <c r="K1107" s="1">
        <v>-10</v>
      </c>
      <c r="L1107" s="1">
        <v>-0.21702127659574799</v>
      </c>
      <c r="M1107" s="1" t="s">
        <v>40</v>
      </c>
      <c r="N1107" s="1">
        <v>6.8113475177304998</v>
      </c>
      <c r="O1107" s="1">
        <v>5.7971631205673804</v>
      </c>
      <c r="Q1107" s="1">
        <v>0.57971631205673702</v>
      </c>
      <c r="R1107" s="1">
        <v>0.54218065557632</v>
      </c>
      <c r="S1107" s="1" t="str">
        <f>VLOOKUP($E1107,'Product Naming'!$A$1:$P$58,2,FALSE)</f>
        <v>Isobutanol</v>
      </c>
      <c r="T1107" s="1" t="str">
        <f>VLOOKUP($E1107,'Product Naming'!$A$1:$P$58,3,FALSE)</f>
        <v>Isobutanol</v>
      </c>
      <c r="U1107" s="1" t="str">
        <f>VLOOKUP($E1107,'Product Naming'!$A$1:$P$58,4,FALSE)</f>
        <v>E</v>
      </c>
      <c r="V1107" s="1" t="str">
        <f>VLOOKUP($E1107,'Product Naming'!$A$1:$P$58,5,FALSE)</f>
        <v>C5H10O</v>
      </c>
      <c r="W1107" s="1">
        <f>VLOOKUP($E1107,'Product Naming'!$A$1:$P$58,6,FALSE)</f>
        <v>5</v>
      </c>
      <c r="X1107" s="1">
        <f>VLOOKUP($E1107,'Product Naming'!$A$1:$P$58,7,FALSE)</f>
        <v>10</v>
      </c>
      <c r="Y1107" s="1">
        <f>VLOOKUP($E1107,'Product Naming'!$A$1:$P$58,8,FALSE)</f>
        <v>1</v>
      </c>
      <c r="Z1107" s="1">
        <f>VLOOKUP($E1107,'Product Naming'!$A$1:$P$58,9,FALSE)</f>
        <v>0</v>
      </c>
      <c r="AA1107" s="1">
        <f>VLOOKUP($E1107,'Product Naming'!$A$1:$P$58,10,FALSE)</f>
        <v>0</v>
      </c>
      <c r="AB1107" s="29">
        <f>VLOOKUP($E1107,'Product Naming'!$A$1:$P$58,11,FALSE)</f>
        <v>5.6</v>
      </c>
      <c r="AC1107" s="3">
        <f>VLOOKUP($E1107,'Product Naming'!$A$1:$P$58,12,FALSE)</f>
        <v>86.130899999999997</v>
      </c>
      <c r="AD1107" s="1">
        <f>VLOOKUP($E1107,'Product Naming'!$A$1:$P$58,13,FALSE)</f>
        <v>108</v>
      </c>
      <c r="AE1107" s="1" t="str">
        <f>VLOOKUP($E1107,'Product Naming'!$A$1:$P$58,14,FALSE)</f>
        <v>Alcohol</v>
      </c>
      <c r="AF1107" s="1" t="str">
        <f>VLOOKUP($E1107,'Product Naming'!$A$1:$P$58,15,FALSE)</f>
        <v>Pyruvate</v>
      </c>
      <c r="AG1107" s="30" t="str">
        <f>VLOOKUP($E1107,'Product Naming'!$A$1:$P$58,16,FALSE)</f>
        <v>Proton symporter</v>
      </c>
      <c r="AH1107" s="3" t="str">
        <f>VLOOKUP($E1107,'Product Naming'!$A$1:$Q$58,17,FALSE)</f>
        <v>ibutoh_c</v>
      </c>
      <c r="AI1107" s="1">
        <f>VLOOKUP($E1107,'Product Parameters'!$A$2:$D$59,2,FALSE)</f>
        <v>1</v>
      </c>
      <c r="AJ1107" s="1">
        <f>VLOOKUP($E1107,'Product Parameters'!$A$2:$D$59,3,FALSE)</f>
        <v>0</v>
      </c>
      <c r="AK1107" s="1">
        <f>VLOOKUP($E1107,'Product Parameters'!$A$2:$D$59,4,FALSE)</f>
        <v>0.12</v>
      </c>
      <c r="AL1107" s="1">
        <f>VLOOKUP($E1107,'Product Parameters'!$A$2:$E$59,5,FALSE)</f>
        <v>51</v>
      </c>
      <c r="AM1107" s="1">
        <f>VLOOKUP($E1107,'Product Parameters'!$A$2:$F$59,6,FALSE)</f>
        <v>5</v>
      </c>
      <c r="AN1107" s="1">
        <f>VLOOKUP($C1107,'Substrate Heating'!$A$2:$C$33,3,FALSE)</f>
        <v>1648.4793779999998</v>
      </c>
      <c r="AO1107" s="1">
        <f>VLOOKUP($C1107,'Substrate Heating'!$A$2:$B$33,2,FALSE)</f>
        <v>17.899999999999999</v>
      </c>
      <c r="AP1107" s="1">
        <f>VLOOKUP($C1107,'Substrate Heating'!$A$2:$M$33,13,FALSE)</f>
        <v>4.666666666666667</v>
      </c>
      <c r="AQ1107" s="1">
        <f>VLOOKUP($C1107,'Substrate Heating'!$A$2:$M$33,8,FALSE)</f>
        <v>3</v>
      </c>
      <c r="AR1107" s="1">
        <f t="shared" si="17"/>
        <v>0.9661938534278951</v>
      </c>
    </row>
    <row r="1108" spans="1:44" x14ac:dyDescent="0.2">
      <c r="A1108" s="8" t="s">
        <v>34</v>
      </c>
      <c r="B1108" s="9" t="s">
        <v>35</v>
      </c>
      <c r="C1108" s="1" t="s">
        <v>330</v>
      </c>
      <c r="D1108" s="10" t="s">
        <v>37</v>
      </c>
      <c r="E1108" s="1" t="s">
        <v>66</v>
      </c>
      <c r="F1108" s="1" t="s">
        <v>67</v>
      </c>
      <c r="G1108" s="1">
        <v>-10</v>
      </c>
      <c r="H1108" s="1">
        <v>-20</v>
      </c>
      <c r="I1108" s="1" t="s">
        <v>40</v>
      </c>
      <c r="J1108" s="1">
        <v>3.15</v>
      </c>
      <c r="K1108" s="1">
        <v>-10</v>
      </c>
      <c r="L1108" s="1">
        <v>-4.4548387096774196</v>
      </c>
      <c r="M1108" s="1" t="s">
        <v>40</v>
      </c>
      <c r="N1108" s="1">
        <v>5.0580645161290301</v>
      </c>
      <c r="O1108" s="1">
        <v>3.73548387096774</v>
      </c>
      <c r="Q1108" s="1">
        <v>0.37354838709677401</v>
      </c>
      <c r="R1108" s="1">
        <v>0.54238495879335002</v>
      </c>
      <c r="S1108" s="1" t="str">
        <f>VLOOKUP($E1108,'Product Naming'!$A$1:$P$58,2,FALSE)</f>
        <v>1-4-butanediol</v>
      </c>
      <c r="T1108" s="1" t="str">
        <f>VLOOKUP($E1108,'Product Naming'!$A$1:$P$58,3,FALSE)</f>
        <v>1,4-Butanediol</v>
      </c>
      <c r="U1108" s="1" t="str">
        <f>VLOOKUP($E1108,'Product Naming'!$A$1:$P$58,4,FALSE)</f>
        <v>E</v>
      </c>
      <c r="V1108" s="1" t="str">
        <f>VLOOKUP($E1108,'Product Naming'!$A$1:$P$58,5,FALSE)</f>
        <v>C4H10O2</v>
      </c>
      <c r="W1108" s="1">
        <f>VLOOKUP($E1108,'Product Naming'!$A$1:$P$58,6,FALSE)</f>
        <v>4</v>
      </c>
      <c r="X1108" s="1">
        <f>VLOOKUP($E1108,'Product Naming'!$A$1:$P$58,7,FALSE)</f>
        <v>10</v>
      </c>
      <c r="Y1108" s="1">
        <f>VLOOKUP($E1108,'Product Naming'!$A$1:$P$58,8,FALSE)</f>
        <v>2</v>
      </c>
      <c r="Z1108" s="1">
        <f>VLOOKUP($E1108,'Product Naming'!$A$1:$P$58,9,FALSE)</f>
        <v>0</v>
      </c>
      <c r="AA1108" s="1">
        <f>VLOOKUP($E1108,'Product Naming'!$A$1:$P$58,10,FALSE)</f>
        <v>0</v>
      </c>
      <c r="AB1108" s="29">
        <f>VLOOKUP($E1108,'Product Naming'!$A$1:$P$58,11,FALSE)</f>
        <v>5.5</v>
      </c>
      <c r="AC1108" s="3">
        <f>VLOOKUP($E1108,'Product Naming'!$A$1:$P$58,12,FALSE)</f>
        <v>90.119200000000006</v>
      </c>
      <c r="AD1108" s="1">
        <f>VLOOKUP($E1108,'Product Naming'!$A$1:$P$58,13,FALSE)</f>
        <v>230</v>
      </c>
      <c r="AE1108" s="1" t="str">
        <f>VLOOKUP($E1108,'Product Naming'!$A$1:$P$58,14,FALSE)</f>
        <v>Diol</v>
      </c>
      <c r="AF1108" s="1" t="str">
        <f>VLOOKUP($E1108,'Product Naming'!$A$1:$P$58,15,FALSE)</f>
        <v>aKG</v>
      </c>
      <c r="AG1108" s="30" t="str">
        <f>VLOOKUP($E1108,'Product Naming'!$A$1:$P$58,16,FALSE)</f>
        <v>Proton symporter</v>
      </c>
      <c r="AH1108" s="3" t="str">
        <f>VLOOKUP($E1108,'Product Naming'!$A$1:$Q$58,17,FALSE)</f>
        <v>14bdo_c</v>
      </c>
      <c r="AI1108" s="1">
        <f>VLOOKUP($E1108,'Product Parameters'!$A$2:$D$59,2,FALSE)</f>
        <v>1</v>
      </c>
      <c r="AJ1108" s="1">
        <f>VLOOKUP($E1108,'Product Parameters'!$A$2:$D$59,3,FALSE)</f>
        <v>0</v>
      </c>
      <c r="AK1108" s="1">
        <f>VLOOKUP($E1108,'Product Parameters'!$A$2:$D$59,4,FALSE)</f>
        <v>0.12</v>
      </c>
      <c r="AL1108" s="1">
        <f>VLOOKUP($E1108,'Product Parameters'!$A$2:$E$59,5,FALSE)</f>
        <v>78</v>
      </c>
      <c r="AM1108" s="1">
        <f>VLOOKUP($E1108,'Product Parameters'!$A$2:$F$59,6,FALSE)</f>
        <v>4</v>
      </c>
      <c r="AN1108" s="1">
        <f>VLOOKUP($C1108,'Substrate Heating'!$A$2:$C$33,3,FALSE)</f>
        <v>1055.1294800000001</v>
      </c>
      <c r="AO1108" s="1">
        <f>VLOOKUP($C1108,'Substrate Heating'!$A$2:$B$33,2,FALSE)</f>
        <v>17</v>
      </c>
      <c r="AP1108" s="1">
        <f>VLOOKUP($C1108,'Substrate Heating'!$A$2:$M$33,13,FALSE)</f>
        <v>5</v>
      </c>
      <c r="AQ1108" s="1">
        <f>VLOOKUP($C1108,'Substrate Heating'!$A$2:$M$33,8,FALSE)</f>
        <v>2</v>
      </c>
      <c r="AR1108" s="1">
        <f t="shared" si="17"/>
        <v>0.74709677419354803</v>
      </c>
    </row>
    <row r="1109" spans="1:44" x14ac:dyDescent="0.2">
      <c r="A1109" s="8" t="s">
        <v>34</v>
      </c>
      <c r="B1109" s="9" t="s">
        <v>35</v>
      </c>
      <c r="C1109" s="1" t="s">
        <v>345</v>
      </c>
      <c r="D1109" s="10" t="s">
        <v>37</v>
      </c>
      <c r="E1109" s="1" t="s">
        <v>180</v>
      </c>
      <c r="F1109" s="1" t="s">
        <v>181</v>
      </c>
      <c r="G1109" s="1">
        <v>-10</v>
      </c>
      <c r="H1109" s="1">
        <v>-20</v>
      </c>
      <c r="I1109" s="1" t="s">
        <v>40</v>
      </c>
      <c r="J1109" s="1">
        <v>3.15</v>
      </c>
      <c r="K1109" s="1">
        <v>-10</v>
      </c>
      <c r="L1109" s="1">
        <v>-7.1877284595300202</v>
      </c>
      <c r="M1109" s="1" t="s">
        <v>40</v>
      </c>
      <c r="N1109" s="1">
        <v>6.0229765013054797</v>
      </c>
      <c r="O1109" s="1">
        <v>2.3295039164490801</v>
      </c>
      <c r="Q1109" s="1">
        <v>0.23295039164490799</v>
      </c>
      <c r="R1109" s="1">
        <v>0.54343541877283297</v>
      </c>
      <c r="S1109" s="1" t="str">
        <f>VLOOKUP($E1109,'Product Naming'!$A$1:$P$58,2,FALSE)</f>
        <v>ciscisMuconate</v>
      </c>
      <c r="T1109" s="1" t="str">
        <f>VLOOKUP($E1109,'Product Naming'!$A$1:$P$58,3,FALSE)</f>
        <v>cis,cis-Muconate</v>
      </c>
      <c r="U1109" s="1" t="str">
        <f>VLOOKUP($E1109,'Product Naming'!$A$1:$P$58,4,FALSE)</f>
        <v>A</v>
      </c>
      <c r="V1109" s="1" t="str">
        <f>VLOOKUP($E1109,'Product Naming'!$A$1:$P$58,5,FALSE)</f>
        <v>C6H4O4</v>
      </c>
      <c r="W1109" s="1">
        <f>VLOOKUP($E1109,'Product Naming'!$A$1:$P$58,6,FALSE)</f>
        <v>6</v>
      </c>
      <c r="X1109" s="1">
        <f>VLOOKUP($E1109,'Product Naming'!$A$1:$P$58,7,FALSE)</f>
        <v>4</v>
      </c>
      <c r="Y1109" s="1">
        <f>VLOOKUP($E1109,'Product Naming'!$A$1:$P$58,8,FALSE)</f>
        <v>4</v>
      </c>
      <c r="Z1109" s="1">
        <f>VLOOKUP($E1109,'Product Naming'!$A$1:$P$58,9,FALSE)</f>
        <v>0</v>
      </c>
      <c r="AA1109" s="1">
        <f>VLOOKUP($E1109,'Product Naming'!$A$1:$P$58,10,FALSE)</f>
        <v>-2</v>
      </c>
      <c r="AB1109" s="29">
        <f>VLOOKUP($E1109,'Product Naming'!$A$1:$P$58,11,FALSE)</f>
        <v>3.3333333333333335</v>
      </c>
      <c r="AC1109" s="3">
        <f>VLOOKUP($E1109,'Product Naming'!$A$1:$P$58,12,FALSE)</f>
        <v>140.09156000000002</v>
      </c>
      <c r="AD1109" s="1">
        <f>VLOOKUP($E1109,'Product Naming'!$A$1:$P$58,13,FALSE)</f>
        <v>345.4</v>
      </c>
      <c r="AE1109" s="1" t="str">
        <f>VLOOKUP($E1109,'Product Naming'!$A$1:$P$58,14,FALSE)</f>
        <v>Dicarboxylate</v>
      </c>
      <c r="AF1109" s="1" t="str">
        <f>VLOOKUP($E1109,'Product Naming'!$A$1:$P$58,15,FALSE)</f>
        <v>Glyceraldehyde 3-P</v>
      </c>
      <c r="AG1109" s="30" t="str">
        <f>VLOOKUP($E1109,'Product Naming'!$A$1:$P$58,16,FALSE)</f>
        <v>Proton symporter</v>
      </c>
      <c r="AH1109" s="3" t="str">
        <f>VLOOKUP($E1109,'Product Naming'!$A$1:$Q$58,17,FALSE)</f>
        <v>ccmuac_c</v>
      </c>
      <c r="AI1109" s="1">
        <f>VLOOKUP($E1109,'Product Parameters'!$A$2:$D$59,2,FALSE)</f>
        <v>1</v>
      </c>
      <c r="AJ1109" s="1">
        <f>VLOOKUP($E1109,'Product Parameters'!$A$2:$D$59,3,FALSE)</f>
        <v>0</v>
      </c>
      <c r="AK1109" s="1">
        <f>VLOOKUP($E1109,'Product Parameters'!$A$2:$D$59,4,FALSE)</f>
        <v>0.12</v>
      </c>
      <c r="AL1109" s="1">
        <f>VLOOKUP($E1109,'Product Parameters'!$A$2:$E$59,5,FALSE)</f>
        <v>40.65</v>
      </c>
      <c r="AM1109" s="1">
        <f>VLOOKUP($E1109,'Product Parameters'!$A$2:$F$59,6,FALSE)</f>
        <v>6</v>
      </c>
      <c r="AN1109" s="1">
        <f>VLOOKUP($C1109,'Substrate Heating'!$A$2:$C$33,3,FALSE)</f>
        <v>1020.8629199999999</v>
      </c>
      <c r="AO1109" s="1">
        <f>VLOOKUP($C1109,'Substrate Heating'!$A$2:$B$33,2,FALSE)</f>
        <v>17</v>
      </c>
      <c r="AP1109" s="1">
        <f>VLOOKUP($C1109,'Substrate Heating'!$A$2:$M$33,13,FALSE)</f>
        <v>4</v>
      </c>
      <c r="AQ1109" s="1">
        <f>VLOOKUP($C1109,'Substrate Heating'!$A$2:$M$33,8,FALSE)</f>
        <v>2</v>
      </c>
      <c r="AR1109" s="1">
        <f t="shared" si="17"/>
        <v>0.69885117493472393</v>
      </c>
    </row>
    <row r="1110" spans="1:44" x14ac:dyDescent="0.2">
      <c r="A1110" s="8" t="s">
        <v>34</v>
      </c>
      <c r="B1110" s="9" t="s">
        <v>35</v>
      </c>
      <c r="C1110" s="1" t="s">
        <v>332</v>
      </c>
      <c r="D1110" s="10" t="s">
        <v>37</v>
      </c>
      <c r="E1110" s="1" t="s">
        <v>287</v>
      </c>
      <c r="F1110" s="1" t="s">
        <v>288</v>
      </c>
      <c r="G1110" s="1">
        <v>-10</v>
      </c>
      <c r="H1110" s="1">
        <v>-20</v>
      </c>
      <c r="I1110" s="1" t="s">
        <v>40</v>
      </c>
      <c r="J1110" s="1">
        <v>3.15</v>
      </c>
      <c r="K1110" s="1">
        <v>-10</v>
      </c>
      <c r="L1110" s="1">
        <v>-2.19166666666667</v>
      </c>
      <c r="M1110" s="1" t="s">
        <v>40</v>
      </c>
      <c r="N1110" s="1">
        <v>2.6197916666666701</v>
      </c>
      <c r="O1110" s="1">
        <v>3.4760416666666698</v>
      </c>
      <c r="Q1110" s="1">
        <v>0.34760416666666699</v>
      </c>
      <c r="R1110" s="1">
        <v>0.54439316408545102</v>
      </c>
      <c r="S1110" s="1" t="str">
        <f>VLOOKUP($E1110,'Product Naming'!$A$1:$P$58,2,FALSE)</f>
        <v>Pentane</v>
      </c>
      <c r="T1110" s="1" t="str">
        <f>VLOOKUP($E1110,'Product Naming'!$A$1:$P$58,3,FALSE)</f>
        <v>Pentane</v>
      </c>
      <c r="U1110" s="1" t="str">
        <f>VLOOKUP($E1110,'Product Naming'!$A$1:$P$58,4,FALSE)</f>
        <v>E</v>
      </c>
      <c r="V1110" s="1" t="str">
        <f>VLOOKUP($E1110,'Product Naming'!$A$1:$P$58,5,FALSE)</f>
        <v>C5H12</v>
      </c>
      <c r="W1110" s="1">
        <f>VLOOKUP($E1110,'Product Naming'!$A$1:$P$58,6,FALSE)</f>
        <v>5</v>
      </c>
      <c r="X1110" s="1">
        <f>VLOOKUP($E1110,'Product Naming'!$A$1:$P$58,7,FALSE)</f>
        <v>12</v>
      </c>
      <c r="Y1110" s="1">
        <f>VLOOKUP($E1110,'Product Naming'!$A$1:$P$58,8,FALSE)</f>
        <v>0</v>
      </c>
      <c r="Z1110" s="1">
        <f>VLOOKUP($E1110,'Product Naming'!$A$1:$P$58,9,FALSE)</f>
        <v>0</v>
      </c>
      <c r="AA1110" s="1">
        <f>VLOOKUP($E1110,'Product Naming'!$A$1:$P$58,10,FALSE)</f>
        <v>0</v>
      </c>
      <c r="AB1110" s="29">
        <f>VLOOKUP($E1110,'Product Naming'!$A$1:$P$58,11,FALSE)</f>
        <v>6.4</v>
      </c>
      <c r="AC1110" s="3">
        <f>VLOOKUP($E1110,'Product Naming'!$A$1:$P$58,12,FALSE)</f>
        <v>72.147580000000005</v>
      </c>
      <c r="AD1110" s="1">
        <f>VLOOKUP($E1110,'Product Naming'!$A$1:$P$58,13,FALSE)</f>
        <v>36.1</v>
      </c>
      <c r="AE1110" s="1" t="str">
        <f>VLOOKUP($E1110,'Product Naming'!$A$1:$P$58,14,FALSE)</f>
        <v>Hydrocarbon (alkane)</v>
      </c>
      <c r="AF1110" s="1" t="str">
        <f>VLOOKUP($E1110,'Product Naming'!$A$1:$P$58,15,FALSE)</f>
        <v>Acetyl-CoA</v>
      </c>
      <c r="AG1110" s="30" t="str">
        <f>VLOOKUP($E1110,'Product Naming'!$A$1:$P$58,16,FALSE)</f>
        <v>Diffusion</v>
      </c>
      <c r="AH1110" s="3" t="str">
        <f>VLOOKUP($E1110,'Product Naming'!$A$1:$Q$58,17,FALSE)</f>
        <v>pent_c</v>
      </c>
      <c r="AI1110" s="1">
        <f>VLOOKUP($E1110,'Product Parameters'!$A$2:$D$59,2,FALSE)</f>
        <v>0</v>
      </c>
      <c r="AJ1110" s="1">
        <f>VLOOKUP($E1110,'Product Parameters'!$A$2:$D$59,3,FALSE)</f>
        <v>1</v>
      </c>
      <c r="AK1110" s="1">
        <f>VLOOKUP($E1110,'Product Parameters'!$A$2:$D$59,4,FALSE)</f>
        <v>0.12</v>
      </c>
      <c r="AL1110" s="1">
        <f>VLOOKUP($E1110,'Product Parameters'!$A$2:$E$59,5,FALSE)</f>
        <v>26.5</v>
      </c>
      <c r="AM1110" s="1">
        <f>VLOOKUP($E1110,'Product Parameters'!$A$2:$F$59,6,FALSE)</f>
        <v>5</v>
      </c>
      <c r="AN1110" s="1">
        <f>VLOOKUP($C1110,'Substrate Heating'!$A$2:$C$33,3,FALSE)</f>
        <v>1230.0006480000002</v>
      </c>
      <c r="AO1110" s="1">
        <f>VLOOKUP($C1110,'Substrate Heating'!$A$2:$B$33,2,FALSE)</f>
        <v>26.7</v>
      </c>
      <c r="AP1110" s="1">
        <f>VLOOKUP($C1110,'Substrate Heating'!$A$2:$M$33,13,FALSE)</f>
        <v>6</v>
      </c>
      <c r="AQ1110" s="1">
        <f>VLOOKUP($C1110,'Substrate Heating'!$A$2:$M$33,8,FALSE)</f>
        <v>2</v>
      </c>
      <c r="AR1110" s="1">
        <f t="shared" si="17"/>
        <v>0.86901041666666745</v>
      </c>
    </row>
    <row r="1111" spans="1:44" x14ac:dyDescent="0.2">
      <c r="A1111" s="17" t="s">
        <v>323</v>
      </c>
      <c r="B1111" s="18" t="s">
        <v>324</v>
      </c>
      <c r="C1111" t="s">
        <v>328</v>
      </c>
      <c r="D1111" s="19" t="s">
        <v>326</v>
      </c>
      <c r="E1111" t="s">
        <v>38</v>
      </c>
      <c r="F1111" t="s">
        <v>39</v>
      </c>
      <c r="G1111">
        <v>-10</v>
      </c>
      <c r="H1111">
        <v>0</v>
      </c>
      <c r="I1111">
        <v>-10</v>
      </c>
      <c r="J1111">
        <v>0.45</v>
      </c>
      <c r="K1111">
        <v>-10</v>
      </c>
      <c r="L1111">
        <v>0</v>
      </c>
      <c r="M1111">
        <v>-10</v>
      </c>
      <c r="N1111">
        <v>2.7272727272727502</v>
      </c>
      <c r="O1111">
        <v>1.8181818181818199</v>
      </c>
      <c r="P1111"/>
      <c r="Q1111">
        <v>0.18181818181818199</v>
      </c>
      <c r="R1111">
        <v>0.54563133835861</v>
      </c>
      <c r="S1111" s="1" t="str">
        <f>VLOOKUP($E1111,'Product Naming'!$A$1:$P$58,2,FALSE)</f>
        <v>1-3-butanediol-PW1</v>
      </c>
      <c r="T1111" s="1" t="str">
        <f>VLOOKUP($E1111,'Product Naming'!$A$1:$P$58,3,FALSE)</f>
        <v>1,3-Butanediol (PW1)</v>
      </c>
      <c r="U1111" s="1" t="str">
        <f>VLOOKUP($E1111,'Product Naming'!$A$1:$P$58,4,FALSE)</f>
        <v>E</v>
      </c>
      <c r="V1111" s="1" t="str">
        <f>VLOOKUP($E1111,'Product Naming'!$A$1:$P$58,5,FALSE)</f>
        <v>C4H10O2</v>
      </c>
      <c r="W1111" s="1">
        <f>VLOOKUP($E1111,'Product Naming'!$A$1:$P$58,6,FALSE)</f>
        <v>4</v>
      </c>
      <c r="X1111" s="1">
        <f>VLOOKUP($E1111,'Product Naming'!$A$1:$P$58,7,FALSE)</f>
        <v>10</v>
      </c>
      <c r="Y1111" s="1">
        <f>VLOOKUP($E1111,'Product Naming'!$A$1:$P$58,8,FALSE)</f>
        <v>2</v>
      </c>
      <c r="Z1111" s="1">
        <f>VLOOKUP($E1111,'Product Naming'!$A$1:$P$58,9,FALSE)</f>
        <v>0</v>
      </c>
      <c r="AA1111" s="1">
        <f>VLOOKUP($E1111,'Product Naming'!$A$1:$P$58,10,FALSE)</f>
        <v>0</v>
      </c>
      <c r="AB1111" s="29">
        <f>VLOOKUP($E1111,'Product Naming'!$A$1:$P$58,11,FALSE)</f>
        <v>5.5</v>
      </c>
      <c r="AC1111" s="3">
        <f>VLOOKUP($E1111,'Product Naming'!$A$1:$P$58,12,FALSE)</f>
        <v>90.119200000000006</v>
      </c>
      <c r="AD1111" s="1">
        <f>VLOOKUP($E1111,'Product Naming'!$A$1:$P$58,13,FALSE)</f>
        <v>207</v>
      </c>
      <c r="AE1111" s="1" t="str">
        <f>VLOOKUP($E1111,'Product Naming'!$A$1:$P$58,14,FALSE)</f>
        <v>Diol</v>
      </c>
      <c r="AF1111" s="1" t="str">
        <f>VLOOKUP($E1111,'Product Naming'!$A$1:$P$58,15,FALSE)</f>
        <v>Acetyl-CoA</v>
      </c>
      <c r="AG1111" s="30" t="str">
        <f>VLOOKUP($E1111,'Product Naming'!$A$1:$P$58,16,FALSE)</f>
        <v>Proton symporter</v>
      </c>
      <c r="AH1111" s="3" t="str">
        <f>VLOOKUP($E1111,'Product Naming'!$A$1:$Q$58,17,FALSE)</f>
        <v>13bdo__R_c</v>
      </c>
      <c r="AI1111" s="1">
        <f>VLOOKUP($E1111,'Product Parameters'!$A$2:$D$59,2,FALSE)</f>
        <v>1</v>
      </c>
      <c r="AJ1111" s="1">
        <f>VLOOKUP($E1111,'Product Parameters'!$A$2:$D$59,3,FALSE)</f>
        <v>0</v>
      </c>
      <c r="AK1111" s="1">
        <f>VLOOKUP($E1111,'Product Parameters'!$A$2:$D$59,4,FALSE)</f>
        <v>0.12</v>
      </c>
      <c r="AL1111" s="1">
        <f>VLOOKUP($E1111,'Product Parameters'!$A$2:$E$59,5,FALSE)</f>
        <v>72.599999999999994</v>
      </c>
      <c r="AM1111" s="1">
        <f>VLOOKUP($E1111,'Product Parameters'!$A$2:$F$59,6,FALSE)</f>
        <v>4</v>
      </c>
      <c r="AN1111" s="1">
        <f>VLOOKUP($C1111,'Substrate Heating'!$A$2:$C$33,3,FALSE)</f>
        <v>262.39999999999998</v>
      </c>
      <c r="AO1111" s="1">
        <f>VLOOKUP($C1111,'Substrate Heating'!$A$2:$B$33,2,FALSE)</f>
        <v>17.478546483008707</v>
      </c>
      <c r="AP1111" s="1">
        <f>VLOOKUP($C1111,'Substrate Heating'!$A$2:$M$33,13,FALSE)</f>
        <v>1</v>
      </c>
      <c r="AQ1111" s="1">
        <f>VLOOKUP($C1111,'Substrate Heating'!$A$2:$M$33,8,FALSE)</f>
        <v>0.5</v>
      </c>
      <c r="AR1111" s="1">
        <f t="shared" si="17"/>
        <v>1.4545454545454559</v>
      </c>
    </row>
    <row r="1112" spans="1:44" x14ac:dyDescent="0.2">
      <c r="A1112" s="17" t="s">
        <v>323</v>
      </c>
      <c r="B1112" s="18" t="s">
        <v>324</v>
      </c>
      <c r="C1112" t="s">
        <v>328</v>
      </c>
      <c r="D1112" s="19" t="s">
        <v>326</v>
      </c>
      <c r="E1112" t="s">
        <v>48</v>
      </c>
      <c r="F1112" t="s">
        <v>39</v>
      </c>
      <c r="G1112">
        <v>-10</v>
      </c>
      <c r="H1112">
        <v>0</v>
      </c>
      <c r="I1112">
        <v>-10</v>
      </c>
      <c r="J1112">
        <v>0.45</v>
      </c>
      <c r="K1112">
        <v>-10</v>
      </c>
      <c r="L1112">
        <v>0</v>
      </c>
      <c r="M1112">
        <v>-10</v>
      </c>
      <c r="N1112">
        <v>2.7272727272727302</v>
      </c>
      <c r="O1112">
        <v>1.8181818181818199</v>
      </c>
      <c r="P1112"/>
      <c r="Q1112">
        <v>0.18181818181818199</v>
      </c>
      <c r="R1112">
        <v>0.545631338358611</v>
      </c>
      <c r="S1112" s="1" t="str">
        <f>VLOOKUP($E1112,'Product Naming'!$A$1:$P$58,2,FALSE)</f>
        <v>1-3-butanediol-PW2</v>
      </c>
      <c r="T1112" s="1" t="str">
        <f>VLOOKUP($E1112,'Product Naming'!$A$1:$P$58,3,FALSE)</f>
        <v>1,3-Butanediol (PW2)</v>
      </c>
      <c r="U1112" s="1" t="str">
        <f>VLOOKUP($E1112,'Product Naming'!$A$1:$P$58,4,FALSE)</f>
        <v>E</v>
      </c>
      <c r="V1112" s="1" t="str">
        <f>VLOOKUP($E1112,'Product Naming'!$A$1:$P$58,5,FALSE)</f>
        <v>C4H10O2</v>
      </c>
      <c r="W1112" s="1">
        <f>VLOOKUP($E1112,'Product Naming'!$A$1:$P$58,6,FALSE)</f>
        <v>4</v>
      </c>
      <c r="X1112" s="1">
        <f>VLOOKUP($E1112,'Product Naming'!$A$1:$P$58,7,FALSE)</f>
        <v>10</v>
      </c>
      <c r="Y1112" s="1">
        <f>VLOOKUP($E1112,'Product Naming'!$A$1:$P$58,8,FALSE)</f>
        <v>2</v>
      </c>
      <c r="Z1112" s="1">
        <f>VLOOKUP($E1112,'Product Naming'!$A$1:$P$58,9,FALSE)</f>
        <v>0</v>
      </c>
      <c r="AA1112" s="1">
        <f>VLOOKUP($E1112,'Product Naming'!$A$1:$P$58,10,FALSE)</f>
        <v>0</v>
      </c>
      <c r="AB1112" s="29">
        <f>VLOOKUP($E1112,'Product Naming'!$A$1:$P$58,11,FALSE)</f>
        <v>5.5</v>
      </c>
      <c r="AC1112" s="3">
        <f>VLOOKUP($E1112,'Product Naming'!$A$1:$P$58,12,FALSE)</f>
        <v>90.119200000000006</v>
      </c>
      <c r="AD1112" s="1">
        <f>VLOOKUP($E1112,'Product Naming'!$A$1:$P$58,13,FALSE)</f>
        <v>207</v>
      </c>
      <c r="AE1112" s="1" t="str">
        <f>VLOOKUP($E1112,'Product Naming'!$A$1:$P$58,14,FALSE)</f>
        <v>Diol</v>
      </c>
      <c r="AF1112" s="1" t="str">
        <f>VLOOKUP($E1112,'Product Naming'!$A$1:$P$58,15,FALSE)</f>
        <v>Pyruvate (acetalehyde)</v>
      </c>
      <c r="AG1112" s="30" t="str">
        <f>VLOOKUP($E1112,'Product Naming'!$A$1:$P$58,16,FALSE)</f>
        <v>Proton symporter</v>
      </c>
      <c r="AH1112" s="3" t="str">
        <f>VLOOKUP($E1112,'Product Naming'!$A$1:$Q$58,17,FALSE)</f>
        <v>13bdo__R_c</v>
      </c>
      <c r="AI1112" s="1">
        <f>VLOOKUP($E1112,'Product Parameters'!$A$2:$D$59,2,FALSE)</f>
        <v>1</v>
      </c>
      <c r="AJ1112" s="1">
        <f>VLOOKUP($E1112,'Product Parameters'!$A$2:$D$59,3,FALSE)</f>
        <v>0</v>
      </c>
      <c r="AK1112" s="1">
        <f>VLOOKUP($E1112,'Product Parameters'!$A$2:$D$59,4,FALSE)</f>
        <v>0.12</v>
      </c>
      <c r="AL1112" s="1">
        <f>VLOOKUP($E1112,'Product Parameters'!$A$2:$E$59,5,FALSE)</f>
        <v>72.599999999999994</v>
      </c>
      <c r="AM1112" s="1">
        <f>VLOOKUP($E1112,'Product Parameters'!$A$2:$F$59,6,FALSE)</f>
        <v>4</v>
      </c>
      <c r="AN1112" s="1">
        <f>VLOOKUP($C1112,'Substrate Heating'!$A$2:$C$33,3,FALSE)</f>
        <v>262.39999999999998</v>
      </c>
      <c r="AO1112" s="1">
        <f>VLOOKUP($C1112,'Substrate Heating'!$A$2:$B$33,2,FALSE)</f>
        <v>17.478546483008707</v>
      </c>
      <c r="AP1112" s="1">
        <f>VLOOKUP($C1112,'Substrate Heating'!$A$2:$M$33,13,FALSE)</f>
        <v>1</v>
      </c>
      <c r="AQ1112" s="1">
        <f>VLOOKUP($C1112,'Substrate Heating'!$A$2:$M$33,8,FALSE)</f>
        <v>0.5</v>
      </c>
      <c r="AR1112" s="1">
        <f t="shared" si="17"/>
        <v>1.4545454545454559</v>
      </c>
    </row>
    <row r="1113" spans="1:44" x14ac:dyDescent="0.2">
      <c r="A1113" s="17" t="s">
        <v>323</v>
      </c>
      <c r="B1113" s="18" t="s">
        <v>324</v>
      </c>
      <c r="C1113" t="s">
        <v>328</v>
      </c>
      <c r="D1113" s="19" t="s">
        <v>326</v>
      </c>
      <c r="E1113" t="s">
        <v>85</v>
      </c>
      <c r="F1113" t="s">
        <v>86</v>
      </c>
      <c r="G1113">
        <v>-10</v>
      </c>
      <c r="H1113">
        <v>0</v>
      </c>
      <c r="I1113">
        <v>-10</v>
      </c>
      <c r="J1113">
        <v>0.45</v>
      </c>
      <c r="K1113">
        <v>-10</v>
      </c>
      <c r="L1113">
        <v>0</v>
      </c>
      <c r="M1113">
        <v>-10</v>
      </c>
      <c r="N1113">
        <v>2.7272727272727302</v>
      </c>
      <c r="O1113">
        <v>1.8181818181818199</v>
      </c>
      <c r="P1113"/>
      <c r="Q1113">
        <v>0.18181818181818199</v>
      </c>
      <c r="R1113">
        <v>0.545631338358611</v>
      </c>
      <c r="S1113" s="1" t="str">
        <f>VLOOKUP($E1113,'Product Naming'!$A$1:$P$58,2,FALSE)</f>
        <v>2-3-butanediol</v>
      </c>
      <c r="T1113" s="1" t="str">
        <f>VLOOKUP($E1113,'Product Naming'!$A$1:$P$58,3,FALSE)</f>
        <v>2,3-Butanediol</v>
      </c>
      <c r="U1113" s="1" t="str">
        <f>VLOOKUP($E1113,'Product Naming'!$A$1:$P$58,4,FALSE)</f>
        <v>E</v>
      </c>
      <c r="V1113" s="1" t="str">
        <f>VLOOKUP($E1113,'Product Naming'!$A$1:$P$58,5,FALSE)</f>
        <v>C4H10O2</v>
      </c>
      <c r="W1113" s="1">
        <f>VLOOKUP($E1113,'Product Naming'!$A$1:$P$58,6,FALSE)</f>
        <v>4</v>
      </c>
      <c r="X1113" s="1">
        <f>VLOOKUP($E1113,'Product Naming'!$A$1:$P$58,7,FALSE)</f>
        <v>10</v>
      </c>
      <c r="Y1113" s="1">
        <f>VLOOKUP($E1113,'Product Naming'!$A$1:$P$58,8,FALSE)</f>
        <v>2</v>
      </c>
      <c r="Z1113" s="1">
        <f>VLOOKUP($E1113,'Product Naming'!$A$1:$P$58,9,FALSE)</f>
        <v>0</v>
      </c>
      <c r="AA1113" s="1">
        <f>VLOOKUP($E1113,'Product Naming'!$A$1:$P$58,10,FALSE)</f>
        <v>0</v>
      </c>
      <c r="AB1113" s="29">
        <f>VLOOKUP($E1113,'Product Naming'!$A$1:$P$58,11,FALSE)</f>
        <v>5.5</v>
      </c>
      <c r="AC1113" s="3">
        <f>VLOOKUP($E1113,'Product Naming'!$A$1:$P$58,12,FALSE)</f>
        <v>90.119200000000006</v>
      </c>
      <c r="AD1113" s="1">
        <f>VLOOKUP($E1113,'Product Naming'!$A$1:$P$58,13,FALSE)</f>
        <v>177</v>
      </c>
      <c r="AE1113" s="1" t="str">
        <f>VLOOKUP($E1113,'Product Naming'!$A$1:$P$58,14,FALSE)</f>
        <v>Diol</v>
      </c>
      <c r="AF1113" s="1" t="str">
        <f>VLOOKUP($E1113,'Product Naming'!$A$1:$P$58,15,FALSE)</f>
        <v>Pyruvate</v>
      </c>
      <c r="AG1113" s="30" t="str">
        <f>VLOOKUP($E1113,'Product Naming'!$A$1:$P$58,16,FALSE)</f>
        <v>Proton symporter</v>
      </c>
      <c r="AH1113" s="3" t="str">
        <f>VLOOKUP($E1113,'Product Naming'!$A$1:$Q$58,17,FALSE)</f>
        <v>btd_RR_c</v>
      </c>
      <c r="AI1113" s="1">
        <f>VLOOKUP($E1113,'Product Parameters'!$A$2:$D$59,2,FALSE)</f>
        <v>1</v>
      </c>
      <c r="AJ1113" s="1">
        <f>VLOOKUP($E1113,'Product Parameters'!$A$2:$D$59,3,FALSE)</f>
        <v>0</v>
      </c>
      <c r="AK1113" s="1">
        <f>VLOOKUP($E1113,'Product Parameters'!$A$2:$D$59,4,FALSE)</f>
        <v>0.12</v>
      </c>
      <c r="AL1113" s="1">
        <f>VLOOKUP($E1113,'Product Parameters'!$A$2:$E$59,5,FALSE)</f>
        <v>63</v>
      </c>
      <c r="AM1113" s="1">
        <f>VLOOKUP($E1113,'Product Parameters'!$A$2:$F$59,6,FALSE)</f>
        <v>4</v>
      </c>
      <c r="AN1113" s="1">
        <f>VLOOKUP($C1113,'Substrate Heating'!$A$2:$C$33,3,FALSE)</f>
        <v>262.39999999999998</v>
      </c>
      <c r="AO1113" s="1">
        <f>VLOOKUP($C1113,'Substrate Heating'!$A$2:$B$33,2,FALSE)</f>
        <v>17.478546483008707</v>
      </c>
      <c r="AP1113" s="1">
        <f>VLOOKUP($C1113,'Substrate Heating'!$A$2:$M$33,13,FALSE)</f>
        <v>1</v>
      </c>
      <c r="AQ1113" s="1">
        <f>VLOOKUP($C1113,'Substrate Heating'!$A$2:$M$33,8,FALSE)</f>
        <v>0.5</v>
      </c>
      <c r="AR1113" s="1">
        <f t="shared" si="17"/>
        <v>1.4545454545454559</v>
      </c>
    </row>
    <row r="1114" spans="1:44" x14ac:dyDescent="0.2">
      <c r="A1114" s="8" t="s">
        <v>34</v>
      </c>
      <c r="B1114" s="9" t="s">
        <v>35</v>
      </c>
      <c r="C1114" s="1" t="s">
        <v>349</v>
      </c>
      <c r="D1114" s="25" t="s">
        <v>342</v>
      </c>
      <c r="E1114" s="1" t="s">
        <v>48</v>
      </c>
      <c r="F1114" s="1" t="s">
        <v>39</v>
      </c>
      <c r="G1114" s="1">
        <v>-10</v>
      </c>
      <c r="H1114" s="1">
        <v>-20</v>
      </c>
      <c r="I1114" s="1" t="s">
        <v>40</v>
      </c>
      <c r="J1114" s="1">
        <v>3.15</v>
      </c>
      <c r="K1114" s="1">
        <v>-10</v>
      </c>
      <c r="L1114" s="1">
        <v>0</v>
      </c>
      <c r="M1114" s="1" t="s">
        <v>40</v>
      </c>
      <c r="N1114" s="1">
        <v>13.636363636363599</v>
      </c>
      <c r="O1114" s="1">
        <v>9.0909090909090899</v>
      </c>
      <c r="Q1114" s="1">
        <v>0.90909090909090895</v>
      </c>
      <c r="R1114" s="1">
        <v>0.54570402620758995</v>
      </c>
      <c r="S1114" s="1" t="str">
        <f>VLOOKUP($E1114,'Product Naming'!$A$1:$P$58,2,FALSE)</f>
        <v>1-3-butanediol-PW2</v>
      </c>
      <c r="T1114" s="1" t="str">
        <f>VLOOKUP($E1114,'Product Naming'!$A$1:$P$58,3,FALSE)</f>
        <v>1,3-Butanediol (PW2)</v>
      </c>
      <c r="U1114" s="1" t="str">
        <f>VLOOKUP($E1114,'Product Naming'!$A$1:$P$58,4,FALSE)</f>
        <v>E</v>
      </c>
      <c r="V1114" s="1" t="str">
        <f>VLOOKUP($E1114,'Product Naming'!$A$1:$P$58,5,FALSE)</f>
        <v>C4H10O2</v>
      </c>
      <c r="W1114" s="1">
        <f>VLOOKUP($E1114,'Product Naming'!$A$1:$P$58,6,FALSE)</f>
        <v>4</v>
      </c>
      <c r="X1114" s="1">
        <f>VLOOKUP($E1114,'Product Naming'!$A$1:$P$58,7,FALSE)</f>
        <v>10</v>
      </c>
      <c r="Y1114" s="1">
        <f>VLOOKUP($E1114,'Product Naming'!$A$1:$P$58,8,FALSE)</f>
        <v>2</v>
      </c>
      <c r="Z1114" s="1">
        <f>VLOOKUP($E1114,'Product Naming'!$A$1:$P$58,9,FALSE)</f>
        <v>0</v>
      </c>
      <c r="AA1114" s="1">
        <f>VLOOKUP($E1114,'Product Naming'!$A$1:$P$58,10,FALSE)</f>
        <v>0</v>
      </c>
      <c r="AB1114" s="29">
        <f>VLOOKUP($E1114,'Product Naming'!$A$1:$P$58,11,FALSE)</f>
        <v>5.5</v>
      </c>
      <c r="AC1114" s="3">
        <f>VLOOKUP($E1114,'Product Naming'!$A$1:$P$58,12,FALSE)</f>
        <v>90.119200000000006</v>
      </c>
      <c r="AD1114" s="1">
        <f>VLOOKUP($E1114,'Product Naming'!$A$1:$P$58,13,FALSE)</f>
        <v>207</v>
      </c>
      <c r="AE1114" s="1" t="str">
        <f>VLOOKUP($E1114,'Product Naming'!$A$1:$P$58,14,FALSE)</f>
        <v>Diol</v>
      </c>
      <c r="AF1114" s="1" t="str">
        <f>VLOOKUP($E1114,'Product Naming'!$A$1:$P$58,15,FALSE)</f>
        <v>Pyruvate (acetalehyde)</v>
      </c>
      <c r="AG1114" s="30" t="str">
        <f>VLOOKUP($E1114,'Product Naming'!$A$1:$P$58,16,FALSE)</f>
        <v>Proton symporter</v>
      </c>
      <c r="AH1114" s="3" t="str">
        <f>VLOOKUP($E1114,'Product Naming'!$A$1:$Q$58,17,FALSE)</f>
        <v>13bdo__R_c</v>
      </c>
      <c r="AI1114" s="1">
        <f>VLOOKUP($E1114,'Product Parameters'!$A$2:$D$59,2,FALSE)</f>
        <v>1</v>
      </c>
      <c r="AJ1114" s="1">
        <f>VLOOKUP($E1114,'Product Parameters'!$A$2:$D$59,3,FALSE)</f>
        <v>0</v>
      </c>
      <c r="AK1114" s="1">
        <f>VLOOKUP($E1114,'Product Parameters'!$A$2:$D$59,4,FALSE)</f>
        <v>0.12</v>
      </c>
      <c r="AL1114" s="1">
        <f>VLOOKUP($E1114,'Product Parameters'!$A$2:$E$59,5,FALSE)</f>
        <v>72.599999999999994</v>
      </c>
      <c r="AM1114" s="1">
        <f>VLOOKUP($E1114,'Product Parameters'!$A$2:$F$59,6,FALSE)</f>
        <v>4</v>
      </c>
      <c r="AN1114" s="1">
        <f>VLOOKUP($C1114,'Substrate Heating'!$A$2:$C$33,3,FALSE)</f>
        <v>2342.0279999999998</v>
      </c>
      <c r="AO1114" s="1">
        <f>VLOOKUP($C1114,'Substrate Heating'!$A$2:$B$33,2,FALSE)</f>
        <v>15.6</v>
      </c>
      <c r="AP1114" s="1">
        <f>VLOOKUP($C1114,'Substrate Heating'!$A$2:$M$33,13,FALSE)</f>
        <v>4</v>
      </c>
      <c r="AQ1114" s="1">
        <f>VLOOKUP($C1114,'Substrate Heating'!$A$2:$M$33,8,FALSE)</f>
        <v>5</v>
      </c>
      <c r="AR1114" s="1">
        <f t="shared" si="17"/>
        <v>0.72727272727272718</v>
      </c>
    </row>
    <row r="1115" spans="1:44" x14ac:dyDescent="0.2">
      <c r="A1115" s="8" t="s">
        <v>34</v>
      </c>
      <c r="B1115" s="9" t="s">
        <v>35</v>
      </c>
      <c r="C1115" s="1" t="s">
        <v>349</v>
      </c>
      <c r="D1115" s="25" t="s">
        <v>342</v>
      </c>
      <c r="E1115" s="1" t="s">
        <v>85</v>
      </c>
      <c r="F1115" s="1" t="s">
        <v>86</v>
      </c>
      <c r="G1115" s="1">
        <v>-10</v>
      </c>
      <c r="H1115" s="1">
        <v>-20</v>
      </c>
      <c r="I1115" s="1" t="s">
        <v>40</v>
      </c>
      <c r="J1115" s="1">
        <v>3.15</v>
      </c>
      <c r="K1115" s="1">
        <v>-10</v>
      </c>
      <c r="L1115" s="1">
        <v>1.7040170444273E-15</v>
      </c>
      <c r="M1115" s="1" t="s">
        <v>40</v>
      </c>
      <c r="N1115" s="1">
        <v>13.636363636363599</v>
      </c>
      <c r="O1115" s="1">
        <v>9.0909090909090899</v>
      </c>
      <c r="Q1115" s="1">
        <v>0.90909090909090895</v>
      </c>
      <c r="R1115" s="1">
        <v>0.54570402620758995</v>
      </c>
      <c r="S1115" s="1" t="str">
        <f>VLOOKUP($E1115,'Product Naming'!$A$1:$P$58,2,FALSE)</f>
        <v>2-3-butanediol</v>
      </c>
      <c r="T1115" s="1" t="str">
        <f>VLOOKUP($E1115,'Product Naming'!$A$1:$P$58,3,FALSE)</f>
        <v>2,3-Butanediol</v>
      </c>
      <c r="U1115" s="1" t="str">
        <f>VLOOKUP($E1115,'Product Naming'!$A$1:$P$58,4,FALSE)</f>
        <v>E</v>
      </c>
      <c r="V1115" s="1" t="str">
        <f>VLOOKUP($E1115,'Product Naming'!$A$1:$P$58,5,FALSE)</f>
        <v>C4H10O2</v>
      </c>
      <c r="W1115" s="1">
        <f>VLOOKUP($E1115,'Product Naming'!$A$1:$P$58,6,FALSE)</f>
        <v>4</v>
      </c>
      <c r="X1115" s="1">
        <f>VLOOKUP($E1115,'Product Naming'!$A$1:$P$58,7,FALSE)</f>
        <v>10</v>
      </c>
      <c r="Y1115" s="1">
        <f>VLOOKUP($E1115,'Product Naming'!$A$1:$P$58,8,FALSE)</f>
        <v>2</v>
      </c>
      <c r="Z1115" s="1">
        <f>VLOOKUP($E1115,'Product Naming'!$A$1:$P$58,9,FALSE)</f>
        <v>0</v>
      </c>
      <c r="AA1115" s="1">
        <f>VLOOKUP($E1115,'Product Naming'!$A$1:$P$58,10,FALSE)</f>
        <v>0</v>
      </c>
      <c r="AB1115" s="29">
        <f>VLOOKUP($E1115,'Product Naming'!$A$1:$P$58,11,FALSE)</f>
        <v>5.5</v>
      </c>
      <c r="AC1115" s="3">
        <f>VLOOKUP($E1115,'Product Naming'!$A$1:$P$58,12,FALSE)</f>
        <v>90.119200000000006</v>
      </c>
      <c r="AD1115" s="1">
        <f>VLOOKUP($E1115,'Product Naming'!$A$1:$P$58,13,FALSE)</f>
        <v>177</v>
      </c>
      <c r="AE1115" s="1" t="str">
        <f>VLOOKUP($E1115,'Product Naming'!$A$1:$P$58,14,FALSE)</f>
        <v>Diol</v>
      </c>
      <c r="AF1115" s="1" t="str">
        <f>VLOOKUP($E1115,'Product Naming'!$A$1:$P$58,15,FALSE)</f>
        <v>Pyruvate</v>
      </c>
      <c r="AG1115" s="30" t="str">
        <f>VLOOKUP($E1115,'Product Naming'!$A$1:$P$58,16,FALSE)</f>
        <v>Proton symporter</v>
      </c>
      <c r="AH1115" s="3" t="str">
        <f>VLOOKUP($E1115,'Product Naming'!$A$1:$Q$58,17,FALSE)</f>
        <v>btd_RR_c</v>
      </c>
      <c r="AI1115" s="1">
        <f>VLOOKUP($E1115,'Product Parameters'!$A$2:$D$59,2,FALSE)</f>
        <v>1</v>
      </c>
      <c r="AJ1115" s="1">
        <f>VLOOKUP($E1115,'Product Parameters'!$A$2:$D$59,3,FALSE)</f>
        <v>0</v>
      </c>
      <c r="AK1115" s="1">
        <f>VLOOKUP($E1115,'Product Parameters'!$A$2:$D$59,4,FALSE)</f>
        <v>0.12</v>
      </c>
      <c r="AL1115" s="1">
        <f>VLOOKUP($E1115,'Product Parameters'!$A$2:$E$59,5,FALSE)</f>
        <v>63</v>
      </c>
      <c r="AM1115" s="1">
        <f>VLOOKUP($E1115,'Product Parameters'!$A$2:$F$59,6,FALSE)</f>
        <v>4</v>
      </c>
      <c r="AN1115" s="1">
        <f>VLOOKUP($C1115,'Substrate Heating'!$A$2:$C$33,3,FALSE)</f>
        <v>2342.0279999999998</v>
      </c>
      <c r="AO1115" s="1">
        <f>VLOOKUP($C1115,'Substrate Heating'!$A$2:$B$33,2,FALSE)</f>
        <v>15.6</v>
      </c>
      <c r="AP1115" s="1">
        <f>VLOOKUP($C1115,'Substrate Heating'!$A$2:$M$33,13,FALSE)</f>
        <v>4</v>
      </c>
      <c r="AQ1115" s="1">
        <f>VLOOKUP($C1115,'Substrate Heating'!$A$2:$M$33,8,FALSE)</f>
        <v>5</v>
      </c>
      <c r="AR1115" s="1">
        <f t="shared" si="17"/>
        <v>0.72727272727272718</v>
      </c>
    </row>
    <row r="1116" spans="1:44" x14ac:dyDescent="0.2">
      <c r="A1116" s="8" t="s">
        <v>34</v>
      </c>
      <c r="B1116" s="9" t="s">
        <v>35</v>
      </c>
      <c r="C1116" s="1" t="s">
        <v>349</v>
      </c>
      <c r="D1116" s="25" t="s">
        <v>342</v>
      </c>
      <c r="E1116" s="1" t="s">
        <v>38</v>
      </c>
      <c r="F1116" s="1" t="s">
        <v>39</v>
      </c>
      <c r="G1116" s="1">
        <v>-10</v>
      </c>
      <c r="H1116" s="1">
        <v>-20</v>
      </c>
      <c r="I1116" s="1" t="s">
        <v>40</v>
      </c>
      <c r="J1116" s="1">
        <v>3.15</v>
      </c>
      <c r="K1116" s="1">
        <v>-10</v>
      </c>
      <c r="L1116" s="1">
        <v>-2.4000162127029198E-16</v>
      </c>
      <c r="M1116" s="1" t="s">
        <v>40</v>
      </c>
      <c r="N1116" s="1">
        <v>13.636363636363701</v>
      </c>
      <c r="O1116" s="1">
        <v>9.0909090909091006</v>
      </c>
      <c r="Q1116" s="1">
        <v>0.90909090909090995</v>
      </c>
      <c r="R1116" s="1">
        <v>0.54570402620759095</v>
      </c>
      <c r="S1116" s="1" t="str">
        <f>VLOOKUP($E1116,'Product Naming'!$A$1:$P$58,2,FALSE)</f>
        <v>1-3-butanediol-PW1</v>
      </c>
      <c r="T1116" s="1" t="str">
        <f>VLOOKUP($E1116,'Product Naming'!$A$1:$P$58,3,FALSE)</f>
        <v>1,3-Butanediol (PW1)</v>
      </c>
      <c r="U1116" s="1" t="str">
        <f>VLOOKUP($E1116,'Product Naming'!$A$1:$P$58,4,FALSE)</f>
        <v>E</v>
      </c>
      <c r="V1116" s="1" t="str">
        <f>VLOOKUP($E1116,'Product Naming'!$A$1:$P$58,5,FALSE)</f>
        <v>C4H10O2</v>
      </c>
      <c r="W1116" s="1">
        <f>VLOOKUP($E1116,'Product Naming'!$A$1:$P$58,6,FALSE)</f>
        <v>4</v>
      </c>
      <c r="X1116" s="1">
        <f>VLOOKUP($E1116,'Product Naming'!$A$1:$P$58,7,FALSE)</f>
        <v>10</v>
      </c>
      <c r="Y1116" s="1">
        <f>VLOOKUP($E1116,'Product Naming'!$A$1:$P$58,8,FALSE)</f>
        <v>2</v>
      </c>
      <c r="Z1116" s="1">
        <f>VLOOKUP($E1116,'Product Naming'!$A$1:$P$58,9,FALSE)</f>
        <v>0</v>
      </c>
      <c r="AA1116" s="1">
        <f>VLOOKUP($E1116,'Product Naming'!$A$1:$P$58,10,FALSE)</f>
        <v>0</v>
      </c>
      <c r="AB1116" s="29">
        <f>VLOOKUP($E1116,'Product Naming'!$A$1:$P$58,11,FALSE)</f>
        <v>5.5</v>
      </c>
      <c r="AC1116" s="3">
        <f>VLOOKUP($E1116,'Product Naming'!$A$1:$P$58,12,FALSE)</f>
        <v>90.119200000000006</v>
      </c>
      <c r="AD1116" s="1">
        <f>VLOOKUP($E1116,'Product Naming'!$A$1:$P$58,13,FALSE)</f>
        <v>207</v>
      </c>
      <c r="AE1116" s="1" t="str">
        <f>VLOOKUP($E1116,'Product Naming'!$A$1:$P$58,14,FALSE)</f>
        <v>Diol</v>
      </c>
      <c r="AF1116" s="1" t="str">
        <f>VLOOKUP($E1116,'Product Naming'!$A$1:$P$58,15,FALSE)</f>
        <v>Acetyl-CoA</v>
      </c>
      <c r="AG1116" s="30" t="str">
        <f>VLOOKUP($E1116,'Product Naming'!$A$1:$P$58,16,FALSE)</f>
        <v>Proton symporter</v>
      </c>
      <c r="AH1116" s="3" t="str">
        <f>VLOOKUP($E1116,'Product Naming'!$A$1:$Q$58,17,FALSE)</f>
        <v>13bdo__R_c</v>
      </c>
      <c r="AI1116" s="1">
        <f>VLOOKUP($E1116,'Product Parameters'!$A$2:$D$59,2,FALSE)</f>
        <v>1</v>
      </c>
      <c r="AJ1116" s="1">
        <f>VLOOKUP($E1116,'Product Parameters'!$A$2:$D$59,3,FALSE)</f>
        <v>0</v>
      </c>
      <c r="AK1116" s="1">
        <f>VLOOKUP($E1116,'Product Parameters'!$A$2:$D$59,4,FALSE)</f>
        <v>0.12</v>
      </c>
      <c r="AL1116" s="1">
        <f>VLOOKUP($E1116,'Product Parameters'!$A$2:$E$59,5,FALSE)</f>
        <v>72.599999999999994</v>
      </c>
      <c r="AM1116" s="1">
        <f>VLOOKUP($E1116,'Product Parameters'!$A$2:$F$59,6,FALSE)</f>
        <v>4</v>
      </c>
      <c r="AN1116" s="1">
        <f>VLOOKUP($C1116,'Substrate Heating'!$A$2:$C$33,3,FALSE)</f>
        <v>2342.0279999999998</v>
      </c>
      <c r="AO1116" s="1">
        <f>VLOOKUP($C1116,'Substrate Heating'!$A$2:$B$33,2,FALSE)</f>
        <v>15.6</v>
      </c>
      <c r="AP1116" s="1">
        <f>VLOOKUP($C1116,'Substrate Heating'!$A$2:$M$33,13,FALSE)</f>
        <v>4</v>
      </c>
      <c r="AQ1116" s="1">
        <f>VLOOKUP($C1116,'Substrate Heating'!$A$2:$M$33,8,FALSE)</f>
        <v>5</v>
      </c>
      <c r="AR1116" s="1">
        <f t="shared" si="17"/>
        <v>0.72727272727272796</v>
      </c>
    </row>
    <row r="1117" spans="1:44" x14ac:dyDescent="0.2">
      <c r="A1117" s="8" t="s">
        <v>34</v>
      </c>
      <c r="B1117" s="9" t="s">
        <v>35</v>
      </c>
      <c r="C1117" s="1" t="s">
        <v>341</v>
      </c>
      <c r="D1117" s="24" t="s">
        <v>342</v>
      </c>
      <c r="E1117" s="1" t="s">
        <v>38</v>
      </c>
      <c r="F1117" s="1" t="s">
        <v>39</v>
      </c>
      <c r="G1117" s="1">
        <v>-10</v>
      </c>
      <c r="H1117" s="1">
        <v>-20</v>
      </c>
      <c r="I1117" s="1" t="s">
        <v>40</v>
      </c>
      <c r="J1117" s="1">
        <v>3.15</v>
      </c>
      <c r="K1117" s="1">
        <v>-10</v>
      </c>
      <c r="L1117" s="1">
        <v>-5.9164567891575798E-31</v>
      </c>
      <c r="M1117" s="1" t="s">
        <v>40</v>
      </c>
      <c r="N1117" s="1">
        <v>16.363636363636399</v>
      </c>
      <c r="O1117" s="1">
        <v>10.909090909090899</v>
      </c>
      <c r="Q1117" s="1">
        <v>1.0909090909090899</v>
      </c>
      <c r="R1117" s="1">
        <v>0.54571529455777401</v>
      </c>
      <c r="S1117" s="1" t="str">
        <f>VLOOKUP($E1117,'Product Naming'!$A$1:$P$58,2,FALSE)</f>
        <v>1-3-butanediol-PW1</v>
      </c>
      <c r="T1117" s="1" t="str">
        <f>VLOOKUP($E1117,'Product Naming'!$A$1:$P$58,3,FALSE)</f>
        <v>1,3-Butanediol (PW1)</v>
      </c>
      <c r="U1117" s="1" t="str">
        <f>VLOOKUP($E1117,'Product Naming'!$A$1:$P$58,4,FALSE)</f>
        <v>E</v>
      </c>
      <c r="V1117" s="1" t="str">
        <f>VLOOKUP($E1117,'Product Naming'!$A$1:$P$58,5,FALSE)</f>
        <v>C4H10O2</v>
      </c>
      <c r="W1117" s="1">
        <f>VLOOKUP($E1117,'Product Naming'!$A$1:$P$58,6,FALSE)</f>
        <v>4</v>
      </c>
      <c r="X1117" s="1">
        <f>VLOOKUP($E1117,'Product Naming'!$A$1:$P$58,7,FALSE)</f>
        <v>10</v>
      </c>
      <c r="Y1117" s="1">
        <f>VLOOKUP($E1117,'Product Naming'!$A$1:$P$58,8,FALSE)</f>
        <v>2</v>
      </c>
      <c r="Z1117" s="1">
        <f>VLOOKUP($E1117,'Product Naming'!$A$1:$P$58,9,FALSE)</f>
        <v>0</v>
      </c>
      <c r="AA1117" s="1">
        <f>VLOOKUP($E1117,'Product Naming'!$A$1:$P$58,10,FALSE)</f>
        <v>0</v>
      </c>
      <c r="AB1117" s="29">
        <f>VLOOKUP($E1117,'Product Naming'!$A$1:$P$58,11,FALSE)</f>
        <v>5.5</v>
      </c>
      <c r="AC1117" s="3">
        <f>VLOOKUP($E1117,'Product Naming'!$A$1:$P$58,12,FALSE)</f>
        <v>90.119200000000006</v>
      </c>
      <c r="AD1117" s="1">
        <f>VLOOKUP($E1117,'Product Naming'!$A$1:$P$58,13,FALSE)</f>
        <v>207</v>
      </c>
      <c r="AE1117" s="1" t="str">
        <f>VLOOKUP($E1117,'Product Naming'!$A$1:$P$58,14,FALSE)</f>
        <v>Diol</v>
      </c>
      <c r="AF1117" s="1" t="str">
        <f>VLOOKUP($E1117,'Product Naming'!$A$1:$P$58,15,FALSE)</f>
        <v>Acetyl-CoA</v>
      </c>
      <c r="AG1117" s="30" t="str">
        <f>VLOOKUP($E1117,'Product Naming'!$A$1:$P$58,16,FALSE)</f>
        <v>Proton symporter</v>
      </c>
      <c r="AH1117" s="3" t="str">
        <f>VLOOKUP($E1117,'Product Naming'!$A$1:$Q$58,17,FALSE)</f>
        <v>13bdo__R_c</v>
      </c>
      <c r="AI1117" s="1">
        <f>VLOOKUP($E1117,'Product Parameters'!$A$2:$D$59,2,FALSE)</f>
        <v>1</v>
      </c>
      <c r="AJ1117" s="1">
        <f>VLOOKUP($E1117,'Product Parameters'!$A$2:$D$59,3,FALSE)</f>
        <v>0</v>
      </c>
      <c r="AK1117" s="1">
        <f>VLOOKUP($E1117,'Product Parameters'!$A$2:$D$59,4,FALSE)</f>
        <v>0.12</v>
      </c>
      <c r="AL1117" s="1">
        <f>VLOOKUP($E1117,'Product Parameters'!$A$2:$E$59,5,FALSE)</f>
        <v>72.599999999999994</v>
      </c>
      <c r="AM1117" s="1">
        <f>VLOOKUP($E1117,'Product Parameters'!$A$2:$F$59,6,FALSE)</f>
        <v>4</v>
      </c>
      <c r="AN1117" s="1">
        <f>VLOOKUP($C1117,'Substrate Heating'!$A$2:$C$33,3,FALSE)</f>
        <v>2828.4492</v>
      </c>
      <c r="AO1117" s="1">
        <f>VLOOKUP($C1117,'Substrate Heating'!$A$2:$B$33,2,FALSE)</f>
        <v>15.7</v>
      </c>
      <c r="AP1117" s="1">
        <f>VLOOKUP($C1117,'Substrate Heating'!$A$2:$M$33,13,FALSE)</f>
        <v>4</v>
      </c>
      <c r="AQ1117" s="1">
        <f>VLOOKUP($C1117,'Substrate Heating'!$A$2:$M$33,8,FALSE)</f>
        <v>6</v>
      </c>
      <c r="AR1117" s="1">
        <f t="shared" si="17"/>
        <v>0.72727272727272663</v>
      </c>
    </row>
    <row r="1118" spans="1:44" x14ac:dyDescent="0.2">
      <c r="A1118" s="8" t="s">
        <v>34</v>
      </c>
      <c r="B1118" s="9" t="s">
        <v>35</v>
      </c>
      <c r="C1118" s="1" t="s">
        <v>341</v>
      </c>
      <c r="D1118" s="24" t="s">
        <v>342</v>
      </c>
      <c r="E1118" s="1" t="s">
        <v>48</v>
      </c>
      <c r="F1118" s="1" t="s">
        <v>39</v>
      </c>
      <c r="G1118" s="1">
        <v>-10</v>
      </c>
      <c r="H1118" s="1">
        <v>-20</v>
      </c>
      <c r="I1118" s="1" t="s">
        <v>40</v>
      </c>
      <c r="J1118" s="1">
        <v>3.15</v>
      </c>
      <c r="K1118" s="1">
        <v>-10</v>
      </c>
      <c r="L1118" s="1">
        <v>0</v>
      </c>
      <c r="M1118" s="1" t="s">
        <v>40</v>
      </c>
      <c r="N1118" s="1">
        <v>16.363636363636399</v>
      </c>
      <c r="O1118" s="1">
        <v>10.909090909090899</v>
      </c>
      <c r="Q1118" s="1">
        <v>1.0909090909090899</v>
      </c>
      <c r="R1118" s="1">
        <v>0.54571529455777401</v>
      </c>
      <c r="S1118" s="1" t="str">
        <f>VLOOKUP($E1118,'Product Naming'!$A$1:$P$58,2,FALSE)</f>
        <v>1-3-butanediol-PW2</v>
      </c>
      <c r="T1118" s="1" t="str">
        <f>VLOOKUP($E1118,'Product Naming'!$A$1:$P$58,3,FALSE)</f>
        <v>1,3-Butanediol (PW2)</v>
      </c>
      <c r="U1118" s="1" t="str">
        <f>VLOOKUP($E1118,'Product Naming'!$A$1:$P$58,4,FALSE)</f>
        <v>E</v>
      </c>
      <c r="V1118" s="1" t="str">
        <f>VLOOKUP($E1118,'Product Naming'!$A$1:$P$58,5,FALSE)</f>
        <v>C4H10O2</v>
      </c>
      <c r="W1118" s="1">
        <f>VLOOKUP($E1118,'Product Naming'!$A$1:$P$58,6,FALSE)</f>
        <v>4</v>
      </c>
      <c r="X1118" s="1">
        <f>VLOOKUP($E1118,'Product Naming'!$A$1:$P$58,7,FALSE)</f>
        <v>10</v>
      </c>
      <c r="Y1118" s="1">
        <f>VLOOKUP($E1118,'Product Naming'!$A$1:$P$58,8,FALSE)</f>
        <v>2</v>
      </c>
      <c r="Z1118" s="1">
        <f>VLOOKUP($E1118,'Product Naming'!$A$1:$P$58,9,FALSE)</f>
        <v>0</v>
      </c>
      <c r="AA1118" s="1">
        <f>VLOOKUP($E1118,'Product Naming'!$A$1:$P$58,10,FALSE)</f>
        <v>0</v>
      </c>
      <c r="AB1118" s="29">
        <f>VLOOKUP($E1118,'Product Naming'!$A$1:$P$58,11,FALSE)</f>
        <v>5.5</v>
      </c>
      <c r="AC1118" s="3">
        <f>VLOOKUP($E1118,'Product Naming'!$A$1:$P$58,12,FALSE)</f>
        <v>90.119200000000006</v>
      </c>
      <c r="AD1118" s="1">
        <f>VLOOKUP($E1118,'Product Naming'!$A$1:$P$58,13,FALSE)</f>
        <v>207</v>
      </c>
      <c r="AE1118" s="1" t="str">
        <f>VLOOKUP($E1118,'Product Naming'!$A$1:$P$58,14,FALSE)</f>
        <v>Diol</v>
      </c>
      <c r="AF1118" s="1" t="str">
        <f>VLOOKUP($E1118,'Product Naming'!$A$1:$P$58,15,FALSE)</f>
        <v>Pyruvate (acetalehyde)</v>
      </c>
      <c r="AG1118" s="30" t="str">
        <f>VLOOKUP($E1118,'Product Naming'!$A$1:$P$58,16,FALSE)</f>
        <v>Proton symporter</v>
      </c>
      <c r="AH1118" s="3" t="str">
        <f>VLOOKUP($E1118,'Product Naming'!$A$1:$Q$58,17,FALSE)</f>
        <v>13bdo__R_c</v>
      </c>
      <c r="AI1118" s="1">
        <f>VLOOKUP($E1118,'Product Parameters'!$A$2:$D$59,2,FALSE)</f>
        <v>1</v>
      </c>
      <c r="AJ1118" s="1">
        <f>VLOOKUP($E1118,'Product Parameters'!$A$2:$D$59,3,FALSE)</f>
        <v>0</v>
      </c>
      <c r="AK1118" s="1">
        <f>VLOOKUP($E1118,'Product Parameters'!$A$2:$D$59,4,FALSE)</f>
        <v>0.12</v>
      </c>
      <c r="AL1118" s="1">
        <f>VLOOKUP($E1118,'Product Parameters'!$A$2:$E$59,5,FALSE)</f>
        <v>72.599999999999994</v>
      </c>
      <c r="AM1118" s="1">
        <f>VLOOKUP($E1118,'Product Parameters'!$A$2:$F$59,6,FALSE)</f>
        <v>4</v>
      </c>
      <c r="AN1118" s="1">
        <f>VLOOKUP($C1118,'Substrate Heating'!$A$2:$C$33,3,FALSE)</f>
        <v>2828.4492</v>
      </c>
      <c r="AO1118" s="1">
        <f>VLOOKUP($C1118,'Substrate Heating'!$A$2:$B$33,2,FALSE)</f>
        <v>15.7</v>
      </c>
      <c r="AP1118" s="1">
        <f>VLOOKUP($C1118,'Substrate Heating'!$A$2:$M$33,13,FALSE)</f>
        <v>4</v>
      </c>
      <c r="AQ1118" s="1">
        <f>VLOOKUP($C1118,'Substrate Heating'!$A$2:$M$33,8,FALSE)</f>
        <v>6</v>
      </c>
      <c r="AR1118" s="1">
        <f t="shared" si="17"/>
        <v>0.72727272727272663</v>
      </c>
    </row>
    <row r="1119" spans="1:44" x14ac:dyDescent="0.2">
      <c r="A1119" s="8" t="s">
        <v>34</v>
      </c>
      <c r="B1119" s="9" t="s">
        <v>35</v>
      </c>
      <c r="C1119" s="1" t="s">
        <v>341</v>
      </c>
      <c r="D1119" s="24" t="s">
        <v>342</v>
      </c>
      <c r="E1119" s="1" t="s">
        <v>85</v>
      </c>
      <c r="F1119" s="1" t="s">
        <v>86</v>
      </c>
      <c r="G1119" s="1">
        <v>-10</v>
      </c>
      <c r="H1119" s="1">
        <v>-20</v>
      </c>
      <c r="I1119" s="1" t="s">
        <v>40</v>
      </c>
      <c r="J1119" s="1">
        <v>3.15</v>
      </c>
      <c r="K1119" s="1">
        <v>-10</v>
      </c>
      <c r="L1119" s="1">
        <v>6.9683792957067101E-16</v>
      </c>
      <c r="M1119" s="1" t="s">
        <v>40</v>
      </c>
      <c r="N1119" s="1">
        <v>16.363636363636399</v>
      </c>
      <c r="O1119" s="1">
        <v>10.909090909090899</v>
      </c>
      <c r="Q1119" s="1">
        <v>1.0909090909090899</v>
      </c>
      <c r="R1119" s="1">
        <v>0.54571529455777401</v>
      </c>
      <c r="S1119" s="1" t="str">
        <f>VLOOKUP($E1119,'Product Naming'!$A$1:$P$58,2,FALSE)</f>
        <v>2-3-butanediol</v>
      </c>
      <c r="T1119" s="1" t="str">
        <f>VLOOKUP($E1119,'Product Naming'!$A$1:$P$58,3,FALSE)</f>
        <v>2,3-Butanediol</v>
      </c>
      <c r="U1119" s="1" t="str">
        <f>VLOOKUP($E1119,'Product Naming'!$A$1:$P$58,4,FALSE)</f>
        <v>E</v>
      </c>
      <c r="V1119" s="1" t="str">
        <f>VLOOKUP($E1119,'Product Naming'!$A$1:$P$58,5,FALSE)</f>
        <v>C4H10O2</v>
      </c>
      <c r="W1119" s="1">
        <f>VLOOKUP($E1119,'Product Naming'!$A$1:$P$58,6,FALSE)</f>
        <v>4</v>
      </c>
      <c r="X1119" s="1">
        <f>VLOOKUP($E1119,'Product Naming'!$A$1:$P$58,7,FALSE)</f>
        <v>10</v>
      </c>
      <c r="Y1119" s="1">
        <f>VLOOKUP($E1119,'Product Naming'!$A$1:$P$58,8,FALSE)</f>
        <v>2</v>
      </c>
      <c r="Z1119" s="1">
        <f>VLOOKUP($E1119,'Product Naming'!$A$1:$P$58,9,FALSE)</f>
        <v>0</v>
      </c>
      <c r="AA1119" s="1">
        <f>VLOOKUP($E1119,'Product Naming'!$A$1:$P$58,10,FALSE)</f>
        <v>0</v>
      </c>
      <c r="AB1119" s="29">
        <f>VLOOKUP($E1119,'Product Naming'!$A$1:$P$58,11,FALSE)</f>
        <v>5.5</v>
      </c>
      <c r="AC1119" s="3">
        <f>VLOOKUP($E1119,'Product Naming'!$A$1:$P$58,12,FALSE)</f>
        <v>90.119200000000006</v>
      </c>
      <c r="AD1119" s="1">
        <f>VLOOKUP($E1119,'Product Naming'!$A$1:$P$58,13,FALSE)</f>
        <v>177</v>
      </c>
      <c r="AE1119" s="1" t="str">
        <f>VLOOKUP($E1119,'Product Naming'!$A$1:$P$58,14,FALSE)</f>
        <v>Diol</v>
      </c>
      <c r="AF1119" s="1" t="str">
        <f>VLOOKUP($E1119,'Product Naming'!$A$1:$P$58,15,FALSE)</f>
        <v>Pyruvate</v>
      </c>
      <c r="AG1119" s="30" t="str">
        <f>VLOOKUP($E1119,'Product Naming'!$A$1:$P$58,16,FALSE)</f>
        <v>Proton symporter</v>
      </c>
      <c r="AH1119" s="3" t="str">
        <f>VLOOKUP($E1119,'Product Naming'!$A$1:$Q$58,17,FALSE)</f>
        <v>btd_RR_c</v>
      </c>
      <c r="AI1119" s="1">
        <f>VLOOKUP($E1119,'Product Parameters'!$A$2:$D$59,2,FALSE)</f>
        <v>1</v>
      </c>
      <c r="AJ1119" s="1">
        <f>VLOOKUP($E1119,'Product Parameters'!$A$2:$D$59,3,FALSE)</f>
        <v>0</v>
      </c>
      <c r="AK1119" s="1">
        <f>VLOOKUP($E1119,'Product Parameters'!$A$2:$D$59,4,FALSE)</f>
        <v>0.12</v>
      </c>
      <c r="AL1119" s="1">
        <f>VLOOKUP($E1119,'Product Parameters'!$A$2:$E$59,5,FALSE)</f>
        <v>63</v>
      </c>
      <c r="AM1119" s="1">
        <f>VLOOKUP($E1119,'Product Parameters'!$A$2:$F$59,6,FALSE)</f>
        <v>4</v>
      </c>
      <c r="AN1119" s="1">
        <f>VLOOKUP($C1119,'Substrate Heating'!$A$2:$C$33,3,FALSE)</f>
        <v>2828.4492</v>
      </c>
      <c r="AO1119" s="1">
        <f>VLOOKUP($C1119,'Substrate Heating'!$A$2:$B$33,2,FALSE)</f>
        <v>15.7</v>
      </c>
      <c r="AP1119" s="1">
        <f>VLOOKUP($C1119,'Substrate Heating'!$A$2:$M$33,13,FALSE)</f>
        <v>4</v>
      </c>
      <c r="AQ1119" s="1">
        <f>VLOOKUP($C1119,'Substrate Heating'!$A$2:$M$33,8,FALSE)</f>
        <v>6</v>
      </c>
      <c r="AR1119" s="1">
        <f t="shared" si="17"/>
        <v>0.72727272727272663</v>
      </c>
    </row>
    <row r="1120" spans="1:44" x14ac:dyDescent="0.2">
      <c r="A1120" s="17" t="s">
        <v>323</v>
      </c>
      <c r="B1120" s="18" t="s">
        <v>324</v>
      </c>
      <c r="C1120" t="s">
        <v>327</v>
      </c>
      <c r="D1120" s="19" t="s">
        <v>326</v>
      </c>
      <c r="E1120" t="s">
        <v>186</v>
      </c>
      <c r="F1120" t="s">
        <v>187</v>
      </c>
      <c r="G1120">
        <v>-10</v>
      </c>
      <c r="H1120">
        <v>0</v>
      </c>
      <c r="I1120">
        <v>-5</v>
      </c>
      <c r="J1120">
        <v>0.45</v>
      </c>
      <c r="K1120">
        <v>-10</v>
      </c>
      <c r="L1120">
        <v>0</v>
      </c>
      <c r="M1120">
        <v>-5</v>
      </c>
      <c r="N1120">
        <v>1.24347826086957</v>
      </c>
      <c r="O1120">
        <v>0.83768115942028998</v>
      </c>
      <c r="P1120"/>
      <c r="Q1120">
        <v>8.3768115942029001E-2</v>
      </c>
      <c r="R1120">
        <v>0.54583904753343504</v>
      </c>
      <c r="S1120" s="1" t="str">
        <f>VLOOKUP($E1120,'Product Naming'!$A$1:$P$58,2,FALSE)</f>
        <v>Citrate</v>
      </c>
      <c r="T1120" s="1" t="str">
        <f>VLOOKUP($E1120,'Product Naming'!$A$1:$P$58,3,FALSE)</f>
        <v>Citrate</v>
      </c>
      <c r="U1120" s="1" t="str">
        <f>VLOOKUP($E1120,'Product Naming'!$A$1:$P$58,4,FALSE)</f>
        <v>iJO1366</v>
      </c>
      <c r="V1120" s="1" t="str">
        <f>VLOOKUP($E1120,'Product Naming'!$A$1:$P$58,5,FALSE)</f>
        <v>C6H5O7</v>
      </c>
      <c r="W1120" s="1">
        <f>VLOOKUP($E1120,'Product Naming'!$A$1:$P$58,6,FALSE)</f>
        <v>6</v>
      </c>
      <c r="X1120" s="1">
        <f>VLOOKUP($E1120,'Product Naming'!$A$1:$P$58,7,FALSE)</f>
        <v>5</v>
      </c>
      <c r="Y1120" s="1">
        <f>VLOOKUP($E1120,'Product Naming'!$A$1:$P$58,8,FALSE)</f>
        <v>7</v>
      </c>
      <c r="Z1120" s="1">
        <f>VLOOKUP($E1120,'Product Naming'!$A$1:$P$58,9,FALSE)</f>
        <v>0</v>
      </c>
      <c r="AA1120" s="1">
        <f>VLOOKUP($E1120,'Product Naming'!$A$1:$P$58,10,FALSE)</f>
        <v>-3</v>
      </c>
      <c r="AB1120" s="29">
        <f>VLOOKUP($E1120,'Product Naming'!$A$1:$P$58,11,FALSE)</f>
        <v>2.5</v>
      </c>
      <c r="AC1120" s="3">
        <f>VLOOKUP($E1120,'Product Naming'!$A$1:$P$58,12,FALSE)</f>
        <v>189.09640000000002</v>
      </c>
      <c r="AD1120" s="1" t="str">
        <f>VLOOKUP($E1120,'Product Naming'!$A$1:$P$58,13,FALSE)</f>
        <v>NA</v>
      </c>
      <c r="AE1120" s="1" t="str">
        <f>VLOOKUP($E1120,'Product Naming'!$A$1:$P$58,14,FALSE)</f>
        <v>Tricarboxylate + Alcohol</v>
      </c>
      <c r="AF1120" s="1" t="str">
        <f>VLOOKUP($E1120,'Product Naming'!$A$1:$P$58,15,FALSE)</f>
        <v>Acetyl-CoA</v>
      </c>
      <c r="AG1120" s="30" t="str">
        <f>VLOOKUP($E1120,'Product Naming'!$A$1:$P$58,16,FALSE)</f>
        <v>Proton antiport</v>
      </c>
      <c r="AH1120" s="3" t="str">
        <f>VLOOKUP($E1120,'Product Naming'!$A$1:$Q$58,17,FALSE)</f>
        <v>cit_c</v>
      </c>
      <c r="AI1120" s="1">
        <f>VLOOKUP($E1120,'Product Parameters'!$A$2:$D$59,2,FALSE)</f>
        <v>1</v>
      </c>
      <c r="AJ1120" s="1">
        <f>VLOOKUP($E1120,'Product Parameters'!$A$2:$D$59,3,FALSE)</f>
        <v>0</v>
      </c>
      <c r="AK1120" s="1">
        <f>VLOOKUP($E1120,'Product Parameters'!$A$2:$D$59,4,FALSE)</f>
        <v>0.12</v>
      </c>
      <c r="AL1120" s="1">
        <f>VLOOKUP($E1120,'Product Parameters'!$A$2:$E$59,5,FALSE)</f>
        <v>40.65</v>
      </c>
      <c r="AM1120" s="1">
        <f>VLOOKUP($E1120,'Product Parameters'!$A$2:$F$59,6,FALSE)</f>
        <v>6</v>
      </c>
      <c r="AN1120" s="1">
        <f>VLOOKUP($C1120,'Substrate Heating'!$A$2:$C$33,3,FALSE)</f>
        <v>269.26666666666665</v>
      </c>
      <c r="AO1120" s="1">
        <f>VLOOKUP($C1120,'Substrate Heating'!$A$2:$B$33,2,FALSE)</f>
        <v>13.919167510409219</v>
      </c>
      <c r="AP1120" s="1">
        <f>VLOOKUP($C1120,'Substrate Heating'!$A$2:$M$33,13,FALSE)</f>
        <v>1.3333333333333333</v>
      </c>
      <c r="AQ1120" s="1">
        <f>VLOOKUP($C1120,'Substrate Heating'!$A$2:$M$33,8,FALSE)</f>
        <v>0.66666666666666663</v>
      </c>
      <c r="AR1120" s="1">
        <f t="shared" si="17"/>
        <v>0.75391304347826105</v>
      </c>
    </row>
    <row r="1121" spans="1:44" x14ac:dyDescent="0.2">
      <c r="A1121" s="8" t="s">
        <v>812</v>
      </c>
      <c r="B1121" s="9" t="s">
        <v>35</v>
      </c>
      <c r="C1121" t="s">
        <v>813</v>
      </c>
      <c r="E1121" t="s">
        <v>247</v>
      </c>
      <c r="F1121" t="s">
        <v>248</v>
      </c>
      <c r="G1121">
        <v>-10</v>
      </c>
      <c r="H1121">
        <v>-20</v>
      </c>
      <c r="I1121">
        <v>0</v>
      </c>
      <c r="J1121">
        <v>3.15</v>
      </c>
      <c r="K1121">
        <v>-10</v>
      </c>
      <c r="L1121">
        <v>-11.216923076923001</v>
      </c>
      <c r="M1121">
        <v>0</v>
      </c>
      <c r="N1121">
        <v>5.8692307692307697</v>
      </c>
      <c r="O1121">
        <v>4.82615384615384</v>
      </c>
      <c r="P1121"/>
      <c r="Q1121">
        <v>0.482615384615384</v>
      </c>
      <c r="R1121">
        <v>0.54703097275399903</v>
      </c>
      <c r="S1121" s="1" t="str">
        <f>VLOOKUP($E1121,'Product Naming'!$A$1:$P$58,2,FALSE)</f>
        <v>Isoprene</v>
      </c>
      <c r="T1121" s="1" t="str">
        <f>VLOOKUP($E1121,'Product Naming'!$A$1:$P$58,3,FALSE)</f>
        <v>Isoprene</v>
      </c>
      <c r="U1121" s="1" t="str">
        <f>VLOOKUP($E1121,'Product Naming'!$A$1:$P$58,4,FALSE)</f>
        <v>E</v>
      </c>
      <c r="V1121" s="1" t="str">
        <f>VLOOKUP($E1121,'Product Naming'!$A$1:$P$58,5,FALSE)</f>
        <v>C5H8</v>
      </c>
      <c r="W1121" s="1">
        <f>VLOOKUP($E1121,'Product Naming'!$A$1:$P$58,6,FALSE)</f>
        <v>5</v>
      </c>
      <c r="X1121" s="1">
        <f>VLOOKUP($E1121,'Product Naming'!$A$1:$P$58,7,FALSE)</f>
        <v>8</v>
      </c>
      <c r="Y1121" s="1">
        <f>VLOOKUP($E1121,'Product Naming'!$A$1:$P$58,8,FALSE)</f>
        <v>0</v>
      </c>
      <c r="Z1121" s="1">
        <f>VLOOKUP($E1121,'Product Naming'!$A$1:$P$58,9,FALSE)</f>
        <v>0</v>
      </c>
      <c r="AA1121" s="1">
        <f>VLOOKUP($E1121,'Product Naming'!$A$1:$P$58,10,FALSE)</f>
        <v>0</v>
      </c>
      <c r="AB1121" s="29">
        <f>VLOOKUP($E1121,'Product Naming'!$A$1:$P$58,11,FALSE)</f>
        <v>5.6</v>
      </c>
      <c r="AC1121" s="3">
        <f>VLOOKUP($E1121,'Product Naming'!$A$1:$P$58,12,FALSE)</f>
        <v>68.116219999999998</v>
      </c>
      <c r="AD1121" s="1">
        <f>VLOOKUP($E1121,'Product Naming'!$A$1:$P$58,13,FALSE)</f>
        <v>34.07</v>
      </c>
      <c r="AE1121" s="1" t="str">
        <f>VLOOKUP($E1121,'Product Naming'!$A$1:$P$58,14,FALSE)</f>
        <v>Hydrocarbon</v>
      </c>
      <c r="AF1121" s="1" t="str">
        <f>VLOOKUP($E1121,'Product Naming'!$A$1:$P$58,15,FALSE)</f>
        <v>Acetyl-CoA</v>
      </c>
      <c r="AG1121" s="30" t="str">
        <f>VLOOKUP($E1121,'Product Naming'!$A$1:$P$58,16,FALSE)</f>
        <v>Diffusion</v>
      </c>
      <c r="AH1121" s="3" t="str">
        <f>VLOOKUP($E1121,'Product Naming'!$A$1:$Q$58,17,FALSE)</f>
        <v>iprene_c</v>
      </c>
      <c r="AI1121" s="1">
        <f>VLOOKUP($E1121,'Product Parameters'!$A$2:$D$59,2,FALSE)</f>
        <v>0</v>
      </c>
      <c r="AJ1121" s="1">
        <f>VLOOKUP($E1121,'Product Parameters'!$A$2:$D$59,3,FALSE)</f>
        <v>1</v>
      </c>
      <c r="AK1121" s="1">
        <f>VLOOKUP($E1121,'Product Parameters'!$A$2:$D$59,4,FALSE)</f>
        <v>0.12</v>
      </c>
      <c r="AL1121" s="1">
        <f>VLOOKUP($E1121,'Product Parameters'!$A$2:$E$59,5,FALSE)</f>
        <v>26.4</v>
      </c>
      <c r="AM1121" s="1">
        <f>VLOOKUP($E1121,'Product Parameters'!$A$2:$F$59,6,FALSE)</f>
        <v>5</v>
      </c>
      <c r="AN1121" s="1">
        <f>VLOOKUP($C1121,'Substrate Heating'!$A$2:$C$33,3,FALSE)</f>
        <v>1843.720736</v>
      </c>
      <c r="AO1121" s="1">
        <f>VLOOKUP($C1121,'Substrate Heating'!$A$2:$B$33,2,FALSE)</f>
        <v>30.68</v>
      </c>
      <c r="AP1121" s="1">
        <f>VLOOKUP($C1121,'Substrate Heating'!$A$2:$M$33,13,FALSE)</f>
        <v>6</v>
      </c>
      <c r="AQ1121" s="1">
        <f>VLOOKUP($C1121,'Substrate Heating'!$A$2:$M$33,8,FALSE)</f>
        <v>3</v>
      </c>
      <c r="AR1121" s="1">
        <f t="shared" si="17"/>
        <v>0.8043589743589733</v>
      </c>
    </row>
    <row r="1122" spans="1:44" x14ac:dyDescent="0.2">
      <c r="A1122" s="8" t="s">
        <v>34</v>
      </c>
      <c r="B1122" s="9" t="s">
        <v>35</v>
      </c>
      <c r="C1122" s="1" t="s">
        <v>36</v>
      </c>
      <c r="D1122" s="10" t="s">
        <v>37</v>
      </c>
      <c r="E1122" s="1" t="s">
        <v>295</v>
      </c>
      <c r="F1122" s="1" t="s">
        <v>292</v>
      </c>
      <c r="G1122" s="1">
        <v>-10</v>
      </c>
      <c r="H1122" s="1">
        <v>-20</v>
      </c>
      <c r="I1122" s="1" t="s">
        <v>40</v>
      </c>
      <c r="J1122" s="1">
        <v>3.15</v>
      </c>
      <c r="K1122" s="1">
        <v>-10</v>
      </c>
      <c r="L1122" s="1">
        <v>-4.4932885906040303</v>
      </c>
      <c r="M1122" s="1" t="s">
        <v>40</v>
      </c>
      <c r="N1122" s="1">
        <v>6.3288590604026904</v>
      </c>
      <c r="O1122" s="1">
        <v>2.7342281879194599</v>
      </c>
      <c r="Q1122" s="1">
        <v>0.27342281879194602</v>
      </c>
      <c r="R1122" s="1">
        <v>0.547112904693701</v>
      </c>
      <c r="S1122" s="1" t="str">
        <f>VLOOKUP($E1122,'Product Naming'!$A$1:$P$58,2,FALSE)</f>
        <v>Pentanol-PW2</v>
      </c>
      <c r="T1122" s="1" t="str">
        <f>VLOOKUP($E1122,'Product Naming'!$A$1:$P$58,3,FALSE)</f>
        <v>Pentanol (PW2)</v>
      </c>
      <c r="U1122" s="1" t="str">
        <f>VLOOKUP($E1122,'Product Naming'!$A$1:$P$58,4,FALSE)</f>
        <v>E</v>
      </c>
      <c r="V1122" s="1" t="str">
        <f>VLOOKUP($E1122,'Product Naming'!$A$1:$P$58,5,FALSE)</f>
        <v>C5H12O</v>
      </c>
      <c r="W1122" s="1">
        <f>VLOOKUP($E1122,'Product Naming'!$A$1:$P$58,6,FALSE)</f>
        <v>5</v>
      </c>
      <c r="X1122" s="1">
        <f>VLOOKUP($E1122,'Product Naming'!$A$1:$P$58,7,FALSE)</f>
        <v>12</v>
      </c>
      <c r="Y1122" s="1">
        <f>VLOOKUP($E1122,'Product Naming'!$A$1:$P$58,8,FALSE)</f>
        <v>1</v>
      </c>
      <c r="Z1122" s="1">
        <f>VLOOKUP($E1122,'Product Naming'!$A$1:$P$58,9,FALSE)</f>
        <v>0</v>
      </c>
      <c r="AA1122" s="1">
        <f>VLOOKUP($E1122,'Product Naming'!$A$1:$P$58,10,FALSE)</f>
        <v>0</v>
      </c>
      <c r="AB1122" s="29">
        <f>VLOOKUP($E1122,'Product Naming'!$A$1:$P$58,11,FALSE)</f>
        <v>6</v>
      </c>
      <c r="AC1122" s="3">
        <f>VLOOKUP($E1122,'Product Naming'!$A$1:$P$58,12,FALSE)</f>
        <v>88.14658</v>
      </c>
      <c r="AD1122" s="1">
        <f>VLOOKUP($E1122,'Product Naming'!$A$1:$P$58,13,FALSE)</f>
        <v>138</v>
      </c>
      <c r="AE1122" s="1" t="str">
        <f>VLOOKUP($E1122,'Product Naming'!$A$1:$P$58,14,FALSE)</f>
        <v>Alcohol</v>
      </c>
      <c r="AF1122" s="1" t="str">
        <f>VLOOKUP($E1122,'Product Naming'!$A$1:$P$58,15,FALSE)</f>
        <v>Oxaloacetate</v>
      </c>
      <c r="AG1122" s="30" t="str">
        <f>VLOOKUP($E1122,'Product Naming'!$A$1:$P$58,16,FALSE)</f>
        <v>Proton symporter</v>
      </c>
      <c r="AH1122" s="3" t="str">
        <f>VLOOKUP($E1122,'Product Naming'!$A$1:$Q$58,17,FALSE)</f>
        <v>pentoh_c</v>
      </c>
      <c r="AI1122" s="1">
        <f>VLOOKUP($E1122,'Product Parameters'!$A$2:$D$59,2,FALSE)</f>
        <v>1</v>
      </c>
      <c r="AJ1122" s="1">
        <f>VLOOKUP($E1122,'Product Parameters'!$A$2:$D$59,3,FALSE)</f>
        <v>0</v>
      </c>
      <c r="AK1122" s="1">
        <f>VLOOKUP($E1122,'Product Parameters'!$A$2:$D$59,4,FALSE)</f>
        <v>0.12</v>
      </c>
      <c r="AL1122" s="1">
        <f>VLOOKUP($E1122,'Product Parameters'!$A$2:$E$59,5,FALSE)</f>
        <v>57</v>
      </c>
      <c r="AM1122" s="1">
        <f>VLOOKUP($E1122,'Product Parameters'!$A$2:$F$59,6,FALSE)</f>
        <v>5</v>
      </c>
      <c r="AN1122" s="1">
        <f>VLOOKUP($C1122,'Substrate Heating'!$A$2:$C$33,3,FALSE)</f>
        <v>1064.1143145599999</v>
      </c>
      <c r="AO1122" s="1">
        <f>VLOOKUP($C1122,'Substrate Heating'!$A$2:$B$33,2,FALSE)</f>
        <v>24.155999999999999</v>
      </c>
      <c r="AP1122" s="1">
        <f>VLOOKUP($C1122,'Substrate Heating'!$A$2:$M$33,13,FALSE)</f>
        <v>5</v>
      </c>
      <c r="AQ1122" s="1">
        <f>VLOOKUP($C1122,'Substrate Heating'!$A$2:$M$33,8,FALSE)</f>
        <v>2</v>
      </c>
      <c r="AR1122" s="1">
        <f t="shared" si="17"/>
        <v>0.68355704697986508</v>
      </c>
    </row>
    <row r="1123" spans="1:44" x14ac:dyDescent="0.2">
      <c r="A1123" s="8" t="s">
        <v>34</v>
      </c>
      <c r="B1123" s="9" t="s">
        <v>35</v>
      </c>
      <c r="C1123" s="1" t="s">
        <v>348</v>
      </c>
      <c r="D1123" s="23" t="s">
        <v>338</v>
      </c>
      <c r="E1123" s="1" t="s">
        <v>60</v>
      </c>
      <c r="F1123" s="1" t="s">
        <v>61</v>
      </c>
      <c r="G1123" s="1">
        <v>-10</v>
      </c>
      <c r="H1123" s="1">
        <v>-20</v>
      </c>
      <c r="I1123" s="1" t="s">
        <v>40</v>
      </c>
      <c r="J1123" s="1">
        <v>3.15</v>
      </c>
      <c r="K1123" s="1">
        <v>-10</v>
      </c>
      <c r="L1123" s="1">
        <v>-5.78441558441558</v>
      </c>
      <c r="M1123" s="1" t="s">
        <v>40</v>
      </c>
      <c r="N1123" s="1">
        <v>3.0883116883117001</v>
      </c>
      <c r="O1123" s="1">
        <v>2.3038961038961099</v>
      </c>
      <c r="Q1123" s="1">
        <v>0.230389610389611</v>
      </c>
      <c r="R1123" s="1">
        <v>0.54714154754077404</v>
      </c>
      <c r="S1123" s="1" t="str">
        <f>VLOOKUP($E1123,'Product Naming'!$A$1:$P$58,2,FALSE)</f>
        <v>1-3-Propanediol</v>
      </c>
      <c r="T1123" s="1" t="str">
        <f>VLOOKUP($E1123,'Product Naming'!$A$1:$P$58,3,FALSE)</f>
        <v>1,3-Propanediol</v>
      </c>
      <c r="U1123" s="1" t="str">
        <f>VLOOKUP($E1123,'Product Naming'!$A$1:$P$58,4,FALSE)</f>
        <v>A</v>
      </c>
      <c r="V1123" s="1" t="str">
        <f>VLOOKUP($E1123,'Product Naming'!$A$1:$P$58,5,FALSE)</f>
        <v>C3H8O2</v>
      </c>
      <c r="W1123" s="1">
        <f>VLOOKUP($E1123,'Product Naming'!$A$1:$P$58,6,FALSE)</f>
        <v>3</v>
      </c>
      <c r="X1123" s="1">
        <f>VLOOKUP($E1123,'Product Naming'!$A$1:$P$58,7,FALSE)</f>
        <v>8</v>
      </c>
      <c r="Y1123" s="1">
        <f>VLOOKUP($E1123,'Product Naming'!$A$1:$P$58,8,FALSE)</f>
        <v>2</v>
      </c>
      <c r="Z1123" s="1">
        <f>VLOOKUP($E1123,'Product Naming'!$A$1:$P$58,9,FALSE)</f>
        <v>0</v>
      </c>
      <c r="AA1123" s="1">
        <f>VLOOKUP($E1123,'Product Naming'!$A$1:$P$58,10,FALSE)</f>
        <v>0</v>
      </c>
      <c r="AB1123" s="29">
        <f>VLOOKUP($E1123,'Product Naming'!$A$1:$P$58,11,FALSE)</f>
        <v>5.333333333333333</v>
      </c>
      <c r="AC1123" s="3">
        <f>VLOOKUP($E1123,'Product Naming'!$A$1:$P$58,12,FALSE)</f>
        <v>76.092820000000003</v>
      </c>
      <c r="AD1123" s="1">
        <f>VLOOKUP($E1123,'Product Naming'!$A$1:$P$58,13,FALSE)</f>
        <v>213</v>
      </c>
      <c r="AE1123" s="1" t="str">
        <f>VLOOKUP($E1123,'Product Naming'!$A$1:$P$58,14,FALSE)</f>
        <v>Diol</v>
      </c>
      <c r="AF1123" s="1" t="str">
        <f>VLOOKUP($E1123,'Product Naming'!$A$1:$P$58,15,FALSE)</f>
        <v>Glyceraldehyde 3-P</v>
      </c>
      <c r="AG1123" s="30" t="str">
        <f>VLOOKUP($E1123,'Product Naming'!$A$1:$P$58,16,FALSE)</f>
        <v>Proton symporter</v>
      </c>
      <c r="AH1123" s="3" t="str">
        <f>VLOOKUP($E1123,'Product Naming'!$A$1:$Q$58,17,FALSE)</f>
        <v>13ppd_c</v>
      </c>
      <c r="AI1123" s="1">
        <f>VLOOKUP($E1123,'Product Parameters'!$A$2:$D$59,2,FALSE)</f>
        <v>1</v>
      </c>
      <c r="AJ1123" s="1">
        <f>VLOOKUP($E1123,'Product Parameters'!$A$2:$D$59,3,FALSE)</f>
        <v>0</v>
      </c>
      <c r="AK1123" s="1">
        <f>VLOOKUP($E1123,'Product Parameters'!$A$2:$D$59,4,FALSE)</f>
        <v>0.12</v>
      </c>
      <c r="AL1123" s="1">
        <f>VLOOKUP($E1123,'Product Parameters'!$A$2:$E$59,5,FALSE)</f>
        <v>70</v>
      </c>
      <c r="AM1123" s="1">
        <f>VLOOKUP($E1123,'Product Parameters'!$A$2:$F$59,6,FALSE)</f>
        <v>3</v>
      </c>
      <c r="AN1123" s="1">
        <f>VLOOKUP($C1123,'Substrate Heating'!$A$2:$C$33,3,FALSE)</f>
        <v>638.57832580000002</v>
      </c>
      <c r="AO1123" s="1">
        <f>VLOOKUP($C1123,'Substrate Heating'!$A$2:$B$33,2,FALSE)</f>
        <v>19.93</v>
      </c>
      <c r="AP1123" s="1">
        <f>VLOOKUP($C1123,'Substrate Heating'!$A$2:$M$33,13,FALSE)</f>
        <v>6</v>
      </c>
      <c r="AQ1123" s="1">
        <f>VLOOKUP($C1123,'Substrate Heating'!$A$2:$M$33,8,FALSE)</f>
        <v>1</v>
      </c>
      <c r="AR1123" s="1">
        <f t="shared" si="17"/>
        <v>0.69116883116883299</v>
      </c>
    </row>
    <row r="1124" spans="1:44" x14ac:dyDescent="0.2">
      <c r="A1124" s="8" t="s">
        <v>812</v>
      </c>
      <c r="B1124" s="9" t="s">
        <v>35</v>
      </c>
      <c r="C1124" t="s">
        <v>813</v>
      </c>
      <c r="E1124" t="s">
        <v>204</v>
      </c>
      <c r="F1124" t="s">
        <v>205</v>
      </c>
      <c r="G1124">
        <v>-10</v>
      </c>
      <c r="H1124">
        <v>-20</v>
      </c>
      <c r="I1124">
        <v>0</v>
      </c>
      <c r="J1124">
        <v>3.15</v>
      </c>
      <c r="K1124">
        <v>-10</v>
      </c>
      <c r="L1124">
        <v>-11.1300771208226</v>
      </c>
      <c r="M1124">
        <v>0</v>
      </c>
      <c r="N1124">
        <v>5.8071979434447201</v>
      </c>
      <c r="O1124">
        <v>1.6128534704370101</v>
      </c>
      <c r="P1124"/>
      <c r="Q1124">
        <v>0.16128534704370101</v>
      </c>
      <c r="R1124">
        <v>0.54843722204128498</v>
      </c>
      <c r="S1124" s="1" t="str">
        <f>VLOOKUP($E1124,'Product Naming'!$A$1:$P$58,2,FALSE)</f>
        <v>Farnesene</v>
      </c>
      <c r="T1124" s="1" t="str">
        <f>VLOOKUP($E1124,'Product Naming'!$A$1:$P$58,3,FALSE)</f>
        <v>Farnesene</v>
      </c>
      <c r="U1124" s="1" t="str">
        <f>VLOOKUP($E1124,'Product Naming'!$A$1:$P$58,4,FALSE)</f>
        <v>A</v>
      </c>
      <c r="V1124" s="1" t="str">
        <f>VLOOKUP($E1124,'Product Naming'!$A$1:$P$58,5,FALSE)</f>
        <v>C15H24</v>
      </c>
      <c r="W1124" s="1">
        <f>VLOOKUP($E1124,'Product Naming'!$A$1:$P$58,6,FALSE)</f>
        <v>15</v>
      </c>
      <c r="X1124" s="1">
        <f>VLOOKUP($E1124,'Product Naming'!$A$1:$P$58,7,FALSE)</f>
        <v>24</v>
      </c>
      <c r="Y1124" s="1">
        <f>VLOOKUP($E1124,'Product Naming'!$A$1:$P$58,8,FALSE)</f>
        <v>0</v>
      </c>
      <c r="Z1124" s="1">
        <f>VLOOKUP($E1124,'Product Naming'!$A$1:$P$58,9,FALSE)</f>
        <v>0</v>
      </c>
      <c r="AA1124" s="1">
        <f>VLOOKUP($E1124,'Product Naming'!$A$1:$P$58,10,FALSE)</f>
        <v>0</v>
      </c>
      <c r="AB1124" s="29">
        <f>VLOOKUP($E1124,'Product Naming'!$A$1:$P$58,11,FALSE)</f>
        <v>5.6</v>
      </c>
      <c r="AC1124" s="3">
        <f>VLOOKUP($E1124,'Product Naming'!$A$1:$P$58,12,FALSE)</f>
        <v>204.34866000000002</v>
      </c>
      <c r="AD1124" s="1" t="str">
        <f>VLOOKUP($E1124,'Product Naming'!$A$1:$P$58,13,FALSE)</f>
        <v>260 (A)/272 (B)</v>
      </c>
      <c r="AE1124" s="1" t="str">
        <f>VLOOKUP($E1124,'Product Naming'!$A$1:$P$58,14,FALSE)</f>
        <v>Hydrocarbon</v>
      </c>
      <c r="AF1124" s="1" t="str">
        <f>VLOOKUP($E1124,'Product Naming'!$A$1:$P$58,15,FALSE)</f>
        <v>Acetyl-CoA</v>
      </c>
      <c r="AG1124" s="30" t="str">
        <f>VLOOKUP($E1124,'Product Naming'!$A$1:$P$58,16,FALSE)</f>
        <v>Proton symporter</v>
      </c>
      <c r="AH1124" s="3" t="str">
        <f>VLOOKUP($E1124,'Product Naming'!$A$1:$Q$58,17,FALSE)</f>
        <v>frene_c</v>
      </c>
      <c r="AI1124" s="1">
        <f>VLOOKUP($E1124,'Product Parameters'!$A$2:$D$59,2,FALSE)</f>
        <v>1</v>
      </c>
      <c r="AJ1124" s="1">
        <f>VLOOKUP($E1124,'Product Parameters'!$A$2:$D$59,3,FALSE)</f>
        <v>0</v>
      </c>
      <c r="AK1124" s="1">
        <f>VLOOKUP($E1124,'Product Parameters'!$A$2:$D$59,4,FALSE)</f>
        <v>0.12</v>
      </c>
      <c r="AL1124" s="1">
        <f>VLOOKUP($E1124,'Product Parameters'!$A$2:$E$59,5,FALSE)</f>
        <v>0</v>
      </c>
      <c r="AM1124" s="1">
        <f>VLOOKUP($E1124,'Product Parameters'!$A$2:$F$59,6,FALSE)</f>
        <v>15</v>
      </c>
      <c r="AN1124" s="1">
        <f>VLOOKUP($C1124,'Substrate Heating'!$A$2:$C$33,3,FALSE)</f>
        <v>1843.720736</v>
      </c>
      <c r="AO1124" s="1">
        <f>VLOOKUP($C1124,'Substrate Heating'!$A$2:$B$33,2,FALSE)</f>
        <v>30.68</v>
      </c>
      <c r="AP1124" s="1">
        <f>VLOOKUP($C1124,'Substrate Heating'!$A$2:$M$33,13,FALSE)</f>
        <v>6</v>
      </c>
      <c r="AQ1124" s="1">
        <f>VLOOKUP($C1124,'Substrate Heating'!$A$2:$M$33,8,FALSE)</f>
        <v>3</v>
      </c>
      <c r="AR1124" s="1">
        <f t="shared" si="17"/>
        <v>0.80642673521850516</v>
      </c>
    </row>
    <row r="1125" spans="1:44" x14ac:dyDescent="0.2">
      <c r="A1125" s="8" t="s">
        <v>34</v>
      </c>
      <c r="B1125" s="9" t="s">
        <v>35</v>
      </c>
      <c r="C1125" s="1" t="s">
        <v>36</v>
      </c>
      <c r="D1125" s="10" t="s">
        <v>37</v>
      </c>
      <c r="E1125" s="1" t="s">
        <v>91</v>
      </c>
      <c r="F1125" s="1" t="s">
        <v>92</v>
      </c>
      <c r="G1125" s="1">
        <v>-10</v>
      </c>
      <c r="H1125" s="1">
        <v>-20</v>
      </c>
      <c r="I1125" s="1" t="s">
        <v>40</v>
      </c>
      <c r="J1125" s="1">
        <v>3.15</v>
      </c>
      <c r="K1125" s="1">
        <v>-10</v>
      </c>
      <c r="L1125" s="1">
        <v>-4.4365671641790998</v>
      </c>
      <c r="M1125" s="1" t="s">
        <v>40</v>
      </c>
      <c r="N1125" s="1">
        <v>6.2910447761194099</v>
      </c>
      <c r="O1125" s="1">
        <v>2.7417910447761198</v>
      </c>
      <c r="Q1125" s="1">
        <v>0.27417910447761201</v>
      </c>
      <c r="R1125" s="1">
        <v>0.54862621532406897</v>
      </c>
      <c r="S1125" s="1" t="str">
        <f>VLOOKUP($E1125,'Product Naming'!$A$1:$P$58,2,FALSE)</f>
        <v>2-Methyl-1-Butanol</v>
      </c>
      <c r="T1125" s="1" t="str">
        <f>VLOOKUP($E1125,'Product Naming'!$A$1:$P$58,3,FALSE)</f>
        <v>2-Methyl-1-butanol</v>
      </c>
      <c r="U1125" s="1" t="str">
        <f>VLOOKUP($E1125,'Product Naming'!$A$1:$P$58,4,FALSE)</f>
        <v>A</v>
      </c>
      <c r="V1125" s="1" t="str">
        <f>VLOOKUP($E1125,'Product Naming'!$A$1:$P$58,5,FALSE)</f>
        <v>C5H12O</v>
      </c>
      <c r="W1125" s="1">
        <f>VLOOKUP($E1125,'Product Naming'!$A$1:$P$58,6,FALSE)</f>
        <v>5</v>
      </c>
      <c r="X1125" s="1">
        <f>VLOOKUP($E1125,'Product Naming'!$A$1:$P$58,7,FALSE)</f>
        <v>12</v>
      </c>
      <c r="Y1125" s="1">
        <f>VLOOKUP($E1125,'Product Naming'!$A$1:$P$58,8,FALSE)</f>
        <v>1</v>
      </c>
      <c r="Z1125" s="1">
        <f>VLOOKUP($E1125,'Product Naming'!$A$1:$P$58,9,FALSE)</f>
        <v>0</v>
      </c>
      <c r="AA1125" s="1">
        <f>VLOOKUP($E1125,'Product Naming'!$A$1:$P$58,10,FALSE)</f>
        <v>0</v>
      </c>
      <c r="AB1125" s="29">
        <f>VLOOKUP($E1125,'Product Naming'!$A$1:$P$58,11,FALSE)</f>
        <v>6</v>
      </c>
      <c r="AC1125" s="3">
        <f>VLOOKUP($E1125,'Product Naming'!$A$1:$P$58,12,FALSE)</f>
        <v>88.14658</v>
      </c>
      <c r="AD1125" s="1">
        <f>VLOOKUP($E1125,'Product Naming'!$A$1:$P$58,13,FALSE)</f>
        <v>129</v>
      </c>
      <c r="AE1125" s="1" t="str">
        <f>VLOOKUP($E1125,'Product Naming'!$A$1:$P$58,14,FALSE)</f>
        <v>Alcohol</v>
      </c>
      <c r="AF1125" s="1" t="str">
        <f>VLOOKUP($E1125,'Product Naming'!$A$1:$P$58,15,FALSE)</f>
        <v>PEP</v>
      </c>
      <c r="AG1125" s="30" t="str">
        <f>VLOOKUP($E1125,'Product Naming'!$A$1:$P$58,16,FALSE)</f>
        <v>Proton symporter</v>
      </c>
      <c r="AH1125" s="3" t="str">
        <f>VLOOKUP($E1125,'Product Naming'!$A$1:$Q$58,17,FALSE)</f>
        <v>2mbtoh_c</v>
      </c>
      <c r="AI1125" s="1">
        <f>VLOOKUP($E1125,'Product Parameters'!$A$2:$D$59,2,FALSE)</f>
        <v>1</v>
      </c>
      <c r="AJ1125" s="1">
        <f>VLOOKUP($E1125,'Product Parameters'!$A$2:$D$59,3,FALSE)</f>
        <v>0</v>
      </c>
      <c r="AK1125" s="1">
        <f>VLOOKUP($E1125,'Product Parameters'!$A$2:$D$59,4,FALSE)</f>
        <v>0.12</v>
      </c>
      <c r="AL1125" s="1">
        <f>VLOOKUP($E1125,'Product Parameters'!$A$2:$E$59,5,FALSE)</f>
        <v>54.6</v>
      </c>
      <c r="AM1125" s="1">
        <f>VLOOKUP($E1125,'Product Parameters'!$A$2:$F$59,6,FALSE)</f>
        <v>5</v>
      </c>
      <c r="AN1125" s="1">
        <f>VLOOKUP($C1125,'Substrate Heating'!$A$2:$C$33,3,FALSE)</f>
        <v>1064.1143145599999</v>
      </c>
      <c r="AO1125" s="1">
        <f>VLOOKUP($C1125,'Substrate Heating'!$A$2:$B$33,2,FALSE)</f>
        <v>24.155999999999999</v>
      </c>
      <c r="AP1125" s="1">
        <f>VLOOKUP($C1125,'Substrate Heating'!$A$2:$M$33,13,FALSE)</f>
        <v>5</v>
      </c>
      <c r="AQ1125" s="1">
        <f>VLOOKUP($C1125,'Substrate Heating'!$A$2:$M$33,8,FALSE)</f>
        <v>2</v>
      </c>
      <c r="AR1125" s="1">
        <f t="shared" si="17"/>
        <v>0.68544776119403006</v>
      </c>
    </row>
    <row r="1126" spans="1:44" x14ac:dyDescent="0.2">
      <c r="A1126" s="8" t="s">
        <v>812</v>
      </c>
      <c r="B1126" s="9" t="s">
        <v>35</v>
      </c>
      <c r="C1126" t="s">
        <v>813</v>
      </c>
      <c r="E1126" t="s">
        <v>259</v>
      </c>
      <c r="F1126" t="s">
        <v>260</v>
      </c>
      <c r="G1126">
        <v>-10</v>
      </c>
      <c r="H1126">
        <v>-20</v>
      </c>
      <c r="I1126">
        <v>0</v>
      </c>
      <c r="J1126">
        <v>3.15</v>
      </c>
      <c r="K1126">
        <v>-10</v>
      </c>
      <c r="L1126">
        <v>-11.0864864864864</v>
      </c>
      <c r="M1126">
        <v>0</v>
      </c>
      <c r="N1126">
        <v>5.7760617760617698</v>
      </c>
      <c r="O1126">
        <v>2.4223938223938202</v>
      </c>
      <c r="P1126"/>
      <c r="Q1126">
        <v>0.24223938223938199</v>
      </c>
      <c r="R1126">
        <v>0.54914306145189096</v>
      </c>
      <c r="S1126" s="1" t="str">
        <f>VLOOKUP($E1126,'Product Naming'!$A$1:$P$58,2,FALSE)</f>
        <v>Limonene</v>
      </c>
      <c r="T1126" s="1" t="str">
        <f>VLOOKUP($E1126,'Product Naming'!$A$1:$P$58,3,FALSE)</f>
        <v>Limonene</v>
      </c>
      <c r="U1126" s="1" t="str">
        <f>VLOOKUP($E1126,'Product Naming'!$A$1:$P$58,4,FALSE)</f>
        <v>E</v>
      </c>
      <c r="V1126" s="1" t="str">
        <f>VLOOKUP($E1126,'Product Naming'!$A$1:$P$58,5,FALSE)</f>
        <v>C10H16</v>
      </c>
      <c r="W1126" s="1">
        <f>VLOOKUP($E1126,'Product Naming'!$A$1:$P$58,6,FALSE)</f>
        <v>10</v>
      </c>
      <c r="X1126" s="1">
        <f>VLOOKUP($E1126,'Product Naming'!$A$1:$P$58,7,FALSE)</f>
        <v>16</v>
      </c>
      <c r="Y1126" s="1">
        <f>VLOOKUP($E1126,'Product Naming'!$A$1:$P$58,8,FALSE)</f>
        <v>0</v>
      </c>
      <c r="Z1126" s="1">
        <f>VLOOKUP($E1126,'Product Naming'!$A$1:$P$58,9,FALSE)</f>
        <v>0</v>
      </c>
      <c r="AA1126" s="1">
        <f>VLOOKUP($E1126,'Product Naming'!$A$1:$P$58,10,FALSE)</f>
        <v>0</v>
      </c>
      <c r="AB1126" s="29">
        <f>VLOOKUP($E1126,'Product Naming'!$A$1:$P$58,11,FALSE)</f>
        <v>5.6</v>
      </c>
      <c r="AC1126" s="3">
        <f>VLOOKUP($E1126,'Product Naming'!$A$1:$P$58,12,FALSE)</f>
        <v>136.23244</v>
      </c>
      <c r="AD1126" s="1">
        <f>VLOOKUP($E1126,'Product Naming'!$A$1:$P$58,13,FALSE)</f>
        <v>176</v>
      </c>
      <c r="AE1126" s="1" t="str">
        <f>VLOOKUP($E1126,'Product Naming'!$A$1:$P$58,14,FALSE)</f>
        <v>Isoprenoid; Aromatic (Cycloalkane)</v>
      </c>
      <c r="AF1126" s="1" t="str">
        <f>VLOOKUP($E1126,'Product Naming'!$A$1:$P$58,15,FALSE)</f>
        <v>Acetyl-CoA</v>
      </c>
      <c r="AG1126" s="30" t="str">
        <f>VLOOKUP($E1126,'Product Naming'!$A$1:$P$58,16,FALSE)</f>
        <v>Proton symporter</v>
      </c>
      <c r="AH1126" s="3" t="str">
        <f>VLOOKUP($E1126,'Product Naming'!$A$1:$Q$58,17,FALSE)</f>
        <v>limnen_c</v>
      </c>
      <c r="AI1126" s="1">
        <f>VLOOKUP($E1126,'Product Parameters'!$A$2:$D$59,2,FALSE)</f>
        <v>1</v>
      </c>
      <c r="AJ1126" s="1">
        <f>VLOOKUP($E1126,'Product Parameters'!$A$2:$D$59,3,FALSE)</f>
        <v>0</v>
      </c>
      <c r="AK1126" s="1">
        <f>VLOOKUP($E1126,'Product Parameters'!$A$2:$D$59,4,FALSE)</f>
        <v>0.12</v>
      </c>
      <c r="AL1126" s="1">
        <f>VLOOKUP($E1126,'Product Parameters'!$A$2:$E$59,5,FALSE)</f>
        <v>49.5</v>
      </c>
      <c r="AM1126" s="1">
        <f>VLOOKUP($E1126,'Product Parameters'!$A$2:$F$59,6,FALSE)</f>
        <v>10</v>
      </c>
      <c r="AN1126" s="1">
        <f>VLOOKUP($C1126,'Substrate Heating'!$A$2:$C$33,3,FALSE)</f>
        <v>1843.720736</v>
      </c>
      <c r="AO1126" s="1">
        <f>VLOOKUP($C1126,'Substrate Heating'!$A$2:$B$33,2,FALSE)</f>
        <v>30.68</v>
      </c>
      <c r="AP1126" s="1">
        <f>VLOOKUP($C1126,'Substrate Heating'!$A$2:$M$33,13,FALSE)</f>
        <v>6</v>
      </c>
      <c r="AQ1126" s="1">
        <f>VLOOKUP($C1126,'Substrate Heating'!$A$2:$M$33,8,FALSE)</f>
        <v>3</v>
      </c>
      <c r="AR1126" s="1">
        <f t="shared" si="17"/>
        <v>0.80746460746460658</v>
      </c>
    </row>
    <row r="1127" spans="1:44" x14ac:dyDescent="0.2">
      <c r="A1127" s="8" t="s">
        <v>34</v>
      </c>
      <c r="B1127" s="9" t="s">
        <v>35</v>
      </c>
      <c r="C1127" s="1" t="s">
        <v>332</v>
      </c>
      <c r="D1127" s="10" t="s">
        <v>37</v>
      </c>
      <c r="E1127" s="1" t="s">
        <v>145</v>
      </c>
      <c r="F1127" s="1" t="s">
        <v>146</v>
      </c>
      <c r="G1127" s="1">
        <v>-10</v>
      </c>
      <c r="H1127" s="1">
        <v>-20</v>
      </c>
      <c r="I1127" s="1" t="s">
        <v>40</v>
      </c>
      <c r="J1127" s="1">
        <v>3.15</v>
      </c>
      <c r="K1127" s="1">
        <v>-10</v>
      </c>
      <c r="L1127" s="1">
        <v>-10.0826785714286</v>
      </c>
      <c r="M1127" s="1" t="s">
        <v>40</v>
      </c>
      <c r="N1127" s="1">
        <v>3.5974999999999602</v>
      </c>
      <c r="O1127" s="1">
        <v>2.3432142857142799</v>
      </c>
      <c r="Q1127" s="1">
        <v>0.23432142857142799</v>
      </c>
      <c r="R1127" s="1">
        <v>0.550035497507256</v>
      </c>
      <c r="S1127" s="1" t="str">
        <f>VLOOKUP($E1127,'Product Naming'!$A$1:$P$58,2,FALSE)</f>
        <v>Benzyl alcohol</v>
      </c>
      <c r="T1127" s="1" t="str">
        <f>VLOOKUP($E1127,'Product Naming'!$A$1:$P$58,3,FALSE)</f>
        <v>Benzyl alcohol</v>
      </c>
      <c r="U1127" s="1" t="str">
        <f>VLOOKUP($E1127,'Product Naming'!$A$1:$P$58,4,FALSE)</f>
        <v>E</v>
      </c>
      <c r="V1127" s="1" t="str">
        <f>VLOOKUP($E1127,'Product Naming'!$A$1:$P$58,5,FALSE)</f>
        <v>C7H8O</v>
      </c>
      <c r="W1127" s="1">
        <f>VLOOKUP($E1127,'Product Naming'!$A$1:$P$58,6,FALSE)</f>
        <v>7</v>
      </c>
      <c r="X1127" s="1">
        <f>VLOOKUP($E1127,'Product Naming'!$A$1:$P$58,7,FALSE)</f>
        <v>8</v>
      </c>
      <c r="Y1127" s="1">
        <f>VLOOKUP($E1127,'Product Naming'!$A$1:$P$58,8,FALSE)</f>
        <v>1</v>
      </c>
      <c r="Z1127" s="1">
        <f>VLOOKUP($E1127,'Product Naming'!$A$1:$P$58,9,FALSE)</f>
        <v>0</v>
      </c>
      <c r="AA1127" s="1">
        <f>VLOOKUP($E1127,'Product Naming'!$A$1:$P$58,10,FALSE)</f>
        <v>0</v>
      </c>
      <c r="AB1127" s="29">
        <f>VLOOKUP($E1127,'Product Naming'!$A$1:$P$58,11,FALSE)</f>
        <v>4.8571428571428568</v>
      </c>
      <c r="AC1127" s="3">
        <f>VLOOKUP($E1127,'Product Naming'!$A$1:$P$58,12,FALSE)</f>
        <v>108.13661999999999</v>
      </c>
      <c r="AD1127" s="1">
        <f>VLOOKUP($E1127,'Product Naming'!$A$1:$P$58,13,FALSE)</f>
        <v>205</v>
      </c>
      <c r="AE1127" s="1" t="str">
        <f>VLOOKUP($E1127,'Product Naming'!$A$1:$P$58,14,FALSE)</f>
        <v>Aromatic + Alcohol</v>
      </c>
      <c r="AF1127" s="1" t="str">
        <f>VLOOKUP($E1127,'Product Naming'!$A$1:$P$58,15,FALSE)</f>
        <v>E4P</v>
      </c>
      <c r="AG1127" s="30" t="str">
        <f>VLOOKUP($E1127,'Product Naming'!$A$1:$P$58,16,FALSE)</f>
        <v>Proton symporter</v>
      </c>
      <c r="AH1127" s="3" t="str">
        <f>VLOOKUP($E1127,'Product Naming'!$A$1:$Q$58,17,FALSE)</f>
        <v>bzalc_c</v>
      </c>
      <c r="AI1127" s="1">
        <f>VLOOKUP($E1127,'Product Parameters'!$A$2:$D$59,2,FALSE)</f>
        <v>1</v>
      </c>
      <c r="AJ1127" s="1">
        <f>VLOOKUP($E1127,'Product Parameters'!$A$2:$D$59,3,FALSE)</f>
        <v>0</v>
      </c>
      <c r="AK1127" s="1">
        <f>VLOOKUP($E1127,'Product Parameters'!$A$2:$D$59,4,FALSE)</f>
        <v>0.12</v>
      </c>
      <c r="AL1127" s="1">
        <f>VLOOKUP($E1127,'Product Parameters'!$A$2:$E$59,5,FALSE)</f>
        <v>63</v>
      </c>
      <c r="AM1127" s="1">
        <f>VLOOKUP($E1127,'Product Parameters'!$A$2:$F$59,6,FALSE)</f>
        <v>7</v>
      </c>
      <c r="AN1127" s="1">
        <f>VLOOKUP($C1127,'Substrate Heating'!$A$2:$C$33,3,FALSE)</f>
        <v>1230.0006480000002</v>
      </c>
      <c r="AO1127" s="1">
        <f>VLOOKUP($C1127,'Substrate Heating'!$A$2:$B$33,2,FALSE)</f>
        <v>26.7</v>
      </c>
      <c r="AP1127" s="1">
        <f>VLOOKUP($C1127,'Substrate Heating'!$A$2:$M$33,13,FALSE)</f>
        <v>6</v>
      </c>
      <c r="AQ1127" s="1">
        <f>VLOOKUP($C1127,'Substrate Heating'!$A$2:$M$33,8,FALSE)</f>
        <v>2</v>
      </c>
      <c r="AR1127" s="1">
        <f t="shared" si="17"/>
        <v>0.82012499999999799</v>
      </c>
    </row>
    <row r="1128" spans="1:44" x14ac:dyDescent="0.2">
      <c r="A1128" s="17" t="s">
        <v>231</v>
      </c>
      <c r="B1128" s="9" t="s">
        <v>35</v>
      </c>
      <c r="C1128" t="s">
        <v>332</v>
      </c>
      <c r="D1128" s="10" t="s">
        <v>37</v>
      </c>
      <c r="E1128" t="s">
        <v>283</v>
      </c>
      <c r="F1128" t="s">
        <v>284</v>
      </c>
      <c r="G1128">
        <v>-10</v>
      </c>
      <c r="H1128">
        <v>-20</v>
      </c>
      <c r="I1128" s="1" t="s">
        <v>40</v>
      </c>
      <c r="J1128">
        <v>3.15</v>
      </c>
      <c r="K1128">
        <v>-10</v>
      </c>
      <c r="L1128">
        <v>-2.2441860465116301</v>
      </c>
      <c r="M1128" s="1" t="s">
        <v>40</v>
      </c>
      <c r="N1128">
        <v>2.23627906976744</v>
      </c>
      <c r="O1128">
        <v>2.2204651162790698</v>
      </c>
      <c r="P1128"/>
      <c r="Q1128">
        <v>0.22204651162790701</v>
      </c>
      <c r="R1128">
        <v>0.550576387806608</v>
      </c>
      <c r="S1128" s="1" t="str">
        <f>VLOOKUP($E1128,'Product Naming'!$A$1:$P$58,2,FALSE)</f>
        <v>Octane</v>
      </c>
      <c r="T1128" s="1" t="str">
        <f>VLOOKUP($E1128,'Product Naming'!$A$1:$P$58,3,FALSE)</f>
        <v>Octane</v>
      </c>
      <c r="U1128" s="1" t="str">
        <f>VLOOKUP($E1128,'Product Naming'!$A$1:$P$58,4,FALSE)</f>
        <v>E</v>
      </c>
      <c r="V1128" s="1" t="str">
        <f>VLOOKUP($E1128,'Product Naming'!$A$1:$P$58,5,FALSE)</f>
        <v>C8H18</v>
      </c>
      <c r="W1128" s="1">
        <f>VLOOKUP($E1128,'Product Naming'!$A$1:$P$58,6,FALSE)</f>
        <v>8</v>
      </c>
      <c r="X1128" s="1">
        <f>VLOOKUP($E1128,'Product Naming'!$A$1:$P$58,7,FALSE)</f>
        <v>18</v>
      </c>
      <c r="Y1128" s="1">
        <f>VLOOKUP($E1128,'Product Naming'!$A$1:$P$58,8,FALSE)</f>
        <v>0</v>
      </c>
      <c r="Z1128" s="1">
        <f>VLOOKUP($E1128,'Product Naming'!$A$1:$P$58,9,FALSE)</f>
        <v>0</v>
      </c>
      <c r="AA1128" s="1">
        <f>VLOOKUP($E1128,'Product Naming'!$A$1:$P$58,10,FALSE)</f>
        <v>0</v>
      </c>
      <c r="AB1128" s="29">
        <f>VLOOKUP($E1128,'Product Naming'!$A$1:$P$58,11,FALSE)</f>
        <v>6.25</v>
      </c>
      <c r="AC1128" s="3">
        <f>VLOOKUP($E1128,'Product Naming'!$A$1:$P$58,12,FALSE)</f>
        <v>114.22672</v>
      </c>
      <c r="AD1128" s="1">
        <f>VLOOKUP($E1128,'Product Naming'!$A$1:$P$58,13,FALSE)</f>
        <v>126</v>
      </c>
      <c r="AE1128" s="1" t="str">
        <f>VLOOKUP($E1128,'Product Naming'!$A$1:$P$58,14,FALSE)</f>
        <v>Hydrocarbon (alkane)</v>
      </c>
      <c r="AF1128" s="1" t="str">
        <f>VLOOKUP($E1128,'Product Naming'!$A$1:$P$58,15,FALSE)</f>
        <v>Acetyl-CoA + Succinyl-CoA</v>
      </c>
      <c r="AG1128" s="30" t="str">
        <f>VLOOKUP($E1128,'Product Naming'!$A$1:$P$58,16,FALSE)</f>
        <v>Proton symporter</v>
      </c>
      <c r="AH1128" s="3" t="str">
        <f>VLOOKUP($E1128,'Product Naming'!$A$1:$Q$58,17,FALSE)</f>
        <v>octn_c</v>
      </c>
      <c r="AI1128" s="1">
        <f>VLOOKUP($E1128,'Product Parameters'!$A$2:$D$59,2,FALSE)</f>
        <v>1</v>
      </c>
      <c r="AJ1128" s="1">
        <f>VLOOKUP($E1128,'Product Parameters'!$A$2:$D$59,3,FALSE)</f>
        <v>0</v>
      </c>
      <c r="AK1128" s="1">
        <f>VLOOKUP($E1128,'Product Parameters'!$A$2:$D$59,4,FALSE)</f>
        <v>0.12</v>
      </c>
      <c r="AL1128" s="1">
        <f>VLOOKUP($E1128,'Product Parameters'!$A$2:$E$59,5,FALSE)</f>
        <v>41</v>
      </c>
      <c r="AM1128" s="1">
        <f>VLOOKUP($E1128,'Product Parameters'!$A$2:$F$59,6,FALSE)</f>
        <v>8</v>
      </c>
      <c r="AN1128" s="1">
        <f>VLOOKUP($C1128,'Substrate Heating'!$A$2:$C$33,3,FALSE)</f>
        <v>1230.0006480000002</v>
      </c>
      <c r="AO1128" s="1">
        <f>VLOOKUP($C1128,'Substrate Heating'!$A$2:$B$33,2,FALSE)</f>
        <v>26.7</v>
      </c>
      <c r="AP1128" s="1">
        <f>VLOOKUP($C1128,'Substrate Heating'!$A$2:$M$33,13,FALSE)</f>
        <v>6</v>
      </c>
      <c r="AQ1128" s="1">
        <f>VLOOKUP($C1128,'Substrate Heating'!$A$2:$M$33,8,FALSE)</f>
        <v>2</v>
      </c>
      <c r="AR1128" s="1">
        <f t="shared" si="17"/>
        <v>0.88818604651162802</v>
      </c>
    </row>
    <row r="1129" spans="1:44" x14ac:dyDescent="0.2">
      <c r="A1129" s="8" t="s">
        <v>34</v>
      </c>
      <c r="B1129" s="9" t="s">
        <v>35</v>
      </c>
      <c r="C1129" s="1" t="s">
        <v>330</v>
      </c>
      <c r="D1129" s="10" t="s">
        <v>37</v>
      </c>
      <c r="E1129" s="1" t="s">
        <v>132</v>
      </c>
      <c r="F1129" s="1" t="s">
        <v>133</v>
      </c>
      <c r="G1129" s="1">
        <v>-10</v>
      </c>
      <c r="H1129" s="1">
        <v>-20</v>
      </c>
      <c r="I1129" s="1" t="s">
        <v>40</v>
      </c>
      <c r="J1129" s="1">
        <v>3.15</v>
      </c>
      <c r="K1129" s="1">
        <v>-10</v>
      </c>
      <c r="L1129" s="1">
        <v>-9.5206840390879499</v>
      </c>
      <c r="M1129" s="1" t="s">
        <v>40</v>
      </c>
      <c r="N1129" s="1">
        <v>5.7114006514657998</v>
      </c>
      <c r="O1129" s="1">
        <v>2.3814332247557002</v>
      </c>
      <c r="Q1129" s="1">
        <v>0.23814332247556999</v>
      </c>
      <c r="R1129" s="1">
        <v>0.55298697868219804</v>
      </c>
      <c r="S1129" s="1" t="str">
        <f>VLOOKUP($E1129,'Product Naming'!$A$1:$P$58,2,FALSE)</f>
        <v>Adipate</v>
      </c>
      <c r="T1129" s="1" t="str">
        <f>VLOOKUP($E1129,'Product Naming'!$A$1:$P$58,3,FALSE)</f>
        <v>Adipate</v>
      </c>
      <c r="U1129" s="1" t="str">
        <f>VLOOKUP($E1129,'Product Naming'!$A$1:$P$58,4,FALSE)</f>
        <v>E</v>
      </c>
      <c r="V1129" s="1" t="str">
        <f>VLOOKUP($E1129,'Product Naming'!$A$1:$P$58,5,FALSE)</f>
        <v>C6H8O4</v>
      </c>
      <c r="W1129" s="1">
        <f>VLOOKUP($E1129,'Product Naming'!$A$1:$P$58,6,FALSE)</f>
        <v>6</v>
      </c>
      <c r="X1129" s="1">
        <f>VLOOKUP($E1129,'Product Naming'!$A$1:$P$58,7,FALSE)</f>
        <v>8</v>
      </c>
      <c r="Y1129" s="1">
        <f>VLOOKUP($E1129,'Product Naming'!$A$1:$P$58,8,FALSE)</f>
        <v>4</v>
      </c>
      <c r="Z1129" s="1">
        <f>VLOOKUP($E1129,'Product Naming'!$A$1:$P$58,9,FALSE)</f>
        <v>0</v>
      </c>
      <c r="AA1129" s="1">
        <f>VLOOKUP($E1129,'Product Naming'!$A$1:$P$58,10,FALSE)</f>
        <v>-2</v>
      </c>
      <c r="AB1129" s="29">
        <f>VLOOKUP($E1129,'Product Naming'!$A$1:$P$58,11,FALSE)</f>
        <v>4</v>
      </c>
      <c r="AC1129" s="3">
        <f>VLOOKUP($E1129,'Product Naming'!$A$1:$P$58,12,FALSE)</f>
        <v>144.12291999999999</v>
      </c>
      <c r="AD1129" s="1">
        <f>VLOOKUP($E1129,'Product Naming'!$A$1:$P$58,13,FALSE)</f>
        <v>337.5</v>
      </c>
      <c r="AE1129" s="1" t="str">
        <f>VLOOKUP($E1129,'Product Naming'!$A$1:$P$58,14,FALSE)</f>
        <v>Dicarboxylate</v>
      </c>
      <c r="AF1129" s="1" t="str">
        <f>VLOOKUP($E1129,'Product Naming'!$A$1:$P$58,15,FALSE)</f>
        <v>Glyceraldehyde 3-P</v>
      </c>
      <c r="AG1129" s="30" t="str">
        <f>VLOOKUP($E1129,'Product Naming'!$A$1:$P$58,16,FALSE)</f>
        <v>Proton symporter</v>
      </c>
      <c r="AH1129" s="3" t="str">
        <f>VLOOKUP($E1129,'Product Naming'!$A$1:$Q$58,17,FALSE)</f>
        <v>adpac_c</v>
      </c>
      <c r="AI1129" s="1">
        <f>VLOOKUP($E1129,'Product Parameters'!$A$2:$D$59,2,FALSE)</f>
        <v>1</v>
      </c>
      <c r="AJ1129" s="1">
        <f>VLOOKUP($E1129,'Product Parameters'!$A$2:$D$59,3,FALSE)</f>
        <v>0</v>
      </c>
      <c r="AK1129" s="1">
        <f>VLOOKUP($E1129,'Product Parameters'!$A$2:$D$59,4,FALSE)</f>
        <v>0.12</v>
      </c>
      <c r="AL1129" s="1">
        <f>VLOOKUP($E1129,'Product Parameters'!$A$2:$E$59,5,FALSE)</f>
        <v>40.65</v>
      </c>
      <c r="AM1129" s="1">
        <f>VLOOKUP($E1129,'Product Parameters'!$A$2:$F$59,6,FALSE)</f>
        <v>6</v>
      </c>
      <c r="AN1129" s="1">
        <f>VLOOKUP($C1129,'Substrate Heating'!$A$2:$C$33,3,FALSE)</f>
        <v>1055.1294800000001</v>
      </c>
      <c r="AO1129" s="1">
        <f>VLOOKUP($C1129,'Substrate Heating'!$A$2:$B$33,2,FALSE)</f>
        <v>17</v>
      </c>
      <c r="AP1129" s="1">
        <f>VLOOKUP($C1129,'Substrate Heating'!$A$2:$M$33,13,FALSE)</f>
        <v>5</v>
      </c>
      <c r="AQ1129" s="1">
        <f>VLOOKUP($C1129,'Substrate Heating'!$A$2:$M$33,8,FALSE)</f>
        <v>2</v>
      </c>
      <c r="AR1129" s="1">
        <f t="shared" si="17"/>
        <v>0.71442996742670994</v>
      </c>
    </row>
    <row r="1130" spans="1:44" x14ac:dyDescent="0.2">
      <c r="A1130" s="8" t="s">
        <v>34</v>
      </c>
      <c r="B1130" s="9" t="s">
        <v>35</v>
      </c>
      <c r="C1130" s="1" t="s">
        <v>330</v>
      </c>
      <c r="D1130" s="10" t="s">
        <v>37</v>
      </c>
      <c r="E1130" s="1" t="s">
        <v>52</v>
      </c>
      <c r="F1130" s="1" t="s">
        <v>53</v>
      </c>
      <c r="G1130" s="1">
        <v>-10</v>
      </c>
      <c r="H1130" s="1">
        <v>-20</v>
      </c>
      <c r="I1130" s="1" t="s">
        <v>40</v>
      </c>
      <c r="J1130" s="1">
        <v>3.15</v>
      </c>
      <c r="K1130" s="1">
        <v>-10</v>
      </c>
      <c r="L1130" s="1">
        <v>-6.9532467532467503</v>
      </c>
      <c r="M1130" s="1" t="s">
        <v>40</v>
      </c>
      <c r="N1130" s="1">
        <v>6.4649350649350596</v>
      </c>
      <c r="O1130" s="1">
        <v>4.5116883116883102</v>
      </c>
      <c r="Q1130" s="1">
        <v>0.451168831168831</v>
      </c>
      <c r="R1130" s="1">
        <v>0.55346862898904603</v>
      </c>
      <c r="S1130" s="1" t="str">
        <f>VLOOKUP($E1130,'Product Naming'!$A$1:$P$58,2,FALSE)</f>
        <v>1-3-Diaminopropane</v>
      </c>
      <c r="T1130" s="1" t="str">
        <f>VLOOKUP($E1130,'Product Naming'!$A$1:$P$58,3,FALSE)</f>
        <v>1,3-Diaminopropane</v>
      </c>
      <c r="U1130" s="1" t="str">
        <f>VLOOKUP($E1130,'Product Naming'!$A$1:$P$58,4,FALSE)</f>
        <v>A</v>
      </c>
      <c r="V1130" s="1" t="str">
        <f>VLOOKUP($E1130,'Product Naming'!$A$1:$P$58,5,FALSE)</f>
        <v>C3H12N2</v>
      </c>
      <c r="W1130" s="1">
        <f>VLOOKUP($E1130,'Product Naming'!$A$1:$P$58,6,FALSE)</f>
        <v>3</v>
      </c>
      <c r="X1130" s="1">
        <f>VLOOKUP($E1130,'Product Naming'!$A$1:$P$58,7,FALSE)</f>
        <v>12</v>
      </c>
      <c r="Y1130" s="1">
        <f>VLOOKUP($E1130,'Product Naming'!$A$1:$P$58,8,FALSE)</f>
        <v>0</v>
      </c>
      <c r="Z1130" s="1">
        <f>VLOOKUP($E1130,'Product Naming'!$A$1:$P$58,9,FALSE)</f>
        <v>2</v>
      </c>
      <c r="AA1130" s="1">
        <f>VLOOKUP($E1130,'Product Naming'!$A$1:$P$58,10,FALSE)</f>
        <v>2</v>
      </c>
      <c r="AB1130" s="29">
        <f>VLOOKUP($E1130,'Product Naming'!$A$1:$P$58,11,FALSE)</f>
        <v>6</v>
      </c>
      <c r="AC1130" s="3">
        <f>VLOOKUP($E1130,'Product Naming'!$A$1:$P$58,12,FALSE)</f>
        <v>76.139580000000009</v>
      </c>
      <c r="AD1130" s="1">
        <f>VLOOKUP($E1130,'Product Naming'!$A$1:$P$58,13,FALSE)</f>
        <v>139.30000000000001</v>
      </c>
      <c r="AE1130" s="1" t="str">
        <f>VLOOKUP($E1130,'Product Naming'!$A$1:$P$58,14,FALSE)</f>
        <v>Diamine</v>
      </c>
      <c r="AF1130" s="1" t="str">
        <f>VLOOKUP($E1130,'Product Naming'!$A$1:$P$58,15,FALSE)</f>
        <v>Oxaloacetate + aKG</v>
      </c>
      <c r="AG1130" s="30" t="str">
        <f>VLOOKUP($E1130,'Product Naming'!$A$1:$P$58,16,FALSE)</f>
        <v>Proton symporter</v>
      </c>
      <c r="AH1130" s="3" t="str">
        <f>VLOOKUP($E1130,'Product Naming'!$A$1:$Q$58,17,FALSE)</f>
        <v>13dampp_c</v>
      </c>
      <c r="AI1130" s="1">
        <f>VLOOKUP($E1130,'Product Parameters'!$A$2:$D$59,2,FALSE)</f>
        <v>1</v>
      </c>
      <c r="AJ1130" s="1">
        <f>VLOOKUP($E1130,'Product Parameters'!$A$2:$D$59,3,FALSE)</f>
        <v>0</v>
      </c>
      <c r="AK1130" s="1">
        <f>VLOOKUP($E1130,'Product Parameters'!$A$2:$D$59,4,FALSE)</f>
        <v>0.12</v>
      </c>
      <c r="AL1130" s="1">
        <f>VLOOKUP($E1130,'Product Parameters'!$A$2:$E$59,5,FALSE)</f>
        <v>50.18</v>
      </c>
      <c r="AM1130" s="1">
        <f>VLOOKUP($E1130,'Product Parameters'!$A$2:$F$59,6,FALSE)</f>
        <v>3</v>
      </c>
      <c r="AN1130" s="1">
        <f>VLOOKUP($C1130,'Substrate Heating'!$A$2:$C$33,3,FALSE)</f>
        <v>1055.1294800000001</v>
      </c>
      <c r="AO1130" s="1">
        <f>VLOOKUP($C1130,'Substrate Heating'!$A$2:$B$33,2,FALSE)</f>
        <v>17</v>
      </c>
      <c r="AP1130" s="1">
        <f>VLOOKUP($C1130,'Substrate Heating'!$A$2:$M$33,13,FALSE)</f>
        <v>5</v>
      </c>
      <c r="AQ1130" s="1">
        <f>VLOOKUP($C1130,'Substrate Heating'!$A$2:$M$33,8,FALSE)</f>
        <v>2</v>
      </c>
      <c r="AR1130" s="1">
        <f t="shared" si="17"/>
        <v>0.67675324675324644</v>
      </c>
    </row>
    <row r="1131" spans="1:44" x14ac:dyDescent="0.2">
      <c r="A1131" s="8" t="s">
        <v>792</v>
      </c>
      <c r="B1131" s="18" t="s">
        <v>324</v>
      </c>
      <c r="C1131" t="s">
        <v>371</v>
      </c>
      <c r="D1131" s="23" t="s">
        <v>338</v>
      </c>
      <c r="E1131" t="s">
        <v>81</v>
      </c>
      <c r="F1131" t="s">
        <v>73</v>
      </c>
      <c r="G1131">
        <v>-10</v>
      </c>
      <c r="H1131">
        <v>0</v>
      </c>
      <c r="I1131">
        <v>0</v>
      </c>
      <c r="J1131">
        <v>0.45</v>
      </c>
      <c r="K1131">
        <v>-10</v>
      </c>
      <c r="L1131">
        <v>0</v>
      </c>
      <c r="M1131">
        <v>0</v>
      </c>
      <c r="N1131">
        <v>0</v>
      </c>
      <c r="O1131" s="28" t="s">
        <v>431</v>
      </c>
      <c r="P1131"/>
      <c r="Q1131" s="28" t="s">
        <v>432</v>
      </c>
      <c r="R1131">
        <v>0.55372652940885703</v>
      </c>
      <c r="S1131" s="1" t="str">
        <f>VLOOKUP($E1131,'Product Naming'!$A$1:$P$58,2,FALSE)</f>
        <v>1-propanol-PW2</v>
      </c>
      <c r="T1131" s="1" t="str">
        <f>VLOOKUP($E1131,'Product Naming'!$A$1:$P$58,3,FALSE)</f>
        <v>1-Propanol (PW2)</v>
      </c>
      <c r="U1131" s="1" t="str">
        <f>VLOOKUP($E1131,'Product Naming'!$A$1:$P$58,4,FALSE)</f>
        <v>E-S</v>
      </c>
      <c r="V1131" s="1" t="str">
        <f>VLOOKUP($E1131,'Product Naming'!$A$1:$P$58,5,FALSE)</f>
        <v>C3H8O</v>
      </c>
      <c r="W1131" s="1">
        <f>VLOOKUP($E1131,'Product Naming'!$A$1:$P$58,6,FALSE)</f>
        <v>3</v>
      </c>
      <c r="X1131" s="1">
        <f>VLOOKUP($E1131,'Product Naming'!$A$1:$P$58,7,FALSE)</f>
        <v>8</v>
      </c>
      <c r="Y1131" s="1">
        <f>VLOOKUP($E1131,'Product Naming'!$A$1:$P$58,8,FALSE)</f>
        <v>1</v>
      </c>
      <c r="Z1131" s="1">
        <f>VLOOKUP($E1131,'Product Naming'!$A$1:$P$58,9,FALSE)</f>
        <v>0</v>
      </c>
      <c r="AA1131" s="1">
        <f>VLOOKUP($E1131,'Product Naming'!$A$1:$P$58,10,FALSE)</f>
        <v>0</v>
      </c>
      <c r="AB1131" s="29">
        <f>VLOOKUP($E1131,'Product Naming'!$A$1:$P$58,11,FALSE)</f>
        <v>6</v>
      </c>
      <c r="AC1131" s="3">
        <f>VLOOKUP($E1131,'Product Naming'!$A$1:$P$58,12,FALSE)</f>
        <v>60.093820000000001</v>
      </c>
      <c r="AD1131" s="1">
        <f>VLOOKUP($E1131,'Product Naming'!$A$1:$P$58,13,FALSE)</f>
        <v>97</v>
      </c>
      <c r="AE1131" s="1" t="str">
        <f>VLOOKUP($E1131,'Product Naming'!$A$1:$P$58,14,FALSE)</f>
        <v>Alcohol</v>
      </c>
      <c r="AF1131" s="1" t="str">
        <f>VLOOKUP($E1131,'Product Naming'!$A$1:$P$58,15,FALSE)</f>
        <v>Oxaloacetate</v>
      </c>
      <c r="AG1131" s="30" t="str">
        <f>VLOOKUP($E1131,'Product Naming'!$A$1:$P$58,16,FALSE)</f>
        <v>Proton symporter</v>
      </c>
      <c r="AH1131" s="3" t="str">
        <f>VLOOKUP($E1131,'Product Naming'!$A$1:$Q$58,17,FALSE)</f>
        <v>ppoh_c</v>
      </c>
      <c r="AI1131" s="1">
        <f>VLOOKUP($E1131,'Product Parameters'!$A$2:$D$59,2,FALSE)</f>
        <v>1</v>
      </c>
      <c r="AJ1131" s="1">
        <f>VLOOKUP($E1131,'Product Parameters'!$A$2:$D$59,3,FALSE)</f>
        <v>0</v>
      </c>
      <c r="AK1131" s="1">
        <f>VLOOKUP($E1131,'Product Parameters'!$A$2:$D$59,4,FALSE)</f>
        <v>0.12</v>
      </c>
      <c r="AL1131" s="1">
        <f>VLOOKUP($E1131,'Product Parameters'!$A$2:$E$59,5,FALSE)</f>
        <v>47</v>
      </c>
      <c r="AM1131" s="1">
        <f>VLOOKUP($E1131,'Product Parameters'!$A$2:$F$59,6,FALSE)</f>
        <v>3</v>
      </c>
      <c r="AN1131" s="1">
        <f>VLOOKUP($C1131,'Substrate Heating'!$A$2:$C$33,3,FALSE)</f>
        <v>638.57832580000002</v>
      </c>
      <c r="AO1131" s="1">
        <f>VLOOKUP($C1131,'Substrate Heating'!$A$2:$B$33,2,FALSE)</f>
        <v>19.93</v>
      </c>
      <c r="AP1131" s="1">
        <f>VLOOKUP($C1131,'Substrate Heating'!$A$2:$M$33,13,FALSE)</f>
        <v>6</v>
      </c>
      <c r="AQ1131" s="1">
        <f>VLOOKUP($C1131,'Substrate Heating'!$A$2:$M$33,8,FALSE)</f>
        <v>1</v>
      </c>
      <c r="AR1131" s="1">
        <f t="shared" si="17"/>
        <v>0.88571428571428501</v>
      </c>
    </row>
    <row r="1132" spans="1:44" x14ac:dyDescent="0.2">
      <c r="A1132" s="8" t="s">
        <v>34</v>
      </c>
      <c r="B1132" s="9" t="s">
        <v>35</v>
      </c>
      <c r="C1132" s="1" t="s">
        <v>322</v>
      </c>
      <c r="D1132" s="10" t="s">
        <v>37</v>
      </c>
      <c r="E1132" s="1" t="s">
        <v>308</v>
      </c>
      <c r="F1132" s="1" t="s">
        <v>309</v>
      </c>
      <c r="G1132" s="1">
        <v>-10</v>
      </c>
      <c r="H1132" s="1">
        <v>-20</v>
      </c>
      <c r="I1132" s="1" t="s">
        <v>40</v>
      </c>
      <c r="J1132" s="1">
        <v>3.15</v>
      </c>
      <c r="K1132" s="1">
        <v>-10</v>
      </c>
      <c r="L1132" s="1">
        <v>-6.71891891891892</v>
      </c>
      <c r="M1132" s="1" t="s">
        <v>40</v>
      </c>
      <c r="N1132" s="1">
        <v>6.71891891891892</v>
      </c>
      <c r="O1132" s="1">
        <v>1.8972972972972999</v>
      </c>
      <c r="Q1132" s="1">
        <v>0.18972972972973001</v>
      </c>
      <c r="R1132" s="1">
        <v>0.55637310419405195</v>
      </c>
      <c r="S1132" s="1" t="str">
        <f>VLOOKUP($E1132,'Product Naming'!$A$1:$P$58,2,FALSE)</f>
        <v>Shikimate</v>
      </c>
      <c r="T1132" s="1" t="str">
        <f>VLOOKUP($E1132,'Product Naming'!$A$1:$P$58,3,FALSE)</f>
        <v>Shikimate</v>
      </c>
      <c r="U1132" s="1" t="str">
        <f>VLOOKUP($E1132,'Product Naming'!$A$1:$P$58,4,FALSE)</f>
        <v>E</v>
      </c>
      <c r="V1132" s="1" t="str">
        <f>VLOOKUP($E1132,'Product Naming'!$A$1:$P$58,5,FALSE)</f>
        <v>C7H9O5</v>
      </c>
      <c r="W1132" s="1">
        <f>VLOOKUP($E1132,'Product Naming'!$A$1:$P$58,6,FALSE)</f>
        <v>7</v>
      </c>
      <c r="X1132" s="1">
        <f>VLOOKUP($E1132,'Product Naming'!$A$1:$P$58,7,FALSE)</f>
        <v>9</v>
      </c>
      <c r="Y1132" s="1">
        <f>VLOOKUP($E1132,'Product Naming'!$A$1:$P$58,8,FALSE)</f>
        <v>5</v>
      </c>
      <c r="Z1132" s="1">
        <f>VLOOKUP($E1132,'Product Naming'!$A$1:$P$58,9,FALSE)</f>
        <v>0</v>
      </c>
      <c r="AA1132" s="1">
        <f>VLOOKUP($E1132,'Product Naming'!$A$1:$P$58,10,FALSE)</f>
        <v>-1</v>
      </c>
      <c r="AB1132" s="29">
        <f>VLOOKUP($E1132,'Product Naming'!$A$1:$P$58,11,FALSE)</f>
        <v>3.8571428571428572</v>
      </c>
      <c r="AC1132" s="3">
        <f>VLOOKUP($E1132,'Product Naming'!$A$1:$P$58,12,FALSE)</f>
        <v>173.14046000000002</v>
      </c>
      <c r="AD1132" s="1">
        <f>VLOOKUP($E1132,'Product Naming'!$A$1:$P$58,13,FALSE)</f>
        <v>400.5</v>
      </c>
      <c r="AE1132" s="1" t="str">
        <f>VLOOKUP($E1132,'Product Naming'!$A$1:$P$58,14,FALSE)</f>
        <v>Aromatic + Alcohol + Carboxylate</v>
      </c>
      <c r="AF1132" s="1" t="str">
        <f>VLOOKUP($E1132,'Product Naming'!$A$1:$P$58,15,FALSE)</f>
        <v>PEP + E4P (Glyceraldehyde 3-P)</v>
      </c>
      <c r="AG1132" s="30" t="str">
        <f>VLOOKUP($E1132,'Product Naming'!$A$1:$P$58,16,FALSE)</f>
        <v>Proton symporter</v>
      </c>
      <c r="AH1132" s="3" t="str">
        <f>VLOOKUP($E1132,'Product Naming'!$A$1:$Q$58,17,FALSE)</f>
        <v>skm_c</v>
      </c>
      <c r="AI1132" s="1">
        <f>VLOOKUP($E1132,'Product Parameters'!$A$2:$D$59,2,FALSE)</f>
        <v>1</v>
      </c>
      <c r="AJ1132" s="1">
        <f>VLOOKUP($E1132,'Product Parameters'!$A$2:$D$59,3,FALSE)</f>
        <v>0</v>
      </c>
      <c r="AK1132" s="1">
        <f>VLOOKUP($E1132,'Product Parameters'!$A$2:$D$59,4,FALSE)</f>
        <v>0.12</v>
      </c>
      <c r="AL1132" s="1">
        <f>VLOOKUP($E1132,'Product Parameters'!$A$2:$E$59,5,FALSE)</f>
        <v>40.65</v>
      </c>
      <c r="AM1132" s="1">
        <f>VLOOKUP($E1132,'Product Parameters'!$A$2:$F$59,6,FALSE)</f>
        <v>7</v>
      </c>
      <c r="AN1132" s="1">
        <f>VLOOKUP($C1132,'Substrate Heating'!$A$2:$C$33,3,FALSE)</f>
        <v>876.74109599999997</v>
      </c>
      <c r="AO1132" s="1">
        <f>VLOOKUP($C1132,'Substrate Heating'!$A$2:$B$33,2,FALSE)</f>
        <v>14.6</v>
      </c>
      <c r="AP1132" s="1">
        <f>VLOOKUP($C1132,'Substrate Heating'!$A$2:$M$33,13,FALSE)</f>
        <v>3.5</v>
      </c>
      <c r="AQ1132" s="1">
        <f>VLOOKUP($C1132,'Substrate Heating'!$A$2:$M$33,8,FALSE)</f>
        <v>2</v>
      </c>
      <c r="AR1132" s="1">
        <f t="shared" si="17"/>
        <v>0.66405405405405504</v>
      </c>
    </row>
    <row r="1133" spans="1:44" x14ac:dyDescent="0.2">
      <c r="A1133" s="8" t="s">
        <v>34</v>
      </c>
      <c r="B1133" s="9" t="s">
        <v>35</v>
      </c>
      <c r="C1133" s="1" t="s">
        <v>347</v>
      </c>
      <c r="D1133" s="23" t="s">
        <v>338</v>
      </c>
      <c r="E1133" s="1" t="s">
        <v>136</v>
      </c>
      <c r="F1133" s="1" t="s">
        <v>137</v>
      </c>
      <c r="G1133" s="1">
        <v>-10</v>
      </c>
      <c r="H1133" s="1">
        <v>-20</v>
      </c>
      <c r="I1133" s="1" t="s">
        <v>40</v>
      </c>
      <c r="J1133" s="1">
        <v>3.15</v>
      </c>
      <c r="K1133" s="1">
        <v>-10</v>
      </c>
      <c r="L1133" s="1">
        <v>-3.9427934621099601</v>
      </c>
      <c r="M1133" s="1" t="s">
        <v>40</v>
      </c>
      <c r="N1133" s="1">
        <v>-0.32005943536404602</v>
      </c>
      <c r="O1133" s="1">
        <v>1.474294205052</v>
      </c>
      <c r="Q1133" s="1">
        <v>0.1474294205052</v>
      </c>
      <c r="R1133" s="1">
        <v>0.55726891429833703</v>
      </c>
      <c r="S1133" s="1" t="str">
        <f>VLOOKUP($E1133,'Product Naming'!$A$1:$P$58,2,FALSE)</f>
        <v>Benzoate-PW1</v>
      </c>
      <c r="T1133" s="1" t="str">
        <f>VLOOKUP($E1133,'Product Naming'!$A$1:$P$58,3,FALSE)</f>
        <v>Benzoate (PW1)</v>
      </c>
      <c r="U1133" s="1" t="str">
        <f>VLOOKUP($E1133,'Product Naming'!$A$1:$P$58,4,FALSE)</f>
        <v>A</v>
      </c>
      <c r="V1133" s="1" t="str">
        <f>VLOOKUP($E1133,'Product Naming'!$A$1:$P$58,5,FALSE)</f>
        <v>C7H5O2</v>
      </c>
      <c r="W1133" s="1">
        <f>VLOOKUP($E1133,'Product Naming'!$A$1:$P$58,6,FALSE)</f>
        <v>7</v>
      </c>
      <c r="X1133" s="1">
        <f>VLOOKUP($E1133,'Product Naming'!$A$1:$P$58,7,FALSE)</f>
        <v>5</v>
      </c>
      <c r="Y1133" s="1">
        <f>VLOOKUP($E1133,'Product Naming'!$A$1:$P$58,8,FALSE)</f>
        <v>2</v>
      </c>
      <c r="Z1133" s="1">
        <f>VLOOKUP($E1133,'Product Naming'!$A$1:$P$58,9,FALSE)</f>
        <v>0</v>
      </c>
      <c r="AA1133" s="1">
        <f>VLOOKUP($E1133,'Product Naming'!$A$1:$P$58,10,FALSE)</f>
        <v>-1</v>
      </c>
      <c r="AB1133" s="29">
        <f>VLOOKUP($E1133,'Product Naming'!$A$1:$P$58,11,FALSE)</f>
        <v>4.1428571428571432</v>
      </c>
      <c r="AC1133" s="3">
        <f>VLOOKUP($E1133,'Product Naming'!$A$1:$P$58,12,FALSE)</f>
        <v>121.1121</v>
      </c>
      <c r="AD1133" s="1">
        <f>VLOOKUP($E1133,'Product Naming'!$A$1:$P$58,13,FALSE)</f>
        <v>249.2</v>
      </c>
      <c r="AE1133" s="1" t="str">
        <f>VLOOKUP($E1133,'Product Naming'!$A$1:$P$58,14,FALSE)</f>
        <v>Aromatic + Carboxylate</v>
      </c>
      <c r="AF1133" s="1" t="str">
        <f>VLOOKUP($E1133,'Product Naming'!$A$1:$P$58,15,FALSE)</f>
        <v>E4P + aKG</v>
      </c>
      <c r="AG1133" s="30" t="str">
        <f>VLOOKUP($E1133,'Product Naming'!$A$1:$P$58,16,FALSE)</f>
        <v>Proton symporter</v>
      </c>
      <c r="AH1133" s="3" t="str">
        <f>VLOOKUP($E1133,'Product Naming'!$A$1:$Q$58,17,FALSE)</f>
        <v>bz_c</v>
      </c>
      <c r="AI1133" s="1">
        <f>VLOOKUP($E1133,'Product Parameters'!$A$2:$D$59,2,FALSE)</f>
        <v>1</v>
      </c>
      <c r="AJ1133" s="1">
        <f>VLOOKUP($E1133,'Product Parameters'!$A$2:$D$59,3,FALSE)</f>
        <v>0</v>
      </c>
      <c r="AK1133" s="1">
        <f>VLOOKUP($E1133,'Product Parameters'!$A$2:$D$59,4,FALSE)</f>
        <v>0.12</v>
      </c>
      <c r="AL1133" s="1">
        <f>VLOOKUP($E1133,'Product Parameters'!$A$2:$E$59,5,FALSE)</f>
        <v>40.65</v>
      </c>
      <c r="AM1133" s="1">
        <f>VLOOKUP($E1133,'Product Parameters'!$A$2:$F$59,6,FALSE)</f>
        <v>7</v>
      </c>
      <c r="AN1133" s="1">
        <f>VLOOKUP($C1133,'Substrate Heating'!$A$2:$C$33,3,FALSE)</f>
        <v>638.57832580000002</v>
      </c>
      <c r="AO1133" s="1">
        <f>VLOOKUP($C1133,'Substrate Heating'!$A$2:$B$33,2,FALSE)</f>
        <v>19.93</v>
      </c>
      <c r="AP1133" s="1">
        <f>VLOOKUP($C1133,'Substrate Heating'!$A$2:$M$33,13,FALSE)</f>
        <v>6</v>
      </c>
      <c r="AQ1133" s="1">
        <f>VLOOKUP($C1133,'Substrate Heating'!$A$2:$M$33,8,FALSE)</f>
        <v>1</v>
      </c>
      <c r="AR1133" s="1">
        <f t="shared" si="17"/>
        <v>1.0320059435364</v>
      </c>
    </row>
    <row r="1134" spans="1:44" x14ac:dyDescent="0.2">
      <c r="A1134" s="8" t="s">
        <v>34</v>
      </c>
      <c r="B1134" s="9" t="s">
        <v>35</v>
      </c>
      <c r="C1134" s="1" t="s">
        <v>346</v>
      </c>
      <c r="D1134" s="23" t="s">
        <v>338</v>
      </c>
      <c r="E1134" s="1" t="s">
        <v>136</v>
      </c>
      <c r="F1134" s="1" t="s">
        <v>137</v>
      </c>
      <c r="G1134" s="1">
        <v>-10</v>
      </c>
      <c r="H1134" s="1">
        <v>-20</v>
      </c>
      <c r="I1134" s="1" t="s">
        <v>40</v>
      </c>
      <c r="J1134" s="1">
        <v>3.15</v>
      </c>
      <c r="K1134" s="1">
        <v>-10</v>
      </c>
      <c r="L1134" s="1">
        <v>-3.9427934621099601</v>
      </c>
      <c r="M1134" s="1" t="s">
        <v>40</v>
      </c>
      <c r="N1134" s="1">
        <v>-0.32005943536404102</v>
      </c>
      <c r="O1134" s="1">
        <v>1.47429420505201</v>
      </c>
      <c r="Q1134" s="1">
        <v>0.147429420505201</v>
      </c>
      <c r="R1134" s="1">
        <v>0.55726891429833803</v>
      </c>
      <c r="S1134" s="1" t="str">
        <f>VLOOKUP($E1134,'Product Naming'!$A$1:$P$58,2,FALSE)</f>
        <v>Benzoate-PW1</v>
      </c>
      <c r="T1134" s="1" t="str">
        <f>VLOOKUP($E1134,'Product Naming'!$A$1:$P$58,3,FALSE)</f>
        <v>Benzoate (PW1)</v>
      </c>
      <c r="U1134" s="1" t="str">
        <f>VLOOKUP($E1134,'Product Naming'!$A$1:$P$58,4,FALSE)</f>
        <v>A</v>
      </c>
      <c r="V1134" s="1" t="str">
        <f>VLOOKUP($E1134,'Product Naming'!$A$1:$P$58,5,FALSE)</f>
        <v>C7H5O2</v>
      </c>
      <c r="W1134" s="1">
        <f>VLOOKUP($E1134,'Product Naming'!$A$1:$P$58,6,FALSE)</f>
        <v>7</v>
      </c>
      <c r="X1134" s="1">
        <f>VLOOKUP($E1134,'Product Naming'!$A$1:$P$58,7,FALSE)</f>
        <v>5</v>
      </c>
      <c r="Y1134" s="1">
        <f>VLOOKUP($E1134,'Product Naming'!$A$1:$P$58,8,FALSE)</f>
        <v>2</v>
      </c>
      <c r="Z1134" s="1">
        <f>VLOOKUP($E1134,'Product Naming'!$A$1:$P$58,9,FALSE)</f>
        <v>0</v>
      </c>
      <c r="AA1134" s="1">
        <f>VLOOKUP($E1134,'Product Naming'!$A$1:$P$58,10,FALSE)</f>
        <v>-1</v>
      </c>
      <c r="AB1134" s="29">
        <f>VLOOKUP($E1134,'Product Naming'!$A$1:$P$58,11,FALSE)</f>
        <v>4.1428571428571432</v>
      </c>
      <c r="AC1134" s="3">
        <f>VLOOKUP($E1134,'Product Naming'!$A$1:$P$58,12,FALSE)</f>
        <v>121.1121</v>
      </c>
      <c r="AD1134" s="1">
        <f>VLOOKUP($E1134,'Product Naming'!$A$1:$P$58,13,FALSE)</f>
        <v>249.2</v>
      </c>
      <c r="AE1134" s="1" t="str">
        <f>VLOOKUP($E1134,'Product Naming'!$A$1:$P$58,14,FALSE)</f>
        <v>Aromatic + Carboxylate</v>
      </c>
      <c r="AF1134" s="1" t="str">
        <f>VLOOKUP($E1134,'Product Naming'!$A$1:$P$58,15,FALSE)</f>
        <v>E4P + aKG</v>
      </c>
      <c r="AG1134" s="30" t="str">
        <f>VLOOKUP($E1134,'Product Naming'!$A$1:$P$58,16,FALSE)</f>
        <v>Proton symporter</v>
      </c>
      <c r="AH1134" s="3" t="str">
        <f>VLOOKUP($E1134,'Product Naming'!$A$1:$Q$58,17,FALSE)</f>
        <v>bz_c</v>
      </c>
      <c r="AI1134" s="1">
        <f>VLOOKUP($E1134,'Product Parameters'!$A$2:$D$59,2,FALSE)</f>
        <v>1</v>
      </c>
      <c r="AJ1134" s="1">
        <f>VLOOKUP($E1134,'Product Parameters'!$A$2:$D$59,3,FALSE)</f>
        <v>0</v>
      </c>
      <c r="AK1134" s="1">
        <f>VLOOKUP($E1134,'Product Parameters'!$A$2:$D$59,4,FALSE)</f>
        <v>0.12</v>
      </c>
      <c r="AL1134" s="1">
        <f>VLOOKUP($E1134,'Product Parameters'!$A$2:$E$59,5,FALSE)</f>
        <v>40.65</v>
      </c>
      <c r="AM1134" s="1">
        <f>VLOOKUP($E1134,'Product Parameters'!$A$2:$F$59,6,FALSE)</f>
        <v>7</v>
      </c>
      <c r="AN1134" s="1">
        <f>VLOOKUP($C1134,'Substrate Heating'!$A$2:$C$33,3,FALSE)</f>
        <v>638.57832580000002</v>
      </c>
      <c r="AO1134" s="1">
        <f>VLOOKUP($C1134,'Substrate Heating'!$A$2:$B$33,2,FALSE)</f>
        <v>19.93</v>
      </c>
      <c r="AP1134" s="1">
        <f>VLOOKUP($C1134,'Substrate Heating'!$A$2:$M$33,13,FALSE)</f>
        <v>6</v>
      </c>
      <c r="AQ1134" s="1">
        <f>VLOOKUP($C1134,'Substrate Heating'!$A$2:$M$33,8,FALSE)</f>
        <v>1</v>
      </c>
      <c r="AR1134" s="1">
        <f t="shared" si="17"/>
        <v>1.0320059435364071</v>
      </c>
    </row>
    <row r="1135" spans="1:44" x14ac:dyDescent="0.2">
      <c r="A1135" s="8" t="s">
        <v>34</v>
      </c>
      <c r="B1135" s="9" t="s">
        <v>35</v>
      </c>
      <c r="C1135" s="1" t="s">
        <v>346</v>
      </c>
      <c r="D1135" s="23" t="s">
        <v>338</v>
      </c>
      <c r="E1135" s="1" t="s">
        <v>143</v>
      </c>
      <c r="F1135" s="1" t="s">
        <v>137</v>
      </c>
      <c r="G1135" s="1">
        <v>-10</v>
      </c>
      <c r="H1135" s="1">
        <v>-20</v>
      </c>
      <c r="I1135" s="1" t="s">
        <v>40</v>
      </c>
      <c r="J1135" s="1">
        <v>3.15</v>
      </c>
      <c r="K1135" s="1">
        <v>-10</v>
      </c>
      <c r="L1135" s="1">
        <v>-3.9427934621099499</v>
      </c>
      <c r="M1135" s="1" t="s">
        <v>40</v>
      </c>
      <c r="N1135" s="1">
        <v>-0.32005943536404102</v>
      </c>
      <c r="O1135" s="1">
        <v>1.47429420505201</v>
      </c>
      <c r="Q1135" s="1">
        <v>0.147429420505201</v>
      </c>
      <c r="R1135" s="1">
        <v>0.55726891429833803</v>
      </c>
      <c r="S1135" s="1" t="str">
        <f>VLOOKUP($E1135,'Product Naming'!$A$1:$P$58,2,FALSE)</f>
        <v>Benzoate-PW2</v>
      </c>
      <c r="T1135" s="1" t="str">
        <f>VLOOKUP($E1135,'Product Naming'!$A$1:$P$58,3,FALSE)</f>
        <v>Benzoate (PW2)</v>
      </c>
      <c r="U1135" s="1" t="str">
        <f>VLOOKUP($E1135,'Product Naming'!$A$1:$P$58,4,FALSE)</f>
        <v>A</v>
      </c>
      <c r="V1135" s="1" t="str">
        <f>VLOOKUP($E1135,'Product Naming'!$A$1:$P$58,5,FALSE)</f>
        <v>C7H5O2</v>
      </c>
      <c r="W1135" s="1">
        <f>VLOOKUP($E1135,'Product Naming'!$A$1:$P$58,6,FALSE)</f>
        <v>7</v>
      </c>
      <c r="X1135" s="1">
        <f>VLOOKUP($E1135,'Product Naming'!$A$1:$P$58,7,FALSE)</f>
        <v>5</v>
      </c>
      <c r="Y1135" s="1">
        <f>VLOOKUP($E1135,'Product Naming'!$A$1:$P$58,8,FALSE)</f>
        <v>2</v>
      </c>
      <c r="Z1135" s="1">
        <f>VLOOKUP($E1135,'Product Naming'!$A$1:$P$58,9,FALSE)</f>
        <v>0</v>
      </c>
      <c r="AA1135" s="1">
        <f>VLOOKUP($E1135,'Product Naming'!$A$1:$P$58,10,FALSE)</f>
        <v>-1</v>
      </c>
      <c r="AB1135" s="29">
        <f>VLOOKUP($E1135,'Product Naming'!$A$1:$P$58,11,FALSE)</f>
        <v>4.1428571428571432</v>
      </c>
      <c r="AC1135" s="3">
        <f>VLOOKUP($E1135,'Product Naming'!$A$1:$P$58,12,FALSE)</f>
        <v>121.1121</v>
      </c>
      <c r="AD1135" s="1">
        <f>VLOOKUP($E1135,'Product Naming'!$A$1:$P$58,13,FALSE)</f>
        <v>249.2</v>
      </c>
      <c r="AE1135" s="1" t="str">
        <f>VLOOKUP($E1135,'Product Naming'!$A$1:$P$58,14,FALSE)</f>
        <v>Aromatic + Carboxylate</v>
      </c>
      <c r="AF1135" s="1" t="str">
        <f>VLOOKUP($E1135,'Product Naming'!$A$1:$P$58,15,FALSE)</f>
        <v>E4P + aKG</v>
      </c>
      <c r="AG1135" s="30" t="str">
        <f>VLOOKUP($E1135,'Product Naming'!$A$1:$P$58,16,FALSE)</f>
        <v>Proton symporter</v>
      </c>
      <c r="AH1135" s="3" t="str">
        <f>VLOOKUP($E1135,'Product Naming'!$A$1:$Q$58,17,FALSE)</f>
        <v>bz_c</v>
      </c>
      <c r="AI1135" s="1">
        <f>VLOOKUP($E1135,'Product Parameters'!$A$2:$D$59,2,FALSE)</f>
        <v>1</v>
      </c>
      <c r="AJ1135" s="1">
        <f>VLOOKUP($E1135,'Product Parameters'!$A$2:$D$59,3,FALSE)</f>
        <v>0</v>
      </c>
      <c r="AK1135" s="1">
        <f>VLOOKUP($E1135,'Product Parameters'!$A$2:$D$59,4,FALSE)</f>
        <v>0.12</v>
      </c>
      <c r="AL1135" s="1">
        <f>VLOOKUP($E1135,'Product Parameters'!$A$2:$E$59,5,FALSE)</f>
        <v>40.65</v>
      </c>
      <c r="AM1135" s="1">
        <f>VLOOKUP($E1135,'Product Parameters'!$A$2:$F$59,6,FALSE)</f>
        <v>7</v>
      </c>
      <c r="AN1135" s="1">
        <f>VLOOKUP($C1135,'Substrate Heating'!$A$2:$C$33,3,FALSE)</f>
        <v>638.57832580000002</v>
      </c>
      <c r="AO1135" s="1">
        <f>VLOOKUP($C1135,'Substrate Heating'!$A$2:$B$33,2,FALSE)</f>
        <v>19.93</v>
      </c>
      <c r="AP1135" s="1">
        <f>VLOOKUP($C1135,'Substrate Heating'!$A$2:$M$33,13,FALSE)</f>
        <v>6</v>
      </c>
      <c r="AQ1135" s="1">
        <f>VLOOKUP($C1135,'Substrate Heating'!$A$2:$M$33,8,FALSE)</f>
        <v>1</v>
      </c>
      <c r="AR1135" s="1">
        <f t="shared" si="17"/>
        <v>1.0320059435364071</v>
      </c>
    </row>
    <row r="1136" spans="1:44" x14ac:dyDescent="0.2">
      <c r="A1136" s="8" t="s">
        <v>34</v>
      </c>
      <c r="B1136" s="9" t="s">
        <v>35</v>
      </c>
      <c r="C1136" s="1" t="s">
        <v>347</v>
      </c>
      <c r="D1136" s="23" t="s">
        <v>338</v>
      </c>
      <c r="E1136" s="1" t="s">
        <v>143</v>
      </c>
      <c r="F1136" s="1" t="s">
        <v>137</v>
      </c>
      <c r="G1136" s="1">
        <v>-10</v>
      </c>
      <c r="H1136" s="1">
        <v>-20</v>
      </c>
      <c r="I1136" s="1" t="s">
        <v>40</v>
      </c>
      <c r="J1136" s="1">
        <v>3.15</v>
      </c>
      <c r="K1136" s="1">
        <v>-10</v>
      </c>
      <c r="L1136" s="1">
        <v>-3.9427934621099601</v>
      </c>
      <c r="M1136" s="1" t="s">
        <v>40</v>
      </c>
      <c r="N1136" s="1">
        <v>-0.32005943536403902</v>
      </c>
      <c r="O1136" s="1">
        <v>1.47429420505201</v>
      </c>
      <c r="Q1136" s="1">
        <v>0.147429420505201</v>
      </c>
      <c r="R1136" s="1">
        <v>0.55726891429833803</v>
      </c>
      <c r="S1136" s="1" t="str">
        <f>VLOOKUP($E1136,'Product Naming'!$A$1:$P$58,2,FALSE)</f>
        <v>Benzoate-PW2</v>
      </c>
      <c r="T1136" s="1" t="str">
        <f>VLOOKUP($E1136,'Product Naming'!$A$1:$P$58,3,FALSE)</f>
        <v>Benzoate (PW2)</v>
      </c>
      <c r="U1136" s="1" t="str">
        <f>VLOOKUP($E1136,'Product Naming'!$A$1:$P$58,4,FALSE)</f>
        <v>A</v>
      </c>
      <c r="V1136" s="1" t="str">
        <f>VLOOKUP($E1136,'Product Naming'!$A$1:$P$58,5,FALSE)</f>
        <v>C7H5O2</v>
      </c>
      <c r="W1136" s="1">
        <f>VLOOKUP($E1136,'Product Naming'!$A$1:$P$58,6,FALSE)</f>
        <v>7</v>
      </c>
      <c r="X1136" s="1">
        <f>VLOOKUP($E1136,'Product Naming'!$A$1:$P$58,7,FALSE)</f>
        <v>5</v>
      </c>
      <c r="Y1136" s="1">
        <f>VLOOKUP($E1136,'Product Naming'!$A$1:$P$58,8,FALSE)</f>
        <v>2</v>
      </c>
      <c r="Z1136" s="1">
        <f>VLOOKUP($E1136,'Product Naming'!$A$1:$P$58,9,FALSE)</f>
        <v>0</v>
      </c>
      <c r="AA1136" s="1">
        <f>VLOOKUP($E1136,'Product Naming'!$A$1:$P$58,10,FALSE)</f>
        <v>-1</v>
      </c>
      <c r="AB1136" s="29">
        <f>VLOOKUP($E1136,'Product Naming'!$A$1:$P$58,11,FALSE)</f>
        <v>4.1428571428571432</v>
      </c>
      <c r="AC1136" s="3">
        <f>VLOOKUP($E1136,'Product Naming'!$A$1:$P$58,12,FALSE)</f>
        <v>121.1121</v>
      </c>
      <c r="AD1136" s="1">
        <f>VLOOKUP($E1136,'Product Naming'!$A$1:$P$58,13,FALSE)</f>
        <v>249.2</v>
      </c>
      <c r="AE1136" s="1" t="str">
        <f>VLOOKUP($E1136,'Product Naming'!$A$1:$P$58,14,FALSE)</f>
        <v>Aromatic + Carboxylate</v>
      </c>
      <c r="AF1136" s="1" t="str">
        <f>VLOOKUP($E1136,'Product Naming'!$A$1:$P$58,15,FALSE)</f>
        <v>E4P + aKG</v>
      </c>
      <c r="AG1136" s="30" t="str">
        <f>VLOOKUP($E1136,'Product Naming'!$A$1:$P$58,16,FALSE)</f>
        <v>Proton symporter</v>
      </c>
      <c r="AH1136" s="3" t="str">
        <f>VLOOKUP($E1136,'Product Naming'!$A$1:$Q$58,17,FALSE)</f>
        <v>bz_c</v>
      </c>
      <c r="AI1136" s="1">
        <f>VLOOKUP($E1136,'Product Parameters'!$A$2:$D$59,2,FALSE)</f>
        <v>1</v>
      </c>
      <c r="AJ1136" s="1">
        <f>VLOOKUP($E1136,'Product Parameters'!$A$2:$D$59,3,FALSE)</f>
        <v>0</v>
      </c>
      <c r="AK1136" s="1">
        <f>VLOOKUP($E1136,'Product Parameters'!$A$2:$D$59,4,FALSE)</f>
        <v>0.12</v>
      </c>
      <c r="AL1136" s="1">
        <f>VLOOKUP($E1136,'Product Parameters'!$A$2:$E$59,5,FALSE)</f>
        <v>40.65</v>
      </c>
      <c r="AM1136" s="1">
        <f>VLOOKUP($E1136,'Product Parameters'!$A$2:$F$59,6,FALSE)</f>
        <v>7</v>
      </c>
      <c r="AN1136" s="1">
        <f>VLOOKUP($C1136,'Substrate Heating'!$A$2:$C$33,3,FALSE)</f>
        <v>638.57832580000002</v>
      </c>
      <c r="AO1136" s="1">
        <f>VLOOKUP($C1136,'Substrate Heating'!$A$2:$B$33,2,FALSE)</f>
        <v>19.93</v>
      </c>
      <c r="AP1136" s="1">
        <f>VLOOKUP($C1136,'Substrate Heating'!$A$2:$M$33,13,FALSE)</f>
        <v>6</v>
      </c>
      <c r="AQ1136" s="1">
        <f>VLOOKUP($C1136,'Substrate Heating'!$A$2:$M$33,8,FALSE)</f>
        <v>1</v>
      </c>
      <c r="AR1136" s="1">
        <f t="shared" si="17"/>
        <v>1.0320059435364071</v>
      </c>
    </row>
    <row r="1137" spans="1:44" x14ac:dyDescent="0.2">
      <c r="A1137" s="8" t="s">
        <v>34</v>
      </c>
      <c r="B1137" s="9" t="s">
        <v>35</v>
      </c>
      <c r="C1137" s="1" t="s">
        <v>349</v>
      </c>
      <c r="D1137" s="25" t="s">
        <v>342</v>
      </c>
      <c r="E1137" s="1" t="s">
        <v>244</v>
      </c>
      <c r="F1137" s="1" t="s">
        <v>245</v>
      </c>
      <c r="G1137" s="1">
        <v>-10</v>
      </c>
      <c r="H1137" s="1">
        <v>-20</v>
      </c>
      <c r="I1137" s="1" t="s">
        <v>40</v>
      </c>
      <c r="J1137" s="1">
        <v>3.15</v>
      </c>
      <c r="K1137" s="1">
        <v>-10</v>
      </c>
      <c r="L1137" s="1">
        <v>-1.95502645502646</v>
      </c>
      <c r="M1137" s="1" t="s">
        <v>40</v>
      </c>
      <c r="N1137" s="1">
        <v>11.564021164021201</v>
      </c>
      <c r="O1137" s="1">
        <v>9.6089947089947092</v>
      </c>
      <c r="Q1137" s="1">
        <v>0.96089947089947103</v>
      </c>
      <c r="R1137" s="1">
        <v>0.55745149423586005</v>
      </c>
      <c r="S1137" s="1" t="str">
        <f>VLOOKUP($E1137,'Product Naming'!$A$1:$P$58,2,FALSE)</f>
        <v>Isobutyrate</v>
      </c>
      <c r="T1137" s="1" t="str">
        <f>VLOOKUP($E1137,'Product Naming'!$A$1:$P$58,3,FALSE)</f>
        <v>Isobutyrate</v>
      </c>
      <c r="U1137" s="1" t="str">
        <f>VLOOKUP($E1137,'Product Naming'!$A$1:$P$58,4,FALSE)</f>
        <v>A</v>
      </c>
      <c r="V1137" s="1" t="str">
        <f>VLOOKUP($E1137,'Product Naming'!$A$1:$P$58,5,FALSE)</f>
        <v>C4H7O2</v>
      </c>
      <c r="W1137" s="1">
        <f>VLOOKUP($E1137,'Product Naming'!$A$1:$P$58,6,FALSE)</f>
        <v>4</v>
      </c>
      <c r="X1137" s="1">
        <f>VLOOKUP($E1137,'Product Naming'!$A$1:$P$58,7,FALSE)</f>
        <v>7</v>
      </c>
      <c r="Y1137" s="1">
        <f>VLOOKUP($E1137,'Product Naming'!$A$1:$P$58,8,FALSE)</f>
        <v>2</v>
      </c>
      <c r="Z1137" s="1">
        <f>VLOOKUP($E1137,'Product Naming'!$A$1:$P$58,9,FALSE)</f>
        <v>0</v>
      </c>
      <c r="AA1137" s="1">
        <f>VLOOKUP($E1137,'Product Naming'!$A$1:$P$58,10,FALSE)</f>
        <v>-1</v>
      </c>
      <c r="AB1137" s="29">
        <f>VLOOKUP($E1137,'Product Naming'!$A$1:$P$58,11,FALSE)</f>
        <v>4.75</v>
      </c>
      <c r="AC1137" s="3">
        <f>VLOOKUP($E1137,'Product Naming'!$A$1:$P$58,12,FALSE)</f>
        <v>87.095680000000002</v>
      </c>
      <c r="AD1137" s="1">
        <f>VLOOKUP($E1137,'Product Naming'!$A$1:$P$58,13,FALSE)</f>
        <v>155</v>
      </c>
      <c r="AE1137" s="1" t="str">
        <f>VLOOKUP($E1137,'Product Naming'!$A$1:$P$58,14,FALSE)</f>
        <v>Carboxylate</v>
      </c>
      <c r="AF1137" s="1" t="str">
        <f>VLOOKUP($E1137,'Product Naming'!$A$1:$P$58,15,FALSE)</f>
        <v>Pyruvate</v>
      </c>
      <c r="AG1137" s="30" t="str">
        <f>VLOOKUP($E1137,'Product Naming'!$A$1:$P$58,16,FALSE)</f>
        <v>Proton symporter</v>
      </c>
      <c r="AH1137" s="3" t="str">
        <f>VLOOKUP($E1137,'Product Naming'!$A$1:$Q$58,17,FALSE)</f>
        <v>ibt_c</v>
      </c>
      <c r="AI1137" s="1">
        <f>VLOOKUP($E1137,'Product Parameters'!$A$2:$D$59,2,FALSE)</f>
        <v>1</v>
      </c>
      <c r="AJ1137" s="1">
        <f>VLOOKUP($E1137,'Product Parameters'!$A$2:$D$59,3,FALSE)</f>
        <v>0</v>
      </c>
      <c r="AK1137" s="1">
        <f>VLOOKUP($E1137,'Product Parameters'!$A$2:$D$59,4,FALSE)</f>
        <v>0.12</v>
      </c>
      <c r="AL1137" s="1">
        <f>VLOOKUP($E1137,'Product Parameters'!$A$2:$E$59,5,FALSE)</f>
        <v>44.5</v>
      </c>
      <c r="AM1137" s="1">
        <f>VLOOKUP($E1137,'Product Parameters'!$A$2:$F$59,6,FALSE)</f>
        <v>4</v>
      </c>
      <c r="AN1137" s="1">
        <f>VLOOKUP($C1137,'Substrate Heating'!$A$2:$C$33,3,FALSE)</f>
        <v>2342.0279999999998</v>
      </c>
      <c r="AO1137" s="1">
        <f>VLOOKUP($C1137,'Substrate Heating'!$A$2:$B$33,2,FALSE)</f>
        <v>15.6</v>
      </c>
      <c r="AP1137" s="1">
        <f>VLOOKUP($C1137,'Substrate Heating'!$A$2:$M$33,13,FALSE)</f>
        <v>4</v>
      </c>
      <c r="AQ1137" s="1">
        <f>VLOOKUP($C1137,'Substrate Heating'!$A$2:$M$33,8,FALSE)</f>
        <v>5</v>
      </c>
      <c r="AR1137" s="1">
        <f t="shared" si="17"/>
        <v>0.7687195767195768</v>
      </c>
    </row>
    <row r="1138" spans="1:44" x14ac:dyDescent="0.2">
      <c r="A1138" s="17" t="s">
        <v>323</v>
      </c>
      <c r="B1138" s="18" t="s">
        <v>324</v>
      </c>
      <c r="C1138" t="s">
        <v>329</v>
      </c>
      <c r="D1138" s="19" t="s">
        <v>326</v>
      </c>
      <c r="E1138" t="s">
        <v>254</v>
      </c>
      <c r="F1138" t="s">
        <v>255</v>
      </c>
      <c r="G1138">
        <v>-10</v>
      </c>
      <c r="H1138">
        <v>0</v>
      </c>
      <c r="I1138">
        <v>-20</v>
      </c>
      <c r="J1138">
        <v>0.45</v>
      </c>
      <c r="K1138">
        <v>-10</v>
      </c>
      <c r="L1138">
        <v>0</v>
      </c>
      <c r="M1138">
        <v>-12.0457142857143</v>
      </c>
      <c r="N1138">
        <v>0</v>
      </c>
      <c r="O1138">
        <v>1.3257142857142901</v>
      </c>
      <c r="P1138"/>
      <c r="Q1138">
        <v>0.13257142857142901</v>
      </c>
      <c r="R1138" s="20">
        <v>0.55775488318680799</v>
      </c>
      <c r="S1138" s="1" t="str">
        <f>VLOOKUP($E1138,'Product Naming'!$A$1:$P$58,2,FALSE)</f>
        <v>Itaconate</v>
      </c>
      <c r="T1138" s="1" t="str">
        <f>VLOOKUP($E1138,'Product Naming'!$A$1:$P$58,3,FALSE)</f>
        <v>Itaconate</v>
      </c>
      <c r="U1138" s="1" t="str">
        <f>VLOOKUP($E1138,'Product Naming'!$A$1:$P$58,4,FALSE)</f>
        <v>E</v>
      </c>
      <c r="V1138" s="1" t="str">
        <f>VLOOKUP($E1138,'Product Naming'!$A$1:$P$58,5,FALSE)</f>
        <v>C5H4O4</v>
      </c>
      <c r="W1138" s="1">
        <f>VLOOKUP($E1138,'Product Naming'!$A$1:$P$58,6,FALSE)</f>
        <v>5</v>
      </c>
      <c r="X1138" s="1">
        <f>VLOOKUP($E1138,'Product Naming'!$A$1:$P$58,7,FALSE)</f>
        <v>4</v>
      </c>
      <c r="Y1138" s="1">
        <f>VLOOKUP($E1138,'Product Naming'!$A$1:$P$58,8,FALSE)</f>
        <v>4</v>
      </c>
      <c r="Z1138" s="1">
        <f>VLOOKUP($E1138,'Product Naming'!$A$1:$P$58,9,FALSE)</f>
        <v>0</v>
      </c>
      <c r="AA1138" s="1">
        <f>VLOOKUP($E1138,'Product Naming'!$A$1:$P$58,10,FALSE)</f>
        <v>-2</v>
      </c>
      <c r="AB1138" s="29">
        <f>VLOOKUP($E1138,'Product Naming'!$A$1:$P$58,11,FALSE)</f>
        <v>3.2</v>
      </c>
      <c r="AC1138" s="3">
        <f>VLOOKUP($E1138,'Product Naming'!$A$1:$P$58,12,FALSE)</f>
        <v>128.08086</v>
      </c>
      <c r="AD1138" s="1">
        <f>VLOOKUP($E1138,'Product Naming'!$A$1:$P$58,13,FALSE)</f>
        <v>381</v>
      </c>
      <c r="AE1138" s="1" t="str">
        <f>VLOOKUP($E1138,'Product Naming'!$A$1:$P$58,14,FALSE)</f>
        <v>Dicarboxylate</v>
      </c>
      <c r="AF1138" s="1" t="str">
        <f>VLOOKUP($E1138,'Product Naming'!$A$1:$P$58,15,FALSE)</f>
        <v>Acetyl-CoA + Oxaloacetate</v>
      </c>
      <c r="AG1138" s="30" t="str">
        <f>VLOOKUP($E1138,'Product Naming'!$A$1:$P$58,16,FALSE)</f>
        <v>Proton symporter</v>
      </c>
      <c r="AH1138" s="3" t="str">
        <f>VLOOKUP($E1138,'Product Naming'!$A$1:$Q$58,17,FALSE)</f>
        <v>itacon_c</v>
      </c>
      <c r="AI1138" s="1">
        <f>VLOOKUP($E1138,'Product Parameters'!$A$2:$D$59,2,FALSE)</f>
        <v>1</v>
      </c>
      <c r="AJ1138" s="1">
        <f>VLOOKUP($E1138,'Product Parameters'!$A$2:$D$59,3,FALSE)</f>
        <v>0</v>
      </c>
      <c r="AK1138" s="1">
        <f>VLOOKUP($E1138,'Product Parameters'!$A$2:$D$59,4,FALSE)</f>
        <v>0.12</v>
      </c>
      <c r="AL1138" s="1">
        <f>VLOOKUP($E1138,'Product Parameters'!$A$2:$E$59,5,FALSE)</f>
        <v>40.65</v>
      </c>
      <c r="AM1138" s="1">
        <f>VLOOKUP($E1138,'Product Parameters'!$A$2:$F$59,6,FALSE)</f>
        <v>5</v>
      </c>
      <c r="AN1138" s="1">
        <f>VLOOKUP($C1138,'Substrate Heating'!$A$2:$C$33,3,FALSE)</f>
        <v>255.53333333333336</v>
      </c>
      <c r="AO1138" s="1">
        <f>VLOOKUP($C1138,'Substrate Heating'!$A$2:$B$33,2,FALSE)</f>
        <v>23.925550527978785</v>
      </c>
      <c r="AP1138" s="1">
        <f>VLOOKUP($C1138,'Substrate Heating'!$A$2:$M$33,13,FALSE)</f>
        <v>0.66666666666666663</v>
      </c>
      <c r="AQ1138" s="1">
        <f>VLOOKUP($C1138,'Substrate Heating'!$A$2:$M$33,8,FALSE)</f>
        <v>0.33333333333333331</v>
      </c>
      <c r="AR1138" s="1">
        <f t="shared" si="17"/>
        <v>1.9885714285714351</v>
      </c>
    </row>
    <row r="1139" spans="1:44" x14ac:dyDescent="0.2">
      <c r="A1139" s="8" t="s">
        <v>34</v>
      </c>
      <c r="B1139" s="9" t="s">
        <v>35</v>
      </c>
      <c r="C1139" s="1" t="s">
        <v>345</v>
      </c>
      <c r="D1139" s="10" t="s">
        <v>37</v>
      </c>
      <c r="E1139" s="1" t="s">
        <v>198</v>
      </c>
      <c r="F1139" s="1" t="s">
        <v>199</v>
      </c>
      <c r="G1139" s="1">
        <v>-10</v>
      </c>
      <c r="H1139" s="1">
        <v>-20</v>
      </c>
      <c r="I1139" s="1" t="s">
        <v>40</v>
      </c>
      <c r="J1139" s="1">
        <v>3.15</v>
      </c>
      <c r="K1139" s="1">
        <v>-10</v>
      </c>
      <c r="L1139" s="1">
        <v>-0.93142857142857305</v>
      </c>
      <c r="M1139" s="1" t="s">
        <v>40</v>
      </c>
      <c r="N1139" s="1">
        <v>4.7451428571428602</v>
      </c>
      <c r="O1139" s="1">
        <v>3.8137142857142901</v>
      </c>
      <c r="Q1139" s="1">
        <v>0.38137142857142903</v>
      </c>
      <c r="R1139" s="1">
        <v>0.55951783928214605</v>
      </c>
      <c r="S1139" s="1" t="str">
        <f>VLOOKUP($E1139,'Product Naming'!$A$1:$P$58,2,FALSE)</f>
        <v>EthylAcetate</v>
      </c>
      <c r="T1139" s="1" t="str">
        <f>VLOOKUP($E1139,'Product Naming'!$A$1:$P$58,3,FALSE)</f>
        <v>Ethyl acetate</v>
      </c>
      <c r="U1139" s="1" t="str">
        <f>VLOOKUP($E1139,'Product Naming'!$A$1:$P$58,4,FALSE)</f>
        <v>E</v>
      </c>
      <c r="V1139" s="1" t="str">
        <f>VLOOKUP($E1139,'Product Naming'!$A$1:$P$58,5,FALSE)</f>
        <v>C4H8O2</v>
      </c>
      <c r="W1139" s="1">
        <f>VLOOKUP($E1139,'Product Naming'!$A$1:$P$58,6,FALSE)</f>
        <v>4</v>
      </c>
      <c r="X1139" s="1">
        <f>VLOOKUP($E1139,'Product Naming'!$A$1:$P$58,7,FALSE)</f>
        <v>8</v>
      </c>
      <c r="Y1139" s="1">
        <f>VLOOKUP($E1139,'Product Naming'!$A$1:$P$58,8,FALSE)</f>
        <v>2</v>
      </c>
      <c r="Z1139" s="1">
        <f>VLOOKUP($E1139,'Product Naming'!$A$1:$P$58,9,FALSE)</f>
        <v>0</v>
      </c>
      <c r="AA1139" s="1">
        <f>VLOOKUP($E1139,'Product Naming'!$A$1:$P$58,10,FALSE)</f>
        <v>0</v>
      </c>
      <c r="AB1139" s="29">
        <f>VLOOKUP($E1139,'Product Naming'!$A$1:$P$58,11,FALSE)</f>
        <v>5</v>
      </c>
      <c r="AC1139" s="3">
        <f>VLOOKUP($E1139,'Product Naming'!$A$1:$P$58,12,FALSE)</f>
        <v>88.103520000000003</v>
      </c>
      <c r="AD1139" s="1">
        <f>VLOOKUP($E1139,'Product Naming'!$A$1:$P$58,13,FALSE)</f>
        <v>77.099999999999994</v>
      </c>
      <c r="AE1139" s="1" t="str">
        <f>VLOOKUP($E1139,'Product Naming'!$A$1:$P$58,14,FALSE)</f>
        <v>Carboxylate Ester</v>
      </c>
      <c r="AF1139" s="1" t="str">
        <f>VLOOKUP($E1139,'Product Naming'!$A$1:$P$58,15,FALSE)</f>
        <v>Acetyl-CoA</v>
      </c>
      <c r="AG1139" s="30" t="str">
        <f>VLOOKUP($E1139,'Product Naming'!$A$1:$P$58,16,FALSE)</f>
        <v>Proton symporter</v>
      </c>
      <c r="AH1139" s="3" t="str">
        <f>VLOOKUP($E1139,'Product Naming'!$A$1:$Q$58,17,FALSE)</f>
        <v>aces_c</v>
      </c>
      <c r="AI1139" s="1">
        <f>VLOOKUP($E1139,'Product Parameters'!$A$2:$D$59,2,FALSE)</f>
        <v>1</v>
      </c>
      <c r="AJ1139" s="1">
        <f>VLOOKUP($E1139,'Product Parameters'!$A$2:$D$59,3,FALSE)</f>
        <v>0</v>
      </c>
      <c r="AK1139" s="1">
        <f>VLOOKUP($E1139,'Product Parameters'!$A$2:$D$59,4,FALSE)</f>
        <v>0.12</v>
      </c>
      <c r="AL1139" s="1">
        <f>VLOOKUP($E1139,'Product Parameters'!$A$2:$E$59,5,FALSE)</f>
        <v>35</v>
      </c>
      <c r="AM1139" s="1">
        <f>VLOOKUP($E1139,'Product Parameters'!$A$2:$F$59,6,FALSE)</f>
        <v>4</v>
      </c>
      <c r="AN1139" s="1">
        <f>VLOOKUP($C1139,'Substrate Heating'!$A$2:$C$33,3,FALSE)</f>
        <v>1020.8629199999999</v>
      </c>
      <c r="AO1139" s="1">
        <f>VLOOKUP($C1139,'Substrate Heating'!$A$2:$B$33,2,FALSE)</f>
        <v>17</v>
      </c>
      <c r="AP1139" s="1">
        <f>VLOOKUP($C1139,'Substrate Heating'!$A$2:$M$33,13,FALSE)</f>
        <v>4</v>
      </c>
      <c r="AQ1139" s="1">
        <f>VLOOKUP($C1139,'Substrate Heating'!$A$2:$M$33,8,FALSE)</f>
        <v>2</v>
      </c>
      <c r="AR1139" s="1">
        <f t="shared" si="17"/>
        <v>0.76274285714285806</v>
      </c>
    </row>
    <row r="1140" spans="1:44" x14ac:dyDescent="0.2">
      <c r="A1140" s="17" t="s">
        <v>231</v>
      </c>
      <c r="B1140" s="9" t="s">
        <v>35</v>
      </c>
      <c r="C1140" t="s">
        <v>332</v>
      </c>
      <c r="D1140" s="10" t="s">
        <v>37</v>
      </c>
      <c r="E1140" t="s">
        <v>232</v>
      </c>
      <c r="F1140" t="s">
        <v>233</v>
      </c>
      <c r="G1140">
        <v>-10</v>
      </c>
      <c r="H1140">
        <v>-20</v>
      </c>
      <c r="I1140" s="1" t="s">
        <v>40</v>
      </c>
      <c r="J1140">
        <v>3.15</v>
      </c>
      <c r="K1140">
        <v>-10</v>
      </c>
      <c r="L1140">
        <v>-1.65482625482625</v>
      </c>
      <c r="M1140" s="1" t="s">
        <v>40</v>
      </c>
      <c r="N1140">
        <v>1.9621621621621701</v>
      </c>
      <c r="O1140">
        <v>2.5768339768339801</v>
      </c>
      <c r="P1140"/>
      <c r="Q1140">
        <v>0.25768339768339799</v>
      </c>
      <c r="R1140">
        <v>0.560481851395078</v>
      </c>
      <c r="S1140" s="1" t="str">
        <f>VLOOKUP($E1140,'Product Naming'!$A$1:$P$58,2,FALSE)</f>
        <v>Heptane</v>
      </c>
      <c r="T1140" s="1" t="str">
        <f>VLOOKUP($E1140,'Product Naming'!$A$1:$P$58,3,FALSE)</f>
        <v>Heptane</v>
      </c>
      <c r="U1140" s="1" t="str">
        <f>VLOOKUP($E1140,'Product Naming'!$A$1:$P$58,4,FALSE)</f>
        <v>E</v>
      </c>
      <c r="V1140" s="1" t="str">
        <f>VLOOKUP($E1140,'Product Naming'!$A$1:$P$58,5,FALSE)</f>
        <v>C7H16</v>
      </c>
      <c r="W1140" s="1">
        <f>VLOOKUP($E1140,'Product Naming'!$A$1:$P$58,6,FALSE)</f>
        <v>7</v>
      </c>
      <c r="X1140" s="1">
        <f>VLOOKUP($E1140,'Product Naming'!$A$1:$P$58,7,FALSE)</f>
        <v>16</v>
      </c>
      <c r="Y1140" s="1">
        <f>VLOOKUP($E1140,'Product Naming'!$A$1:$P$58,8,FALSE)</f>
        <v>0</v>
      </c>
      <c r="Z1140" s="1">
        <f>VLOOKUP($E1140,'Product Naming'!$A$1:$P$58,9,FALSE)</f>
        <v>0</v>
      </c>
      <c r="AA1140" s="1">
        <f>VLOOKUP($E1140,'Product Naming'!$A$1:$P$58,10,FALSE)</f>
        <v>0</v>
      </c>
      <c r="AB1140" s="29">
        <f>VLOOKUP($E1140,'Product Naming'!$A$1:$P$58,11,FALSE)</f>
        <v>6.2857142857142856</v>
      </c>
      <c r="AC1140" s="3">
        <f>VLOOKUP($E1140,'Product Naming'!$A$1:$P$58,12,FALSE)</f>
        <v>100.20034</v>
      </c>
      <c r="AD1140" s="1">
        <f>VLOOKUP($E1140,'Product Naming'!$A$1:$P$58,13,FALSE)</f>
        <v>98</v>
      </c>
      <c r="AE1140" s="1" t="str">
        <f>VLOOKUP($E1140,'Product Naming'!$A$1:$P$58,14,FALSE)</f>
        <v>Hydrocarbon (alkane)</v>
      </c>
      <c r="AF1140" s="1" t="str">
        <f>VLOOKUP($E1140,'Product Naming'!$A$1:$P$58,15,FALSE)</f>
        <v>Acetyl-CoA</v>
      </c>
      <c r="AG1140" s="30" t="str">
        <f>VLOOKUP($E1140,'Product Naming'!$A$1:$P$58,16,FALSE)</f>
        <v>Proton symporter</v>
      </c>
      <c r="AH1140" s="3" t="str">
        <f>VLOOKUP($E1140,'Product Naming'!$A$1:$Q$58,17,FALSE)</f>
        <v>hept_c</v>
      </c>
      <c r="AI1140" s="1">
        <f>VLOOKUP($E1140,'Product Parameters'!$A$2:$D$59,2,FALSE)</f>
        <v>1</v>
      </c>
      <c r="AJ1140" s="1">
        <f>VLOOKUP($E1140,'Product Parameters'!$A$2:$D$59,3,FALSE)</f>
        <v>0</v>
      </c>
      <c r="AK1140" s="1">
        <f>VLOOKUP($E1140,'Product Parameters'!$A$2:$D$59,4,FALSE)</f>
        <v>0.12</v>
      </c>
      <c r="AL1140" s="1">
        <f>VLOOKUP($E1140,'Product Parameters'!$A$2:$E$59,5,FALSE)</f>
        <v>36</v>
      </c>
      <c r="AM1140" s="1">
        <f>VLOOKUP($E1140,'Product Parameters'!$A$2:$F$59,6,FALSE)</f>
        <v>7</v>
      </c>
      <c r="AN1140" s="1">
        <f>VLOOKUP($C1140,'Substrate Heating'!$A$2:$C$33,3,FALSE)</f>
        <v>1230.0006480000002</v>
      </c>
      <c r="AO1140" s="1">
        <f>VLOOKUP($C1140,'Substrate Heating'!$A$2:$B$33,2,FALSE)</f>
        <v>26.7</v>
      </c>
      <c r="AP1140" s="1">
        <f>VLOOKUP($C1140,'Substrate Heating'!$A$2:$M$33,13,FALSE)</f>
        <v>6</v>
      </c>
      <c r="AQ1140" s="1">
        <f>VLOOKUP($C1140,'Substrate Heating'!$A$2:$M$33,8,FALSE)</f>
        <v>2</v>
      </c>
      <c r="AR1140" s="1">
        <f t="shared" si="17"/>
        <v>0.901891891891893</v>
      </c>
    </row>
    <row r="1141" spans="1:44" x14ac:dyDescent="0.2">
      <c r="A1141" s="17" t="s">
        <v>185</v>
      </c>
      <c r="B1141" s="9" t="s">
        <v>35</v>
      </c>
      <c r="C1141" t="s">
        <v>345</v>
      </c>
      <c r="D1141" s="10" t="s">
        <v>37</v>
      </c>
      <c r="E1141" t="s">
        <v>264</v>
      </c>
      <c r="F1141" t="s">
        <v>265</v>
      </c>
      <c r="G1141">
        <v>-10</v>
      </c>
      <c r="H1141">
        <v>-20</v>
      </c>
      <c r="I1141" s="1" t="s">
        <v>40</v>
      </c>
      <c r="J1141">
        <v>3.15</v>
      </c>
      <c r="K1141">
        <v>-10</v>
      </c>
      <c r="L1141">
        <v>-3.9861538461538499</v>
      </c>
      <c r="M1141" s="1" t="s">
        <v>40</v>
      </c>
      <c r="N1141">
        <v>6.2738461538461596</v>
      </c>
      <c r="O1141">
        <v>2.2876923076923101</v>
      </c>
      <c r="P1141"/>
      <c r="Q1141">
        <v>0.228769230769231</v>
      </c>
      <c r="R1141">
        <v>0.56073528173019205</v>
      </c>
      <c r="S1141" s="1" t="str">
        <f>VLOOKUP($E1141,'Product Naming'!$A$1:$P$58,2,FALSE)</f>
        <v>Lysine_L</v>
      </c>
      <c r="T1141" s="1" t="str">
        <f>VLOOKUP($E1141,'Product Naming'!$A$1:$P$58,3,FALSE)</f>
        <v>L-Lysine</v>
      </c>
      <c r="U1141" s="1" t="str">
        <f>VLOOKUP($E1141,'Product Naming'!$A$1:$P$58,4,FALSE)</f>
        <v>iJO1366</v>
      </c>
      <c r="V1141" s="1" t="str">
        <f>VLOOKUP($E1141,'Product Naming'!$A$1:$P$58,5,FALSE)</f>
        <v>C6H15N2O2</v>
      </c>
      <c r="W1141" s="1">
        <f>VLOOKUP($E1141,'Product Naming'!$A$1:$P$58,6,FALSE)</f>
        <v>6</v>
      </c>
      <c r="X1141" s="1">
        <f>VLOOKUP($E1141,'Product Naming'!$A$1:$P$58,7,FALSE)</f>
        <v>15</v>
      </c>
      <c r="Y1141" s="1">
        <f>VLOOKUP($E1141,'Product Naming'!$A$1:$P$58,8,FALSE)</f>
        <v>2</v>
      </c>
      <c r="Z1141" s="1">
        <f>VLOOKUP($E1141,'Product Naming'!$A$1:$P$58,9,FALSE)</f>
        <v>2</v>
      </c>
      <c r="AA1141" s="1">
        <f>VLOOKUP($E1141,'Product Naming'!$A$1:$P$58,10,FALSE)</f>
        <v>1</v>
      </c>
      <c r="AB1141" s="29">
        <f>VLOOKUP($E1141,'Product Naming'!$A$1:$P$58,11,FALSE)</f>
        <v>4.833333333333333</v>
      </c>
      <c r="AC1141" s="3">
        <f>VLOOKUP($E1141,'Product Naming'!$A$1:$P$58,12,FALSE)</f>
        <v>147.19319999999999</v>
      </c>
      <c r="AD1141" s="1" t="str">
        <f>VLOOKUP($E1141,'Product Naming'!$A$1:$P$58,13,FALSE)</f>
        <v>NA</v>
      </c>
      <c r="AE1141" s="1" t="str">
        <f>VLOOKUP($E1141,'Product Naming'!$A$1:$P$58,14,FALSE)</f>
        <v>Amino acid</v>
      </c>
      <c r="AF1141" s="1" t="str">
        <f>VLOOKUP($E1141,'Product Naming'!$A$1:$P$58,15,FALSE)</f>
        <v>Oxaloacetate</v>
      </c>
      <c r="AG1141" s="30" t="str">
        <f>VLOOKUP($E1141,'Product Naming'!$A$1:$P$58,16,FALSE)</f>
        <v>Proton antiport</v>
      </c>
      <c r="AH1141" s="3" t="str">
        <f>VLOOKUP($E1141,'Product Naming'!$A$1:$Q$58,17,FALSE)</f>
        <v>lys__L_</v>
      </c>
      <c r="AI1141" s="1">
        <f>VLOOKUP($E1141,'Product Parameters'!$A$2:$D$59,2,FALSE)</f>
        <v>1</v>
      </c>
      <c r="AJ1141" s="1">
        <f>VLOOKUP($E1141,'Product Parameters'!$A$2:$D$59,3,FALSE)</f>
        <v>0</v>
      </c>
      <c r="AK1141" s="1">
        <f>VLOOKUP($E1141,'Product Parameters'!$A$2:$D$59,4,FALSE)</f>
        <v>0.12</v>
      </c>
      <c r="AL1141" s="1">
        <f>VLOOKUP($E1141,'Product Parameters'!$A$2:$E$59,5,FALSE)</f>
        <v>40.65</v>
      </c>
      <c r="AM1141" s="1">
        <f>VLOOKUP($E1141,'Product Parameters'!$A$2:$F$59,6,FALSE)</f>
        <v>6</v>
      </c>
      <c r="AN1141" s="1">
        <f>VLOOKUP($C1141,'Substrate Heating'!$A$2:$C$33,3,FALSE)</f>
        <v>1020.8629199999999</v>
      </c>
      <c r="AO1141" s="1">
        <f>VLOOKUP($C1141,'Substrate Heating'!$A$2:$B$33,2,FALSE)</f>
        <v>17</v>
      </c>
      <c r="AP1141" s="1">
        <f>VLOOKUP($C1141,'Substrate Heating'!$A$2:$M$33,13,FALSE)</f>
        <v>4</v>
      </c>
      <c r="AQ1141" s="1">
        <f>VLOOKUP($C1141,'Substrate Heating'!$A$2:$M$33,8,FALSE)</f>
        <v>2</v>
      </c>
      <c r="AR1141" s="1">
        <f t="shared" si="17"/>
        <v>0.68630769230769295</v>
      </c>
    </row>
    <row r="1142" spans="1:44" x14ac:dyDescent="0.2">
      <c r="A1142" s="8" t="s">
        <v>34</v>
      </c>
      <c r="B1142" s="9" t="s">
        <v>35</v>
      </c>
      <c r="C1142" s="1" t="s">
        <v>345</v>
      </c>
      <c r="D1142" s="10" t="s">
        <v>37</v>
      </c>
      <c r="E1142" s="1" t="s">
        <v>171</v>
      </c>
      <c r="F1142" s="1" t="s">
        <v>172</v>
      </c>
      <c r="G1142" s="1">
        <v>-10</v>
      </c>
      <c r="H1142" s="1">
        <v>-20</v>
      </c>
      <c r="I1142" s="1" t="s">
        <v>40</v>
      </c>
      <c r="J1142" s="1">
        <v>3.15</v>
      </c>
      <c r="K1142" s="1">
        <v>-10</v>
      </c>
      <c r="L1142" s="1">
        <v>-0.59883720930232398</v>
      </c>
      <c r="M1142" s="1" t="s">
        <v>40</v>
      </c>
      <c r="N1142" s="1">
        <v>4.4790697674418603</v>
      </c>
      <c r="O1142" s="1">
        <v>3.8802325581395398</v>
      </c>
      <c r="Q1142" s="1">
        <v>0.38802325581395403</v>
      </c>
      <c r="R1142" s="1">
        <v>0.56276475922417701</v>
      </c>
      <c r="S1142" s="1" t="str">
        <f>VLOOKUP($E1142,'Product Naming'!$A$1:$P$58,2,FALSE)</f>
        <v>Butyrate</v>
      </c>
      <c r="T1142" s="1" t="str">
        <f>VLOOKUP($E1142,'Product Naming'!$A$1:$P$58,3,FALSE)</f>
        <v>Butyrate</v>
      </c>
      <c r="U1142" s="1" t="str">
        <f>VLOOKUP($E1142,'Product Naming'!$A$1:$P$58,4,FALSE)</f>
        <v>A</v>
      </c>
      <c r="V1142" s="1" t="str">
        <f>VLOOKUP($E1142,'Product Naming'!$A$1:$P$58,5,FALSE)</f>
        <v>C4H7O2</v>
      </c>
      <c r="W1142" s="1">
        <f>VLOOKUP($E1142,'Product Naming'!$A$1:$P$58,6,FALSE)</f>
        <v>4</v>
      </c>
      <c r="X1142" s="1">
        <f>VLOOKUP($E1142,'Product Naming'!$A$1:$P$58,7,FALSE)</f>
        <v>7</v>
      </c>
      <c r="Y1142" s="1">
        <f>VLOOKUP($E1142,'Product Naming'!$A$1:$P$58,8,FALSE)</f>
        <v>2</v>
      </c>
      <c r="Z1142" s="1">
        <f>VLOOKUP($E1142,'Product Naming'!$A$1:$P$58,9,FALSE)</f>
        <v>0</v>
      </c>
      <c r="AA1142" s="1">
        <f>VLOOKUP($E1142,'Product Naming'!$A$1:$P$58,10,FALSE)</f>
        <v>-1</v>
      </c>
      <c r="AB1142" s="29">
        <f>VLOOKUP($E1142,'Product Naming'!$A$1:$P$58,11,FALSE)</f>
        <v>4.75</v>
      </c>
      <c r="AC1142" s="3">
        <f>VLOOKUP($E1142,'Product Naming'!$A$1:$P$58,12,FALSE)</f>
        <v>87.095680000000002</v>
      </c>
      <c r="AD1142" s="1">
        <f>VLOOKUP($E1142,'Product Naming'!$A$1:$P$58,13,FALSE)</f>
        <v>163.5</v>
      </c>
      <c r="AE1142" s="1" t="str">
        <f>VLOOKUP($E1142,'Product Naming'!$A$1:$P$58,14,FALSE)</f>
        <v>Carboxylate</v>
      </c>
      <c r="AF1142" s="1" t="str">
        <f>VLOOKUP($E1142,'Product Naming'!$A$1:$P$58,15,FALSE)</f>
        <v>Acetyl-CoA</v>
      </c>
      <c r="AG1142" s="30" t="str">
        <f>VLOOKUP($E1142,'Product Naming'!$A$1:$P$58,16,FALSE)</f>
        <v>Proton symporter</v>
      </c>
      <c r="AH1142" s="3" t="str">
        <f>VLOOKUP($E1142,'Product Naming'!$A$1:$Q$58,17,FALSE)</f>
        <v>but_c</v>
      </c>
      <c r="AI1142" s="1">
        <f>VLOOKUP($E1142,'Product Parameters'!$A$2:$D$59,2,FALSE)</f>
        <v>1</v>
      </c>
      <c r="AJ1142" s="1">
        <f>VLOOKUP($E1142,'Product Parameters'!$A$2:$D$59,3,FALSE)</f>
        <v>0</v>
      </c>
      <c r="AK1142" s="1">
        <f>VLOOKUP($E1142,'Product Parameters'!$A$2:$D$59,4,FALSE)</f>
        <v>0.12</v>
      </c>
      <c r="AL1142" s="1">
        <f>VLOOKUP($E1142,'Product Parameters'!$A$2:$E$59,5,FALSE)</f>
        <v>42</v>
      </c>
      <c r="AM1142" s="1">
        <f>VLOOKUP($E1142,'Product Parameters'!$A$2:$F$59,6,FALSE)</f>
        <v>4</v>
      </c>
      <c r="AN1142" s="1">
        <f>VLOOKUP($C1142,'Substrate Heating'!$A$2:$C$33,3,FALSE)</f>
        <v>1020.8629199999999</v>
      </c>
      <c r="AO1142" s="1">
        <f>VLOOKUP($C1142,'Substrate Heating'!$A$2:$B$33,2,FALSE)</f>
        <v>17</v>
      </c>
      <c r="AP1142" s="1">
        <f>VLOOKUP($C1142,'Substrate Heating'!$A$2:$M$33,13,FALSE)</f>
        <v>4</v>
      </c>
      <c r="AQ1142" s="1">
        <f>VLOOKUP($C1142,'Substrate Heating'!$A$2:$M$33,8,FALSE)</f>
        <v>2</v>
      </c>
      <c r="AR1142" s="1">
        <f t="shared" si="17"/>
        <v>0.77604651162790805</v>
      </c>
    </row>
    <row r="1143" spans="1:44" x14ac:dyDescent="0.2">
      <c r="A1143" s="8" t="s">
        <v>34</v>
      </c>
      <c r="B1143" s="9" t="s">
        <v>35</v>
      </c>
      <c r="C1143" s="1" t="s">
        <v>341</v>
      </c>
      <c r="D1143" s="24" t="s">
        <v>342</v>
      </c>
      <c r="E1143" s="1" t="s">
        <v>244</v>
      </c>
      <c r="F1143" s="1" t="s">
        <v>245</v>
      </c>
      <c r="G1143" s="1">
        <v>-10</v>
      </c>
      <c r="H1143" s="1">
        <v>-20</v>
      </c>
      <c r="I1143" s="1" t="s">
        <v>40</v>
      </c>
      <c r="J1143" s="1">
        <v>3.15</v>
      </c>
      <c r="K1143" s="1">
        <v>-10</v>
      </c>
      <c r="L1143" s="1">
        <v>-1.76984126984127</v>
      </c>
      <c r="M1143" s="1" t="s">
        <v>40</v>
      </c>
      <c r="N1143" s="1">
        <v>13.415873015873</v>
      </c>
      <c r="O1143" s="1">
        <v>11.646031746031699</v>
      </c>
      <c r="Q1143" s="1">
        <v>1.16460317460317</v>
      </c>
      <c r="R1143" s="1">
        <v>0.56303425869615498</v>
      </c>
      <c r="S1143" s="1" t="str">
        <f>VLOOKUP($E1143,'Product Naming'!$A$1:$P$58,2,FALSE)</f>
        <v>Isobutyrate</v>
      </c>
      <c r="T1143" s="1" t="str">
        <f>VLOOKUP($E1143,'Product Naming'!$A$1:$P$58,3,FALSE)</f>
        <v>Isobutyrate</v>
      </c>
      <c r="U1143" s="1" t="str">
        <f>VLOOKUP($E1143,'Product Naming'!$A$1:$P$58,4,FALSE)</f>
        <v>A</v>
      </c>
      <c r="V1143" s="1" t="str">
        <f>VLOOKUP($E1143,'Product Naming'!$A$1:$P$58,5,FALSE)</f>
        <v>C4H7O2</v>
      </c>
      <c r="W1143" s="1">
        <f>VLOOKUP($E1143,'Product Naming'!$A$1:$P$58,6,FALSE)</f>
        <v>4</v>
      </c>
      <c r="X1143" s="1">
        <f>VLOOKUP($E1143,'Product Naming'!$A$1:$P$58,7,FALSE)</f>
        <v>7</v>
      </c>
      <c r="Y1143" s="1">
        <f>VLOOKUP($E1143,'Product Naming'!$A$1:$P$58,8,FALSE)</f>
        <v>2</v>
      </c>
      <c r="Z1143" s="1">
        <f>VLOOKUP($E1143,'Product Naming'!$A$1:$P$58,9,FALSE)</f>
        <v>0</v>
      </c>
      <c r="AA1143" s="1">
        <f>VLOOKUP($E1143,'Product Naming'!$A$1:$P$58,10,FALSE)</f>
        <v>-1</v>
      </c>
      <c r="AB1143" s="29">
        <f>VLOOKUP($E1143,'Product Naming'!$A$1:$P$58,11,FALSE)</f>
        <v>4.75</v>
      </c>
      <c r="AC1143" s="3">
        <f>VLOOKUP($E1143,'Product Naming'!$A$1:$P$58,12,FALSE)</f>
        <v>87.095680000000002</v>
      </c>
      <c r="AD1143" s="1">
        <f>VLOOKUP($E1143,'Product Naming'!$A$1:$P$58,13,FALSE)</f>
        <v>155</v>
      </c>
      <c r="AE1143" s="1" t="str">
        <f>VLOOKUP($E1143,'Product Naming'!$A$1:$P$58,14,FALSE)</f>
        <v>Carboxylate</v>
      </c>
      <c r="AF1143" s="1" t="str">
        <f>VLOOKUP($E1143,'Product Naming'!$A$1:$P$58,15,FALSE)</f>
        <v>Pyruvate</v>
      </c>
      <c r="AG1143" s="30" t="str">
        <f>VLOOKUP($E1143,'Product Naming'!$A$1:$P$58,16,FALSE)</f>
        <v>Proton symporter</v>
      </c>
      <c r="AH1143" s="3" t="str">
        <f>VLOOKUP($E1143,'Product Naming'!$A$1:$Q$58,17,FALSE)</f>
        <v>ibt_c</v>
      </c>
      <c r="AI1143" s="1">
        <f>VLOOKUP($E1143,'Product Parameters'!$A$2:$D$59,2,FALSE)</f>
        <v>1</v>
      </c>
      <c r="AJ1143" s="1">
        <f>VLOOKUP($E1143,'Product Parameters'!$A$2:$D$59,3,FALSE)</f>
        <v>0</v>
      </c>
      <c r="AK1143" s="1">
        <f>VLOOKUP($E1143,'Product Parameters'!$A$2:$D$59,4,FALSE)</f>
        <v>0.12</v>
      </c>
      <c r="AL1143" s="1">
        <f>VLOOKUP($E1143,'Product Parameters'!$A$2:$E$59,5,FALSE)</f>
        <v>44.5</v>
      </c>
      <c r="AM1143" s="1">
        <f>VLOOKUP($E1143,'Product Parameters'!$A$2:$F$59,6,FALSE)</f>
        <v>4</v>
      </c>
      <c r="AN1143" s="1">
        <f>VLOOKUP($C1143,'Substrate Heating'!$A$2:$C$33,3,FALSE)</f>
        <v>2828.4492</v>
      </c>
      <c r="AO1143" s="1">
        <f>VLOOKUP($C1143,'Substrate Heating'!$A$2:$B$33,2,FALSE)</f>
        <v>15.7</v>
      </c>
      <c r="AP1143" s="1">
        <f>VLOOKUP($C1143,'Substrate Heating'!$A$2:$M$33,13,FALSE)</f>
        <v>4</v>
      </c>
      <c r="AQ1143" s="1">
        <f>VLOOKUP($C1143,'Substrate Heating'!$A$2:$M$33,8,FALSE)</f>
        <v>6</v>
      </c>
      <c r="AR1143" s="1">
        <f t="shared" si="17"/>
        <v>0.77640211640211332</v>
      </c>
    </row>
    <row r="1144" spans="1:44" x14ac:dyDescent="0.2">
      <c r="A1144" s="8" t="s">
        <v>812</v>
      </c>
      <c r="B1144" s="9" t="s">
        <v>35</v>
      </c>
      <c r="C1144" t="s">
        <v>813</v>
      </c>
      <c r="E1144" t="s">
        <v>236</v>
      </c>
      <c r="F1144" t="s">
        <v>237</v>
      </c>
      <c r="G1144">
        <v>-10</v>
      </c>
      <c r="H1144">
        <v>-20</v>
      </c>
      <c r="I1144">
        <v>0</v>
      </c>
      <c r="J1144">
        <v>3.15</v>
      </c>
      <c r="K1144">
        <v>-10</v>
      </c>
      <c r="L1144">
        <v>-7.6470270270268497</v>
      </c>
      <c r="M1144">
        <v>0</v>
      </c>
      <c r="N1144">
        <v>6.40864864864868</v>
      </c>
      <c r="O1144">
        <v>3.9318918918919299</v>
      </c>
      <c r="P1144"/>
      <c r="Q1144">
        <v>0.39318918918919299</v>
      </c>
      <c r="R1144">
        <v>0.56381656873796904</v>
      </c>
      <c r="S1144" s="1" t="str">
        <f>VLOOKUP($E1144,'Product Naming'!$A$1:$P$58,2,FALSE)</f>
        <v>Hexane</v>
      </c>
      <c r="T1144" s="1" t="str">
        <f>VLOOKUP($E1144,'Product Naming'!$A$1:$P$58,3,FALSE)</f>
        <v>Hexane</v>
      </c>
      <c r="U1144" s="1" t="str">
        <f>VLOOKUP($E1144,'Product Naming'!$A$1:$P$58,4,FALSE)</f>
        <v>E</v>
      </c>
      <c r="V1144" s="1" t="str">
        <f>VLOOKUP($E1144,'Product Naming'!$A$1:$P$58,5,FALSE)</f>
        <v>C6H14</v>
      </c>
      <c r="W1144" s="1">
        <f>VLOOKUP($E1144,'Product Naming'!$A$1:$P$58,6,FALSE)</f>
        <v>6</v>
      </c>
      <c r="X1144" s="1">
        <f>VLOOKUP($E1144,'Product Naming'!$A$1:$P$58,7,FALSE)</f>
        <v>14</v>
      </c>
      <c r="Y1144" s="1">
        <f>VLOOKUP($E1144,'Product Naming'!$A$1:$P$58,8,FALSE)</f>
        <v>0</v>
      </c>
      <c r="Z1144" s="1">
        <f>VLOOKUP($E1144,'Product Naming'!$A$1:$P$58,9,FALSE)</f>
        <v>0</v>
      </c>
      <c r="AA1144" s="1">
        <f>VLOOKUP($E1144,'Product Naming'!$A$1:$P$58,10,FALSE)</f>
        <v>0</v>
      </c>
      <c r="AB1144" s="29">
        <f>VLOOKUP($E1144,'Product Naming'!$A$1:$P$58,11,FALSE)</f>
        <v>6.333333333333333</v>
      </c>
      <c r="AC1144" s="3">
        <f>VLOOKUP($E1144,'Product Naming'!$A$1:$P$58,12,FALSE)</f>
        <v>86.173959999999994</v>
      </c>
      <c r="AD1144" s="1">
        <f>VLOOKUP($E1144,'Product Naming'!$A$1:$P$58,13,FALSE)</f>
        <v>69</v>
      </c>
      <c r="AE1144" s="1" t="str">
        <f>VLOOKUP($E1144,'Product Naming'!$A$1:$P$58,14,FALSE)</f>
        <v>Hydrocarbon (alkane)</v>
      </c>
      <c r="AF1144" s="1" t="str">
        <f>VLOOKUP($E1144,'Product Naming'!$A$1:$P$58,15,FALSE)</f>
        <v>Acetyl-CoA + Succinyl-CoA</v>
      </c>
      <c r="AG1144" s="30" t="str">
        <f>VLOOKUP($E1144,'Product Naming'!$A$1:$P$58,16,FALSE)</f>
        <v>Proton symporter</v>
      </c>
      <c r="AH1144" s="3" t="str">
        <f>VLOOKUP($E1144,'Product Naming'!$A$1:$Q$58,17,FALSE)</f>
        <v>hex_c</v>
      </c>
      <c r="AI1144" s="1">
        <f>VLOOKUP($E1144,'Product Parameters'!$A$2:$D$59,2,FALSE)</f>
        <v>1</v>
      </c>
      <c r="AJ1144" s="1">
        <f>VLOOKUP($E1144,'Product Parameters'!$A$2:$D$59,3,FALSE)</f>
        <v>0</v>
      </c>
      <c r="AK1144" s="1">
        <f>VLOOKUP($E1144,'Product Parameters'!$A$2:$D$59,4,FALSE)</f>
        <v>0.12</v>
      </c>
      <c r="AL1144" s="1">
        <f>VLOOKUP($E1144,'Product Parameters'!$A$2:$E$59,5,FALSE)</f>
        <v>31</v>
      </c>
      <c r="AM1144" s="1">
        <f>VLOOKUP($E1144,'Product Parameters'!$A$2:$F$59,6,FALSE)</f>
        <v>6</v>
      </c>
      <c r="AN1144" s="1">
        <f>VLOOKUP($C1144,'Substrate Heating'!$A$2:$C$33,3,FALSE)</f>
        <v>1843.720736</v>
      </c>
      <c r="AO1144" s="1">
        <f>VLOOKUP($C1144,'Substrate Heating'!$A$2:$B$33,2,FALSE)</f>
        <v>30.68</v>
      </c>
      <c r="AP1144" s="1">
        <f>VLOOKUP($C1144,'Substrate Heating'!$A$2:$M$33,13,FALSE)</f>
        <v>6</v>
      </c>
      <c r="AQ1144" s="1">
        <f>VLOOKUP($C1144,'Substrate Heating'!$A$2:$M$33,8,FALSE)</f>
        <v>3</v>
      </c>
      <c r="AR1144" s="1">
        <f t="shared" si="17"/>
        <v>0.78637837837838598</v>
      </c>
    </row>
    <row r="1145" spans="1:44" x14ac:dyDescent="0.2">
      <c r="A1145" s="17" t="s">
        <v>323</v>
      </c>
      <c r="B1145" s="18" t="s">
        <v>324</v>
      </c>
      <c r="C1145" t="s">
        <v>327</v>
      </c>
      <c r="D1145" s="19" t="s">
        <v>326</v>
      </c>
      <c r="E1145" t="s">
        <v>318</v>
      </c>
      <c r="F1145" t="s">
        <v>319</v>
      </c>
      <c r="G1145">
        <v>-10</v>
      </c>
      <c r="H1145">
        <v>0</v>
      </c>
      <c r="I1145">
        <v>-5</v>
      </c>
      <c r="J1145">
        <v>0.45</v>
      </c>
      <c r="K1145">
        <v>-10</v>
      </c>
      <c r="L1145">
        <v>0</v>
      </c>
      <c r="M1145">
        <v>-5</v>
      </c>
      <c r="N1145">
        <v>1.79512195121951</v>
      </c>
      <c r="O1145">
        <v>1.40975609756098</v>
      </c>
      <c r="P1145"/>
      <c r="Q1145">
        <v>0.14097560975609799</v>
      </c>
      <c r="R1145">
        <v>0.56385463750819398</v>
      </c>
      <c r="S1145" s="1" t="str">
        <f>VLOOKUP($E1145,'Product Naming'!$A$1:$P$58,2,FALSE)</f>
        <v>Succinate</v>
      </c>
      <c r="T1145" s="1" t="str">
        <f>VLOOKUP($E1145,'Product Naming'!$A$1:$P$58,3,FALSE)</f>
        <v>Succinate</v>
      </c>
      <c r="U1145" s="1" t="str">
        <f>VLOOKUP($E1145,'Product Naming'!$A$1:$P$58,4,FALSE)</f>
        <v>iJO1366</v>
      </c>
      <c r="V1145" s="1" t="str">
        <f>VLOOKUP($E1145,'Product Naming'!$A$1:$P$58,5,FALSE)</f>
        <v>C4H4O4</v>
      </c>
      <c r="W1145" s="1">
        <f>VLOOKUP($E1145,'Product Naming'!$A$1:$P$58,6,FALSE)</f>
        <v>4</v>
      </c>
      <c r="X1145" s="1">
        <f>VLOOKUP($E1145,'Product Naming'!$A$1:$P$58,7,FALSE)</f>
        <v>4</v>
      </c>
      <c r="Y1145" s="1">
        <f>VLOOKUP($E1145,'Product Naming'!$A$1:$P$58,8,FALSE)</f>
        <v>4</v>
      </c>
      <c r="Z1145" s="1">
        <f>VLOOKUP($E1145,'Product Naming'!$A$1:$P$58,9,FALSE)</f>
        <v>0</v>
      </c>
      <c r="AA1145" s="1">
        <f>VLOOKUP($E1145,'Product Naming'!$A$1:$P$58,10,FALSE)</f>
        <v>-2</v>
      </c>
      <c r="AB1145" s="29">
        <f>VLOOKUP($E1145,'Product Naming'!$A$1:$P$58,11,FALSE)</f>
        <v>3</v>
      </c>
      <c r="AC1145" s="3">
        <f>VLOOKUP($E1145,'Product Naming'!$A$1:$P$58,12,FALSE)</f>
        <v>116.07016</v>
      </c>
      <c r="AD1145" s="1">
        <f>VLOOKUP($E1145,'Product Naming'!$A$1:$P$58,13,FALSE)</f>
        <v>235</v>
      </c>
      <c r="AE1145" s="1" t="str">
        <f>VLOOKUP($E1145,'Product Naming'!$A$1:$P$58,14,FALSE)</f>
        <v>Dicarboxylate</v>
      </c>
      <c r="AF1145" s="1" t="str">
        <f>VLOOKUP($E1145,'Product Naming'!$A$1:$P$58,15,FALSE)</f>
        <v>Oxaloacetate</v>
      </c>
      <c r="AG1145" s="30" t="str">
        <f>VLOOKUP($E1145,'Product Naming'!$A$1:$P$58,16,FALSE)</f>
        <v>Proton symporter</v>
      </c>
      <c r="AH1145" s="3" t="str">
        <f>VLOOKUP($E1145,'Product Naming'!$A$1:$Q$58,17,FALSE)</f>
        <v>succ_c</v>
      </c>
      <c r="AI1145" s="1">
        <f>VLOOKUP($E1145,'Product Parameters'!$A$2:$D$59,2,FALSE)</f>
        <v>1</v>
      </c>
      <c r="AJ1145" s="1">
        <f>VLOOKUP($E1145,'Product Parameters'!$A$2:$D$59,3,FALSE)</f>
        <v>0</v>
      </c>
      <c r="AK1145" s="1">
        <f>VLOOKUP($E1145,'Product Parameters'!$A$2:$D$59,4,FALSE)</f>
        <v>0.12</v>
      </c>
      <c r="AL1145" s="1">
        <f>VLOOKUP($E1145,'Product Parameters'!$A$2:$E$59,5,FALSE)</f>
        <v>40.65</v>
      </c>
      <c r="AM1145" s="1">
        <f>VLOOKUP($E1145,'Product Parameters'!$A$2:$F$59,6,FALSE)</f>
        <v>4</v>
      </c>
      <c r="AN1145" s="1">
        <f>VLOOKUP($C1145,'Substrate Heating'!$A$2:$C$33,3,FALSE)</f>
        <v>269.26666666666665</v>
      </c>
      <c r="AO1145" s="1">
        <f>VLOOKUP($C1145,'Substrate Heating'!$A$2:$B$33,2,FALSE)</f>
        <v>13.919167510409219</v>
      </c>
      <c r="AP1145" s="1">
        <f>VLOOKUP($C1145,'Substrate Heating'!$A$2:$M$33,13,FALSE)</f>
        <v>1.3333333333333333</v>
      </c>
      <c r="AQ1145" s="1">
        <f>VLOOKUP($C1145,'Substrate Heating'!$A$2:$M$33,8,FALSE)</f>
        <v>0.66666666666666663</v>
      </c>
      <c r="AR1145" s="1">
        <f t="shared" si="17"/>
        <v>0.845853658536588</v>
      </c>
    </row>
    <row r="1146" spans="1:44" x14ac:dyDescent="0.2">
      <c r="A1146" s="8" t="s">
        <v>812</v>
      </c>
      <c r="B1146" s="9" t="s">
        <v>35</v>
      </c>
      <c r="C1146" t="s">
        <v>813</v>
      </c>
      <c r="E1146" t="s">
        <v>283</v>
      </c>
      <c r="F1146" t="s">
        <v>284</v>
      </c>
      <c r="G1146">
        <v>-10</v>
      </c>
      <c r="H1146">
        <v>-20</v>
      </c>
      <c r="I1146">
        <v>0</v>
      </c>
      <c r="J1146">
        <v>3.15</v>
      </c>
      <c r="K1146">
        <v>-10</v>
      </c>
      <c r="L1146">
        <v>-7.8877551020408196</v>
      </c>
      <c r="M1146">
        <v>0</v>
      </c>
      <c r="N1146">
        <v>6.2481632653061201</v>
      </c>
      <c r="O1146">
        <v>2.9689795918367299</v>
      </c>
      <c r="P1146"/>
      <c r="Q1146">
        <v>0.29689795918367301</v>
      </c>
      <c r="R1146">
        <v>0.56433259315627304</v>
      </c>
      <c r="S1146" s="1" t="str">
        <f>VLOOKUP($E1146,'Product Naming'!$A$1:$P$58,2,FALSE)</f>
        <v>Octane</v>
      </c>
      <c r="T1146" s="1" t="str">
        <f>VLOOKUP($E1146,'Product Naming'!$A$1:$P$58,3,FALSE)</f>
        <v>Octane</v>
      </c>
      <c r="U1146" s="1" t="str">
        <f>VLOOKUP($E1146,'Product Naming'!$A$1:$P$58,4,FALSE)</f>
        <v>E</v>
      </c>
      <c r="V1146" s="1" t="str">
        <f>VLOOKUP($E1146,'Product Naming'!$A$1:$P$58,5,FALSE)</f>
        <v>C8H18</v>
      </c>
      <c r="W1146" s="1">
        <f>VLOOKUP($E1146,'Product Naming'!$A$1:$P$58,6,FALSE)</f>
        <v>8</v>
      </c>
      <c r="X1146" s="1">
        <f>VLOOKUP($E1146,'Product Naming'!$A$1:$P$58,7,FALSE)</f>
        <v>18</v>
      </c>
      <c r="Y1146" s="1">
        <f>VLOOKUP($E1146,'Product Naming'!$A$1:$P$58,8,FALSE)</f>
        <v>0</v>
      </c>
      <c r="Z1146" s="1">
        <f>VLOOKUP($E1146,'Product Naming'!$A$1:$P$58,9,FALSE)</f>
        <v>0</v>
      </c>
      <c r="AA1146" s="1">
        <f>VLOOKUP($E1146,'Product Naming'!$A$1:$P$58,10,FALSE)</f>
        <v>0</v>
      </c>
      <c r="AB1146" s="29">
        <f>VLOOKUP($E1146,'Product Naming'!$A$1:$P$58,11,FALSE)</f>
        <v>6.25</v>
      </c>
      <c r="AC1146" s="3">
        <f>VLOOKUP($E1146,'Product Naming'!$A$1:$P$58,12,FALSE)</f>
        <v>114.22672</v>
      </c>
      <c r="AD1146" s="1">
        <f>VLOOKUP($E1146,'Product Naming'!$A$1:$P$58,13,FALSE)</f>
        <v>126</v>
      </c>
      <c r="AE1146" s="1" t="str">
        <f>VLOOKUP($E1146,'Product Naming'!$A$1:$P$58,14,FALSE)</f>
        <v>Hydrocarbon (alkane)</v>
      </c>
      <c r="AF1146" s="1" t="str">
        <f>VLOOKUP($E1146,'Product Naming'!$A$1:$P$58,15,FALSE)</f>
        <v>Acetyl-CoA + Succinyl-CoA</v>
      </c>
      <c r="AG1146" s="30" t="str">
        <f>VLOOKUP($E1146,'Product Naming'!$A$1:$P$58,16,FALSE)</f>
        <v>Proton symporter</v>
      </c>
      <c r="AH1146" s="3" t="str">
        <f>VLOOKUP($E1146,'Product Naming'!$A$1:$Q$58,17,FALSE)</f>
        <v>octn_c</v>
      </c>
      <c r="AI1146" s="1">
        <f>VLOOKUP($E1146,'Product Parameters'!$A$2:$D$59,2,FALSE)</f>
        <v>1</v>
      </c>
      <c r="AJ1146" s="1">
        <f>VLOOKUP($E1146,'Product Parameters'!$A$2:$D$59,3,FALSE)</f>
        <v>0</v>
      </c>
      <c r="AK1146" s="1">
        <f>VLOOKUP($E1146,'Product Parameters'!$A$2:$D$59,4,FALSE)</f>
        <v>0.12</v>
      </c>
      <c r="AL1146" s="1">
        <f>VLOOKUP($E1146,'Product Parameters'!$A$2:$E$59,5,FALSE)</f>
        <v>41</v>
      </c>
      <c r="AM1146" s="1">
        <f>VLOOKUP($E1146,'Product Parameters'!$A$2:$F$59,6,FALSE)</f>
        <v>8</v>
      </c>
      <c r="AN1146" s="1">
        <f>VLOOKUP($C1146,'Substrate Heating'!$A$2:$C$33,3,FALSE)</f>
        <v>1843.720736</v>
      </c>
      <c r="AO1146" s="1">
        <f>VLOOKUP($C1146,'Substrate Heating'!$A$2:$B$33,2,FALSE)</f>
        <v>30.68</v>
      </c>
      <c r="AP1146" s="1">
        <f>VLOOKUP($C1146,'Substrate Heating'!$A$2:$M$33,13,FALSE)</f>
        <v>6</v>
      </c>
      <c r="AQ1146" s="1">
        <f>VLOOKUP($C1146,'Substrate Heating'!$A$2:$M$33,8,FALSE)</f>
        <v>3</v>
      </c>
      <c r="AR1146" s="1">
        <f t="shared" si="17"/>
        <v>0.79172789115646136</v>
      </c>
    </row>
    <row r="1147" spans="1:44" x14ac:dyDescent="0.2">
      <c r="A1147" s="8" t="s">
        <v>34</v>
      </c>
      <c r="B1147" s="9" t="s">
        <v>35</v>
      </c>
      <c r="C1147" s="1" t="s">
        <v>345</v>
      </c>
      <c r="D1147" s="10" t="s">
        <v>37</v>
      </c>
      <c r="E1147" s="1" t="s">
        <v>221</v>
      </c>
      <c r="F1147" s="1" t="s">
        <v>222</v>
      </c>
      <c r="G1147" s="1">
        <v>-10</v>
      </c>
      <c r="H1147" s="1">
        <v>-20</v>
      </c>
      <c r="I1147" s="1" t="s">
        <v>40</v>
      </c>
      <c r="J1147" s="1">
        <v>3.15</v>
      </c>
      <c r="K1147" s="1">
        <v>-10</v>
      </c>
      <c r="L1147" s="1">
        <v>-6.9561403508771997</v>
      </c>
      <c r="M1147" s="1" t="s">
        <v>40</v>
      </c>
      <c r="N1147" s="1">
        <v>6.9561403508772104</v>
      </c>
      <c r="O1147" s="1">
        <v>2.6087719298245702</v>
      </c>
      <c r="Q1147" s="1">
        <v>0.26087719298245698</v>
      </c>
      <c r="R1147" s="1">
        <v>0.56516386085275905</v>
      </c>
      <c r="S1147" s="1" t="str">
        <f>VLOOKUP($E1147,'Product Naming'!$A$1:$P$58,2,FALSE)</f>
        <v>Glutarate</v>
      </c>
      <c r="T1147" s="1" t="str">
        <f>VLOOKUP($E1147,'Product Naming'!$A$1:$P$58,3,FALSE)</f>
        <v>Glutarate</v>
      </c>
      <c r="U1147" s="1" t="str">
        <f>VLOOKUP($E1147,'Product Naming'!$A$1:$P$58,4,FALSE)</f>
        <v>A</v>
      </c>
      <c r="V1147" s="1" t="str">
        <f>VLOOKUP($E1147,'Product Naming'!$A$1:$P$58,5,FALSE)</f>
        <v>C5H6O4</v>
      </c>
      <c r="W1147" s="1">
        <f>VLOOKUP($E1147,'Product Naming'!$A$1:$P$58,6,FALSE)</f>
        <v>5</v>
      </c>
      <c r="X1147" s="1">
        <f>VLOOKUP($E1147,'Product Naming'!$A$1:$P$58,7,FALSE)</f>
        <v>6</v>
      </c>
      <c r="Y1147" s="1">
        <f>VLOOKUP($E1147,'Product Naming'!$A$1:$P$58,8,FALSE)</f>
        <v>4</v>
      </c>
      <c r="Z1147" s="1">
        <f>VLOOKUP($E1147,'Product Naming'!$A$1:$P$58,9,FALSE)</f>
        <v>0</v>
      </c>
      <c r="AA1147" s="1">
        <f>VLOOKUP($E1147,'Product Naming'!$A$1:$P$58,10,FALSE)</f>
        <v>-2</v>
      </c>
      <c r="AB1147" s="29">
        <f>VLOOKUP($E1147,'Product Naming'!$A$1:$P$58,11,FALSE)</f>
        <v>3.6</v>
      </c>
      <c r="AC1147" s="3">
        <f>VLOOKUP($E1147,'Product Naming'!$A$1:$P$58,12,FALSE)</f>
        <v>130.09654</v>
      </c>
      <c r="AD1147" s="1">
        <f>VLOOKUP($E1147,'Product Naming'!$A$1:$P$58,13,FALSE)</f>
        <v>200</v>
      </c>
      <c r="AE1147" s="1" t="str">
        <f>VLOOKUP($E1147,'Product Naming'!$A$1:$P$58,14,FALSE)</f>
        <v>Dicarboxylate</v>
      </c>
      <c r="AF1147" s="1" t="str">
        <f>VLOOKUP($E1147,'Product Naming'!$A$1:$P$58,15,FALSE)</f>
        <v>Oxaloacetate + aKG</v>
      </c>
      <c r="AG1147" s="30" t="str">
        <f>VLOOKUP($E1147,'Product Naming'!$A$1:$P$58,16,FALSE)</f>
        <v>Proton symporter</v>
      </c>
      <c r="AH1147" s="3" t="str">
        <f>VLOOKUP($E1147,'Product Naming'!$A$1:$Q$58,17,FALSE)</f>
        <v>glutar_c</v>
      </c>
      <c r="AI1147" s="1">
        <f>VLOOKUP($E1147,'Product Parameters'!$A$2:$D$59,2,FALSE)</f>
        <v>1</v>
      </c>
      <c r="AJ1147" s="1">
        <f>VLOOKUP($E1147,'Product Parameters'!$A$2:$D$59,3,FALSE)</f>
        <v>0</v>
      </c>
      <c r="AK1147" s="1">
        <f>VLOOKUP($E1147,'Product Parameters'!$A$2:$D$59,4,FALSE)</f>
        <v>0.12</v>
      </c>
      <c r="AL1147" s="1">
        <f>VLOOKUP($E1147,'Product Parameters'!$A$2:$E$59,5,FALSE)</f>
        <v>40.65</v>
      </c>
      <c r="AM1147" s="1">
        <f>VLOOKUP($E1147,'Product Parameters'!$A$2:$F$59,6,FALSE)</f>
        <v>5</v>
      </c>
      <c r="AN1147" s="1">
        <f>VLOOKUP($C1147,'Substrate Heating'!$A$2:$C$33,3,FALSE)</f>
        <v>1020.8629199999999</v>
      </c>
      <c r="AO1147" s="1">
        <f>VLOOKUP($C1147,'Substrate Heating'!$A$2:$B$33,2,FALSE)</f>
        <v>17</v>
      </c>
      <c r="AP1147" s="1">
        <f>VLOOKUP($C1147,'Substrate Heating'!$A$2:$M$33,13,FALSE)</f>
        <v>4</v>
      </c>
      <c r="AQ1147" s="1">
        <f>VLOOKUP($C1147,'Substrate Heating'!$A$2:$M$33,8,FALSE)</f>
        <v>2</v>
      </c>
      <c r="AR1147" s="1">
        <f t="shared" si="17"/>
        <v>0.65219298245614243</v>
      </c>
    </row>
    <row r="1148" spans="1:44" x14ac:dyDescent="0.2">
      <c r="A1148" s="8" t="s">
        <v>34</v>
      </c>
      <c r="B1148" s="9" t="s">
        <v>35</v>
      </c>
      <c r="C1148" s="1" t="s">
        <v>346</v>
      </c>
      <c r="D1148" s="23" t="s">
        <v>338</v>
      </c>
      <c r="E1148" s="1" t="s">
        <v>72</v>
      </c>
      <c r="F1148" s="1" t="s">
        <v>73</v>
      </c>
      <c r="G1148" s="1">
        <v>-10</v>
      </c>
      <c r="H1148" s="1">
        <v>-20</v>
      </c>
      <c r="I1148" s="1" t="s">
        <v>40</v>
      </c>
      <c r="J1148" s="1">
        <v>3.15</v>
      </c>
      <c r="K1148" s="1">
        <v>-10</v>
      </c>
      <c r="L1148" s="1">
        <v>-1.4125000000000001</v>
      </c>
      <c r="M1148" s="1" t="s">
        <v>40</v>
      </c>
      <c r="N1148" s="1">
        <v>0.94166666666666299</v>
      </c>
      <c r="O1148" s="1">
        <v>3.0194444444444399</v>
      </c>
      <c r="Q1148" s="1">
        <v>0.30194444444444402</v>
      </c>
      <c r="R1148" s="1">
        <v>0.56630445729462298</v>
      </c>
      <c r="S1148" s="1" t="str">
        <f>VLOOKUP($E1148,'Product Naming'!$A$1:$P$58,2,FALSE)</f>
        <v>1-propanol-PW1</v>
      </c>
      <c r="T1148" s="1" t="str">
        <f>VLOOKUP($E1148,'Product Naming'!$A$1:$P$58,3,FALSE)</f>
        <v>1-Propanol (PW1)</v>
      </c>
      <c r="U1148" s="1" t="str">
        <f>VLOOKUP($E1148,'Product Naming'!$A$1:$P$58,4,FALSE)</f>
        <v>E-S</v>
      </c>
      <c r="V1148" s="1" t="str">
        <f>VLOOKUP($E1148,'Product Naming'!$A$1:$P$58,5,FALSE)</f>
        <v>C3H8O</v>
      </c>
      <c r="W1148" s="1">
        <f>VLOOKUP($E1148,'Product Naming'!$A$1:$P$58,6,FALSE)</f>
        <v>3</v>
      </c>
      <c r="X1148" s="1">
        <f>VLOOKUP($E1148,'Product Naming'!$A$1:$P$58,7,FALSE)</f>
        <v>8</v>
      </c>
      <c r="Y1148" s="1">
        <f>VLOOKUP($E1148,'Product Naming'!$A$1:$P$58,8,FALSE)</f>
        <v>1</v>
      </c>
      <c r="Z1148" s="1">
        <f>VLOOKUP($E1148,'Product Naming'!$A$1:$P$58,9,FALSE)</f>
        <v>0</v>
      </c>
      <c r="AA1148" s="1">
        <f>VLOOKUP($E1148,'Product Naming'!$A$1:$P$58,10,FALSE)</f>
        <v>0</v>
      </c>
      <c r="AB1148" s="29">
        <f>VLOOKUP($E1148,'Product Naming'!$A$1:$P$58,11,FALSE)</f>
        <v>6</v>
      </c>
      <c r="AC1148" s="3">
        <f>VLOOKUP($E1148,'Product Naming'!$A$1:$P$58,12,FALSE)</f>
        <v>60.093820000000001</v>
      </c>
      <c r="AD1148" s="1">
        <f>VLOOKUP($E1148,'Product Naming'!$A$1:$P$58,13,FALSE)</f>
        <v>97</v>
      </c>
      <c r="AE1148" s="1" t="str">
        <f>VLOOKUP($E1148,'Product Naming'!$A$1:$P$58,14,FALSE)</f>
        <v>Alcohol</v>
      </c>
      <c r="AF1148" s="1" t="str">
        <f>VLOOKUP($E1148,'Product Naming'!$A$1:$P$58,15,FALSE)</f>
        <v>Glyceraldehyde 3-P (--&gt;DHAP)</v>
      </c>
      <c r="AG1148" s="30" t="str">
        <f>VLOOKUP($E1148,'Product Naming'!$A$1:$P$58,16,FALSE)</f>
        <v>Proton symporter</v>
      </c>
      <c r="AH1148" s="3" t="str">
        <f>VLOOKUP($E1148,'Product Naming'!$A$1:$Q$58,17,FALSE)</f>
        <v>ppoh_c</v>
      </c>
      <c r="AI1148" s="1">
        <f>VLOOKUP($E1148,'Product Parameters'!$A$2:$D$59,2,FALSE)</f>
        <v>1</v>
      </c>
      <c r="AJ1148" s="1">
        <f>VLOOKUP($E1148,'Product Parameters'!$A$2:$D$59,3,FALSE)</f>
        <v>0</v>
      </c>
      <c r="AK1148" s="1">
        <f>VLOOKUP($E1148,'Product Parameters'!$A$2:$D$59,4,FALSE)</f>
        <v>0.12</v>
      </c>
      <c r="AL1148" s="1">
        <f>VLOOKUP($E1148,'Product Parameters'!$A$2:$E$59,5,FALSE)</f>
        <v>47</v>
      </c>
      <c r="AM1148" s="1">
        <f>VLOOKUP($E1148,'Product Parameters'!$A$2:$F$59,6,FALSE)</f>
        <v>3</v>
      </c>
      <c r="AN1148" s="1">
        <f>VLOOKUP($C1148,'Substrate Heating'!$A$2:$C$33,3,FALSE)</f>
        <v>638.57832580000002</v>
      </c>
      <c r="AO1148" s="1">
        <f>VLOOKUP($C1148,'Substrate Heating'!$A$2:$B$33,2,FALSE)</f>
        <v>19.93</v>
      </c>
      <c r="AP1148" s="1">
        <f>VLOOKUP($C1148,'Substrate Heating'!$A$2:$M$33,13,FALSE)</f>
        <v>6</v>
      </c>
      <c r="AQ1148" s="1">
        <f>VLOOKUP($C1148,'Substrate Heating'!$A$2:$M$33,8,FALSE)</f>
        <v>1</v>
      </c>
      <c r="AR1148" s="1">
        <f t="shared" si="17"/>
        <v>0.90583333333333205</v>
      </c>
    </row>
    <row r="1149" spans="1:44" x14ac:dyDescent="0.2">
      <c r="A1149" s="8" t="s">
        <v>34</v>
      </c>
      <c r="B1149" s="9" t="s">
        <v>35</v>
      </c>
      <c r="C1149" s="1" t="s">
        <v>347</v>
      </c>
      <c r="D1149" s="23" t="s">
        <v>338</v>
      </c>
      <c r="E1149" s="1" t="s">
        <v>72</v>
      </c>
      <c r="F1149" s="1" t="s">
        <v>73</v>
      </c>
      <c r="G1149" s="1">
        <v>-10</v>
      </c>
      <c r="H1149" s="1">
        <v>-20</v>
      </c>
      <c r="I1149" s="1" t="s">
        <v>40</v>
      </c>
      <c r="J1149" s="1">
        <v>3.15</v>
      </c>
      <c r="K1149" s="1">
        <v>-10</v>
      </c>
      <c r="L1149" s="1">
        <v>-1.4125000000000001</v>
      </c>
      <c r="M1149" s="1" t="s">
        <v>40</v>
      </c>
      <c r="N1149" s="1">
        <v>0.94166666666666698</v>
      </c>
      <c r="O1149" s="1">
        <v>3.0194444444444399</v>
      </c>
      <c r="Q1149" s="1">
        <v>0.30194444444444402</v>
      </c>
      <c r="R1149" s="1">
        <v>0.56630445729462298</v>
      </c>
      <c r="S1149" s="1" t="str">
        <f>VLOOKUP($E1149,'Product Naming'!$A$1:$P$58,2,FALSE)</f>
        <v>1-propanol-PW1</v>
      </c>
      <c r="T1149" s="1" t="str">
        <f>VLOOKUP($E1149,'Product Naming'!$A$1:$P$58,3,FALSE)</f>
        <v>1-Propanol (PW1)</v>
      </c>
      <c r="U1149" s="1" t="str">
        <f>VLOOKUP($E1149,'Product Naming'!$A$1:$P$58,4,FALSE)</f>
        <v>E-S</v>
      </c>
      <c r="V1149" s="1" t="str">
        <f>VLOOKUP($E1149,'Product Naming'!$A$1:$P$58,5,FALSE)</f>
        <v>C3H8O</v>
      </c>
      <c r="W1149" s="1">
        <f>VLOOKUP($E1149,'Product Naming'!$A$1:$P$58,6,FALSE)</f>
        <v>3</v>
      </c>
      <c r="X1149" s="1">
        <f>VLOOKUP($E1149,'Product Naming'!$A$1:$P$58,7,FALSE)</f>
        <v>8</v>
      </c>
      <c r="Y1149" s="1">
        <f>VLOOKUP($E1149,'Product Naming'!$A$1:$P$58,8,FALSE)</f>
        <v>1</v>
      </c>
      <c r="Z1149" s="1">
        <f>VLOOKUP($E1149,'Product Naming'!$A$1:$P$58,9,FALSE)</f>
        <v>0</v>
      </c>
      <c r="AA1149" s="1">
        <f>VLOOKUP($E1149,'Product Naming'!$A$1:$P$58,10,FALSE)</f>
        <v>0</v>
      </c>
      <c r="AB1149" s="29">
        <f>VLOOKUP($E1149,'Product Naming'!$A$1:$P$58,11,FALSE)</f>
        <v>6</v>
      </c>
      <c r="AC1149" s="3">
        <f>VLOOKUP($E1149,'Product Naming'!$A$1:$P$58,12,FALSE)</f>
        <v>60.093820000000001</v>
      </c>
      <c r="AD1149" s="1">
        <f>VLOOKUP($E1149,'Product Naming'!$A$1:$P$58,13,FALSE)</f>
        <v>97</v>
      </c>
      <c r="AE1149" s="1" t="str">
        <f>VLOOKUP($E1149,'Product Naming'!$A$1:$P$58,14,FALSE)</f>
        <v>Alcohol</v>
      </c>
      <c r="AF1149" s="1" t="str">
        <f>VLOOKUP($E1149,'Product Naming'!$A$1:$P$58,15,FALSE)</f>
        <v>Glyceraldehyde 3-P (--&gt;DHAP)</v>
      </c>
      <c r="AG1149" s="30" t="str">
        <f>VLOOKUP($E1149,'Product Naming'!$A$1:$P$58,16,FALSE)</f>
        <v>Proton symporter</v>
      </c>
      <c r="AH1149" s="3" t="str">
        <f>VLOOKUP($E1149,'Product Naming'!$A$1:$Q$58,17,FALSE)</f>
        <v>ppoh_c</v>
      </c>
      <c r="AI1149" s="1">
        <f>VLOOKUP($E1149,'Product Parameters'!$A$2:$D$59,2,FALSE)</f>
        <v>1</v>
      </c>
      <c r="AJ1149" s="1">
        <f>VLOOKUP($E1149,'Product Parameters'!$A$2:$D$59,3,FALSE)</f>
        <v>0</v>
      </c>
      <c r="AK1149" s="1">
        <f>VLOOKUP($E1149,'Product Parameters'!$A$2:$D$59,4,FALSE)</f>
        <v>0.12</v>
      </c>
      <c r="AL1149" s="1">
        <f>VLOOKUP($E1149,'Product Parameters'!$A$2:$E$59,5,FALSE)</f>
        <v>47</v>
      </c>
      <c r="AM1149" s="1">
        <f>VLOOKUP($E1149,'Product Parameters'!$A$2:$F$59,6,FALSE)</f>
        <v>3</v>
      </c>
      <c r="AN1149" s="1">
        <f>VLOOKUP($C1149,'Substrate Heating'!$A$2:$C$33,3,FALSE)</f>
        <v>638.57832580000002</v>
      </c>
      <c r="AO1149" s="1">
        <f>VLOOKUP($C1149,'Substrate Heating'!$A$2:$B$33,2,FALSE)</f>
        <v>19.93</v>
      </c>
      <c r="AP1149" s="1">
        <f>VLOOKUP($C1149,'Substrate Heating'!$A$2:$M$33,13,FALSE)</f>
        <v>6</v>
      </c>
      <c r="AQ1149" s="1">
        <f>VLOOKUP($C1149,'Substrate Heating'!$A$2:$M$33,8,FALSE)</f>
        <v>1</v>
      </c>
      <c r="AR1149" s="1">
        <f t="shared" si="17"/>
        <v>0.90583333333333205</v>
      </c>
    </row>
    <row r="1150" spans="1:44" x14ac:dyDescent="0.2">
      <c r="A1150" s="8" t="s">
        <v>34</v>
      </c>
      <c r="B1150" s="9" t="s">
        <v>35</v>
      </c>
      <c r="C1150" s="1" t="s">
        <v>36</v>
      </c>
      <c r="D1150" s="10" t="s">
        <v>37</v>
      </c>
      <c r="E1150" s="1" t="s">
        <v>169</v>
      </c>
      <c r="F1150" s="1" t="s">
        <v>165</v>
      </c>
      <c r="G1150" s="1">
        <v>-10</v>
      </c>
      <c r="H1150" s="1">
        <v>-20</v>
      </c>
      <c r="I1150" s="1" t="s">
        <v>40</v>
      </c>
      <c r="J1150" s="1">
        <v>3.15</v>
      </c>
      <c r="K1150" s="1">
        <v>-10</v>
      </c>
      <c r="L1150" s="1">
        <v>-4.79834710743802</v>
      </c>
      <c r="M1150" s="1" t="s">
        <v>40</v>
      </c>
      <c r="N1150" s="1">
        <v>6.5322314049586803</v>
      </c>
      <c r="O1150" s="1">
        <v>3.3669421487603302</v>
      </c>
      <c r="Q1150" s="1">
        <v>0.33669421487603302</v>
      </c>
      <c r="R1150" s="1">
        <v>0.56651181576978005</v>
      </c>
      <c r="S1150" s="1" t="str">
        <f>VLOOKUP($E1150,'Product Naming'!$A$1:$P$58,2,FALSE)</f>
        <v>Butanol-PW2</v>
      </c>
      <c r="T1150" s="1" t="str">
        <f>VLOOKUP($E1150,'Product Naming'!$A$1:$P$58,3,FALSE)</f>
        <v>Butanol (PW2)</v>
      </c>
      <c r="U1150" s="1" t="str">
        <f>VLOOKUP($E1150,'Product Naming'!$A$1:$P$58,4,FALSE)</f>
        <v>E</v>
      </c>
      <c r="V1150" s="1" t="str">
        <f>VLOOKUP($E1150,'Product Naming'!$A$1:$P$58,5,FALSE)</f>
        <v>C4H10O</v>
      </c>
      <c r="W1150" s="1">
        <f>VLOOKUP($E1150,'Product Naming'!$A$1:$P$58,6,FALSE)</f>
        <v>4</v>
      </c>
      <c r="X1150" s="1">
        <f>VLOOKUP($E1150,'Product Naming'!$A$1:$P$58,7,FALSE)</f>
        <v>10</v>
      </c>
      <c r="Y1150" s="1">
        <f>VLOOKUP($E1150,'Product Naming'!$A$1:$P$58,8,FALSE)</f>
        <v>1</v>
      </c>
      <c r="Z1150" s="1">
        <f>VLOOKUP($E1150,'Product Naming'!$A$1:$P$58,9,FALSE)</f>
        <v>0</v>
      </c>
      <c r="AA1150" s="1">
        <f>VLOOKUP($E1150,'Product Naming'!$A$1:$P$58,10,FALSE)</f>
        <v>0</v>
      </c>
      <c r="AB1150" s="29">
        <f>VLOOKUP($E1150,'Product Naming'!$A$1:$P$58,11,FALSE)</f>
        <v>6</v>
      </c>
      <c r="AC1150" s="3">
        <f>VLOOKUP($E1150,'Product Naming'!$A$1:$P$58,12,FALSE)</f>
        <v>74.120199999999997</v>
      </c>
      <c r="AD1150" s="1">
        <f>VLOOKUP($E1150,'Product Naming'!$A$1:$P$58,13,FALSE)</f>
        <v>117.7</v>
      </c>
      <c r="AE1150" s="1" t="str">
        <f>VLOOKUP($E1150,'Product Naming'!$A$1:$P$58,14,FALSE)</f>
        <v>Alcohol</v>
      </c>
      <c r="AF1150" s="1" t="str">
        <f>VLOOKUP($E1150,'Product Naming'!$A$1:$P$58,15,FALSE)</f>
        <v>Oxaloacetate</v>
      </c>
      <c r="AG1150" s="30" t="str">
        <f>VLOOKUP($E1150,'Product Naming'!$A$1:$P$58,16,FALSE)</f>
        <v>Proton symporter</v>
      </c>
      <c r="AH1150" s="3" t="str">
        <f>VLOOKUP($E1150,'Product Naming'!$A$1:$Q$58,17,FALSE)</f>
        <v>btoh_c</v>
      </c>
      <c r="AI1150" s="1">
        <f>VLOOKUP($E1150,'Product Parameters'!$A$2:$D$59,2,FALSE)</f>
        <v>1</v>
      </c>
      <c r="AJ1150" s="1">
        <f>VLOOKUP($E1150,'Product Parameters'!$A$2:$D$59,3,FALSE)</f>
        <v>0</v>
      </c>
      <c r="AK1150" s="1">
        <f>VLOOKUP($E1150,'Product Parameters'!$A$2:$D$59,4,FALSE)</f>
        <v>0.12</v>
      </c>
      <c r="AL1150" s="1">
        <f>VLOOKUP($E1150,'Product Parameters'!$A$2:$E$59,5,FALSE)</f>
        <v>52</v>
      </c>
      <c r="AM1150" s="1">
        <f>VLOOKUP($E1150,'Product Parameters'!$A$2:$F$59,6,FALSE)</f>
        <v>4</v>
      </c>
      <c r="AN1150" s="1">
        <f>VLOOKUP($C1150,'Substrate Heating'!$A$2:$C$33,3,FALSE)</f>
        <v>1064.1143145599999</v>
      </c>
      <c r="AO1150" s="1">
        <f>VLOOKUP($C1150,'Substrate Heating'!$A$2:$B$33,2,FALSE)</f>
        <v>24.155999999999999</v>
      </c>
      <c r="AP1150" s="1">
        <f>VLOOKUP($C1150,'Substrate Heating'!$A$2:$M$33,13,FALSE)</f>
        <v>5</v>
      </c>
      <c r="AQ1150" s="1">
        <f>VLOOKUP($C1150,'Substrate Heating'!$A$2:$M$33,8,FALSE)</f>
        <v>2</v>
      </c>
      <c r="AR1150" s="1">
        <f t="shared" si="17"/>
        <v>0.67338842975206603</v>
      </c>
    </row>
    <row r="1151" spans="1:44" x14ac:dyDescent="0.2">
      <c r="A1151" s="8" t="s">
        <v>34</v>
      </c>
      <c r="B1151" s="9" t="s">
        <v>35</v>
      </c>
      <c r="C1151" s="1" t="s">
        <v>349</v>
      </c>
      <c r="D1151" s="25" t="s">
        <v>342</v>
      </c>
      <c r="E1151" s="1" t="s">
        <v>209</v>
      </c>
      <c r="F1151" s="1" t="s">
        <v>210</v>
      </c>
      <c r="G1151" s="1">
        <v>-10</v>
      </c>
      <c r="H1151" s="1">
        <v>-20</v>
      </c>
      <c r="I1151" s="1" t="s">
        <v>40</v>
      </c>
      <c r="J1151" s="1">
        <v>3.15</v>
      </c>
      <c r="K1151" s="1">
        <v>-10</v>
      </c>
      <c r="L1151" s="1">
        <v>-5.5201834862385404</v>
      </c>
      <c r="M1151" s="1" t="s">
        <v>40</v>
      </c>
      <c r="N1151" s="1">
        <v>10.462385321100999</v>
      </c>
      <c r="O1151" s="1">
        <v>9.8844036697247795</v>
      </c>
      <c r="Q1151" s="1">
        <v>0.98844036697247795</v>
      </c>
      <c r="R1151" s="1">
        <v>0.56679342011235601</v>
      </c>
      <c r="S1151" s="1" t="str">
        <f>VLOOKUP($E1151,'Product Naming'!$A$1:$P$58,2,FALSE)</f>
        <v>GammaButyrolactone</v>
      </c>
      <c r="T1151" s="1" t="str">
        <f>VLOOKUP($E1151,'Product Naming'!$A$1:$P$58,3,FALSE)</f>
        <v>Gamma butyrolactone</v>
      </c>
      <c r="U1151" s="1" t="str">
        <f>VLOOKUP($E1151,'Product Naming'!$A$1:$P$58,4,FALSE)</f>
        <v>A</v>
      </c>
      <c r="V1151" s="1" t="str">
        <f>VLOOKUP($E1151,'Product Naming'!$A$1:$P$58,5,FALSE)</f>
        <v>C4H6O2</v>
      </c>
      <c r="W1151" s="1">
        <f>VLOOKUP($E1151,'Product Naming'!$A$1:$P$58,6,FALSE)</f>
        <v>4</v>
      </c>
      <c r="X1151" s="1">
        <f>VLOOKUP($E1151,'Product Naming'!$A$1:$P$58,7,FALSE)</f>
        <v>6</v>
      </c>
      <c r="Y1151" s="1">
        <f>VLOOKUP($E1151,'Product Naming'!$A$1:$P$58,8,FALSE)</f>
        <v>2</v>
      </c>
      <c r="Z1151" s="1">
        <f>VLOOKUP($E1151,'Product Naming'!$A$1:$P$58,9,FALSE)</f>
        <v>0</v>
      </c>
      <c r="AA1151" s="1">
        <f>VLOOKUP($E1151,'Product Naming'!$A$1:$P$58,10,FALSE)</f>
        <v>0</v>
      </c>
      <c r="AB1151" s="29">
        <f>VLOOKUP($E1151,'Product Naming'!$A$1:$P$58,11,FALSE)</f>
        <v>4.5</v>
      </c>
      <c r="AC1151" s="3">
        <f>VLOOKUP($E1151,'Product Naming'!$A$1:$P$58,12,FALSE)</f>
        <v>86.08784</v>
      </c>
      <c r="AD1151" s="1">
        <f>VLOOKUP($E1151,'Product Naming'!$A$1:$P$58,13,FALSE)</f>
        <v>204</v>
      </c>
      <c r="AE1151" s="1" t="str">
        <f>VLOOKUP($E1151,'Product Naming'!$A$1:$P$58,14,FALSE)</f>
        <v>Lactone (cyclic ester)</v>
      </c>
      <c r="AF1151" s="1" t="str">
        <f>VLOOKUP($E1151,'Product Naming'!$A$1:$P$58,15,FALSE)</f>
        <v>aKG</v>
      </c>
      <c r="AG1151" s="30" t="str">
        <f>VLOOKUP($E1151,'Product Naming'!$A$1:$P$58,16,FALSE)</f>
        <v>Proton symporter</v>
      </c>
      <c r="AH1151" s="3" t="str">
        <f>VLOOKUP($E1151,'Product Naming'!$A$1:$Q$58,17,FALSE)</f>
        <v>gblt_c</v>
      </c>
      <c r="AI1151" s="1">
        <f>VLOOKUP($E1151,'Product Parameters'!$A$2:$D$59,2,FALSE)</f>
        <v>1</v>
      </c>
      <c r="AJ1151" s="1">
        <f>VLOOKUP($E1151,'Product Parameters'!$A$2:$D$59,3,FALSE)</f>
        <v>0</v>
      </c>
      <c r="AK1151" s="1">
        <f>VLOOKUP($E1151,'Product Parameters'!$A$2:$D$59,4,FALSE)</f>
        <v>0.12</v>
      </c>
      <c r="AL1151" s="1">
        <f>VLOOKUP($E1151,'Product Parameters'!$A$2:$E$59,5,FALSE)</f>
        <v>0</v>
      </c>
      <c r="AM1151" s="1">
        <f>VLOOKUP($E1151,'Product Parameters'!$A$2:$F$59,6,FALSE)</f>
        <v>4</v>
      </c>
      <c r="AN1151" s="1">
        <f>VLOOKUP($C1151,'Substrate Heating'!$A$2:$C$33,3,FALSE)</f>
        <v>2342.0279999999998</v>
      </c>
      <c r="AO1151" s="1">
        <f>VLOOKUP($C1151,'Substrate Heating'!$A$2:$B$33,2,FALSE)</f>
        <v>15.6</v>
      </c>
      <c r="AP1151" s="1">
        <f>VLOOKUP($C1151,'Substrate Heating'!$A$2:$M$33,13,FALSE)</f>
        <v>4</v>
      </c>
      <c r="AQ1151" s="1">
        <f>VLOOKUP($C1151,'Substrate Heating'!$A$2:$M$33,8,FALSE)</f>
        <v>5</v>
      </c>
      <c r="AR1151" s="1">
        <f t="shared" si="17"/>
        <v>0.79075229357798238</v>
      </c>
    </row>
    <row r="1152" spans="1:44" x14ac:dyDescent="0.2">
      <c r="A1152" s="17" t="s">
        <v>231</v>
      </c>
      <c r="B1152" s="9" t="s">
        <v>35</v>
      </c>
      <c r="C1152" t="s">
        <v>332</v>
      </c>
      <c r="D1152" s="10" t="s">
        <v>37</v>
      </c>
      <c r="E1152" t="s">
        <v>279</v>
      </c>
      <c r="F1152" t="s">
        <v>280</v>
      </c>
      <c r="G1152">
        <v>-10</v>
      </c>
      <c r="H1152">
        <v>-20</v>
      </c>
      <c r="I1152" s="1" t="s">
        <v>40</v>
      </c>
      <c r="J1152">
        <v>3.15</v>
      </c>
      <c r="K1152">
        <v>-10</v>
      </c>
      <c r="L1152">
        <v>-1.4262996941896</v>
      </c>
      <c r="M1152" s="1" t="s">
        <v>40</v>
      </c>
      <c r="N1152">
        <v>1.6311926605504601</v>
      </c>
      <c r="O1152">
        <v>2.0409785932721798</v>
      </c>
      <c r="P1152"/>
      <c r="Q1152">
        <v>0.204097859327218</v>
      </c>
      <c r="R1152">
        <v>0.568214408312674</v>
      </c>
      <c r="S1152" s="1" t="str">
        <f>VLOOKUP($E1152,'Product Naming'!$A$1:$P$58,2,FALSE)</f>
        <v>Nonane</v>
      </c>
      <c r="T1152" s="1" t="str">
        <f>VLOOKUP($E1152,'Product Naming'!$A$1:$P$58,3,FALSE)</f>
        <v>Nonane</v>
      </c>
      <c r="U1152" s="1" t="str">
        <f>VLOOKUP($E1152,'Product Naming'!$A$1:$P$58,4,FALSE)</f>
        <v>E</v>
      </c>
      <c r="V1152" s="1" t="str">
        <f>VLOOKUP($E1152,'Product Naming'!$A$1:$P$58,5,FALSE)</f>
        <v>C9H20</v>
      </c>
      <c r="W1152" s="1">
        <f>VLOOKUP($E1152,'Product Naming'!$A$1:$P$58,6,FALSE)</f>
        <v>9</v>
      </c>
      <c r="X1152" s="1">
        <f>VLOOKUP($E1152,'Product Naming'!$A$1:$P$58,7,FALSE)</f>
        <v>20</v>
      </c>
      <c r="Y1152" s="1">
        <f>VLOOKUP($E1152,'Product Naming'!$A$1:$P$58,8,FALSE)</f>
        <v>0</v>
      </c>
      <c r="Z1152" s="1">
        <f>VLOOKUP($E1152,'Product Naming'!$A$1:$P$58,9,FALSE)</f>
        <v>0</v>
      </c>
      <c r="AA1152" s="1">
        <f>VLOOKUP($E1152,'Product Naming'!$A$1:$P$58,10,FALSE)</f>
        <v>0</v>
      </c>
      <c r="AB1152" s="29">
        <f>VLOOKUP($E1152,'Product Naming'!$A$1:$P$58,11,FALSE)</f>
        <v>6.2222222222222223</v>
      </c>
      <c r="AC1152" s="3">
        <f>VLOOKUP($E1152,'Product Naming'!$A$1:$P$58,12,FALSE)</f>
        <v>128.25309999999999</v>
      </c>
      <c r="AD1152" s="1">
        <f>VLOOKUP($E1152,'Product Naming'!$A$1:$P$58,13,FALSE)</f>
        <v>151</v>
      </c>
      <c r="AE1152" s="1" t="str">
        <f>VLOOKUP($E1152,'Product Naming'!$A$1:$P$58,14,FALSE)</f>
        <v>Hydrocarbon (alkane)</v>
      </c>
      <c r="AF1152" s="1" t="str">
        <f>VLOOKUP($E1152,'Product Naming'!$A$1:$P$58,15,FALSE)</f>
        <v>Acetyl-CoA</v>
      </c>
      <c r="AG1152" s="30" t="str">
        <f>VLOOKUP($E1152,'Product Naming'!$A$1:$P$58,16,FALSE)</f>
        <v>Proton symporter</v>
      </c>
      <c r="AH1152" s="3" t="str">
        <f>VLOOKUP($E1152,'Product Naming'!$A$1:$Q$58,17,FALSE)</f>
        <v>nonan_c</v>
      </c>
      <c r="AI1152" s="1">
        <f>VLOOKUP($E1152,'Product Parameters'!$A$2:$D$59,2,FALSE)</f>
        <v>1</v>
      </c>
      <c r="AJ1152" s="1">
        <f>VLOOKUP($E1152,'Product Parameters'!$A$2:$D$59,3,FALSE)</f>
        <v>0</v>
      </c>
      <c r="AK1152" s="1">
        <f>VLOOKUP($E1152,'Product Parameters'!$A$2:$D$59,4,FALSE)</f>
        <v>0.12</v>
      </c>
      <c r="AL1152" s="1">
        <f>VLOOKUP($E1152,'Product Parameters'!$A$2:$E$59,5,FALSE)</f>
        <v>46.5</v>
      </c>
      <c r="AM1152" s="1">
        <f>VLOOKUP($E1152,'Product Parameters'!$A$2:$F$59,6,FALSE)</f>
        <v>9</v>
      </c>
      <c r="AN1152" s="1">
        <f>VLOOKUP($C1152,'Substrate Heating'!$A$2:$C$33,3,FALSE)</f>
        <v>1230.0006480000002</v>
      </c>
      <c r="AO1152" s="1">
        <f>VLOOKUP($C1152,'Substrate Heating'!$A$2:$B$33,2,FALSE)</f>
        <v>26.7</v>
      </c>
      <c r="AP1152" s="1">
        <f>VLOOKUP($C1152,'Substrate Heating'!$A$2:$M$33,13,FALSE)</f>
        <v>6</v>
      </c>
      <c r="AQ1152" s="1">
        <f>VLOOKUP($C1152,'Substrate Heating'!$A$2:$M$33,8,FALSE)</f>
        <v>2</v>
      </c>
      <c r="AR1152" s="1">
        <f t="shared" si="17"/>
        <v>0.91844036697248099</v>
      </c>
    </row>
    <row r="1153" spans="1:44" x14ac:dyDescent="0.2">
      <c r="A1153" s="8" t="s">
        <v>34</v>
      </c>
      <c r="B1153" s="9" t="s">
        <v>35</v>
      </c>
      <c r="C1153" s="1" t="s">
        <v>343</v>
      </c>
      <c r="D1153" s="24" t="s">
        <v>342</v>
      </c>
      <c r="E1153" s="1" t="s">
        <v>175</v>
      </c>
      <c r="F1153" s="1" t="s">
        <v>176</v>
      </c>
      <c r="G1153" s="1">
        <v>-10</v>
      </c>
      <c r="H1153" s="1">
        <v>-20</v>
      </c>
      <c r="I1153" s="1" t="s">
        <v>40</v>
      </c>
      <c r="J1153" s="1">
        <v>3.15</v>
      </c>
      <c r="K1153" s="1">
        <v>-10</v>
      </c>
      <c r="L1153" s="1">
        <v>-4.1018828451882898</v>
      </c>
      <c r="M1153" s="1" t="s">
        <v>40</v>
      </c>
      <c r="N1153" s="1">
        <v>1.4786610878661199</v>
      </c>
      <c r="O1153" s="1">
        <v>4.7535564853556398</v>
      </c>
      <c r="Q1153" s="1">
        <v>0.475355648535564</v>
      </c>
      <c r="R1153" s="1">
        <v>0.56834485951346203</v>
      </c>
      <c r="S1153" s="1" t="str">
        <f>VLOOKUP($E1153,'Product Naming'!$A$1:$P$58,2,FALSE)</f>
        <v>Catechol</v>
      </c>
      <c r="T1153" s="1" t="str">
        <f>VLOOKUP($E1153,'Product Naming'!$A$1:$P$58,3,FALSE)</f>
        <v>Catechol</v>
      </c>
      <c r="U1153" s="1" t="str">
        <f>VLOOKUP($E1153,'Product Naming'!$A$1:$P$58,4,FALSE)</f>
        <v>E</v>
      </c>
      <c r="V1153" s="1" t="str">
        <f>VLOOKUP($E1153,'Product Naming'!$A$1:$P$58,5,FALSE)</f>
        <v>C6H6O2</v>
      </c>
      <c r="W1153" s="1">
        <f>VLOOKUP($E1153,'Product Naming'!$A$1:$P$58,6,FALSE)</f>
        <v>6</v>
      </c>
      <c r="X1153" s="1">
        <f>VLOOKUP($E1153,'Product Naming'!$A$1:$P$58,7,FALSE)</f>
        <v>6</v>
      </c>
      <c r="Y1153" s="1">
        <f>VLOOKUP($E1153,'Product Naming'!$A$1:$P$58,8,FALSE)</f>
        <v>2</v>
      </c>
      <c r="Z1153" s="1">
        <f>VLOOKUP($E1153,'Product Naming'!$A$1:$P$58,9,FALSE)</f>
        <v>0</v>
      </c>
      <c r="AA1153" s="1">
        <f>VLOOKUP($E1153,'Product Naming'!$A$1:$P$58,10,FALSE)</f>
        <v>0</v>
      </c>
      <c r="AB1153" s="29">
        <f>VLOOKUP($E1153,'Product Naming'!$A$1:$P$58,11,FALSE)</f>
        <v>4.333333333333333</v>
      </c>
      <c r="AC1153" s="3">
        <f>VLOOKUP($E1153,'Product Naming'!$A$1:$P$58,12,FALSE)</f>
        <v>110.10924</v>
      </c>
      <c r="AD1153" s="1">
        <f>VLOOKUP($E1153,'Product Naming'!$A$1:$P$58,13,FALSE)</f>
        <v>245</v>
      </c>
      <c r="AE1153" s="1" t="str">
        <f>VLOOKUP($E1153,'Product Naming'!$A$1:$P$58,14,FALSE)</f>
        <v>Aromatic + Diol</v>
      </c>
      <c r="AF1153" s="1" t="str">
        <f>VLOOKUP($E1153,'Product Naming'!$A$1:$P$58,15,FALSE)</f>
        <v>Glyceraldehyde 3-P</v>
      </c>
      <c r="AG1153" s="30" t="str">
        <f>VLOOKUP($E1153,'Product Naming'!$A$1:$P$58,16,FALSE)</f>
        <v>Proton symporter</v>
      </c>
      <c r="AH1153" s="3" t="str">
        <f>VLOOKUP($E1153,'Product Naming'!$A$1:$Q$58,17,FALSE)</f>
        <v>catechol_c</v>
      </c>
      <c r="AI1153" s="1">
        <f>VLOOKUP($E1153,'Product Parameters'!$A$2:$D$59,2,FALSE)</f>
        <v>1</v>
      </c>
      <c r="AJ1153" s="1">
        <f>VLOOKUP($E1153,'Product Parameters'!$A$2:$D$59,3,FALSE)</f>
        <v>0</v>
      </c>
      <c r="AK1153" s="1">
        <f>VLOOKUP($E1153,'Product Parameters'!$A$2:$D$59,4,FALSE)</f>
        <v>0.12</v>
      </c>
      <c r="AL1153" s="1">
        <f>VLOOKUP($E1153,'Product Parameters'!$A$2:$E$59,5,FALSE)</f>
        <v>40.65</v>
      </c>
      <c r="AM1153" s="1">
        <f>VLOOKUP($E1153,'Product Parameters'!$A$2:$F$59,6,FALSE)</f>
        <v>6</v>
      </c>
      <c r="AN1153" s="1">
        <f>VLOOKUP($C1153,'Substrate Heating'!$A$2:$C$33,3,FALSE)</f>
        <v>1648.4793779999998</v>
      </c>
      <c r="AO1153" s="1">
        <f>VLOOKUP($C1153,'Substrate Heating'!$A$2:$B$33,2,FALSE)</f>
        <v>17.899999999999999</v>
      </c>
      <c r="AP1153" s="1">
        <f>VLOOKUP($C1153,'Substrate Heating'!$A$2:$M$33,13,FALSE)</f>
        <v>4.666666666666667</v>
      </c>
      <c r="AQ1153" s="1">
        <f>VLOOKUP($C1153,'Substrate Heating'!$A$2:$M$33,8,FALSE)</f>
        <v>3</v>
      </c>
      <c r="AR1153" s="1">
        <f t="shared" si="17"/>
        <v>0.95071129707112811</v>
      </c>
    </row>
    <row r="1154" spans="1:44" x14ac:dyDescent="0.2">
      <c r="A1154" s="8" t="s">
        <v>812</v>
      </c>
      <c r="B1154" s="18" t="s">
        <v>324</v>
      </c>
      <c r="C1154" t="s">
        <v>814</v>
      </c>
      <c r="E1154" t="s">
        <v>279</v>
      </c>
      <c r="F1154" t="s">
        <v>280</v>
      </c>
      <c r="G1154">
        <v>-10</v>
      </c>
      <c r="H1154">
        <v>0</v>
      </c>
      <c r="I1154">
        <v>-10</v>
      </c>
      <c r="J1154">
        <v>0.45</v>
      </c>
      <c r="K1154">
        <v>-4.7368421052631504</v>
      </c>
      <c r="L1154">
        <v>0</v>
      </c>
      <c r="M1154">
        <v>-10</v>
      </c>
      <c r="N1154">
        <v>0</v>
      </c>
      <c r="O1154">
        <v>0.52631578947368396</v>
      </c>
      <c r="P1154"/>
      <c r="Q1154">
        <v>0.11111111111111099</v>
      </c>
      <c r="R1154">
        <v>0.56845847538911298</v>
      </c>
      <c r="S1154" s="1" t="str">
        <f>VLOOKUP($E1154,'Product Naming'!$A$1:$P$58,2,FALSE)</f>
        <v>Nonane</v>
      </c>
      <c r="T1154" s="1" t="str">
        <f>VLOOKUP($E1154,'Product Naming'!$A$1:$P$58,3,FALSE)</f>
        <v>Nonane</v>
      </c>
      <c r="U1154" s="1" t="str">
        <f>VLOOKUP($E1154,'Product Naming'!$A$1:$P$58,4,FALSE)</f>
        <v>E</v>
      </c>
      <c r="V1154" s="1" t="str">
        <f>VLOOKUP($E1154,'Product Naming'!$A$1:$P$58,5,FALSE)</f>
        <v>C9H20</v>
      </c>
      <c r="W1154" s="1">
        <f>VLOOKUP($E1154,'Product Naming'!$A$1:$P$58,6,FALSE)</f>
        <v>9</v>
      </c>
      <c r="X1154" s="1">
        <f>VLOOKUP($E1154,'Product Naming'!$A$1:$P$58,7,FALSE)</f>
        <v>20</v>
      </c>
      <c r="Y1154" s="1">
        <f>VLOOKUP($E1154,'Product Naming'!$A$1:$P$58,8,FALSE)</f>
        <v>0</v>
      </c>
      <c r="Z1154" s="1">
        <f>VLOOKUP($E1154,'Product Naming'!$A$1:$P$58,9,FALSE)</f>
        <v>0</v>
      </c>
      <c r="AA1154" s="1">
        <f>VLOOKUP($E1154,'Product Naming'!$A$1:$P$58,10,FALSE)</f>
        <v>0</v>
      </c>
      <c r="AB1154" s="29">
        <f>VLOOKUP($E1154,'Product Naming'!$A$1:$P$58,11,FALSE)</f>
        <v>6.2222222222222223</v>
      </c>
      <c r="AC1154" s="3">
        <f>VLOOKUP($E1154,'Product Naming'!$A$1:$P$58,12,FALSE)</f>
        <v>128.25309999999999</v>
      </c>
      <c r="AD1154" s="1">
        <f>VLOOKUP($E1154,'Product Naming'!$A$1:$P$58,13,FALSE)</f>
        <v>151</v>
      </c>
      <c r="AE1154" s="1" t="str">
        <f>VLOOKUP($E1154,'Product Naming'!$A$1:$P$58,14,FALSE)</f>
        <v>Hydrocarbon (alkane)</v>
      </c>
      <c r="AF1154" s="1" t="str">
        <f>VLOOKUP($E1154,'Product Naming'!$A$1:$P$58,15,FALSE)</f>
        <v>Acetyl-CoA</v>
      </c>
      <c r="AG1154" s="30" t="str">
        <f>VLOOKUP($E1154,'Product Naming'!$A$1:$P$58,16,FALSE)</f>
        <v>Proton symporter</v>
      </c>
      <c r="AH1154" s="3" t="str">
        <f>VLOOKUP($E1154,'Product Naming'!$A$1:$Q$58,17,FALSE)</f>
        <v>nonan_c</v>
      </c>
      <c r="AI1154" s="1">
        <f>VLOOKUP($E1154,'Product Parameters'!$A$2:$D$59,2,FALSE)</f>
        <v>1</v>
      </c>
      <c r="AJ1154" s="1">
        <f>VLOOKUP($E1154,'Product Parameters'!$A$2:$D$59,3,FALSE)</f>
        <v>0</v>
      </c>
      <c r="AK1154" s="1">
        <f>VLOOKUP($E1154,'Product Parameters'!$A$2:$D$59,4,FALSE)</f>
        <v>0.12</v>
      </c>
      <c r="AL1154" s="1">
        <f>VLOOKUP($E1154,'Product Parameters'!$A$2:$E$59,5,FALSE)</f>
        <v>46.5</v>
      </c>
      <c r="AM1154" s="1">
        <f>VLOOKUP($E1154,'Product Parameters'!$A$2:$F$59,6,FALSE)</f>
        <v>9</v>
      </c>
      <c r="AN1154" s="1">
        <f>VLOOKUP($C1154,'Substrate Heating'!$A$2:$C$33,3,FALSE)</f>
        <v>209.92000000000002</v>
      </c>
      <c r="AO1154" s="1">
        <f>VLOOKUP($C1154,'Substrate Heating'!$A$2:$B$33,2,FALSE)</f>
        <v>10.086540906516333</v>
      </c>
      <c r="AP1154" s="1">
        <f>VLOOKUP($C1154,'Substrate Heating'!$A$2:$M$33,13,FALSE)</f>
        <v>0.8</v>
      </c>
      <c r="AQ1154" s="1">
        <f>VLOOKUP($C1154,'Substrate Heating'!$A$2:$M$33,8,FALSE)</f>
        <v>0.8</v>
      </c>
      <c r="AR1154" s="1">
        <f t="shared" si="17"/>
        <v>1.2499999999999984</v>
      </c>
    </row>
    <row r="1155" spans="1:44" x14ac:dyDescent="0.2">
      <c r="A1155" s="8" t="s">
        <v>812</v>
      </c>
      <c r="B1155" s="18" t="s">
        <v>324</v>
      </c>
      <c r="C1155" t="s">
        <v>814</v>
      </c>
      <c r="E1155" t="s">
        <v>283</v>
      </c>
      <c r="F1155" t="s">
        <v>284</v>
      </c>
      <c r="G1155">
        <v>-10</v>
      </c>
      <c r="H1155">
        <v>0</v>
      </c>
      <c r="I1155">
        <v>-10</v>
      </c>
      <c r="J1155">
        <v>0.45</v>
      </c>
      <c r="K1155">
        <v>-4.7058823529411704</v>
      </c>
      <c r="L1155">
        <v>0</v>
      </c>
      <c r="M1155">
        <v>-10</v>
      </c>
      <c r="N1155">
        <v>0</v>
      </c>
      <c r="O1155">
        <v>0.58823529411764697</v>
      </c>
      <c r="P1155"/>
      <c r="Q1155">
        <v>0.125</v>
      </c>
      <c r="R1155">
        <v>0.56893976825361403</v>
      </c>
      <c r="S1155" s="1" t="str">
        <f>VLOOKUP($E1155,'Product Naming'!$A$1:$P$58,2,FALSE)</f>
        <v>Octane</v>
      </c>
      <c r="T1155" s="1" t="str">
        <f>VLOOKUP($E1155,'Product Naming'!$A$1:$P$58,3,FALSE)</f>
        <v>Octane</v>
      </c>
      <c r="U1155" s="1" t="str">
        <f>VLOOKUP($E1155,'Product Naming'!$A$1:$P$58,4,FALSE)</f>
        <v>E</v>
      </c>
      <c r="V1155" s="1" t="str">
        <f>VLOOKUP($E1155,'Product Naming'!$A$1:$P$58,5,FALSE)</f>
        <v>C8H18</v>
      </c>
      <c r="W1155" s="1">
        <f>VLOOKUP($E1155,'Product Naming'!$A$1:$P$58,6,FALSE)</f>
        <v>8</v>
      </c>
      <c r="X1155" s="1">
        <f>VLOOKUP($E1155,'Product Naming'!$A$1:$P$58,7,FALSE)</f>
        <v>18</v>
      </c>
      <c r="Y1155" s="1">
        <f>VLOOKUP($E1155,'Product Naming'!$A$1:$P$58,8,FALSE)</f>
        <v>0</v>
      </c>
      <c r="Z1155" s="1">
        <f>VLOOKUP($E1155,'Product Naming'!$A$1:$P$58,9,FALSE)</f>
        <v>0</v>
      </c>
      <c r="AA1155" s="1">
        <f>VLOOKUP($E1155,'Product Naming'!$A$1:$P$58,10,FALSE)</f>
        <v>0</v>
      </c>
      <c r="AB1155" s="29">
        <f>VLOOKUP($E1155,'Product Naming'!$A$1:$P$58,11,FALSE)</f>
        <v>6.25</v>
      </c>
      <c r="AC1155" s="3">
        <f>VLOOKUP($E1155,'Product Naming'!$A$1:$P$58,12,FALSE)</f>
        <v>114.22672</v>
      </c>
      <c r="AD1155" s="1">
        <f>VLOOKUP($E1155,'Product Naming'!$A$1:$P$58,13,FALSE)</f>
        <v>126</v>
      </c>
      <c r="AE1155" s="1" t="str">
        <f>VLOOKUP($E1155,'Product Naming'!$A$1:$P$58,14,FALSE)</f>
        <v>Hydrocarbon (alkane)</v>
      </c>
      <c r="AF1155" s="1" t="str">
        <f>VLOOKUP($E1155,'Product Naming'!$A$1:$P$58,15,FALSE)</f>
        <v>Acetyl-CoA + Succinyl-CoA</v>
      </c>
      <c r="AG1155" s="30" t="str">
        <f>VLOOKUP($E1155,'Product Naming'!$A$1:$P$58,16,FALSE)</f>
        <v>Proton symporter</v>
      </c>
      <c r="AH1155" s="3" t="str">
        <f>VLOOKUP($E1155,'Product Naming'!$A$1:$Q$58,17,FALSE)</f>
        <v>octn_c</v>
      </c>
      <c r="AI1155" s="1">
        <f>VLOOKUP($E1155,'Product Parameters'!$A$2:$D$59,2,FALSE)</f>
        <v>1</v>
      </c>
      <c r="AJ1155" s="1">
        <f>VLOOKUP($E1155,'Product Parameters'!$A$2:$D$59,3,FALSE)</f>
        <v>0</v>
      </c>
      <c r="AK1155" s="1">
        <f>VLOOKUP($E1155,'Product Parameters'!$A$2:$D$59,4,FALSE)</f>
        <v>0.12</v>
      </c>
      <c r="AL1155" s="1">
        <f>VLOOKUP($E1155,'Product Parameters'!$A$2:$E$59,5,FALSE)</f>
        <v>41</v>
      </c>
      <c r="AM1155" s="1">
        <f>VLOOKUP($E1155,'Product Parameters'!$A$2:$F$59,6,FALSE)</f>
        <v>8</v>
      </c>
      <c r="AN1155" s="1">
        <f>VLOOKUP($C1155,'Substrate Heating'!$A$2:$C$33,3,FALSE)</f>
        <v>209.92000000000002</v>
      </c>
      <c r="AO1155" s="1">
        <f>VLOOKUP($C1155,'Substrate Heating'!$A$2:$B$33,2,FALSE)</f>
        <v>10.086540906516333</v>
      </c>
      <c r="AP1155" s="1">
        <f>VLOOKUP($C1155,'Substrate Heating'!$A$2:$M$33,13,FALSE)</f>
        <v>0.8</v>
      </c>
      <c r="AQ1155" s="1">
        <f>VLOOKUP($C1155,'Substrate Heating'!$A$2:$M$33,8,FALSE)</f>
        <v>0.8</v>
      </c>
      <c r="AR1155" s="1">
        <f t="shared" ref="AR1155:AR1218" si="18">Q1155*W1155/AQ1155</f>
        <v>1.25</v>
      </c>
    </row>
    <row r="1156" spans="1:44" x14ac:dyDescent="0.2">
      <c r="A1156" s="8" t="s">
        <v>812</v>
      </c>
      <c r="B1156" s="18" t="s">
        <v>324</v>
      </c>
      <c r="C1156" t="s">
        <v>814</v>
      </c>
      <c r="E1156" t="s">
        <v>232</v>
      </c>
      <c r="F1156" t="s">
        <v>233</v>
      </c>
      <c r="G1156">
        <v>-10</v>
      </c>
      <c r="H1156">
        <v>0</v>
      </c>
      <c r="I1156">
        <v>-10</v>
      </c>
      <c r="J1156">
        <v>0.45</v>
      </c>
      <c r="K1156">
        <v>-4.6666666666666599</v>
      </c>
      <c r="L1156">
        <v>0</v>
      </c>
      <c r="M1156">
        <v>-10</v>
      </c>
      <c r="N1156">
        <v>0</v>
      </c>
      <c r="O1156">
        <v>0.66666666666666596</v>
      </c>
      <c r="P1156"/>
      <c r="Q1156">
        <v>0.14285714285714199</v>
      </c>
      <c r="R1156">
        <v>0.569556997569443</v>
      </c>
      <c r="S1156" s="1" t="str">
        <f>VLOOKUP($E1156,'Product Naming'!$A$1:$P$58,2,FALSE)</f>
        <v>Heptane</v>
      </c>
      <c r="T1156" s="1" t="str">
        <f>VLOOKUP($E1156,'Product Naming'!$A$1:$P$58,3,FALSE)</f>
        <v>Heptane</v>
      </c>
      <c r="U1156" s="1" t="str">
        <f>VLOOKUP($E1156,'Product Naming'!$A$1:$P$58,4,FALSE)</f>
        <v>E</v>
      </c>
      <c r="V1156" s="1" t="str">
        <f>VLOOKUP($E1156,'Product Naming'!$A$1:$P$58,5,FALSE)</f>
        <v>C7H16</v>
      </c>
      <c r="W1156" s="1">
        <f>VLOOKUP($E1156,'Product Naming'!$A$1:$P$58,6,FALSE)</f>
        <v>7</v>
      </c>
      <c r="X1156" s="1">
        <f>VLOOKUP($E1156,'Product Naming'!$A$1:$P$58,7,FALSE)</f>
        <v>16</v>
      </c>
      <c r="Y1156" s="1">
        <f>VLOOKUP($E1156,'Product Naming'!$A$1:$P$58,8,FALSE)</f>
        <v>0</v>
      </c>
      <c r="Z1156" s="1">
        <f>VLOOKUP($E1156,'Product Naming'!$A$1:$P$58,9,FALSE)</f>
        <v>0</v>
      </c>
      <c r="AA1156" s="1">
        <f>VLOOKUP($E1156,'Product Naming'!$A$1:$P$58,10,FALSE)</f>
        <v>0</v>
      </c>
      <c r="AB1156" s="29">
        <f>VLOOKUP($E1156,'Product Naming'!$A$1:$P$58,11,FALSE)</f>
        <v>6.2857142857142856</v>
      </c>
      <c r="AC1156" s="3">
        <f>VLOOKUP($E1156,'Product Naming'!$A$1:$P$58,12,FALSE)</f>
        <v>100.20034</v>
      </c>
      <c r="AD1156" s="1">
        <f>VLOOKUP($E1156,'Product Naming'!$A$1:$P$58,13,FALSE)</f>
        <v>98</v>
      </c>
      <c r="AE1156" s="1" t="str">
        <f>VLOOKUP($E1156,'Product Naming'!$A$1:$P$58,14,FALSE)</f>
        <v>Hydrocarbon (alkane)</v>
      </c>
      <c r="AF1156" s="1" t="str">
        <f>VLOOKUP($E1156,'Product Naming'!$A$1:$P$58,15,FALSE)</f>
        <v>Acetyl-CoA</v>
      </c>
      <c r="AG1156" s="30" t="str">
        <f>VLOOKUP($E1156,'Product Naming'!$A$1:$P$58,16,FALSE)</f>
        <v>Proton symporter</v>
      </c>
      <c r="AH1156" s="3" t="str">
        <f>VLOOKUP($E1156,'Product Naming'!$A$1:$Q$58,17,FALSE)</f>
        <v>hept_c</v>
      </c>
      <c r="AI1156" s="1">
        <f>VLOOKUP($E1156,'Product Parameters'!$A$2:$D$59,2,FALSE)</f>
        <v>1</v>
      </c>
      <c r="AJ1156" s="1">
        <f>VLOOKUP($E1156,'Product Parameters'!$A$2:$D$59,3,FALSE)</f>
        <v>0</v>
      </c>
      <c r="AK1156" s="1">
        <f>VLOOKUP($E1156,'Product Parameters'!$A$2:$D$59,4,FALSE)</f>
        <v>0.12</v>
      </c>
      <c r="AL1156" s="1">
        <f>VLOOKUP($E1156,'Product Parameters'!$A$2:$E$59,5,FALSE)</f>
        <v>36</v>
      </c>
      <c r="AM1156" s="1">
        <f>VLOOKUP($E1156,'Product Parameters'!$A$2:$F$59,6,FALSE)</f>
        <v>7</v>
      </c>
      <c r="AN1156" s="1">
        <f>VLOOKUP($C1156,'Substrate Heating'!$A$2:$C$33,3,FALSE)</f>
        <v>209.92000000000002</v>
      </c>
      <c r="AO1156" s="1">
        <f>VLOOKUP($C1156,'Substrate Heating'!$A$2:$B$33,2,FALSE)</f>
        <v>10.086540906516333</v>
      </c>
      <c r="AP1156" s="1">
        <f>VLOOKUP($C1156,'Substrate Heating'!$A$2:$M$33,13,FALSE)</f>
        <v>0.8</v>
      </c>
      <c r="AQ1156" s="1">
        <f>VLOOKUP($C1156,'Substrate Heating'!$A$2:$M$33,8,FALSE)</f>
        <v>0.8</v>
      </c>
      <c r="AR1156" s="1">
        <f t="shared" si="18"/>
        <v>1.2499999999999922</v>
      </c>
    </row>
    <row r="1157" spans="1:44" x14ac:dyDescent="0.2">
      <c r="A1157" s="8" t="s">
        <v>34</v>
      </c>
      <c r="B1157" s="9" t="s">
        <v>35</v>
      </c>
      <c r="C1157" s="1" t="s">
        <v>343</v>
      </c>
      <c r="D1157" s="24" t="s">
        <v>342</v>
      </c>
      <c r="E1157" s="1" t="s">
        <v>192</v>
      </c>
      <c r="F1157" s="1" t="s">
        <v>193</v>
      </c>
      <c r="G1157" s="1">
        <v>-10</v>
      </c>
      <c r="H1157" s="1">
        <v>-20</v>
      </c>
      <c r="I1157" s="1" t="s">
        <v>40</v>
      </c>
      <c r="J1157" s="1">
        <v>3.15</v>
      </c>
      <c r="K1157" s="1">
        <v>-10</v>
      </c>
      <c r="L1157" s="1">
        <v>-4.4433691756272404</v>
      </c>
      <c r="M1157" s="1" t="s">
        <v>40</v>
      </c>
      <c r="N1157" s="1">
        <v>1.0516129032258099</v>
      </c>
      <c r="O1157" s="1">
        <v>3.2164874551971399</v>
      </c>
      <c r="Q1157" s="1">
        <v>0.32164874551971401</v>
      </c>
      <c r="R1157" s="1">
        <v>0.56981464587769803</v>
      </c>
      <c r="S1157" s="1" t="str">
        <f>VLOOKUP($E1157,'Product Naming'!$A$1:$P$58,2,FALSE)</f>
        <v>Coumaric acid</v>
      </c>
      <c r="T1157" s="1" t="str">
        <f>VLOOKUP($E1157,'Product Naming'!$A$1:$P$58,3,FALSE)</f>
        <v>Coumaric acid</v>
      </c>
      <c r="U1157" s="1" t="str">
        <f>VLOOKUP($E1157,'Product Naming'!$A$1:$P$58,4,FALSE)</f>
        <v>E</v>
      </c>
      <c r="V1157" s="1" t="str">
        <f>VLOOKUP($E1157,'Product Naming'!$A$1:$P$58,5,FALSE)</f>
        <v>C9H7O3</v>
      </c>
      <c r="W1157" s="1">
        <f>VLOOKUP($E1157,'Product Naming'!$A$1:$P$58,6,FALSE)</f>
        <v>9</v>
      </c>
      <c r="X1157" s="1">
        <f>VLOOKUP($E1157,'Product Naming'!$A$1:$P$58,7,FALSE)</f>
        <v>7</v>
      </c>
      <c r="Y1157" s="1">
        <f>VLOOKUP($E1157,'Product Naming'!$A$1:$P$58,8,FALSE)</f>
        <v>3</v>
      </c>
      <c r="Z1157" s="1">
        <f>VLOOKUP($E1157,'Product Naming'!$A$1:$P$58,9,FALSE)</f>
        <v>0</v>
      </c>
      <c r="AA1157" s="1">
        <f>VLOOKUP($E1157,'Product Naming'!$A$1:$P$58,10,FALSE)</f>
        <v>-1</v>
      </c>
      <c r="AB1157" s="29">
        <f>VLOOKUP($E1157,'Product Naming'!$A$1:$P$58,11,FALSE)</f>
        <v>4.1111111111111107</v>
      </c>
      <c r="AC1157" s="3">
        <f>VLOOKUP($E1157,'Product Naming'!$A$1:$P$58,12,FALSE)</f>
        <v>163.14818</v>
      </c>
      <c r="AD1157" s="1">
        <f>VLOOKUP($E1157,'Product Naming'!$A$1:$P$58,13,FALSE)</f>
        <v>346</v>
      </c>
      <c r="AE1157" s="1" t="str">
        <f>VLOOKUP($E1157,'Product Naming'!$A$1:$P$58,14,FALSE)</f>
        <v>Aromatic + Alcohol + Carboxylate</v>
      </c>
      <c r="AF1157" s="1" t="str">
        <f>VLOOKUP($E1157,'Product Naming'!$A$1:$P$58,15,FALSE)</f>
        <v>E4P + L-glutamate</v>
      </c>
      <c r="AG1157" s="30" t="str">
        <f>VLOOKUP($E1157,'Product Naming'!$A$1:$P$58,16,FALSE)</f>
        <v>Proton symporter</v>
      </c>
      <c r="AH1157" s="3" t="str">
        <f>VLOOKUP($E1157,'Product Naming'!$A$1:$Q$58,17,FALSE)</f>
        <v>T4hcinnm_c</v>
      </c>
      <c r="AI1157" s="1">
        <f>VLOOKUP($E1157,'Product Parameters'!$A$2:$D$59,2,FALSE)</f>
        <v>1</v>
      </c>
      <c r="AJ1157" s="1">
        <f>VLOOKUP($E1157,'Product Parameters'!$A$2:$D$59,3,FALSE)</f>
        <v>0</v>
      </c>
      <c r="AK1157" s="1">
        <f>VLOOKUP($E1157,'Product Parameters'!$A$2:$D$59,4,FALSE)</f>
        <v>0.12</v>
      </c>
      <c r="AL1157" s="1">
        <f>VLOOKUP($E1157,'Product Parameters'!$A$2:$E$59,5,FALSE)</f>
        <v>40.65</v>
      </c>
      <c r="AM1157" s="1">
        <f>VLOOKUP($E1157,'Product Parameters'!$A$2:$F$59,6,FALSE)</f>
        <v>9</v>
      </c>
      <c r="AN1157" s="1">
        <f>VLOOKUP($C1157,'Substrate Heating'!$A$2:$C$33,3,FALSE)</f>
        <v>1648.4793779999998</v>
      </c>
      <c r="AO1157" s="1">
        <f>VLOOKUP($C1157,'Substrate Heating'!$A$2:$B$33,2,FALSE)</f>
        <v>17.899999999999999</v>
      </c>
      <c r="AP1157" s="1">
        <f>VLOOKUP($C1157,'Substrate Heating'!$A$2:$M$33,13,FALSE)</f>
        <v>4.666666666666667</v>
      </c>
      <c r="AQ1157" s="1">
        <f>VLOOKUP($C1157,'Substrate Heating'!$A$2:$M$33,8,FALSE)</f>
        <v>3</v>
      </c>
      <c r="AR1157" s="1">
        <f t="shared" si="18"/>
        <v>0.96494623655914202</v>
      </c>
    </row>
    <row r="1158" spans="1:44" x14ac:dyDescent="0.2">
      <c r="A1158" s="8" t="s">
        <v>34</v>
      </c>
      <c r="B1158" s="9" t="s">
        <v>35</v>
      </c>
      <c r="C1158" s="1" t="s">
        <v>341</v>
      </c>
      <c r="D1158" s="24" t="s">
        <v>342</v>
      </c>
      <c r="E1158" s="1" t="s">
        <v>209</v>
      </c>
      <c r="F1158" s="1" t="s">
        <v>210</v>
      </c>
      <c r="G1158" s="1">
        <v>-10</v>
      </c>
      <c r="H1158" s="1">
        <v>-20</v>
      </c>
      <c r="I1158" s="1" t="s">
        <v>40</v>
      </c>
      <c r="J1158" s="1">
        <v>3.15</v>
      </c>
      <c r="K1158" s="1">
        <v>-10</v>
      </c>
      <c r="L1158" s="1">
        <v>-6.3006593406593296</v>
      </c>
      <c r="M1158" s="1" t="s">
        <v>40</v>
      </c>
      <c r="N1158" s="1">
        <v>12.267252747252799</v>
      </c>
      <c r="O1158" s="1">
        <v>11.933186813186801</v>
      </c>
      <c r="Q1158" s="1">
        <v>1.19331868131868</v>
      </c>
      <c r="R1158" s="1">
        <v>0.57024106331806401</v>
      </c>
      <c r="S1158" s="1" t="str">
        <f>VLOOKUP($E1158,'Product Naming'!$A$1:$P$58,2,FALSE)</f>
        <v>GammaButyrolactone</v>
      </c>
      <c r="T1158" s="1" t="str">
        <f>VLOOKUP($E1158,'Product Naming'!$A$1:$P$58,3,FALSE)</f>
        <v>Gamma butyrolactone</v>
      </c>
      <c r="U1158" s="1" t="str">
        <f>VLOOKUP($E1158,'Product Naming'!$A$1:$P$58,4,FALSE)</f>
        <v>A</v>
      </c>
      <c r="V1158" s="1" t="str">
        <f>VLOOKUP($E1158,'Product Naming'!$A$1:$P$58,5,FALSE)</f>
        <v>C4H6O2</v>
      </c>
      <c r="W1158" s="1">
        <f>VLOOKUP($E1158,'Product Naming'!$A$1:$P$58,6,FALSE)</f>
        <v>4</v>
      </c>
      <c r="X1158" s="1">
        <f>VLOOKUP($E1158,'Product Naming'!$A$1:$P$58,7,FALSE)</f>
        <v>6</v>
      </c>
      <c r="Y1158" s="1">
        <f>VLOOKUP($E1158,'Product Naming'!$A$1:$P$58,8,FALSE)</f>
        <v>2</v>
      </c>
      <c r="Z1158" s="1">
        <f>VLOOKUP($E1158,'Product Naming'!$A$1:$P$58,9,FALSE)</f>
        <v>0</v>
      </c>
      <c r="AA1158" s="1">
        <f>VLOOKUP($E1158,'Product Naming'!$A$1:$P$58,10,FALSE)</f>
        <v>0</v>
      </c>
      <c r="AB1158" s="29">
        <f>VLOOKUP($E1158,'Product Naming'!$A$1:$P$58,11,FALSE)</f>
        <v>4.5</v>
      </c>
      <c r="AC1158" s="3">
        <f>VLOOKUP($E1158,'Product Naming'!$A$1:$P$58,12,FALSE)</f>
        <v>86.08784</v>
      </c>
      <c r="AD1158" s="1">
        <f>VLOOKUP($E1158,'Product Naming'!$A$1:$P$58,13,FALSE)</f>
        <v>204</v>
      </c>
      <c r="AE1158" s="1" t="str">
        <f>VLOOKUP($E1158,'Product Naming'!$A$1:$P$58,14,FALSE)</f>
        <v>Lactone (cyclic ester)</v>
      </c>
      <c r="AF1158" s="1" t="str">
        <f>VLOOKUP($E1158,'Product Naming'!$A$1:$P$58,15,FALSE)</f>
        <v>aKG</v>
      </c>
      <c r="AG1158" s="30" t="str">
        <f>VLOOKUP($E1158,'Product Naming'!$A$1:$P$58,16,FALSE)</f>
        <v>Proton symporter</v>
      </c>
      <c r="AH1158" s="3" t="str">
        <f>VLOOKUP($E1158,'Product Naming'!$A$1:$Q$58,17,FALSE)</f>
        <v>gblt_c</v>
      </c>
      <c r="AI1158" s="1">
        <f>VLOOKUP($E1158,'Product Parameters'!$A$2:$D$59,2,FALSE)</f>
        <v>1</v>
      </c>
      <c r="AJ1158" s="1">
        <f>VLOOKUP($E1158,'Product Parameters'!$A$2:$D$59,3,FALSE)</f>
        <v>0</v>
      </c>
      <c r="AK1158" s="1">
        <f>VLOOKUP($E1158,'Product Parameters'!$A$2:$D$59,4,FALSE)</f>
        <v>0.12</v>
      </c>
      <c r="AL1158" s="1">
        <f>VLOOKUP($E1158,'Product Parameters'!$A$2:$E$59,5,FALSE)</f>
        <v>0</v>
      </c>
      <c r="AM1158" s="1">
        <f>VLOOKUP($E1158,'Product Parameters'!$A$2:$F$59,6,FALSE)</f>
        <v>4</v>
      </c>
      <c r="AN1158" s="1">
        <f>VLOOKUP($C1158,'Substrate Heating'!$A$2:$C$33,3,FALSE)</f>
        <v>2828.4492</v>
      </c>
      <c r="AO1158" s="1">
        <f>VLOOKUP($C1158,'Substrate Heating'!$A$2:$B$33,2,FALSE)</f>
        <v>15.7</v>
      </c>
      <c r="AP1158" s="1">
        <f>VLOOKUP($C1158,'Substrate Heating'!$A$2:$M$33,13,FALSE)</f>
        <v>4</v>
      </c>
      <c r="AQ1158" s="1">
        <f>VLOOKUP($C1158,'Substrate Heating'!$A$2:$M$33,8,FALSE)</f>
        <v>6</v>
      </c>
      <c r="AR1158" s="1">
        <f t="shared" si="18"/>
        <v>0.79554578754578664</v>
      </c>
    </row>
    <row r="1159" spans="1:44" x14ac:dyDescent="0.2">
      <c r="A1159" s="8" t="s">
        <v>812</v>
      </c>
      <c r="B1159" s="18" t="s">
        <v>324</v>
      </c>
      <c r="C1159" t="s">
        <v>814</v>
      </c>
      <c r="E1159" t="s">
        <v>236</v>
      </c>
      <c r="F1159" t="s">
        <v>237</v>
      </c>
      <c r="G1159">
        <v>-10</v>
      </c>
      <c r="H1159">
        <v>0</v>
      </c>
      <c r="I1159">
        <v>-10</v>
      </c>
      <c r="J1159">
        <v>0.45</v>
      </c>
      <c r="K1159">
        <v>-4.6153846153846096</v>
      </c>
      <c r="L1159">
        <v>0</v>
      </c>
      <c r="M1159">
        <v>-10</v>
      </c>
      <c r="N1159">
        <v>0</v>
      </c>
      <c r="O1159">
        <v>0.76923076923076905</v>
      </c>
      <c r="P1159"/>
      <c r="Q1159">
        <v>0.16666666666666599</v>
      </c>
      <c r="R1159">
        <v>0.57037722461385298</v>
      </c>
      <c r="S1159" s="1" t="str">
        <f>VLOOKUP($E1159,'Product Naming'!$A$1:$P$58,2,FALSE)</f>
        <v>Hexane</v>
      </c>
      <c r="T1159" s="1" t="str">
        <f>VLOOKUP($E1159,'Product Naming'!$A$1:$P$58,3,FALSE)</f>
        <v>Hexane</v>
      </c>
      <c r="U1159" s="1" t="str">
        <f>VLOOKUP($E1159,'Product Naming'!$A$1:$P$58,4,FALSE)</f>
        <v>E</v>
      </c>
      <c r="V1159" s="1" t="str">
        <f>VLOOKUP($E1159,'Product Naming'!$A$1:$P$58,5,FALSE)</f>
        <v>C6H14</v>
      </c>
      <c r="W1159" s="1">
        <f>VLOOKUP($E1159,'Product Naming'!$A$1:$P$58,6,FALSE)</f>
        <v>6</v>
      </c>
      <c r="X1159" s="1">
        <f>VLOOKUP($E1159,'Product Naming'!$A$1:$P$58,7,FALSE)</f>
        <v>14</v>
      </c>
      <c r="Y1159" s="1">
        <f>VLOOKUP($E1159,'Product Naming'!$A$1:$P$58,8,FALSE)</f>
        <v>0</v>
      </c>
      <c r="Z1159" s="1">
        <f>VLOOKUP($E1159,'Product Naming'!$A$1:$P$58,9,FALSE)</f>
        <v>0</v>
      </c>
      <c r="AA1159" s="1">
        <f>VLOOKUP($E1159,'Product Naming'!$A$1:$P$58,10,FALSE)</f>
        <v>0</v>
      </c>
      <c r="AB1159" s="29">
        <f>VLOOKUP($E1159,'Product Naming'!$A$1:$P$58,11,FALSE)</f>
        <v>6.333333333333333</v>
      </c>
      <c r="AC1159" s="3">
        <f>VLOOKUP($E1159,'Product Naming'!$A$1:$P$58,12,FALSE)</f>
        <v>86.173959999999994</v>
      </c>
      <c r="AD1159" s="1">
        <f>VLOOKUP($E1159,'Product Naming'!$A$1:$P$58,13,FALSE)</f>
        <v>69</v>
      </c>
      <c r="AE1159" s="1" t="str">
        <f>VLOOKUP($E1159,'Product Naming'!$A$1:$P$58,14,FALSE)</f>
        <v>Hydrocarbon (alkane)</v>
      </c>
      <c r="AF1159" s="1" t="str">
        <f>VLOOKUP($E1159,'Product Naming'!$A$1:$P$58,15,FALSE)</f>
        <v>Acetyl-CoA + Succinyl-CoA</v>
      </c>
      <c r="AG1159" s="30" t="str">
        <f>VLOOKUP($E1159,'Product Naming'!$A$1:$P$58,16,FALSE)</f>
        <v>Proton symporter</v>
      </c>
      <c r="AH1159" s="3" t="str">
        <f>VLOOKUP($E1159,'Product Naming'!$A$1:$Q$58,17,FALSE)</f>
        <v>hex_c</v>
      </c>
      <c r="AI1159" s="1">
        <f>VLOOKUP($E1159,'Product Parameters'!$A$2:$D$59,2,FALSE)</f>
        <v>1</v>
      </c>
      <c r="AJ1159" s="1">
        <f>VLOOKUP($E1159,'Product Parameters'!$A$2:$D$59,3,FALSE)</f>
        <v>0</v>
      </c>
      <c r="AK1159" s="1">
        <f>VLOOKUP($E1159,'Product Parameters'!$A$2:$D$59,4,FALSE)</f>
        <v>0.12</v>
      </c>
      <c r="AL1159" s="1">
        <f>VLOOKUP($E1159,'Product Parameters'!$A$2:$E$59,5,FALSE)</f>
        <v>31</v>
      </c>
      <c r="AM1159" s="1">
        <f>VLOOKUP($E1159,'Product Parameters'!$A$2:$F$59,6,FALSE)</f>
        <v>6</v>
      </c>
      <c r="AN1159" s="1">
        <f>VLOOKUP($C1159,'Substrate Heating'!$A$2:$C$33,3,FALSE)</f>
        <v>209.92000000000002</v>
      </c>
      <c r="AO1159" s="1">
        <f>VLOOKUP($C1159,'Substrate Heating'!$A$2:$B$33,2,FALSE)</f>
        <v>10.086540906516333</v>
      </c>
      <c r="AP1159" s="1">
        <f>VLOOKUP($C1159,'Substrate Heating'!$A$2:$M$33,13,FALSE)</f>
        <v>0.8</v>
      </c>
      <c r="AQ1159" s="1">
        <f>VLOOKUP($C1159,'Substrate Heating'!$A$2:$M$33,8,FALSE)</f>
        <v>0.8</v>
      </c>
      <c r="AR1159" s="1">
        <f t="shared" si="18"/>
        <v>1.2499999999999949</v>
      </c>
    </row>
    <row r="1160" spans="1:44" x14ac:dyDescent="0.2">
      <c r="A1160" s="17" t="s">
        <v>323</v>
      </c>
      <c r="B1160" s="18" t="s">
        <v>324</v>
      </c>
      <c r="C1160" t="s">
        <v>328</v>
      </c>
      <c r="D1160" s="19" t="s">
        <v>326</v>
      </c>
      <c r="E1160" t="s">
        <v>215</v>
      </c>
      <c r="F1160" t="s">
        <v>216</v>
      </c>
      <c r="G1160">
        <v>-10</v>
      </c>
      <c r="H1160">
        <v>0</v>
      </c>
      <c r="I1160">
        <v>-10</v>
      </c>
      <c r="J1160">
        <v>0.45</v>
      </c>
      <c r="K1160">
        <v>-10</v>
      </c>
      <c r="L1160">
        <v>0</v>
      </c>
      <c r="M1160">
        <v>-10</v>
      </c>
      <c r="N1160">
        <v>0</v>
      </c>
      <c r="O1160">
        <v>1.1741935483871</v>
      </c>
      <c r="P1160"/>
      <c r="Q1160">
        <v>0.11741935483870999</v>
      </c>
      <c r="R1160">
        <v>0.57133497556207202</v>
      </c>
      <c r="S1160" s="1" t="str">
        <f>VLOOKUP($E1160,'Product Naming'!$A$1:$P$58,2,FALSE)</f>
        <v>Glutamate_L</v>
      </c>
      <c r="T1160" s="1" t="str">
        <f>VLOOKUP($E1160,'Product Naming'!$A$1:$P$58,3,FALSE)</f>
        <v>L-Glutamate</v>
      </c>
      <c r="U1160" s="1" t="str">
        <f>VLOOKUP($E1160,'Product Naming'!$A$1:$P$58,4,FALSE)</f>
        <v>iJO1366</v>
      </c>
      <c r="V1160" s="1" t="str">
        <f>VLOOKUP($E1160,'Product Naming'!$A$1:$P$58,5,FALSE)</f>
        <v>C5H8NO4</v>
      </c>
      <c r="W1160" s="1">
        <f>VLOOKUP($E1160,'Product Naming'!$A$1:$P$58,6,FALSE)</f>
        <v>5</v>
      </c>
      <c r="X1160" s="1">
        <f>VLOOKUP($E1160,'Product Naming'!$A$1:$P$58,7,FALSE)</f>
        <v>8</v>
      </c>
      <c r="Y1160" s="1">
        <f>VLOOKUP($E1160,'Product Naming'!$A$1:$P$58,8,FALSE)</f>
        <v>4</v>
      </c>
      <c r="Z1160" s="1">
        <f>VLOOKUP($E1160,'Product Naming'!$A$1:$P$58,9,FALSE)</f>
        <v>1</v>
      </c>
      <c r="AA1160" s="1">
        <f>VLOOKUP($E1160,'Product Naming'!$A$1:$P$58,10,FALSE)</f>
        <v>-1</v>
      </c>
      <c r="AB1160" s="29">
        <f>VLOOKUP($E1160,'Product Naming'!$A$1:$P$58,11,FALSE)</f>
        <v>3.4</v>
      </c>
      <c r="AC1160" s="3">
        <f>VLOOKUP($E1160,'Product Naming'!$A$1:$P$58,12,FALSE)</f>
        <v>146.11892</v>
      </c>
      <c r="AD1160" s="1">
        <f>VLOOKUP($E1160,'Product Naming'!$A$1:$P$58,13,FALSE)</f>
        <v>333.8</v>
      </c>
      <c r="AE1160" s="1" t="str">
        <f>VLOOKUP($E1160,'Product Naming'!$A$1:$P$58,14,FALSE)</f>
        <v>Amino acid</v>
      </c>
      <c r="AF1160" s="1" t="str">
        <f>VLOOKUP($E1160,'Product Naming'!$A$1:$P$58,15,FALSE)</f>
        <v>aKG</v>
      </c>
      <c r="AG1160" s="30" t="str">
        <f>VLOOKUP($E1160,'Product Naming'!$A$1:$P$58,16,FALSE)</f>
        <v>Proton symporter</v>
      </c>
      <c r="AH1160" s="3" t="str">
        <f>VLOOKUP($E1160,'Product Naming'!$A$1:$Q$58,17,FALSE)</f>
        <v>glu__L_c</v>
      </c>
      <c r="AI1160" s="1">
        <f>VLOOKUP($E1160,'Product Parameters'!$A$2:$D$59,2,FALSE)</f>
        <v>1</v>
      </c>
      <c r="AJ1160" s="1">
        <f>VLOOKUP($E1160,'Product Parameters'!$A$2:$D$59,3,FALSE)</f>
        <v>0</v>
      </c>
      <c r="AK1160" s="1">
        <f>VLOOKUP($E1160,'Product Parameters'!$A$2:$D$59,4,FALSE)</f>
        <v>0.12</v>
      </c>
      <c r="AL1160" s="1">
        <f>VLOOKUP($E1160,'Product Parameters'!$A$2:$E$59,5,FALSE)</f>
        <v>40.65</v>
      </c>
      <c r="AM1160" s="1">
        <f>VLOOKUP($E1160,'Product Parameters'!$A$2:$F$59,6,FALSE)</f>
        <v>5</v>
      </c>
      <c r="AN1160" s="1">
        <f>VLOOKUP($C1160,'Substrate Heating'!$A$2:$C$33,3,FALSE)</f>
        <v>262.39999999999998</v>
      </c>
      <c r="AO1160" s="1">
        <f>VLOOKUP($C1160,'Substrate Heating'!$A$2:$B$33,2,FALSE)</f>
        <v>17.478546483008707</v>
      </c>
      <c r="AP1160" s="1">
        <f>VLOOKUP($C1160,'Substrate Heating'!$A$2:$M$33,13,FALSE)</f>
        <v>1</v>
      </c>
      <c r="AQ1160" s="1">
        <f>VLOOKUP($C1160,'Substrate Heating'!$A$2:$M$33,8,FALSE)</f>
        <v>0.5</v>
      </c>
      <c r="AR1160" s="1">
        <f t="shared" si="18"/>
        <v>1.1741935483871</v>
      </c>
    </row>
    <row r="1161" spans="1:44" x14ac:dyDescent="0.2">
      <c r="A1161" s="8" t="s">
        <v>812</v>
      </c>
      <c r="B1161" s="18" t="s">
        <v>324</v>
      </c>
      <c r="C1161" t="s">
        <v>814</v>
      </c>
      <c r="E1161" t="s">
        <v>287</v>
      </c>
      <c r="F1161" t="s">
        <v>288</v>
      </c>
      <c r="G1161">
        <v>-10</v>
      </c>
      <c r="H1161">
        <v>0</v>
      </c>
      <c r="I1161">
        <v>-10</v>
      </c>
      <c r="J1161">
        <v>0.45</v>
      </c>
      <c r="K1161">
        <v>-4.5454545454545396</v>
      </c>
      <c r="L1161">
        <v>0</v>
      </c>
      <c r="M1161">
        <v>-10</v>
      </c>
      <c r="N1161">
        <v>0</v>
      </c>
      <c r="O1161">
        <v>0.90909090909090895</v>
      </c>
      <c r="P1161"/>
      <c r="Q1161">
        <v>0.2</v>
      </c>
      <c r="R1161">
        <v>0.57152030291988098</v>
      </c>
      <c r="S1161" s="1" t="str">
        <f>VLOOKUP($E1161,'Product Naming'!$A$1:$P$58,2,FALSE)</f>
        <v>Pentane</v>
      </c>
      <c r="T1161" s="1" t="str">
        <f>VLOOKUP($E1161,'Product Naming'!$A$1:$P$58,3,FALSE)</f>
        <v>Pentane</v>
      </c>
      <c r="U1161" s="1" t="str">
        <f>VLOOKUP($E1161,'Product Naming'!$A$1:$P$58,4,FALSE)</f>
        <v>E</v>
      </c>
      <c r="V1161" s="1" t="str">
        <f>VLOOKUP($E1161,'Product Naming'!$A$1:$P$58,5,FALSE)</f>
        <v>C5H12</v>
      </c>
      <c r="W1161" s="1">
        <f>VLOOKUP($E1161,'Product Naming'!$A$1:$P$58,6,FALSE)</f>
        <v>5</v>
      </c>
      <c r="X1161" s="1">
        <f>VLOOKUP($E1161,'Product Naming'!$A$1:$P$58,7,FALSE)</f>
        <v>12</v>
      </c>
      <c r="Y1161" s="1">
        <f>VLOOKUP($E1161,'Product Naming'!$A$1:$P$58,8,FALSE)</f>
        <v>0</v>
      </c>
      <c r="Z1161" s="1">
        <f>VLOOKUP($E1161,'Product Naming'!$A$1:$P$58,9,FALSE)</f>
        <v>0</v>
      </c>
      <c r="AA1161" s="1">
        <f>VLOOKUP($E1161,'Product Naming'!$A$1:$P$58,10,FALSE)</f>
        <v>0</v>
      </c>
      <c r="AB1161" s="29">
        <f>VLOOKUP($E1161,'Product Naming'!$A$1:$P$58,11,FALSE)</f>
        <v>6.4</v>
      </c>
      <c r="AC1161" s="3">
        <f>VLOOKUP($E1161,'Product Naming'!$A$1:$P$58,12,FALSE)</f>
        <v>72.147580000000005</v>
      </c>
      <c r="AD1161" s="1">
        <f>VLOOKUP($E1161,'Product Naming'!$A$1:$P$58,13,FALSE)</f>
        <v>36.1</v>
      </c>
      <c r="AE1161" s="1" t="str">
        <f>VLOOKUP($E1161,'Product Naming'!$A$1:$P$58,14,FALSE)</f>
        <v>Hydrocarbon (alkane)</v>
      </c>
      <c r="AF1161" s="1" t="str">
        <f>VLOOKUP($E1161,'Product Naming'!$A$1:$P$58,15,FALSE)</f>
        <v>Acetyl-CoA</v>
      </c>
      <c r="AG1161" s="30" t="str">
        <f>VLOOKUP($E1161,'Product Naming'!$A$1:$P$58,16,FALSE)</f>
        <v>Diffusion</v>
      </c>
      <c r="AH1161" s="3" t="str">
        <f>VLOOKUP($E1161,'Product Naming'!$A$1:$Q$58,17,FALSE)</f>
        <v>pent_c</v>
      </c>
      <c r="AI1161" s="1">
        <f>VLOOKUP($E1161,'Product Parameters'!$A$2:$D$59,2,FALSE)</f>
        <v>0</v>
      </c>
      <c r="AJ1161" s="1">
        <f>VLOOKUP($E1161,'Product Parameters'!$A$2:$D$59,3,FALSE)</f>
        <v>1</v>
      </c>
      <c r="AK1161" s="1">
        <f>VLOOKUP($E1161,'Product Parameters'!$A$2:$D$59,4,FALSE)</f>
        <v>0.12</v>
      </c>
      <c r="AL1161" s="1">
        <f>VLOOKUP($E1161,'Product Parameters'!$A$2:$E$59,5,FALSE)</f>
        <v>26.5</v>
      </c>
      <c r="AM1161" s="1">
        <f>VLOOKUP($E1161,'Product Parameters'!$A$2:$F$59,6,FALSE)</f>
        <v>5</v>
      </c>
      <c r="AN1161" s="1">
        <f>VLOOKUP($C1161,'Substrate Heating'!$A$2:$C$33,3,FALSE)</f>
        <v>209.92000000000002</v>
      </c>
      <c r="AO1161" s="1">
        <f>VLOOKUP($C1161,'Substrate Heating'!$A$2:$B$33,2,FALSE)</f>
        <v>10.086540906516333</v>
      </c>
      <c r="AP1161" s="1">
        <f>VLOOKUP($C1161,'Substrate Heating'!$A$2:$M$33,13,FALSE)</f>
        <v>0.8</v>
      </c>
      <c r="AQ1161" s="1">
        <f>VLOOKUP($C1161,'Substrate Heating'!$A$2:$M$33,8,FALSE)</f>
        <v>0.8</v>
      </c>
      <c r="AR1161" s="1">
        <f t="shared" si="18"/>
        <v>1.25</v>
      </c>
    </row>
    <row r="1162" spans="1:44" x14ac:dyDescent="0.2">
      <c r="A1162" s="17" t="s">
        <v>323</v>
      </c>
      <c r="B1162" s="18" t="s">
        <v>324</v>
      </c>
      <c r="C1162" t="s">
        <v>327</v>
      </c>
      <c r="D1162" s="19" t="s">
        <v>326</v>
      </c>
      <c r="E1162" t="s">
        <v>269</v>
      </c>
      <c r="F1162" t="s">
        <v>270</v>
      </c>
      <c r="G1162">
        <v>-10</v>
      </c>
      <c r="H1162">
        <v>0</v>
      </c>
      <c r="I1162">
        <v>-5</v>
      </c>
      <c r="J1162">
        <v>0.45</v>
      </c>
      <c r="K1162">
        <v>-10</v>
      </c>
      <c r="L1162">
        <v>0</v>
      </c>
      <c r="M1162">
        <v>-5</v>
      </c>
      <c r="N1162">
        <v>1.24347826086957</v>
      </c>
      <c r="O1162">
        <v>1.25652173913044</v>
      </c>
      <c r="P1162"/>
      <c r="Q1162">
        <v>0.12565217391304401</v>
      </c>
      <c r="R1162">
        <v>0.57183931980942704</v>
      </c>
      <c r="S1162" s="1" t="str">
        <f>VLOOKUP($E1162,'Product Naming'!$A$1:$P$58,2,FALSE)</f>
        <v>Malate_L</v>
      </c>
      <c r="T1162" s="1" t="str">
        <f>VLOOKUP($E1162,'Product Naming'!$A$1:$P$58,3,FALSE)</f>
        <v>L-Malate</v>
      </c>
      <c r="U1162" s="1" t="str">
        <f>VLOOKUP($E1162,'Product Naming'!$A$1:$P$58,4,FALSE)</f>
        <v>iJO1366</v>
      </c>
      <c r="V1162" s="1" t="str">
        <f>VLOOKUP($E1162,'Product Naming'!$A$1:$P$58,5,FALSE)</f>
        <v>C4H4O5</v>
      </c>
      <c r="W1162" s="1">
        <f>VLOOKUP($E1162,'Product Naming'!$A$1:$P$58,6,FALSE)</f>
        <v>4</v>
      </c>
      <c r="X1162" s="1">
        <f>VLOOKUP($E1162,'Product Naming'!$A$1:$P$58,7,FALSE)</f>
        <v>4</v>
      </c>
      <c r="Y1162" s="1">
        <f>VLOOKUP($E1162,'Product Naming'!$A$1:$P$58,8,FALSE)</f>
        <v>5</v>
      </c>
      <c r="Z1162" s="1">
        <f>VLOOKUP($E1162,'Product Naming'!$A$1:$P$58,9,FALSE)</f>
        <v>0</v>
      </c>
      <c r="AA1162" s="1">
        <f>VLOOKUP($E1162,'Product Naming'!$A$1:$P$58,10,FALSE)</f>
        <v>-2</v>
      </c>
      <c r="AB1162" s="29">
        <f>VLOOKUP($E1162,'Product Naming'!$A$1:$P$58,11,FALSE)</f>
        <v>2.5</v>
      </c>
      <c r="AC1162" s="3">
        <f>VLOOKUP($E1162,'Product Naming'!$A$1:$P$58,12,FALSE)</f>
        <v>132.06916000000001</v>
      </c>
      <c r="AD1162" s="1" t="str">
        <f>VLOOKUP($E1162,'Product Naming'!$A$1:$P$58,13,FALSE)</f>
        <v>NA</v>
      </c>
      <c r="AE1162" s="1" t="str">
        <f>VLOOKUP($E1162,'Product Naming'!$A$1:$P$58,14,FALSE)</f>
        <v>Dicarboxylate</v>
      </c>
      <c r="AF1162" s="1" t="str">
        <f>VLOOKUP($E1162,'Product Naming'!$A$1:$P$58,15,FALSE)</f>
        <v>Oxaloacetate</v>
      </c>
      <c r="AG1162" s="30" t="str">
        <f>VLOOKUP($E1162,'Product Naming'!$A$1:$P$58,16,FALSE)</f>
        <v>Proton symporter</v>
      </c>
      <c r="AH1162" s="3" t="str">
        <f>VLOOKUP($E1162,'Product Naming'!$A$1:$Q$58,17,FALSE)</f>
        <v>mal__L_e</v>
      </c>
      <c r="AI1162" s="1">
        <f>VLOOKUP($E1162,'Product Parameters'!$A$2:$D$59,2,FALSE)</f>
        <v>1</v>
      </c>
      <c r="AJ1162" s="1">
        <f>VLOOKUP($E1162,'Product Parameters'!$A$2:$D$59,3,FALSE)</f>
        <v>0</v>
      </c>
      <c r="AK1162" s="1">
        <f>VLOOKUP($E1162,'Product Parameters'!$A$2:$D$59,4,FALSE)</f>
        <v>0.12</v>
      </c>
      <c r="AL1162" s="1">
        <f>VLOOKUP($E1162,'Product Parameters'!$A$2:$E$59,5,FALSE)</f>
        <v>40.65</v>
      </c>
      <c r="AM1162" s="1">
        <f>VLOOKUP($E1162,'Product Parameters'!$A$2:$F$59,6,FALSE)</f>
        <v>4</v>
      </c>
      <c r="AN1162" s="1">
        <f>VLOOKUP($C1162,'Substrate Heating'!$A$2:$C$33,3,FALSE)</f>
        <v>269.26666666666665</v>
      </c>
      <c r="AO1162" s="1">
        <f>VLOOKUP($C1162,'Substrate Heating'!$A$2:$B$33,2,FALSE)</f>
        <v>13.919167510409219</v>
      </c>
      <c r="AP1162" s="1">
        <f>VLOOKUP($C1162,'Substrate Heating'!$A$2:$M$33,13,FALSE)</f>
        <v>1.3333333333333333</v>
      </c>
      <c r="AQ1162" s="1">
        <f>VLOOKUP($C1162,'Substrate Heating'!$A$2:$M$33,8,FALSE)</f>
        <v>0.66666666666666663</v>
      </c>
      <c r="AR1162" s="1">
        <f t="shared" si="18"/>
        <v>0.75391304347826404</v>
      </c>
    </row>
    <row r="1163" spans="1:44" x14ac:dyDescent="0.2">
      <c r="A1163" s="8" t="s">
        <v>812</v>
      </c>
      <c r="B1163" s="9" t="s">
        <v>35</v>
      </c>
      <c r="C1163" t="s">
        <v>813</v>
      </c>
      <c r="E1163" t="s">
        <v>145</v>
      </c>
      <c r="F1163" t="s">
        <v>146</v>
      </c>
      <c r="G1163">
        <v>-10</v>
      </c>
      <c r="H1163">
        <v>-20</v>
      </c>
      <c r="I1163">
        <v>0</v>
      </c>
      <c r="J1163">
        <v>3.15</v>
      </c>
      <c r="K1163">
        <v>-10</v>
      </c>
      <c r="L1163">
        <v>-17.927982954545399</v>
      </c>
      <c r="M1163">
        <v>0</v>
      </c>
      <c r="N1163">
        <v>7.7053977272727199</v>
      </c>
      <c r="O1163">
        <v>3.1849431818181801</v>
      </c>
      <c r="P1163"/>
      <c r="Q1163">
        <v>0.318494318181818</v>
      </c>
      <c r="R1163">
        <v>0.57310565664789104</v>
      </c>
      <c r="S1163" s="1" t="str">
        <f>VLOOKUP($E1163,'Product Naming'!$A$1:$P$58,2,FALSE)</f>
        <v>Benzyl alcohol</v>
      </c>
      <c r="T1163" s="1" t="str">
        <f>VLOOKUP($E1163,'Product Naming'!$A$1:$P$58,3,FALSE)</f>
        <v>Benzyl alcohol</v>
      </c>
      <c r="U1163" s="1" t="str">
        <f>VLOOKUP($E1163,'Product Naming'!$A$1:$P$58,4,FALSE)</f>
        <v>E</v>
      </c>
      <c r="V1163" s="1" t="str">
        <f>VLOOKUP($E1163,'Product Naming'!$A$1:$P$58,5,FALSE)</f>
        <v>C7H8O</v>
      </c>
      <c r="W1163" s="1">
        <f>VLOOKUP($E1163,'Product Naming'!$A$1:$P$58,6,FALSE)</f>
        <v>7</v>
      </c>
      <c r="X1163" s="1">
        <f>VLOOKUP($E1163,'Product Naming'!$A$1:$P$58,7,FALSE)</f>
        <v>8</v>
      </c>
      <c r="Y1163" s="1">
        <f>VLOOKUP($E1163,'Product Naming'!$A$1:$P$58,8,FALSE)</f>
        <v>1</v>
      </c>
      <c r="Z1163" s="1">
        <f>VLOOKUP($E1163,'Product Naming'!$A$1:$P$58,9,FALSE)</f>
        <v>0</v>
      </c>
      <c r="AA1163" s="1">
        <f>VLOOKUP($E1163,'Product Naming'!$A$1:$P$58,10,FALSE)</f>
        <v>0</v>
      </c>
      <c r="AB1163" s="29">
        <f>VLOOKUP($E1163,'Product Naming'!$A$1:$P$58,11,FALSE)</f>
        <v>4.8571428571428568</v>
      </c>
      <c r="AC1163" s="3">
        <f>VLOOKUP($E1163,'Product Naming'!$A$1:$P$58,12,FALSE)</f>
        <v>108.13661999999999</v>
      </c>
      <c r="AD1163" s="1">
        <f>VLOOKUP($E1163,'Product Naming'!$A$1:$P$58,13,FALSE)</f>
        <v>205</v>
      </c>
      <c r="AE1163" s="1" t="str">
        <f>VLOOKUP($E1163,'Product Naming'!$A$1:$P$58,14,FALSE)</f>
        <v>Aromatic + Alcohol</v>
      </c>
      <c r="AF1163" s="1" t="str">
        <f>VLOOKUP($E1163,'Product Naming'!$A$1:$P$58,15,FALSE)</f>
        <v>E4P</v>
      </c>
      <c r="AG1163" s="30" t="str">
        <f>VLOOKUP($E1163,'Product Naming'!$A$1:$P$58,16,FALSE)</f>
        <v>Proton symporter</v>
      </c>
      <c r="AH1163" s="3" t="str">
        <f>VLOOKUP($E1163,'Product Naming'!$A$1:$Q$58,17,FALSE)</f>
        <v>bzalc_c</v>
      </c>
      <c r="AI1163" s="1">
        <f>VLOOKUP($E1163,'Product Parameters'!$A$2:$D$59,2,FALSE)</f>
        <v>1</v>
      </c>
      <c r="AJ1163" s="1">
        <f>VLOOKUP($E1163,'Product Parameters'!$A$2:$D$59,3,FALSE)</f>
        <v>0</v>
      </c>
      <c r="AK1163" s="1">
        <f>VLOOKUP($E1163,'Product Parameters'!$A$2:$D$59,4,FALSE)</f>
        <v>0.12</v>
      </c>
      <c r="AL1163" s="1">
        <f>VLOOKUP($E1163,'Product Parameters'!$A$2:$E$59,5,FALSE)</f>
        <v>63</v>
      </c>
      <c r="AM1163" s="1">
        <f>VLOOKUP($E1163,'Product Parameters'!$A$2:$F$59,6,FALSE)</f>
        <v>7</v>
      </c>
      <c r="AN1163" s="1">
        <f>VLOOKUP($C1163,'Substrate Heating'!$A$2:$C$33,3,FALSE)</f>
        <v>1843.720736</v>
      </c>
      <c r="AO1163" s="1">
        <f>VLOOKUP($C1163,'Substrate Heating'!$A$2:$B$33,2,FALSE)</f>
        <v>30.68</v>
      </c>
      <c r="AP1163" s="1">
        <f>VLOOKUP($C1163,'Substrate Heating'!$A$2:$M$33,13,FALSE)</f>
        <v>6</v>
      </c>
      <c r="AQ1163" s="1">
        <f>VLOOKUP($C1163,'Substrate Heating'!$A$2:$M$33,8,FALSE)</f>
        <v>3</v>
      </c>
      <c r="AR1163" s="1">
        <f t="shared" si="18"/>
        <v>0.74315340909090866</v>
      </c>
    </row>
    <row r="1164" spans="1:44" x14ac:dyDescent="0.2">
      <c r="A1164" s="8" t="s">
        <v>812</v>
      </c>
      <c r="B1164" s="18" t="s">
        <v>324</v>
      </c>
      <c r="C1164" t="s">
        <v>814</v>
      </c>
      <c r="E1164" t="s">
        <v>301</v>
      </c>
      <c r="F1164" t="s">
        <v>302</v>
      </c>
      <c r="G1164">
        <v>-10</v>
      </c>
      <c r="H1164">
        <v>0</v>
      </c>
      <c r="I1164">
        <v>-10</v>
      </c>
      <c r="J1164">
        <v>0.45</v>
      </c>
      <c r="K1164">
        <v>-4.2857142857142803</v>
      </c>
      <c r="L1164">
        <v>0</v>
      </c>
      <c r="M1164">
        <v>-10</v>
      </c>
      <c r="N1164">
        <v>0</v>
      </c>
      <c r="O1164">
        <v>1.4285714285714199</v>
      </c>
      <c r="P1164"/>
      <c r="Q1164">
        <v>0.33333333333333298</v>
      </c>
      <c r="R1164">
        <v>0.57603240791543098</v>
      </c>
      <c r="S1164" s="1" t="str">
        <f>VLOOKUP($E1164,'Product Naming'!$A$1:$P$58,2,FALSE)</f>
        <v>Propane-PW1</v>
      </c>
      <c r="T1164" s="1" t="str">
        <f>VLOOKUP($E1164,'Product Naming'!$A$1:$P$58,3,FALSE)</f>
        <v>Propane (PW1)</v>
      </c>
      <c r="U1164" s="1" t="str">
        <f>VLOOKUP($E1164,'Product Naming'!$A$1:$P$58,4,FALSE)</f>
        <v>E</v>
      </c>
      <c r="V1164" s="1" t="str">
        <f>VLOOKUP($E1164,'Product Naming'!$A$1:$P$58,5,FALSE)</f>
        <v>C3H8</v>
      </c>
      <c r="W1164" s="1">
        <f>VLOOKUP($E1164,'Product Naming'!$A$1:$P$58,6,FALSE)</f>
        <v>3</v>
      </c>
      <c r="X1164" s="1">
        <f>VLOOKUP($E1164,'Product Naming'!$A$1:$P$58,7,FALSE)</f>
        <v>8</v>
      </c>
      <c r="Y1164" s="1">
        <f>VLOOKUP($E1164,'Product Naming'!$A$1:$P$58,8,FALSE)</f>
        <v>0</v>
      </c>
      <c r="Z1164" s="1">
        <f>VLOOKUP($E1164,'Product Naming'!$A$1:$P$58,9,FALSE)</f>
        <v>0</v>
      </c>
      <c r="AA1164" s="1">
        <f>VLOOKUP($E1164,'Product Naming'!$A$1:$P$58,10,FALSE)</f>
        <v>0</v>
      </c>
      <c r="AB1164" s="29">
        <f>VLOOKUP($E1164,'Product Naming'!$A$1:$P$58,11,FALSE)</f>
        <v>6.666666666666667</v>
      </c>
      <c r="AC1164" s="3">
        <f>VLOOKUP($E1164,'Product Naming'!$A$1:$P$58,12,FALSE)</f>
        <v>44.094819999999999</v>
      </c>
      <c r="AD1164" s="1">
        <f>VLOOKUP($E1164,'Product Naming'!$A$1:$P$58,13,FALSE)</f>
        <v>-42</v>
      </c>
      <c r="AE1164" s="1" t="str">
        <f>VLOOKUP($E1164,'Product Naming'!$A$1:$P$58,14,FALSE)</f>
        <v>Hydrocarbon</v>
      </c>
      <c r="AF1164" s="1" t="str">
        <f>VLOOKUP($E1164,'Product Naming'!$A$1:$P$58,15,FALSE)</f>
        <v>Acetyl-CoA</v>
      </c>
      <c r="AG1164" s="30" t="str">
        <f>VLOOKUP($E1164,'Product Naming'!$A$1:$P$58,16,FALSE)</f>
        <v>Diffusion</v>
      </c>
      <c r="AH1164" s="3" t="str">
        <f>VLOOKUP($E1164,'Product Naming'!$A$1:$Q$58,17,FALSE)</f>
        <v>prop_c</v>
      </c>
      <c r="AI1164" s="1">
        <f>VLOOKUP($E1164,'Product Parameters'!$A$2:$D$59,2,FALSE)</f>
        <v>0</v>
      </c>
      <c r="AJ1164" s="1">
        <f>VLOOKUP($E1164,'Product Parameters'!$A$2:$D$59,3,FALSE)</f>
        <v>1</v>
      </c>
      <c r="AK1164" s="1">
        <f>VLOOKUP($E1164,'Product Parameters'!$A$2:$D$59,4,FALSE)</f>
        <v>0.12</v>
      </c>
      <c r="AL1164" s="1">
        <f>VLOOKUP($E1164,'Product Parameters'!$A$2:$E$59,5,FALSE)</f>
        <v>0</v>
      </c>
      <c r="AM1164" s="1">
        <f>VLOOKUP($E1164,'Product Parameters'!$A$2:$F$59,6,FALSE)</f>
        <v>3</v>
      </c>
      <c r="AN1164" s="1">
        <f>VLOOKUP($C1164,'Substrate Heating'!$A$2:$C$33,3,FALSE)</f>
        <v>209.92000000000002</v>
      </c>
      <c r="AO1164" s="1">
        <f>VLOOKUP($C1164,'Substrate Heating'!$A$2:$B$33,2,FALSE)</f>
        <v>10.086540906516333</v>
      </c>
      <c r="AP1164" s="1">
        <f>VLOOKUP($C1164,'Substrate Heating'!$A$2:$M$33,13,FALSE)</f>
        <v>0.8</v>
      </c>
      <c r="AQ1164" s="1">
        <f>VLOOKUP($C1164,'Substrate Heating'!$A$2:$M$33,8,FALSE)</f>
        <v>0.8</v>
      </c>
      <c r="AR1164" s="1">
        <f t="shared" si="18"/>
        <v>1.2499999999999984</v>
      </c>
    </row>
    <row r="1165" spans="1:44" x14ac:dyDescent="0.2">
      <c r="A1165" s="8" t="s">
        <v>34</v>
      </c>
      <c r="B1165" s="9" t="s">
        <v>35</v>
      </c>
      <c r="C1165" s="1" t="s">
        <v>330</v>
      </c>
      <c r="D1165" s="10" t="s">
        <v>37</v>
      </c>
      <c r="E1165" s="1" t="s">
        <v>180</v>
      </c>
      <c r="F1165" s="1" t="s">
        <v>181</v>
      </c>
      <c r="G1165" s="1">
        <v>-10</v>
      </c>
      <c r="H1165" s="1">
        <v>-20</v>
      </c>
      <c r="I1165" s="1" t="s">
        <v>40</v>
      </c>
      <c r="J1165" s="1">
        <v>3.15</v>
      </c>
      <c r="K1165" s="1">
        <v>-10</v>
      </c>
      <c r="L1165" s="1">
        <v>-10.9403846153846</v>
      </c>
      <c r="M1165" s="1" t="s">
        <v>40</v>
      </c>
      <c r="N1165" s="1">
        <v>4.6622377622377602</v>
      </c>
      <c r="O1165" s="1">
        <v>2.5562937062937099</v>
      </c>
      <c r="Q1165" s="1">
        <v>0.25562937062937102</v>
      </c>
      <c r="R1165" s="1">
        <v>0.57698718329541798</v>
      </c>
      <c r="S1165" s="1" t="str">
        <f>VLOOKUP($E1165,'Product Naming'!$A$1:$P$58,2,FALSE)</f>
        <v>ciscisMuconate</v>
      </c>
      <c r="T1165" s="1" t="str">
        <f>VLOOKUP($E1165,'Product Naming'!$A$1:$P$58,3,FALSE)</f>
        <v>cis,cis-Muconate</v>
      </c>
      <c r="U1165" s="1" t="str">
        <f>VLOOKUP($E1165,'Product Naming'!$A$1:$P$58,4,FALSE)</f>
        <v>A</v>
      </c>
      <c r="V1165" s="1" t="str">
        <f>VLOOKUP($E1165,'Product Naming'!$A$1:$P$58,5,FALSE)</f>
        <v>C6H4O4</v>
      </c>
      <c r="W1165" s="1">
        <f>VLOOKUP($E1165,'Product Naming'!$A$1:$P$58,6,FALSE)</f>
        <v>6</v>
      </c>
      <c r="X1165" s="1">
        <f>VLOOKUP($E1165,'Product Naming'!$A$1:$P$58,7,FALSE)</f>
        <v>4</v>
      </c>
      <c r="Y1165" s="1">
        <f>VLOOKUP($E1165,'Product Naming'!$A$1:$P$58,8,FALSE)</f>
        <v>4</v>
      </c>
      <c r="Z1165" s="1">
        <f>VLOOKUP($E1165,'Product Naming'!$A$1:$P$58,9,FALSE)</f>
        <v>0</v>
      </c>
      <c r="AA1165" s="1">
        <f>VLOOKUP($E1165,'Product Naming'!$A$1:$P$58,10,FALSE)</f>
        <v>-2</v>
      </c>
      <c r="AB1165" s="29">
        <f>VLOOKUP($E1165,'Product Naming'!$A$1:$P$58,11,FALSE)</f>
        <v>3.3333333333333335</v>
      </c>
      <c r="AC1165" s="3">
        <f>VLOOKUP($E1165,'Product Naming'!$A$1:$P$58,12,FALSE)</f>
        <v>140.09156000000002</v>
      </c>
      <c r="AD1165" s="1">
        <f>VLOOKUP($E1165,'Product Naming'!$A$1:$P$58,13,FALSE)</f>
        <v>345.4</v>
      </c>
      <c r="AE1165" s="1" t="str">
        <f>VLOOKUP($E1165,'Product Naming'!$A$1:$P$58,14,FALSE)</f>
        <v>Dicarboxylate</v>
      </c>
      <c r="AF1165" s="1" t="str">
        <f>VLOOKUP($E1165,'Product Naming'!$A$1:$P$58,15,FALSE)</f>
        <v>Glyceraldehyde 3-P</v>
      </c>
      <c r="AG1165" s="30" t="str">
        <f>VLOOKUP($E1165,'Product Naming'!$A$1:$P$58,16,FALSE)</f>
        <v>Proton symporter</v>
      </c>
      <c r="AH1165" s="3" t="str">
        <f>VLOOKUP($E1165,'Product Naming'!$A$1:$Q$58,17,FALSE)</f>
        <v>ccmuac_c</v>
      </c>
      <c r="AI1165" s="1">
        <f>VLOOKUP($E1165,'Product Parameters'!$A$2:$D$59,2,FALSE)</f>
        <v>1</v>
      </c>
      <c r="AJ1165" s="1">
        <f>VLOOKUP($E1165,'Product Parameters'!$A$2:$D$59,3,FALSE)</f>
        <v>0</v>
      </c>
      <c r="AK1165" s="1">
        <f>VLOOKUP($E1165,'Product Parameters'!$A$2:$D$59,4,FALSE)</f>
        <v>0.12</v>
      </c>
      <c r="AL1165" s="1">
        <f>VLOOKUP($E1165,'Product Parameters'!$A$2:$E$59,5,FALSE)</f>
        <v>40.65</v>
      </c>
      <c r="AM1165" s="1">
        <f>VLOOKUP($E1165,'Product Parameters'!$A$2:$F$59,6,FALSE)</f>
        <v>6</v>
      </c>
      <c r="AN1165" s="1">
        <f>VLOOKUP($C1165,'Substrate Heating'!$A$2:$C$33,3,FALSE)</f>
        <v>1055.1294800000001</v>
      </c>
      <c r="AO1165" s="1">
        <f>VLOOKUP($C1165,'Substrate Heating'!$A$2:$B$33,2,FALSE)</f>
        <v>17</v>
      </c>
      <c r="AP1165" s="1">
        <f>VLOOKUP($C1165,'Substrate Heating'!$A$2:$M$33,13,FALSE)</f>
        <v>5</v>
      </c>
      <c r="AQ1165" s="1">
        <f>VLOOKUP($C1165,'Substrate Heating'!$A$2:$M$33,8,FALSE)</f>
        <v>2</v>
      </c>
      <c r="AR1165" s="1">
        <f t="shared" si="18"/>
        <v>0.76688811188811301</v>
      </c>
    </row>
    <row r="1166" spans="1:44" x14ac:dyDescent="0.2">
      <c r="A1166" s="8" t="s">
        <v>34</v>
      </c>
      <c r="B1166" s="9" t="s">
        <v>35</v>
      </c>
      <c r="C1166" s="1" t="s">
        <v>349</v>
      </c>
      <c r="D1166" s="25" t="s">
        <v>342</v>
      </c>
      <c r="E1166" s="1" t="s">
        <v>52</v>
      </c>
      <c r="F1166" s="1" t="s">
        <v>53</v>
      </c>
      <c r="G1166" s="1">
        <v>-10</v>
      </c>
      <c r="H1166" s="1">
        <v>-20</v>
      </c>
      <c r="I1166" s="1" t="s">
        <v>40</v>
      </c>
      <c r="J1166" s="1">
        <v>3.15</v>
      </c>
      <c r="K1166" s="1">
        <v>-10</v>
      </c>
      <c r="L1166" s="1">
        <v>-4.42077922077923</v>
      </c>
      <c r="M1166" s="1" t="s">
        <v>40</v>
      </c>
      <c r="N1166" s="1">
        <v>15.8155844155844</v>
      </c>
      <c r="O1166" s="1">
        <v>11.394805194805199</v>
      </c>
      <c r="Q1166" s="1">
        <v>1.13948051948052</v>
      </c>
      <c r="R1166" s="1">
        <v>0.57789627770218199</v>
      </c>
      <c r="S1166" s="1" t="str">
        <f>VLOOKUP($E1166,'Product Naming'!$A$1:$P$58,2,FALSE)</f>
        <v>1-3-Diaminopropane</v>
      </c>
      <c r="T1166" s="1" t="str">
        <f>VLOOKUP($E1166,'Product Naming'!$A$1:$P$58,3,FALSE)</f>
        <v>1,3-Diaminopropane</v>
      </c>
      <c r="U1166" s="1" t="str">
        <f>VLOOKUP($E1166,'Product Naming'!$A$1:$P$58,4,FALSE)</f>
        <v>A</v>
      </c>
      <c r="V1166" s="1" t="str">
        <f>VLOOKUP($E1166,'Product Naming'!$A$1:$P$58,5,FALSE)</f>
        <v>C3H12N2</v>
      </c>
      <c r="W1166" s="1">
        <f>VLOOKUP($E1166,'Product Naming'!$A$1:$P$58,6,FALSE)</f>
        <v>3</v>
      </c>
      <c r="X1166" s="1">
        <f>VLOOKUP($E1166,'Product Naming'!$A$1:$P$58,7,FALSE)</f>
        <v>12</v>
      </c>
      <c r="Y1166" s="1">
        <f>VLOOKUP($E1166,'Product Naming'!$A$1:$P$58,8,FALSE)</f>
        <v>0</v>
      </c>
      <c r="Z1166" s="1">
        <f>VLOOKUP($E1166,'Product Naming'!$A$1:$P$58,9,FALSE)</f>
        <v>2</v>
      </c>
      <c r="AA1166" s="1">
        <f>VLOOKUP($E1166,'Product Naming'!$A$1:$P$58,10,FALSE)</f>
        <v>2</v>
      </c>
      <c r="AB1166" s="29">
        <f>VLOOKUP($E1166,'Product Naming'!$A$1:$P$58,11,FALSE)</f>
        <v>6</v>
      </c>
      <c r="AC1166" s="3">
        <f>VLOOKUP($E1166,'Product Naming'!$A$1:$P$58,12,FALSE)</f>
        <v>76.139580000000009</v>
      </c>
      <c r="AD1166" s="1">
        <f>VLOOKUP($E1166,'Product Naming'!$A$1:$P$58,13,FALSE)</f>
        <v>139.30000000000001</v>
      </c>
      <c r="AE1166" s="1" t="str">
        <f>VLOOKUP($E1166,'Product Naming'!$A$1:$P$58,14,FALSE)</f>
        <v>Diamine</v>
      </c>
      <c r="AF1166" s="1" t="str">
        <f>VLOOKUP($E1166,'Product Naming'!$A$1:$P$58,15,FALSE)</f>
        <v>Oxaloacetate + aKG</v>
      </c>
      <c r="AG1166" s="30" t="str">
        <f>VLOOKUP($E1166,'Product Naming'!$A$1:$P$58,16,FALSE)</f>
        <v>Proton symporter</v>
      </c>
      <c r="AH1166" s="3" t="str">
        <f>VLOOKUP($E1166,'Product Naming'!$A$1:$Q$58,17,FALSE)</f>
        <v>13dampp_c</v>
      </c>
      <c r="AI1166" s="1">
        <f>VLOOKUP($E1166,'Product Parameters'!$A$2:$D$59,2,FALSE)</f>
        <v>1</v>
      </c>
      <c r="AJ1166" s="1">
        <f>VLOOKUP($E1166,'Product Parameters'!$A$2:$D$59,3,FALSE)</f>
        <v>0</v>
      </c>
      <c r="AK1166" s="1">
        <f>VLOOKUP($E1166,'Product Parameters'!$A$2:$D$59,4,FALSE)</f>
        <v>0.12</v>
      </c>
      <c r="AL1166" s="1">
        <f>VLOOKUP($E1166,'Product Parameters'!$A$2:$E$59,5,FALSE)</f>
        <v>50.18</v>
      </c>
      <c r="AM1166" s="1">
        <f>VLOOKUP($E1166,'Product Parameters'!$A$2:$F$59,6,FALSE)</f>
        <v>3</v>
      </c>
      <c r="AN1166" s="1">
        <f>VLOOKUP($C1166,'Substrate Heating'!$A$2:$C$33,3,FALSE)</f>
        <v>2342.0279999999998</v>
      </c>
      <c r="AO1166" s="1">
        <f>VLOOKUP($C1166,'Substrate Heating'!$A$2:$B$33,2,FALSE)</f>
        <v>15.6</v>
      </c>
      <c r="AP1166" s="1">
        <f>VLOOKUP($C1166,'Substrate Heating'!$A$2:$M$33,13,FALSE)</f>
        <v>4</v>
      </c>
      <c r="AQ1166" s="1">
        <f>VLOOKUP($C1166,'Substrate Heating'!$A$2:$M$33,8,FALSE)</f>
        <v>5</v>
      </c>
      <c r="AR1166" s="1">
        <f t="shared" si="18"/>
        <v>0.68368831168831201</v>
      </c>
    </row>
    <row r="1167" spans="1:44" x14ac:dyDescent="0.2">
      <c r="A1167" s="17" t="s">
        <v>323</v>
      </c>
      <c r="B1167" s="18" t="s">
        <v>324</v>
      </c>
      <c r="C1167" t="s">
        <v>329</v>
      </c>
      <c r="D1167" s="19" t="s">
        <v>326</v>
      </c>
      <c r="E1167" t="s">
        <v>164</v>
      </c>
      <c r="F1167" t="s">
        <v>165</v>
      </c>
      <c r="G1167">
        <v>-10</v>
      </c>
      <c r="H1167">
        <v>0</v>
      </c>
      <c r="I1167">
        <v>-20</v>
      </c>
      <c r="J1167">
        <v>0.45</v>
      </c>
      <c r="K1167">
        <v>-10</v>
      </c>
      <c r="L1167">
        <v>0</v>
      </c>
      <c r="M1167">
        <v>-20</v>
      </c>
      <c r="N1167">
        <v>-5.9299391637065904E-15</v>
      </c>
      <c r="O1167">
        <v>2.5</v>
      </c>
      <c r="P1167"/>
      <c r="Q1167">
        <v>0.25</v>
      </c>
      <c r="R1167" s="20">
        <v>0.57816068642745699</v>
      </c>
      <c r="S1167" s="1" t="str">
        <f>VLOOKUP($E1167,'Product Naming'!$A$1:$P$58,2,FALSE)</f>
        <v>Butanol-PW1</v>
      </c>
      <c r="T1167" s="1" t="str">
        <f>VLOOKUP($E1167,'Product Naming'!$A$1:$P$58,3,FALSE)</f>
        <v>Butanol (PW1)</v>
      </c>
      <c r="U1167" s="1" t="str">
        <f>VLOOKUP($E1167,'Product Naming'!$A$1:$P$58,4,FALSE)</f>
        <v>E</v>
      </c>
      <c r="V1167" s="1" t="str">
        <f>VLOOKUP($E1167,'Product Naming'!$A$1:$P$58,5,FALSE)</f>
        <v>C4H10O</v>
      </c>
      <c r="W1167" s="1">
        <f>VLOOKUP($E1167,'Product Naming'!$A$1:$P$58,6,FALSE)</f>
        <v>4</v>
      </c>
      <c r="X1167" s="1">
        <f>VLOOKUP($E1167,'Product Naming'!$A$1:$P$58,7,FALSE)</f>
        <v>10</v>
      </c>
      <c r="Y1167" s="1">
        <f>VLOOKUP($E1167,'Product Naming'!$A$1:$P$58,8,FALSE)</f>
        <v>1</v>
      </c>
      <c r="Z1167" s="1">
        <f>VLOOKUP($E1167,'Product Naming'!$A$1:$P$58,9,FALSE)</f>
        <v>0</v>
      </c>
      <c r="AA1167" s="1">
        <f>VLOOKUP($E1167,'Product Naming'!$A$1:$P$58,10,FALSE)</f>
        <v>0</v>
      </c>
      <c r="AB1167" s="29">
        <f>VLOOKUP($E1167,'Product Naming'!$A$1:$P$58,11,FALSE)</f>
        <v>6</v>
      </c>
      <c r="AC1167" s="3">
        <f>VLOOKUP($E1167,'Product Naming'!$A$1:$P$58,12,FALSE)</f>
        <v>74.120199999999997</v>
      </c>
      <c r="AD1167" s="1">
        <f>VLOOKUP($E1167,'Product Naming'!$A$1:$P$58,13,FALSE)</f>
        <v>117.7</v>
      </c>
      <c r="AE1167" s="1" t="str">
        <f>VLOOKUP($E1167,'Product Naming'!$A$1:$P$58,14,FALSE)</f>
        <v>Alcohol</v>
      </c>
      <c r="AF1167" s="1" t="str">
        <f>VLOOKUP($E1167,'Product Naming'!$A$1:$P$58,15,FALSE)</f>
        <v>Acetyl-CoA</v>
      </c>
      <c r="AG1167" s="30" t="str">
        <f>VLOOKUP($E1167,'Product Naming'!$A$1:$P$58,16,FALSE)</f>
        <v>Proton symporter</v>
      </c>
      <c r="AH1167" s="3" t="str">
        <f>VLOOKUP($E1167,'Product Naming'!$A$1:$Q$58,17,FALSE)</f>
        <v>btoh_c</v>
      </c>
      <c r="AI1167" s="1">
        <f>VLOOKUP($E1167,'Product Parameters'!$A$2:$D$59,2,FALSE)</f>
        <v>1</v>
      </c>
      <c r="AJ1167" s="1">
        <f>VLOOKUP($E1167,'Product Parameters'!$A$2:$D$59,3,FALSE)</f>
        <v>0</v>
      </c>
      <c r="AK1167" s="1">
        <f>VLOOKUP($E1167,'Product Parameters'!$A$2:$D$59,4,FALSE)</f>
        <v>0.12</v>
      </c>
      <c r="AL1167" s="1">
        <f>VLOOKUP($E1167,'Product Parameters'!$A$2:$E$59,5,FALSE)</f>
        <v>52</v>
      </c>
      <c r="AM1167" s="1">
        <f>VLOOKUP($E1167,'Product Parameters'!$A$2:$F$59,6,FALSE)</f>
        <v>4</v>
      </c>
      <c r="AN1167" s="1">
        <f>VLOOKUP($C1167,'Substrate Heating'!$A$2:$C$33,3,FALSE)</f>
        <v>255.53333333333336</v>
      </c>
      <c r="AO1167" s="1">
        <f>VLOOKUP($C1167,'Substrate Heating'!$A$2:$B$33,2,FALSE)</f>
        <v>23.925550527978785</v>
      </c>
      <c r="AP1167" s="1">
        <f>VLOOKUP($C1167,'Substrate Heating'!$A$2:$M$33,13,FALSE)</f>
        <v>0.66666666666666663</v>
      </c>
      <c r="AQ1167" s="1">
        <f>VLOOKUP($C1167,'Substrate Heating'!$A$2:$M$33,8,FALSE)</f>
        <v>0.33333333333333331</v>
      </c>
      <c r="AR1167" s="1">
        <f t="shared" si="18"/>
        <v>3</v>
      </c>
    </row>
    <row r="1168" spans="1:44" x14ac:dyDescent="0.2">
      <c r="A1168" s="17" t="s">
        <v>323</v>
      </c>
      <c r="B1168" s="18" t="s">
        <v>324</v>
      </c>
      <c r="C1168" t="s">
        <v>329</v>
      </c>
      <c r="D1168" s="19" t="s">
        <v>326</v>
      </c>
      <c r="E1168" t="s">
        <v>169</v>
      </c>
      <c r="F1168" t="s">
        <v>165</v>
      </c>
      <c r="G1168">
        <v>-10</v>
      </c>
      <c r="H1168">
        <v>0</v>
      </c>
      <c r="I1168">
        <v>-20</v>
      </c>
      <c r="J1168">
        <v>0.45</v>
      </c>
      <c r="K1168">
        <v>-10</v>
      </c>
      <c r="L1168">
        <v>0</v>
      </c>
      <c r="M1168">
        <v>-20</v>
      </c>
      <c r="N1168">
        <v>0</v>
      </c>
      <c r="O1168">
        <v>2.5</v>
      </c>
      <c r="P1168"/>
      <c r="Q1168">
        <v>0.25</v>
      </c>
      <c r="R1168" s="20">
        <v>0.57816068642745699</v>
      </c>
      <c r="S1168" s="1" t="str">
        <f>VLOOKUP($E1168,'Product Naming'!$A$1:$P$58,2,FALSE)</f>
        <v>Butanol-PW2</v>
      </c>
      <c r="T1168" s="1" t="str">
        <f>VLOOKUP($E1168,'Product Naming'!$A$1:$P$58,3,FALSE)</f>
        <v>Butanol (PW2)</v>
      </c>
      <c r="U1168" s="1" t="str">
        <f>VLOOKUP($E1168,'Product Naming'!$A$1:$P$58,4,FALSE)</f>
        <v>E</v>
      </c>
      <c r="V1168" s="1" t="str">
        <f>VLOOKUP($E1168,'Product Naming'!$A$1:$P$58,5,FALSE)</f>
        <v>C4H10O</v>
      </c>
      <c r="W1168" s="1">
        <f>VLOOKUP($E1168,'Product Naming'!$A$1:$P$58,6,FALSE)</f>
        <v>4</v>
      </c>
      <c r="X1168" s="1">
        <f>VLOOKUP($E1168,'Product Naming'!$A$1:$P$58,7,FALSE)</f>
        <v>10</v>
      </c>
      <c r="Y1168" s="1">
        <f>VLOOKUP($E1168,'Product Naming'!$A$1:$P$58,8,FALSE)</f>
        <v>1</v>
      </c>
      <c r="Z1168" s="1">
        <f>VLOOKUP($E1168,'Product Naming'!$A$1:$P$58,9,FALSE)</f>
        <v>0</v>
      </c>
      <c r="AA1168" s="1">
        <f>VLOOKUP($E1168,'Product Naming'!$A$1:$P$58,10,FALSE)</f>
        <v>0</v>
      </c>
      <c r="AB1168" s="29">
        <f>VLOOKUP($E1168,'Product Naming'!$A$1:$P$58,11,FALSE)</f>
        <v>6</v>
      </c>
      <c r="AC1168" s="3">
        <f>VLOOKUP($E1168,'Product Naming'!$A$1:$P$58,12,FALSE)</f>
        <v>74.120199999999997</v>
      </c>
      <c r="AD1168" s="1">
        <f>VLOOKUP($E1168,'Product Naming'!$A$1:$P$58,13,FALSE)</f>
        <v>117.7</v>
      </c>
      <c r="AE1168" s="1" t="str">
        <f>VLOOKUP($E1168,'Product Naming'!$A$1:$P$58,14,FALSE)</f>
        <v>Alcohol</v>
      </c>
      <c r="AF1168" s="1" t="str">
        <f>VLOOKUP($E1168,'Product Naming'!$A$1:$P$58,15,FALSE)</f>
        <v>Oxaloacetate</v>
      </c>
      <c r="AG1168" s="30" t="str">
        <f>VLOOKUP($E1168,'Product Naming'!$A$1:$P$58,16,FALSE)</f>
        <v>Proton symporter</v>
      </c>
      <c r="AH1168" s="3" t="str">
        <f>VLOOKUP($E1168,'Product Naming'!$A$1:$Q$58,17,FALSE)</f>
        <v>btoh_c</v>
      </c>
      <c r="AI1168" s="1">
        <f>VLOOKUP($E1168,'Product Parameters'!$A$2:$D$59,2,FALSE)</f>
        <v>1</v>
      </c>
      <c r="AJ1168" s="1">
        <f>VLOOKUP($E1168,'Product Parameters'!$A$2:$D$59,3,FALSE)</f>
        <v>0</v>
      </c>
      <c r="AK1168" s="1">
        <f>VLOOKUP($E1168,'Product Parameters'!$A$2:$D$59,4,FALSE)</f>
        <v>0.12</v>
      </c>
      <c r="AL1168" s="1">
        <f>VLOOKUP($E1168,'Product Parameters'!$A$2:$E$59,5,FALSE)</f>
        <v>52</v>
      </c>
      <c r="AM1168" s="1">
        <f>VLOOKUP($E1168,'Product Parameters'!$A$2:$F$59,6,FALSE)</f>
        <v>4</v>
      </c>
      <c r="AN1168" s="1">
        <f>VLOOKUP($C1168,'Substrate Heating'!$A$2:$C$33,3,FALSE)</f>
        <v>255.53333333333336</v>
      </c>
      <c r="AO1168" s="1">
        <f>VLOOKUP($C1168,'Substrate Heating'!$A$2:$B$33,2,FALSE)</f>
        <v>23.925550527978785</v>
      </c>
      <c r="AP1168" s="1">
        <f>VLOOKUP($C1168,'Substrate Heating'!$A$2:$M$33,13,FALSE)</f>
        <v>0.66666666666666663</v>
      </c>
      <c r="AQ1168" s="1">
        <f>VLOOKUP($C1168,'Substrate Heating'!$A$2:$M$33,8,FALSE)</f>
        <v>0.33333333333333331</v>
      </c>
      <c r="AR1168" s="1">
        <f t="shared" si="18"/>
        <v>3</v>
      </c>
    </row>
    <row r="1169" spans="1:44" x14ac:dyDescent="0.2">
      <c r="A1169" s="8" t="s">
        <v>34</v>
      </c>
      <c r="B1169" s="9" t="s">
        <v>35</v>
      </c>
      <c r="C1169" s="1" t="s">
        <v>347</v>
      </c>
      <c r="D1169" s="23" t="s">
        <v>338</v>
      </c>
      <c r="E1169" s="1" t="s">
        <v>240</v>
      </c>
      <c r="F1169" s="1" t="s">
        <v>241</v>
      </c>
      <c r="G1169" s="1">
        <v>-10</v>
      </c>
      <c r="H1169" s="1">
        <v>-20</v>
      </c>
      <c r="I1169" s="1" t="s">
        <v>40</v>
      </c>
      <c r="J1169" s="1">
        <v>3.15</v>
      </c>
      <c r="K1169" s="1">
        <v>-10</v>
      </c>
      <c r="L1169" s="1">
        <v>-2.06099290780142</v>
      </c>
      <c r="M1169" s="1" t="s">
        <v>40</v>
      </c>
      <c r="N1169" s="1">
        <v>1.3739952718676001</v>
      </c>
      <c r="O1169" s="1">
        <v>2.1565011820330899</v>
      </c>
      <c r="Q1169" s="1">
        <v>0.21565011820330901</v>
      </c>
      <c r="R1169" s="1">
        <v>0.57969801142525901</v>
      </c>
      <c r="S1169" s="1" t="str">
        <f>VLOOKUP($E1169,'Product Naming'!$A$1:$P$58,2,FALSE)</f>
        <v>Isobutanol</v>
      </c>
      <c r="T1169" s="1" t="str">
        <f>VLOOKUP($E1169,'Product Naming'!$A$1:$P$58,3,FALSE)</f>
        <v>Isobutanol</v>
      </c>
      <c r="U1169" s="1" t="str">
        <f>VLOOKUP($E1169,'Product Naming'!$A$1:$P$58,4,FALSE)</f>
        <v>E</v>
      </c>
      <c r="V1169" s="1" t="str">
        <f>VLOOKUP($E1169,'Product Naming'!$A$1:$P$58,5,FALSE)</f>
        <v>C5H10O</v>
      </c>
      <c r="W1169" s="1">
        <f>VLOOKUP($E1169,'Product Naming'!$A$1:$P$58,6,FALSE)</f>
        <v>5</v>
      </c>
      <c r="X1169" s="1">
        <f>VLOOKUP($E1169,'Product Naming'!$A$1:$P$58,7,FALSE)</f>
        <v>10</v>
      </c>
      <c r="Y1169" s="1">
        <f>VLOOKUP($E1169,'Product Naming'!$A$1:$P$58,8,FALSE)</f>
        <v>1</v>
      </c>
      <c r="Z1169" s="1">
        <f>VLOOKUP($E1169,'Product Naming'!$A$1:$P$58,9,FALSE)</f>
        <v>0</v>
      </c>
      <c r="AA1169" s="1">
        <f>VLOOKUP($E1169,'Product Naming'!$A$1:$P$58,10,FALSE)</f>
        <v>0</v>
      </c>
      <c r="AB1169" s="29">
        <f>VLOOKUP($E1169,'Product Naming'!$A$1:$P$58,11,FALSE)</f>
        <v>5.6</v>
      </c>
      <c r="AC1169" s="3">
        <f>VLOOKUP($E1169,'Product Naming'!$A$1:$P$58,12,FALSE)</f>
        <v>86.130899999999997</v>
      </c>
      <c r="AD1169" s="1">
        <f>VLOOKUP($E1169,'Product Naming'!$A$1:$P$58,13,FALSE)</f>
        <v>108</v>
      </c>
      <c r="AE1169" s="1" t="str">
        <f>VLOOKUP($E1169,'Product Naming'!$A$1:$P$58,14,FALSE)</f>
        <v>Alcohol</v>
      </c>
      <c r="AF1169" s="1" t="str">
        <f>VLOOKUP($E1169,'Product Naming'!$A$1:$P$58,15,FALSE)</f>
        <v>Pyruvate</v>
      </c>
      <c r="AG1169" s="30" t="str">
        <f>VLOOKUP($E1169,'Product Naming'!$A$1:$P$58,16,FALSE)</f>
        <v>Proton symporter</v>
      </c>
      <c r="AH1169" s="3" t="str">
        <f>VLOOKUP($E1169,'Product Naming'!$A$1:$Q$58,17,FALSE)</f>
        <v>ibutoh_c</v>
      </c>
      <c r="AI1169" s="1">
        <f>VLOOKUP($E1169,'Product Parameters'!$A$2:$D$59,2,FALSE)</f>
        <v>1</v>
      </c>
      <c r="AJ1169" s="1">
        <f>VLOOKUP($E1169,'Product Parameters'!$A$2:$D$59,3,FALSE)</f>
        <v>0</v>
      </c>
      <c r="AK1169" s="1">
        <f>VLOOKUP($E1169,'Product Parameters'!$A$2:$D$59,4,FALSE)</f>
        <v>0.12</v>
      </c>
      <c r="AL1169" s="1">
        <f>VLOOKUP($E1169,'Product Parameters'!$A$2:$E$59,5,FALSE)</f>
        <v>51</v>
      </c>
      <c r="AM1169" s="1">
        <f>VLOOKUP($E1169,'Product Parameters'!$A$2:$F$59,6,FALSE)</f>
        <v>5</v>
      </c>
      <c r="AN1169" s="1">
        <f>VLOOKUP($C1169,'Substrate Heating'!$A$2:$C$33,3,FALSE)</f>
        <v>638.57832580000002</v>
      </c>
      <c r="AO1169" s="1">
        <f>VLOOKUP($C1169,'Substrate Heating'!$A$2:$B$33,2,FALSE)</f>
        <v>19.93</v>
      </c>
      <c r="AP1169" s="1">
        <f>VLOOKUP($C1169,'Substrate Heating'!$A$2:$M$33,13,FALSE)</f>
        <v>6</v>
      </c>
      <c r="AQ1169" s="1">
        <f>VLOOKUP($C1169,'Substrate Heating'!$A$2:$M$33,8,FALSE)</f>
        <v>1</v>
      </c>
      <c r="AR1169" s="1">
        <f t="shared" si="18"/>
        <v>1.078250591016545</v>
      </c>
    </row>
    <row r="1170" spans="1:44" x14ac:dyDescent="0.2">
      <c r="A1170" s="8" t="s">
        <v>34</v>
      </c>
      <c r="B1170" s="9" t="s">
        <v>35</v>
      </c>
      <c r="C1170" s="1" t="s">
        <v>346</v>
      </c>
      <c r="D1170" s="23" t="s">
        <v>338</v>
      </c>
      <c r="E1170" s="1" t="s">
        <v>240</v>
      </c>
      <c r="F1170" s="1" t="s">
        <v>241</v>
      </c>
      <c r="G1170" s="1">
        <v>-10</v>
      </c>
      <c r="H1170" s="1">
        <v>-20</v>
      </c>
      <c r="I1170" s="1" t="s">
        <v>40</v>
      </c>
      <c r="J1170" s="1">
        <v>3.15</v>
      </c>
      <c r="K1170" s="1">
        <v>-10</v>
      </c>
      <c r="L1170" s="1">
        <v>-2.06099290780142</v>
      </c>
      <c r="M1170" s="1" t="s">
        <v>40</v>
      </c>
      <c r="N1170" s="1">
        <v>1.37399527186762</v>
      </c>
      <c r="O1170" s="1">
        <v>2.1565011820331002</v>
      </c>
      <c r="Q1170" s="1">
        <v>0.21565011820331001</v>
      </c>
      <c r="R1170" s="1">
        <v>0.57969801142526001</v>
      </c>
      <c r="S1170" s="1" t="str">
        <f>VLOOKUP($E1170,'Product Naming'!$A$1:$P$58,2,FALSE)</f>
        <v>Isobutanol</v>
      </c>
      <c r="T1170" s="1" t="str">
        <f>VLOOKUP($E1170,'Product Naming'!$A$1:$P$58,3,FALSE)</f>
        <v>Isobutanol</v>
      </c>
      <c r="U1170" s="1" t="str">
        <f>VLOOKUP($E1170,'Product Naming'!$A$1:$P$58,4,FALSE)</f>
        <v>E</v>
      </c>
      <c r="V1170" s="1" t="str">
        <f>VLOOKUP($E1170,'Product Naming'!$A$1:$P$58,5,FALSE)</f>
        <v>C5H10O</v>
      </c>
      <c r="W1170" s="1">
        <f>VLOOKUP($E1170,'Product Naming'!$A$1:$P$58,6,FALSE)</f>
        <v>5</v>
      </c>
      <c r="X1170" s="1">
        <f>VLOOKUP($E1170,'Product Naming'!$A$1:$P$58,7,FALSE)</f>
        <v>10</v>
      </c>
      <c r="Y1170" s="1">
        <f>VLOOKUP($E1170,'Product Naming'!$A$1:$P$58,8,FALSE)</f>
        <v>1</v>
      </c>
      <c r="Z1170" s="1">
        <f>VLOOKUP($E1170,'Product Naming'!$A$1:$P$58,9,FALSE)</f>
        <v>0</v>
      </c>
      <c r="AA1170" s="1">
        <f>VLOOKUP($E1170,'Product Naming'!$A$1:$P$58,10,FALSE)</f>
        <v>0</v>
      </c>
      <c r="AB1170" s="29">
        <f>VLOOKUP($E1170,'Product Naming'!$A$1:$P$58,11,FALSE)</f>
        <v>5.6</v>
      </c>
      <c r="AC1170" s="3">
        <f>VLOOKUP($E1170,'Product Naming'!$A$1:$P$58,12,FALSE)</f>
        <v>86.130899999999997</v>
      </c>
      <c r="AD1170" s="1">
        <f>VLOOKUP($E1170,'Product Naming'!$A$1:$P$58,13,FALSE)</f>
        <v>108</v>
      </c>
      <c r="AE1170" s="1" t="str">
        <f>VLOOKUP($E1170,'Product Naming'!$A$1:$P$58,14,FALSE)</f>
        <v>Alcohol</v>
      </c>
      <c r="AF1170" s="1" t="str">
        <f>VLOOKUP($E1170,'Product Naming'!$A$1:$P$58,15,FALSE)</f>
        <v>Pyruvate</v>
      </c>
      <c r="AG1170" s="30" t="str">
        <f>VLOOKUP($E1170,'Product Naming'!$A$1:$P$58,16,FALSE)</f>
        <v>Proton symporter</v>
      </c>
      <c r="AH1170" s="3" t="str">
        <f>VLOOKUP($E1170,'Product Naming'!$A$1:$Q$58,17,FALSE)</f>
        <v>ibutoh_c</v>
      </c>
      <c r="AI1170" s="1">
        <f>VLOOKUP($E1170,'Product Parameters'!$A$2:$D$59,2,FALSE)</f>
        <v>1</v>
      </c>
      <c r="AJ1170" s="1">
        <f>VLOOKUP($E1170,'Product Parameters'!$A$2:$D$59,3,FALSE)</f>
        <v>0</v>
      </c>
      <c r="AK1170" s="1">
        <f>VLOOKUP($E1170,'Product Parameters'!$A$2:$D$59,4,FALSE)</f>
        <v>0.12</v>
      </c>
      <c r="AL1170" s="1">
        <f>VLOOKUP($E1170,'Product Parameters'!$A$2:$E$59,5,FALSE)</f>
        <v>51</v>
      </c>
      <c r="AM1170" s="1">
        <f>VLOOKUP($E1170,'Product Parameters'!$A$2:$F$59,6,FALSE)</f>
        <v>5</v>
      </c>
      <c r="AN1170" s="1">
        <f>VLOOKUP($C1170,'Substrate Heating'!$A$2:$C$33,3,FALSE)</f>
        <v>638.57832580000002</v>
      </c>
      <c r="AO1170" s="1">
        <f>VLOOKUP($C1170,'Substrate Heating'!$A$2:$B$33,2,FALSE)</f>
        <v>19.93</v>
      </c>
      <c r="AP1170" s="1">
        <f>VLOOKUP($C1170,'Substrate Heating'!$A$2:$M$33,13,FALSE)</f>
        <v>6</v>
      </c>
      <c r="AQ1170" s="1">
        <f>VLOOKUP($C1170,'Substrate Heating'!$A$2:$M$33,8,FALSE)</f>
        <v>1</v>
      </c>
      <c r="AR1170" s="1">
        <f t="shared" si="18"/>
        <v>1.0782505910165501</v>
      </c>
    </row>
    <row r="1171" spans="1:44" x14ac:dyDescent="0.2">
      <c r="A1171" s="17" t="s">
        <v>323</v>
      </c>
      <c r="B1171" s="18" t="s">
        <v>324</v>
      </c>
      <c r="C1171" t="s">
        <v>329</v>
      </c>
      <c r="D1171" s="19" t="s">
        <v>326</v>
      </c>
      <c r="E1171" t="s">
        <v>81</v>
      </c>
      <c r="F1171" t="s">
        <v>73</v>
      </c>
      <c r="G1171">
        <v>-10</v>
      </c>
      <c r="H1171">
        <v>0</v>
      </c>
      <c r="I1171">
        <v>-20</v>
      </c>
      <c r="J1171">
        <v>0.45</v>
      </c>
      <c r="K1171">
        <v>-10</v>
      </c>
      <c r="L1171">
        <v>0</v>
      </c>
      <c r="M1171">
        <v>-20</v>
      </c>
      <c r="N1171">
        <v>0</v>
      </c>
      <c r="O1171">
        <v>3.0933333333333302</v>
      </c>
      <c r="P1171"/>
      <c r="Q1171">
        <v>0.30933333333333302</v>
      </c>
      <c r="R1171" s="20">
        <v>0.58000067561102397</v>
      </c>
      <c r="S1171" s="1" t="str">
        <f>VLOOKUP($E1171,'Product Naming'!$A$1:$P$58,2,FALSE)</f>
        <v>1-propanol-PW2</v>
      </c>
      <c r="T1171" s="1" t="str">
        <f>VLOOKUP($E1171,'Product Naming'!$A$1:$P$58,3,FALSE)</f>
        <v>1-Propanol (PW2)</v>
      </c>
      <c r="U1171" s="1" t="str">
        <f>VLOOKUP($E1171,'Product Naming'!$A$1:$P$58,4,FALSE)</f>
        <v>E-S</v>
      </c>
      <c r="V1171" s="1" t="str">
        <f>VLOOKUP($E1171,'Product Naming'!$A$1:$P$58,5,FALSE)</f>
        <v>C3H8O</v>
      </c>
      <c r="W1171" s="1">
        <f>VLOOKUP($E1171,'Product Naming'!$A$1:$P$58,6,FALSE)</f>
        <v>3</v>
      </c>
      <c r="X1171" s="1">
        <f>VLOOKUP($E1171,'Product Naming'!$A$1:$P$58,7,FALSE)</f>
        <v>8</v>
      </c>
      <c r="Y1171" s="1">
        <f>VLOOKUP($E1171,'Product Naming'!$A$1:$P$58,8,FALSE)</f>
        <v>1</v>
      </c>
      <c r="Z1171" s="1">
        <f>VLOOKUP($E1171,'Product Naming'!$A$1:$P$58,9,FALSE)</f>
        <v>0</v>
      </c>
      <c r="AA1171" s="1">
        <f>VLOOKUP($E1171,'Product Naming'!$A$1:$P$58,10,FALSE)</f>
        <v>0</v>
      </c>
      <c r="AB1171" s="29">
        <f>VLOOKUP($E1171,'Product Naming'!$A$1:$P$58,11,FALSE)</f>
        <v>6</v>
      </c>
      <c r="AC1171" s="3">
        <f>VLOOKUP($E1171,'Product Naming'!$A$1:$P$58,12,FALSE)</f>
        <v>60.093820000000001</v>
      </c>
      <c r="AD1171" s="1">
        <f>VLOOKUP($E1171,'Product Naming'!$A$1:$P$58,13,FALSE)</f>
        <v>97</v>
      </c>
      <c r="AE1171" s="1" t="str">
        <f>VLOOKUP($E1171,'Product Naming'!$A$1:$P$58,14,FALSE)</f>
        <v>Alcohol</v>
      </c>
      <c r="AF1171" s="1" t="str">
        <f>VLOOKUP($E1171,'Product Naming'!$A$1:$P$58,15,FALSE)</f>
        <v>Oxaloacetate</v>
      </c>
      <c r="AG1171" s="30" t="str">
        <f>VLOOKUP($E1171,'Product Naming'!$A$1:$P$58,16,FALSE)</f>
        <v>Proton symporter</v>
      </c>
      <c r="AH1171" s="3" t="str">
        <f>VLOOKUP($E1171,'Product Naming'!$A$1:$Q$58,17,FALSE)</f>
        <v>ppoh_c</v>
      </c>
      <c r="AI1171" s="1">
        <f>VLOOKUP($E1171,'Product Parameters'!$A$2:$D$59,2,FALSE)</f>
        <v>1</v>
      </c>
      <c r="AJ1171" s="1">
        <f>VLOOKUP($E1171,'Product Parameters'!$A$2:$D$59,3,FALSE)</f>
        <v>0</v>
      </c>
      <c r="AK1171" s="1">
        <f>VLOOKUP($E1171,'Product Parameters'!$A$2:$D$59,4,FALSE)</f>
        <v>0.12</v>
      </c>
      <c r="AL1171" s="1">
        <f>VLOOKUP($E1171,'Product Parameters'!$A$2:$E$59,5,FALSE)</f>
        <v>47</v>
      </c>
      <c r="AM1171" s="1">
        <f>VLOOKUP($E1171,'Product Parameters'!$A$2:$F$59,6,FALSE)</f>
        <v>3</v>
      </c>
      <c r="AN1171" s="1">
        <f>VLOOKUP($C1171,'Substrate Heating'!$A$2:$C$33,3,FALSE)</f>
        <v>255.53333333333336</v>
      </c>
      <c r="AO1171" s="1">
        <f>VLOOKUP($C1171,'Substrate Heating'!$A$2:$B$33,2,FALSE)</f>
        <v>23.925550527978785</v>
      </c>
      <c r="AP1171" s="1">
        <f>VLOOKUP($C1171,'Substrate Heating'!$A$2:$M$33,13,FALSE)</f>
        <v>0.66666666666666663</v>
      </c>
      <c r="AQ1171" s="1">
        <f>VLOOKUP($C1171,'Substrate Heating'!$A$2:$M$33,8,FALSE)</f>
        <v>0.33333333333333331</v>
      </c>
      <c r="AR1171" s="1">
        <f t="shared" si="18"/>
        <v>2.7839999999999971</v>
      </c>
    </row>
    <row r="1172" spans="1:44" x14ac:dyDescent="0.2">
      <c r="A1172" s="17" t="s">
        <v>323</v>
      </c>
      <c r="B1172" s="18" t="s">
        <v>324</v>
      </c>
      <c r="C1172" t="s">
        <v>328</v>
      </c>
      <c r="D1172" s="19" t="s">
        <v>326</v>
      </c>
      <c r="E1172" t="s">
        <v>171</v>
      </c>
      <c r="F1172" t="s">
        <v>172</v>
      </c>
      <c r="G1172">
        <v>-10</v>
      </c>
      <c r="H1172">
        <v>0</v>
      </c>
      <c r="I1172">
        <v>-10</v>
      </c>
      <c r="J1172">
        <v>0.45</v>
      </c>
      <c r="K1172">
        <v>-10</v>
      </c>
      <c r="L1172">
        <v>0</v>
      </c>
      <c r="M1172">
        <v>-10</v>
      </c>
      <c r="N1172">
        <v>2</v>
      </c>
      <c r="O1172">
        <v>2</v>
      </c>
      <c r="P1172"/>
      <c r="Q1172">
        <v>0.2</v>
      </c>
      <c r="R1172">
        <v>0.580057808857809</v>
      </c>
      <c r="S1172" s="1" t="str">
        <f>VLOOKUP($E1172,'Product Naming'!$A$1:$P$58,2,FALSE)</f>
        <v>Butyrate</v>
      </c>
      <c r="T1172" s="1" t="str">
        <f>VLOOKUP($E1172,'Product Naming'!$A$1:$P$58,3,FALSE)</f>
        <v>Butyrate</v>
      </c>
      <c r="U1172" s="1" t="str">
        <f>VLOOKUP($E1172,'Product Naming'!$A$1:$P$58,4,FALSE)</f>
        <v>A</v>
      </c>
      <c r="V1172" s="1" t="str">
        <f>VLOOKUP($E1172,'Product Naming'!$A$1:$P$58,5,FALSE)</f>
        <v>C4H7O2</v>
      </c>
      <c r="W1172" s="1">
        <f>VLOOKUP($E1172,'Product Naming'!$A$1:$P$58,6,FALSE)</f>
        <v>4</v>
      </c>
      <c r="X1172" s="1">
        <f>VLOOKUP($E1172,'Product Naming'!$A$1:$P$58,7,FALSE)</f>
        <v>7</v>
      </c>
      <c r="Y1172" s="1">
        <f>VLOOKUP($E1172,'Product Naming'!$A$1:$P$58,8,FALSE)</f>
        <v>2</v>
      </c>
      <c r="Z1172" s="1">
        <f>VLOOKUP($E1172,'Product Naming'!$A$1:$P$58,9,FALSE)</f>
        <v>0</v>
      </c>
      <c r="AA1172" s="1">
        <f>VLOOKUP($E1172,'Product Naming'!$A$1:$P$58,10,FALSE)</f>
        <v>-1</v>
      </c>
      <c r="AB1172" s="29">
        <f>VLOOKUP($E1172,'Product Naming'!$A$1:$P$58,11,FALSE)</f>
        <v>4.75</v>
      </c>
      <c r="AC1172" s="3">
        <f>VLOOKUP($E1172,'Product Naming'!$A$1:$P$58,12,FALSE)</f>
        <v>87.095680000000002</v>
      </c>
      <c r="AD1172" s="1">
        <f>VLOOKUP($E1172,'Product Naming'!$A$1:$P$58,13,FALSE)</f>
        <v>163.5</v>
      </c>
      <c r="AE1172" s="1" t="str">
        <f>VLOOKUP($E1172,'Product Naming'!$A$1:$P$58,14,FALSE)</f>
        <v>Carboxylate</v>
      </c>
      <c r="AF1172" s="1" t="str">
        <f>VLOOKUP($E1172,'Product Naming'!$A$1:$P$58,15,FALSE)</f>
        <v>Acetyl-CoA</v>
      </c>
      <c r="AG1172" s="30" t="str">
        <f>VLOOKUP($E1172,'Product Naming'!$A$1:$P$58,16,FALSE)</f>
        <v>Proton symporter</v>
      </c>
      <c r="AH1172" s="3" t="str">
        <f>VLOOKUP($E1172,'Product Naming'!$A$1:$Q$58,17,FALSE)</f>
        <v>but_c</v>
      </c>
      <c r="AI1172" s="1">
        <f>VLOOKUP($E1172,'Product Parameters'!$A$2:$D$59,2,FALSE)</f>
        <v>1</v>
      </c>
      <c r="AJ1172" s="1">
        <f>VLOOKUP($E1172,'Product Parameters'!$A$2:$D$59,3,FALSE)</f>
        <v>0</v>
      </c>
      <c r="AK1172" s="1">
        <f>VLOOKUP($E1172,'Product Parameters'!$A$2:$D$59,4,FALSE)</f>
        <v>0.12</v>
      </c>
      <c r="AL1172" s="1">
        <f>VLOOKUP($E1172,'Product Parameters'!$A$2:$E$59,5,FALSE)</f>
        <v>42</v>
      </c>
      <c r="AM1172" s="1">
        <f>VLOOKUP($E1172,'Product Parameters'!$A$2:$F$59,6,FALSE)</f>
        <v>4</v>
      </c>
      <c r="AN1172" s="1">
        <f>VLOOKUP($C1172,'Substrate Heating'!$A$2:$C$33,3,FALSE)</f>
        <v>262.39999999999998</v>
      </c>
      <c r="AO1172" s="1">
        <f>VLOOKUP($C1172,'Substrate Heating'!$A$2:$B$33,2,FALSE)</f>
        <v>17.478546483008707</v>
      </c>
      <c r="AP1172" s="1">
        <f>VLOOKUP($C1172,'Substrate Heating'!$A$2:$M$33,13,FALSE)</f>
        <v>1</v>
      </c>
      <c r="AQ1172" s="1">
        <f>VLOOKUP($C1172,'Substrate Heating'!$A$2:$M$33,8,FALSE)</f>
        <v>0.5</v>
      </c>
      <c r="AR1172" s="1">
        <f t="shared" si="18"/>
        <v>1.6</v>
      </c>
    </row>
    <row r="1173" spans="1:44" x14ac:dyDescent="0.2">
      <c r="A1173" s="17" t="s">
        <v>323</v>
      </c>
      <c r="B1173" s="18" t="s">
        <v>324</v>
      </c>
      <c r="C1173" t="s">
        <v>328</v>
      </c>
      <c r="D1173" s="19" t="s">
        <v>326</v>
      </c>
      <c r="E1173" t="s">
        <v>244</v>
      </c>
      <c r="F1173" t="s">
        <v>245</v>
      </c>
      <c r="G1173">
        <v>-10</v>
      </c>
      <c r="H1173">
        <v>0</v>
      </c>
      <c r="I1173">
        <v>-10</v>
      </c>
      <c r="J1173">
        <v>0.45</v>
      </c>
      <c r="K1173">
        <v>-10</v>
      </c>
      <c r="L1173">
        <v>0</v>
      </c>
      <c r="M1173">
        <v>-10</v>
      </c>
      <c r="N1173">
        <v>2</v>
      </c>
      <c r="O1173">
        <v>2</v>
      </c>
      <c r="P1173"/>
      <c r="Q1173">
        <v>0.2</v>
      </c>
      <c r="R1173">
        <v>0.580057808857809</v>
      </c>
      <c r="S1173" s="1" t="str">
        <f>VLOOKUP($E1173,'Product Naming'!$A$1:$P$58,2,FALSE)</f>
        <v>Isobutyrate</v>
      </c>
      <c r="T1173" s="1" t="str">
        <f>VLOOKUP($E1173,'Product Naming'!$A$1:$P$58,3,FALSE)</f>
        <v>Isobutyrate</v>
      </c>
      <c r="U1173" s="1" t="str">
        <f>VLOOKUP($E1173,'Product Naming'!$A$1:$P$58,4,FALSE)</f>
        <v>A</v>
      </c>
      <c r="V1173" s="1" t="str">
        <f>VLOOKUP($E1173,'Product Naming'!$A$1:$P$58,5,FALSE)</f>
        <v>C4H7O2</v>
      </c>
      <c r="W1173" s="1">
        <f>VLOOKUP($E1173,'Product Naming'!$A$1:$P$58,6,FALSE)</f>
        <v>4</v>
      </c>
      <c r="X1173" s="1">
        <f>VLOOKUP($E1173,'Product Naming'!$A$1:$P$58,7,FALSE)</f>
        <v>7</v>
      </c>
      <c r="Y1173" s="1">
        <f>VLOOKUP($E1173,'Product Naming'!$A$1:$P$58,8,FALSE)</f>
        <v>2</v>
      </c>
      <c r="Z1173" s="1">
        <f>VLOOKUP($E1173,'Product Naming'!$A$1:$P$58,9,FALSE)</f>
        <v>0</v>
      </c>
      <c r="AA1173" s="1">
        <f>VLOOKUP($E1173,'Product Naming'!$A$1:$P$58,10,FALSE)</f>
        <v>-1</v>
      </c>
      <c r="AB1173" s="29">
        <f>VLOOKUP($E1173,'Product Naming'!$A$1:$P$58,11,FALSE)</f>
        <v>4.75</v>
      </c>
      <c r="AC1173" s="3">
        <f>VLOOKUP($E1173,'Product Naming'!$A$1:$P$58,12,FALSE)</f>
        <v>87.095680000000002</v>
      </c>
      <c r="AD1173" s="1">
        <f>VLOOKUP($E1173,'Product Naming'!$A$1:$P$58,13,FALSE)</f>
        <v>155</v>
      </c>
      <c r="AE1173" s="1" t="str">
        <f>VLOOKUP($E1173,'Product Naming'!$A$1:$P$58,14,FALSE)</f>
        <v>Carboxylate</v>
      </c>
      <c r="AF1173" s="1" t="str">
        <f>VLOOKUP($E1173,'Product Naming'!$A$1:$P$58,15,FALSE)</f>
        <v>Pyruvate</v>
      </c>
      <c r="AG1173" s="30" t="str">
        <f>VLOOKUP($E1173,'Product Naming'!$A$1:$P$58,16,FALSE)</f>
        <v>Proton symporter</v>
      </c>
      <c r="AH1173" s="3" t="str">
        <f>VLOOKUP($E1173,'Product Naming'!$A$1:$Q$58,17,FALSE)</f>
        <v>ibt_c</v>
      </c>
      <c r="AI1173" s="1">
        <f>VLOOKUP($E1173,'Product Parameters'!$A$2:$D$59,2,FALSE)</f>
        <v>1</v>
      </c>
      <c r="AJ1173" s="1">
        <f>VLOOKUP($E1173,'Product Parameters'!$A$2:$D$59,3,FALSE)</f>
        <v>0</v>
      </c>
      <c r="AK1173" s="1">
        <f>VLOOKUP($E1173,'Product Parameters'!$A$2:$D$59,4,FALSE)</f>
        <v>0.12</v>
      </c>
      <c r="AL1173" s="1">
        <f>VLOOKUP($E1173,'Product Parameters'!$A$2:$E$59,5,FALSE)</f>
        <v>44.5</v>
      </c>
      <c r="AM1173" s="1">
        <f>VLOOKUP($E1173,'Product Parameters'!$A$2:$F$59,6,FALSE)</f>
        <v>4</v>
      </c>
      <c r="AN1173" s="1">
        <f>VLOOKUP($C1173,'Substrate Heating'!$A$2:$C$33,3,FALSE)</f>
        <v>262.39999999999998</v>
      </c>
      <c r="AO1173" s="1">
        <f>VLOOKUP($C1173,'Substrate Heating'!$A$2:$B$33,2,FALSE)</f>
        <v>17.478546483008707</v>
      </c>
      <c r="AP1173" s="1">
        <f>VLOOKUP($C1173,'Substrate Heating'!$A$2:$M$33,13,FALSE)</f>
        <v>1</v>
      </c>
      <c r="AQ1173" s="1">
        <f>VLOOKUP($C1173,'Substrate Heating'!$A$2:$M$33,8,FALSE)</f>
        <v>0.5</v>
      </c>
      <c r="AR1173" s="1">
        <f t="shared" si="18"/>
        <v>1.6</v>
      </c>
    </row>
    <row r="1174" spans="1:44" x14ac:dyDescent="0.2">
      <c r="A1174" s="8" t="s">
        <v>34</v>
      </c>
      <c r="B1174" s="9" t="s">
        <v>35</v>
      </c>
      <c r="C1174" s="1" t="s">
        <v>349</v>
      </c>
      <c r="D1174" s="25" t="s">
        <v>342</v>
      </c>
      <c r="E1174" s="1" t="s">
        <v>198</v>
      </c>
      <c r="F1174" s="1" t="s">
        <v>199</v>
      </c>
      <c r="G1174" s="1">
        <v>-10</v>
      </c>
      <c r="H1174" s="1">
        <v>-20</v>
      </c>
      <c r="I1174" s="1" t="s">
        <v>40</v>
      </c>
      <c r="J1174" s="1">
        <v>3.15</v>
      </c>
      <c r="K1174" s="1">
        <v>-10</v>
      </c>
      <c r="L1174" s="1">
        <v>-0.57798165137614399</v>
      </c>
      <c r="M1174" s="1" t="s">
        <v>40</v>
      </c>
      <c r="N1174" s="1">
        <v>10.4623853211009</v>
      </c>
      <c r="O1174" s="1">
        <v>9.8844036697247795</v>
      </c>
      <c r="Q1174" s="1">
        <v>0.98844036697247795</v>
      </c>
      <c r="R1174" s="1">
        <v>0.58006444841382199</v>
      </c>
      <c r="S1174" s="1" t="str">
        <f>VLOOKUP($E1174,'Product Naming'!$A$1:$P$58,2,FALSE)</f>
        <v>EthylAcetate</v>
      </c>
      <c r="T1174" s="1" t="str">
        <f>VLOOKUP($E1174,'Product Naming'!$A$1:$P$58,3,FALSE)</f>
        <v>Ethyl acetate</v>
      </c>
      <c r="U1174" s="1" t="str">
        <f>VLOOKUP($E1174,'Product Naming'!$A$1:$P$58,4,FALSE)</f>
        <v>E</v>
      </c>
      <c r="V1174" s="1" t="str">
        <f>VLOOKUP($E1174,'Product Naming'!$A$1:$P$58,5,FALSE)</f>
        <v>C4H8O2</v>
      </c>
      <c r="W1174" s="1">
        <f>VLOOKUP($E1174,'Product Naming'!$A$1:$P$58,6,FALSE)</f>
        <v>4</v>
      </c>
      <c r="X1174" s="1">
        <f>VLOOKUP($E1174,'Product Naming'!$A$1:$P$58,7,FALSE)</f>
        <v>8</v>
      </c>
      <c r="Y1174" s="1">
        <f>VLOOKUP($E1174,'Product Naming'!$A$1:$P$58,8,FALSE)</f>
        <v>2</v>
      </c>
      <c r="Z1174" s="1">
        <f>VLOOKUP($E1174,'Product Naming'!$A$1:$P$58,9,FALSE)</f>
        <v>0</v>
      </c>
      <c r="AA1174" s="1">
        <f>VLOOKUP($E1174,'Product Naming'!$A$1:$P$58,10,FALSE)</f>
        <v>0</v>
      </c>
      <c r="AB1174" s="29">
        <f>VLOOKUP($E1174,'Product Naming'!$A$1:$P$58,11,FALSE)</f>
        <v>5</v>
      </c>
      <c r="AC1174" s="3">
        <f>VLOOKUP($E1174,'Product Naming'!$A$1:$P$58,12,FALSE)</f>
        <v>88.103520000000003</v>
      </c>
      <c r="AD1174" s="1">
        <f>VLOOKUP($E1174,'Product Naming'!$A$1:$P$58,13,FALSE)</f>
        <v>77.099999999999994</v>
      </c>
      <c r="AE1174" s="1" t="str">
        <f>VLOOKUP($E1174,'Product Naming'!$A$1:$P$58,14,FALSE)</f>
        <v>Carboxylate Ester</v>
      </c>
      <c r="AF1174" s="1" t="str">
        <f>VLOOKUP($E1174,'Product Naming'!$A$1:$P$58,15,FALSE)</f>
        <v>Acetyl-CoA</v>
      </c>
      <c r="AG1174" s="30" t="str">
        <f>VLOOKUP($E1174,'Product Naming'!$A$1:$P$58,16,FALSE)</f>
        <v>Proton symporter</v>
      </c>
      <c r="AH1174" s="3" t="str">
        <f>VLOOKUP($E1174,'Product Naming'!$A$1:$Q$58,17,FALSE)</f>
        <v>aces_c</v>
      </c>
      <c r="AI1174" s="1">
        <f>VLOOKUP($E1174,'Product Parameters'!$A$2:$D$59,2,FALSE)</f>
        <v>1</v>
      </c>
      <c r="AJ1174" s="1">
        <f>VLOOKUP($E1174,'Product Parameters'!$A$2:$D$59,3,FALSE)</f>
        <v>0</v>
      </c>
      <c r="AK1174" s="1">
        <f>VLOOKUP($E1174,'Product Parameters'!$A$2:$D$59,4,FALSE)</f>
        <v>0.12</v>
      </c>
      <c r="AL1174" s="1">
        <f>VLOOKUP($E1174,'Product Parameters'!$A$2:$E$59,5,FALSE)</f>
        <v>35</v>
      </c>
      <c r="AM1174" s="1">
        <f>VLOOKUP($E1174,'Product Parameters'!$A$2:$F$59,6,FALSE)</f>
        <v>4</v>
      </c>
      <c r="AN1174" s="1">
        <f>VLOOKUP($C1174,'Substrate Heating'!$A$2:$C$33,3,FALSE)</f>
        <v>2342.0279999999998</v>
      </c>
      <c r="AO1174" s="1">
        <f>VLOOKUP($C1174,'Substrate Heating'!$A$2:$B$33,2,FALSE)</f>
        <v>15.6</v>
      </c>
      <c r="AP1174" s="1">
        <f>VLOOKUP($C1174,'Substrate Heating'!$A$2:$M$33,13,FALSE)</f>
        <v>4</v>
      </c>
      <c r="AQ1174" s="1">
        <f>VLOOKUP($C1174,'Substrate Heating'!$A$2:$M$33,8,FALSE)</f>
        <v>5</v>
      </c>
      <c r="AR1174" s="1">
        <f t="shared" si="18"/>
        <v>0.79075229357798238</v>
      </c>
    </row>
    <row r="1175" spans="1:44" x14ac:dyDescent="0.2">
      <c r="A1175" s="8" t="s">
        <v>34</v>
      </c>
      <c r="B1175" s="9" t="s">
        <v>35</v>
      </c>
      <c r="C1175" s="1" t="s">
        <v>349</v>
      </c>
      <c r="D1175" s="25" t="s">
        <v>342</v>
      </c>
      <c r="E1175" s="1" t="s">
        <v>171</v>
      </c>
      <c r="F1175" s="1" t="s">
        <v>172</v>
      </c>
      <c r="G1175" s="1">
        <v>-10</v>
      </c>
      <c r="H1175" s="1">
        <v>-20</v>
      </c>
      <c r="I1175" s="1" t="s">
        <v>40</v>
      </c>
      <c r="J1175" s="1">
        <v>3.15</v>
      </c>
      <c r="K1175" s="1">
        <v>-10</v>
      </c>
      <c r="L1175" s="1">
        <v>0</v>
      </c>
      <c r="M1175" s="1" t="s">
        <v>40</v>
      </c>
      <c r="N1175" s="1">
        <v>10</v>
      </c>
      <c r="O1175" s="1">
        <v>10</v>
      </c>
      <c r="Q1175" s="1">
        <v>1</v>
      </c>
      <c r="R1175" s="1">
        <v>0.58013508292812999</v>
      </c>
      <c r="S1175" s="1" t="str">
        <f>VLOOKUP($E1175,'Product Naming'!$A$1:$P$58,2,FALSE)</f>
        <v>Butyrate</v>
      </c>
      <c r="T1175" s="1" t="str">
        <f>VLOOKUP($E1175,'Product Naming'!$A$1:$P$58,3,FALSE)</f>
        <v>Butyrate</v>
      </c>
      <c r="U1175" s="1" t="str">
        <f>VLOOKUP($E1175,'Product Naming'!$A$1:$P$58,4,FALSE)</f>
        <v>A</v>
      </c>
      <c r="V1175" s="1" t="str">
        <f>VLOOKUP($E1175,'Product Naming'!$A$1:$P$58,5,FALSE)</f>
        <v>C4H7O2</v>
      </c>
      <c r="W1175" s="1">
        <f>VLOOKUP($E1175,'Product Naming'!$A$1:$P$58,6,FALSE)</f>
        <v>4</v>
      </c>
      <c r="X1175" s="1">
        <f>VLOOKUP($E1175,'Product Naming'!$A$1:$P$58,7,FALSE)</f>
        <v>7</v>
      </c>
      <c r="Y1175" s="1">
        <f>VLOOKUP($E1175,'Product Naming'!$A$1:$P$58,8,FALSE)</f>
        <v>2</v>
      </c>
      <c r="Z1175" s="1">
        <f>VLOOKUP($E1175,'Product Naming'!$A$1:$P$58,9,FALSE)</f>
        <v>0</v>
      </c>
      <c r="AA1175" s="1">
        <f>VLOOKUP($E1175,'Product Naming'!$A$1:$P$58,10,FALSE)</f>
        <v>-1</v>
      </c>
      <c r="AB1175" s="29">
        <f>VLOOKUP($E1175,'Product Naming'!$A$1:$P$58,11,FALSE)</f>
        <v>4.75</v>
      </c>
      <c r="AC1175" s="3">
        <f>VLOOKUP($E1175,'Product Naming'!$A$1:$P$58,12,FALSE)</f>
        <v>87.095680000000002</v>
      </c>
      <c r="AD1175" s="1">
        <f>VLOOKUP($E1175,'Product Naming'!$A$1:$P$58,13,FALSE)</f>
        <v>163.5</v>
      </c>
      <c r="AE1175" s="1" t="str">
        <f>VLOOKUP($E1175,'Product Naming'!$A$1:$P$58,14,FALSE)</f>
        <v>Carboxylate</v>
      </c>
      <c r="AF1175" s="1" t="str">
        <f>VLOOKUP($E1175,'Product Naming'!$A$1:$P$58,15,FALSE)</f>
        <v>Acetyl-CoA</v>
      </c>
      <c r="AG1175" s="30" t="str">
        <f>VLOOKUP($E1175,'Product Naming'!$A$1:$P$58,16,FALSE)</f>
        <v>Proton symporter</v>
      </c>
      <c r="AH1175" s="3" t="str">
        <f>VLOOKUP($E1175,'Product Naming'!$A$1:$Q$58,17,FALSE)</f>
        <v>but_c</v>
      </c>
      <c r="AI1175" s="1">
        <f>VLOOKUP($E1175,'Product Parameters'!$A$2:$D$59,2,FALSE)</f>
        <v>1</v>
      </c>
      <c r="AJ1175" s="1">
        <f>VLOOKUP($E1175,'Product Parameters'!$A$2:$D$59,3,FALSE)</f>
        <v>0</v>
      </c>
      <c r="AK1175" s="1">
        <f>VLOOKUP($E1175,'Product Parameters'!$A$2:$D$59,4,FALSE)</f>
        <v>0.12</v>
      </c>
      <c r="AL1175" s="1">
        <f>VLOOKUP($E1175,'Product Parameters'!$A$2:$E$59,5,FALSE)</f>
        <v>42</v>
      </c>
      <c r="AM1175" s="1">
        <f>VLOOKUP($E1175,'Product Parameters'!$A$2:$F$59,6,FALSE)</f>
        <v>4</v>
      </c>
      <c r="AN1175" s="1">
        <f>VLOOKUP($C1175,'Substrate Heating'!$A$2:$C$33,3,FALSE)</f>
        <v>2342.0279999999998</v>
      </c>
      <c r="AO1175" s="1">
        <f>VLOOKUP($C1175,'Substrate Heating'!$A$2:$B$33,2,FALSE)</f>
        <v>15.6</v>
      </c>
      <c r="AP1175" s="1">
        <f>VLOOKUP($C1175,'Substrate Heating'!$A$2:$M$33,13,FALSE)</f>
        <v>4</v>
      </c>
      <c r="AQ1175" s="1">
        <f>VLOOKUP($C1175,'Substrate Heating'!$A$2:$M$33,8,FALSE)</f>
        <v>5</v>
      </c>
      <c r="AR1175" s="1">
        <f t="shared" si="18"/>
        <v>0.8</v>
      </c>
    </row>
    <row r="1176" spans="1:44" x14ac:dyDescent="0.2">
      <c r="A1176" s="8" t="s">
        <v>34</v>
      </c>
      <c r="B1176" s="9" t="s">
        <v>35</v>
      </c>
      <c r="C1176" s="1" t="s">
        <v>341</v>
      </c>
      <c r="D1176" s="24" t="s">
        <v>342</v>
      </c>
      <c r="E1176" s="1" t="s">
        <v>171</v>
      </c>
      <c r="F1176" s="1" t="s">
        <v>172</v>
      </c>
      <c r="G1176" s="1">
        <v>-10</v>
      </c>
      <c r="H1176" s="1">
        <v>-20</v>
      </c>
      <c r="I1176" s="1" t="s">
        <v>40</v>
      </c>
      <c r="J1176" s="1">
        <v>3.15</v>
      </c>
      <c r="K1176" s="1">
        <v>-10</v>
      </c>
      <c r="L1176" s="1">
        <v>-6.2443736735394401E-16</v>
      </c>
      <c r="M1176" s="1" t="s">
        <v>40</v>
      </c>
      <c r="N1176" s="1">
        <v>12</v>
      </c>
      <c r="O1176" s="1">
        <v>12</v>
      </c>
      <c r="Q1176" s="1">
        <v>1.2</v>
      </c>
      <c r="R1176" s="1">
        <v>0.58014706225200097</v>
      </c>
      <c r="S1176" s="1" t="str">
        <f>VLOOKUP($E1176,'Product Naming'!$A$1:$P$58,2,FALSE)</f>
        <v>Butyrate</v>
      </c>
      <c r="T1176" s="1" t="str">
        <f>VLOOKUP($E1176,'Product Naming'!$A$1:$P$58,3,FALSE)</f>
        <v>Butyrate</v>
      </c>
      <c r="U1176" s="1" t="str">
        <f>VLOOKUP($E1176,'Product Naming'!$A$1:$P$58,4,FALSE)</f>
        <v>A</v>
      </c>
      <c r="V1176" s="1" t="str">
        <f>VLOOKUP($E1176,'Product Naming'!$A$1:$P$58,5,FALSE)</f>
        <v>C4H7O2</v>
      </c>
      <c r="W1176" s="1">
        <f>VLOOKUP($E1176,'Product Naming'!$A$1:$P$58,6,FALSE)</f>
        <v>4</v>
      </c>
      <c r="X1176" s="1">
        <f>VLOOKUP($E1176,'Product Naming'!$A$1:$P$58,7,FALSE)</f>
        <v>7</v>
      </c>
      <c r="Y1176" s="1">
        <f>VLOOKUP($E1176,'Product Naming'!$A$1:$P$58,8,FALSE)</f>
        <v>2</v>
      </c>
      <c r="Z1176" s="1">
        <f>VLOOKUP($E1176,'Product Naming'!$A$1:$P$58,9,FALSE)</f>
        <v>0</v>
      </c>
      <c r="AA1176" s="1">
        <f>VLOOKUP($E1176,'Product Naming'!$A$1:$P$58,10,FALSE)</f>
        <v>-1</v>
      </c>
      <c r="AB1176" s="29">
        <f>VLOOKUP($E1176,'Product Naming'!$A$1:$P$58,11,FALSE)</f>
        <v>4.75</v>
      </c>
      <c r="AC1176" s="3">
        <f>VLOOKUP($E1176,'Product Naming'!$A$1:$P$58,12,FALSE)</f>
        <v>87.095680000000002</v>
      </c>
      <c r="AD1176" s="1">
        <f>VLOOKUP($E1176,'Product Naming'!$A$1:$P$58,13,FALSE)</f>
        <v>163.5</v>
      </c>
      <c r="AE1176" s="1" t="str">
        <f>VLOOKUP($E1176,'Product Naming'!$A$1:$P$58,14,FALSE)</f>
        <v>Carboxylate</v>
      </c>
      <c r="AF1176" s="1" t="str">
        <f>VLOOKUP($E1176,'Product Naming'!$A$1:$P$58,15,FALSE)</f>
        <v>Acetyl-CoA</v>
      </c>
      <c r="AG1176" s="30" t="str">
        <f>VLOOKUP($E1176,'Product Naming'!$A$1:$P$58,16,FALSE)</f>
        <v>Proton symporter</v>
      </c>
      <c r="AH1176" s="3" t="str">
        <f>VLOOKUP($E1176,'Product Naming'!$A$1:$Q$58,17,FALSE)</f>
        <v>but_c</v>
      </c>
      <c r="AI1176" s="1">
        <f>VLOOKUP($E1176,'Product Parameters'!$A$2:$D$59,2,FALSE)</f>
        <v>1</v>
      </c>
      <c r="AJ1176" s="1">
        <f>VLOOKUP($E1176,'Product Parameters'!$A$2:$D$59,3,FALSE)</f>
        <v>0</v>
      </c>
      <c r="AK1176" s="1">
        <f>VLOOKUP($E1176,'Product Parameters'!$A$2:$D$59,4,FALSE)</f>
        <v>0.12</v>
      </c>
      <c r="AL1176" s="1">
        <f>VLOOKUP($E1176,'Product Parameters'!$A$2:$E$59,5,FALSE)</f>
        <v>42</v>
      </c>
      <c r="AM1176" s="1">
        <f>VLOOKUP($E1176,'Product Parameters'!$A$2:$F$59,6,FALSE)</f>
        <v>4</v>
      </c>
      <c r="AN1176" s="1">
        <f>VLOOKUP($C1176,'Substrate Heating'!$A$2:$C$33,3,FALSE)</f>
        <v>2828.4492</v>
      </c>
      <c r="AO1176" s="1">
        <f>VLOOKUP($C1176,'Substrate Heating'!$A$2:$B$33,2,FALSE)</f>
        <v>15.7</v>
      </c>
      <c r="AP1176" s="1">
        <f>VLOOKUP($C1176,'Substrate Heating'!$A$2:$M$33,13,FALSE)</f>
        <v>4</v>
      </c>
      <c r="AQ1176" s="1">
        <f>VLOOKUP($C1176,'Substrate Heating'!$A$2:$M$33,8,FALSE)</f>
        <v>6</v>
      </c>
      <c r="AR1176" s="1">
        <f t="shared" si="18"/>
        <v>0.79999999999999993</v>
      </c>
    </row>
    <row r="1177" spans="1:44" x14ac:dyDescent="0.2">
      <c r="A1177" s="8" t="s">
        <v>34</v>
      </c>
      <c r="B1177" s="9" t="s">
        <v>35</v>
      </c>
      <c r="C1177" s="1" t="s">
        <v>341</v>
      </c>
      <c r="D1177" s="24" t="s">
        <v>342</v>
      </c>
      <c r="E1177" s="1" t="s">
        <v>52</v>
      </c>
      <c r="F1177" s="1" t="s">
        <v>53</v>
      </c>
      <c r="G1177" s="1">
        <v>-10</v>
      </c>
      <c r="H1177" s="1">
        <v>-20</v>
      </c>
      <c r="I1177" s="1" t="s">
        <v>40</v>
      </c>
      <c r="J1177" s="1">
        <v>3.15</v>
      </c>
      <c r="K1177" s="1">
        <v>-10</v>
      </c>
      <c r="L1177" s="1">
        <v>-5.0701298701296498</v>
      </c>
      <c r="M1177" s="1" t="s">
        <v>40</v>
      </c>
      <c r="N1177" s="1">
        <v>18.8025974025973</v>
      </c>
      <c r="O1177" s="1">
        <v>13.732467532467499</v>
      </c>
      <c r="Q1177" s="1">
        <v>1.3732467532467501</v>
      </c>
      <c r="R1177" s="1">
        <v>0.58038916314892797</v>
      </c>
      <c r="S1177" s="1" t="str">
        <f>VLOOKUP($E1177,'Product Naming'!$A$1:$P$58,2,FALSE)</f>
        <v>1-3-Diaminopropane</v>
      </c>
      <c r="T1177" s="1" t="str">
        <f>VLOOKUP($E1177,'Product Naming'!$A$1:$P$58,3,FALSE)</f>
        <v>1,3-Diaminopropane</v>
      </c>
      <c r="U1177" s="1" t="str">
        <f>VLOOKUP($E1177,'Product Naming'!$A$1:$P$58,4,FALSE)</f>
        <v>A</v>
      </c>
      <c r="V1177" s="1" t="str">
        <f>VLOOKUP($E1177,'Product Naming'!$A$1:$P$58,5,FALSE)</f>
        <v>C3H12N2</v>
      </c>
      <c r="W1177" s="1">
        <f>VLOOKUP($E1177,'Product Naming'!$A$1:$P$58,6,FALSE)</f>
        <v>3</v>
      </c>
      <c r="X1177" s="1">
        <f>VLOOKUP($E1177,'Product Naming'!$A$1:$P$58,7,FALSE)</f>
        <v>12</v>
      </c>
      <c r="Y1177" s="1">
        <f>VLOOKUP($E1177,'Product Naming'!$A$1:$P$58,8,FALSE)</f>
        <v>0</v>
      </c>
      <c r="Z1177" s="1">
        <f>VLOOKUP($E1177,'Product Naming'!$A$1:$P$58,9,FALSE)</f>
        <v>2</v>
      </c>
      <c r="AA1177" s="1">
        <f>VLOOKUP($E1177,'Product Naming'!$A$1:$P$58,10,FALSE)</f>
        <v>2</v>
      </c>
      <c r="AB1177" s="29">
        <f>VLOOKUP($E1177,'Product Naming'!$A$1:$P$58,11,FALSE)</f>
        <v>6</v>
      </c>
      <c r="AC1177" s="3">
        <f>VLOOKUP($E1177,'Product Naming'!$A$1:$P$58,12,FALSE)</f>
        <v>76.139580000000009</v>
      </c>
      <c r="AD1177" s="1">
        <f>VLOOKUP($E1177,'Product Naming'!$A$1:$P$58,13,FALSE)</f>
        <v>139.30000000000001</v>
      </c>
      <c r="AE1177" s="1" t="str">
        <f>VLOOKUP($E1177,'Product Naming'!$A$1:$P$58,14,FALSE)</f>
        <v>Diamine</v>
      </c>
      <c r="AF1177" s="1" t="str">
        <f>VLOOKUP($E1177,'Product Naming'!$A$1:$P$58,15,FALSE)</f>
        <v>Oxaloacetate + aKG</v>
      </c>
      <c r="AG1177" s="30" t="str">
        <f>VLOOKUP($E1177,'Product Naming'!$A$1:$P$58,16,FALSE)</f>
        <v>Proton symporter</v>
      </c>
      <c r="AH1177" s="3" t="str">
        <f>VLOOKUP($E1177,'Product Naming'!$A$1:$Q$58,17,FALSE)</f>
        <v>13dampp_c</v>
      </c>
      <c r="AI1177" s="1">
        <f>VLOOKUP($E1177,'Product Parameters'!$A$2:$D$59,2,FALSE)</f>
        <v>1</v>
      </c>
      <c r="AJ1177" s="1">
        <f>VLOOKUP($E1177,'Product Parameters'!$A$2:$D$59,3,FALSE)</f>
        <v>0</v>
      </c>
      <c r="AK1177" s="1">
        <f>VLOOKUP($E1177,'Product Parameters'!$A$2:$D$59,4,FALSE)</f>
        <v>0.12</v>
      </c>
      <c r="AL1177" s="1">
        <f>VLOOKUP($E1177,'Product Parameters'!$A$2:$E$59,5,FALSE)</f>
        <v>50.18</v>
      </c>
      <c r="AM1177" s="1">
        <f>VLOOKUP($E1177,'Product Parameters'!$A$2:$F$59,6,FALSE)</f>
        <v>3</v>
      </c>
      <c r="AN1177" s="1">
        <f>VLOOKUP($C1177,'Substrate Heating'!$A$2:$C$33,3,FALSE)</f>
        <v>2828.4492</v>
      </c>
      <c r="AO1177" s="1">
        <f>VLOOKUP($C1177,'Substrate Heating'!$A$2:$B$33,2,FALSE)</f>
        <v>15.7</v>
      </c>
      <c r="AP1177" s="1">
        <f>VLOOKUP($C1177,'Substrate Heating'!$A$2:$M$33,13,FALSE)</f>
        <v>4</v>
      </c>
      <c r="AQ1177" s="1">
        <f>VLOOKUP($C1177,'Substrate Heating'!$A$2:$M$33,8,FALSE)</f>
        <v>6</v>
      </c>
      <c r="AR1177" s="1">
        <f t="shared" si="18"/>
        <v>0.68662337662337503</v>
      </c>
    </row>
    <row r="1178" spans="1:44" x14ac:dyDescent="0.2">
      <c r="A1178" s="8" t="s">
        <v>34</v>
      </c>
      <c r="B1178" s="9" t="s">
        <v>35</v>
      </c>
      <c r="C1178" s="1" t="s">
        <v>343</v>
      </c>
      <c r="D1178" s="24" t="s">
        <v>342</v>
      </c>
      <c r="E1178" s="1" t="s">
        <v>114</v>
      </c>
      <c r="F1178" s="1" t="s">
        <v>115</v>
      </c>
      <c r="G1178" s="1">
        <v>-10</v>
      </c>
      <c r="H1178" s="1">
        <v>-20</v>
      </c>
      <c r="I1178" s="1" t="s">
        <v>40</v>
      </c>
      <c r="J1178" s="1">
        <v>3.15</v>
      </c>
      <c r="K1178" s="1">
        <v>-10</v>
      </c>
      <c r="L1178" s="1">
        <v>-7.4276923076923103</v>
      </c>
      <c r="M1178" s="1" t="s">
        <v>40</v>
      </c>
      <c r="N1178" s="1">
        <v>7.0230769230769301</v>
      </c>
      <c r="O1178" s="1">
        <v>4.5953846153846198</v>
      </c>
      <c r="Q1178" s="1">
        <v>0.45953846153846201</v>
      </c>
      <c r="R1178" s="1">
        <v>0.58453841675135898</v>
      </c>
      <c r="S1178" s="1" t="str">
        <f>VLOOKUP($E1178,'Product Naming'!$A$1:$P$58,2,FALSE)</f>
        <v>5-Aminopentanoate</v>
      </c>
      <c r="T1178" s="1" t="str">
        <f>VLOOKUP($E1178,'Product Naming'!$A$1:$P$58,3,FALSE)</f>
        <v>5-Aminopentanoate</v>
      </c>
      <c r="U1178" s="1" t="str">
        <f>VLOOKUP($E1178,'Product Naming'!$A$1:$P$58,4,FALSE)</f>
        <v>A</v>
      </c>
      <c r="V1178" s="1" t="str">
        <f>VLOOKUP($E1178,'Product Naming'!$A$1:$P$58,5,FALSE)</f>
        <v>C5H11NO2</v>
      </c>
      <c r="W1178" s="1">
        <f>VLOOKUP($E1178,'Product Naming'!$A$1:$P$58,6,FALSE)</f>
        <v>5</v>
      </c>
      <c r="X1178" s="1">
        <f>VLOOKUP($E1178,'Product Naming'!$A$1:$P$58,7,FALSE)</f>
        <v>11</v>
      </c>
      <c r="Y1178" s="1">
        <f>VLOOKUP($E1178,'Product Naming'!$A$1:$P$58,8,FALSE)</f>
        <v>2</v>
      </c>
      <c r="Z1178" s="1">
        <f>VLOOKUP($E1178,'Product Naming'!$A$1:$P$58,9,FALSE)</f>
        <v>1</v>
      </c>
      <c r="AA1178" s="1">
        <f>VLOOKUP($E1178,'Product Naming'!$A$1:$P$58,10,FALSE)</f>
        <v>0</v>
      </c>
      <c r="AB1178" s="29">
        <f>VLOOKUP($E1178,'Product Naming'!$A$1:$P$58,11,FALSE)</f>
        <v>4.8</v>
      </c>
      <c r="AC1178" s="3">
        <f>VLOOKUP($E1178,'Product Naming'!$A$1:$P$58,12,FALSE)</f>
        <v>117.14444</v>
      </c>
      <c r="AD1178" s="1">
        <f>VLOOKUP($E1178,'Product Naming'!$A$1:$P$58,13,FALSE)</f>
        <v>247.5</v>
      </c>
      <c r="AE1178" s="1" t="str">
        <f>VLOOKUP($E1178,'Product Naming'!$A$1:$P$58,14,FALSE)</f>
        <v>D-Amino Acid</v>
      </c>
      <c r="AF1178" s="1" t="str">
        <f>VLOOKUP($E1178,'Product Naming'!$A$1:$P$58,15,FALSE)</f>
        <v>Oxaloacetate</v>
      </c>
      <c r="AG1178" s="30" t="str">
        <f>VLOOKUP($E1178,'Product Naming'!$A$1:$P$58,16,FALSE)</f>
        <v>Proton symporter</v>
      </c>
      <c r="AH1178" s="3" t="str">
        <f>VLOOKUP($E1178,'Product Naming'!$A$1:$Q$58,17,FALSE)</f>
        <v>5aptn_c</v>
      </c>
      <c r="AI1178" s="1">
        <f>VLOOKUP($E1178,'Product Parameters'!$A$2:$D$59,2,FALSE)</f>
        <v>1</v>
      </c>
      <c r="AJ1178" s="1">
        <f>VLOOKUP($E1178,'Product Parameters'!$A$2:$D$59,3,FALSE)</f>
        <v>0</v>
      </c>
      <c r="AK1178" s="1">
        <f>VLOOKUP($E1178,'Product Parameters'!$A$2:$D$59,4,FALSE)</f>
        <v>0.12</v>
      </c>
      <c r="AL1178" s="1">
        <f>VLOOKUP($E1178,'Product Parameters'!$A$2:$E$59,5,FALSE)</f>
        <v>40.65</v>
      </c>
      <c r="AM1178" s="1">
        <f>VLOOKUP($E1178,'Product Parameters'!$A$2:$F$59,6,FALSE)</f>
        <v>5</v>
      </c>
      <c r="AN1178" s="1">
        <f>VLOOKUP($C1178,'Substrate Heating'!$A$2:$C$33,3,FALSE)</f>
        <v>1648.4793779999998</v>
      </c>
      <c r="AO1178" s="1">
        <f>VLOOKUP($C1178,'Substrate Heating'!$A$2:$B$33,2,FALSE)</f>
        <v>17.899999999999999</v>
      </c>
      <c r="AP1178" s="1">
        <f>VLOOKUP($C1178,'Substrate Heating'!$A$2:$M$33,13,FALSE)</f>
        <v>4.666666666666667</v>
      </c>
      <c r="AQ1178" s="1">
        <f>VLOOKUP($C1178,'Substrate Heating'!$A$2:$M$33,8,FALSE)</f>
        <v>3</v>
      </c>
      <c r="AR1178" s="1">
        <f t="shared" si="18"/>
        <v>0.76589743589743664</v>
      </c>
    </row>
    <row r="1179" spans="1:44" x14ac:dyDescent="0.2">
      <c r="A1179" s="8" t="s">
        <v>34</v>
      </c>
      <c r="B1179" s="9" t="s">
        <v>35</v>
      </c>
      <c r="C1179" s="1" t="s">
        <v>330</v>
      </c>
      <c r="D1179" s="10" t="s">
        <v>37</v>
      </c>
      <c r="E1179" s="1" t="s">
        <v>221</v>
      </c>
      <c r="F1179" s="1" t="s">
        <v>222</v>
      </c>
      <c r="G1179" s="1">
        <v>-10</v>
      </c>
      <c r="H1179" s="1">
        <v>-20</v>
      </c>
      <c r="I1179" s="1" t="s">
        <v>40</v>
      </c>
      <c r="J1179" s="1">
        <v>3.15</v>
      </c>
      <c r="K1179" s="1">
        <v>-10</v>
      </c>
      <c r="L1179" s="1">
        <v>-11.018750000000001</v>
      </c>
      <c r="M1179" s="1" t="s">
        <v>40</v>
      </c>
      <c r="N1179" s="1">
        <v>6.01875000000007</v>
      </c>
      <c r="O1179" s="1">
        <v>2.7962500000000201</v>
      </c>
      <c r="Q1179" s="1">
        <v>0.27962500000000201</v>
      </c>
      <c r="R1179" s="1">
        <v>0.586118173399784</v>
      </c>
      <c r="S1179" s="1" t="str">
        <f>VLOOKUP($E1179,'Product Naming'!$A$1:$P$58,2,FALSE)</f>
        <v>Glutarate</v>
      </c>
      <c r="T1179" s="1" t="str">
        <f>VLOOKUP($E1179,'Product Naming'!$A$1:$P$58,3,FALSE)</f>
        <v>Glutarate</v>
      </c>
      <c r="U1179" s="1" t="str">
        <f>VLOOKUP($E1179,'Product Naming'!$A$1:$P$58,4,FALSE)</f>
        <v>A</v>
      </c>
      <c r="V1179" s="1" t="str">
        <f>VLOOKUP($E1179,'Product Naming'!$A$1:$P$58,5,FALSE)</f>
        <v>C5H6O4</v>
      </c>
      <c r="W1179" s="1">
        <f>VLOOKUP($E1179,'Product Naming'!$A$1:$P$58,6,FALSE)</f>
        <v>5</v>
      </c>
      <c r="X1179" s="1">
        <f>VLOOKUP($E1179,'Product Naming'!$A$1:$P$58,7,FALSE)</f>
        <v>6</v>
      </c>
      <c r="Y1179" s="1">
        <f>VLOOKUP($E1179,'Product Naming'!$A$1:$P$58,8,FALSE)</f>
        <v>4</v>
      </c>
      <c r="Z1179" s="1">
        <f>VLOOKUP($E1179,'Product Naming'!$A$1:$P$58,9,FALSE)</f>
        <v>0</v>
      </c>
      <c r="AA1179" s="1">
        <f>VLOOKUP($E1179,'Product Naming'!$A$1:$P$58,10,FALSE)</f>
        <v>-2</v>
      </c>
      <c r="AB1179" s="29">
        <f>VLOOKUP($E1179,'Product Naming'!$A$1:$P$58,11,FALSE)</f>
        <v>3.6</v>
      </c>
      <c r="AC1179" s="3">
        <f>VLOOKUP($E1179,'Product Naming'!$A$1:$P$58,12,FALSE)</f>
        <v>130.09654</v>
      </c>
      <c r="AD1179" s="1">
        <f>VLOOKUP($E1179,'Product Naming'!$A$1:$P$58,13,FALSE)</f>
        <v>200</v>
      </c>
      <c r="AE1179" s="1" t="str">
        <f>VLOOKUP($E1179,'Product Naming'!$A$1:$P$58,14,FALSE)</f>
        <v>Dicarboxylate</v>
      </c>
      <c r="AF1179" s="1" t="str">
        <f>VLOOKUP($E1179,'Product Naming'!$A$1:$P$58,15,FALSE)</f>
        <v>Oxaloacetate + aKG</v>
      </c>
      <c r="AG1179" s="30" t="str">
        <f>VLOOKUP($E1179,'Product Naming'!$A$1:$P$58,16,FALSE)</f>
        <v>Proton symporter</v>
      </c>
      <c r="AH1179" s="3" t="str">
        <f>VLOOKUP($E1179,'Product Naming'!$A$1:$Q$58,17,FALSE)</f>
        <v>glutar_c</v>
      </c>
      <c r="AI1179" s="1">
        <f>VLOOKUP($E1179,'Product Parameters'!$A$2:$D$59,2,FALSE)</f>
        <v>1</v>
      </c>
      <c r="AJ1179" s="1">
        <f>VLOOKUP($E1179,'Product Parameters'!$A$2:$D$59,3,FALSE)</f>
        <v>0</v>
      </c>
      <c r="AK1179" s="1">
        <f>VLOOKUP($E1179,'Product Parameters'!$A$2:$D$59,4,FALSE)</f>
        <v>0.12</v>
      </c>
      <c r="AL1179" s="1">
        <f>VLOOKUP($E1179,'Product Parameters'!$A$2:$E$59,5,FALSE)</f>
        <v>40.65</v>
      </c>
      <c r="AM1179" s="1">
        <f>VLOOKUP($E1179,'Product Parameters'!$A$2:$F$59,6,FALSE)</f>
        <v>5</v>
      </c>
      <c r="AN1179" s="1">
        <f>VLOOKUP($C1179,'Substrate Heating'!$A$2:$C$33,3,FALSE)</f>
        <v>1055.1294800000001</v>
      </c>
      <c r="AO1179" s="1">
        <f>VLOOKUP($C1179,'Substrate Heating'!$A$2:$B$33,2,FALSE)</f>
        <v>17</v>
      </c>
      <c r="AP1179" s="1">
        <f>VLOOKUP($C1179,'Substrate Heating'!$A$2:$M$33,13,FALSE)</f>
        <v>5</v>
      </c>
      <c r="AQ1179" s="1">
        <f>VLOOKUP($C1179,'Substrate Heating'!$A$2:$M$33,8,FALSE)</f>
        <v>2</v>
      </c>
      <c r="AR1179" s="1">
        <f t="shared" si="18"/>
        <v>0.69906250000000503</v>
      </c>
    </row>
    <row r="1180" spans="1:44" x14ac:dyDescent="0.2">
      <c r="A1180" s="8" t="s">
        <v>34</v>
      </c>
      <c r="B1180" s="9" t="s">
        <v>35</v>
      </c>
      <c r="C1180" s="1" t="s">
        <v>331</v>
      </c>
      <c r="D1180" s="10" t="s">
        <v>37</v>
      </c>
      <c r="E1180" s="1" t="s">
        <v>66</v>
      </c>
      <c r="F1180" s="1" t="s">
        <v>67</v>
      </c>
      <c r="G1180" s="1">
        <v>-10</v>
      </c>
      <c r="H1180" s="1">
        <v>-20</v>
      </c>
      <c r="I1180" s="1" t="s">
        <v>40</v>
      </c>
      <c r="J1180" s="1">
        <v>3.15</v>
      </c>
      <c r="K1180" s="1">
        <v>-10</v>
      </c>
      <c r="L1180" s="1">
        <v>-2.78255813953488</v>
      </c>
      <c r="M1180" s="1" t="s">
        <v>40</v>
      </c>
      <c r="N1180" s="1">
        <v>3.8418604651162802</v>
      </c>
      <c r="O1180" s="1">
        <v>4.0395348837209299</v>
      </c>
      <c r="Q1180" s="1">
        <v>0.40395348837209299</v>
      </c>
      <c r="R1180" s="1">
        <v>0.58653257171839102</v>
      </c>
      <c r="S1180" s="1" t="str">
        <f>VLOOKUP($E1180,'Product Naming'!$A$1:$P$58,2,FALSE)</f>
        <v>1-4-butanediol</v>
      </c>
      <c r="T1180" s="1" t="str">
        <f>VLOOKUP($E1180,'Product Naming'!$A$1:$P$58,3,FALSE)</f>
        <v>1,4-Butanediol</v>
      </c>
      <c r="U1180" s="1" t="str">
        <f>VLOOKUP($E1180,'Product Naming'!$A$1:$P$58,4,FALSE)</f>
        <v>E</v>
      </c>
      <c r="V1180" s="1" t="str">
        <f>VLOOKUP($E1180,'Product Naming'!$A$1:$P$58,5,FALSE)</f>
        <v>C4H10O2</v>
      </c>
      <c r="W1180" s="1">
        <f>VLOOKUP($E1180,'Product Naming'!$A$1:$P$58,6,FALSE)</f>
        <v>4</v>
      </c>
      <c r="X1180" s="1">
        <f>VLOOKUP($E1180,'Product Naming'!$A$1:$P$58,7,FALSE)</f>
        <v>10</v>
      </c>
      <c r="Y1180" s="1">
        <f>VLOOKUP($E1180,'Product Naming'!$A$1:$P$58,8,FALSE)</f>
        <v>2</v>
      </c>
      <c r="Z1180" s="1">
        <f>VLOOKUP($E1180,'Product Naming'!$A$1:$P$58,9,FALSE)</f>
        <v>0</v>
      </c>
      <c r="AA1180" s="1">
        <f>VLOOKUP($E1180,'Product Naming'!$A$1:$P$58,10,FALSE)</f>
        <v>0</v>
      </c>
      <c r="AB1180" s="29">
        <f>VLOOKUP($E1180,'Product Naming'!$A$1:$P$58,11,FALSE)</f>
        <v>5.5</v>
      </c>
      <c r="AC1180" s="3">
        <f>VLOOKUP($E1180,'Product Naming'!$A$1:$P$58,12,FALSE)</f>
        <v>90.119200000000006</v>
      </c>
      <c r="AD1180" s="1">
        <f>VLOOKUP($E1180,'Product Naming'!$A$1:$P$58,13,FALSE)</f>
        <v>230</v>
      </c>
      <c r="AE1180" s="1" t="str">
        <f>VLOOKUP($E1180,'Product Naming'!$A$1:$P$58,14,FALSE)</f>
        <v>Diol</v>
      </c>
      <c r="AF1180" s="1" t="str">
        <f>VLOOKUP($E1180,'Product Naming'!$A$1:$P$58,15,FALSE)</f>
        <v>aKG</v>
      </c>
      <c r="AG1180" s="30" t="str">
        <f>VLOOKUP($E1180,'Product Naming'!$A$1:$P$58,16,FALSE)</f>
        <v>Proton symporter</v>
      </c>
      <c r="AH1180" s="3" t="str">
        <f>VLOOKUP($E1180,'Product Naming'!$A$1:$Q$58,17,FALSE)</f>
        <v>14bdo_c</v>
      </c>
      <c r="AI1180" s="1">
        <f>VLOOKUP($E1180,'Product Parameters'!$A$2:$D$59,2,FALSE)</f>
        <v>1</v>
      </c>
      <c r="AJ1180" s="1">
        <f>VLOOKUP($E1180,'Product Parameters'!$A$2:$D$59,3,FALSE)</f>
        <v>0</v>
      </c>
      <c r="AK1180" s="1">
        <f>VLOOKUP($E1180,'Product Parameters'!$A$2:$D$59,4,FALSE)</f>
        <v>0.12</v>
      </c>
      <c r="AL1180" s="1">
        <f>VLOOKUP($E1180,'Product Parameters'!$A$2:$E$59,5,FALSE)</f>
        <v>78</v>
      </c>
      <c r="AM1180" s="1">
        <f>VLOOKUP($E1180,'Product Parameters'!$A$2:$F$59,6,FALSE)</f>
        <v>4</v>
      </c>
      <c r="AN1180" s="1">
        <f>VLOOKUP($C1180,'Substrate Heating'!$A$2:$C$33,3,FALSE)</f>
        <v>1055.1294800000001</v>
      </c>
      <c r="AO1180" s="1">
        <f>VLOOKUP($C1180,'Substrate Heating'!$A$2:$B$33,2,FALSE)</f>
        <v>17</v>
      </c>
      <c r="AP1180" s="1">
        <f>VLOOKUP($C1180,'Substrate Heating'!$A$2:$M$33,13,FALSE)</f>
        <v>5</v>
      </c>
      <c r="AQ1180" s="1">
        <f>VLOOKUP($C1180,'Substrate Heating'!$A$2:$M$33,8,FALSE)</f>
        <v>2</v>
      </c>
      <c r="AR1180" s="1">
        <f t="shared" si="18"/>
        <v>0.80790697674418599</v>
      </c>
    </row>
    <row r="1181" spans="1:44" x14ac:dyDescent="0.2">
      <c r="A1181" s="8" t="s">
        <v>34</v>
      </c>
      <c r="B1181" s="9" t="s">
        <v>35</v>
      </c>
      <c r="C1181" s="1" t="s">
        <v>341</v>
      </c>
      <c r="D1181" s="24" t="s">
        <v>342</v>
      </c>
      <c r="E1181" s="1" t="s">
        <v>198</v>
      </c>
      <c r="F1181" s="1" t="s">
        <v>199</v>
      </c>
      <c r="G1181" s="1">
        <v>-10</v>
      </c>
      <c r="H1181" s="1">
        <v>-20</v>
      </c>
      <c r="I1181" s="1" t="s">
        <v>40</v>
      </c>
      <c r="J1181" s="1">
        <v>3.15</v>
      </c>
      <c r="K1181" s="1">
        <v>-10</v>
      </c>
      <c r="L1181" s="1">
        <v>-2.7522935779815301E-2</v>
      </c>
      <c r="M1181" s="1" t="s">
        <v>40</v>
      </c>
      <c r="N1181" s="1">
        <v>12.022018348623901</v>
      </c>
      <c r="O1181" s="1">
        <v>11.994495412844</v>
      </c>
      <c r="Q1181" s="1">
        <v>1.1994495412844</v>
      </c>
      <c r="R1181" s="1">
        <v>0.586591114192623</v>
      </c>
      <c r="S1181" s="1" t="str">
        <f>VLOOKUP($E1181,'Product Naming'!$A$1:$P$58,2,FALSE)</f>
        <v>EthylAcetate</v>
      </c>
      <c r="T1181" s="1" t="str">
        <f>VLOOKUP($E1181,'Product Naming'!$A$1:$P$58,3,FALSE)</f>
        <v>Ethyl acetate</v>
      </c>
      <c r="U1181" s="1" t="str">
        <f>VLOOKUP($E1181,'Product Naming'!$A$1:$P$58,4,FALSE)</f>
        <v>E</v>
      </c>
      <c r="V1181" s="1" t="str">
        <f>VLOOKUP($E1181,'Product Naming'!$A$1:$P$58,5,FALSE)</f>
        <v>C4H8O2</v>
      </c>
      <c r="W1181" s="1">
        <f>VLOOKUP($E1181,'Product Naming'!$A$1:$P$58,6,FALSE)</f>
        <v>4</v>
      </c>
      <c r="X1181" s="1">
        <f>VLOOKUP($E1181,'Product Naming'!$A$1:$P$58,7,FALSE)</f>
        <v>8</v>
      </c>
      <c r="Y1181" s="1">
        <f>VLOOKUP($E1181,'Product Naming'!$A$1:$P$58,8,FALSE)</f>
        <v>2</v>
      </c>
      <c r="Z1181" s="1">
        <f>VLOOKUP($E1181,'Product Naming'!$A$1:$P$58,9,FALSE)</f>
        <v>0</v>
      </c>
      <c r="AA1181" s="1">
        <f>VLOOKUP($E1181,'Product Naming'!$A$1:$P$58,10,FALSE)</f>
        <v>0</v>
      </c>
      <c r="AB1181" s="29">
        <f>VLOOKUP($E1181,'Product Naming'!$A$1:$P$58,11,FALSE)</f>
        <v>5</v>
      </c>
      <c r="AC1181" s="3">
        <f>VLOOKUP($E1181,'Product Naming'!$A$1:$P$58,12,FALSE)</f>
        <v>88.103520000000003</v>
      </c>
      <c r="AD1181" s="1">
        <f>VLOOKUP($E1181,'Product Naming'!$A$1:$P$58,13,FALSE)</f>
        <v>77.099999999999994</v>
      </c>
      <c r="AE1181" s="1" t="str">
        <f>VLOOKUP($E1181,'Product Naming'!$A$1:$P$58,14,FALSE)</f>
        <v>Carboxylate Ester</v>
      </c>
      <c r="AF1181" s="1" t="str">
        <f>VLOOKUP($E1181,'Product Naming'!$A$1:$P$58,15,FALSE)</f>
        <v>Acetyl-CoA</v>
      </c>
      <c r="AG1181" s="30" t="str">
        <f>VLOOKUP($E1181,'Product Naming'!$A$1:$P$58,16,FALSE)</f>
        <v>Proton symporter</v>
      </c>
      <c r="AH1181" s="3" t="str">
        <f>VLOOKUP($E1181,'Product Naming'!$A$1:$Q$58,17,FALSE)</f>
        <v>aces_c</v>
      </c>
      <c r="AI1181" s="1">
        <f>VLOOKUP($E1181,'Product Parameters'!$A$2:$D$59,2,FALSE)</f>
        <v>1</v>
      </c>
      <c r="AJ1181" s="1">
        <f>VLOOKUP($E1181,'Product Parameters'!$A$2:$D$59,3,FALSE)</f>
        <v>0</v>
      </c>
      <c r="AK1181" s="1">
        <f>VLOOKUP($E1181,'Product Parameters'!$A$2:$D$59,4,FALSE)</f>
        <v>0.12</v>
      </c>
      <c r="AL1181" s="1">
        <f>VLOOKUP($E1181,'Product Parameters'!$A$2:$E$59,5,FALSE)</f>
        <v>35</v>
      </c>
      <c r="AM1181" s="1">
        <f>VLOOKUP($E1181,'Product Parameters'!$A$2:$F$59,6,FALSE)</f>
        <v>4</v>
      </c>
      <c r="AN1181" s="1">
        <f>VLOOKUP($C1181,'Substrate Heating'!$A$2:$C$33,3,FALSE)</f>
        <v>2828.4492</v>
      </c>
      <c r="AO1181" s="1">
        <f>VLOOKUP($C1181,'Substrate Heating'!$A$2:$B$33,2,FALSE)</f>
        <v>15.7</v>
      </c>
      <c r="AP1181" s="1">
        <f>VLOOKUP($C1181,'Substrate Heating'!$A$2:$M$33,13,FALSE)</f>
        <v>4</v>
      </c>
      <c r="AQ1181" s="1">
        <f>VLOOKUP($C1181,'Substrate Heating'!$A$2:$M$33,8,FALSE)</f>
        <v>6</v>
      </c>
      <c r="AR1181" s="1">
        <f t="shared" si="18"/>
        <v>0.7996330275229333</v>
      </c>
    </row>
    <row r="1182" spans="1:44" x14ac:dyDescent="0.2">
      <c r="A1182" s="17" t="s">
        <v>323</v>
      </c>
      <c r="B1182" s="18" t="s">
        <v>324</v>
      </c>
      <c r="C1182" t="s">
        <v>328</v>
      </c>
      <c r="D1182" s="19" t="s">
        <v>326</v>
      </c>
      <c r="E1182" t="s">
        <v>198</v>
      </c>
      <c r="F1182" t="s">
        <v>199</v>
      </c>
      <c r="G1182">
        <v>-10</v>
      </c>
      <c r="H1182">
        <v>0</v>
      </c>
      <c r="I1182">
        <v>-10</v>
      </c>
      <c r="J1182">
        <v>0.45</v>
      </c>
      <c r="K1182">
        <v>-10</v>
      </c>
      <c r="L1182">
        <v>0</v>
      </c>
      <c r="M1182">
        <v>-10</v>
      </c>
      <c r="N1182">
        <v>2</v>
      </c>
      <c r="O1182">
        <v>2</v>
      </c>
      <c r="P1182"/>
      <c r="Q1182">
        <v>0.2</v>
      </c>
      <c r="R1182">
        <v>0.58677002997003003</v>
      </c>
      <c r="S1182" s="1" t="str">
        <f>VLOOKUP($E1182,'Product Naming'!$A$1:$P$58,2,FALSE)</f>
        <v>EthylAcetate</v>
      </c>
      <c r="T1182" s="1" t="str">
        <f>VLOOKUP($E1182,'Product Naming'!$A$1:$P$58,3,FALSE)</f>
        <v>Ethyl acetate</v>
      </c>
      <c r="U1182" s="1" t="str">
        <f>VLOOKUP($E1182,'Product Naming'!$A$1:$P$58,4,FALSE)</f>
        <v>E</v>
      </c>
      <c r="V1182" s="1" t="str">
        <f>VLOOKUP($E1182,'Product Naming'!$A$1:$P$58,5,FALSE)</f>
        <v>C4H8O2</v>
      </c>
      <c r="W1182" s="1">
        <f>VLOOKUP($E1182,'Product Naming'!$A$1:$P$58,6,FALSE)</f>
        <v>4</v>
      </c>
      <c r="X1182" s="1">
        <f>VLOOKUP($E1182,'Product Naming'!$A$1:$P$58,7,FALSE)</f>
        <v>8</v>
      </c>
      <c r="Y1182" s="1">
        <f>VLOOKUP($E1182,'Product Naming'!$A$1:$P$58,8,FALSE)</f>
        <v>2</v>
      </c>
      <c r="Z1182" s="1">
        <f>VLOOKUP($E1182,'Product Naming'!$A$1:$P$58,9,FALSE)</f>
        <v>0</v>
      </c>
      <c r="AA1182" s="1">
        <f>VLOOKUP($E1182,'Product Naming'!$A$1:$P$58,10,FALSE)</f>
        <v>0</v>
      </c>
      <c r="AB1182" s="29">
        <f>VLOOKUP($E1182,'Product Naming'!$A$1:$P$58,11,FALSE)</f>
        <v>5</v>
      </c>
      <c r="AC1182" s="3">
        <f>VLOOKUP($E1182,'Product Naming'!$A$1:$P$58,12,FALSE)</f>
        <v>88.103520000000003</v>
      </c>
      <c r="AD1182" s="1">
        <f>VLOOKUP($E1182,'Product Naming'!$A$1:$P$58,13,FALSE)</f>
        <v>77.099999999999994</v>
      </c>
      <c r="AE1182" s="1" t="str">
        <f>VLOOKUP($E1182,'Product Naming'!$A$1:$P$58,14,FALSE)</f>
        <v>Carboxylate Ester</v>
      </c>
      <c r="AF1182" s="1" t="str">
        <f>VLOOKUP($E1182,'Product Naming'!$A$1:$P$58,15,FALSE)</f>
        <v>Acetyl-CoA</v>
      </c>
      <c r="AG1182" s="30" t="str">
        <f>VLOOKUP($E1182,'Product Naming'!$A$1:$P$58,16,FALSE)</f>
        <v>Proton symporter</v>
      </c>
      <c r="AH1182" s="3" t="str">
        <f>VLOOKUP($E1182,'Product Naming'!$A$1:$Q$58,17,FALSE)</f>
        <v>aces_c</v>
      </c>
      <c r="AI1182" s="1">
        <f>VLOOKUP($E1182,'Product Parameters'!$A$2:$D$59,2,FALSE)</f>
        <v>1</v>
      </c>
      <c r="AJ1182" s="1">
        <f>VLOOKUP($E1182,'Product Parameters'!$A$2:$D$59,3,FALSE)</f>
        <v>0</v>
      </c>
      <c r="AK1182" s="1">
        <f>VLOOKUP($E1182,'Product Parameters'!$A$2:$D$59,4,FALSE)</f>
        <v>0.12</v>
      </c>
      <c r="AL1182" s="1">
        <f>VLOOKUP($E1182,'Product Parameters'!$A$2:$E$59,5,FALSE)</f>
        <v>35</v>
      </c>
      <c r="AM1182" s="1">
        <f>VLOOKUP($E1182,'Product Parameters'!$A$2:$F$59,6,FALSE)</f>
        <v>4</v>
      </c>
      <c r="AN1182" s="1">
        <f>VLOOKUP($C1182,'Substrate Heating'!$A$2:$C$33,3,FALSE)</f>
        <v>262.39999999999998</v>
      </c>
      <c r="AO1182" s="1">
        <f>VLOOKUP($C1182,'Substrate Heating'!$A$2:$B$33,2,FALSE)</f>
        <v>17.478546483008707</v>
      </c>
      <c r="AP1182" s="1">
        <f>VLOOKUP($C1182,'Substrate Heating'!$A$2:$M$33,13,FALSE)</f>
        <v>1</v>
      </c>
      <c r="AQ1182" s="1">
        <f>VLOOKUP($C1182,'Substrate Heating'!$A$2:$M$33,8,FALSE)</f>
        <v>0.5</v>
      </c>
      <c r="AR1182" s="1">
        <f t="shared" si="18"/>
        <v>1.6</v>
      </c>
    </row>
    <row r="1183" spans="1:44" x14ac:dyDescent="0.2">
      <c r="A1183" s="17" t="s">
        <v>323</v>
      </c>
      <c r="B1183" s="18" t="s">
        <v>324</v>
      </c>
      <c r="C1183" t="s">
        <v>328</v>
      </c>
      <c r="D1183" s="19" t="s">
        <v>326</v>
      </c>
      <c r="E1183" t="s">
        <v>275</v>
      </c>
      <c r="F1183" t="s">
        <v>276</v>
      </c>
      <c r="G1183">
        <v>-10</v>
      </c>
      <c r="H1183">
        <v>0</v>
      </c>
      <c r="I1183">
        <v>-10</v>
      </c>
      <c r="J1183">
        <v>0.45</v>
      </c>
      <c r="K1183">
        <v>-10</v>
      </c>
      <c r="L1183">
        <v>0</v>
      </c>
      <c r="M1183">
        <v>-10</v>
      </c>
      <c r="N1183">
        <v>0</v>
      </c>
      <c r="O1183">
        <v>1.7333333333333301</v>
      </c>
      <c r="P1183"/>
      <c r="Q1183">
        <v>0.17333333333333301</v>
      </c>
      <c r="R1183">
        <v>0.58899728715728705</v>
      </c>
      <c r="S1183" s="1" t="str">
        <f>VLOOKUP($E1183,'Product Naming'!$A$1:$P$58,2,FALSE)</f>
        <v>Malonate</v>
      </c>
      <c r="T1183" s="1" t="str">
        <f>VLOOKUP($E1183,'Product Naming'!$A$1:$P$58,3,FALSE)</f>
        <v>Malonate</v>
      </c>
      <c r="U1183" s="1" t="str">
        <f>VLOOKUP($E1183,'Product Naming'!$A$1:$P$58,4,FALSE)</f>
        <v>A</v>
      </c>
      <c r="V1183" s="1" t="str">
        <f>VLOOKUP($E1183,'Product Naming'!$A$1:$P$58,5,FALSE)</f>
        <v>C3H2O4</v>
      </c>
      <c r="W1183" s="1">
        <f>VLOOKUP($E1183,'Product Naming'!$A$1:$P$58,6,FALSE)</f>
        <v>3</v>
      </c>
      <c r="X1183" s="1">
        <f>VLOOKUP($E1183,'Product Naming'!$A$1:$P$58,7,FALSE)</f>
        <v>2</v>
      </c>
      <c r="Y1183" s="1">
        <f>VLOOKUP($E1183,'Product Naming'!$A$1:$P$58,8,FALSE)</f>
        <v>4</v>
      </c>
      <c r="Z1183" s="1">
        <f>VLOOKUP($E1183,'Product Naming'!$A$1:$P$58,9,FALSE)</f>
        <v>0</v>
      </c>
      <c r="AA1183" s="1">
        <f>VLOOKUP($E1183,'Product Naming'!$A$1:$P$58,10,FALSE)</f>
        <v>-2</v>
      </c>
      <c r="AB1183" s="29">
        <f>VLOOKUP($E1183,'Product Naming'!$A$1:$P$58,11,FALSE)</f>
        <v>2</v>
      </c>
      <c r="AC1183" s="3">
        <f>VLOOKUP($E1183,'Product Naming'!$A$1:$P$58,12,FALSE)</f>
        <v>102.04378</v>
      </c>
      <c r="AD1183" s="1">
        <f>VLOOKUP($E1183,'Product Naming'!$A$1:$P$58,13,FALSE)</f>
        <v>199</v>
      </c>
      <c r="AE1183" s="1" t="str">
        <f>VLOOKUP($E1183,'Product Naming'!$A$1:$P$58,14,FALSE)</f>
        <v>Dicarboxylate</v>
      </c>
      <c r="AF1183" s="1" t="str">
        <f>VLOOKUP($E1183,'Product Naming'!$A$1:$P$58,15,FALSE)</f>
        <v>Oxaloacetate</v>
      </c>
      <c r="AG1183" s="30" t="str">
        <f>VLOOKUP($E1183,'Product Naming'!$A$1:$P$58,16,FALSE)</f>
        <v>Proton symporter</v>
      </c>
      <c r="AH1183" s="3" t="str">
        <f>VLOOKUP($E1183,'Product Naming'!$A$1:$Q$58,17,FALSE)</f>
        <v>malon_c</v>
      </c>
      <c r="AI1183" s="1">
        <f>VLOOKUP($E1183,'Product Parameters'!$A$2:$D$59,2,FALSE)</f>
        <v>1</v>
      </c>
      <c r="AJ1183" s="1">
        <f>VLOOKUP($E1183,'Product Parameters'!$A$2:$D$59,3,FALSE)</f>
        <v>0</v>
      </c>
      <c r="AK1183" s="1">
        <f>VLOOKUP($E1183,'Product Parameters'!$A$2:$D$59,4,FALSE)</f>
        <v>0.12</v>
      </c>
      <c r="AL1183" s="1">
        <f>VLOOKUP($E1183,'Product Parameters'!$A$2:$E$59,5,FALSE)</f>
        <v>40.65</v>
      </c>
      <c r="AM1183" s="1">
        <f>VLOOKUP($E1183,'Product Parameters'!$A$2:$F$59,6,FALSE)</f>
        <v>3</v>
      </c>
      <c r="AN1183" s="1">
        <f>VLOOKUP($C1183,'Substrate Heating'!$A$2:$C$33,3,FALSE)</f>
        <v>262.39999999999998</v>
      </c>
      <c r="AO1183" s="1">
        <f>VLOOKUP($C1183,'Substrate Heating'!$A$2:$B$33,2,FALSE)</f>
        <v>17.478546483008707</v>
      </c>
      <c r="AP1183" s="1">
        <f>VLOOKUP($C1183,'Substrate Heating'!$A$2:$M$33,13,FALSE)</f>
        <v>1</v>
      </c>
      <c r="AQ1183" s="1">
        <f>VLOOKUP($C1183,'Substrate Heating'!$A$2:$M$33,8,FALSE)</f>
        <v>0.5</v>
      </c>
      <c r="AR1183" s="1">
        <f t="shared" si="18"/>
        <v>1.039999999999998</v>
      </c>
    </row>
    <row r="1184" spans="1:44" x14ac:dyDescent="0.2">
      <c r="A1184" s="8" t="s">
        <v>34</v>
      </c>
      <c r="B1184" s="9" t="s">
        <v>35</v>
      </c>
      <c r="C1184" s="1" t="s">
        <v>36</v>
      </c>
      <c r="D1184" s="10" t="s">
        <v>37</v>
      </c>
      <c r="E1184" s="1" t="s">
        <v>81</v>
      </c>
      <c r="F1184" s="1" t="s">
        <v>73</v>
      </c>
      <c r="G1184" s="1">
        <v>-10</v>
      </c>
      <c r="H1184" s="1">
        <v>-20</v>
      </c>
      <c r="I1184" s="1" t="s">
        <v>40</v>
      </c>
      <c r="J1184" s="1">
        <v>3.15</v>
      </c>
      <c r="K1184" s="1">
        <v>-10</v>
      </c>
      <c r="L1184" s="1">
        <v>-5.54941176470588</v>
      </c>
      <c r="M1184" s="1" t="s">
        <v>40</v>
      </c>
      <c r="N1184" s="1">
        <v>7.0329411764705902</v>
      </c>
      <c r="O1184" s="1">
        <v>4.3223529411764696</v>
      </c>
      <c r="Q1184" s="1">
        <v>0.432235294117647</v>
      </c>
      <c r="R1184" s="1">
        <v>0.58963977744255702</v>
      </c>
      <c r="S1184" s="1" t="str">
        <f>VLOOKUP($E1184,'Product Naming'!$A$1:$P$58,2,FALSE)</f>
        <v>1-propanol-PW2</v>
      </c>
      <c r="T1184" s="1" t="str">
        <f>VLOOKUP($E1184,'Product Naming'!$A$1:$P$58,3,FALSE)</f>
        <v>1-Propanol (PW2)</v>
      </c>
      <c r="U1184" s="1" t="str">
        <f>VLOOKUP($E1184,'Product Naming'!$A$1:$P$58,4,FALSE)</f>
        <v>E-S</v>
      </c>
      <c r="V1184" s="1" t="str">
        <f>VLOOKUP($E1184,'Product Naming'!$A$1:$P$58,5,FALSE)</f>
        <v>C3H8O</v>
      </c>
      <c r="W1184" s="1">
        <f>VLOOKUP($E1184,'Product Naming'!$A$1:$P$58,6,FALSE)</f>
        <v>3</v>
      </c>
      <c r="X1184" s="1">
        <f>VLOOKUP($E1184,'Product Naming'!$A$1:$P$58,7,FALSE)</f>
        <v>8</v>
      </c>
      <c r="Y1184" s="1">
        <f>VLOOKUP($E1184,'Product Naming'!$A$1:$P$58,8,FALSE)</f>
        <v>1</v>
      </c>
      <c r="Z1184" s="1">
        <f>VLOOKUP($E1184,'Product Naming'!$A$1:$P$58,9,FALSE)</f>
        <v>0</v>
      </c>
      <c r="AA1184" s="1">
        <f>VLOOKUP($E1184,'Product Naming'!$A$1:$P$58,10,FALSE)</f>
        <v>0</v>
      </c>
      <c r="AB1184" s="29">
        <f>VLOOKUP($E1184,'Product Naming'!$A$1:$P$58,11,FALSE)</f>
        <v>6</v>
      </c>
      <c r="AC1184" s="3">
        <f>VLOOKUP($E1184,'Product Naming'!$A$1:$P$58,12,FALSE)</f>
        <v>60.093820000000001</v>
      </c>
      <c r="AD1184" s="1">
        <f>VLOOKUP($E1184,'Product Naming'!$A$1:$P$58,13,FALSE)</f>
        <v>97</v>
      </c>
      <c r="AE1184" s="1" t="str">
        <f>VLOOKUP($E1184,'Product Naming'!$A$1:$P$58,14,FALSE)</f>
        <v>Alcohol</v>
      </c>
      <c r="AF1184" s="1" t="str">
        <f>VLOOKUP($E1184,'Product Naming'!$A$1:$P$58,15,FALSE)</f>
        <v>Oxaloacetate</v>
      </c>
      <c r="AG1184" s="30" t="str">
        <f>VLOOKUP($E1184,'Product Naming'!$A$1:$P$58,16,FALSE)</f>
        <v>Proton symporter</v>
      </c>
      <c r="AH1184" s="3" t="str">
        <f>VLOOKUP($E1184,'Product Naming'!$A$1:$Q$58,17,FALSE)</f>
        <v>ppoh_c</v>
      </c>
      <c r="AI1184" s="1">
        <f>VLOOKUP($E1184,'Product Parameters'!$A$2:$D$59,2,FALSE)</f>
        <v>1</v>
      </c>
      <c r="AJ1184" s="1">
        <f>VLOOKUP($E1184,'Product Parameters'!$A$2:$D$59,3,FALSE)</f>
        <v>0</v>
      </c>
      <c r="AK1184" s="1">
        <f>VLOOKUP($E1184,'Product Parameters'!$A$2:$D$59,4,FALSE)</f>
        <v>0.12</v>
      </c>
      <c r="AL1184" s="1">
        <f>VLOOKUP($E1184,'Product Parameters'!$A$2:$E$59,5,FALSE)</f>
        <v>47</v>
      </c>
      <c r="AM1184" s="1">
        <f>VLOOKUP($E1184,'Product Parameters'!$A$2:$F$59,6,FALSE)</f>
        <v>3</v>
      </c>
      <c r="AN1184" s="1">
        <f>VLOOKUP($C1184,'Substrate Heating'!$A$2:$C$33,3,FALSE)</f>
        <v>1064.1143145599999</v>
      </c>
      <c r="AO1184" s="1">
        <f>VLOOKUP($C1184,'Substrate Heating'!$A$2:$B$33,2,FALSE)</f>
        <v>24.155999999999999</v>
      </c>
      <c r="AP1184" s="1">
        <f>VLOOKUP($C1184,'Substrate Heating'!$A$2:$M$33,13,FALSE)</f>
        <v>5</v>
      </c>
      <c r="AQ1184" s="1">
        <f>VLOOKUP($C1184,'Substrate Heating'!$A$2:$M$33,8,FALSE)</f>
        <v>2</v>
      </c>
      <c r="AR1184" s="1">
        <f t="shared" si="18"/>
        <v>0.64835294117647047</v>
      </c>
    </row>
    <row r="1185" spans="1:44" x14ac:dyDescent="0.2">
      <c r="A1185" s="8" t="s">
        <v>34</v>
      </c>
      <c r="B1185" s="9" t="s">
        <v>35</v>
      </c>
      <c r="C1185" s="1" t="s">
        <v>344</v>
      </c>
      <c r="D1185" s="10" t="s">
        <v>37</v>
      </c>
      <c r="E1185" s="1" t="s">
        <v>130</v>
      </c>
      <c r="F1185" s="1" t="s">
        <v>125</v>
      </c>
      <c r="G1185" s="1">
        <v>-10</v>
      </c>
      <c r="H1185" s="1">
        <v>-20</v>
      </c>
      <c r="I1185" s="1" t="s">
        <v>40</v>
      </c>
      <c r="J1185" s="1">
        <v>3.15</v>
      </c>
      <c r="K1185" s="1">
        <v>-10</v>
      </c>
      <c r="L1185" s="1">
        <v>-5.0000000000000098</v>
      </c>
      <c r="M1185" s="1" t="s">
        <v>40</v>
      </c>
      <c r="N1185" s="1">
        <v>5.0000000000000098</v>
      </c>
      <c r="O1185" s="1">
        <v>5</v>
      </c>
      <c r="Q1185" s="1">
        <v>0.5</v>
      </c>
      <c r="R1185" s="1">
        <v>0.59160077932458599</v>
      </c>
      <c r="S1185" s="1" t="str">
        <f>VLOOKUP($E1185,'Product Naming'!$A$1:$P$58,2,FALSE)</f>
        <v>Acrylate-PW2</v>
      </c>
      <c r="T1185" s="1" t="str">
        <f>VLOOKUP($E1185,'Product Naming'!$A$1:$P$58,3,FALSE)</f>
        <v>Acrylate (PW2)</v>
      </c>
      <c r="U1185" s="1" t="str">
        <f>VLOOKUP($E1185,'Product Naming'!$A$1:$P$58,4,FALSE)</f>
        <v>A</v>
      </c>
      <c r="V1185" s="1" t="str">
        <f>VLOOKUP($E1185,'Product Naming'!$A$1:$P$58,5,FALSE)</f>
        <v>C3H3O2</v>
      </c>
      <c r="W1185" s="1">
        <f>VLOOKUP($E1185,'Product Naming'!$A$1:$P$58,6,FALSE)</f>
        <v>3</v>
      </c>
      <c r="X1185" s="1">
        <f>VLOOKUP($E1185,'Product Naming'!$A$1:$P$58,7,FALSE)</f>
        <v>3</v>
      </c>
      <c r="Y1185" s="1">
        <f>VLOOKUP($E1185,'Product Naming'!$A$1:$P$58,8,FALSE)</f>
        <v>2</v>
      </c>
      <c r="Z1185" s="1">
        <f>VLOOKUP($E1185,'Product Naming'!$A$1:$P$58,9,FALSE)</f>
        <v>0</v>
      </c>
      <c r="AA1185" s="1">
        <f>VLOOKUP($E1185,'Product Naming'!$A$1:$P$58,10,FALSE)</f>
        <v>-1</v>
      </c>
      <c r="AB1185" s="29">
        <f>VLOOKUP($E1185,'Product Naming'!$A$1:$P$58,11,FALSE)</f>
        <v>3.6666666666666665</v>
      </c>
      <c r="AC1185" s="3">
        <f>VLOOKUP($E1185,'Product Naming'!$A$1:$P$58,12,FALSE)</f>
        <v>71.053619999999995</v>
      </c>
      <c r="AD1185" s="1">
        <f>VLOOKUP($E1185,'Product Naming'!$A$1:$P$58,13,FALSE)</f>
        <v>80</v>
      </c>
      <c r="AE1185" s="1" t="str">
        <f>VLOOKUP($E1185,'Product Naming'!$A$1:$P$58,14,FALSE)</f>
        <v>Carboxylate</v>
      </c>
      <c r="AF1185" s="1" t="str">
        <f>VLOOKUP($E1185,'Product Naming'!$A$1:$P$58,15,FALSE)</f>
        <v>Pyruvate</v>
      </c>
      <c r="AG1185" s="30" t="str">
        <f>VLOOKUP($E1185,'Product Naming'!$A$1:$P$58,16,FALSE)</f>
        <v>Proton symporter</v>
      </c>
      <c r="AH1185" s="3" t="str">
        <f>VLOOKUP($E1185,'Product Naming'!$A$1:$Q$58,17,FALSE)</f>
        <v>acryl_c</v>
      </c>
      <c r="AI1185" s="1">
        <f>VLOOKUP($E1185,'Product Parameters'!$A$2:$D$59,2,FALSE)</f>
        <v>1</v>
      </c>
      <c r="AJ1185" s="1">
        <f>VLOOKUP($E1185,'Product Parameters'!$A$2:$D$59,3,FALSE)</f>
        <v>0</v>
      </c>
      <c r="AK1185" s="1">
        <f>VLOOKUP($E1185,'Product Parameters'!$A$2:$D$59,4,FALSE)</f>
        <v>0.12</v>
      </c>
      <c r="AL1185" s="1">
        <f>VLOOKUP($E1185,'Product Parameters'!$A$2:$E$59,5,FALSE)</f>
        <v>53.1</v>
      </c>
      <c r="AM1185" s="1">
        <f>VLOOKUP($E1185,'Product Parameters'!$A$2:$F$59,6,FALSE)</f>
        <v>3</v>
      </c>
      <c r="AN1185" s="1">
        <f>VLOOKUP($C1185,'Substrate Heating'!$A$2:$C$33,3,FALSE)</f>
        <v>1020.8629199999999</v>
      </c>
      <c r="AO1185" s="1">
        <f>VLOOKUP($C1185,'Substrate Heating'!$A$2:$B$33,2,FALSE)</f>
        <v>17</v>
      </c>
      <c r="AP1185" s="1">
        <f>VLOOKUP($C1185,'Substrate Heating'!$A$2:$M$33,13,FALSE)</f>
        <v>4</v>
      </c>
      <c r="AQ1185" s="1">
        <f>VLOOKUP($C1185,'Substrate Heating'!$A$2:$M$33,8,FALSE)</f>
        <v>2</v>
      </c>
      <c r="AR1185" s="1">
        <f t="shared" si="18"/>
        <v>0.75</v>
      </c>
    </row>
    <row r="1186" spans="1:44" x14ac:dyDescent="0.2">
      <c r="A1186" s="8" t="s">
        <v>812</v>
      </c>
      <c r="B1186" s="9" t="s">
        <v>35</v>
      </c>
      <c r="C1186" t="s">
        <v>813</v>
      </c>
      <c r="E1186" t="s">
        <v>295</v>
      </c>
      <c r="F1186" t="s">
        <v>292</v>
      </c>
      <c r="G1186">
        <v>-10</v>
      </c>
      <c r="H1186">
        <v>-20</v>
      </c>
      <c r="I1186">
        <v>0</v>
      </c>
      <c r="J1186">
        <v>3.15</v>
      </c>
      <c r="K1186">
        <v>-10</v>
      </c>
      <c r="L1186">
        <v>-14.7357142857143</v>
      </c>
      <c r="M1186">
        <v>0</v>
      </c>
      <c r="N1186">
        <v>9.82380952380948</v>
      </c>
      <c r="O1186">
        <v>4.0352380952380704</v>
      </c>
      <c r="P1186"/>
      <c r="Q1186">
        <v>0.40352380952380701</v>
      </c>
      <c r="R1186">
        <v>0.59188161047962196</v>
      </c>
      <c r="S1186" s="1" t="str">
        <f>VLOOKUP($E1186,'Product Naming'!$A$1:$P$58,2,FALSE)</f>
        <v>Pentanol-PW2</v>
      </c>
      <c r="T1186" s="1" t="str">
        <f>VLOOKUP($E1186,'Product Naming'!$A$1:$P$58,3,FALSE)</f>
        <v>Pentanol (PW2)</v>
      </c>
      <c r="U1186" s="1" t="str">
        <f>VLOOKUP($E1186,'Product Naming'!$A$1:$P$58,4,FALSE)</f>
        <v>E</v>
      </c>
      <c r="V1186" s="1" t="str">
        <f>VLOOKUP($E1186,'Product Naming'!$A$1:$P$58,5,FALSE)</f>
        <v>C5H12O</v>
      </c>
      <c r="W1186" s="1">
        <f>VLOOKUP($E1186,'Product Naming'!$A$1:$P$58,6,FALSE)</f>
        <v>5</v>
      </c>
      <c r="X1186" s="1">
        <f>VLOOKUP($E1186,'Product Naming'!$A$1:$P$58,7,FALSE)</f>
        <v>12</v>
      </c>
      <c r="Y1186" s="1">
        <f>VLOOKUP($E1186,'Product Naming'!$A$1:$P$58,8,FALSE)</f>
        <v>1</v>
      </c>
      <c r="Z1186" s="1">
        <f>VLOOKUP($E1186,'Product Naming'!$A$1:$P$58,9,FALSE)</f>
        <v>0</v>
      </c>
      <c r="AA1186" s="1">
        <f>VLOOKUP($E1186,'Product Naming'!$A$1:$P$58,10,FALSE)</f>
        <v>0</v>
      </c>
      <c r="AB1186" s="29">
        <f>VLOOKUP($E1186,'Product Naming'!$A$1:$P$58,11,FALSE)</f>
        <v>6</v>
      </c>
      <c r="AC1186" s="3">
        <f>VLOOKUP($E1186,'Product Naming'!$A$1:$P$58,12,FALSE)</f>
        <v>88.14658</v>
      </c>
      <c r="AD1186" s="1">
        <f>VLOOKUP($E1186,'Product Naming'!$A$1:$P$58,13,FALSE)</f>
        <v>138</v>
      </c>
      <c r="AE1186" s="1" t="str">
        <f>VLOOKUP($E1186,'Product Naming'!$A$1:$P$58,14,FALSE)</f>
        <v>Alcohol</v>
      </c>
      <c r="AF1186" s="1" t="str">
        <f>VLOOKUP($E1186,'Product Naming'!$A$1:$P$58,15,FALSE)</f>
        <v>Oxaloacetate</v>
      </c>
      <c r="AG1186" s="30" t="str">
        <f>VLOOKUP($E1186,'Product Naming'!$A$1:$P$58,16,FALSE)</f>
        <v>Proton symporter</v>
      </c>
      <c r="AH1186" s="3" t="str">
        <f>VLOOKUP($E1186,'Product Naming'!$A$1:$Q$58,17,FALSE)</f>
        <v>pentoh_c</v>
      </c>
      <c r="AI1186" s="1">
        <f>VLOOKUP($E1186,'Product Parameters'!$A$2:$D$59,2,FALSE)</f>
        <v>1</v>
      </c>
      <c r="AJ1186" s="1">
        <f>VLOOKUP($E1186,'Product Parameters'!$A$2:$D$59,3,FALSE)</f>
        <v>0</v>
      </c>
      <c r="AK1186" s="1">
        <f>VLOOKUP($E1186,'Product Parameters'!$A$2:$D$59,4,FALSE)</f>
        <v>0.12</v>
      </c>
      <c r="AL1186" s="1">
        <f>VLOOKUP($E1186,'Product Parameters'!$A$2:$E$59,5,FALSE)</f>
        <v>57</v>
      </c>
      <c r="AM1186" s="1">
        <f>VLOOKUP($E1186,'Product Parameters'!$A$2:$F$59,6,FALSE)</f>
        <v>5</v>
      </c>
      <c r="AN1186" s="1">
        <f>VLOOKUP($C1186,'Substrate Heating'!$A$2:$C$33,3,FALSE)</f>
        <v>1843.720736</v>
      </c>
      <c r="AO1186" s="1">
        <f>VLOOKUP($C1186,'Substrate Heating'!$A$2:$B$33,2,FALSE)</f>
        <v>30.68</v>
      </c>
      <c r="AP1186" s="1">
        <f>VLOOKUP($C1186,'Substrate Heating'!$A$2:$M$33,13,FALSE)</f>
        <v>6</v>
      </c>
      <c r="AQ1186" s="1">
        <f>VLOOKUP($C1186,'Substrate Heating'!$A$2:$M$33,8,FALSE)</f>
        <v>3</v>
      </c>
      <c r="AR1186" s="1">
        <f t="shared" si="18"/>
        <v>0.67253968253967844</v>
      </c>
    </row>
    <row r="1187" spans="1:44" x14ac:dyDescent="0.2">
      <c r="A1187" s="8" t="s">
        <v>34</v>
      </c>
      <c r="B1187" s="9" t="s">
        <v>35</v>
      </c>
      <c r="C1187" s="1" t="s">
        <v>36</v>
      </c>
      <c r="D1187" s="10" t="s">
        <v>37</v>
      </c>
      <c r="E1187" s="1" t="s">
        <v>291</v>
      </c>
      <c r="F1187" s="1" t="s">
        <v>292</v>
      </c>
      <c r="G1187" s="1">
        <v>-10</v>
      </c>
      <c r="H1187" s="1">
        <v>-20</v>
      </c>
      <c r="I1187" s="1" t="s">
        <v>40</v>
      </c>
      <c r="J1187" s="1">
        <v>3.15</v>
      </c>
      <c r="K1187" s="1">
        <v>-10</v>
      </c>
      <c r="L1187" s="1">
        <v>-2.5975609756097602</v>
      </c>
      <c r="M1187" s="1" t="s">
        <v>40</v>
      </c>
      <c r="N1187" s="1">
        <v>5.0650406504065</v>
      </c>
      <c r="O1187" s="1">
        <v>2.9869918699186999</v>
      </c>
      <c r="Q1187" s="1">
        <v>0.29869918699186998</v>
      </c>
      <c r="R1187" s="1">
        <v>0.59769034840183</v>
      </c>
      <c r="S1187" s="1" t="str">
        <f>VLOOKUP($E1187,'Product Naming'!$A$1:$P$58,2,FALSE)</f>
        <v>Pentanol-PW1</v>
      </c>
      <c r="T1187" s="1" t="str">
        <f>VLOOKUP($E1187,'Product Naming'!$A$1:$P$58,3,FALSE)</f>
        <v>Pentanol (PW1)</v>
      </c>
      <c r="U1187" s="1" t="str">
        <f>VLOOKUP($E1187,'Product Naming'!$A$1:$P$58,4,FALSE)</f>
        <v>E</v>
      </c>
      <c r="V1187" s="1" t="str">
        <f>VLOOKUP($E1187,'Product Naming'!$A$1:$P$58,5,FALSE)</f>
        <v>C5H12O</v>
      </c>
      <c r="W1187" s="1">
        <f>VLOOKUP($E1187,'Product Naming'!$A$1:$P$58,6,FALSE)</f>
        <v>5</v>
      </c>
      <c r="X1187" s="1">
        <f>VLOOKUP($E1187,'Product Naming'!$A$1:$P$58,7,FALSE)</f>
        <v>12</v>
      </c>
      <c r="Y1187" s="1">
        <f>VLOOKUP($E1187,'Product Naming'!$A$1:$P$58,8,FALSE)</f>
        <v>1</v>
      </c>
      <c r="Z1187" s="1">
        <f>VLOOKUP($E1187,'Product Naming'!$A$1:$P$58,9,FALSE)</f>
        <v>0</v>
      </c>
      <c r="AA1187" s="1">
        <f>VLOOKUP($E1187,'Product Naming'!$A$1:$P$58,10,FALSE)</f>
        <v>0</v>
      </c>
      <c r="AB1187" s="29">
        <f>VLOOKUP($E1187,'Product Naming'!$A$1:$P$58,11,FALSE)</f>
        <v>6</v>
      </c>
      <c r="AC1187" s="3">
        <f>VLOOKUP($E1187,'Product Naming'!$A$1:$P$58,12,FALSE)</f>
        <v>88.14658</v>
      </c>
      <c r="AD1187" s="1">
        <f>VLOOKUP($E1187,'Product Naming'!$A$1:$P$58,13,FALSE)</f>
        <v>138</v>
      </c>
      <c r="AE1187" s="1" t="str">
        <f>VLOOKUP($E1187,'Product Naming'!$A$1:$P$58,14,FALSE)</f>
        <v>Alcohol</v>
      </c>
      <c r="AF1187" s="1" t="str">
        <f>VLOOKUP($E1187,'Product Naming'!$A$1:$P$58,15,FALSE)</f>
        <v>Acetyl-CoA + Succinyl-CoA</v>
      </c>
      <c r="AG1187" s="30" t="str">
        <f>VLOOKUP($E1187,'Product Naming'!$A$1:$P$58,16,FALSE)</f>
        <v>Proton symporter</v>
      </c>
      <c r="AH1187" s="3" t="str">
        <f>VLOOKUP($E1187,'Product Naming'!$A$1:$Q$58,17,FALSE)</f>
        <v>pentoh_c</v>
      </c>
      <c r="AI1187" s="1">
        <f>VLOOKUP($E1187,'Product Parameters'!$A$2:$D$59,2,FALSE)</f>
        <v>1</v>
      </c>
      <c r="AJ1187" s="1">
        <f>VLOOKUP($E1187,'Product Parameters'!$A$2:$D$59,3,FALSE)</f>
        <v>0</v>
      </c>
      <c r="AK1187" s="1">
        <f>VLOOKUP($E1187,'Product Parameters'!$A$2:$D$59,4,FALSE)</f>
        <v>0.12</v>
      </c>
      <c r="AL1187" s="1">
        <f>VLOOKUP($E1187,'Product Parameters'!$A$2:$E$59,5,FALSE)</f>
        <v>57</v>
      </c>
      <c r="AM1187" s="1">
        <f>VLOOKUP($E1187,'Product Parameters'!$A$2:$F$59,6,FALSE)</f>
        <v>5</v>
      </c>
      <c r="AN1187" s="1">
        <f>VLOOKUP($C1187,'Substrate Heating'!$A$2:$C$33,3,FALSE)</f>
        <v>1064.1143145599999</v>
      </c>
      <c r="AO1187" s="1">
        <f>VLOOKUP($C1187,'Substrate Heating'!$A$2:$B$33,2,FALSE)</f>
        <v>24.155999999999999</v>
      </c>
      <c r="AP1187" s="1">
        <f>VLOOKUP($C1187,'Substrate Heating'!$A$2:$M$33,13,FALSE)</f>
        <v>5</v>
      </c>
      <c r="AQ1187" s="1">
        <f>VLOOKUP($C1187,'Substrate Heating'!$A$2:$M$33,8,FALSE)</f>
        <v>2</v>
      </c>
      <c r="AR1187" s="1">
        <f t="shared" si="18"/>
        <v>0.74674796747967498</v>
      </c>
    </row>
    <row r="1188" spans="1:44" x14ac:dyDescent="0.2">
      <c r="A1188" s="8" t="s">
        <v>34</v>
      </c>
      <c r="B1188" s="9" t="s">
        <v>35</v>
      </c>
      <c r="C1188" s="1" t="s">
        <v>330</v>
      </c>
      <c r="D1188" s="10" t="s">
        <v>37</v>
      </c>
      <c r="E1188" s="1" t="s">
        <v>60</v>
      </c>
      <c r="F1188" s="1" t="s">
        <v>61</v>
      </c>
      <c r="G1188" s="1">
        <v>-10</v>
      </c>
      <c r="H1188" s="1">
        <v>-20</v>
      </c>
      <c r="I1188" s="1" t="s">
        <v>40</v>
      </c>
      <c r="J1188" s="1">
        <v>3.15</v>
      </c>
      <c r="K1188" s="1">
        <v>-10</v>
      </c>
      <c r="L1188" s="1">
        <v>-5.4749999999999899</v>
      </c>
      <c r="M1188" s="1" t="s">
        <v>40</v>
      </c>
      <c r="N1188" s="1">
        <v>5.3562500000000099</v>
      </c>
      <c r="O1188" s="1">
        <v>4.8812500000000103</v>
      </c>
      <c r="Q1188" s="1">
        <v>0.48812500000000097</v>
      </c>
      <c r="R1188" s="1">
        <v>0.59843663822132498</v>
      </c>
      <c r="S1188" s="1" t="str">
        <f>VLOOKUP($E1188,'Product Naming'!$A$1:$P$58,2,FALSE)</f>
        <v>1-3-Propanediol</v>
      </c>
      <c r="T1188" s="1" t="str">
        <f>VLOOKUP($E1188,'Product Naming'!$A$1:$P$58,3,FALSE)</f>
        <v>1,3-Propanediol</v>
      </c>
      <c r="U1188" s="1" t="str">
        <f>VLOOKUP($E1188,'Product Naming'!$A$1:$P$58,4,FALSE)</f>
        <v>A</v>
      </c>
      <c r="V1188" s="1" t="str">
        <f>VLOOKUP($E1188,'Product Naming'!$A$1:$P$58,5,FALSE)</f>
        <v>C3H8O2</v>
      </c>
      <c r="W1188" s="1">
        <f>VLOOKUP($E1188,'Product Naming'!$A$1:$P$58,6,FALSE)</f>
        <v>3</v>
      </c>
      <c r="X1188" s="1">
        <f>VLOOKUP($E1188,'Product Naming'!$A$1:$P$58,7,FALSE)</f>
        <v>8</v>
      </c>
      <c r="Y1188" s="1">
        <f>VLOOKUP($E1188,'Product Naming'!$A$1:$P$58,8,FALSE)</f>
        <v>2</v>
      </c>
      <c r="Z1188" s="1">
        <f>VLOOKUP($E1188,'Product Naming'!$A$1:$P$58,9,FALSE)</f>
        <v>0</v>
      </c>
      <c r="AA1188" s="1">
        <f>VLOOKUP($E1188,'Product Naming'!$A$1:$P$58,10,FALSE)</f>
        <v>0</v>
      </c>
      <c r="AB1188" s="29">
        <f>VLOOKUP($E1188,'Product Naming'!$A$1:$P$58,11,FALSE)</f>
        <v>5.333333333333333</v>
      </c>
      <c r="AC1188" s="3">
        <f>VLOOKUP($E1188,'Product Naming'!$A$1:$P$58,12,FALSE)</f>
        <v>76.092820000000003</v>
      </c>
      <c r="AD1188" s="1">
        <f>VLOOKUP($E1188,'Product Naming'!$A$1:$P$58,13,FALSE)</f>
        <v>213</v>
      </c>
      <c r="AE1188" s="1" t="str">
        <f>VLOOKUP($E1188,'Product Naming'!$A$1:$P$58,14,FALSE)</f>
        <v>Diol</v>
      </c>
      <c r="AF1188" s="1" t="str">
        <f>VLOOKUP($E1188,'Product Naming'!$A$1:$P$58,15,FALSE)</f>
        <v>Glyceraldehyde 3-P</v>
      </c>
      <c r="AG1188" s="30" t="str">
        <f>VLOOKUP($E1188,'Product Naming'!$A$1:$P$58,16,FALSE)</f>
        <v>Proton symporter</v>
      </c>
      <c r="AH1188" s="3" t="str">
        <f>VLOOKUP($E1188,'Product Naming'!$A$1:$Q$58,17,FALSE)</f>
        <v>13ppd_c</v>
      </c>
      <c r="AI1188" s="1">
        <f>VLOOKUP($E1188,'Product Parameters'!$A$2:$D$59,2,FALSE)</f>
        <v>1</v>
      </c>
      <c r="AJ1188" s="1">
        <f>VLOOKUP($E1188,'Product Parameters'!$A$2:$D$59,3,FALSE)</f>
        <v>0</v>
      </c>
      <c r="AK1188" s="1">
        <f>VLOOKUP($E1188,'Product Parameters'!$A$2:$D$59,4,FALSE)</f>
        <v>0.12</v>
      </c>
      <c r="AL1188" s="1">
        <f>VLOOKUP($E1188,'Product Parameters'!$A$2:$E$59,5,FALSE)</f>
        <v>70</v>
      </c>
      <c r="AM1188" s="1">
        <f>VLOOKUP($E1188,'Product Parameters'!$A$2:$F$59,6,FALSE)</f>
        <v>3</v>
      </c>
      <c r="AN1188" s="1">
        <f>VLOOKUP($C1188,'Substrate Heating'!$A$2:$C$33,3,FALSE)</f>
        <v>1055.1294800000001</v>
      </c>
      <c r="AO1188" s="1">
        <f>VLOOKUP($C1188,'Substrate Heating'!$A$2:$B$33,2,FALSE)</f>
        <v>17</v>
      </c>
      <c r="AP1188" s="1">
        <f>VLOOKUP($C1188,'Substrate Heating'!$A$2:$M$33,13,FALSE)</f>
        <v>5</v>
      </c>
      <c r="AQ1188" s="1">
        <f>VLOOKUP($C1188,'Substrate Heating'!$A$2:$M$33,8,FALSE)</f>
        <v>2</v>
      </c>
      <c r="AR1188" s="1">
        <f t="shared" si="18"/>
        <v>0.73218750000000143</v>
      </c>
    </row>
    <row r="1189" spans="1:44" x14ac:dyDescent="0.2">
      <c r="A1189" s="8" t="s">
        <v>34</v>
      </c>
      <c r="B1189" s="9" t="s">
        <v>35</v>
      </c>
      <c r="C1189" s="1" t="s">
        <v>344</v>
      </c>
      <c r="D1189" s="10" t="s">
        <v>37</v>
      </c>
      <c r="E1189" s="1" t="s">
        <v>308</v>
      </c>
      <c r="F1189" s="1" t="s">
        <v>309</v>
      </c>
      <c r="G1189" s="1">
        <v>-10</v>
      </c>
      <c r="H1189" s="1">
        <v>-20</v>
      </c>
      <c r="I1189" s="1" t="s">
        <v>40</v>
      </c>
      <c r="J1189" s="1">
        <v>3.15</v>
      </c>
      <c r="K1189" s="1">
        <v>-10</v>
      </c>
      <c r="L1189" s="1">
        <v>-5.4693548387096804</v>
      </c>
      <c r="M1189" s="1" t="s">
        <v>40</v>
      </c>
      <c r="N1189" s="1">
        <v>5.4693548387096698</v>
      </c>
      <c r="O1189" s="1">
        <v>2.0758064516129</v>
      </c>
      <c r="Q1189" s="1">
        <v>0.20758064516128999</v>
      </c>
      <c r="R1189" s="1">
        <v>0.59849144725109205</v>
      </c>
      <c r="S1189" s="1" t="str">
        <f>VLOOKUP($E1189,'Product Naming'!$A$1:$P$58,2,FALSE)</f>
        <v>Shikimate</v>
      </c>
      <c r="T1189" s="1" t="str">
        <f>VLOOKUP($E1189,'Product Naming'!$A$1:$P$58,3,FALSE)</f>
        <v>Shikimate</v>
      </c>
      <c r="U1189" s="1" t="str">
        <f>VLOOKUP($E1189,'Product Naming'!$A$1:$P$58,4,FALSE)</f>
        <v>E</v>
      </c>
      <c r="V1189" s="1" t="str">
        <f>VLOOKUP($E1189,'Product Naming'!$A$1:$P$58,5,FALSE)</f>
        <v>C7H9O5</v>
      </c>
      <c r="W1189" s="1">
        <f>VLOOKUP($E1189,'Product Naming'!$A$1:$P$58,6,FALSE)</f>
        <v>7</v>
      </c>
      <c r="X1189" s="1">
        <f>VLOOKUP($E1189,'Product Naming'!$A$1:$P$58,7,FALSE)</f>
        <v>9</v>
      </c>
      <c r="Y1189" s="1">
        <f>VLOOKUP($E1189,'Product Naming'!$A$1:$P$58,8,FALSE)</f>
        <v>5</v>
      </c>
      <c r="Z1189" s="1">
        <f>VLOOKUP($E1189,'Product Naming'!$A$1:$P$58,9,FALSE)</f>
        <v>0</v>
      </c>
      <c r="AA1189" s="1">
        <f>VLOOKUP($E1189,'Product Naming'!$A$1:$P$58,10,FALSE)</f>
        <v>-1</v>
      </c>
      <c r="AB1189" s="29">
        <f>VLOOKUP($E1189,'Product Naming'!$A$1:$P$58,11,FALSE)</f>
        <v>3.8571428571428572</v>
      </c>
      <c r="AC1189" s="3">
        <f>VLOOKUP($E1189,'Product Naming'!$A$1:$P$58,12,FALSE)</f>
        <v>173.14046000000002</v>
      </c>
      <c r="AD1189" s="1">
        <f>VLOOKUP($E1189,'Product Naming'!$A$1:$P$58,13,FALSE)</f>
        <v>400.5</v>
      </c>
      <c r="AE1189" s="1" t="str">
        <f>VLOOKUP($E1189,'Product Naming'!$A$1:$P$58,14,FALSE)</f>
        <v>Aromatic + Alcohol + Carboxylate</v>
      </c>
      <c r="AF1189" s="1" t="str">
        <f>VLOOKUP($E1189,'Product Naming'!$A$1:$P$58,15,FALSE)</f>
        <v>PEP + E4P (Glyceraldehyde 3-P)</v>
      </c>
      <c r="AG1189" s="30" t="str">
        <f>VLOOKUP($E1189,'Product Naming'!$A$1:$P$58,16,FALSE)</f>
        <v>Proton symporter</v>
      </c>
      <c r="AH1189" s="3" t="str">
        <f>VLOOKUP($E1189,'Product Naming'!$A$1:$Q$58,17,FALSE)</f>
        <v>skm_c</v>
      </c>
      <c r="AI1189" s="1">
        <f>VLOOKUP($E1189,'Product Parameters'!$A$2:$D$59,2,FALSE)</f>
        <v>1</v>
      </c>
      <c r="AJ1189" s="1">
        <f>VLOOKUP($E1189,'Product Parameters'!$A$2:$D$59,3,FALSE)</f>
        <v>0</v>
      </c>
      <c r="AK1189" s="1">
        <f>VLOOKUP($E1189,'Product Parameters'!$A$2:$D$59,4,FALSE)</f>
        <v>0.12</v>
      </c>
      <c r="AL1189" s="1">
        <f>VLOOKUP($E1189,'Product Parameters'!$A$2:$E$59,5,FALSE)</f>
        <v>40.65</v>
      </c>
      <c r="AM1189" s="1">
        <f>VLOOKUP($E1189,'Product Parameters'!$A$2:$F$59,6,FALSE)</f>
        <v>7</v>
      </c>
      <c r="AN1189" s="1">
        <f>VLOOKUP($C1189,'Substrate Heating'!$A$2:$C$33,3,FALSE)</f>
        <v>1020.8629199999999</v>
      </c>
      <c r="AO1189" s="1">
        <f>VLOOKUP($C1189,'Substrate Heating'!$A$2:$B$33,2,FALSE)</f>
        <v>17</v>
      </c>
      <c r="AP1189" s="1">
        <f>VLOOKUP($C1189,'Substrate Heating'!$A$2:$M$33,13,FALSE)</f>
        <v>4</v>
      </c>
      <c r="AQ1189" s="1">
        <f>VLOOKUP($C1189,'Substrate Heating'!$A$2:$M$33,8,FALSE)</f>
        <v>2</v>
      </c>
      <c r="AR1189" s="1">
        <f t="shared" si="18"/>
        <v>0.72653225806451494</v>
      </c>
    </row>
    <row r="1190" spans="1:44" x14ac:dyDescent="0.2">
      <c r="A1190" s="8" t="s">
        <v>34</v>
      </c>
      <c r="B1190" s="9" t="s">
        <v>35</v>
      </c>
      <c r="C1190" s="1" t="s">
        <v>343</v>
      </c>
      <c r="D1190" s="24" t="s">
        <v>342</v>
      </c>
      <c r="E1190" s="1" t="s">
        <v>66</v>
      </c>
      <c r="F1190" s="1" t="s">
        <v>67</v>
      </c>
      <c r="G1190" s="1">
        <v>-10</v>
      </c>
      <c r="H1190" s="1">
        <v>-20</v>
      </c>
      <c r="I1190" s="1" t="s">
        <v>40</v>
      </c>
      <c r="J1190" s="1">
        <v>3.15</v>
      </c>
      <c r="K1190" s="1">
        <v>-10</v>
      </c>
      <c r="L1190" s="1">
        <v>-1.27093023255814</v>
      </c>
      <c r="M1190" s="1" t="s">
        <v>40</v>
      </c>
      <c r="N1190" s="1">
        <v>5.4697674418604603</v>
      </c>
      <c r="O1190" s="1">
        <v>6.13255813953488</v>
      </c>
      <c r="Q1190" s="1">
        <v>0.61325581395348805</v>
      </c>
      <c r="R1190" s="1">
        <v>0.60010675362187405</v>
      </c>
      <c r="S1190" s="1" t="str">
        <f>VLOOKUP($E1190,'Product Naming'!$A$1:$P$58,2,FALSE)</f>
        <v>1-4-butanediol</v>
      </c>
      <c r="T1190" s="1" t="str">
        <f>VLOOKUP($E1190,'Product Naming'!$A$1:$P$58,3,FALSE)</f>
        <v>1,4-Butanediol</v>
      </c>
      <c r="U1190" s="1" t="str">
        <f>VLOOKUP($E1190,'Product Naming'!$A$1:$P$58,4,FALSE)</f>
        <v>E</v>
      </c>
      <c r="V1190" s="1" t="str">
        <f>VLOOKUP($E1190,'Product Naming'!$A$1:$P$58,5,FALSE)</f>
        <v>C4H10O2</v>
      </c>
      <c r="W1190" s="1">
        <f>VLOOKUP($E1190,'Product Naming'!$A$1:$P$58,6,FALSE)</f>
        <v>4</v>
      </c>
      <c r="X1190" s="1">
        <f>VLOOKUP($E1190,'Product Naming'!$A$1:$P$58,7,FALSE)</f>
        <v>10</v>
      </c>
      <c r="Y1190" s="1">
        <f>VLOOKUP($E1190,'Product Naming'!$A$1:$P$58,8,FALSE)</f>
        <v>2</v>
      </c>
      <c r="Z1190" s="1">
        <f>VLOOKUP($E1190,'Product Naming'!$A$1:$P$58,9,FALSE)</f>
        <v>0</v>
      </c>
      <c r="AA1190" s="1">
        <f>VLOOKUP($E1190,'Product Naming'!$A$1:$P$58,10,FALSE)</f>
        <v>0</v>
      </c>
      <c r="AB1190" s="29">
        <f>VLOOKUP($E1190,'Product Naming'!$A$1:$P$58,11,FALSE)</f>
        <v>5.5</v>
      </c>
      <c r="AC1190" s="3">
        <f>VLOOKUP($E1190,'Product Naming'!$A$1:$P$58,12,FALSE)</f>
        <v>90.119200000000006</v>
      </c>
      <c r="AD1190" s="1">
        <f>VLOOKUP($E1190,'Product Naming'!$A$1:$P$58,13,FALSE)</f>
        <v>230</v>
      </c>
      <c r="AE1190" s="1" t="str">
        <f>VLOOKUP($E1190,'Product Naming'!$A$1:$P$58,14,FALSE)</f>
        <v>Diol</v>
      </c>
      <c r="AF1190" s="1" t="str">
        <f>VLOOKUP($E1190,'Product Naming'!$A$1:$P$58,15,FALSE)</f>
        <v>aKG</v>
      </c>
      <c r="AG1190" s="30" t="str">
        <f>VLOOKUP($E1190,'Product Naming'!$A$1:$P$58,16,FALSE)</f>
        <v>Proton symporter</v>
      </c>
      <c r="AH1190" s="3" t="str">
        <f>VLOOKUP($E1190,'Product Naming'!$A$1:$Q$58,17,FALSE)</f>
        <v>14bdo_c</v>
      </c>
      <c r="AI1190" s="1">
        <f>VLOOKUP($E1190,'Product Parameters'!$A$2:$D$59,2,FALSE)</f>
        <v>1</v>
      </c>
      <c r="AJ1190" s="1">
        <f>VLOOKUP($E1190,'Product Parameters'!$A$2:$D$59,3,FALSE)</f>
        <v>0</v>
      </c>
      <c r="AK1190" s="1">
        <f>VLOOKUP($E1190,'Product Parameters'!$A$2:$D$59,4,FALSE)</f>
        <v>0.12</v>
      </c>
      <c r="AL1190" s="1">
        <f>VLOOKUP($E1190,'Product Parameters'!$A$2:$E$59,5,FALSE)</f>
        <v>78</v>
      </c>
      <c r="AM1190" s="1">
        <f>VLOOKUP($E1190,'Product Parameters'!$A$2:$F$59,6,FALSE)</f>
        <v>4</v>
      </c>
      <c r="AN1190" s="1">
        <f>VLOOKUP($C1190,'Substrate Heating'!$A$2:$C$33,3,FALSE)</f>
        <v>1648.4793779999998</v>
      </c>
      <c r="AO1190" s="1">
        <f>VLOOKUP($C1190,'Substrate Heating'!$A$2:$B$33,2,FALSE)</f>
        <v>17.899999999999999</v>
      </c>
      <c r="AP1190" s="1">
        <f>VLOOKUP($C1190,'Substrate Heating'!$A$2:$M$33,13,FALSE)</f>
        <v>4.666666666666667</v>
      </c>
      <c r="AQ1190" s="1">
        <f>VLOOKUP($C1190,'Substrate Heating'!$A$2:$M$33,8,FALSE)</f>
        <v>3</v>
      </c>
      <c r="AR1190" s="1">
        <f t="shared" si="18"/>
        <v>0.81767441860465073</v>
      </c>
    </row>
    <row r="1191" spans="1:44" x14ac:dyDescent="0.2">
      <c r="A1191" s="17" t="s">
        <v>323</v>
      </c>
      <c r="B1191" s="18" t="s">
        <v>324</v>
      </c>
      <c r="C1191" t="s">
        <v>329</v>
      </c>
      <c r="D1191" s="19" t="s">
        <v>326</v>
      </c>
      <c r="E1191" t="s">
        <v>215</v>
      </c>
      <c r="F1191" t="s">
        <v>216</v>
      </c>
      <c r="G1191">
        <v>-10</v>
      </c>
      <c r="H1191">
        <v>0</v>
      </c>
      <c r="I1191">
        <v>-20</v>
      </c>
      <c r="J1191">
        <v>0.45</v>
      </c>
      <c r="K1191">
        <v>-10</v>
      </c>
      <c r="L1191">
        <v>0</v>
      </c>
      <c r="M1191">
        <v>-12.475675675675699</v>
      </c>
      <c r="N1191">
        <v>0</v>
      </c>
      <c r="O1191">
        <v>1.2540540540540499</v>
      </c>
      <c r="P1191"/>
      <c r="Q1191">
        <v>0.12540540540540501</v>
      </c>
      <c r="R1191" s="20">
        <v>0.60019818182011098</v>
      </c>
      <c r="S1191" s="1" t="str">
        <f>VLOOKUP($E1191,'Product Naming'!$A$1:$P$58,2,FALSE)</f>
        <v>Glutamate_L</v>
      </c>
      <c r="T1191" s="1" t="str">
        <f>VLOOKUP($E1191,'Product Naming'!$A$1:$P$58,3,FALSE)</f>
        <v>L-Glutamate</v>
      </c>
      <c r="U1191" s="1" t="str">
        <f>VLOOKUP($E1191,'Product Naming'!$A$1:$P$58,4,FALSE)</f>
        <v>iJO1366</v>
      </c>
      <c r="V1191" s="1" t="str">
        <f>VLOOKUP($E1191,'Product Naming'!$A$1:$P$58,5,FALSE)</f>
        <v>C5H8NO4</v>
      </c>
      <c r="W1191" s="1">
        <f>VLOOKUP($E1191,'Product Naming'!$A$1:$P$58,6,FALSE)</f>
        <v>5</v>
      </c>
      <c r="X1191" s="1">
        <f>VLOOKUP($E1191,'Product Naming'!$A$1:$P$58,7,FALSE)</f>
        <v>8</v>
      </c>
      <c r="Y1191" s="1">
        <f>VLOOKUP($E1191,'Product Naming'!$A$1:$P$58,8,FALSE)</f>
        <v>4</v>
      </c>
      <c r="Z1191" s="1">
        <f>VLOOKUP($E1191,'Product Naming'!$A$1:$P$58,9,FALSE)</f>
        <v>1</v>
      </c>
      <c r="AA1191" s="1">
        <f>VLOOKUP($E1191,'Product Naming'!$A$1:$P$58,10,FALSE)</f>
        <v>-1</v>
      </c>
      <c r="AB1191" s="29">
        <f>VLOOKUP($E1191,'Product Naming'!$A$1:$P$58,11,FALSE)</f>
        <v>3.4</v>
      </c>
      <c r="AC1191" s="3">
        <f>VLOOKUP($E1191,'Product Naming'!$A$1:$P$58,12,FALSE)</f>
        <v>146.11892</v>
      </c>
      <c r="AD1191" s="1">
        <f>VLOOKUP($E1191,'Product Naming'!$A$1:$P$58,13,FALSE)</f>
        <v>333.8</v>
      </c>
      <c r="AE1191" s="1" t="str">
        <f>VLOOKUP($E1191,'Product Naming'!$A$1:$P$58,14,FALSE)</f>
        <v>Amino acid</v>
      </c>
      <c r="AF1191" s="1" t="str">
        <f>VLOOKUP($E1191,'Product Naming'!$A$1:$P$58,15,FALSE)</f>
        <v>aKG</v>
      </c>
      <c r="AG1191" s="30" t="str">
        <f>VLOOKUP($E1191,'Product Naming'!$A$1:$P$58,16,FALSE)</f>
        <v>Proton symporter</v>
      </c>
      <c r="AH1191" s="3" t="str">
        <f>VLOOKUP($E1191,'Product Naming'!$A$1:$Q$58,17,FALSE)</f>
        <v>glu__L_c</v>
      </c>
      <c r="AI1191" s="1">
        <f>VLOOKUP($E1191,'Product Parameters'!$A$2:$D$59,2,FALSE)</f>
        <v>1</v>
      </c>
      <c r="AJ1191" s="1">
        <f>VLOOKUP($E1191,'Product Parameters'!$A$2:$D$59,3,FALSE)</f>
        <v>0</v>
      </c>
      <c r="AK1191" s="1">
        <f>VLOOKUP($E1191,'Product Parameters'!$A$2:$D$59,4,FALSE)</f>
        <v>0.12</v>
      </c>
      <c r="AL1191" s="1">
        <f>VLOOKUP($E1191,'Product Parameters'!$A$2:$E$59,5,FALSE)</f>
        <v>40.65</v>
      </c>
      <c r="AM1191" s="1">
        <f>VLOOKUP($E1191,'Product Parameters'!$A$2:$F$59,6,FALSE)</f>
        <v>5</v>
      </c>
      <c r="AN1191" s="1">
        <f>VLOOKUP($C1191,'Substrate Heating'!$A$2:$C$33,3,FALSE)</f>
        <v>255.53333333333336</v>
      </c>
      <c r="AO1191" s="1">
        <f>VLOOKUP($C1191,'Substrate Heating'!$A$2:$B$33,2,FALSE)</f>
        <v>23.925550527978785</v>
      </c>
      <c r="AP1191" s="1">
        <f>VLOOKUP($C1191,'Substrate Heating'!$A$2:$M$33,13,FALSE)</f>
        <v>0.66666666666666663</v>
      </c>
      <c r="AQ1191" s="1">
        <f>VLOOKUP($C1191,'Substrate Heating'!$A$2:$M$33,8,FALSE)</f>
        <v>0.33333333333333331</v>
      </c>
      <c r="AR1191" s="1">
        <f t="shared" si="18"/>
        <v>1.8810810810810752</v>
      </c>
    </row>
    <row r="1192" spans="1:44" x14ac:dyDescent="0.2">
      <c r="A1192" s="8" t="s">
        <v>34</v>
      </c>
      <c r="B1192" s="9" t="s">
        <v>35</v>
      </c>
      <c r="C1192" s="1" t="s">
        <v>349</v>
      </c>
      <c r="D1192" s="25" t="s">
        <v>342</v>
      </c>
      <c r="E1192" s="1" t="s">
        <v>132</v>
      </c>
      <c r="F1192" s="1" t="s">
        <v>133</v>
      </c>
      <c r="G1192" s="1">
        <v>-10</v>
      </c>
      <c r="H1192" s="1">
        <v>-20</v>
      </c>
      <c r="I1192" s="1" t="s">
        <v>40</v>
      </c>
      <c r="J1192" s="1">
        <v>3.15</v>
      </c>
      <c r="K1192" s="1">
        <v>-10</v>
      </c>
      <c r="L1192" s="1">
        <v>-9.3580821917808201</v>
      </c>
      <c r="M1192" s="1" t="s">
        <v>40</v>
      </c>
      <c r="N1192" s="1">
        <v>12.484383561643799</v>
      </c>
      <c r="O1192" s="1">
        <v>6.2526027397260204</v>
      </c>
      <c r="Q1192" s="1">
        <v>0.62526027397260198</v>
      </c>
      <c r="R1192" s="1">
        <v>0.60024203320409897</v>
      </c>
      <c r="S1192" s="1" t="str">
        <f>VLOOKUP($E1192,'Product Naming'!$A$1:$P$58,2,FALSE)</f>
        <v>Adipate</v>
      </c>
      <c r="T1192" s="1" t="str">
        <f>VLOOKUP($E1192,'Product Naming'!$A$1:$P$58,3,FALSE)</f>
        <v>Adipate</v>
      </c>
      <c r="U1192" s="1" t="str">
        <f>VLOOKUP($E1192,'Product Naming'!$A$1:$P$58,4,FALSE)</f>
        <v>E</v>
      </c>
      <c r="V1192" s="1" t="str">
        <f>VLOOKUP($E1192,'Product Naming'!$A$1:$P$58,5,FALSE)</f>
        <v>C6H8O4</v>
      </c>
      <c r="W1192" s="1">
        <f>VLOOKUP($E1192,'Product Naming'!$A$1:$P$58,6,FALSE)</f>
        <v>6</v>
      </c>
      <c r="X1192" s="1">
        <f>VLOOKUP($E1192,'Product Naming'!$A$1:$P$58,7,FALSE)</f>
        <v>8</v>
      </c>
      <c r="Y1192" s="1">
        <f>VLOOKUP($E1192,'Product Naming'!$A$1:$P$58,8,FALSE)</f>
        <v>4</v>
      </c>
      <c r="Z1192" s="1">
        <f>VLOOKUP($E1192,'Product Naming'!$A$1:$P$58,9,FALSE)</f>
        <v>0</v>
      </c>
      <c r="AA1192" s="1">
        <f>VLOOKUP($E1192,'Product Naming'!$A$1:$P$58,10,FALSE)</f>
        <v>-2</v>
      </c>
      <c r="AB1192" s="29">
        <f>VLOOKUP($E1192,'Product Naming'!$A$1:$P$58,11,FALSE)</f>
        <v>4</v>
      </c>
      <c r="AC1192" s="3">
        <f>VLOOKUP($E1192,'Product Naming'!$A$1:$P$58,12,FALSE)</f>
        <v>144.12291999999999</v>
      </c>
      <c r="AD1192" s="1">
        <f>VLOOKUP($E1192,'Product Naming'!$A$1:$P$58,13,FALSE)</f>
        <v>337.5</v>
      </c>
      <c r="AE1192" s="1" t="str">
        <f>VLOOKUP($E1192,'Product Naming'!$A$1:$P$58,14,FALSE)</f>
        <v>Dicarboxylate</v>
      </c>
      <c r="AF1192" s="1" t="str">
        <f>VLOOKUP($E1192,'Product Naming'!$A$1:$P$58,15,FALSE)</f>
        <v>Glyceraldehyde 3-P</v>
      </c>
      <c r="AG1192" s="30" t="str">
        <f>VLOOKUP($E1192,'Product Naming'!$A$1:$P$58,16,FALSE)</f>
        <v>Proton symporter</v>
      </c>
      <c r="AH1192" s="3" t="str">
        <f>VLOOKUP($E1192,'Product Naming'!$A$1:$Q$58,17,FALSE)</f>
        <v>adpac_c</v>
      </c>
      <c r="AI1192" s="1">
        <f>VLOOKUP($E1192,'Product Parameters'!$A$2:$D$59,2,FALSE)</f>
        <v>1</v>
      </c>
      <c r="AJ1192" s="1">
        <f>VLOOKUP($E1192,'Product Parameters'!$A$2:$D$59,3,FALSE)</f>
        <v>0</v>
      </c>
      <c r="AK1192" s="1">
        <f>VLOOKUP($E1192,'Product Parameters'!$A$2:$D$59,4,FALSE)</f>
        <v>0.12</v>
      </c>
      <c r="AL1192" s="1">
        <f>VLOOKUP($E1192,'Product Parameters'!$A$2:$E$59,5,FALSE)</f>
        <v>40.65</v>
      </c>
      <c r="AM1192" s="1">
        <f>VLOOKUP($E1192,'Product Parameters'!$A$2:$F$59,6,FALSE)</f>
        <v>6</v>
      </c>
      <c r="AN1192" s="1">
        <f>VLOOKUP($C1192,'Substrate Heating'!$A$2:$C$33,3,FALSE)</f>
        <v>2342.0279999999998</v>
      </c>
      <c r="AO1192" s="1">
        <f>VLOOKUP($C1192,'Substrate Heating'!$A$2:$B$33,2,FALSE)</f>
        <v>15.6</v>
      </c>
      <c r="AP1192" s="1">
        <f>VLOOKUP($C1192,'Substrate Heating'!$A$2:$M$33,13,FALSE)</f>
        <v>4</v>
      </c>
      <c r="AQ1192" s="1">
        <f>VLOOKUP($C1192,'Substrate Heating'!$A$2:$M$33,8,FALSE)</f>
        <v>5</v>
      </c>
      <c r="AR1192" s="1">
        <f t="shared" si="18"/>
        <v>0.75031232876712239</v>
      </c>
    </row>
    <row r="1193" spans="1:44" x14ac:dyDescent="0.2">
      <c r="A1193" s="8" t="s">
        <v>34</v>
      </c>
      <c r="B1193" s="9" t="s">
        <v>35</v>
      </c>
      <c r="C1193" s="1" t="s">
        <v>332</v>
      </c>
      <c r="D1193" s="10" t="s">
        <v>37</v>
      </c>
      <c r="E1193" s="1" t="s">
        <v>297</v>
      </c>
      <c r="F1193" s="1" t="s">
        <v>298</v>
      </c>
      <c r="G1193" s="1">
        <v>-10</v>
      </c>
      <c r="H1193" s="1">
        <v>-20</v>
      </c>
      <c r="I1193" s="1" t="s">
        <v>40</v>
      </c>
      <c r="J1193" s="1">
        <v>3.15</v>
      </c>
      <c r="K1193" s="1">
        <v>-10</v>
      </c>
      <c r="L1193" s="1">
        <v>-9.4049327354259997</v>
      </c>
      <c r="M1193" s="1" t="s">
        <v>40</v>
      </c>
      <c r="N1193" s="1">
        <v>2.3470852017937101</v>
      </c>
      <c r="O1193" s="1">
        <v>2.9421524663677099</v>
      </c>
      <c r="Q1193" s="1">
        <v>0.29421524663677101</v>
      </c>
      <c r="R1193" s="1">
        <v>0.60104636751349205</v>
      </c>
      <c r="S1193" s="1" t="str">
        <f>VLOOKUP($E1193,'Product Naming'!$A$1:$P$58,2,FALSE)</f>
        <v>Phenol</v>
      </c>
      <c r="T1193" s="1" t="str">
        <f>VLOOKUP($E1193,'Product Naming'!$A$1:$P$58,3,FALSE)</f>
        <v>Phenol</v>
      </c>
      <c r="U1193" s="1" t="str">
        <f>VLOOKUP($E1193,'Product Naming'!$A$1:$P$58,4,FALSE)</f>
        <v>E-S</v>
      </c>
      <c r="V1193" s="1" t="str">
        <f>VLOOKUP($E1193,'Product Naming'!$A$1:$P$58,5,FALSE)</f>
        <v>C6H6O</v>
      </c>
      <c r="W1193" s="1">
        <f>VLOOKUP($E1193,'Product Naming'!$A$1:$P$58,6,FALSE)</f>
        <v>6</v>
      </c>
      <c r="X1193" s="1">
        <f>VLOOKUP($E1193,'Product Naming'!$A$1:$P$58,7,FALSE)</f>
        <v>6</v>
      </c>
      <c r="Y1193" s="1">
        <f>VLOOKUP($E1193,'Product Naming'!$A$1:$P$58,8,FALSE)</f>
        <v>1</v>
      </c>
      <c r="Z1193" s="1">
        <f>VLOOKUP($E1193,'Product Naming'!$A$1:$P$58,9,FALSE)</f>
        <v>0</v>
      </c>
      <c r="AA1193" s="1">
        <f>VLOOKUP($E1193,'Product Naming'!$A$1:$P$58,10,FALSE)</f>
        <v>0</v>
      </c>
      <c r="AB1193" s="29">
        <f>VLOOKUP($E1193,'Product Naming'!$A$1:$P$58,11,FALSE)</f>
        <v>4.666666666666667</v>
      </c>
      <c r="AC1193" s="3">
        <f>VLOOKUP($E1193,'Product Naming'!$A$1:$P$58,12,FALSE)</f>
        <v>94.11023999999999</v>
      </c>
      <c r="AD1193" s="1">
        <f>VLOOKUP($E1193,'Product Naming'!$A$1:$P$58,13,FALSE)</f>
        <v>181.7</v>
      </c>
      <c r="AE1193" s="1" t="str">
        <f>VLOOKUP($E1193,'Product Naming'!$A$1:$P$58,14,FALSE)</f>
        <v>Aromatic + Alcohol</v>
      </c>
      <c r="AF1193" s="1" t="str">
        <f>VLOOKUP($E1193,'Product Naming'!$A$1:$P$58,15,FALSE)</f>
        <v>E4P + L-glutamate</v>
      </c>
      <c r="AG1193" s="30" t="str">
        <f>VLOOKUP($E1193,'Product Naming'!$A$1:$P$58,16,FALSE)</f>
        <v>Proton symporter</v>
      </c>
      <c r="AH1193" s="3" t="str">
        <f>VLOOKUP($E1193,'Product Naming'!$A$1:$Q$58,17,FALSE)</f>
        <v>phenol_c</v>
      </c>
      <c r="AI1193" s="1">
        <f>VLOOKUP($E1193,'Product Parameters'!$A$2:$D$59,2,FALSE)</f>
        <v>1</v>
      </c>
      <c r="AJ1193" s="1">
        <f>VLOOKUP($E1193,'Product Parameters'!$A$2:$D$59,3,FALSE)</f>
        <v>0</v>
      </c>
      <c r="AK1193" s="1">
        <f>VLOOKUP($E1193,'Product Parameters'!$A$2:$D$59,4,FALSE)</f>
        <v>0.12</v>
      </c>
      <c r="AL1193" s="1">
        <f>VLOOKUP($E1193,'Product Parameters'!$A$2:$E$59,5,FALSE)</f>
        <v>58.8</v>
      </c>
      <c r="AM1193" s="1">
        <f>VLOOKUP($E1193,'Product Parameters'!$A$2:$F$59,6,FALSE)</f>
        <v>6</v>
      </c>
      <c r="AN1193" s="1">
        <f>VLOOKUP($C1193,'Substrate Heating'!$A$2:$C$33,3,FALSE)</f>
        <v>1230.0006480000002</v>
      </c>
      <c r="AO1193" s="1">
        <f>VLOOKUP($C1193,'Substrate Heating'!$A$2:$B$33,2,FALSE)</f>
        <v>26.7</v>
      </c>
      <c r="AP1193" s="1">
        <f>VLOOKUP($C1193,'Substrate Heating'!$A$2:$M$33,13,FALSE)</f>
        <v>6</v>
      </c>
      <c r="AQ1193" s="1">
        <f>VLOOKUP($C1193,'Substrate Heating'!$A$2:$M$33,8,FALSE)</f>
        <v>2</v>
      </c>
      <c r="AR1193" s="1">
        <f t="shared" si="18"/>
        <v>0.88264573991031303</v>
      </c>
    </row>
    <row r="1194" spans="1:44" x14ac:dyDescent="0.2">
      <c r="A1194" s="8" t="s">
        <v>34</v>
      </c>
      <c r="B1194" s="9" t="s">
        <v>35</v>
      </c>
      <c r="C1194" s="1" t="s">
        <v>332</v>
      </c>
      <c r="D1194" s="10" t="s">
        <v>37</v>
      </c>
      <c r="E1194" s="1" t="s">
        <v>103</v>
      </c>
      <c r="F1194" s="1" t="s">
        <v>104</v>
      </c>
      <c r="G1194" s="1">
        <v>-10</v>
      </c>
      <c r="H1194" s="1">
        <v>-20</v>
      </c>
      <c r="I1194" s="1" t="s">
        <v>40</v>
      </c>
      <c r="J1194" s="1">
        <v>3.15</v>
      </c>
      <c r="K1194" s="1">
        <v>-10</v>
      </c>
      <c r="L1194" s="1">
        <v>-5.5875000000000004</v>
      </c>
      <c r="M1194" s="1" t="s">
        <v>40</v>
      </c>
      <c r="N1194" s="1">
        <v>3.7250000000000001</v>
      </c>
      <c r="O1194" s="1">
        <v>2.7124999999999999</v>
      </c>
      <c r="Q1194" s="1">
        <v>0.27124999999999999</v>
      </c>
      <c r="R1194" s="1">
        <v>0.60160528564209304</v>
      </c>
      <c r="S1194" s="1" t="str">
        <f>VLOOKUP($E1194,'Product Naming'!$A$1:$P$58,2,FALSE)</f>
        <v>3-Methyl-1-Pentanol</v>
      </c>
      <c r="T1194" s="1" t="str">
        <f>VLOOKUP($E1194,'Product Naming'!$A$1:$P$58,3,FALSE)</f>
        <v>3-Methyl-1-pentanol</v>
      </c>
      <c r="U1194" s="1" t="str">
        <f>VLOOKUP($E1194,'Product Naming'!$A$1:$P$58,4,FALSE)</f>
        <v>A</v>
      </c>
      <c r="V1194" s="1" t="str">
        <f>VLOOKUP($E1194,'Product Naming'!$A$1:$P$58,5,FALSE)</f>
        <v>C6H14O</v>
      </c>
      <c r="W1194" s="1">
        <f>VLOOKUP($E1194,'Product Naming'!$A$1:$P$58,6,FALSE)</f>
        <v>6</v>
      </c>
      <c r="X1194" s="1">
        <f>VLOOKUP($E1194,'Product Naming'!$A$1:$P$58,7,FALSE)</f>
        <v>14</v>
      </c>
      <c r="Y1194" s="1">
        <f>VLOOKUP($E1194,'Product Naming'!$A$1:$P$58,8,FALSE)</f>
        <v>1</v>
      </c>
      <c r="Z1194" s="1">
        <f>VLOOKUP($E1194,'Product Naming'!$A$1:$P$58,9,FALSE)</f>
        <v>0</v>
      </c>
      <c r="AA1194" s="1">
        <f>VLOOKUP($E1194,'Product Naming'!$A$1:$P$58,10,FALSE)</f>
        <v>0</v>
      </c>
      <c r="AB1194" s="29">
        <f>VLOOKUP($E1194,'Product Naming'!$A$1:$P$58,11,FALSE)</f>
        <v>6</v>
      </c>
      <c r="AC1194" s="3">
        <f>VLOOKUP($E1194,'Product Naming'!$A$1:$P$58,12,FALSE)</f>
        <v>102.17295999999999</v>
      </c>
      <c r="AD1194" s="1">
        <f>VLOOKUP($E1194,'Product Naming'!$A$1:$P$58,13,FALSE)</f>
        <v>153</v>
      </c>
      <c r="AE1194" s="1" t="str">
        <f>VLOOKUP($E1194,'Product Naming'!$A$1:$P$58,14,FALSE)</f>
        <v>Alcohol</v>
      </c>
      <c r="AF1194" s="1" t="str">
        <f>VLOOKUP($E1194,'Product Naming'!$A$1:$P$58,15,FALSE)</f>
        <v>Oxaloacetate</v>
      </c>
      <c r="AG1194" s="30" t="str">
        <f>VLOOKUP($E1194,'Product Naming'!$A$1:$P$58,16,FALSE)</f>
        <v>Proton symporter</v>
      </c>
      <c r="AH1194" s="3" t="str">
        <f>VLOOKUP($E1194,'Product Naming'!$A$1:$Q$58,17,FALSE)</f>
        <v>3mptoh_c</v>
      </c>
      <c r="AI1194" s="1">
        <f>VLOOKUP($E1194,'Product Parameters'!$A$2:$D$59,2,FALSE)</f>
        <v>1</v>
      </c>
      <c r="AJ1194" s="1">
        <f>VLOOKUP($E1194,'Product Parameters'!$A$2:$D$59,3,FALSE)</f>
        <v>0</v>
      </c>
      <c r="AK1194" s="1">
        <f>VLOOKUP($E1194,'Product Parameters'!$A$2:$D$59,4,FALSE)</f>
        <v>0.12</v>
      </c>
      <c r="AL1194" s="1">
        <f>VLOOKUP($E1194,'Product Parameters'!$A$2:$E$59,5,FALSE)</f>
        <v>61.7</v>
      </c>
      <c r="AM1194" s="1">
        <f>VLOOKUP($E1194,'Product Parameters'!$A$2:$F$59,6,FALSE)</f>
        <v>6</v>
      </c>
      <c r="AN1194" s="1">
        <f>VLOOKUP($C1194,'Substrate Heating'!$A$2:$C$33,3,FALSE)</f>
        <v>1230.0006480000002</v>
      </c>
      <c r="AO1194" s="1">
        <f>VLOOKUP($C1194,'Substrate Heating'!$A$2:$B$33,2,FALSE)</f>
        <v>26.7</v>
      </c>
      <c r="AP1194" s="1">
        <f>VLOOKUP($C1194,'Substrate Heating'!$A$2:$M$33,13,FALSE)</f>
        <v>6</v>
      </c>
      <c r="AQ1194" s="1">
        <f>VLOOKUP($C1194,'Substrate Heating'!$A$2:$M$33,8,FALSE)</f>
        <v>2</v>
      </c>
      <c r="AR1194" s="1">
        <f t="shared" si="18"/>
        <v>0.81374999999999997</v>
      </c>
    </row>
    <row r="1195" spans="1:44" x14ac:dyDescent="0.2">
      <c r="A1195" s="17" t="s">
        <v>323</v>
      </c>
      <c r="B1195" s="18" t="s">
        <v>324</v>
      </c>
      <c r="C1195" t="s">
        <v>329</v>
      </c>
      <c r="D1195" s="19" t="s">
        <v>326</v>
      </c>
      <c r="E1195" t="s">
        <v>275</v>
      </c>
      <c r="F1195" t="s">
        <v>276</v>
      </c>
      <c r="G1195">
        <v>-10</v>
      </c>
      <c r="H1195">
        <v>0</v>
      </c>
      <c r="I1195">
        <v>-20</v>
      </c>
      <c r="J1195">
        <v>0.45</v>
      </c>
      <c r="K1195">
        <v>-10</v>
      </c>
      <c r="L1195">
        <v>0</v>
      </c>
      <c r="M1195">
        <v>-11.0769230769231</v>
      </c>
      <c r="N1195">
        <v>0</v>
      </c>
      <c r="O1195">
        <v>1.7846153846153801</v>
      </c>
      <c r="P1195"/>
      <c r="Q1195">
        <v>0.17846153846153801</v>
      </c>
      <c r="R1195" s="20">
        <v>0.60206188323016596</v>
      </c>
      <c r="S1195" s="1" t="str">
        <f>VLOOKUP($E1195,'Product Naming'!$A$1:$P$58,2,FALSE)</f>
        <v>Malonate</v>
      </c>
      <c r="T1195" s="1" t="str">
        <f>VLOOKUP($E1195,'Product Naming'!$A$1:$P$58,3,FALSE)</f>
        <v>Malonate</v>
      </c>
      <c r="U1195" s="1" t="str">
        <f>VLOOKUP($E1195,'Product Naming'!$A$1:$P$58,4,FALSE)</f>
        <v>A</v>
      </c>
      <c r="V1195" s="1" t="str">
        <f>VLOOKUP($E1195,'Product Naming'!$A$1:$P$58,5,FALSE)</f>
        <v>C3H2O4</v>
      </c>
      <c r="W1195" s="1">
        <f>VLOOKUP($E1195,'Product Naming'!$A$1:$P$58,6,FALSE)</f>
        <v>3</v>
      </c>
      <c r="X1195" s="1">
        <f>VLOOKUP($E1195,'Product Naming'!$A$1:$P$58,7,FALSE)</f>
        <v>2</v>
      </c>
      <c r="Y1195" s="1">
        <f>VLOOKUP($E1195,'Product Naming'!$A$1:$P$58,8,FALSE)</f>
        <v>4</v>
      </c>
      <c r="Z1195" s="1">
        <f>VLOOKUP($E1195,'Product Naming'!$A$1:$P$58,9,FALSE)</f>
        <v>0</v>
      </c>
      <c r="AA1195" s="1">
        <f>VLOOKUP($E1195,'Product Naming'!$A$1:$P$58,10,FALSE)</f>
        <v>-2</v>
      </c>
      <c r="AB1195" s="29">
        <f>VLOOKUP($E1195,'Product Naming'!$A$1:$P$58,11,FALSE)</f>
        <v>2</v>
      </c>
      <c r="AC1195" s="3">
        <f>VLOOKUP($E1195,'Product Naming'!$A$1:$P$58,12,FALSE)</f>
        <v>102.04378</v>
      </c>
      <c r="AD1195" s="1">
        <f>VLOOKUP($E1195,'Product Naming'!$A$1:$P$58,13,FALSE)</f>
        <v>199</v>
      </c>
      <c r="AE1195" s="1" t="str">
        <f>VLOOKUP($E1195,'Product Naming'!$A$1:$P$58,14,FALSE)</f>
        <v>Dicarboxylate</v>
      </c>
      <c r="AF1195" s="1" t="str">
        <f>VLOOKUP($E1195,'Product Naming'!$A$1:$P$58,15,FALSE)</f>
        <v>Oxaloacetate</v>
      </c>
      <c r="AG1195" s="30" t="str">
        <f>VLOOKUP($E1195,'Product Naming'!$A$1:$P$58,16,FALSE)</f>
        <v>Proton symporter</v>
      </c>
      <c r="AH1195" s="3" t="str">
        <f>VLOOKUP($E1195,'Product Naming'!$A$1:$Q$58,17,FALSE)</f>
        <v>malon_c</v>
      </c>
      <c r="AI1195" s="1">
        <f>VLOOKUP($E1195,'Product Parameters'!$A$2:$D$59,2,FALSE)</f>
        <v>1</v>
      </c>
      <c r="AJ1195" s="1">
        <f>VLOOKUP($E1195,'Product Parameters'!$A$2:$D$59,3,FALSE)</f>
        <v>0</v>
      </c>
      <c r="AK1195" s="1">
        <f>VLOOKUP($E1195,'Product Parameters'!$A$2:$D$59,4,FALSE)</f>
        <v>0.12</v>
      </c>
      <c r="AL1195" s="1">
        <f>VLOOKUP($E1195,'Product Parameters'!$A$2:$E$59,5,FALSE)</f>
        <v>40.65</v>
      </c>
      <c r="AM1195" s="1">
        <f>VLOOKUP($E1195,'Product Parameters'!$A$2:$F$59,6,FALSE)</f>
        <v>3</v>
      </c>
      <c r="AN1195" s="1">
        <f>VLOOKUP($C1195,'Substrate Heating'!$A$2:$C$33,3,FALSE)</f>
        <v>255.53333333333336</v>
      </c>
      <c r="AO1195" s="1">
        <f>VLOOKUP($C1195,'Substrate Heating'!$A$2:$B$33,2,FALSE)</f>
        <v>23.925550527978785</v>
      </c>
      <c r="AP1195" s="1">
        <f>VLOOKUP($C1195,'Substrate Heating'!$A$2:$M$33,13,FALSE)</f>
        <v>0.66666666666666663</v>
      </c>
      <c r="AQ1195" s="1">
        <f>VLOOKUP($C1195,'Substrate Heating'!$A$2:$M$33,8,FALSE)</f>
        <v>0.33333333333333331</v>
      </c>
      <c r="AR1195" s="1">
        <f t="shared" si="18"/>
        <v>1.606153846153842</v>
      </c>
    </row>
    <row r="1196" spans="1:44" x14ac:dyDescent="0.2">
      <c r="A1196" s="8" t="s">
        <v>34</v>
      </c>
      <c r="B1196" s="9" t="s">
        <v>35</v>
      </c>
      <c r="C1196" s="1" t="s">
        <v>331</v>
      </c>
      <c r="D1196" s="10" t="s">
        <v>37</v>
      </c>
      <c r="E1196" s="1" t="s">
        <v>132</v>
      </c>
      <c r="F1196" s="1" t="s">
        <v>133</v>
      </c>
      <c r="G1196" s="1">
        <v>-10</v>
      </c>
      <c r="H1196" s="1">
        <v>-20</v>
      </c>
      <c r="I1196" s="1" t="s">
        <v>40</v>
      </c>
      <c r="J1196" s="1">
        <v>3.15</v>
      </c>
      <c r="K1196" s="1">
        <v>-10</v>
      </c>
      <c r="L1196" s="1">
        <v>-8.1428235294117606</v>
      </c>
      <c r="M1196" s="1" t="s">
        <v>40</v>
      </c>
      <c r="N1196" s="1">
        <v>4.4395294117647</v>
      </c>
      <c r="O1196" s="1">
        <v>2.5934117647058801</v>
      </c>
      <c r="Q1196" s="1">
        <v>0.25934117647058802</v>
      </c>
      <c r="R1196" s="1">
        <v>0.60221001426176601</v>
      </c>
      <c r="S1196" s="1" t="str">
        <f>VLOOKUP($E1196,'Product Naming'!$A$1:$P$58,2,FALSE)</f>
        <v>Adipate</v>
      </c>
      <c r="T1196" s="1" t="str">
        <f>VLOOKUP($E1196,'Product Naming'!$A$1:$P$58,3,FALSE)</f>
        <v>Adipate</v>
      </c>
      <c r="U1196" s="1" t="str">
        <f>VLOOKUP($E1196,'Product Naming'!$A$1:$P$58,4,FALSE)</f>
        <v>E</v>
      </c>
      <c r="V1196" s="1" t="str">
        <f>VLOOKUP($E1196,'Product Naming'!$A$1:$P$58,5,FALSE)</f>
        <v>C6H8O4</v>
      </c>
      <c r="W1196" s="1">
        <f>VLOOKUP($E1196,'Product Naming'!$A$1:$P$58,6,FALSE)</f>
        <v>6</v>
      </c>
      <c r="X1196" s="1">
        <f>VLOOKUP($E1196,'Product Naming'!$A$1:$P$58,7,FALSE)</f>
        <v>8</v>
      </c>
      <c r="Y1196" s="1">
        <f>VLOOKUP($E1196,'Product Naming'!$A$1:$P$58,8,FALSE)</f>
        <v>4</v>
      </c>
      <c r="Z1196" s="1">
        <f>VLOOKUP($E1196,'Product Naming'!$A$1:$P$58,9,FALSE)</f>
        <v>0</v>
      </c>
      <c r="AA1196" s="1">
        <f>VLOOKUP($E1196,'Product Naming'!$A$1:$P$58,10,FALSE)</f>
        <v>-2</v>
      </c>
      <c r="AB1196" s="29">
        <f>VLOOKUP($E1196,'Product Naming'!$A$1:$P$58,11,FALSE)</f>
        <v>4</v>
      </c>
      <c r="AC1196" s="3">
        <f>VLOOKUP($E1196,'Product Naming'!$A$1:$P$58,12,FALSE)</f>
        <v>144.12291999999999</v>
      </c>
      <c r="AD1196" s="1">
        <f>VLOOKUP($E1196,'Product Naming'!$A$1:$P$58,13,FALSE)</f>
        <v>337.5</v>
      </c>
      <c r="AE1196" s="1" t="str">
        <f>VLOOKUP($E1196,'Product Naming'!$A$1:$P$58,14,FALSE)</f>
        <v>Dicarboxylate</v>
      </c>
      <c r="AF1196" s="1" t="str">
        <f>VLOOKUP($E1196,'Product Naming'!$A$1:$P$58,15,FALSE)</f>
        <v>Glyceraldehyde 3-P</v>
      </c>
      <c r="AG1196" s="30" t="str">
        <f>VLOOKUP($E1196,'Product Naming'!$A$1:$P$58,16,FALSE)</f>
        <v>Proton symporter</v>
      </c>
      <c r="AH1196" s="3" t="str">
        <f>VLOOKUP($E1196,'Product Naming'!$A$1:$Q$58,17,FALSE)</f>
        <v>adpac_c</v>
      </c>
      <c r="AI1196" s="1">
        <f>VLOOKUP($E1196,'Product Parameters'!$A$2:$D$59,2,FALSE)</f>
        <v>1</v>
      </c>
      <c r="AJ1196" s="1">
        <f>VLOOKUP($E1196,'Product Parameters'!$A$2:$D$59,3,FALSE)</f>
        <v>0</v>
      </c>
      <c r="AK1196" s="1">
        <f>VLOOKUP($E1196,'Product Parameters'!$A$2:$D$59,4,FALSE)</f>
        <v>0.12</v>
      </c>
      <c r="AL1196" s="1">
        <f>VLOOKUP($E1196,'Product Parameters'!$A$2:$E$59,5,FALSE)</f>
        <v>40.65</v>
      </c>
      <c r="AM1196" s="1">
        <f>VLOOKUP($E1196,'Product Parameters'!$A$2:$F$59,6,FALSE)</f>
        <v>6</v>
      </c>
      <c r="AN1196" s="1">
        <f>VLOOKUP($C1196,'Substrate Heating'!$A$2:$C$33,3,FALSE)</f>
        <v>1055.1294800000001</v>
      </c>
      <c r="AO1196" s="1">
        <f>VLOOKUP($C1196,'Substrate Heating'!$A$2:$B$33,2,FALSE)</f>
        <v>17</v>
      </c>
      <c r="AP1196" s="1">
        <f>VLOOKUP($C1196,'Substrate Heating'!$A$2:$M$33,13,FALSE)</f>
        <v>5</v>
      </c>
      <c r="AQ1196" s="1">
        <f>VLOOKUP($C1196,'Substrate Heating'!$A$2:$M$33,8,FALSE)</f>
        <v>2</v>
      </c>
      <c r="AR1196" s="1">
        <f t="shared" si="18"/>
        <v>0.77802352941176411</v>
      </c>
    </row>
    <row r="1197" spans="1:44" x14ac:dyDescent="0.2">
      <c r="A1197" s="17" t="s">
        <v>185</v>
      </c>
      <c r="B1197" s="9" t="s">
        <v>35</v>
      </c>
      <c r="C1197" t="s">
        <v>330</v>
      </c>
      <c r="D1197" s="10" t="s">
        <v>37</v>
      </c>
      <c r="E1197" t="s">
        <v>264</v>
      </c>
      <c r="F1197" t="s">
        <v>265</v>
      </c>
      <c r="G1197">
        <v>-10</v>
      </c>
      <c r="H1197">
        <v>-20</v>
      </c>
      <c r="I1197" s="1" t="s">
        <v>40</v>
      </c>
      <c r="J1197">
        <v>3.15</v>
      </c>
      <c r="K1197">
        <v>-10</v>
      </c>
      <c r="L1197">
        <v>-7.2056818181818203</v>
      </c>
      <c r="M1197" s="1" t="s">
        <v>40</v>
      </c>
      <c r="N1197">
        <v>4.7477272727272597</v>
      </c>
      <c r="O1197">
        <v>2.5420454545454501</v>
      </c>
      <c r="P1197"/>
      <c r="Q1197">
        <v>0.25420454545454502</v>
      </c>
      <c r="R1197">
        <v>0.60285727060051797</v>
      </c>
      <c r="S1197" s="1" t="str">
        <f>VLOOKUP($E1197,'Product Naming'!$A$1:$P$58,2,FALSE)</f>
        <v>Lysine_L</v>
      </c>
      <c r="T1197" s="1" t="str">
        <f>VLOOKUP($E1197,'Product Naming'!$A$1:$P$58,3,FALSE)</f>
        <v>L-Lysine</v>
      </c>
      <c r="U1197" s="1" t="str">
        <f>VLOOKUP($E1197,'Product Naming'!$A$1:$P$58,4,FALSE)</f>
        <v>iJO1366</v>
      </c>
      <c r="V1197" s="1" t="str">
        <f>VLOOKUP($E1197,'Product Naming'!$A$1:$P$58,5,FALSE)</f>
        <v>C6H15N2O2</v>
      </c>
      <c r="W1197" s="1">
        <f>VLOOKUP($E1197,'Product Naming'!$A$1:$P$58,6,FALSE)</f>
        <v>6</v>
      </c>
      <c r="X1197" s="1">
        <f>VLOOKUP($E1197,'Product Naming'!$A$1:$P$58,7,FALSE)</f>
        <v>15</v>
      </c>
      <c r="Y1197" s="1">
        <f>VLOOKUP($E1197,'Product Naming'!$A$1:$P$58,8,FALSE)</f>
        <v>2</v>
      </c>
      <c r="Z1197" s="1">
        <f>VLOOKUP($E1197,'Product Naming'!$A$1:$P$58,9,FALSE)</f>
        <v>2</v>
      </c>
      <c r="AA1197" s="1">
        <f>VLOOKUP($E1197,'Product Naming'!$A$1:$P$58,10,FALSE)</f>
        <v>1</v>
      </c>
      <c r="AB1197" s="29">
        <f>VLOOKUP($E1197,'Product Naming'!$A$1:$P$58,11,FALSE)</f>
        <v>4.833333333333333</v>
      </c>
      <c r="AC1197" s="3">
        <f>VLOOKUP($E1197,'Product Naming'!$A$1:$P$58,12,FALSE)</f>
        <v>147.19319999999999</v>
      </c>
      <c r="AD1197" s="1" t="str">
        <f>VLOOKUP($E1197,'Product Naming'!$A$1:$P$58,13,FALSE)</f>
        <v>NA</v>
      </c>
      <c r="AE1197" s="1" t="str">
        <f>VLOOKUP($E1197,'Product Naming'!$A$1:$P$58,14,FALSE)</f>
        <v>Amino acid</v>
      </c>
      <c r="AF1197" s="1" t="str">
        <f>VLOOKUP($E1197,'Product Naming'!$A$1:$P$58,15,FALSE)</f>
        <v>Oxaloacetate</v>
      </c>
      <c r="AG1197" s="30" t="str">
        <f>VLOOKUP($E1197,'Product Naming'!$A$1:$P$58,16,FALSE)</f>
        <v>Proton antiport</v>
      </c>
      <c r="AH1197" s="3" t="str">
        <f>VLOOKUP($E1197,'Product Naming'!$A$1:$Q$58,17,FALSE)</f>
        <v>lys__L_</v>
      </c>
      <c r="AI1197" s="1">
        <f>VLOOKUP($E1197,'Product Parameters'!$A$2:$D$59,2,FALSE)</f>
        <v>1</v>
      </c>
      <c r="AJ1197" s="1">
        <f>VLOOKUP($E1197,'Product Parameters'!$A$2:$D$59,3,FALSE)</f>
        <v>0</v>
      </c>
      <c r="AK1197" s="1">
        <f>VLOOKUP($E1197,'Product Parameters'!$A$2:$D$59,4,FALSE)</f>
        <v>0.12</v>
      </c>
      <c r="AL1197" s="1">
        <f>VLOOKUP($E1197,'Product Parameters'!$A$2:$E$59,5,FALSE)</f>
        <v>40.65</v>
      </c>
      <c r="AM1197" s="1">
        <f>VLOOKUP($E1197,'Product Parameters'!$A$2:$F$59,6,FALSE)</f>
        <v>6</v>
      </c>
      <c r="AN1197" s="1">
        <f>VLOOKUP($C1197,'Substrate Heating'!$A$2:$C$33,3,FALSE)</f>
        <v>1055.1294800000001</v>
      </c>
      <c r="AO1197" s="1">
        <f>VLOOKUP($C1197,'Substrate Heating'!$A$2:$B$33,2,FALSE)</f>
        <v>17</v>
      </c>
      <c r="AP1197" s="1">
        <f>VLOOKUP($C1197,'Substrate Heating'!$A$2:$M$33,13,FALSE)</f>
        <v>5</v>
      </c>
      <c r="AQ1197" s="1">
        <f>VLOOKUP($C1197,'Substrate Heating'!$A$2:$M$33,8,FALSE)</f>
        <v>2</v>
      </c>
      <c r="AR1197" s="1">
        <f t="shared" si="18"/>
        <v>0.76261363636363511</v>
      </c>
    </row>
    <row r="1198" spans="1:44" x14ac:dyDescent="0.2">
      <c r="A1198" s="8" t="s">
        <v>34</v>
      </c>
      <c r="B1198" s="9" t="s">
        <v>35</v>
      </c>
      <c r="C1198" s="1" t="s">
        <v>343</v>
      </c>
      <c r="D1198" s="24" t="s">
        <v>342</v>
      </c>
      <c r="E1198" s="1" t="s">
        <v>38</v>
      </c>
      <c r="F1198" s="1" t="s">
        <v>39</v>
      </c>
      <c r="G1198" s="1">
        <v>-10</v>
      </c>
      <c r="H1198" s="1">
        <v>-20</v>
      </c>
      <c r="I1198" s="1" t="s">
        <v>40</v>
      </c>
      <c r="J1198" s="1">
        <v>3.15</v>
      </c>
      <c r="K1198" s="1">
        <v>-10</v>
      </c>
      <c r="L1198" s="1">
        <v>-1.0658730158729901</v>
      </c>
      <c r="M1198" s="1" t="s">
        <v>40</v>
      </c>
      <c r="N1198" s="1">
        <v>5.3206349206349497</v>
      </c>
      <c r="O1198" s="1">
        <v>6.1698412698412897</v>
      </c>
      <c r="Q1198" s="1">
        <v>0.61698412698412897</v>
      </c>
      <c r="R1198" s="1">
        <v>0.60375512641899398</v>
      </c>
      <c r="S1198" s="1" t="str">
        <f>VLOOKUP($E1198,'Product Naming'!$A$1:$P$58,2,FALSE)</f>
        <v>1-3-butanediol-PW1</v>
      </c>
      <c r="T1198" s="1" t="str">
        <f>VLOOKUP($E1198,'Product Naming'!$A$1:$P$58,3,FALSE)</f>
        <v>1,3-Butanediol (PW1)</v>
      </c>
      <c r="U1198" s="1" t="str">
        <f>VLOOKUP($E1198,'Product Naming'!$A$1:$P$58,4,FALSE)</f>
        <v>E</v>
      </c>
      <c r="V1198" s="1" t="str">
        <f>VLOOKUP($E1198,'Product Naming'!$A$1:$P$58,5,FALSE)</f>
        <v>C4H10O2</v>
      </c>
      <c r="W1198" s="1">
        <f>VLOOKUP($E1198,'Product Naming'!$A$1:$P$58,6,FALSE)</f>
        <v>4</v>
      </c>
      <c r="X1198" s="1">
        <f>VLOOKUP($E1198,'Product Naming'!$A$1:$P$58,7,FALSE)</f>
        <v>10</v>
      </c>
      <c r="Y1198" s="1">
        <f>VLOOKUP($E1198,'Product Naming'!$A$1:$P$58,8,FALSE)</f>
        <v>2</v>
      </c>
      <c r="Z1198" s="1">
        <f>VLOOKUP($E1198,'Product Naming'!$A$1:$P$58,9,FALSE)</f>
        <v>0</v>
      </c>
      <c r="AA1198" s="1">
        <f>VLOOKUP($E1198,'Product Naming'!$A$1:$P$58,10,FALSE)</f>
        <v>0</v>
      </c>
      <c r="AB1198" s="29">
        <f>VLOOKUP($E1198,'Product Naming'!$A$1:$P$58,11,FALSE)</f>
        <v>5.5</v>
      </c>
      <c r="AC1198" s="3">
        <f>VLOOKUP($E1198,'Product Naming'!$A$1:$P$58,12,FALSE)</f>
        <v>90.119200000000006</v>
      </c>
      <c r="AD1198" s="1">
        <f>VLOOKUP($E1198,'Product Naming'!$A$1:$P$58,13,FALSE)</f>
        <v>207</v>
      </c>
      <c r="AE1198" s="1" t="str">
        <f>VLOOKUP($E1198,'Product Naming'!$A$1:$P$58,14,FALSE)</f>
        <v>Diol</v>
      </c>
      <c r="AF1198" s="1" t="str">
        <f>VLOOKUP($E1198,'Product Naming'!$A$1:$P$58,15,FALSE)</f>
        <v>Acetyl-CoA</v>
      </c>
      <c r="AG1198" s="30" t="str">
        <f>VLOOKUP($E1198,'Product Naming'!$A$1:$P$58,16,FALSE)</f>
        <v>Proton symporter</v>
      </c>
      <c r="AH1198" s="3" t="str">
        <f>VLOOKUP($E1198,'Product Naming'!$A$1:$Q$58,17,FALSE)</f>
        <v>13bdo__R_c</v>
      </c>
      <c r="AI1198" s="1">
        <f>VLOOKUP($E1198,'Product Parameters'!$A$2:$D$59,2,FALSE)</f>
        <v>1</v>
      </c>
      <c r="AJ1198" s="1">
        <f>VLOOKUP($E1198,'Product Parameters'!$A$2:$D$59,3,FALSE)</f>
        <v>0</v>
      </c>
      <c r="AK1198" s="1">
        <f>VLOOKUP($E1198,'Product Parameters'!$A$2:$D$59,4,FALSE)</f>
        <v>0.12</v>
      </c>
      <c r="AL1198" s="1">
        <f>VLOOKUP($E1198,'Product Parameters'!$A$2:$E$59,5,FALSE)</f>
        <v>72.599999999999994</v>
      </c>
      <c r="AM1198" s="1">
        <f>VLOOKUP($E1198,'Product Parameters'!$A$2:$F$59,6,FALSE)</f>
        <v>4</v>
      </c>
      <c r="AN1198" s="1">
        <f>VLOOKUP($C1198,'Substrate Heating'!$A$2:$C$33,3,FALSE)</f>
        <v>1648.4793779999998</v>
      </c>
      <c r="AO1198" s="1">
        <f>VLOOKUP($C1198,'Substrate Heating'!$A$2:$B$33,2,FALSE)</f>
        <v>17.899999999999999</v>
      </c>
      <c r="AP1198" s="1">
        <f>VLOOKUP($C1198,'Substrate Heating'!$A$2:$M$33,13,FALSE)</f>
        <v>4.666666666666667</v>
      </c>
      <c r="AQ1198" s="1">
        <f>VLOOKUP($C1198,'Substrate Heating'!$A$2:$M$33,8,FALSE)</f>
        <v>3</v>
      </c>
      <c r="AR1198" s="1">
        <f t="shared" si="18"/>
        <v>0.82264550264550529</v>
      </c>
    </row>
    <row r="1199" spans="1:44" x14ac:dyDescent="0.2">
      <c r="A1199" s="8" t="s">
        <v>34</v>
      </c>
      <c r="B1199" s="9" t="s">
        <v>35</v>
      </c>
      <c r="C1199" s="1" t="s">
        <v>332</v>
      </c>
      <c r="D1199" s="10" t="s">
        <v>37</v>
      </c>
      <c r="E1199" s="1" t="s">
        <v>108</v>
      </c>
      <c r="F1199" s="1" t="s">
        <v>109</v>
      </c>
      <c r="G1199" s="1">
        <v>-10</v>
      </c>
      <c r="H1199" s="1">
        <v>-20</v>
      </c>
      <c r="I1199" s="1" t="s">
        <v>40</v>
      </c>
      <c r="J1199" s="1">
        <v>3.15</v>
      </c>
      <c r="K1199" s="1">
        <v>-10</v>
      </c>
      <c r="L1199" s="1">
        <v>-7.9754416961130703</v>
      </c>
      <c r="M1199" s="1" t="s">
        <v>40</v>
      </c>
      <c r="N1199" s="1">
        <v>1.45300353356888</v>
      </c>
      <c r="O1199" s="1">
        <v>2.31837455830388</v>
      </c>
      <c r="Q1199" s="1">
        <v>0.23183745583038801</v>
      </c>
      <c r="R1199" s="1">
        <v>0.60464937911981897</v>
      </c>
      <c r="S1199" s="1" t="str">
        <f>VLOOKUP($E1199,'Product Naming'!$A$1:$P$58,2,FALSE)</f>
        <v>4-Hydroxystyrene</v>
      </c>
      <c r="T1199" s="1" t="str">
        <f>VLOOKUP($E1199,'Product Naming'!$A$1:$P$58,3,FALSE)</f>
        <v>4-Hydroxystyrene</v>
      </c>
      <c r="U1199" s="1" t="str">
        <f>VLOOKUP($E1199,'Product Naming'!$A$1:$P$58,4,FALSE)</f>
        <v>E</v>
      </c>
      <c r="V1199" s="1" t="str">
        <f>VLOOKUP($E1199,'Product Naming'!$A$1:$P$58,5,FALSE)</f>
        <v>C8H8O</v>
      </c>
      <c r="W1199" s="1">
        <f>VLOOKUP($E1199,'Product Naming'!$A$1:$P$58,6,FALSE)</f>
        <v>8</v>
      </c>
      <c r="X1199" s="1">
        <f>VLOOKUP($E1199,'Product Naming'!$A$1:$P$58,7,FALSE)</f>
        <v>8</v>
      </c>
      <c r="Y1199" s="1">
        <f>VLOOKUP($E1199,'Product Naming'!$A$1:$P$58,8,FALSE)</f>
        <v>1</v>
      </c>
      <c r="Z1199" s="1">
        <f>VLOOKUP($E1199,'Product Naming'!$A$1:$P$58,9,FALSE)</f>
        <v>0</v>
      </c>
      <c r="AA1199" s="1">
        <f>VLOOKUP($E1199,'Product Naming'!$A$1:$P$58,10,FALSE)</f>
        <v>0</v>
      </c>
      <c r="AB1199" s="29">
        <f>VLOOKUP($E1199,'Product Naming'!$A$1:$P$58,11,FALSE)</f>
        <v>4.75</v>
      </c>
      <c r="AC1199" s="3">
        <f>VLOOKUP($E1199,'Product Naming'!$A$1:$P$58,12,FALSE)</f>
        <v>120.14731999999999</v>
      </c>
      <c r="AD1199" s="1">
        <f>VLOOKUP($E1199,'Product Naming'!$A$1:$P$58,13,FALSE)</f>
        <v>229</v>
      </c>
      <c r="AE1199" s="1" t="str">
        <f>VLOOKUP($E1199,'Product Naming'!$A$1:$P$58,14,FALSE)</f>
        <v>Aromatic + Alcohol</v>
      </c>
      <c r="AF1199" s="1" t="str">
        <f>VLOOKUP($E1199,'Product Naming'!$A$1:$P$58,15,FALSE)</f>
        <v>E4P + L-glutamate</v>
      </c>
      <c r="AG1199" s="30" t="str">
        <f>VLOOKUP($E1199,'Product Naming'!$A$1:$P$58,16,FALSE)</f>
        <v>Proton symporter</v>
      </c>
      <c r="AH1199" s="3" t="str">
        <f>VLOOKUP($E1199,'Product Naming'!$A$1:$Q$58,17,FALSE)</f>
        <v>4hxst_c</v>
      </c>
      <c r="AI1199" s="1">
        <f>VLOOKUP($E1199,'Product Parameters'!$A$2:$D$59,2,FALSE)</f>
        <v>1</v>
      </c>
      <c r="AJ1199" s="1">
        <f>VLOOKUP($E1199,'Product Parameters'!$A$2:$D$59,3,FALSE)</f>
        <v>0</v>
      </c>
      <c r="AK1199" s="1">
        <f>VLOOKUP($E1199,'Product Parameters'!$A$2:$D$59,4,FALSE)</f>
        <v>0.12</v>
      </c>
      <c r="AL1199" s="1">
        <f>VLOOKUP($E1199,'Product Parameters'!$A$2:$E$59,5,FALSE)</f>
        <v>40.65</v>
      </c>
      <c r="AM1199" s="1">
        <f>VLOOKUP($E1199,'Product Parameters'!$A$2:$F$59,6,FALSE)</f>
        <v>8</v>
      </c>
      <c r="AN1199" s="1">
        <f>VLOOKUP($C1199,'Substrate Heating'!$A$2:$C$33,3,FALSE)</f>
        <v>1230.0006480000002</v>
      </c>
      <c r="AO1199" s="1">
        <f>VLOOKUP($C1199,'Substrate Heating'!$A$2:$B$33,2,FALSE)</f>
        <v>26.7</v>
      </c>
      <c r="AP1199" s="1">
        <f>VLOOKUP($C1199,'Substrate Heating'!$A$2:$M$33,13,FALSE)</f>
        <v>6</v>
      </c>
      <c r="AQ1199" s="1">
        <f>VLOOKUP($C1199,'Substrate Heating'!$A$2:$M$33,8,FALSE)</f>
        <v>2</v>
      </c>
      <c r="AR1199" s="1">
        <f t="shared" si="18"/>
        <v>0.92734982332155202</v>
      </c>
    </row>
    <row r="1200" spans="1:44" x14ac:dyDescent="0.2">
      <c r="A1200" s="8" t="s">
        <v>34</v>
      </c>
      <c r="B1200" s="9" t="s">
        <v>35</v>
      </c>
      <c r="C1200" s="1" t="s">
        <v>341</v>
      </c>
      <c r="D1200" s="24" t="s">
        <v>342</v>
      </c>
      <c r="E1200" s="1" t="s">
        <v>132</v>
      </c>
      <c r="F1200" s="1" t="s">
        <v>133</v>
      </c>
      <c r="G1200" s="1">
        <v>-10</v>
      </c>
      <c r="H1200" s="1">
        <v>-20</v>
      </c>
      <c r="I1200" s="1" t="s">
        <v>40</v>
      </c>
      <c r="J1200" s="1">
        <v>3.15</v>
      </c>
      <c r="K1200" s="1">
        <v>-10</v>
      </c>
      <c r="L1200" s="1">
        <v>-10.862096774193599</v>
      </c>
      <c r="M1200" s="1" t="s">
        <v>40</v>
      </c>
      <c r="N1200" s="1">
        <v>14.641935483871</v>
      </c>
      <c r="O1200" s="1">
        <v>7.5596774193548404</v>
      </c>
      <c r="Q1200" s="1">
        <v>0.75596774193548399</v>
      </c>
      <c r="R1200" s="1">
        <v>0.604778792661122</v>
      </c>
      <c r="S1200" s="1" t="str">
        <f>VLOOKUP($E1200,'Product Naming'!$A$1:$P$58,2,FALSE)</f>
        <v>Adipate</v>
      </c>
      <c r="T1200" s="1" t="str">
        <f>VLOOKUP($E1200,'Product Naming'!$A$1:$P$58,3,FALSE)</f>
        <v>Adipate</v>
      </c>
      <c r="U1200" s="1" t="str">
        <f>VLOOKUP($E1200,'Product Naming'!$A$1:$P$58,4,FALSE)</f>
        <v>E</v>
      </c>
      <c r="V1200" s="1" t="str">
        <f>VLOOKUP($E1200,'Product Naming'!$A$1:$P$58,5,FALSE)</f>
        <v>C6H8O4</v>
      </c>
      <c r="W1200" s="1">
        <f>VLOOKUP($E1200,'Product Naming'!$A$1:$P$58,6,FALSE)</f>
        <v>6</v>
      </c>
      <c r="X1200" s="1">
        <f>VLOOKUP($E1200,'Product Naming'!$A$1:$P$58,7,FALSE)</f>
        <v>8</v>
      </c>
      <c r="Y1200" s="1">
        <f>VLOOKUP($E1200,'Product Naming'!$A$1:$P$58,8,FALSE)</f>
        <v>4</v>
      </c>
      <c r="Z1200" s="1">
        <f>VLOOKUP($E1200,'Product Naming'!$A$1:$P$58,9,FALSE)</f>
        <v>0</v>
      </c>
      <c r="AA1200" s="1">
        <f>VLOOKUP($E1200,'Product Naming'!$A$1:$P$58,10,FALSE)</f>
        <v>-2</v>
      </c>
      <c r="AB1200" s="29">
        <f>VLOOKUP($E1200,'Product Naming'!$A$1:$P$58,11,FALSE)</f>
        <v>4</v>
      </c>
      <c r="AC1200" s="3">
        <f>VLOOKUP($E1200,'Product Naming'!$A$1:$P$58,12,FALSE)</f>
        <v>144.12291999999999</v>
      </c>
      <c r="AD1200" s="1">
        <f>VLOOKUP($E1200,'Product Naming'!$A$1:$P$58,13,FALSE)</f>
        <v>337.5</v>
      </c>
      <c r="AE1200" s="1" t="str">
        <f>VLOOKUP($E1200,'Product Naming'!$A$1:$P$58,14,FALSE)</f>
        <v>Dicarboxylate</v>
      </c>
      <c r="AF1200" s="1" t="str">
        <f>VLOOKUP($E1200,'Product Naming'!$A$1:$P$58,15,FALSE)</f>
        <v>Glyceraldehyde 3-P</v>
      </c>
      <c r="AG1200" s="30" t="str">
        <f>VLOOKUP($E1200,'Product Naming'!$A$1:$P$58,16,FALSE)</f>
        <v>Proton symporter</v>
      </c>
      <c r="AH1200" s="3" t="str">
        <f>VLOOKUP($E1200,'Product Naming'!$A$1:$Q$58,17,FALSE)</f>
        <v>adpac_c</v>
      </c>
      <c r="AI1200" s="1">
        <f>VLOOKUP($E1200,'Product Parameters'!$A$2:$D$59,2,FALSE)</f>
        <v>1</v>
      </c>
      <c r="AJ1200" s="1">
        <f>VLOOKUP($E1200,'Product Parameters'!$A$2:$D$59,3,FALSE)</f>
        <v>0</v>
      </c>
      <c r="AK1200" s="1">
        <f>VLOOKUP($E1200,'Product Parameters'!$A$2:$D$59,4,FALSE)</f>
        <v>0.12</v>
      </c>
      <c r="AL1200" s="1">
        <f>VLOOKUP($E1200,'Product Parameters'!$A$2:$E$59,5,FALSE)</f>
        <v>40.65</v>
      </c>
      <c r="AM1200" s="1">
        <f>VLOOKUP($E1200,'Product Parameters'!$A$2:$F$59,6,FALSE)</f>
        <v>6</v>
      </c>
      <c r="AN1200" s="1">
        <f>VLOOKUP($C1200,'Substrate Heating'!$A$2:$C$33,3,FALSE)</f>
        <v>2828.4492</v>
      </c>
      <c r="AO1200" s="1">
        <f>VLOOKUP($C1200,'Substrate Heating'!$A$2:$B$33,2,FALSE)</f>
        <v>15.7</v>
      </c>
      <c r="AP1200" s="1">
        <f>VLOOKUP($C1200,'Substrate Heating'!$A$2:$M$33,13,FALSE)</f>
        <v>4</v>
      </c>
      <c r="AQ1200" s="1">
        <f>VLOOKUP($C1200,'Substrate Heating'!$A$2:$M$33,8,FALSE)</f>
        <v>6</v>
      </c>
      <c r="AR1200" s="1">
        <f t="shared" si="18"/>
        <v>0.75596774193548411</v>
      </c>
    </row>
    <row r="1201" spans="1:44" x14ac:dyDescent="0.2">
      <c r="A1201" s="8" t="s">
        <v>34</v>
      </c>
      <c r="B1201" s="9" t="s">
        <v>35</v>
      </c>
      <c r="C1201" s="1" t="s">
        <v>347</v>
      </c>
      <c r="D1201" s="23" t="s">
        <v>338</v>
      </c>
      <c r="E1201" s="1" t="s">
        <v>192</v>
      </c>
      <c r="F1201" s="1" t="s">
        <v>193</v>
      </c>
      <c r="G1201" s="1">
        <v>-10</v>
      </c>
      <c r="H1201" s="1">
        <v>-20</v>
      </c>
      <c r="I1201" s="1" t="s">
        <v>40</v>
      </c>
      <c r="J1201" s="1">
        <v>3.15</v>
      </c>
      <c r="K1201" s="1">
        <v>-10</v>
      </c>
      <c r="L1201" s="1">
        <v>-3.7114970059880199</v>
      </c>
      <c r="M1201" s="1" t="s">
        <v>40</v>
      </c>
      <c r="N1201" s="1">
        <v>-0.69437125748503103</v>
      </c>
      <c r="O1201" s="1">
        <v>1.1882634730538899</v>
      </c>
      <c r="Q1201" s="1">
        <v>0.118826347305389</v>
      </c>
      <c r="R1201" s="1">
        <v>0.60504559770875699</v>
      </c>
      <c r="S1201" s="1" t="str">
        <f>VLOOKUP($E1201,'Product Naming'!$A$1:$P$58,2,FALSE)</f>
        <v>Coumaric acid</v>
      </c>
      <c r="T1201" s="1" t="str">
        <f>VLOOKUP($E1201,'Product Naming'!$A$1:$P$58,3,FALSE)</f>
        <v>Coumaric acid</v>
      </c>
      <c r="U1201" s="1" t="str">
        <f>VLOOKUP($E1201,'Product Naming'!$A$1:$P$58,4,FALSE)</f>
        <v>E</v>
      </c>
      <c r="V1201" s="1" t="str">
        <f>VLOOKUP($E1201,'Product Naming'!$A$1:$P$58,5,FALSE)</f>
        <v>C9H7O3</v>
      </c>
      <c r="W1201" s="1">
        <f>VLOOKUP($E1201,'Product Naming'!$A$1:$P$58,6,FALSE)</f>
        <v>9</v>
      </c>
      <c r="X1201" s="1">
        <f>VLOOKUP($E1201,'Product Naming'!$A$1:$P$58,7,FALSE)</f>
        <v>7</v>
      </c>
      <c r="Y1201" s="1">
        <f>VLOOKUP($E1201,'Product Naming'!$A$1:$P$58,8,FALSE)</f>
        <v>3</v>
      </c>
      <c r="Z1201" s="1">
        <f>VLOOKUP($E1201,'Product Naming'!$A$1:$P$58,9,FALSE)</f>
        <v>0</v>
      </c>
      <c r="AA1201" s="1">
        <f>VLOOKUP($E1201,'Product Naming'!$A$1:$P$58,10,FALSE)</f>
        <v>-1</v>
      </c>
      <c r="AB1201" s="29">
        <f>VLOOKUP($E1201,'Product Naming'!$A$1:$P$58,11,FALSE)</f>
        <v>4.1111111111111107</v>
      </c>
      <c r="AC1201" s="3">
        <f>VLOOKUP($E1201,'Product Naming'!$A$1:$P$58,12,FALSE)</f>
        <v>163.14818</v>
      </c>
      <c r="AD1201" s="1">
        <f>VLOOKUP($E1201,'Product Naming'!$A$1:$P$58,13,FALSE)</f>
        <v>346</v>
      </c>
      <c r="AE1201" s="1" t="str">
        <f>VLOOKUP($E1201,'Product Naming'!$A$1:$P$58,14,FALSE)</f>
        <v>Aromatic + Alcohol + Carboxylate</v>
      </c>
      <c r="AF1201" s="1" t="str">
        <f>VLOOKUP($E1201,'Product Naming'!$A$1:$P$58,15,FALSE)</f>
        <v>E4P + L-glutamate</v>
      </c>
      <c r="AG1201" s="30" t="str">
        <f>VLOOKUP($E1201,'Product Naming'!$A$1:$P$58,16,FALSE)</f>
        <v>Proton symporter</v>
      </c>
      <c r="AH1201" s="3" t="str">
        <f>VLOOKUP($E1201,'Product Naming'!$A$1:$Q$58,17,FALSE)</f>
        <v>T4hcinnm_c</v>
      </c>
      <c r="AI1201" s="1">
        <f>VLOOKUP($E1201,'Product Parameters'!$A$2:$D$59,2,FALSE)</f>
        <v>1</v>
      </c>
      <c r="AJ1201" s="1">
        <f>VLOOKUP($E1201,'Product Parameters'!$A$2:$D$59,3,FALSE)</f>
        <v>0</v>
      </c>
      <c r="AK1201" s="1">
        <f>VLOOKUP($E1201,'Product Parameters'!$A$2:$D$59,4,FALSE)</f>
        <v>0.12</v>
      </c>
      <c r="AL1201" s="1">
        <f>VLOOKUP($E1201,'Product Parameters'!$A$2:$E$59,5,FALSE)</f>
        <v>40.65</v>
      </c>
      <c r="AM1201" s="1">
        <f>VLOOKUP($E1201,'Product Parameters'!$A$2:$F$59,6,FALSE)</f>
        <v>9</v>
      </c>
      <c r="AN1201" s="1">
        <f>VLOOKUP($C1201,'Substrate Heating'!$A$2:$C$33,3,FALSE)</f>
        <v>638.57832580000002</v>
      </c>
      <c r="AO1201" s="1">
        <f>VLOOKUP($C1201,'Substrate Heating'!$A$2:$B$33,2,FALSE)</f>
        <v>19.93</v>
      </c>
      <c r="AP1201" s="1">
        <f>VLOOKUP($C1201,'Substrate Heating'!$A$2:$M$33,13,FALSE)</f>
        <v>6</v>
      </c>
      <c r="AQ1201" s="1">
        <f>VLOOKUP($C1201,'Substrate Heating'!$A$2:$M$33,8,FALSE)</f>
        <v>1</v>
      </c>
      <c r="AR1201" s="1">
        <f t="shared" si="18"/>
        <v>1.0694371257485011</v>
      </c>
    </row>
    <row r="1202" spans="1:44" x14ac:dyDescent="0.2">
      <c r="A1202" s="8" t="s">
        <v>34</v>
      </c>
      <c r="B1202" s="9" t="s">
        <v>35</v>
      </c>
      <c r="C1202" s="1" t="s">
        <v>346</v>
      </c>
      <c r="D1202" s="23" t="s">
        <v>338</v>
      </c>
      <c r="E1202" s="1" t="s">
        <v>192</v>
      </c>
      <c r="F1202" s="1" t="s">
        <v>193</v>
      </c>
      <c r="G1202" s="1">
        <v>-10</v>
      </c>
      <c r="H1202" s="1">
        <v>-20</v>
      </c>
      <c r="I1202" s="1" t="s">
        <v>40</v>
      </c>
      <c r="J1202" s="1">
        <v>3.15</v>
      </c>
      <c r="K1202" s="1">
        <v>-10</v>
      </c>
      <c r="L1202" s="1">
        <v>-3.7114970059880199</v>
      </c>
      <c r="M1202" s="1" t="s">
        <v>40</v>
      </c>
      <c r="N1202" s="1">
        <v>-0.69437125748502704</v>
      </c>
      <c r="O1202" s="1">
        <v>1.1882634730538899</v>
      </c>
      <c r="Q1202" s="1">
        <v>0.118826347305389</v>
      </c>
      <c r="R1202" s="1">
        <v>0.60504559770875799</v>
      </c>
      <c r="S1202" s="1" t="str">
        <f>VLOOKUP($E1202,'Product Naming'!$A$1:$P$58,2,FALSE)</f>
        <v>Coumaric acid</v>
      </c>
      <c r="T1202" s="1" t="str">
        <f>VLOOKUP($E1202,'Product Naming'!$A$1:$P$58,3,FALSE)</f>
        <v>Coumaric acid</v>
      </c>
      <c r="U1202" s="1" t="str">
        <f>VLOOKUP($E1202,'Product Naming'!$A$1:$P$58,4,FALSE)</f>
        <v>E</v>
      </c>
      <c r="V1202" s="1" t="str">
        <f>VLOOKUP($E1202,'Product Naming'!$A$1:$P$58,5,FALSE)</f>
        <v>C9H7O3</v>
      </c>
      <c r="W1202" s="1">
        <f>VLOOKUP($E1202,'Product Naming'!$A$1:$P$58,6,FALSE)</f>
        <v>9</v>
      </c>
      <c r="X1202" s="1">
        <f>VLOOKUP($E1202,'Product Naming'!$A$1:$P$58,7,FALSE)</f>
        <v>7</v>
      </c>
      <c r="Y1202" s="1">
        <f>VLOOKUP($E1202,'Product Naming'!$A$1:$P$58,8,FALSE)</f>
        <v>3</v>
      </c>
      <c r="Z1202" s="1">
        <f>VLOOKUP($E1202,'Product Naming'!$A$1:$P$58,9,FALSE)</f>
        <v>0</v>
      </c>
      <c r="AA1202" s="1">
        <f>VLOOKUP($E1202,'Product Naming'!$A$1:$P$58,10,FALSE)</f>
        <v>-1</v>
      </c>
      <c r="AB1202" s="29">
        <f>VLOOKUP($E1202,'Product Naming'!$A$1:$P$58,11,FALSE)</f>
        <v>4.1111111111111107</v>
      </c>
      <c r="AC1202" s="3">
        <f>VLOOKUP($E1202,'Product Naming'!$A$1:$P$58,12,FALSE)</f>
        <v>163.14818</v>
      </c>
      <c r="AD1202" s="1">
        <f>VLOOKUP($E1202,'Product Naming'!$A$1:$P$58,13,FALSE)</f>
        <v>346</v>
      </c>
      <c r="AE1202" s="1" t="str">
        <f>VLOOKUP($E1202,'Product Naming'!$A$1:$P$58,14,FALSE)</f>
        <v>Aromatic + Alcohol + Carboxylate</v>
      </c>
      <c r="AF1202" s="1" t="str">
        <f>VLOOKUP($E1202,'Product Naming'!$A$1:$P$58,15,FALSE)</f>
        <v>E4P + L-glutamate</v>
      </c>
      <c r="AG1202" s="30" t="str">
        <f>VLOOKUP($E1202,'Product Naming'!$A$1:$P$58,16,FALSE)</f>
        <v>Proton symporter</v>
      </c>
      <c r="AH1202" s="3" t="str">
        <f>VLOOKUP($E1202,'Product Naming'!$A$1:$Q$58,17,FALSE)</f>
        <v>T4hcinnm_c</v>
      </c>
      <c r="AI1202" s="1">
        <f>VLOOKUP($E1202,'Product Parameters'!$A$2:$D$59,2,FALSE)</f>
        <v>1</v>
      </c>
      <c r="AJ1202" s="1">
        <f>VLOOKUP($E1202,'Product Parameters'!$A$2:$D$59,3,FALSE)</f>
        <v>0</v>
      </c>
      <c r="AK1202" s="1">
        <f>VLOOKUP($E1202,'Product Parameters'!$A$2:$D$59,4,FALSE)</f>
        <v>0.12</v>
      </c>
      <c r="AL1202" s="1">
        <f>VLOOKUP($E1202,'Product Parameters'!$A$2:$E$59,5,FALSE)</f>
        <v>40.65</v>
      </c>
      <c r="AM1202" s="1">
        <f>VLOOKUP($E1202,'Product Parameters'!$A$2:$F$59,6,FALSE)</f>
        <v>9</v>
      </c>
      <c r="AN1202" s="1">
        <f>VLOOKUP($C1202,'Substrate Heating'!$A$2:$C$33,3,FALSE)</f>
        <v>638.57832580000002</v>
      </c>
      <c r="AO1202" s="1">
        <f>VLOOKUP($C1202,'Substrate Heating'!$A$2:$B$33,2,FALSE)</f>
        <v>19.93</v>
      </c>
      <c r="AP1202" s="1">
        <f>VLOOKUP($C1202,'Substrate Heating'!$A$2:$M$33,13,FALSE)</f>
        <v>6</v>
      </c>
      <c r="AQ1202" s="1">
        <f>VLOOKUP($C1202,'Substrate Heating'!$A$2:$M$33,8,FALSE)</f>
        <v>1</v>
      </c>
      <c r="AR1202" s="1">
        <f t="shared" si="18"/>
        <v>1.0694371257485011</v>
      </c>
    </row>
    <row r="1203" spans="1:44" x14ac:dyDescent="0.2">
      <c r="A1203" s="8" t="s">
        <v>34</v>
      </c>
      <c r="B1203" s="9" t="s">
        <v>35</v>
      </c>
      <c r="C1203" s="1" t="s">
        <v>343</v>
      </c>
      <c r="D1203" s="24" t="s">
        <v>342</v>
      </c>
      <c r="E1203" s="1" t="s">
        <v>85</v>
      </c>
      <c r="F1203" s="1" t="s">
        <v>86</v>
      </c>
      <c r="G1203" s="1">
        <v>-10</v>
      </c>
      <c r="H1203" s="1">
        <v>-20</v>
      </c>
      <c r="I1203" s="1" t="s">
        <v>40</v>
      </c>
      <c r="J1203" s="1">
        <v>3.15</v>
      </c>
      <c r="K1203" s="1">
        <v>-10</v>
      </c>
      <c r="L1203" s="1">
        <v>-0.94166666666667398</v>
      </c>
      <c r="M1203" s="1" t="s">
        <v>40</v>
      </c>
      <c r="N1203" s="1">
        <v>5.2303030303030198</v>
      </c>
      <c r="O1203" s="1">
        <v>6.1924242424242397</v>
      </c>
      <c r="Q1203" s="1">
        <v>0.61924242424242404</v>
      </c>
      <c r="R1203" s="1">
        <v>0.60596500263305197</v>
      </c>
      <c r="S1203" s="1" t="str">
        <f>VLOOKUP($E1203,'Product Naming'!$A$1:$P$58,2,FALSE)</f>
        <v>2-3-butanediol</v>
      </c>
      <c r="T1203" s="1" t="str">
        <f>VLOOKUP($E1203,'Product Naming'!$A$1:$P$58,3,FALSE)</f>
        <v>2,3-Butanediol</v>
      </c>
      <c r="U1203" s="1" t="str">
        <f>VLOOKUP($E1203,'Product Naming'!$A$1:$P$58,4,FALSE)</f>
        <v>E</v>
      </c>
      <c r="V1203" s="1" t="str">
        <f>VLOOKUP($E1203,'Product Naming'!$A$1:$P$58,5,FALSE)</f>
        <v>C4H10O2</v>
      </c>
      <c r="W1203" s="1">
        <f>VLOOKUP($E1203,'Product Naming'!$A$1:$P$58,6,FALSE)</f>
        <v>4</v>
      </c>
      <c r="X1203" s="1">
        <f>VLOOKUP($E1203,'Product Naming'!$A$1:$P$58,7,FALSE)</f>
        <v>10</v>
      </c>
      <c r="Y1203" s="1">
        <f>VLOOKUP($E1203,'Product Naming'!$A$1:$P$58,8,FALSE)</f>
        <v>2</v>
      </c>
      <c r="Z1203" s="1">
        <f>VLOOKUP($E1203,'Product Naming'!$A$1:$P$58,9,FALSE)</f>
        <v>0</v>
      </c>
      <c r="AA1203" s="1">
        <f>VLOOKUP($E1203,'Product Naming'!$A$1:$P$58,10,FALSE)</f>
        <v>0</v>
      </c>
      <c r="AB1203" s="29">
        <f>VLOOKUP($E1203,'Product Naming'!$A$1:$P$58,11,FALSE)</f>
        <v>5.5</v>
      </c>
      <c r="AC1203" s="3">
        <f>VLOOKUP($E1203,'Product Naming'!$A$1:$P$58,12,FALSE)</f>
        <v>90.119200000000006</v>
      </c>
      <c r="AD1203" s="1">
        <f>VLOOKUP($E1203,'Product Naming'!$A$1:$P$58,13,FALSE)</f>
        <v>177</v>
      </c>
      <c r="AE1203" s="1" t="str">
        <f>VLOOKUP($E1203,'Product Naming'!$A$1:$P$58,14,FALSE)</f>
        <v>Diol</v>
      </c>
      <c r="AF1203" s="1" t="str">
        <f>VLOOKUP($E1203,'Product Naming'!$A$1:$P$58,15,FALSE)</f>
        <v>Pyruvate</v>
      </c>
      <c r="AG1203" s="30" t="str">
        <f>VLOOKUP($E1203,'Product Naming'!$A$1:$P$58,16,FALSE)</f>
        <v>Proton symporter</v>
      </c>
      <c r="AH1203" s="3" t="str">
        <f>VLOOKUP($E1203,'Product Naming'!$A$1:$Q$58,17,FALSE)</f>
        <v>btd_RR_c</v>
      </c>
      <c r="AI1203" s="1">
        <f>VLOOKUP($E1203,'Product Parameters'!$A$2:$D$59,2,FALSE)</f>
        <v>1</v>
      </c>
      <c r="AJ1203" s="1">
        <f>VLOOKUP($E1203,'Product Parameters'!$A$2:$D$59,3,FALSE)</f>
        <v>0</v>
      </c>
      <c r="AK1203" s="1">
        <f>VLOOKUP($E1203,'Product Parameters'!$A$2:$D$59,4,FALSE)</f>
        <v>0.12</v>
      </c>
      <c r="AL1203" s="1">
        <f>VLOOKUP($E1203,'Product Parameters'!$A$2:$E$59,5,FALSE)</f>
        <v>63</v>
      </c>
      <c r="AM1203" s="1">
        <f>VLOOKUP($E1203,'Product Parameters'!$A$2:$F$59,6,FALSE)</f>
        <v>4</v>
      </c>
      <c r="AN1203" s="1">
        <f>VLOOKUP($C1203,'Substrate Heating'!$A$2:$C$33,3,FALSE)</f>
        <v>1648.4793779999998</v>
      </c>
      <c r="AO1203" s="1">
        <f>VLOOKUP($C1203,'Substrate Heating'!$A$2:$B$33,2,FALSE)</f>
        <v>17.899999999999999</v>
      </c>
      <c r="AP1203" s="1">
        <f>VLOOKUP($C1203,'Substrate Heating'!$A$2:$M$33,13,FALSE)</f>
        <v>4.666666666666667</v>
      </c>
      <c r="AQ1203" s="1">
        <f>VLOOKUP($C1203,'Substrate Heating'!$A$2:$M$33,8,FALSE)</f>
        <v>3</v>
      </c>
      <c r="AR1203" s="1">
        <f t="shared" si="18"/>
        <v>0.82565656565656542</v>
      </c>
    </row>
    <row r="1204" spans="1:44" x14ac:dyDescent="0.2">
      <c r="A1204" s="8" t="s">
        <v>34</v>
      </c>
      <c r="B1204" s="9" t="s">
        <v>35</v>
      </c>
      <c r="C1204" s="1" t="s">
        <v>330</v>
      </c>
      <c r="D1204" s="10" t="s">
        <v>37</v>
      </c>
      <c r="E1204" s="1" t="s">
        <v>124</v>
      </c>
      <c r="F1204" s="1" t="s">
        <v>125</v>
      </c>
      <c r="G1204" s="1">
        <v>-10</v>
      </c>
      <c r="H1204" s="1">
        <v>-20</v>
      </c>
      <c r="I1204" s="1" t="s">
        <v>40</v>
      </c>
      <c r="J1204" s="1">
        <v>3.15</v>
      </c>
      <c r="K1204" s="1">
        <v>-10</v>
      </c>
      <c r="L1204" s="1">
        <v>-9.1065217391304305</v>
      </c>
      <c r="M1204" s="1" t="s">
        <v>40</v>
      </c>
      <c r="N1204" s="1">
        <v>4.1065217391304403</v>
      </c>
      <c r="O1204" s="1">
        <v>5.2978260869565199</v>
      </c>
      <c r="Q1204" s="1">
        <v>0.52978260869565197</v>
      </c>
      <c r="R1204" s="1">
        <v>0.60649517550348597</v>
      </c>
      <c r="S1204" s="1" t="str">
        <f>VLOOKUP($E1204,'Product Naming'!$A$1:$P$58,2,FALSE)</f>
        <v>Acrylate-PW1</v>
      </c>
      <c r="T1204" s="1" t="str">
        <f>VLOOKUP($E1204,'Product Naming'!$A$1:$P$58,3,FALSE)</f>
        <v>Acrylate (PW1)</v>
      </c>
      <c r="U1204" s="1" t="str">
        <f>VLOOKUP($E1204,'Product Naming'!$A$1:$P$58,4,FALSE)</f>
        <v>A</v>
      </c>
      <c r="V1204" s="1" t="str">
        <f>VLOOKUP($E1204,'Product Naming'!$A$1:$P$58,5,FALSE)</f>
        <v>C3H3O2</v>
      </c>
      <c r="W1204" s="1">
        <f>VLOOKUP($E1204,'Product Naming'!$A$1:$P$58,6,FALSE)</f>
        <v>3</v>
      </c>
      <c r="X1204" s="1">
        <f>VLOOKUP($E1204,'Product Naming'!$A$1:$P$58,7,FALSE)</f>
        <v>3</v>
      </c>
      <c r="Y1204" s="1">
        <f>VLOOKUP($E1204,'Product Naming'!$A$1:$P$58,8,FALSE)</f>
        <v>2</v>
      </c>
      <c r="Z1204" s="1">
        <f>VLOOKUP($E1204,'Product Naming'!$A$1:$P$58,9,FALSE)</f>
        <v>0</v>
      </c>
      <c r="AA1204" s="1">
        <f>VLOOKUP($E1204,'Product Naming'!$A$1:$P$58,10,FALSE)</f>
        <v>-1</v>
      </c>
      <c r="AB1204" s="29">
        <f>VLOOKUP($E1204,'Product Naming'!$A$1:$P$58,11,FALSE)</f>
        <v>3.6666666666666665</v>
      </c>
      <c r="AC1204" s="3">
        <f>VLOOKUP($E1204,'Product Naming'!$A$1:$P$58,12,FALSE)</f>
        <v>71.053619999999995</v>
      </c>
      <c r="AD1204" s="1">
        <f>VLOOKUP($E1204,'Product Naming'!$A$1:$P$58,13,FALSE)</f>
        <v>80</v>
      </c>
      <c r="AE1204" s="1" t="str">
        <f>VLOOKUP($E1204,'Product Naming'!$A$1:$P$58,14,FALSE)</f>
        <v>Carboxylate</v>
      </c>
      <c r="AF1204" s="1" t="str">
        <f>VLOOKUP($E1204,'Product Naming'!$A$1:$P$58,15,FALSE)</f>
        <v>Glyceraldehyde 3-P</v>
      </c>
      <c r="AG1204" s="30" t="str">
        <f>VLOOKUP($E1204,'Product Naming'!$A$1:$P$58,16,FALSE)</f>
        <v>Proton symporter</v>
      </c>
      <c r="AH1204" s="3" t="str">
        <f>VLOOKUP($E1204,'Product Naming'!$A$1:$Q$58,17,FALSE)</f>
        <v>acryl_c</v>
      </c>
      <c r="AI1204" s="1">
        <f>VLOOKUP($E1204,'Product Parameters'!$A$2:$D$59,2,FALSE)</f>
        <v>1</v>
      </c>
      <c r="AJ1204" s="1">
        <f>VLOOKUP($E1204,'Product Parameters'!$A$2:$D$59,3,FALSE)</f>
        <v>0</v>
      </c>
      <c r="AK1204" s="1">
        <f>VLOOKUP($E1204,'Product Parameters'!$A$2:$D$59,4,FALSE)</f>
        <v>0.12</v>
      </c>
      <c r="AL1204" s="1">
        <f>VLOOKUP($E1204,'Product Parameters'!$A$2:$E$59,5,FALSE)</f>
        <v>53.1</v>
      </c>
      <c r="AM1204" s="1">
        <f>VLOOKUP($E1204,'Product Parameters'!$A$2:$F$59,6,FALSE)</f>
        <v>3</v>
      </c>
      <c r="AN1204" s="1">
        <f>VLOOKUP($C1204,'Substrate Heating'!$A$2:$C$33,3,FALSE)</f>
        <v>1055.1294800000001</v>
      </c>
      <c r="AO1204" s="1">
        <f>VLOOKUP($C1204,'Substrate Heating'!$A$2:$B$33,2,FALSE)</f>
        <v>17</v>
      </c>
      <c r="AP1204" s="1">
        <f>VLOOKUP($C1204,'Substrate Heating'!$A$2:$M$33,13,FALSE)</f>
        <v>5</v>
      </c>
      <c r="AQ1204" s="1">
        <f>VLOOKUP($C1204,'Substrate Heating'!$A$2:$M$33,8,FALSE)</f>
        <v>2</v>
      </c>
      <c r="AR1204" s="1">
        <f t="shared" si="18"/>
        <v>0.7946739130434779</v>
      </c>
    </row>
    <row r="1205" spans="1:44" x14ac:dyDescent="0.2">
      <c r="A1205" s="8" t="s">
        <v>34</v>
      </c>
      <c r="B1205" s="9" t="s">
        <v>35</v>
      </c>
      <c r="C1205" s="1" t="s">
        <v>346</v>
      </c>
      <c r="D1205" s="23" t="s">
        <v>338</v>
      </c>
      <c r="E1205" s="1" t="s">
        <v>175</v>
      </c>
      <c r="F1205" s="1" t="s">
        <v>176</v>
      </c>
      <c r="G1205" s="1">
        <v>-10</v>
      </c>
      <c r="H1205" s="1">
        <v>-20</v>
      </c>
      <c r="I1205" s="1" t="s">
        <v>40</v>
      </c>
      <c r="J1205" s="1">
        <v>3.15</v>
      </c>
      <c r="K1205" s="1">
        <v>-10</v>
      </c>
      <c r="L1205" s="1">
        <v>-3.5243772241992901</v>
      </c>
      <c r="M1205" s="1" t="s">
        <v>40</v>
      </c>
      <c r="N1205" s="1">
        <v>-0.59288256227758196</v>
      </c>
      <c r="O1205" s="1">
        <v>1.7654804270462601</v>
      </c>
      <c r="Q1205" s="1">
        <v>0.17654804270462601</v>
      </c>
      <c r="R1205" s="1">
        <v>0.60670810534027098</v>
      </c>
      <c r="S1205" s="1" t="str">
        <f>VLOOKUP($E1205,'Product Naming'!$A$1:$P$58,2,FALSE)</f>
        <v>Catechol</v>
      </c>
      <c r="T1205" s="1" t="str">
        <f>VLOOKUP($E1205,'Product Naming'!$A$1:$P$58,3,FALSE)</f>
        <v>Catechol</v>
      </c>
      <c r="U1205" s="1" t="str">
        <f>VLOOKUP($E1205,'Product Naming'!$A$1:$P$58,4,FALSE)</f>
        <v>E</v>
      </c>
      <c r="V1205" s="1" t="str">
        <f>VLOOKUP($E1205,'Product Naming'!$A$1:$P$58,5,FALSE)</f>
        <v>C6H6O2</v>
      </c>
      <c r="W1205" s="1">
        <f>VLOOKUP($E1205,'Product Naming'!$A$1:$P$58,6,FALSE)</f>
        <v>6</v>
      </c>
      <c r="X1205" s="1">
        <f>VLOOKUP($E1205,'Product Naming'!$A$1:$P$58,7,FALSE)</f>
        <v>6</v>
      </c>
      <c r="Y1205" s="1">
        <f>VLOOKUP($E1205,'Product Naming'!$A$1:$P$58,8,FALSE)</f>
        <v>2</v>
      </c>
      <c r="Z1205" s="1">
        <f>VLOOKUP($E1205,'Product Naming'!$A$1:$P$58,9,FALSE)</f>
        <v>0</v>
      </c>
      <c r="AA1205" s="1">
        <f>VLOOKUP($E1205,'Product Naming'!$A$1:$P$58,10,FALSE)</f>
        <v>0</v>
      </c>
      <c r="AB1205" s="29">
        <f>VLOOKUP($E1205,'Product Naming'!$A$1:$P$58,11,FALSE)</f>
        <v>4.333333333333333</v>
      </c>
      <c r="AC1205" s="3">
        <f>VLOOKUP($E1205,'Product Naming'!$A$1:$P$58,12,FALSE)</f>
        <v>110.10924</v>
      </c>
      <c r="AD1205" s="1">
        <f>VLOOKUP($E1205,'Product Naming'!$A$1:$P$58,13,FALSE)</f>
        <v>245</v>
      </c>
      <c r="AE1205" s="1" t="str">
        <f>VLOOKUP($E1205,'Product Naming'!$A$1:$P$58,14,FALSE)</f>
        <v>Aromatic + Diol</v>
      </c>
      <c r="AF1205" s="1" t="str">
        <f>VLOOKUP($E1205,'Product Naming'!$A$1:$P$58,15,FALSE)</f>
        <v>Glyceraldehyde 3-P</v>
      </c>
      <c r="AG1205" s="30" t="str">
        <f>VLOOKUP($E1205,'Product Naming'!$A$1:$P$58,16,FALSE)</f>
        <v>Proton symporter</v>
      </c>
      <c r="AH1205" s="3" t="str">
        <f>VLOOKUP($E1205,'Product Naming'!$A$1:$Q$58,17,FALSE)</f>
        <v>catechol_c</v>
      </c>
      <c r="AI1205" s="1">
        <f>VLOOKUP($E1205,'Product Parameters'!$A$2:$D$59,2,FALSE)</f>
        <v>1</v>
      </c>
      <c r="AJ1205" s="1">
        <f>VLOOKUP($E1205,'Product Parameters'!$A$2:$D$59,3,FALSE)</f>
        <v>0</v>
      </c>
      <c r="AK1205" s="1">
        <f>VLOOKUP($E1205,'Product Parameters'!$A$2:$D$59,4,FALSE)</f>
        <v>0.12</v>
      </c>
      <c r="AL1205" s="1">
        <f>VLOOKUP($E1205,'Product Parameters'!$A$2:$E$59,5,FALSE)</f>
        <v>40.65</v>
      </c>
      <c r="AM1205" s="1">
        <f>VLOOKUP($E1205,'Product Parameters'!$A$2:$F$59,6,FALSE)</f>
        <v>6</v>
      </c>
      <c r="AN1205" s="1">
        <f>VLOOKUP($C1205,'Substrate Heating'!$A$2:$C$33,3,FALSE)</f>
        <v>638.57832580000002</v>
      </c>
      <c r="AO1205" s="1">
        <f>VLOOKUP($C1205,'Substrate Heating'!$A$2:$B$33,2,FALSE)</f>
        <v>19.93</v>
      </c>
      <c r="AP1205" s="1">
        <f>VLOOKUP($C1205,'Substrate Heating'!$A$2:$M$33,13,FALSE)</f>
        <v>6</v>
      </c>
      <c r="AQ1205" s="1">
        <f>VLOOKUP($C1205,'Substrate Heating'!$A$2:$M$33,8,FALSE)</f>
        <v>1</v>
      </c>
      <c r="AR1205" s="1">
        <f t="shared" si="18"/>
        <v>1.0592882562277561</v>
      </c>
    </row>
    <row r="1206" spans="1:44" x14ac:dyDescent="0.2">
      <c r="A1206" s="8" t="s">
        <v>34</v>
      </c>
      <c r="B1206" s="9" t="s">
        <v>35</v>
      </c>
      <c r="C1206" s="1" t="s">
        <v>347</v>
      </c>
      <c r="D1206" s="23" t="s">
        <v>338</v>
      </c>
      <c r="E1206" s="1" t="s">
        <v>175</v>
      </c>
      <c r="F1206" s="1" t="s">
        <v>176</v>
      </c>
      <c r="G1206" s="1">
        <v>-10</v>
      </c>
      <c r="H1206" s="1">
        <v>-20</v>
      </c>
      <c r="I1206" s="1" t="s">
        <v>40</v>
      </c>
      <c r="J1206" s="1">
        <v>3.15</v>
      </c>
      <c r="K1206" s="1">
        <v>-10</v>
      </c>
      <c r="L1206" s="1">
        <v>-3.5243772241992901</v>
      </c>
      <c r="M1206" s="1" t="s">
        <v>40</v>
      </c>
      <c r="N1206" s="1">
        <v>-0.59288256227760405</v>
      </c>
      <c r="O1206" s="1">
        <v>1.7654804270462701</v>
      </c>
      <c r="Q1206" s="1">
        <v>0.17654804270462601</v>
      </c>
      <c r="R1206" s="1">
        <v>0.60670810534027197</v>
      </c>
      <c r="S1206" s="1" t="str">
        <f>VLOOKUP($E1206,'Product Naming'!$A$1:$P$58,2,FALSE)</f>
        <v>Catechol</v>
      </c>
      <c r="T1206" s="1" t="str">
        <f>VLOOKUP($E1206,'Product Naming'!$A$1:$P$58,3,FALSE)</f>
        <v>Catechol</v>
      </c>
      <c r="U1206" s="1" t="str">
        <f>VLOOKUP($E1206,'Product Naming'!$A$1:$P$58,4,FALSE)</f>
        <v>E</v>
      </c>
      <c r="V1206" s="1" t="str">
        <f>VLOOKUP($E1206,'Product Naming'!$A$1:$P$58,5,FALSE)</f>
        <v>C6H6O2</v>
      </c>
      <c r="W1206" s="1">
        <f>VLOOKUP($E1206,'Product Naming'!$A$1:$P$58,6,FALSE)</f>
        <v>6</v>
      </c>
      <c r="X1206" s="1">
        <f>VLOOKUP($E1206,'Product Naming'!$A$1:$P$58,7,FALSE)</f>
        <v>6</v>
      </c>
      <c r="Y1206" s="1">
        <f>VLOOKUP($E1206,'Product Naming'!$A$1:$P$58,8,FALSE)</f>
        <v>2</v>
      </c>
      <c r="Z1206" s="1">
        <f>VLOOKUP($E1206,'Product Naming'!$A$1:$P$58,9,FALSE)</f>
        <v>0</v>
      </c>
      <c r="AA1206" s="1">
        <f>VLOOKUP($E1206,'Product Naming'!$A$1:$P$58,10,FALSE)</f>
        <v>0</v>
      </c>
      <c r="AB1206" s="29">
        <f>VLOOKUP($E1206,'Product Naming'!$A$1:$P$58,11,FALSE)</f>
        <v>4.333333333333333</v>
      </c>
      <c r="AC1206" s="3">
        <f>VLOOKUP($E1206,'Product Naming'!$A$1:$P$58,12,FALSE)</f>
        <v>110.10924</v>
      </c>
      <c r="AD1206" s="1">
        <f>VLOOKUP($E1206,'Product Naming'!$A$1:$P$58,13,FALSE)</f>
        <v>245</v>
      </c>
      <c r="AE1206" s="1" t="str">
        <f>VLOOKUP($E1206,'Product Naming'!$A$1:$P$58,14,FALSE)</f>
        <v>Aromatic + Diol</v>
      </c>
      <c r="AF1206" s="1" t="str">
        <f>VLOOKUP($E1206,'Product Naming'!$A$1:$P$58,15,FALSE)</f>
        <v>Glyceraldehyde 3-P</v>
      </c>
      <c r="AG1206" s="30" t="str">
        <f>VLOOKUP($E1206,'Product Naming'!$A$1:$P$58,16,FALSE)</f>
        <v>Proton symporter</v>
      </c>
      <c r="AH1206" s="3" t="str">
        <f>VLOOKUP($E1206,'Product Naming'!$A$1:$Q$58,17,FALSE)</f>
        <v>catechol_c</v>
      </c>
      <c r="AI1206" s="1">
        <f>VLOOKUP($E1206,'Product Parameters'!$A$2:$D$59,2,FALSE)</f>
        <v>1</v>
      </c>
      <c r="AJ1206" s="1">
        <f>VLOOKUP($E1206,'Product Parameters'!$A$2:$D$59,3,FALSE)</f>
        <v>0</v>
      </c>
      <c r="AK1206" s="1">
        <f>VLOOKUP($E1206,'Product Parameters'!$A$2:$D$59,4,FALSE)</f>
        <v>0.12</v>
      </c>
      <c r="AL1206" s="1">
        <f>VLOOKUP($E1206,'Product Parameters'!$A$2:$E$59,5,FALSE)</f>
        <v>40.65</v>
      </c>
      <c r="AM1206" s="1">
        <f>VLOOKUP($E1206,'Product Parameters'!$A$2:$F$59,6,FALSE)</f>
        <v>6</v>
      </c>
      <c r="AN1206" s="1">
        <f>VLOOKUP($C1206,'Substrate Heating'!$A$2:$C$33,3,FALSE)</f>
        <v>638.57832580000002</v>
      </c>
      <c r="AO1206" s="1">
        <f>VLOOKUP($C1206,'Substrate Heating'!$A$2:$B$33,2,FALSE)</f>
        <v>19.93</v>
      </c>
      <c r="AP1206" s="1">
        <f>VLOOKUP($C1206,'Substrate Heating'!$A$2:$M$33,13,FALSE)</f>
        <v>6</v>
      </c>
      <c r="AQ1206" s="1">
        <f>VLOOKUP($C1206,'Substrate Heating'!$A$2:$M$33,8,FALSE)</f>
        <v>1</v>
      </c>
      <c r="AR1206" s="1">
        <f t="shared" si="18"/>
        <v>1.0592882562277561</v>
      </c>
    </row>
    <row r="1207" spans="1:44" x14ac:dyDescent="0.2">
      <c r="A1207" s="8" t="s">
        <v>34</v>
      </c>
      <c r="B1207" s="9" t="s">
        <v>35</v>
      </c>
      <c r="C1207" s="1" t="s">
        <v>322</v>
      </c>
      <c r="D1207" s="10" t="s">
        <v>37</v>
      </c>
      <c r="E1207" s="1" t="s">
        <v>130</v>
      </c>
      <c r="F1207" s="1" t="s">
        <v>125</v>
      </c>
      <c r="G1207" s="1">
        <v>-10</v>
      </c>
      <c r="H1207" s="1">
        <v>-20</v>
      </c>
      <c r="I1207" s="1" t="s">
        <v>40</v>
      </c>
      <c r="J1207" s="1">
        <v>3.15</v>
      </c>
      <c r="K1207" s="1">
        <v>-10</v>
      </c>
      <c r="L1207" s="1">
        <v>-4.8588235294117599</v>
      </c>
      <c r="M1207" s="1" t="s">
        <v>40</v>
      </c>
      <c r="N1207" s="1">
        <v>4.8588235294117696</v>
      </c>
      <c r="O1207" s="1">
        <v>5.0470588235294098</v>
      </c>
      <c r="Q1207" s="1">
        <v>0.504705882352941</v>
      </c>
      <c r="R1207" s="1">
        <v>0.60737477036146903</v>
      </c>
      <c r="S1207" s="1" t="str">
        <f>VLOOKUP($E1207,'Product Naming'!$A$1:$P$58,2,FALSE)</f>
        <v>Acrylate-PW2</v>
      </c>
      <c r="T1207" s="1" t="str">
        <f>VLOOKUP($E1207,'Product Naming'!$A$1:$P$58,3,FALSE)</f>
        <v>Acrylate (PW2)</v>
      </c>
      <c r="U1207" s="1" t="str">
        <f>VLOOKUP($E1207,'Product Naming'!$A$1:$P$58,4,FALSE)</f>
        <v>A</v>
      </c>
      <c r="V1207" s="1" t="str">
        <f>VLOOKUP($E1207,'Product Naming'!$A$1:$P$58,5,FALSE)</f>
        <v>C3H3O2</v>
      </c>
      <c r="W1207" s="1">
        <f>VLOOKUP($E1207,'Product Naming'!$A$1:$P$58,6,FALSE)</f>
        <v>3</v>
      </c>
      <c r="X1207" s="1">
        <f>VLOOKUP($E1207,'Product Naming'!$A$1:$P$58,7,FALSE)</f>
        <v>3</v>
      </c>
      <c r="Y1207" s="1">
        <f>VLOOKUP($E1207,'Product Naming'!$A$1:$P$58,8,FALSE)</f>
        <v>2</v>
      </c>
      <c r="Z1207" s="1">
        <f>VLOOKUP($E1207,'Product Naming'!$A$1:$P$58,9,FALSE)</f>
        <v>0</v>
      </c>
      <c r="AA1207" s="1">
        <f>VLOOKUP($E1207,'Product Naming'!$A$1:$P$58,10,FALSE)</f>
        <v>-1</v>
      </c>
      <c r="AB1207" s="29">
        <f>VLOOKUP($E1207,'Product Naming'!$A$1:$P$58,11,FALSE)</f>
        <v>3.6666666666666665</v>
      </c>
      <c r="AC1207" s="3">
        <f>VLOOKUP($E1207,'Product Naming'!$A$1:$P$58,12,FALSE)</f>
        <v>71.053619999999995</v>
      </c>
      <c r="AD1207" s="1">
        <f>VLOOKUP($E1207,'Product Naming'!$A$1:$P$58,13,FALSE)</f>
        <v>80</v>
      </c>
      <c r="AE1207" s="1" t="str">
        <f>VLOOKUP($E1207,'Product Naming'!$A$1:$P$58,14,FALSE)</f>
        <v>Carboxylate</v>
      </c>
      <c r="AF1207" s="1" t="str">
        <f>VLOOKUP($E1207,'Product Naming'!$A$1:$P$58,15,FALSE)</f>
        <v>Pyruvate</v>
      </c>
      <c r="AG1207" s="30" t="str">
        <f>VLOOKUP($E1207,'Product Naming'!$A$1:$P$58,16,FALSE)</f>
        <v>Proton symporter</v>
      </c>
      <c r="AH1207" s="3" t="str">
        <f>VLOOKUP($E1207,'Product Naming'!$A$1:$Q$58,17,FALSE)</f>
        <v>acryl_c</v>
      </c>
      <c r="AI1207" s="1">
        <f>VLOOKUP($E1207,'Product Parameters'!$A$2:$D$59,2,FALSE)</f>
        <v>1</v>
      </c>
      <c r="AJ1207" s="1">
        <f>VLOOKUP($E1207,'Product Parameters'!$A$2:$D$59,3,FALSE)</f>
        <v>0</v>
      </c>
      <c r="AK1207" s="1">
        <f>VLOOKUP($E1207,'Product Parameters'!$A$2:$D$59,4,FALSE)</f>
        <v>0.12</v>
      </c>
      <c r="AL1207" s="1">
        <f>VLOOKUP($E1207,'Product Parameters'!$A$2:$E$59,5,FALSE)</f>
        <v>53.1</v>
      </c>
      <c r="AM1207" s="1">
        <f>VLOOKUP($E1207,'Product Parameters'!$A$2:$F$59,6,FALSE)</f>
        <v>3</v>
      </c>
      <c r="AN1207" s="1">
        <f>VLOOKUP($C1207,'Substrate Heating'!$A$2:$C$33,3,FALSE)</f>
        <v>876.74109599999997</v>
      </c>
      <c r="AO1207" s="1">
        <f>VLOOKUP($C1207,'Substrate Heating'!$A$2:$B$33,2,FALSE)</f>
        <v>14.6</v>
      </c>
      <c r="AP1207" s="1">
        <f>VLOOKUP($C1207,'Substrate Heating'!$A$2:$M$33,13,FALSE)</f>
        <v>3.5</v>
      </c>
      <c r="AQ1207" s="1">
        <f>VLOOKUP($C1207,'Substrate Heating'!$A$2:$M$33,8,FALSE)</f>
        <v>2</v>
      </c>
      <c r="AR1207" s="1">
        <f t="shared" si="18"/>
        <v>0.75705882352941156</v>
      </c>
    </row>
    <row r="1208" spans="1:44" x14ac:dyDescent="0.2">
      <c r="A1208" s="8" t="s">
        <v>34</v>
      </c>
      <c r="B1208" s="9" t="s">
        <v>35</v>
      </c>
      <c r="C1208" s="1" t="s">
        <v>331</v>
      </c>
      <c r="D1208" s="10" t="s">
        <v>37</v>
      </c>
      <c r="E1208" s="1" t="s">
        <v>52</v>
      </c>
      <c r="F1208" s="1" t="s">
        <v>53</v>
      </c>
      <c r="G1208" s="1">
        <v>-10</v>
      </c>
      <c r="H1208" s="1">
        <v>-20</v>
      </c>
      <c r="I1208" s="1" t="s">
        <v>40</v>
      </c>
      <c r="J1208" s="1">
        <v>3.15</v>
      </c>
      <c r="K1208" s="1">
        <v>-10</v>
      </c>
      <c r="L1208" s="1">
        <v>-5.14054054054054</v>
      </c>
      <c r="M1208" s="1" t="s">
        <v>40</v>
      </c>
      <c r="N1208" s="1">
        <v>5.1054054054054196</v>
      </c>
      <c r="O1208" s="1">
        <v>4.9648648648648699</v>
      </c>
      <c r="Q1208" s="1">
        <v>0.49648648648648702</v>
      </c>
      <c r="R1208" s="1">
        <v>0.609061787968318</v>
      </c>
      <c r="S1208" s="1" t="str">
        <f>VLOOKUP($E1208,'Product Naming'!$A$1:$P$58,2,FALSE)</f>
        <v>1-3-Diaminopropane</v>
      </c>
      <c r="T1208" s="1" t="str">
        <f>VLOOKUP($E1208,'Product Naming'!$A$1:$P$58,3,FALSE)</f>
        <v>1,3-Diaminopropane</v>
      </c>
      <c r="U1208" s="1" t="str">
        <f>VLOOKUP($E1208,'Product Naming'!$A$1:$P$58,4,FALSE)</f>
        <v>A</v>
      </c>
      <c r="V1208" s="1" t="str">
        <f>VLOOKUP($E1208,'Product Naming'!$A$1:$P$58,5,FALSE)</f>
        <v>C3H12N2</v>
      </c>
      <c r="W1208" s="1">
        <f>VLOOKUP($E1208,'Product Naming'!$A$1:$P$58,6,FALSE)</f>
        <v>3</v>
      </c>
      <c r="X1208" s="1">
        <f>VLOOKUP($E1208,'Product Naming'!$A$1:$P$58,7,FALSE)</f>
        <v>12</v>
      </c>
      <c r="Y1208" s="1">
        <f>VLOOKUP($E1208,'Product Naming'!$A$1:$P$58,8,FALSE)</f>
        <v>0</v>
      </c>
      <c r="Z1208" s="1">
        <f>VLOOKUP($E1208,'Product Naming'!$A$1:$P$58,9,FALSE)</f>
        <v>2</v>
      </c>
      <c r="AA1208" s="1">
        <f>VLOOKUP($E1208,'Product Naming'!$A$1:$P$58,10,FALSE)</f>
        <v>2</v>
      </c>
      <c r="AB1208" s="29">
        <f>VLOOKUP($E1208,'Product Naming'!$A$1:$P$58,11,FALSE)</f>
        <v>6</v>
      </c>
      <c r="AC1208" s="3">
        <f>VLOOKUP($E1208,'Product Naming'!$A$1:$P$58,12,FALSE)</f>
        <v>76.139580000000009</v>
      </c>
      <c r="AD1208" s="1">
        <f>VLOOKUP($E1208,'Product Naming'!$A$1:$P$58,13,FALSE)</f>
        <v>139.30000000000001</v>
      </c>
      <c r="AE1208" s="1" t="str">
        <f>VLOOKUP($E1208,'Product Naming'!$A$1:$P$58,14,FALSE)</f>
        <v>Diamine</v>
      </c>
      <c r="AF1208" s="1" t="str">
        <f>VLOOKUP($E1208,'Product Naming'!$A$1:$P$58,15,FALSE)</f>
        <v>Oxaloacetate + aKG</v>
      </c>
      <c r="AG1208" s="30" t="str">
        <f>VLOOKUP($E1208,'Product Naming'!$A$1:$P$58,16,FALSE)</f>
        <v>Proton symporter</v>
      </c>
      <c r="AH1208" s="3" t="str">
        <f>VLOOKUP($E1208,'Product Naming'!$A$1:$Q$58,17,FALSE)</f>
        <v>13dampp_c</v>
      </c>
      <c r="AI1208" s="1">
        <f>VLOOKUP($E1208,'Product Parameters'!$A$2:$D$59,2,FALSE)</f>
        <v>1</v>
      </c>
      <c r="AJ1208" s="1">
        <f>VLOOKUP($E1208,'Product Parameters'!$A$2:$D$59,3,FALSE)</f>
        <v>0</v>
      </c>
      <c r="AK1208" s="1">
        <f>VLOOKUP($E1208,'Product Parameters'!$A$2:$D$59,4,FALSE)</f>
        <v>0.12</v>
      </c>
      <c r="AL1208" s="1">
        <f>VLOOKUP($E1208,'Product Parameters'!$A$2:$E$59,5,FALSE)</f>
        <v>50.18</v>
      </c>
      <c r="AM1208" s="1">
        <f>VLOOKUP($E1208,'Product Parameters'!$A$2:$F$59,6,FALSE)</f>
        <v>3</v>
      </c>
      <c r="AN1208" s="1">
        <f>VLOOKUP($C1208,'Substrate Heating'!$A$2:$C$33,3,FALSE)</f>
        <v>1055.1294800000001</v>
      </c>
      <c r="AO1208" s="1">
        <f>VLOOKUP($C1208,'Substrate Heating'!$A$2:$B$33,2,FALSE)</f>
        <v>17</v>
      </c>
      <c r="AP1208" s="1">
        <f>VLOOKUP($C1208,'Substrate Heating'!$A$2:$M$33,13,FALSE)</f>
        <v>5</v>
      </c>
      <c r="AQ1208" s="1">
        <f>VLOOKUP($C1208,'Substrate Heating'!$A$2:$M$33,8,FALSE)</f>
        <v>2</v>
      </c>
      <c r="AR1208" s="1">
        <f t="shared" si="18"/>
        <v>0.74472972972973051</v>
      </c>
    </row>
    <row r="1209" spans="1:44" x14ac:dyDescent="0.2">
      <c r="A1209" s="8" t="s">
        <v>34</v>
      </c>
      <c r="B1209" s="9" t="s">
        <v>35</v>
      </c>
      <c r="C1209" s="1" t="s">
        <v>348</v>
      </c>
      <c r="D1209" s="23" t="s">
        <v>338</v>
      </c>
      <c r="E1209" s="1" t="s">
        <v>308</v>
      </c>
      <c r="F1209" s="1" t="s">
        <v>309</v>
      </c>
      <c r="G1209" s="1">
        <v>-10</v>
      </c>
      <c r="H1209" s="1">
        <v>-20</v>
      </c>
      <c r="I1209" s="1" t="s">
        <v>40</v>
      </c>
      <c r="J1209" s="1">
        <v>3.15</v>
      </c>
      <c r="K1209" s="1">
        <v>-10</v>
      </c>
      <c r="L1209" s="1">
        <v>-7.0736170212765899</v>
      </c>
      <c r="M1209" s="1" t="s">
        <v>40</v>
      </c>
      <c r="N1209" s="1">
        <v>2.0736170212766001</v>
      </c>
      <c r="O1209" s="1">
        <v>1.13234042553192</v>
      </c>
      <c r="Q1209" s="1">
        <v>0.113234042553192</v>
      </c>
      <c r="R1209" s="1">
        <v>0.61188344628171298</v>
      </c>
      <c r="S1209" s="1" t="str">
        <f>VLOOKUP($E1209,'Product Naming'!$A$1:$P$58,2,FALSE)</f>
        <v>Shikimate</v>
      </c>
      <c r="T1209" s="1" t="str">
        <f>VLOOKUP($E1209,'Product Naming'!$A$1:$P$58,3,FALSE)</f>
        <v>Shikimate</v>
      </c>
      <c r="U1209" s="1" t="str">
        <f>VLOOKUP($E1209,'Product Naming'!$A$1:$P$58,4,FALSE)</f>
        <v>E</v>
      </c>
      <c r="V1209" s="1" t="str">
        <f>VLOOKUP($E1209,'Product Naming'!$A$1:$P$58,5,FALSE)</f>
        <v>C7H9O5</v>
      </c>
      <c r="W1209" s="1">
        <f>VLOOKUP($E1209,'Product Naming'!$A$1:$P$58,6,FALSE)</f>
        <v>7</v>
      </c>
      <c r="X1209" s="1">
        <f>VLOOKUP($E1209,'Product Naming'!$A$1:$P$58,7,FALSE)</f>
        <v>9</v>
      </c>
      <c r="Y1209" s="1">
        <f>VLOOKUP($E1209,'Product Naming'!$A$1:$P$58,8,FALSE)</f>
        <v>5</v>
      </c>
      <c r="Z1209" s="1">
        <f>VLOOKUP($E1209,'Product Naming'!$A$1:$P$58,9,FALSE)</f>
        <v>0</v>
      </c>
      <c r="AA1209" s="1">
        <f>VLOOKUP($E1209,'Product Naming'!$A$1:$P$58,10,FALSE)</f>
        <v>-1</v>
      </c>
      <c r="AB1209" s="29">
        <f>VLOOKUP($E1209,'Product Naming'!$A$1:$P$58,11,FALSE)</f>
        <v>3.8571428571428572</v>
      </c>
      <c r="AC1209" s="3">
        <f>VLOOKUP($E1209,'Product Naming'!$A$1:$P$58,12,FALSE)</f>
        <v>173.14046000000002</v>
      </c>
      <c r="AD1209" s="1">
        <f>VLOOKUP($E1209,'Product Naming'!$A$1:$P$58,13,FALSE)</f>
        <v>400.5</v>
      </c>
      <c r="AE1209" s="1" t="str">
        <f>VLOOKUP($E1209,'Product Naming'!$A$1:$P$58,14,FALSE)</f>
        <v>Aromatic + Alcohol + Carboxylate</v>
      </c>
      <c r="AF1209" s="1" t="str">
        <f>VLOOKUP($E1209,'Product Naming'!$A$1:$P$58,15,FALSE)</f>
        <v>PEP + E4P (Glyceraldehyde 3-P)</v>
      </c>
      <c r="AG1209" s="30" t="str">
        <f>VLOOKUP($E1209,'Product Naming'!$A$1:$P$58,16,FALSE)</f>
        <v>Proton symporter</v>
      </c>
      <c r="AH1209" s="3" t="str">
        <f>VLOOKUP($E1209,'Product Naming'!$A$1:$Q$58,17,FALSE)</f>
        <v>skm_c</v>
      </c>
      <c r="AI1209" s="1">
        <f>VLOOKUP($E1209,'Product Parameters'!$A$2:$D$59,2,FALSE)</f>
        <v>1</v>
      </c>
      <c r="AJ1209" s="1">
        <f>VLOOKUP($E1209,'Product Parameters'!$A$2:$D$59,3,FALSE)</f>
        <v>0</v>
      </c>
      <c r="AK1209" s="1">
        <f>VLOOKUP($E1209,'Product Parameters'!$A$2:$D$59,4,FALSE)</f>
        <v>0.12</v>
      </c>
      <c r="AL1209" s="1">
        <f>VLOOKUP($E1209,'Product Parameters'!$A$2:$E$59,5,FALSE)</f>
        <v>40.65</v>
      </c>
      <c r="AM1209" s="1">
        <f>VLOOKUP($E1209,'Product Parameters'!$A$2:$F$59,6,FALSE)</f>
        <v>7</v>
      </c>
      <c r="AN1209" s="1">
        <f>VLOOKUP($C1209,'Substrate Heating'!$A$2:$C$33,3,FALSE)</f>
        <v>638.57832580000002</v>
      </c>
      <c r="AO1209" s="1">
        <f>VLOOKUP($C1209,'Substrate Heating'!$A$2:$B$33,2,FALSE)</f>
        <v>19.93</v>
      </c>
      <c r="AP1209" s="1">
        <f>VLOOKUP($C1209,'Substrate Heating'!$A$2:$M$33,13,FALSE)</f>
        <v>6</v>
      </c>
      <c r="AQ1209" s="1">
        <f>VLOOKUP($C1209,'Substrate Heating'!$A$2:$M$33,8,FALSE)</f>
        <v>1</v>
      </c>
      <c r="AR1209" s="1">
        <f t="shared" si="18"/>
        <v>0.79263829787234397</v>
      </c>
    </row>
    <row r="1210" spans="1:44" x14ac:dyDescent="0.2">
      <c r="A1210" s="8" t="s">
        <v>34</v>
      </c>
      <c r="B1210" s="9" t="s">
        <v>35</v>
      </c>
      <c r="C1210" s="1" t="s">
        <v>332</v>
      </c>
      <c r="D1210" s="10" t="s">
        <v>37</v>
      </c>
      <c r="E1210" s="1" t="s">
        <v>295</v>
      </c>
      <c r="F1210" s="1" t="s">
        <v>292</v>
      </c>
      <c r="G1210" s="1">
        <v>-10</v>
      </c>
      <c r="H1210" s="1">
        <v>-20</v>
      </c>
      <c r="I1210" s="1" t="s">
        <v>40</v>
      </c>
      <c r="J1210" s="1">
        <v>3.15</v>
      </c>
      <c r="K1210" s="1">
        <v>-10</v>
      </c>
      <c r="L1210" s="1">
        <v>-5.9697986577181199</v>
      </c>
      <c r="M1210" s="1" t="s">
        <v>40</v>
      </c>
      <c r="N1210" s="1">
        <v>3.97986577181207</v>
      </c>
      <c r="O1210" s="1">
        <v>3.2040268456375798</v>
      </c>
      <c r="Q1210" s="1">
        <v>0.32040268456375798</v>
      </c>
      <c r="R1210" s="1">
        <v>0.6130664275487</v>
      </c>
      <c r="S1210" s="1" t="str">
        <f>VLOOKUP($E1210,'Product Naming'!$A$1:$P$58,2,FALSE)</f>
        <v>Pentanol-PW2</v>
      </c>
      <c r="T1210" s="1" t="str">
        <f>VLOOKUP($E1210,'Product Naming'!$A$1:$P$58,3,FALSE)</f>
        <v>Pentanol (PW2)</v>
      </c>
      <c r="U1210" s="1" t="str">
        <f>VLOOKUP($E1210,'Product Naming'!$A$1:$P$58,4,FALSE)</f>
        <v>E</v>
      </c>
      <c r="V1210" s="1" t="str">
        <f>VLOOKUP($E1210,'Product Naming'!$A$1:$P$58,5,FALSE)</f>
        <v>C5H12O</v>
      </c>
      <c r="W1210" s="1">
        <f>VLOOKUP($E1210,'Product Naming'!$A$1:$P$58,6,FALSE)</f>
        <v>5</v>
      </c>
      <c r="X1210" s="1">
        <f>VLOOKUP($E1210,'Product Naming'!$A$1:$P$58,7,FALSE)</f>
        <v>12</v>
      </c>
      <c r="Y1210" s="1">
        <f>VLOOKUP($E1210,'Product Naming'!$A$1:$P$58,8,FALSE)</f>
        <v>1</v>
      </c>
      <c r="Z1210" s="1">
        <f>VLOOKUP($E1210,'Product Naming'!$A$1:$P$58,9,FALSE)</f>
        <v>0</v>
      </c>
      <c r="AA1210" s="1">
        <f>VLOOKUP($E1210,'Product Naming'!$A$1:$P$58,10,FALSE)</f>
        <v>0</v>
      </c>
      <c r="AB1210" s="29">
        <f>VLOOKUP($E1210,'Product Naming'!$A$1:$P$58,11,FALSE)</f>
        <v>6</v>
      </c>
      <c r="AC1210" s="3">
        <f>VLOOKUP($E1210,'Product Naming'!$A$1:$P$58,12,FALSE)</f>
        <v>88.14658</v>
      </c>
      <c r="AD1210" s="1">
        <f>VLOOKUP($E1210,'Product Naming'!$A$1:$P$58,13,FALSE)</f>
        <v>138</v>
      </c>
      <c r="AE1210" s="1" t="str">
        <f>VLOOKUP($E1210,'Product Naming'!$A$1:$P$58,14,FALSE)</f>
        <v>Alcohol</v>
      </c>
      <c r="AF1210" s="1" t="str">
        <f>VLOOKUP($E1210,'Product Naming'!$A$1:$P$58,15,FALSE)</f>
        <v>Oxaloacetate</v>
      </c>
      <c r="AG1210" s="30" t="str">
        <f>VLOOKUP($E1210,'Product Naming'!$A$1:$P$58,16,FALSE)</f>
        <v>Proton symporter</v>
      </c>
      <c r="AH1210" s="3" t="str">
        <f>VLOOKUP($E1210,'Product Naming'!$A$1:$Q$58,17,FALSE)</f>
        <v>pentoh_c</v>
      </c>
      <c r="AI1210" s="1">
        <f>VLOOKUP($E1210,'Product Parameters'!$A$2:$D$59,2,FALSE)</f>
        <v>1</v>
      </c>
      <c r="AJ1210" s="1">
        <f>VLOOKUP($E1210,'Product Parameters'!$A$2:$D$59,3,FALSE)</f>
        <v>0</v>
      </c>
      <c r="AK1210" s="1">
        <f>VLOOKUP($E1210,'Product Parameters'!$A$2:$D$59,4,FALSE)</f>
        <v>0.12</v>
      </c>
      <c r="AL1210" s="1">
        <f>VLOOKUP($E1210,'Product Parameters'!$A$2:$E$59,5,FALSE)</f>
        <v>57</v>
      </c>
      <c r="AM1210" s="1">
        <f>VLOOKUP($E1210,'Product Parameters'!$A$2:$F$59,6,FALSE)</f>
        <v>5</v>
      </c>
      <c r="AN1210" s="1">
        <f>VLOOKUP($C1210,'Substrate Heating'!$A$2:$C$33,3,FALSE)</f>
        <v>1230.0006480000002</v>
      </c>
      <c r="AO1210" s="1">
        <f>VLOOKUP($C1210,'Substrate Heating'!$A$2:$B$33,2,FALSE)</f>
        <v>26.7</v>
      </c>
      <c r="AP1210" s="1">
        <f>VLOOKUP($C1210,'Substrate Heating'!$A$2:$M$33,13,FALSE)</f>
        <v>6</v>
      </c>
      <c r="AQ1210" s="1">
        <f>VLOOKUP($C1210,'Substrate Heating'!$A$2:$M$33,8,FALSE)</f>
        <v>2</v>
      </c>
      <c r="AR1210" s="1">
        <f t="shared" si="18"/>
        <v>0.80100671140939494</v>
      </c>
    </row>
    <row r="1211" spans="1:44" x14ac:dyDescent="0.2">
      <c r="A1211" s="8" t="s">
        <v>812</v>
      </c>
      <c r="B1211" s="9" t="s">
        <v>35</v>
      </c>
      <c r="C1211" t="s">
        <v>813</v>
      </c>
      <c r="E1211" t="s">
        <v>105</v>
      </c>
      <c r="F1211" t="s">
        <v>104</v>
      </c>
      <c r="G1211">
        <v>-10</v>
      </c>
      <c r="H1211">
        <v>-20</v>
      </c>
      <c r="I1211">
        <v>0</v>
      </c>
      <c r="J1211">
        <v>3.15</v>
      </c>
      <c r="K1211">
        <v>-10</v>
      </c>
      <c r="L1211">
        <v>-12.5463829787234</v>
      </c>
      <c r="M1211">
        <v>0</v>
      </c>
      <c r="N1211">
        <v>8.3642553191489295</v>
      </c>
      <c r="O1211">
        <v>3.6059574468085098</v>
      </c>
      <c r="P1211"/>
      <c r="Q1211">
        <v>0.36059574468085098</v>
      </c>
      <c r="R1211">
        <v>0.61307949049918797</v>
      </c>
      <c r="S1211" s="1" t="str">
        <f>VLOOKUP($E1211,'Product Naming'!$A$1:$P$58,2,FALSE)</f>
        <v>3-Methyl-1-Pentanol</v>
      </c>
      <c r="T1211" s="1" t="str">
        <f>VLOOKUP($E1211,'Product Naming'!$A$1:$P$58,3,FALSE)</f>
        <v>3-Methyl-1-pentanol</v>
      </c>
      <c r="U1211" s="1" t="str">
        <f>VLOOKUP($E1211,'Product Naming'!$A$1:$P$58,4,FALSE)</f>
        <v>A</v>
      </c>
      <c r="V1211" s="1" t="str">
        <f>VLOOKUP($E1211,'Product Naming'!$A$1:$P$58,5,FALSE)</f>
        <v>C6H14O</v>
      </c>
      <c r="W1211" s="1">
        <f>VLOOKUP($E1211,'Product Naming'!$A$1:$P$58,6,FALSE)</f>
        <v>6</v>
      </c>
      <c r="X1211" s="1">
        <f>VLOOKUP($E1211,'Product Naming'!$A$1:$P$58,7,FALSE)</f>
        <v>14</v>
      </c>
      <c r="Y1211" s="1">
        <f>VLOOKUP($E1211,'Product Naming'!$A$1:$P$58,8,FALSE)</f>
        <v>1</v>
      </c>
      <c r="Z1211" s="1">
        <f>VLOOKUP($E1211,'Product Naming'!$A$1:$P$58,9,FALSE)</f>
        <v>0</v>
      </c>
      <c r="AA1211" s="1">
        <f>VLOOKUP($E1211,'Product Naming'!$A$1:$P$58,10,FALSE)</f>
        <v>0</v>
      </c>
      <c r="AB1211" s="29">
        <f>VLOOKUP($E1211,'Product Naming'!$A$1:$P$58,11,FALSE)</f>
        <v>6</v>
      </c>
      <c r="AC1211" s="3">
        <f>VLOOKUP($E1211,'Product Naming'!$A$1:$P$58,12,FALSE)</f>
        <v>102.17295999999999</v>
      </c>
      <c r="AD1211" s="1">
        <f>VLOOKUP($E1211,'Product Naming'!$A$1:$P$58,13,FALSE)</f>
        <v>153</v>
      </c>
      <c r="AE1211" s="1" t="str">
        <f>VLOOKUP($E1211,'Product Naming'!$A$1:$P$58,14,FALSE)</f>
        <v>Alcohol</v>
      </c>
      <c r="AF1211" s="1" t="str">
        <f>VLOOKUP($E1211,'Product Naming'!$A$1:$P$58,15,FALSE)</f>
        <v>Oxaloacetate</v>
      </c>
      <c r="AG1211" s="30" t="str">
        <f>VLOOKUP($E1211,'Product Naming'!$A$1:$P$58,16,FALSE)</f>
        <v>Proton symporter</v>
      </c>
      <c r="AH1211" s="3" t="str">
        <f>VLOOKUP($E1211,'Product Naming'!$A$1:$Q$58,17,FALSE)</f>
        <v>3mptoh_c</v>
      </c>
      <c r="AI1211" s="1">
        <f>VLOOKUP($E1211,'Product Parameters'!$A$2:$D$59,2,FALSE)</f>
        <v>1</v>
      </c>
      <c r="AJ1211" s="1">
        <f>VLOOKUP($E1211,'Product Parameters'!$A$2:$D$59,3,FALSE)</f>
        <v>0</v>
      </c>
      <c r="AK1211" s="1">
        <f>VLOOKUP($E1211,'Product Parameters'!$A$2:$D$59,4,FALSE)</f>
        <v>0.12</v>
      </c>
      <c r="AL1211" s="1">
        <f>VLOOKUP($E1211,'Product Parameters'!$A$2:$E$59,5,FALSE)</f>
        <v>61.7</v>
      </c>
      <c r="AM1211" s="1">
        <f>VLOOKUP($E1211,'Product Parameters'!$A$2:$F$59,6,FALSE)</f>
        <v>6</v>
      </c>
      <c r="AN1211" s="1">
        <f>VLOOKUP($C1211,'Substrate Heating'!$A$2:$C$33,3,FALSE)</f>
        <v>1843.720736</v>
      </c>
      <c r="AO1211" s="1">
        <f>VLOOKUP($C1211,'Substrate Heating'!$A$2:$B$33,2,FALSE)</f>
        <v>30.68</v>
      </c>
      <c r="AP1211" s="1">
        <f>VLOOKUP($C1211,'Substrate Heating'!$A$2:$M$33,13,FALSE)</f>
        <v>6</v>
      </c>
      <c r="AQ1211" s="1">
        <f>VLOOKUP($C1211,'Substrate Heating'!$A$2:$M$33,8,FALSE)</f>
        <v>3</v>
      </c>
      <c r="AR1211" s="1">
        <f t="shared" si="18"/>
        <v>0.72119148936170197</v>
      </c>
    </row>
    <row r="1212" spans="1:44" x14ac:dyDescent="0.2">
      <c r="A1212" s="8" t="s">
        <v>34</v>
      </c>
      <c r="B1212" s="9" t="s">
        <v>35</v>
      </c>
      <c r="C1212" s="1" t="s">
        <v>343</v>
      </c>
      <c r="D1212" s="24" t="s">
        <v>342</v>
      </c>
      <c r="E1212" s="1" t="s">
        <v>48</v>
      </c>
      <c r="F1212" s="1" t="s">
        <v>39</v>
      </c>
      <c r="G1212" s="1">
        <v>-10</v>
      </c>
      <c r="H1212" s="1">
        <v>-20</v>
      </c>
      <c r="I1212" s="1" t="s">
        <v>40</v>
      </c>
      <c r="J1212" s="1">
        <v>3.15</v>
      </c>
      <c r="K1212" s="1">
        <v>-10</v>
      </c>
      <c r="L1212" s="1">
        <v>-0.51854838709676399</v>
      </c>
      <c r="M1212" s="1" t="s">
        <v>40</v>
      </c>
      <c r="N1212" s="1">
        <v>4.9225806451612799</v>
      </c>
      <c r="O1212" s="1">
        <v>6.2693548387096696</v>
      </c>
      <c r="Q1212" s="1">
        <v>0.62693548387096698</v>
      </c>
      <c r="R1212" s="1">
        <v>0.61349311232897497</v>
      </c>
      <c r="S1212" s="1" t="str">
        <f>VLOOKUP($E1212,'Product Naming'!$A$1:$P$58,2,FALSE)</f>
        <v>1-3-butanediol-PW2</v>
      </c>
      <c r="T1212" s="1" t="str">
        <f>VLOOKUP($E1212,'Product Naming'!$A$1:$P$58,3,FALSE)</f>
        <v>1,3-Butanediol (PW2)</v>
      </c>
      <c r="U1212" s="1" t="str">
        <f>VLOOKUP($E1212,'Product Naming'!$A$1:$P$58,4,FALSE)</f>
        <v>E</v>
      </c>
      <c r="V1212" s="1" t="str">
        <f>VLOOKUP($E1212,'Product Naming'!$A$1:$P$58,5,FALSE)</f>
        <v>C4H10O2</v>
      </c>
      <c r="W1212" s="1">
        <f>VLOOKUP($E1212,'Product Naming'!$A$1:$P$58,6,FALSE)</f>
        <v>4</v>
      </c>
      <c r="X1212" s="1">
        <f>VLOOKUP($E1212,'Product Naming'!$A$1:$P$58,7,FALSE)</f>
        <v>10</v>
      </c>
      <c r="Y1212" s="1">
        <f>VLOOKUP($E1212,'Product Naming'!$A$1:$P$58,8,FALSE)</f>
        <v>2</v>
      </c>
      <c r="Z1212" s="1">
        <f>VLOOKUP($E1212,'Product Naming'!$A$1:$P$58,9,FALSE)</f>
        <v>0</v>
      </c>
      <c r="AA1212" s="1">
        <f>VLOOKUP($E1212,'Product Naming'!$A$1:$P$58,10,FALSE)</f>
        <v>0</v>
      </c>
      <c r="AB1212" s="29">
        <f>VLOOKUP($E1212,'Product Naming'!$A$1:$P$58,11,FALSE)</f>
        <v>5.5</v>
      </c>
      <c r="AC1212" s="3">
        <f>VLOOKUP($E1212,'Product Naming'!$A$1:$P$58,12,FALSE)</f>
        <v>90.119200000000006</v>
      </c>
      <c r="AD1212" s="1">
        <f>VLOOKUP($E1212,'Product Naming'!$A$1:$P$58,13,FALSE)</f>
        <v>207</v>
      </c>
      <c r="AE1212" s="1" t="str">
        <f>VLOOKUP($E1212,'Product Naming'!$A$1:$P$58,14,FALSE)</f>
        <v>Diol</v>
      </c>
      <c r="AF1212" s="1" t="str">
        <f>VLOOKUP($E1212,'Product Naming'!$A$1:$P$58,15,FALSE)</f>
        <v>Pyruvate (acetalehyde)</v>
      </c>
      <c r="AG1212" s="30" t="str">
        <f>VLOOKUP($E1212,'Product Naming'!$A$1:$P$58,16,FALSE)</f>
        <v>Proton symporter</v>
      </c>
      <c r="AH1212" s="3" t="str">
        <f>VLOOKUP($E1212,'Product Naming'!$A$1:$Q$58,17,FALSE)</f>
        <v>13bdo__R_c</v>
      </c>
      <c r="AI1212" s="1">
        <f>VLOOKUP($E1212,'Product Parameters'!$A$2:$D$59,2,FALSE)</f>
        <v>1</v>
      </c>
      <c r="AJ1212" s="1">
        <f>VLOOKUP($E1212,'Product Parameters'!$A$2:$D$59,3,FALSE)</f>
        <v>0</v>
      </c>
      <c r="AK1212" s="1">
        <f>VLOOKUP($E1212,'Product Parameters'!$A$2:$D$59,4,FALSE)</f>
        <v>0.12</v>
      </c>
      <c r="AL1212" s="1">
        <f>VLOOKUP($E1212,'Product Parameters'!$A$2:$E$59,5,FALSE)</f>
        <v>72.599999999999994</v>
      </c>
      <c r="AM1212" s="1">
        <f>VLOOKUP($E1212,'Product Parameters'!$A$2:$F$59,6,FALSE)</f>
        <v>4</v>
      </c>
      <c r="AN1212" s="1">
        <f>VLOOKUP($C1212,'Substrate Heating'!$A$2:$C$33,3,FALSE)</f>
        <v>1648.4793779999998</v>
      </c>
      <c r="AO1212" s="1">
        <f>VLOOKUP($C1212,'Substrate Heating'!$A$2:$B$33,2,FALSE)</f>
        <v>17.899999999999999</v>
      </c>
      <c r="AP1212" s="1">
        <f>VLOOKUP($C1212,'Substrate Heating'!$A$2:$M$33,13,FALSE)</f>
        <v>4.666666666666667</v>
      </c>
      <c r="AQ1212" s="1">
        <f>VLOOKUP($C1212,'Substrate Heating'!$A$2:$M$33,8,FALSE)</f>
        <v>3</v>
      </c>
      <c r="AR1212" s="1">
        <f t="shared" si="18"/>
        <v>0.83591397849462268</v>
      </c>
    </row>
    <row r="1213" spans="1:44" x14ac:dyDescent="0.2">
      <c r="A1213" s="8" t="s">
        <v>34</v>
      </c>
      <c r="B1213" s="9" t="s">
        <v>35</v>
      </c>
      <c r="C1213" s="1" t="s">
        <v>343</v>
      </c>
      <c r="D1213" s="24" t="s">
        <v>342</v>
      </c>
      <c r="E1213" s="1" t="s">
        <v>244</v>
      </c>
      <c r="F1213" s="1" t="s">
        <v>245</v>
      </c>
      <c r="G1213" s="1">
        <v>-10</v>
      </c>
      <c r="H1213" s="1">
        <v>-20</v>
      </c>
      <c r="I1213" s="1" t="s">
        <v>40</v>
      </c>
      <c r="J1213" s="1">
        <v>3.15</v>
      </c>
      <c r="K1213" s="1">
        <v>-10</v>
      </c>
      <c r="L1213" s="1">
        <v>-2.5634920634920602</v>
      </c>
      <c r="M1213" s="1" t="s">
        <v>40</v>
      </c>
      <c r="N1213" s="1">
        <v>4.0507936507936302</v>
      </c>
      <c r="O1213" s="1">
        <v>6.4873015873015802</v>
      </c>
      <c r="Q1213" s="1">
        <v>0.64873015873015805</v>
      </c>
      <c r="R1213" s="1">
        <v>0.61352210507839799</v>
      </c>
      <c r="S1213" s="1" t="str">
        <f>VLOOKUP($E1213,'Product Naming'!$A$1:$P$58,2,FALSE)</f>
        <v>Isobutyrate</v>
      </c>
      <c r="T1213" s="1" t="str">
        <f>VLOOKUP($E1213,'Product Naming'!$A$1:$P$58,3,FALSE)</f>
        <v>Isobutyrate</v>
      </c>
      <c r="U1213" s="1" t="str">
        <f>VLOOKUP($E1213,'Product Naming'!$A$1:$P$58,4,FALSE)</f>
        <v>A</v>
      </c>
      <c r="V1213" s="1" t="str">
        <f>VLOOKUP($E1213,'Product Naming'!$A$1:$P$58,5,FALSE)</f>
        <v>C4H7O2</v>
      </c>
      <c r="W1213" s="1">
        <f>VLOOKUP($E1213,'Product Naming'!$A$1:$P$58,6,FALSE)</f>
        <v>4</v>
      </c>
      <c r="X1213" s="1">
        <f>VLOOKUP($E1213,'Product Naming'!$A$1:$P$58,7,FALSE)</f>
        <v>7</v>
      </c>
      <c r="Y1213" s="1">
        <f>VLOOKUP($E1213,'Product Naming'!$A$1:$P$58,8,FALSE)</f>
        <v>2</v>
      </c>
      <c r="Z1213" s="1">
        <f>VLOOKUP($E1213,'Product Naming'!$A$1:$P$58,9,FALSE)</f>
        <v>0</v>
      </c>
      <c r="AA1213" s="1">
        <f>VLOOKUP($E1213,'Product Naming'!$A$1:$P$58,10,FALSE)</f>
        <v>-1</v>
      </c>
      <c r="AB1213" s="29">
        <f>VLOOKUP($E1213,'Product Naming'!$A$1:$P$58,11,FALSE)</f>
        <v>4.75</v>
      </c>
      <c r="AC1213" s="3">
        <f>VLOOKUP($E1213,'Product Naming'!$A$1:$P$58,12,FALSE)</f>
        <v>87.095680000000002</v>
      </c>
      <c r="AD1213" s="1">
        <f>VLOOKUP($E1213,'Product Naming'!$A$1:$P$58,13,FALSE)</f>
        <v>155</v>
      </c>
      <c r="AE1213" s="1" t="str">
        <f>VLOOKUP($E1213,'Product Naming'!$A$1:$P$58,14,FALSE)</f>
        <v>Carboxylate</v>
      </c>
      <c r="AF1213" s="1" t="str">
        <f>VLOOKUP($E1213,'Product Naming'!$A$1:$P$58,15,FALSE)</f>
        <v>Pyruvate</v>
      </c>
      <c r="AG1213" s="30" t="str">
        <f>VLOOKUP($E1213,'Product Naming'!$A$1:$P$58,16,FALSE)</f>
        <v>Proton symporter</v>
      </c>
      <c r="AH1213" s="3" t="str">
        <f>VLOOKUP($E1213,'Product Naming'!$A$1:$Q$58,17,FALSE)</f>
        <v>ibt_c</v>
      </c>
      <c r="AI1213" s="1">
        <f>VLOOKUP($E1213,'Product Parameters'!$A$2:$D$59,2,FALSE)</f>
        <v>1</v>
      </c>
      <c r="AJ1213" s="1">
        <f>VLOOKUP($E1213,'Product Parameters'!$A$2:$D$59,3,FALSE)</f>
        <v>0</v>
      </c>
      <c r="AK1213" s="1">
        <f>VLOOKUP($E1213,'Product Parameters'!$A$2:$D$59,4,FALSE)</f>
        <v>0.12</v>
      </c>
      <c r="AL1213" s="1">
        <f>VLOOKUP($E1213,'Product Parameters'!$A$2:$E$59,5,FALSE)</f>
        <v>44.5</v>
      </c>
      <c r="AM1213" s="1">
        <f>VLOOKUP($E1213,'Product Parameters'!$A$2:$F$59,6,FALSE)</f>
        <v>4</v>
      </c>
      <c r="AN1213" s="1">
        <f>VLOOKUP($C1213,'Substrate Heating'!$A$2:$C$33,3,FALSE)</f>
        <v>1648.4793779999998</v>
      </c>
      <c r="AO1213" s="1">
        <f>VLOOKUP($C1213,'Substrate Heating'!$A$2:$B$33,2,FALSE)</f>
        <v>17.899999999999999</v>
      </c>
      <c r="AP1213" s="1">
        <f>VLOOKUP($C1213,'Substrate Heating'!$A$2:$M$33,13,FALSE)</f>
        <v>4.666666666666667</v>
      </c>
      <c r="AQ1213" s="1">
        <f>VLOOKUP($C1213,'Substrate Heating'!$A$2:$M$33,8,FALSE)</f>
        <v>3</v>
      </c>
      <c r="AR1213" s="1">
        <f t="shared" si="18"/>
        <v>0.86497354497354406</v>
      </c>
    </row>
    <row r="1214" spans="1:44" x14ac:dyDescent="0.2">
      <c r="A1214" s="8" t="s">
        <v>34</v>
      </c>
      <c r="B1214" s="9" t="s">
        <v>35</v>
      </c>
      <c r="C1214" s="1" t="s">
        <v>349</v>
      </c>
      <c r="D1214" s="25" t="s">
        <v>342</v>
      </c>
      <c r="E1214" s="1" t="s">
        <v>60</v>
      </c>
      <c r="F1214" s="1" t="s">
        <v>61</v>
      </c>
      <c r="G1214" s="1">
        <v>-10</v>
      </c>
      <c r="H1214" s="1">
        <v>-20</v>
      </c>
      <c r="I1214" s="1" t="s">
        <v>40</v>
      </c>
      <c r="J1214" s="1">
        <v>3.15</v>
      </c>
      <c r="K1214" s="1">
        <v>-10</v>
      </c>
      <c r="L1214" s="1">
        <v>-1.57795275590551</v>
      </c>
      <c r="M1214" s="1" t="s">
        <v>40</v>
      </c>
      <c r="N1214" s="1">
        <v>13.6834645669291</v>
      </c>
      <c r="O1214" s="1">
        <v>12.1055118110236</v>
      </c>
      <c r="Q1214" s="1">
        <v>1.2105511811023599</v>
      </c>
      <c r="R1214" s="1">
        <v>0.61356326599886402</v>
      </c>
      <c r="S1214" s="1" t="str">
        <f>VLOOKUP($E1214,'Product Naming'!$A$1:$P$58,2,FALSE)</f>
        <v>1-3-Propanediol</v>
      </c>
      <c r="T1214" s="1" t="str">
        <f>VLOOKUP($E1214,'Product Naming'!$A$1:$P$58,3,FALSE)</f>
        <v>1,3-Propanediol</v>
      </c>
      <c r="U1214" s="1" t="str">
        <f>VLOOKUP($E1214,'Product Naming'!$A$1:$P$58,4,FALSE)</f>
        <v>A</v>
      </c>
      <c r="V1214" s="1" t="str">
        <f>VLOOKUP($E1214,'Product Naming'!$A$1:$P$58,5,FALSE)</f>
        <v>C3H8O2</v>
      </c>
      <c r="W1214" s="1">
        <f>VLOOKUP($E1214,'Product Naming'!$A$1:$P$58,6,FALSE)</f>
        <v>3</v>
      </c>
      <c r="X1214" s="1">
        <f>VLOOKUP($E1214,'Product Naming'!$A$1:$P$58,7,FALSE)</f>
        <v>8</v>
      </c>
      <c r="Y1214" s="1">
        <f>VLOOKUP($E1214,'Product Naming'!$A$1:$P$58,8,FALSE)</f>
        <v>2</v>
      </c>
      <c r="Z1214" s="1">
        <f>VLOOKUP($E1214,'Product Naming'!$A$1:$P$58,9,FALSE)</f>
        <v>0</v>
      </c>
      <c r="AA1214" s="1">
        <f>VLOOKUP($E1214,'Product Naming'!$A$1:$P$58,10,FALSE)</f>
        <v>0</v>
      </c>
      <c r="AB1214" s="29">
        <f>VLOOKUP($E1214,'Product Naming'!$A$1:$P$58,11,FALSE)</f>
        <v>5.333333333333333</v>
      </c>
      <c r="AC1214" s="3">
        <f>VLOOKUP($E1214,'Product Naming'!$A$1:$P$58,12,FALSE)</f>
        <v>76.092820000000003</v>
      </c>
      <c r="AD1214" s="1">
        <f>VLOOKUP($E1214,'Product Naming'!$A$1:$P$58,13,FALSE)</f>
        <v>213</v>
      </c>
      <c r="AE1214" s="1" t="str">
        <f>VLOOKUP($E1214,'Product Naming'!$A$1:$P$58,14,FALSE)</f>
        <v>Diol</v>
      </c>
      <c r="AF1214" s="1" t="str">
        <f>VLOOKUP($E1214,'Product Naming'!$A$1:$P$58,15,FALSE)</f>
        <v>Glyceraldehyde 3-P</v>
      </c>
      <c r="AG1214" s="30" t="str">
        <f>VLOOKUP($E1214,'Product Naming'!$A$1:$P$58,16,FALSE)</f>
        <v>Proton symporter</v>
      </c>
      <c r="AH1214" s="3" t="str">
        <f>VLOOKUP($E1214,'Product Naming'!$A$1:$Q$58,17,FALSE)</f>
        <v>13ppd_c</v>
      </c>
      <c r="AI1214" s="1">
        <f>VLOOKUP($E1214,'Product Parameters'!$A$2:$D$59,2,FALSE)</f>
        <v>1</v>
      </c>
      <c r="AJ1214" s="1">
        <f>VLOOKUP($E1214,'Product Parameters'!$A$2:$D$59,3,FALSE)</f>
        <v>0</v>
      </c>
      <c r="AK1214" s="1">
        <f>VLOOKUP($E1214,'Product Parameters'!$A$2:$D$59,4,FALSE)</f>
        <v>0.12</v>
      </c>
      <c r="AL1214" s="1">
        <f>VLOOKUP($E1214,'Product Parameters'!$A$2:$E$59,5,FALSE)</f>
        <v>70</v>
      </c>
      <c r="AM1214" s="1">
        <f>VLOOKUP($E1214,'Product Parameters'!$A$2:$F$59,6,FALSE)</f>
        <v>3</v>
      </c>
      <c r="AN1214" s="1">
        <f>VLOOKUP($C1214,'Substrate Heating'!$A$2:$C$33,3,FALSE)</f>
        <v>2342.0279999999998</v>
      </c>
      <c r="AO1214" s="1">
        <f>VLOOKUP($C1214,'Substrate Heating'!$A$2:$B$33,2,FALSE)</f>
        <v>15.6</v>
      </c>
      <c r="AP1214" s="1">
        <f>VLOOKUP($C1214,'Substrate Heating'!$A$2:$M$33,13,FALSE)</f>
        <v>4</v>
      </c>
      <c r="AQ1214" s="1">
        <f>VLOOKUP($C1214,'Substrate Heating'!$A$2:$M$33,8,FALSE)</f>
        <v>5</v>
      </c>
      <c r="AR1214" s="1">
        <f t="shared" si="18"/>
        <v>0.72633070866141591</v>
      </c>
    </row>
    <row r="1215" spans="1:44" x14ac:dyDescent="0.2">
      <c r="A1215" s="17" t="s">
        <v>323</v>
      </c>
      <c r="B1215" s="18" t="s">
        <v>324</v>
      </c>
      <c r="C1215" t="s">
        <v>329</v>
      </c>
      <c r="D1215" s="19" t="s">
        <v>326</v>
      </c>
      <c r="E1215" t="s">
        <v>119</v>
      </c>
      <c r="F1215" t="s">
        <v>120</v>
      </c>
      <c r="G1215">
        <v>-10</v>
      </c>
      <c r="H1215">
        <v>0</v>
      </c>
      <c r="I1215">
        <v>-20</v>
      </c>
      <c r="J1215">
        <v>0.45</v>
      </c>
      <c r="K1215">
        <v>-10</v>
      </c>
      <c r="L1215">
        <v>0</v>
      </c>
      <c r="M1215">
        <v>-16.6666666666667</v>
      </c>
      <c r="N1215">
        <v>0</v>
      </c>
      <c r="O1215">
        <v>3.3333333333333299</v>
      </c>
      <c r="P1215"/>
      <c r="Q1215">
        <v>0.33333333333333298</v>
      </c>
      <c r="R1215" s="20">
        <v>0.616999256347604</v>
      </c>
      <c r="S1215" s="1" t="str">
        <f>VLOOKUP($E1215,'Product Naming'!$A$1:$P$58,2,FALSE)</f>
        <v>Acetone</v>
      </c>
      <c r="T1215" s="1" t="str">
        <f>VLOOKUP($E1215,'Product Naming'!$A$1:$P$58,3,FALSE)</f>
        <v>Acetone</v>
      </c>
      <c r="U1215" s="1" t="str">
        <f>VLOOKUP($E1215,'Product Naming'!$A$1:$P$58,4,FALSE)</f>
        <v>A</v>
      </c>
      <c r="V1215" s="1" t="str">
        <f>VLOOKUP($E1215,'Product Naming'!$A$1:$P$58,5,FALSE)</f>
        <v>C3H6O</v>
      </c>
      <c r="W1215" s="1">
        <f>VLOOKUP($E1215,'Product Naming'!$A$1:$P$58,6,FALSE)</f>
        <v>3</v>
      </c>
      <c r="X1215" s="1">
        <f>VLOOKUP($E1215,'Product Naming'!$A$1:$P$58,7,FALSE)</f>
        <v>6</v>
      </c>
      <c r="Y1215" s="1">
        <f>VLOOKUP($E1215,'Product Naming'!$A$1:$P$58,8,FALSE)</f>
        <v>1</v>
      </c>
      <c r="Z1215" s="1">
        <f>VLOOKUP($E1215,'Product Naming'!$A$1:$P$58,9,FALSE)</f>
        <v>0</v>
      </c>
      <c r="AA1215" s="1">
        <f>VLOOKUP($E1215,'Product Naming'!$A$1:$P$58,10,FALSE)</f>
        <v>0</v>
      </c>
      <c r="AB1215" s="29">
        <f>VLOOKUP($E1215,'Product Naming'!$A$1:$P$58,11,FALSE)</f>
        <v>5.333333333333333</v>
      </c>
      <c r="AC1215" s="3">
        <f>VLOOKUP($E1215,'Product Naming'!$A$1:$P$58,12,FALSE)</f>
        <v>58.078140000000005</v>
      </c>
      <c r="AD1215" s="1">
        <f>VLOOKUP($E1215,'Product Naming'!$A$1:$P$58,13,FALSE)</f>
        <v>56</v>
      </c>
      <c r="AE1215" s="1" t="str">
        <f>VLOOKUP($E1215,'Product Naming'!$A$1:$P$58,14,FALSE)</f>
        <v>Ketone</v>
      </c>
      <c r="AF1215" s="1" t="str">
        <f>VLOOKUP($E1215,'Product Naming'!$A$1:$P$58,15,FALSE)</f>
        <v>Acetyl-CoA</v>
      </c>
      <c r="AG1215" s="30" t="str">
        <f>VLOOKUP($E1215,'Product Naming'!$A$1:$P$58,16,FALSE)</f>
        <v>Proton symporter</v>
      </c>
      <c r="AH1215" s="3" t="str">
        <f>VLOOKUP($E1215,'Product Naming'!$A$1:$Q$58,17,FALSE)</f>
        <v>acetone_c</v>
      </c>
      <c r="AI1215" s="1">
        <f>VLOOKUP($E1215,'Product Parameters'!$A$2:$D$59,2,FALSE)</f>
        <v>1</v>
      </c>
      <c r="AJ1215" s="1">
        <f>VLOOKUP($E1215,'Product Parameters'!$A$2:$D$59,3,FALSE)</f>
        <v>0</v>
      </c>
      <c r="AK1215" s="1">
        <f>VLOOKUP($E1215,'Product Parameters'!$A$2:$D$59,4,FALSE)</f>
        <v>0.12</v>
      </c>
      <c r="AL1215" s="1">
        <f>VLOOKUP($E1215,'Product Parameters'!$A$2:$E$59,5,FALSE)</f>
        <v>31.3</v>
      </c>
      <c r="AM1215" s="1">
        <f>VLOOKUP($E1215,'Product Parameters'!$A$2:$F$59,6,FALSE)</f>
        <v>3</v>
      </c>
      <c r="AN1215" s="1">
        <f>VLOOKUP($C1215,'Substrate Heating'!$A$2:$C$33,3,FALSE)</f>
        <v>255.53333333333336</v>
      </c>
      <c r="AO1215" s="1">
        <f>VLOOKUP($C1215,'Substrate Heating'!$A$2:$B$33,2,FALSE)</f>
        <v>23.925550527978785</v>
      </c>
      <c r="AP1215" s="1">
        <f>VLOOKUP($C1215,'Substrate Heating'!$A$2:$M$33,13,FALSE)</f>
        <v>0.66666666666666663</v>
      </c>
      <c r="AQ1215" s="1">
        <f>VLOOKUP($C1215,'Substrate Heating'!$A$2:$M$33,8,FALSE)</f>
        <v>0.33333333333333331</v>
      </c>
      <c r="AR1215" s="1">
        <f t="shared" si="18"/>
        <v>2.9999999999999969</v>
      </c>
    </row>
    <row r="1216" spans="1:44" x14ac:dyDescent="0.2">
      <c r="A1216" s="8" t="s">
        <v>792</v>
      </c>
      <c r="B1216" s="18" t="s">
        <v>324</v>
      </c>
      <c r="C1216" t="s">
        <v>365</v>
      </c>
      <c r="D1216" s="23" t="s">
        <v>338</v>
      </c>
      <c r="E1216" t="s">
        <v>119</v>
      </c>
      <c r="F1216" t="s">
        <v>120</v>
      </c>
      <c r="G1216">
        <v>-10</v>
      </c>
      <c r="H1216">
        <v>0</v>
      </c>
      <c r="I1216">
        <v>0</v>
      </c>
      <c r="J1216">
        <v>0.45</v>
      </c>
      <c r="K1216">
        <v>-10</v>
      </c>
      <c r="L1216">
        <v>0</v>
      </c>
      <c r="M1216" s="28" t="s">
        <v>449</v>
      </c>
      <c r="N1216">
        <v>0</v>
      </c>
      <c r="O1216" s="28" t="s">
        <v>450</v>
      </c>
      <c r="P1216"/>
      <c r="Q1216" s="28" t="s">
        <v>451</v>
      </c>
      <c r="R1216">
        <v>0.61714887216894598</v>
      </c>
      <c r="S1216" s="1" t="str">
        <f>VLOOKUP($E1216,'Product Naming'!$A$1:$P$58,2,FALSE)</f>
        <v>Acetone</v>
      </c>
      <c r="T1216" s="1" t="str">
        <f>VLOOKUP($E1216,'Product Naming'!$A$1:$P$58,3,FALSE)</f>
        <v>Acetone</v>
      </c>
      <c r="U1216" s="1" t="str">
        <f>VLOOKUP($E1216,'Product Naming'!$A$1:$P$58,4,FALSE)</f>
        <v>A</v>
      </c>
      <c r="V1216" s="1" t="str">
        <f>VLOOKUP($E1216,'Product Naming'!$A$1:$P$58,5,FALSE)</f>
        <v>C3H6O</v>
      </c>
      <c r="W1216" s="1">
        <f>VLOOKUP($E1216,'Product Naming'!$A$1:$P$58,6,FALSE)</f>
        <v>3</v>
      </c>
      <c r="X1216" s="1">
        <f>VLOOKUP($E1216,'Product Naming'!$A$1:$P$58,7,FALSE)</f>
        <v>6</v>
      </c>
      <c r="Y1216" s="1">
        <f>VLOOKUP($E1216,'Product Naming'!$A$1:$P$58,8,FALSE)</f>
        <v>1</v>
      </c>
      <c r="Z1216" s="1">
        <f>VLOOKUP($E1216,'Product Naming'!$A$1:$P$58,9,FALSE)</f>
        <v>0</v>
      </c>
      <c r="AA1216" s="1">
        <f>VLOOKUP($E1216,'Product Naming'!$A$1:$P$58,10,FALSE)</f>
        <v>0</v>
      </c>
      <c r="AB1216" s="29">
        <f>VLOOKUP($E1216,'Product Naming'!$A$1:$P$58,11,FALSE)</f>
        <v>5.333333333333333</v>
      </c>
      <c r="AC1216" s="3">
        <f>VLOOKUP($E1216,'Product Naming'!$A$1:$P$58,12,FALSE)</f>
        <v>58.078140000000005</v>
      </c>
      <c r="AD1216" s="1">
        <f>VLOOKUP($E1216,'Product Naming'!$A$1:$P$58,13,FALSE)</f>
        <v>56</v>
      </c>
      <c r="AE1216" s="1" t="str">
        <f>VLOOKUP($E1216,'Product Naming'!$A$1:$P$58,14,FALSE)</f>
        <v>Ketone</v>
      </c>
      <c r="AF1216" s="1" t="str">
        <f>VLOOKUP($E1216,'Product Naming'!$A$1:$P$58,15,FALSE)</f>
        <v>Acetyl-CoA</v>
      </c>
      <c r="AG1216" s="30" t="str">
        <f>VLOOKUP($E1216,'Product Naming'!$A$1:$P$58,16,FALSE)</f>
        <v>Proton symporter</v>
      </c>
      <c r="AH1216" s="3" t="str">
        <f>VLOOKUP($E1216,'Product Naming'!$A$1:$Q$58,17,FALSE)</f>
        <v>acetone_c</v>
      </c>
      <c r="AI1216" s="1">
        <f>VLOOKUP($E1216,'Product Parameters'!$A$2:$D$59,2,FALSE)</f>
        <v>1</v>
      </c>
      <c r="AJ1216" s="1">
        <f>VLOOKUP($E1216,'Product Parameters'!$A$2:$D$59,3,FALSE)</f>
        <v>0</v>
      </c>
      <c r="AK1216" s="1">
        <f>VLOOKUP($E1216,'Product Parameters'!$A$2:$D$59,4,FALSE)</f>
        <v>0.12</v>
      </c>
      <c r="AL1216" s="1">
        <f>VLOOKUP($E1216,'Product Parameters'!$A$2:$E$59,5,FALSE)</f>
        <v>31.3</v>
      </c>
      <c r="AM1216" s="1">
        <f>VLOOKUP($E1216,'Product Parameters'!$A$2:$F$59,6,FALSE)</f>
        <v>3</v>
      </c>
      <c r="AN1216" s="1">
        <f>VLOOKUP($C1216,'Substrate Heating'!$A$2:$C$33,3,FALSE)</f>
        <v>638.57832580000002</v>
      </c>
      <c r="AO1216" s="1">
        <f>VLOOKUP($C1216,'Substrate Heating'!$A$2:$B$33,2,FALSE)</f>
        <v>19.93</v>
      </c>
      <c r="AP1216" s="1">
        <f>VLOOKUP($C1216,'Substrate Heating'!$A$2:$M$33,13,FALSE)</f>
        <v>6</v>
      </c>
      <c r="AQ1216" s="1">
        <f>VLOOKUP($C1216,'Substrate Heating'!$A$2:$M$33,8,FALSE)</f>
        <v>1</v>
      </c>
      <c r="AR1216" s="1">
        <f t="shared" si="18"/>
        <v>0.99999999999999889</v>
      </c>
    </row>
    <row r="1217" spans="1:44" x14ac:dyDescent="0.2">
      <c r="A1217" s="8" t="s">
        <v>792</v>
      </c>
      <c r="B1217" s="18" t="s">
        <v>324</v>
      </c>
      <c r="C1217" t="s">
        <v>372</v>
      </c>
      <c r="D1217" s="23" t="s">
        <v>338</v>
      </c>
      <c r="E1217" t="s">
        <v>119</v>
      </c>
      <c r="F1217" t="s">
        <v>120</v>
      </c>
      <c r="G1217">
        <v>-10</v>
      </c>
      <c r="H1217">
        <v>0</v>
      </c>
      <c r="I1217">
        <v>0</v>
      </c>
      <c r="J1217">
        <v>0.45</v>
      </c>
      <c r="K1217">
        <v>-10</v>
      </c>
      <c r="L1217">
        <v>0</v>
      </c>
      <c r="M1217" s="28" t="s">
        <v>391</v>
      </c>
      <c r="N1217">
        <v>0</v>
      </c>
      <c r="O1217" s="28" t="s">
        <v>450</v>
      </c>
      <c r="P1217"/>
      <c r="Q1217" s="28" t="s">
        <v>451</v>
      </c>
      <c r="R1217">
        <v>0.61714887216894598</v>
      </c>
      <c r="S1217" s="1" t="str">
        <f>VLOOKUP($E1217,'Product Naming'!$A$1:$P$58,2,FALSE)</f>
        <v>Acetone</v>
      </c>
      <c r="T1217" s="1" t="str">
        <f>VLOOKUP($E1217,'Product Naming'!$A$1:$P$58,3,FALSE)</f>
        <v>Acetone</v>
      </c>
      <c r="U1217" s="1" t="str">
        <f>VLOOKUP($E1217,'Product Naming'!$A$1:$P$58,4,FALSE)</f>
        <v>A</v>
      </c>
      <c r="V1217" s="1" t="str">
        <f>VLOOKUP($E1217,'Product Naming'!$A$1:$P$58,5,FALSE)</f>
        <v>C3H6O</v>
      </c>
      <c r="W1217" s="1">
        <f>VLOOKUP($E1217,'Product Naming'!$A$1:$P$58,6,FALSE)</f>
        <v>3</v>
      </c>
      <c r="X1217" s="1">
        <f>VLOOKUP($E1217,'Product Naming'!$A$1:$P$58,7,FALSE)</f>
        <v>6</v>
      </c>
      <c r="Y1217" s="1">
        <f>VLOOKUP($E1217,'Product Naming'!$A$1:$P$58,8,FALSE)</f>
        <v>1</v>
      </c>
      <c r="Z1217" s="1">
        <f>VLOOKUP($E1217,'Product Naming'!$A$1:$P$58,9,FALSE)</f>
        <v>0</v>
      </c>
      <c r="AA1217" s="1">
        <f>VLOOKUP($E1217,'Product Naming'!$A$1:$P$58,10,FALSE)</f>
        <v>0</v>
      </c>
      <c r="AB1217" s="29">
        <f>VLOOKUP($E1217,'Product Naming'!$A$1:$P$58,11,FALSE)</f>
        <v>5.333333333333333</v>
      </c>
      <c r="AC1217" s="3">
        <f>VLOOKUP($E1217,'Product Naming'!$A$1:$P$58,12,FALSE)</f>
        <v>58.078140000000005</v>
      </c>
      <c r="AD1217" s="1">
        <f>VLOOKUP($E1217,'Product Naming'!$A$1:$P$58,13,FALSE)</f>
        <v>56</v>
      </c>
      <c r="AE1217" s="1" t="str">
        <f>VLOOKUP($E1217,'Product Naming'!$A$1:$P$58,14,FALSE)</f>
        <v>Ketone</v>
      </c>
      <c r="AF1217" s="1" t="str">
        <f>VLOOKUP($E1217,'Product Naming'!$A$1:$P$58,15,FALSE)</f>
        <v>Acetyl-CoA</v>
      </c>
      <c r="AG1217" s="30" t="str">
        <f>VLOOKUP($E1217,'Product Naming'!$A$1:$P$58,16,FALSE)</f>
        <v>Proton symporter</v>
      </c>
      <c r="AH1217" s="3" t="str">
        <f>VLOOKUP($E1217,'Product Naming'!$A$1:$Q$58,17,FALSE)</f>
        <v>acetone_c</v>
      </c>
      <c r="AI1217" s="1">
        <f>VLOOKUP($E1217,'Product Parameters'!$A$2:$D$59,2,FALSE)</f>
        <v>1</v>
      </c>
      <c r="AJ1217" s="1">
        <f>VLOOKUP($E1217,'Product Parameters'!$A$2:$D$59,3,FALSE)</f>
        <v>0</v>
      </c>
      <c r="AK1217" s="1">
        <f>VLOOKUP($E1217,'Product Parameters'!$A$2:$D$59,4,FALSE)</f>
        <v>0.12</v>
      </c>
      <c r="AL1217" s="1">
        <f>VLOOKUP($E1217,'Product Parameters'!$A$2:$E$59,5,FALSE)</f>
        <v>31.3</v>
      </c>
      <c r="AM1217" s="1">
        <f>VLOOKUP($E1217,'Product Parameters'!$A$2:$F$59,6,FALSE)</f>
        <v>3</v>
      </c>
      <c r="AN1217" s="1">
        <f>VLOOKUP($C1217,'Substrate Heating'!$A$2:$C$33,3,FALSE)</f>
        <v>638.57832580000002</v>
      </c>
      <c r="AO1217" s="1">
        <f>VLOOKUP($C1217,'Substrate Heating'!$A$2:$B$33,2,FALSE)</f>
        <v>19.93</v>
      </c>
      <c r="AP1217" s="1">
        <f>VLOOKUP($C1217,'Substrate Heating'!$A$2:$M$33,13,FALSE)</f>
        <v>6</v>
      </c>
      <c r="AQ1217" s="1">
        <f>VLOOKUP($C1217,'Substrate Heating'!$A$2:$M$33,8,FALSE)</f>
        <v>1</v>
      </c>
      <c r="AR1217" s="1">
        <f t="shared" si="18"/>
        <v>0.99999999999999889</v>
      </c>
    </row>
    <row r="1218" spans="1:44" x14ac:dyDescent="0.2">
      <c r="A1218" s="8" t="s">
        <v>34</v>
      </c>
      <c r="B1218" s="9" t="s">
        <v>35</v>
      </c>
      <c r="C1218" s="1" t="s">
        <v>341</v>
      </c>
      <c r="D1218" s="24" t="s">
        <v>342</v>
      </c>
      <c r="E1218" s="1" t="s">
        <v>60</v>
      </c>
      <c r="F1218" s="1" t="s">
        <v>61</v>
      </c>
      <c r="G1218" s="1">
        <v>-10</v>
      </c>
      <c r="H1218" s="1">
        <v>-20</v>
      </c>
      <c r="I1218" s="1" t="s">
        <v>40</v>
      </c>
      <c r="J1218" s="1">
        <v>3.15</v>
      </c>
      <c r="K1218" s="1">
        <v>-10</v>
      </c>
      <c r="L1218" s="1">
        <v>-1.4103703703703701</v>
      </c>
      <c r="M1218" s="1" t="s">
        <v>40</v>
      </c>
      <c r="N1218" s="1">
        <v>16.057777777777801</v>
      </c>
      <c r="O1218" s="1">
        <v>14.6474074074074</v>
      </c>
      <c r="Q1218" s="1">
        <v>1.46474074074074</v>
      </c>
      <c r="R1218" s="1">
        <v>0.61867800691643704</v>
      </c>
      <c r="S1218" s="1" t="str">
        <f>VLOOKUP($E1218,'Product Naming'!$A$1:$P$58,2,FALSE)</f>
        <v>1-3-Propanediol</v>
      </c>
      <c r="T1218" s="1" t="str">
        <f>VLOOKUP($E1218,'Product Naming'!$A$1:$P$58,3,FALSE)</f>
        <v>1,3-Propanediol</v>
      </c>
      <c r="U1218" s="1" t="str">
        <f>VLOOKUP($E1218,'Product Naming'!$A$1:$P$58,4,FALSE)</f>
        <v>A</v>
      </c>
      <c r="V1218" s="1" t="str">
        <f>VLOOKUP($E1218,'Product Naming'!$A$1:$P$58,5,FALSE)</f>
        <v>C3H8O2</v>
      </c>
      <c r="W1218" s="1">
        <f>VLOOKUP($E1218,'Product Naming'!$A$1:$P$58,6,FALSE)</f>
        <v>3</v>
      </c>
      <c r="X1218" s="1">
        <f>VLOOKUP($E1218,'Product Naming'!$A$1:$P$58,7,FALSE)</f>
        <v>8</v>
      </c>
      <c r="Y1218" s="1">
        <f>VLOOKUP($E1218,'Product Naming'!$A$1:$P$58,8,FALSE)</f>
        <v>2</v>
      </c>
      <c r="Z1218" s="1">
        <f>VLOOKUP($E1218,'Product Naming'!$A$1:$P$58,9,FALSE)</f>
        <v>0</v>
      </c>
      <c r="AA1218" s="1">
        <f>VLOOKUP($E1218,'Product Naming'!$A$1:$P$58,10,FALSE)</f>
        <v>0</v>
      </c>
      <c r="AB1218" s="29">
        <f>VLOOKUP($E1218,'Product Naming'!$A$1:$P$58,11,FALSE)</f>
        <v>5.333333333333333</v>
      </c>
      <c r="AC1218" s="3">
        <f>VLOOKUP($E1218,'Product Naming'!$A$1:$P$58,12,FALSE)</f>
        <v>76.092820000000003</v>
      </c>
      <c r="AD1218" s="1">
        <f>VLOOKUP($E1218,'Product Naming'!$A$1:$P$58,13,FALSE)</f>
        <v>213</v>
      </c>
      <c r="AE1218" s="1" t="str">
        <f>VLOOKUP($E1218,'Product Naming'!$A$1:$P$58,14,FALSE)</f>
        <v>Diol</v>
      </c>
      <c r="AF1218" s="1" t="str">
        <f>VLOOKUP($E1218,'Product Naming'!$A$1:$P$58,15,FALSE)</f>
        <v>Glyceraldehyde 3-P</v>
      </c>
      <c r="AG1218" s="30" t="str">
        <f>VLOOKUP($E1218,'Product Naming'!$A$1:$P$58,16,FALSE)</f>
        <v>Proton symporter</v>
      </c>
      <c r="AH1218" s="3" t="str">
        <f>VLOOKUP($E1218,'Product Naming'!$A$1:$Q$58,17,FALSE)</f>
        <v>13ppd_c</v>
      </c>
      <c r="AI1218" s="1">
        <f>VLOOKUP($E1218,'Product Parameters'!$A$2:$D$59,2,FALSE)</f>
        <v>1</v>
      </c>
      <c r="AJ1218" s="1">
        <f>VLOOKUP($E1218,'Product Parameters'!$A$2:$D$59,3,FALSE)</f>
        <v>0</v>
      </c>
      <c r="AK1218" s="1">
        <f>VLOOKUP($E1218,'Product Parameters'!$A$2:$D$59,4,FALSE)</f>
        <v>0.12</v>
      </c>
      <c r="AL1218" s="1">
        <f>VLOOKUP($E1218,'Product Parameters'!$A$2:$E$59,5,FALSE)</f>
        <v>70</v>
      </c>
      <c r="AM1218" s="1">
        <f>VLOOKUP($E1218,'Product Parameters'!$A$2:$F$59,6,FALSE)</f>
        <v>3</v>
      </c>
      <c r="AN1218" s="1">
        <f>VLOOKUP($C1218,'Substrate Heating'!$A$2:$C$33,3,FALSE)</f>
        <v>2828.4492</v>
      </c>
      <c r="AO1218" s="1">
        <f>VLOOKUP($C1218,'Substrate Heating'!$A$2:$B$33,2,FALSE)</f>
        <v>15.7</v>
      </c>
      <c r="AP1218" s="1">
        <f>VLOOKUP($C1218,'Substrate Heating'!$A$2:$M$33,13,FALSE)</f>
        <v>4</v>
      </c>
      <c r="AQ1218" s="1">
        <f>VLOOKUP($C1218,'Substrate Heating'!$A$2:$M$33,8,FALSE)</f>
        <v>6</v>
      </c>
      <c r="AR1218" s="1">
        <f t="shared" si="18"/>
        <v>0.73237037037037001</v>
      </c>
    </row>
    <row r="1219" spans="1:44" x14ac:dyDescent="0.2">
      <c r="A1219" s="8" t="s">
        <v>34</v>
      </c>
      <c r="B1219" s="9" t="s">
        <v>35</v>
      </c>
      <c r="C1219" s="1" t="s">
        <v>331</v>
      </c>
      <c r="D1219" s="10" t="s">
        <v>37</v>
      </c>
      <c r="E1219" s="1" t="s">
        <v>85</v>
      </c>
      <c r="F1219" s="1" t="s">
        <v>86</v>
      </c>
      <c r="G1219" s="1">
        <v>-10</v>
      </c>
      <c r="H1219" s="1">
        <v>-20</v>
      </c>
      <c r="I1219" s="1" t="s">
        <v>40</v>
      </c>
      <c r="J1219" s="1">
        <v>3.15</v>
      </c>
      <c r="K1219" s="1">
        <v>-10</v>
      </c>
      <c r="L1219" s="1">
        <v>-1.5034883720929899</v>
      </c>
      <c r="M1219" s="1" t="s">
        <v>40</v>
      </c>
      <c r="N1219" s="1">
        <v>2.9116279069767499</v>
      </c>
      <c r="O1219" s="1">
        <v>4.2720930232558203</v>
      </c>
      <c r="Q1219" s="1">
        <v>0.42720930232558202</v>
      </c>
      <c r="R1219" s="1">
        <v>0.62029955915180501</v>
      </c>
      <c r="S1219" s="1" t="str">
        <f>VLOOKUP($E1219,'Product Naming'!$A$1:$P$58,2,FALSE)</f>
        <v>2-3-butanediol</v>
      </c>
      <c r="T1219" s="1" t="str">
        <f>VLOOKUP($E1219,'Product Naming'!$A$1:$P$58,3,FALSE)</f>
        <v>2,3-Butanediol</v>
      </c>
      <c r="U1219" s="1" t="str">
        <f>VLOOKUP($E1219,'Product Naming'!$A$1:$P$58,4,FALSE)</f>
        <v>E</v>
      </c>
      <c r="V1219" s="1" t="str">
        <f>VLOOKUP($E1219,'Product Naming'!$A$1:$P$58,5,FALSE)</f>
        <v>C4H10O2</v>
      </c>
      <c r="W1219" s="1">
        <f>VLOOKUP($E1219,'Product Naming'!$A$1:$P$58,6,FALSE)</f>
        <v>4</v>
      </c>
      <c r="X1219" s="1">
        <f>VLOOKUP($E1219,'Product Naming'!$A$1:$P$58,7,FALSE)</f>
        <v>10</v>
      </c>
      <c r="Y1219" s="1">
        <f>VLOOKUP($E1219,'Product Naming'!$A$1:$P$58,8,FALSE)</f>
        <v>2</v>
      </c>
      <c r="Z1219" s="1">
        <f>VLOOKUP($E1219,'Product Naming'!$A$1:$P$58,9,FALSE)</f>
        <v>0</v>
      </c>
      <c r="AA1219" s="1">
        <f>VLOOKUP($E1219,'Product Naming'!$A$1:$P$58,10,FALSE)</f>
        <v>0</v>
      </c>
      <c r="AB1219" s="29">
        <f>VLOOKUP($E1219,'Product Naming'!$A$1:$P$58,11,FALSE)</f>
        <v>5.5</v>
      </c>
      <c r="AC1219" s="3">
        <f>VLOOKUP($E1219,'Product Naming'!$A$1:$P$58,12,FALSE)</f>
        <v>90.119200000000006</v>
      </c>
      <c r="AD1219" s="1">
        <f>VLOOKUP($E1219,'Product Naming'!$A$1:$P$58,13,FALSE)</f>
        <v>177</v>
      </c>
      <c r="AE1219" s="1" t="str">
        <f>VLOOKUP($E1219,'Product Naming'!$A$1:$P$58,14,FALSE)</f>
        <v>Diol</v>
      </c>
      <c r="AF1219" s="1" t="str">
        <f>VLOOKUP($E1219,'Product Naming'!$A$1:$P$58,15,FALSE)</f>
        <v>Pyruvate</v>
      </c>
      <c r="AG1219" s="30" t="str">
        <f>VLOOKUP($E1219,'Product Naming'!$A$1:$P$58,16,FALSE)</f>
        <v>Proton symporter</v>
      </c>
      <c r="AH1219" s="3" t="str">
        <f>VLOOKUP($E1219,'Product Naming'!$A$1:$Q$58,17,FALSE)</f>
        <v>btd_RR_c</v>
      </c>
      <c r="AI1219" s="1">
        <f>VLOOKUP($E1219,'Product Parameters'!$A$2:$D$59,2,FALSE)</f>
        <v>1</v>
      </c>
      <c r="AJ1219" s="1">
        <f>VLOOKUP($E1219,'Product Parameters'!$A$2:$D$59,3,FALSE)</f>
        <v>0</v>
      </c>
      <c r="AK1219" s="1">
        <f>VLOOKUP($E1219,'Product Parameters'!$A$2:$D$59,4,FALSE)</f>
        <v>0.12</v>
      </c>
      <c r="AL1219" s="1">
        <f>VLOOKUP($E1219,'Product Parameters'!$A$2:$E$59,5,FALSE)</f>
        <v>63</v>
      </c>
      <c r="AM1219" s="1">
        <f>VLOOKUP($E1219,'Product Parameters'!$A$2:$F$59,6,FALSE)</f>
        <v>4</v>
      </c>
      <c r="AN1219" s="1">
        <f>VLOOKUP($C1219,'Substrate Heating'!$A$2:$C$33,3,FALSE)</f>
        <v>1055.1294800000001</v>
      </c>
      <c r="AO1219" s="1">
        <f>VLOOKUP($C1219,'Substrate Heating'!$A$2:$B$33,2,FALSE)</f>
        <v>17</v>
      </c>
      <c r="AP1219" s="1">
        <f>VLOOKUP($C1219,'Substrate Heating'!$A$2:$M$33,13,FALSE)</f>
        <v>5</v>
      </c>
      <c r="AQ1219" s="1">
        <f>VLOOKUP($C1219,'Substrate Heating'!$A$2:$M$33,8,FALSE)</f>
        <v>2</v>
      </c>
      <c r="AR1219" s="1">
        <f t="shared" ref="AR1219:AR1282" si="19">Q1219*W1219/AQ1219</f>
        <v>0.85441860465116404</v>
      </c>
    </row>
    <row r="1220" spans="1:44" x14ac:dyDescent="0.2">
      <c r="A1220" s="8" t="s">
        <v>34</v>
      </c>
      <c r="B1220" s="9" t="s">
        <v>35</v>
      </c>
      <c r="C1220" s="1" t="s">
        <v>343</v>
      </c>
      <c r="D1220" s="24" t="s">
        <v>342</v>
      </c>
      <c r="E1220" s="1" t="s">
        <v>209</v>
      </c>
      <c r="F1220" s="1" t="s">
        <v>210</v>
      </c>
      <c r="G1220" s="1">
        <v>-10</v>
      </c>
      <c r="H1220" s="1">
        <v>-20</v>
      </c>
      <c r="I1220" s="1" t="s">
        <v>40</v>
      </c>
      <c r="J1220" s="1">
        <v>3.15</v>
      </c>
      <c r="K1220" s="1">
        <v>-10</v>
      </c>
      <c r="L1220" s="1">
        <v>-5.1147058823529399</v>
      </c>
      <c r="M1220" s="1" t="s">
        <v>40</v>
      </c>
      <c r="N1220" s="1">
        <v>3.4352941176470599</v>
      </c>
      <c r="O1220" s="1">
        <v>6.6411764705882304</v>
      </c>
      <c r="Q1220" s="1">
        <v>0.66411764705882304</v>
      </c>
      <c r="R1220" s="1">
        <v>0.62080662677665499</v>
      </c>
      <c r="S1220" s="1" t="str">
        <f>VLOOKUP($E1220,'Product Naming'!$A$1:$P$58,2,FALSE)</f>
        <v>GammaButyrolactone</v>
      </c>
      <c r="T1220" s="1" t="str">
        <f>VLOOKUP($E1220,'Product Naming'!$A$1:$P$58,3,FALSE)</f>
        <v>Gamma butyrolactone</v>
      </c>
      <c r="U1220" s="1" t="str">
        <f>VLOOKUP($E1220,'Product Naming'!$A$1:$P$58,4,FALSE)</f>
        <v>A</v>
      </c>
      <c r="V1220" s="1" t="str">
        <f>VLOOKUP($E1220,'Product Naming'!$A$1:$P$58,5,FALSE)</f>
        <v>C4H6O2</v>
      </c>
      <c r="W1220" s="1">
        <f>VLOOKUP($E1220,'Product Naming'!$A$1:$P$58,6,FALSE)</f>
        <v>4</v>
      </c>
      <c r="X1220" s="1">
        <f>VLOOKUP($E1220,'Product Naming'!$A$1:$P$58,7,FALSE)</f>
        <v>6</v>
      </c>
      <c r="Y1220" s="1">
        <f>VLOOKUP($E1220,'Product Naming'!$A$1:$P$58,8,FALSE)</f>
        <v>2</v>
      </c>
      <c r="Z1220" s="1">
        <f>VLOOKUP($E1220,'Product Naming'!$A$1:$P$58,9,FALSE)</f>
        <v>0</v>
      </c>
      <c r="AA1220" s="1">
        <f>VLOOKUP($E1220,'Product Naming'!$A$1:$P$58,10,FALSE)</f>
        <v>0</v>
      </c>
      <c r="AB1220" s="29">
        <f>VLOOKUP($E1220,'Product Naming'!$A$1:$P$58,11,FALSE)</f>
        <v>4.5</v>
      </c>
      <c r="AC1220" s="3">
        <f>VLOOKUP($E1220,'Product Naming'!$A$1:$P$58,12,FALSE)</f>
        <v>86.08784</v>
      </c>
      <c r="AD1220" s="1">
        <f>VLOOKUP($E1220,'Product Naming'!$A$1:$P$58,13,FALSE)</f>
        <v>204</v>
      </c>
      <c r="AE1220" s="1" t="str">
        <f>VLOOKUP($E1220,'Product Naming'!$A$1:$P$58,14,FALSE)</f>
        <v>Lactone (cyclic ester)</v>
      </c>
      <c r="AF1220" s="1" t="str">
        <f>VLOOKUP($E1220,'Product Naming'!$A$1:$P$58,15,FALSE)</f>
        <v>aKG</v>
      </c>
      <c r="AG1220" s="30" t="str">
        <f>VLOOKUP($E1220,'Product Naming'!$A$1:$P$58,16,FALSE)</f>
        <v>Proton symporter</v>
      </c>
      <c r="AH1220" s="3" t="str">
        <f>VLOOKUP($E1220,'Product Naming'!$A$1:$Q$58,17,FALSE)</f>
        <v>gblt_c</v>
      </c>
      <c r="AI1220" s="1">
        <f>VLOOKUP($E1220,'Product Parameters'!$A$2:$D$59,2,FALSE)</f>
        <v>1</v>
      </c>
      <c r="AJ1220" s="1">
        <f>VLOOKUP($E1220,'Product Parameters'!$A$2:$D$59,3,FALSE)</f>
        <v>0</v>
      </c>
      <c r="AK1220" s="1">
        <f>VLOOKUP($E1220,'Product Parameters'!$A$2:$D$59,4,FALSE)</f>
        <v>0.12</v>
      </c>
      <c r="AL1220" s="1">
        <f>VLOOKUP($E1220,'Product Parameters'!$A$2:$E$59,5,FALSE)</f>
        <v>0</v>
      </c>
      <c r="AM1220" s="1">
        <f>VLOOKUP($E1220,'Product Parameters'!$A$2:$F$59,6,FALSE)</f>
        <v>4</v>
      </c>
      <c r="AN1220" s="1">
        <f>VLOOKUP($C1220,'Substrate Heating'!$A$2:$C$33,3,FALSE)</f>
        <v>1648.4793779999998</v>
      </c>
      <c r="AO1220" s="1">
        <f>VLOOKUP($C1220,'Substrate Heating'!$A$2:$B$33,2,FALSE)</f>
        <v>17.899999999999999</v>
      </c>
      <c r="AP1220" s="1">
        <f>VLOOKUP($C1220,'Substrate Heating'!$A$2:$M$33,13,FALSE)</f>
        <v>4.666666666666667</v>
      </c>
      <c r="AQ1220" s="1">
        <f>VLOOKUP($C1220,'Substrate Heating'!$A$2:$M$33,8,FALSE)</f>
        <v>3</v>
      </c>
      <c r="AR1220" s="1">
        <f t="shared" si="19"/>
        <v>0.88549019607843071</v>
      </c>
    </row>
    <row r="1221" spans="1:44" x14ac:dyDescent="0.2">
      <c r="A1221" s="8" t="s">
        <v>34</v>
      </c>
      <c r="B1221" s="9" t="s">
        <v>35</v>
      </c>
      <c r="C1221" s="1" t="s">
        <v>36</v>
      </c>
      <c r="D1221" s="10" t="s">
        <v>37</v>
      </c>
      <c r="E1221" s="1" t="s">
        <v>136</v>
      </c>
      <c r="F1221" s="1" t="s">
        <v>137</v>
      </c>
      <c r="G1221" s="1">
        <v>-10</v>
      </c>
      <c r="H1221" s="1">
        <v>-20</v>
      </c>
      <c r="I1221" s="1" t="s">
        <v>40</v>
      </c>
      <c r="J1221" s="1">
        <v>3.15</v>
      </c>
      <c r="K1221" s="1">
        <v>-10</v>
      </c>
      <c r="L1221" s="1">
        <v>-8.0604508196721305</v>
      </c>
      <c r="M1221" s="1" t="s">
        <v>40</v>
      </c>
      <c r="N1221" s="1">
        <v>4.18975409836065</v>
      </c>
      <c r="O1221" s="1">
        <v>2.2586065573770502</v>
      </c>
      <c r="Q1221" s="1">
        <v>0.225860655737705</v>
      </c>
      <c r="R1221" s="1">
        <v>0.62096175779969898</v>
      </c>
      <c r="S1221" s="1" t="str">
        <f>VLOOKUP($E1221,'Product Naming'!$A$1:$P$58,2,FALSE)</f>
        <v>Benzoate-PW1</v>
      </c>
      <c r="T1221" s="1" t="str">
        <f>VLOOKUP($E1221,'Product Naming'!$A$1:$P$58,3,FALSE)</f>
        <v>Benzoate (PW1)</v>
      </c>
      <c r="U1221" s="1" t="str">
        <f>VLOOKUP($E1221,'Product Naming'!$A$1:$P$58,4,FALSE)</f>
        <v>A</v>
      </c>
      <c r="V1221" s="1" t="str">
        <f>VLOOKUP($E1221,'Product Naming'!$A$1:$P$58,5,FALSE)</f>
        <v>C7H5O2</v>
      </c>
      <c r="W1221" s="1">
        <f>VLOOKUP($E1221,'Product Naming'!$A$1:$P$58,6,FALSE)</f>
        <v>7</v>
      </c>
      <c r="X1221" s="1">
        <f>VLOOKUP($E1221,'Product Naming'!$A$1:$P$58,7,FALSE)</f>
        <v>5</v>
      </c>
      <c r="Y1221" s="1">
        <f>VLOOKUP($E1221,'Product Naming'!$A$1:$P$58,8,FALSE)</f>
        <v>2</v>
      </c>
      <c r="Z1221" s="1">
        <f>VLOOKUP($E1221,'Product Naming'!$A$1:$P$58,9,FALSE)</f>
        <v>0</v>
      </c>
      <c r="AA1221" s="1">
        <f>VLOOKUP($E1221,'Product Naming'!$A$1:$P$58,10,FALSE)</f>
        <v>-1</v>
      </c>
      <c r="AB1221" s="29">
        <f>VLOOKUP($E1221,'Product Naming'!$A$1:$P$58,11,FALSE)</f>
        <v>4.1428571428571432</v>
      </c>
      <c r="AC1221" s="3">
        <f>VLOOKUP($E1221,'Product Naming'!$A$1:$P$58,12,FALSE)</f>
        <v>121.1121</v>
      </c>
      <c r="AD1221" s="1">
        <f>VLOOKUP($E1221,'Product Naming'!$A$1:$P$58,13,FALSE)</f>
        <v>249.2</v>
      </c>
      <c r="AE1221" s="1" t="str">
        <f>VLOOKUP($E1221,'Product Naming'!$A$1:$P$58,14,FALSE)</f>
        <v>Aromatic + Carboxylate</v>
      </c>
      <c r="AF1221" s="1" t="str">
        <f>VLOOKUP($E1221,'Product Naming'!$A$1:$P$58,15,FALSE)</f>
        <v>E4P + aKG</v>
      </c>
      <c r="AG1221" s="30" t="str">
        <f>VLOOKUP($E1221,'Product Naming'!$A$1:$P$58,16,FALSE)</f>
        <v>Proton symporter</v>
      </c>
      <c r="AH1221" s="3" t="str">
        <f>VLOOKUP($E1221,'Product Naming'!$A$1:$Q$58,17,FALSE)</f>
        <v>bz_c</v>
      </c>
      <c r="AI1221" s="1">
        <f>VLOOKUP($E1221,'Product Parameters'!$A$2:$D$59,2,FALSE)</f>
        <v>1</v>
      </c>
      <c r="AJ1221" s="1">
        <f>VLOOKUP($E1221,'Product Parameters'!$A$2:$D$59,3,FALSE)</f>
        <v>0</v>
      </c>
      <c r="AK1221" s="1">
        <f>VLOOKUP($E1221,'Product Parameters'!$A$2:$D$59,4,FALSE)</f>
        <v>0.12</v>
      </c>
      <c r="AL1221" s="1">
        <f>VLOOKUP($E1221,'Product Parameters'!$A$2:$E$59,5,FALSE)</f>
        <v>40.65</v>
      </c>
      <c r="AM1221" s="1">
        <f>VLOOKUP($E1221,'Product Parameters'!$A$2:$F$59,6,FALSE)</f>
        <v>7</v>
      </c>
      <c r="AN1221" s="1">
        <f>VLOOKUP($C1221,'Substrate Heating'!$A$2:$C$33,3,FALSE)</f>
        <v>1064.1143145599999</v>
      </c>
      <c r="AO1221" s="1">
        <f>VLOOKUP($C1221,'Substrate Heating'!$A$2:$B$33,2,FALSE)</f>
        <v>24.155999999999999</v>
      </c>
      <c r="AP1221" s="1">
        <f>VLOOKUP($C1221,'Substrate Heating'!$A$2:$M$33,13,FALSE)</f>
        <v>5</v>
      </c>
      <c r="AQ1221" s="1">
        <f>VLOOKUP($C1221,'Substrate Heating'!$A$2:$M$33,8,FALSE)</f>
        <v>2</v>
      </c>
      <c r="AR1221" s="1">
        <f t="shared" si="19"/>
        <v>0.79051229508196752</v>
      </c>
    </row>
    <row r="1222" spans="1:44" x14ac:dyDescent="0.2">
      <c r="A1222" s="8" t="s">
        <v>34</v>
      </c>
      <c r="B1222" s="9" t="s">
        <v>35</v>
      </c>
      <c r="C1222" s="1" t="s">
        <v>36</v>
      </c>
      <c r="D1222" s="10" t="s">
        <v>37</v>
      </c>
      <c r="E1222" s="1" t="s">
        <v>143</v>
      </c>
      <c r="F1222" s="1" t="s">
        <v>137</v>
      </c>
      <c r="G1222" s="1">
        <v>-10</v>
      </c>
      <c r="H1222" s="1">
        <v>-20</v>
      </c>
      <c r="I1222" s="1" t="s">
        <v>40</v>
      </c>
      <c r="J1222" s="1">
        <v>3.15</v>
      </c>
      <c r="K1222" s="1">
        <v>-10</v>
      </c>
      <c r="L1222" s="1">
        <v>-8.0604508196721305</v>
      </c>
      <c r="M1222" s="1" t="s">
        <v>40</v>
      </c>
      <c r="N1222" s="1">
        <v>4.1897540983606598</v>
      </c>
      <c r="O1222" s="1">
        <v>2.2586065573770502</v>
      </c>
      <c r="Q1222" s="1">
        <v>0.225860655737705</v>
      </c>
      <c r="R1222" s="1">
        <v>0.62096175779969998</v>
      </c>
      <c r="S1222" s="1" t="str">
        <f>VLOOKUP($E1222,'Product Naming'!$A$1:$P$58,2,FALSE)</f>
        <v>Benzoate-PW2</v>
      </c>
      <c r="T1222" s="1" t="str">
        <f>VLOOKUP($E1222,'Product Naming'!$A$1:$P$58,3,FALSE)</f>
        <v>Benzoate (PW2)</v>
      </c>
      <c r="U1222" s="1" t="str">
        <f>VLOOKUP($E1222,'Product Naming'!$A$1:$P$58,4,FALSE)</f>
        <v>A</v>
      </c>
      <c r="V1222" s="1" t="str">
        <f>VLOOKUP($E1222,'Product Naming'!$A$1:$P$58,5,FALSE)</f>
        <v>C7H5O2</v>
      </c>
      <c r="W1222" s="1">
        <f>VLOOKUP($E1222,'Product Naming'!$A$1:$P$58,6,FALSE)</f>
        <v>7</v>
      </c>
      <c r="X1222" s="1">
        <f>VLOOKUP($E1222,'Product Naming'!$A$1:$P$58,7,FALSE)</f>
        <v>5</v>
      </c>
      <c r="Y1222" s="1">
        <f>VLOOKUP($E1222,'Product Naming'!$A$1:$P$58,8,FALSE)</f>
        <v>2</v>
      </c>
      <c r="Z1222" s="1">
        <f>VLOOKUP($E1222,'Product Naming'!$A$1:$P$58,9,FALSE)</f>
        <v>0</v>
      </c>
      <c r="AA1222" s="1">
        <f>VLOOKUP($E1222,'Product Naming'!$A$1:$P$58,10,FALSE)</f>
        <v>-1</v>
      </c>
      <c r="AB1222" s="29">
        <f>VLOOKUP($E1222,'Product Naming'!$A$1:$P$58,11,FALSE)</f>
        <v>4.1428571428571432</v>
      </c>
      <c r="AC1222" s="3">
        <f>VLOOKUP($E1222,'Product Naming'!$A$1:$P$58,12,FALSE)</f>
        <v>121.1121</v>
      </c>
      <c r="AD1222" s="1">
        <f>VLOOKUP($E1222,'Product Naming'!$A$1:$P$58,13,FALSE)</f>
        <v>249.2</v>
      </c>
      <c r="AE1222" s="1" t="str">
        <f>VLOOKUP($E1222,'Product Naming'!$A$1:$P$58,14,FALSE)</f>
        <v>Aromatic + Carboxylate</v>
      </c>
      <c r="AF1222" s="1" t="str">
        <f>VLOOKUP($E1222,'Product Naming'!$A$1:$P$58,15,FALSE)</f>
        <v>E4P + aKG</v>
      </c>
      <c r="AG1222" s="30" t="str">
        <f>VLOOKUP($E1222,'Product Naming'!$A$1:$P$58,16,FALSE)</f>
        <v>Proton symporter</v>
      </c>
      <c r="AH1222" s="3" t="str">
        <f>VLOOKUP($E1222,'Product Naming'!$A$1:$Q$58,17,FALSE)</f>
        <v>bz_c</v>
      </c>
      <c r="AI1222" s="1">
        <f>VLOOKUP($E1222,'Product Parameters'!$A$2:$D$59,2,FALSE)</f>
        <v>1</v>
      </c>
      <c r="AJ1222" s="1">
        <f>VLOOKUP($E1222,'Product Parameters'!$A$2:$D$59,3,FALSE)</f>
        <v>0</v>
      </c>
      <c r="AK1222" s="1">
        <f>VLOOKUP($E1222,'Product Parameters'!$A$2:$D$59,4,FALSE)</f>
        <v>0.12</v>
      </c>
      <c r="AL1222" s="1">
        <f>VLOOKUP($E1222,'Product Parameters'!$A$2:$E$59,5,FALSE)</f>
        <v>40.65</v>
      </c>
      <c r="AM1222" s="1">
        <f>VLOOKUP($E1222,'Product Parameters'!$A$2:$F$59,6,FALSE)</f>
        <v>7</v>
      </c>
      <c r="AN1222" s="1">
        <f>VLOOKUP($C1222,'Substrate Heating'!$A$2:$C$33,3,FALSE)</f>
        <v>1064.1143145599999</v>
      </c>
      <c r="AO1222" s="1">
        <f>VLOOKUP($C1222,'Substrate Heating'!$A$2:$B$33,2,FALSE)</f>
        <v>24.155999999999999</v>
      </c>
      <c r="AP1222" s="1">
        <f>VLOOKUP($C1222,'Substrate Heating'!$A$2:$M$33,13,FALSE)</f>
        <v>5</v>
      </c>
      <c r="AQ1222" s="1">
        <f>VLOOKUP($C1222,'Substrate Heating'!$A$2:$M$33,8,FALSE)</f>
        <v>2</v>
      </c>
      <c r="AR1222" s="1">
        <f t="shared" si="19"/>
        <v>0.79051229508196752</v>
      </c>
    </row>
    <row r="1223" spans="1:44" x14ac:dyDescent="0.2">
      <c r="A1223" s="8" t="s">
        <v>34</v>
      </c>
      <c r="B1223" s="9" t="s">
        <v>35</v>
      </c>
      <c r="C1223" s="1" t="s">
        <v>332</v>
      </c>
      <c r="D1223" s="10" t="s">
        <v>37</v>
      </c>
      <c r="E1223" s="1" t="s">
        <v>91</v>
      </c>
      <c r="F1223" s="1" t="s">
        <v>92</v>
      </c>
      <c r="G1223" s="1">
        <v>-10</v>
      </c>
      <c r="H1223" s="1">
        <v>-20</v>
      </c>
      <c r="I1223" s="1" t="s">
        <v>40</v>
      </c>
      <c r="J1223" s="1">
        <v>3.15</v>
      </c>
      <c r="K1223" s="1">
        <v>-10</v>
      </c>
      <c r="L1223" s="1">
        <v>-5.5186567164179099</v>
      </c>
      <c r="M1223" s="1" t="s">
        <v>40</v>
      </c>
      <c r="N1223" s="1">
        <v>3.6791044776119199</v>
      </c>
      <c r="O1223" s="1">
        <v>3.2641791044776101</v>
      </c>
      <c r="Q1223" s="1">
        <v>0.32641791044776097</v>
      </c>
      <c r="R1223" s="1">
        <v>0.62457610964960097</v>
      </c>
      <c r="S1223" s="1" t="str">
        <f>VLOOKUP($E1223,'Product Naming'!$A$1:$P$58,2,FALSE)</f>
        <v>2-Methyl-1-Butanol</v>
      </c>
      <c r="T1223" s="1" t="str">
        <f>VLOOKUP($E1223,'Product Naming'!$A$1:$P$58,3,FALSE)</f>
        <v>2-Methyl-1-butanol</v>
      </c>
      <c r="U1223" s="1" t="str">
        <f>VLOOKUP($E1223,'Product Naming'!$A$1:$P$58,4,FALSE)</f>
        <v>A</v>
      </c>
      <c r="V1223" s="1" t="str">
        <f>VLOOKUP($E1223,'Product Naming'!$A$1:$P$58,5,FALSE)</f>
        <v>C5H12O</v>
      </c>
      <c r="W1223" s="1">
        <f>VLOOKUP($E1223,'Product Naming'!$A$1:$P$58,6,FALSE)</f>
        <v>5</v>
      </c>
      <c r="X1223" s="1">
        <f>VLOOKUP($E1223,'Product Naming'!$A$1:$P$58,7,FALSE)</f>
        <v>12</v>
      </c>
      <c r="Y1223" s="1">
        <f>VLOOKUP($E1223,'Product Naming'!$A$1:$P$58,8,FALSE)</f>
        <v>1</v>
      </c>
      <c r="Z1223" s="1">
        <f>VLOOKUP($E1223,'Product Naming'!$A$1:$P$58,9,FALSE)</f>
        <v>0</v>
      </c>
      <c r="AA1223" s="1">
        <f>VLOOKUP($E1223,'Product Naming'!$A$1:$P$58,10,FALSE)</f>
        <v>0</v>
      </c>
      <c r="AB1223" s="29">
        <f>VLOOKUP($E1223,'Product Naming'!$A$1:$P$58,11,FALSE)</f>
        <v>6</v>
      </c>
      <c r="AC1223" s="3">
        <f>VLOOKUP($E1223,'Product Naming'!$A$1:$P$58,12,FALSE)</f>
        <v>88.14658</v>
      </c>
      <c r="AD1223" s="1">
        <f>VLOOKUP($E1223,'Product Naming'!$A$1:$P$58,13,FALSE)</f>
        <v>129</v>
      </c>
      <c r="AE1223" s="1" t="str">
        <f>VLOOKUP($E1223,'Product Naming'!$A$1:$P$58,14,FALSE)</f>
        <v>Alcohol</v>
      </c>
      <c r="AF1223" s="1" t="str">
        <f>VLOOKUP($E1223,'Product Naming'!$A$1:$P$58,15,FALSE)</f>
        <v>PEP</v>
      </c>
      <c r="AG1223" s="30" t="str">
        <f>VLOOKUP($E1223,'Product Naming'!$A$1:$P$58,16,FALSE)</f>
        <v>Proton symporter</v>
      </c>
      <c r="AH1223" s="3" t="str">
        <f>VLOOKUP($E1223,'Product Naming'!$A$1:$Q$58,17,FALSE)</f>
        <v>2mbtoh_c</v>
      </c>
      <c r="AI1223" s="1">
        <f>VLOOKUP($E1223,'Product Parameters'!$A$2:$D$59,2,FALSE)</f>
        <v>1</v>
      </c>
      <c r="AJ1223" s="1">
        <f>VLOOKUP($E1223,'Product Parameters'!$A$2:$D$59,3,FALSE)</f>
        <v>0</v>
      </c>
      <c r="AK1223" s="1">
        <f>VLOOKUP($E1223,'Product Parameters'!$A$2:$D$59,4,FALSE)</f>
        <v>0.12</v>
      </c>
      <c r="AL1223" s="1">
        <f>VLOOKUP($E1223,'Product Parameters'!$A$2:$E$59,5,FALSE)</f>
        <v>54.6</v>
      </c>
      <c r="AM1223" s="1">
        <f>VLOOKUP($E1223,'Product Parameters'!$A$2:$F$59,6,FALSE)</f>
        <v>5</v>
      </c>
      <c r="AN1223" s="1">
        <f>VLOOKUP($C1223,'Substrate Heating'!$A$2:$C$33,3,FALSE)</f>
        <v>1230.0006480000002</v>
      </c>
      <c r="AO1223" s="1">
        <f>VLOOKUP($C1223,'Substrate Heating'!$A$2:$B$33,2,FALSE)</f>
        <v>26.7</v>
      </c>
      <c r="AP1223" s="1">
        <f>VLOOKUP($C1223,'Substrate Heating'!$A$2:$M$33,13,FALSE)</f>
        <v>6</v>
      </c>
      <c r="AQ1223" s="1">
        <f>VLOOKUP($C1223,'Substrate Heating'!$A$2:$M$33,8,FALSE)</f>
        <v>2</v>
      </c>
      <c r="AR1223" s="1">
        <f t="shared" si="19"/>
        <v>0.8160447761194024</v>
      </c>
    </row>
    <row r="1224" spans="1:44" x14ac:dyDescent="0.2">
      <c r="A1224" s="17" t="s">
        <v>323</v>
      </c>
      <c r="B1224" s="18" t="s">
        <v>324</v>
      </c>
      <c r="C1224" t="s">
        <v>329</v>
      </c>
      <c r="D1224" s="19" t="s">
        <v>326</v>
      </c>
      <c r="E1224" t="s">
        <v>251</v>
      </c>
      <c r="F1224" t="s">
        <v>252</v>
      </c>
      <c r="G1224">
        <v>-10</v>
      </c>
      <c r="H1224">
        <v>0</v>
      </c>
      <c r="I1224">
        <v>-20</v>
      </c>
      <c r="J1224">
        <v>0.45</v>
      </c>
      <c r="K1224">
        <v>-10</v>
      </c>
      <c r="L1224">
        <v>0</v>
      </c>
      <c r="M1224">
        <v>-20</v>
      </c>
      <c r="N1224">
        <v>0</v>
      </c>
      <c r="O1224">
        <v>3.3333333333333299</v>
      </c>
      <c r="P1224"/>
      <c r="Q1224">
        <v>0.33333333333333298</v>
      </c>
      <c r="R1224" s="20">
        <v>0.62500072802912099</v>
      </c>
      <c r="S1224" s="1" t="str">
        <f>VLOOKUP($E1224,'Product Naming'!$A$1:$P$58,2,FALSE)</f>
        <v>Isopropanol</v>
      </c>
      <c r="T1224" s="1" t="str">
        <f>VLOOKUP($E1224,'Product Naming'!$A$1:$P$58,3,FALSE)</f>
        <v>Isopropanol</v>
      </c>
      <c r="U1224" s="1" t="str">
        <f>VLOOKUP($E1224,'Product Naming'!$A$1:$P$58,4,FALSE)</f>
        <v>A</v>
      </c>
      <c r="V1224" s="1" t="str">
        <f>VLOOKUP($E1224,'Product Naming'!$A$1:$P$58,5,FALSE)</f>
        <v>C3H8O</v>
      </c>
      <c r="W1224" s="1">
        <f>VLOOKUP($E1224,'Product Naming'!$A$1:$P$58,6,FALSE)</f>
        <v>3</v>
      </c>
      <c r="X1224" s="1">
        <f>VLOOKUP($E1224,'Product Naming'!$A$1:$P$58,7,FALSE)</f>
        <v>8</v>
      </c>
      <c r="Y1224" s="1">
        <f>VLOOKUP($E1224,'Product Naming'!$A$1:$P$58,8,FALSE)</f>
        <v>1</v>
      </c>
      <c r="Z1224" s="1">
        <f>VLOOKUP($E1224,'Product Naming'!$A$1:$P$58,9,FALSE)</f>
        <v>0</v>
      </c>
      <c r="AA1224" s="1">
        <f>VLOOKUP($E1224,'Product Naming'!$A$1:$P$58,10,FALSE)</f>
        <v>0</v>
      </c>
      <c r="AB1224" s="29">
        <f>VLOOKUP($E1224,'Product Naming'!$A$1:$P$58,11,FALSE)</f>
        <v>6</v>
      </c>
      <c r="AC1224" s="3">
        <f>VLOOKUP($E1224,'Product Naming'!$A$1:$P$58,12,FALSE)</f>
        <v>60.093820000000001</v>
      </c>
      <c r="AD1224" s="1">
        <f>VLOOKUP($E1224,'Product Naming'!$A$1:$P$58,13,FALSE)</f>
        <v>82.5</v>
      </c>
      <c r="AE1224" s="1" t="str">
        <f>VLOOKUP($E1224,'Product Naming'!$A$1:$P$58,14,FALSE)</f>
        <v>Alcohol</v>
      </c>
      <c r="AF1224" s="1" t="str">
        <f>VLOOKUP($E1224,'Product Naming'!$A$1:$P$58,15,FALSE)</f>
        <v>Acetyl-CoA</v>
      </c>
      <c r="AG1224" s="30" t="str">
        <f>VLOOKUP($E1224,'Product Naming'!$A$1:$P$58,16,FALSE)</f>
        <v>Proton symporter</v>
      </c>
      <c r="AH1224" s="3" t="str">
        <f>VLOOKUP($E1224,'Product Naming'!$A$1:$Q$58,17,FALSE)</f>
        <v>2ppoh_c</v>
      </c>
      <c r="AI1224" s="1">
        <f>VLOOKUP($E1224,'Product Parameters'!$A$2:$D$59,2,FALSE)</f>
        <v>1</v>
      </c>
      <c r="AJ1224" s="1">
        <f>VLOOKUP($E1224,'Product Parameters'!$A$2:$D$59,3,FALSE)</f>
        <v>0</v>
      </c>
      <c r="AK1224" s="1">
        <f>VLOOKUP($E1224,'Product Parameters'!$A$2:$D$59,4,FALSE)</f>
        <v>0.12</v>
      </c>
      <c r="AL1224" s="1">
        <f>VLOOKUP($E1224,'Product Parameters'!$A$2:$E$59,5,FALSE)</f>
        <v>45</v>
      </c>
      <c r="AM1224" s="1">
        <f>VLOOKUP($E1224,'Product Parameters'!$A$2:$F$59,6,FALSE)</f>
        <v>3</v>
      </c>
      <c r="AN1224" s="1">
        <f>VLOOKUP($C1224,'Substrate Heating'!$A$2:$C$33,3,FALSE)</f>
        <v>255.53333333333336</v>
      </c>
      <c r="AO1224" s="1">
        <f>VLOOKUP($C1224,'Substrate Heating'!$A$2:$B$33,2,FALSE)</f>
        <v>23.925550527978785</v>
      </c>
      <c r="AP1224" s="1">
        <f>VLOOKUP($C1224,'Substrate Heating'!$A$2:$M$33,13,FALSE)</f>
        <v>0.66666666666666663</v>
      </c>
      <c r="AQ1224" s="1">
        <f>VLOOKUP($C1224,'Substrate Heating'!$A$2:$M$33,8,FALSE)</f>
        <v>0.33333333333333331</v>
      </c>
      <c r="AR1224" s="1">
        <f t="shared" si="19"/>
        <v>2.9999999999999969</v>
      </c>
    </row>
    <row r="1225" spans="1:44" x14ac:dyDescent="0.2">
      <c r="A1225" s="8" t="s">
        <v>34</v>
      </c>
      <c r="B1225" s="9" t="s">
        <v>35</v>
      </c>
      <c r="C1225" s="1" t="s">
        <v>331</v>
      </c>
      <c r="D1225" s="10" t="s">
        <v>37</v>
      </c>
      <c r="E1225" s="1" t="s">
        <v>60</v>
      </c>
      <c r="F1225" s="1" t="s">
        <v>61</v>
      </c>
      <c r="G1225" s="1">
        <v>-10</v>
      </c>
      <c r="H1225" s="1">
        <v>-20</v>
      </c>
      <c r="I1225" s="1" t="s">
        <v>40</v>
      </c>
      <c r="J1225" s="1">
        <v>3.15</v>
      </c>
      <c r="K1225" s="1">
        <v>-10</v>
      </c>
      <c r="L1225" s="1">
        <v>-4.5647058823529196</v>
      </c>
      <c r="M1225" s="1" t="s">
        <v>40</v>
      </c>
      <c r="N1225" s="1">
        <v>4.6735294117646999</v>
      </c>
      <c r="O1225" s="1">
        <v>5.1088235294117599</v>
      </c>
      <c r="Q1225" s="1">
        <v>0.51088235294117601</v>
      </c>
      <c r="R1225" s="1">
        <v>0.62633693791696299</v>
      </c>
      <c r="S1225" s="1" t="str">
        <f>VLOOKUP($E1225,'Product Naming'!$A$1:$P$58,2,FALSE)</f>
        <v>1-3-Propanediol</v>
      </c>
      <c r="T1225" s="1" t="str">
        <f>VLOOKUP($E1225,'Product Naming'!$A$1:$P$58,3,FALSE)</f>
        <v>1,3-Propanediol</v>
      </c>
      <c r="U1225" s="1" t="str">
        <f>VLOOKUP($E1225,'Product Naming'!$A$1:$P$58,4,FALSE)</f>
        <v>A</v>
      </c>
      <c r="V1225" s="1" t="str">
        <f>VLOOKUP($E1225,'Product Naming'!$A$1:$P$58,5,FALSE)</f>
        <v>C3H8O2</v>
      </c>
      <c r="W1225" s="1">
        <f>VLOOKUP($E1225,'Product Naming'!$A$1:$P$58,6,FALSE)</f>
        <v>3</v>
      </c>
      <c r="X1225" s="1">
        <f>VLOOKUP($E1225,'Product Naming'!$A$1:$P$58,7,FALSE)</f>
        <v>8</v>
      </c>
      <c r="Y1225" s="1">
        <f>VLOOKUP($E1225,'Product Naming'!$A$1:$P$58,8,FALSE)</f>
        <v>2</v>
      </c>
      <c r="Z1225" s="1">
        <f>VLOOKUP($E1225,'Product Naming'!$A$1:$P$58,9,FALSE)</f>
        <v>0</v>
      </c>
      <c r="AA1225" s="1">
        <f>VLOOKUP($E1225,'Product Naming'!$A$1:$P$58,10,FALSE)</f>
        <v>0</v>
      </c>
      <c r="AB1225" s="29">
        <f>VLOOKUP($E1225,'Product Naming'!$A$1:$P$58,11,FALSE)</f>
        <v>5.333333333333333</v>
      </c>
      <c r="AC1225" s="3">
        <f>VLOOKUP($E1225,'Product Naming'!$A$1:$P$58,12,FALSE)</f>
        <v>76.092820000000003</v>
      </c>
      <c r="AD1225" s="1">
        <f>VLOOKUP($E1225,'Product Naming'!$A$1:$P$58,13,FALSE)</f>
        <v>213</v>
      </c>
      <c r="AE1225" s="1" t="str">
        <f>VLOOKUP($E1225,'Product Naming'!$A$1:$P$58,14,FALSE)</f>
        <v>Diol</v>
      </c>
      <c r="AF1225" s="1" t="str">
        <f>VLOOKUP($E1225,'Product Naming'!$A$1:$P$58,15,FALSE)</f>
        <v>Glyceraldehyde 3-P</v>
      </c>
      <c r="AG1225" s="30" t="str">
        <f>VLOOKUP($E1225,'Product Naming'!$A$1:$P$58,16,FALSE)</f>
        <v>Proton symporter</v>
      </c>
      <c r="AH1225" s="3" t="str">
        <f>VLOOKUP($E1225,'Product Naming'!$A$1:$Q$58,17,FALSE)</f>
        <v>13ppd_c</v>
      </c>
      <c r="AI1225" s="1">
        <f>VLOOKUP($E1225,'Product Parameters'!$A$2:$D$59,2,FALSE)</f>
        <v>1</v>
      </c>
      <c r="AJ1225" s="1">
        <f>VLOOKUP($E1225,'Product Parameters'!$A$2:$D$59,3,FALSE)</f>
        <v>0</v>
      </c>
      <c r="AK1225" s="1">
        <f>VLOOKUP($E1225,'Product Parameters'!$A$2:$D$59,4,FALSE)</f>
        <v>0.12</v>
      </c>
      <c r="AL1225" s="1">
        <f>VLOOKUP($E1225,'Product Parameters'!$A$2:$E$59,5,FALSE)</f>
        <v>70</v>
      </c>
      <c r="AM1225" s="1">
        <f>VLOOKUP($E1225,'Product Parameters'!$A$2:$F$59,6,FALSE)</f>
        <v>3</v>
      </c>
      <c r="AN1225" s="1">
        <f>VLOOKUP($C1225,'Substrate Heating'!$A$2:$C$33,3,FALSE)</f>
        <v>1055.1294800000001</v>
      </c>
      <c r="AO1225" s="1">
        <f>VLOOKUP($C1225,'Substrate Heating'!$A$2:$B$33,2,FALSE)</f>
        <v>17</v>
      </c>
      <c r="AP1225" s="1">
        <f>VLOOKUP($C1225,'Substrate Heating'!$A$2:$M$33,13,FALSE)</f>
        <v>5</v>
      </c>
      <c r="AQ1225" s="1">
        <f>VLOOKUP($C1225,'Substrate Heating'!$A$2:$M$33,8,FALSE)</f>
        <v>2</v>
      </c>
      <c r="AR1225" s="1">
        <f t="shared" si="19"/>
        <v>0.76632352941176407</v>
      </c>
    </row>
    <row r="1226" spans="1:44" x14ac:dyDescent="0.2">
      <c r="A1226" s="8" t="s">
        <v>34</v>
      </c>
      <c r="B1226" s="9" t="s">
        <v>35</v>
      </c>
      <c r="C1226" s="1" t="s">
        <v>345</v>
      </c>
      <c r="D1226" s="10" t="s">
        <v>37</v>
      </c>
      <c r="E1226" s="1" t="s">
        <v>308</v>
      </c>
      <c r="F1226" s="1" t="s">
        <v>309</v>
      </c>
      <c r="G1226" s="1">
        <v>-10</v>
      </c>
      <c r="H1226" s="1">
        <v>-20</v>
      </c>
      <c r="I1226" s="1" t="s">
        <v>40</v>
      </c>
      <c r="J1226" s="1">
        <v>3.15</v>
      </c>
      <c r="K1226" s="1">
        <v>-10</v>
      </c>
      <c r="L1226" s="1">
        <v>-4.6550368550368502</v>
      </c>
      <c r="M1226" s="1" t="s">
        <v>40</v>
      </c>
      <c r="N1226" s="1">
        <v>4.6550368550368599</v>
      </c>
      <c r="O1226" s="1">
        <v>2.1921375921375899</v>
      </c>
      <c r="Q1226" s="1">
        <v>0.21921375921375899</v>
      </c>
      <c r="R1226" s="1">
        <v>0.63203175762005503</v>
      </c>
      <c r="S1226" s="1" t="str">
        <f>VLOOKUP($E1226,'Product Naming'!$A$1:$P$58,2,FALSE)</f>
        <v>Shikimate</v>
      </c>
      <c r="T1226" s="1" t="str">
        <f>VLOOKUP($E1226,'Product Naming'!$A$1:$P$58,3,FALSE)</f>
        <v>Shikimate</v>
      </c>
      <c r="U1226" s="1" t="str">
        <f>VLOOKUP($E1226,'Product Naming'!$A$1:$P$58,4,FALSE)</f>
        <v>E</v>
      </c>
      <c r="V1226" s="1" t="str">
        <f>VLOOKUP($E1226,'Product Naming'!$A$1:$P$58,5,FALSE)</f>
        <v>C7H9O5</v>
      </c>
      <c r="W1226" s="1">
        <f>VLOOKUP($E1226,'Product Naming'!$A$1:$P$58,6,FALSE)</f>
        <v>7</v>
      </c>
      <c r="X1226" s="1">
        <f>VLOOKUP($E1226,'Product Naming'!$A$1:$P$58,7,FALSE)</f>
        <v>9</v>
      </c>
      <c r="Y1226" s="1">
        <f>VLOOKUP($E1226,'Product Naming'!$A$1:$P$58,8,FALSE)</f>
        <v>5</v>
      </c>
      <c r="Z1226" s="1">
        <f>VLOOKUP($E1226,'Product Naming'!$A$1:$P$58,9,FALSE)</f>
        <v>0</v>
      </c>
      <c r="AA1226" s="1">
        <f>VLOOKUP($E1226,'Product Naming'!$A$1:$P$58,10,FALSE)</f>
        <v>-1</v>
      </c>
      <c r="AB1226" s="29">
        <f>VLOOKUP($E1226,'Product Naming'!$A$1:$P$58,11,FALSE)</f>
        <v>3.8571428571428572</v>
      </c>
      <c r="AC1226" s="3">
        <f>VLOOKUP($E1226,'Product Naming'!$A$1:$P$58,12,FALSE)</f>
        <v>173.14046000000002</v>
      </c>
      <c r="AD1226" s="1">
        <f>VLOOKUP($E1226,'Product Naming'!$A$1:$P$58,13,FALSE)</f>
        <v>400.5</v>
      </c>
      <c r="AE1226" s="1" t="str">
        <f>VLOOKUP($E1226,'Product Naming'!$A$1:$P$58,14,FALSE)</f>
        <v>Aromatic + Alcohol + Carboxylate</v>
      </c>
      <c r="AF1226" s="1" t="str">
        <f>VLOOKUP($E1226,'Product Naming'!$A$1:$P$58,15,FALSE)</f>
        <v>PEP + E4P (Glyceraldehyde 3-P)</v>
      </c>
      <c r="AG1226" s="30" t="str">
        <f>VLOOKUP($E1226,'Product Naming'!$A$1:$P$58,16,FALSE)</f>
        <v>Proton symporter</v>
      </c>
      <c r="AH1226" s="3" t="str">
        <f>VLOOKUP($E1226,'Product Naming'!$A$1:$Q$58,17,FALSE)</f>
        <v>skm_c</v>
      </c>
      <c r="AI1226" s="1">
        <f>VLOOKUP($E1226,'Product Parameters'!$A$2:$D$59,2,FALSE)</f>
        <v>1</v>
      </c>
      <c r="AJ1226" s="1">
        <f>VLOOKUP($E1226,'Product Parameters'!$A$2:$D$59,3,FALSE)</f>
        <v>0</v>
      </c>
      <c r="AK1226" s="1">
        <f>VLOOKUP($E1226,'Product Parameters'!$A$2:$D$59,4,FALSE)</f>
        <v>0.12</v>
      </c>
      <c r="AL1226" s="1">
        <f>VLOOKUP($E1226,'Product Parameters'!$A$2:$E$59,5,FALSE)</f>
        <v>40.65</v>
      </c>
      <c r="AM1226" s="1">
        <f>VLOOKUP($E1226,'Product Parameters'!$A$2:$F$59,6,FALSE)</f>
        <v>7</v>
      </c>
      <c r="AN1226" s="1">
        <f>VLOOKUP($C1226,'Substrate Heating'!$A$2:$C$33,3,FALSE)</f>
        <v>1020.8629199999999</v>
      </c>
      <c r="AO1226" s="1">
        <f>VLOOKUP($C1226,'Substrate Heating'!$A$2:$B$33,2,FALSE)</f>
        <v>17</v>
      </c>
      <c r="AP1226" s="1">
        <f>VLOOKUP($C1226,'Substrate Heating'!$A$2:$M$33,13,FALSE)</f>
        <v>4</v>
      </c>
      <c r="AQ1226" s="1">
        <f>VLOOKUP($C1226,'Substrate Heating'!$A$2:$M$33,8,FALSE)</f>
        <v>2</v>
      </c>
      <c r="AR1226" s="1">
        <f t="shared" si="19"/>
        <v>0.76724815724815643</v>
      </c>
    </row>
    <row r="1227" spans="1:44" x14ac:dyDescent="0.2">
      <c r="A1227" s="17" t="s">
        <v>185</v>
      </c>
      <c r="B1227" s="9" t="s">
        <v>35</v>
      </c>
      <c r="C1227" t="s">
        <v>349</v>
      </c>
      <c r="D1227" s="25" t="s">
        <v>342</v>
      </c>
      <c r="E1227" t="s">
        <v>264</v>
      </c>
      <c r="F1227" t="s">
        <v>265</v>
      </c>
      <c r="G1227">
        <v>-10</v>
      </c>
      <c r="H1227">
        <v>-20</v>
      </c>
      <c r="I1227" s="1" t="s">
        <v>40</v>
      </c>
      <c r="J1227">
        <v>3.15</v>
      </c>
      <c r="K1227">
        <v>-10</v>
      </c>
      <c r="L1227">
        <v>-4.8397058823529404</v>
      </c>
      <c r="M1227" s="1" t="s">
        <v>40</v>
      </c>
      <c r="N1227">
        <v>11.2911764705882</v>
      </c>
      <c r="O1227">
        <v>6.4514705882352903</v>
      </c>
      <c r="P1227"/>
      <c r="Q1227">
        <v>0.64514705882352896</v>
      </c>
      <c r="R1227">
        <v>0.63252687709867095</v>
      </c>
      <c r="S1227" s="1" t="str">
        <f>VLOOKUP($E1227,'Product Naming'!$A$1:$P$58,2,FALSE)</f>
        <v>Lysine_L</v>
      </c>
      <c r="T1227" s="1" t="str">
        <f>VLOOKUP($E1227,'Product Naming'!$A$1:$P$58,3,FALSE)</f>
        <v>L-Lysine</v>
      </c>
      <c r="U1227" s="1" t="str">
        <f>VLOOKUP($E1227,'Product Naming'!$A$1:$P$58,4,FALSE)</f>
        <v>iJO1366</v>
      </c>
      <c r="V1227" s="1" t="str">
        <f>VLOOKUP($E1227,'Product Naming'!$A$1:$P$58,5,FALSE)</f>
        <v>C6H15N2O2</v>
      </c>
      <c r="W1227" s="1">
        <f>VLOOKUP($E1227,'Product Naming'!$A$1:$P$58,6,FALSE)</f>
        <v>6</v>
      </c>
      <c r="X1227" s="1">
        <f>VLOOKUP($E1227,'Product Naming'!$A$1:$P$58,7,FALSE)</f>
        <v>15</v>
      </c>
      <c r="Y1227" s="1">
        <f>VLOOKUP($E1227,'Product Naming'!$A$1:$P$58,8,FALSE)</f>
        <v>2</v>
      </c>
      <c r="Z1227" s="1">
        <f>VLOOKUP($E1227,'Product Naming'!$A$1:$P$58,9,FALSE)</f>
        <v>2</v>
      </c>
      <c r="AA1227" s="1">
        <f>VLOOKUP($E1227,'Product Naming'!$A$1:$P$58,10,FALSE)</f>
        <v>1</v>
      </c>
      <c r="AB1227" s="29">
        <f>VLOOKUP($E1227,'Product Naming'!$A$1:$P$58,11,FALSE)</f>
        <v>4.833333333333333</v>
      </c>
      <c r="AC1227" s="3">
        <f>VLOOKUP($E1227,'Product Naming'!$A$1:$P$58,12,FALSE)</f>
        <v>147.19319999999999</v>
      </c>
      <c r="AD1227" s="1" t="str">
        <f>VLOOKUP($E1227,'Product Naming'!$A$1:$P$58,13,FALSE)</f>
        <v>NA</v>
      </c>
      <c r="AE1227" s="1" t="str">
        <f>VLOOKUP($E1227,'Product Naming'!$A$1:$P$58,14,FALSE)</f>
        <v>Amino acid</v>
      </c>
      <c r="AF1227" s="1" t="str">
        <f>VLOOKUP($E1227,'Product Naming'!$A$1:$P$58,15,FALSE)</f>
        <v>Oxaloacetate</v>
      </c>
      <c r="AG1227" s="30" t="str">
        <f>VLOOKUP($E1227,'Product Naming'!$A$1:$P$58,16,FALSE)</f>
        <v>Proton antiport</v>
      </c>
      <c r="AH1227" s="3" t="str">
        <f>VLOOKUP($E1227,'Product Naming'!$A$1:$Q$58,17,FALSE)</f>
        <v>lys__L_</v>
      </c>
      <c r="AI1227" s="1">
        <f>VLOOKUP($E1227,'Product Parameters'!$A$2:$D$59,2,FALSE)</f>
        <v>1</v>
      </c>
      <c r="AJ1227" s="1">
        <f>VLOOKUP($E1227,'Product Parameters'!$A$2:$D$59,3,FALSE)</f>
        <v>0</v>
      </c>
      <c r="AK1227" s="1">
        <f>VLOOKUP($E1227,'Product Parameters'!$A$2:$D$59,4,FALSE)</f>
        <v>0.12</v>
      </c>
      <c r="AL1227" s="1">
        <f>VLOOKUP($E1227,'Product Parameters'!$A$2:$E$59,5,FALSE)</f>
        <v>40.65</v>
      </c>
      <c r="AM1227" s="1">
        <f>VLOOKUP($E1227,'Product Parameters'!$A$2:$F$59,6,FALSE)</f>
        <v>6</v>
      </c>
      <c r="AN1227" s="1">
        <f>VLOOKUP($C1227,'Substrate Heating'!$A$2:$C$33,3,FALSE)</f>
        <v>2342.0279999999998</v>
      </c>
      <c r="AO1227" s="1">
        <f>VLOOKUP($C1227,'Substrate Heating'!$A$2:$B$33,2,FALSE)</f>
        <v>15.6</v>
      </c>
      <c r="AP1227" s="1">
        <f>VLOOKUP($C1227,'Substrate Heating'!$A$2:$M$33,13,FALSE)</f>
        <v>4</v>
      </c>
      <c r="AQ1227" s="1">
        <f>VLOOKUP($C1227,'Substrate Heating'!$A$2:$M$33,8,FALSE)</f>
        <v>5</v>
      </c>
      <c r="AR1227" s="1">
        <f t="shared" si="19"/>
        <v>0.7741764705882348</v>
      </c>
    </row>
    <row r="1228" spans="1:44" x14ac:dyDescent="0.2">
      <c r="A1228" s="8" t="s">
        <v>34</v>
      </c>
      <c r="B1228" s="9" t="s">
        <v>35</v>
      </c>
      <c r="C1228" s="1" t="s">
        <v>36</v>
      </c>
      <c r="D1228" s="10" t="s">
        <v>37</v>
      </c>
      <c r="E1228" s="1" t="s">
        <v>72</v>
      </c>
      <c r="F1228" s="1" t="s">
        <v>73</v>
      </c>
      <c r="G1228" s="1">
        <v>-10</v>
      </c>
      <c r="H1228" s="1">
        <v>-20</v>
      </c>
      <c r="I1228" s="1" t="s">
        <v>40</v>
      </c>
      <c r="J1228" s="1">
        <v>3.15</v>
      </c>
      <c r="K1228" s="1">
        <v>-10</v>
      </c>
      <c r="L1228" s="1">
        <v>-4.1129870129870101</v>
      </c>
      <c r="M1228" s="1" t="s">
        <v>40</v>
      </c>
      <c r="N1228" s="1">
        <v>6.0753246753246897</v>
      </c>
      <c r="O1228" s="1">
        <v>4.6415584415584403</v>
      </c>
      <c r="Q1228" s="1">
        <v>0.46415584415584399</v>
      </c>
      <c r="R1228" s="1">
        <v>0.63318463894857702</v>
      </c>
      <c r="S1228" s="1" t="str">
        <f>VLOOKUP($E1228,'Product Naming'!$A$1:$P$58,2,FALSE)</f>
        <v>1-propanol-PW1</v>
      </c>
      <c r="T1228" s="1" t="str">
        <f>VLOOKUP($E1228,'Product Naming'!$A$1:$P$58,3,FALSE)</f>
        <v>1-Propanol (PW1)</v>
      </c>
      <c r="U1228" s="1" t="str">
        <f>VLOOKUP($E1228,'Product Naming'!$A$1:$P$58,4,FALSE)</f>
        <v>E-S</v>
      </c>
      <c r="V1228" s="1" t="str">
        <f>VLOOKUP($E1228,'Product Naming'!$A$1:$P$58,5,FALSE)</f>
        <v>C3H8O</v>
      </c>
      <c r="W1228" s="1">
        <f>VLOOKUP($E1228,'Product Naming'!$A$1:$P$58,6,FALSE)</f>
        <v>3</v>
      </c>
      <c r="X1228" s="1">
        <f>VLOOKUP($E1228,'Product Naming'!$A$1:$P$58,7,FALSE)</f>
        <v>8</v>
      </c>
      <c r="Y1228" s="1">
        <f>VLOOKUP($E1228,'Product Naming'!$A$1:$P$58,8,FALSE)</f>
        <v>1</v>
      </c>
      <c r="Z1228" s="1">
        <f>VLOOKUP($E1228,'Product Naming'!$A$1:$P$58,9,FALSE)</f>
        <v>0</v>
      </c>
      <c r="AA1228" s="1">
        <f>VLOOKUP($E1228,'Product Naming'!$A$1:$P$58,10,FALSE)</f>
        <v>0</v>
      </c>
      <c r="AB1228" s="29">
        <f>VLOOKUP($E1228,'Product Naming'!$A$1:$P$58,11,FALSE)</f>
        <v>6</v>
      </c>
      <c r="AC1228" s="3">
        <f>VLOOKUP($E1228,'Product Naming'!$A$1:$P$58,12,FALSE)</f>
        <v>60.093820000000001</v>
      </c>
      <c r="AD1228" s="1">
        <f>VLOOKUP($E1228,'Product Naming'!$A$1:$P$58,13,FALSE)</f>
        <v>97</v>
      </c>
      <c r="AE1228" s="1" t="str">
        <f>VLOOKUP($E1228,'Product Naming'!$A$1:$P$58,14,FALSE)</f>
        <v>Alcohol</v>
      </c>
      <c r="AF1228" s="1" t="str">
        <f>VLOOKUP($E1228,'Product Naming'!$A$1:$P$58,15,FALSE)</f>
        <v>Glyceraldehyde 3-P (--&gt;DHAP)</v>
      </c>
      <c r="AG1228" s="30" t="str">
        <f>VLOOKUP($E1228,'Product Naming'!$A$1:$P$58,16,FALSE)</f>
        <v>Proton symporter</v>
      </c>
      <c r="AH1228" s="3" t="str">
        <f>VLOOKUP($E1228,'Product Naming'!$A$1:$Q$58,17,FALSE)</f>
        <v>ppoh_c</v>
      </c>
      <c r="AI1228" s="1">
        <f>VLOOKUP($E1228,'Product Parameters'!$A$2:$D$59,2,FALSE)</f>
        <v>1</v>
      </c>
      <c r="AJ1228" s="1">
        <f>VLOOKUP($E1228,'Product Parameters'!$A$2:$D$59,3,FALSE)</f>
        <v>0</v>
      </c>
      <c r="AK1228" s="1">
        <f>VLOOKUP($E1228,'Product Parameters'!$A$2:$D$59,4,FALSE)</f>
        <v>0.12</v>
      </c>
      <c r="AL1228" s="1">
        <f>VLOOKUP($E1228,'Product Parameters'!$A$2:$E$59,5,FALSE)</f>
        <v>47</v>
      </c>
      <c r="AM1228" s="1">
        <f>VLOOKUP($E1228,'Product Parameters'!$A$2:$F$59,6,FALSE)</f>
        <v>3</v>
      </c>
      <c r="AN1228" s="1">
        <f>VLOOKUP($C1228,'Substrate Heating'!$A$2:$C$33,3,FALSE)</f>
        <v>1064.1143145599999</v>
      </c>
      <c r="AO1228" s="1">
        <f>VLOOKUP($C1228,'Substrate Heating'!$A$2:$B$33,2,FALSE)</f>
        <v>24.155999999999999</v>
      </c>
      <c r="AP1228" s="1">
        <f>VLOOKUP($C1228,'Substrate Heating'!$A$2:$M$33,13,FALSE)</f>
        <v>5</v>
      </c>
      <c r="AQ1228" s="1">
        <f>VLOOKUP($C1228,'Substrate Heating'!$A$2:$M$33,8,FALSE)</f>
        <v>2</v>
      </c>
      <c r="AR1228" s="1">
        <f t="shared" si="19"/>
        <v>0.69623376623376598</v>
      </c>
    </row>
    <row r="1229" spans="1:44" x14ac:dyDescent="0.2">
      <c r="A1229" s="17" t="s">
        <v>323</v>
      </c>
      <c r="B1229" s="18" t="s">
        <v>324</v>
      </c>
      <c r="C1229" t="s">
        <v>328</v>
      </c>
      <c r="D1229" s="19" t="s">
        <v>326</v>
      </c>
      <c r="E1229" t="s">
        <v>60</v>
      </c>
      <c r="F1229" t="s">
        <v>61</v>
      </c>
      <c r="G1229">
        <v>-10</v>
      </c>
      <c r="H1229">
        <v>0</v>
      </c>
      <c r="I1229">
        <v>-10</v>
      </c>
      <c r="J1229">
        <v>0.45</v>
      </c>
      <c r="K1229">
        <v>-10</v>
      </c>
      <c r="L1229">
        <v>0</v>
      </c>
      <c r="M1229">
        <v>-10</v>
      </c>
      <c r="N1229">
        <v>2.5</v>
      </c>
      <c r="O1229">
        <v>2.5</v>
      </c>
      <c r="P1229"/>
      <c r="Q1229">
        <v>0.25</v>
      </c>
      <c r="R1229">
        <v>0.63347335997335996</v>
      </c>
      <c r="S1229" s="1" t="str">
        <f>VLOOKUP($E1229,'Product Naming'!$A$1:$P$58,2,FALSE)</f>
        <v>1-3-Propanediol</v>
      </c>
      <c r="T1229" s="1" t="str">
        <f>VLOOKUP($E1229,'Product Naming'!$A$1:$P$58,3,FALSE)</f>
        <v>1,3-Propanediol</v>
      </c>
      <c r="U1229" s="1" t="str">
        <f>VLOOKUP($E1229,'Product Naming'!$A$1:$P$58,4,FALSE)</f>
        <v>A</v>
      </c>
      <c r="V1229" s="1" t="str">
        <f>VLOOKUP($E1229,'Product Naming'!$A$1:$P$58,5,FALSE)</f>
        <v>C3H8O2</v>
      </c>
      <c r="W1229" s="1">
        <f>VLOOKUP($E1229,'Product Naming'!$A$1:$P$58,6,FALSE)</f>
        <v>3</v>
      </c>
      <c r="X1229" s="1">
        <f>VLOOKUP($E1229,'Product Naming'!$A$1:$P$58,7,FALSE)</f>
        <v>8</v>
      </c>
      <c r="Y1229" s="1">
        <f>VLOOKUP($E1229,'Product Naming'!$A$1:$P$58,8,FALSE)</f>
        <v>2</v>
      </c>
      <c r="Z1229" s="1">
        <f>VLOOKUP($E1229,'Product Naming'!$A$1:$P$58,9,FALSE)</f>
        <v>0</v>
      </c>
      <c r="AA1229" s="1">
        <f>VLOOKUP($E1229,'Product Naming'!$A$1:$P$58,10,FALSE)</f>
        <v>0</v>
      </c>
      <c r="AB1229" s="29">
        <f>VLOOKUP($E1229,'Product Naming'!$A$1:$P$58,11,FALSE)</f>
        <v>5.333333333333333</v>
      </c>
      <c r="AC1229" s="3">
        <f>VLOOKUP($E1229,'Product Naming'!$A$1:$P$58,12,FALSE)</f>
        <v>76.092820000000003</v>
      </c>
      <c r="AD1229" s="1">
        <f>VLOOKUP($E1229,'Product Naming'!$A$1:$P$58,13,FALSE)</f>
        <v>213</v>
      </c>
      <c r="AE1229" s="1" t="str">
        <f>VLOOKUP($E1229,'Product Naming'!$A$1:$P$58,14,FALSE)</f>
        <v>Diol</v>
      </c>
      <c r="AF1229" s="1" t="str">
        <f>VLOOKUP($E1229,'Product Naming'!$A$1:$P$58,15,FALSE)</f>
        <v>Glyceraldehyde 3-P</v>
      </c>
      <c r="AG1229" s="30" t="str">
        <f>VLOOKUP($E1229,'Product Naming'!$A$1:$P$58,16,FALSE)</f>
        <v>Proton symporter</v>
      </c>
      <c r="AH1229" s="3" t="str">
        <f>VLOOKUP($E1229,'Product Naming'!$A$1:$Q$58,17,FALSE)</f>
        <v>13ppd_c</v>
      </c>
      <c r="AI1229" s="1">
        <f>VLOOKUP($E1229,'Product Parameters'!$A$2:$D$59,2,FALSE)</f>
        <v>1</v>
      </c>
      <c r="AJ1229" s="1">
        <f>VLOOKUP($E1229,'Product Parameters'!$A$2:$D$59,3,FALSE)</f>
        <v>0</v>
      </c>
      <c r="AK1229" s="1">
        <f>VLOOKUP($E1229,'Product Parameters'!$A$2:$D$59,4,FALSE)</f>
        <v>0.12</v>
      </c>
      <c r="AL1229" s="1">
        <f>VLOOKUP($E1229,'Product Parameters'!$A$2:$E$59,5,FALSE)</f>
        <v>70</v>
      </c>
      <c r="AM1229" s="1">
        <f>VLOOKUP($E1229,'Product Parameters'!$A$2:$F$59,6,FALSE)</f>
        <v>3</v>
      </c>
      <c r="AN1229" s="1">
        <f>VLOOKUP($C1229,'Substrate Heating'!$A$2:$C$33,3,FALSE)</f>
        <v>262.39999999999998</v>
      </c>
      <c r="AO1229" s="1">
        <f>VLOOKUP($C1229,'Substrate Heating'!$A$2:$B$33,2,FALSE)</f>
        <v>17.478546483008707</v>
      </c>
      <c r="AP1229" s="1">
        <f>VLOOKUP($C1229,'Substrate Heating'!$A$2:$M$33,13,FALSE)</f>
        <v>1</v>
      </c>
      <c r="AQ1229" s="1">
        <f>VLOOKUP($C1229,'Substrate Heating'!$A$2:$M$33,8,FALSE)</f>
        <v>0.5</v>
      </c>
      <c r="AR1229" s="1">
        <f t="shared" si="19"/>
        <v>1.5</v>
      </c>
    </row>
    <row r="1230" spans="1:44" x14ac:dyDescent="0.2">
      <c r="A1230" s="8" t="s">
        <v>34</v>
      </c>
      <c r="B1230" s="9" t="s">
        <v>35</v>
      </c>
      <c r="C1230" s="1" t="s">
        <v>349</v>
      </c>
      <c r="D1230" s="25" t="s">
        <v>342</v>
      </c>
      <c r="E1230" s="1" t="s">
        <v>221</v>
      </c>
      <c r="F1230" s="1" t="s">
        <v>222</v>
      </c>
      <c r="G1230" s="1">
        <v>-10</v>
      </c>
      <c r="H1230" s="1">
        <v>-20</v>
      </c>
      <c r="I1230" s="1" t="s">
        <v>40</v>
      </c>
      <c r="J1230" s="1">
        <v>3.15</v>
      </c>
      <c r="K1230" s="1">
        <v>-10</v>
      </c>
      <c r="L1230" s="1">
        <v>-13.4416666666667</v>
      </c>
      <c r="M1230" s="1" t="s">
        <v>40</v>
      </c>
      <c r="N1230" s="1">
        <v>13.4416666666667</v>
      </c>
      <c r="O1230" s="1">
        <v>7.3116666666666701</v>
      </c>
      <c r="Q1230" s="1">
        <v>0.73116666666666696</v>
      </c>
      <c r="R1230" s="1">
        <v>0.63359923730544598</v>
      </c>
      <c r="S1230" s="1" t="str">
        <f>VLOOKUP($E1230,'Product Naming'!$A$1:$P$58,2,FALSE)</f>
        <v>Glutarate</v>
      </c>
      <c r="T1230" s="1" t="str">
        <f>VLOOKUP($E1230,'Product Naming'!$A$1:$P$58,3,FALSE)</f>
        <v>Glutarate</v>
      </c>
      <c r="U1230" s="1" t="str">
        <f>VLOOKUP($E1230,'Product Naming'!$A$1:$P$58,4,FALSE)</f>
        <v>A</v>
      </c>
      <c r="V1230" s="1" t="str">
        <f>VLOOKUP($E1230,'Product Naming'!$A$1:$P$58,5,FALSE)</f>
        <v>C5H6O4</v>
      </c>
      <c r="W1230" s="1">
        <f>VLOOKUP($E1230,'Product Naming'!$A$1:$P$58,6,FALSE)</f>
        <v>5</v>
      </c>
      <c r="X1230" s="1">
        <f>VLOOKUP($E1230,'Product Naming'!$A$1:$P$58,7,FALSE)</f>
        <v>6</v>
      </c>
      <c r="Y1230" s="1">
        <f>VLOOKUP($E1230,'Product Naming'!$A$1:$P$58,8,FALSE)</f>
        <v>4</v>
      </c>
      <c r="Z1230" s="1">
        <f>VLOOKUP($E1230,'Product Naming'!$A$1:$P$58,9,FALSE)</f>
        <v>0</v>
      </c>
      <c r="AA1230" s="1">
        <f>VLOOKUP($E1230,'Product Naming'!$A$1:$P$58,10,FALSE)</f>
        <v>-2</v>
      </c>
      <c r="AB1230" s="29">
        <f>VLOOKUP($E1230,'Product Naming'!$A$1:$P$58,11,FALSE)</f>
        <v>3.6</v>
      </c>
      <c r="AC1230" s="3">
        <f>VLOOKUP($E1230,'Product Naming'!$A$1:$P$58,12,FALSE)</f>
        <v>130.09654</v>
      </c>
      <c r="AD1230" s="1">
        <f>VLOOKUP($E1230,'Product Naming'!$A$1:$P$58,13,FALSE)</f>
        <v>200</v>
      </c>
      <c r="AE1230" s="1" t="str">
        <f>VLOOKUP($E1230,'Product Naming'!$A$1:$P$58,14,FALSE)</f>
        <v>Dicarboxylate</v>
      </c>
      <c r="AF1230" s="1" t="str">
        <f>VLOOKUP($E1230,'Product Naming'!$A$1:$P$58,15,FALSE)</f>
        <v>Oxaloacetate + aKG</v>
      </c>
      <c r="AG1230" s="30" t="str">
        <f>VLOOKUP($E1230,'Product Naming'!$A$1:$P$58,16,FALSE)</f>
        <v>Proton symporter</v>
      </c>
      <c r="AH1230" s="3" t="str">
        <f>VLOOKUP($E1230,'Product Naming'!$A$1:$Q$58,17,FALSE)</f>
        <v>glutar_c</v>
      </c>
      <c r="AI1230" s="1">
        <f>VLOOKUP($E1230,'Product Parameters'!$A$2:$D$59,2,FALSE)</f>
        <v>1</v>
      </c>
      <c r="AJ1230" s="1">
        <f>VLOOKUP($E1230,'Product Parameters'!$A$2:$D$59,3,FALSE)</f>
        <v>0</v>
      </c>
      <c r="AK1230" s="1">
        <f>VLOOKUP($E1230,'Product Parameters'!$A$2:$D$59,4,FALSE)</f>
        <v>0.12</v>
      </c>
      <c r="AL1230" s="1">
        <f>VLOOKUP($E1230,'Product Parameters'!$A$2:$E$59,5,FALSE)</f>
        <v>40.65</v>
      </c>
      <c r="AM1230" s="1">
        <f>VLOOKUP($E1230,'Product Parameters'!$A$2:$F$59,6,FALSE)</f>
        <v>5</v>
      </c>
      <c r="AN1230" s="1">
        <f>VLOOKUP($C1230,'Substrate Heating'!$A$2:$C$33,3,FALSE)</f>
        <v>2342.0279999999998</v>
      </c>
      <c r="AO1230" s="1">
        <f>VLOOKUP($C1230,'Substrate Heating'!$A$2:$B$33,2,FALSE)</f>
        <v>15.6</v>
      </c>
      <c r="AP1230" s="1">
        <f>VLOOKUP($C1230,'Substrate Heating'!$A$2:$M$33,13,FALSE)</f>
        <v>4</v>
      </c>
      <c r="AQ1230" s="1">
        <f>VLOOKUP($C1230,'Substrate Heating'!$A$2:$M$33,8,FALSE)</f>
        <v>5</v>
      </c>
      <c r="AR1230" s="1">
        <f t="shared" si="19"/>
        <v>0.73116666666666696</v>
      </c>
    </row>
    <row r="1231" spans="1:44" x14ac:dyDescent="0.2">
      <c r="A1231" s="8" t="s">
        <v>34</v>
      </c>
      <c r="B1231" s="9" t="s">
        <v>35</v>
      </c>
      <c r="C1231" s="1" t="s">
        <v>332</v>
      </c>
      <c r="D1231" s="10" t="s">
        <v>37</v>
      </c>
      <c r="E1231" s="1" t="s">
        <v>169</v>
      </c>
      <c r="F1231" s="1" t="s">
        <v>165</v>
      </c>
      <c r="G1231" s="1">
        <v>-10</v>
      </c>
      <c r="H1231" s="1">
        <v>-20</v>
      </c>
      <c r="I1231" s="1" t="s">
        <v>40</v>
      </c>
      <c r="J1231" s="1">
        <v>3.15</v>
      </c>
      <c r="K1231" s="1">
        <v>-10</v>
      </c>
      <c r="L1231" s="1">
        <v>-6.3272727272727298</v>
      </c>
      <c r="M1231" s="1" t="s">
        <v>40</v>
      </c>
      <c r="N1231" s="1">
        <v>4.2181818181817796</v>
      </c>
      <c r="O1231" s="1">
        <v>3.94545454545454</v>
      </c>
      <c r="Q1231" s="1">
        <v>0.39454545454545398</v>
      </c>
      <c r="R1231" s="1">
        <v>0.63480384410333901</v>
      </c>
      <c r="S1231" s="1" t="str">
        <f>VLOOKUP($E1231,'Product Naming'!$A$1:$P$58,2,FALSE)</f>
        <v>Butanol-PW2</v>
      </c>
      <c r="T1231" s="1" t="str">
        <f>VLOOKUP($E1231,'Product Naming'!$A$1:$P$58,3,FALSE)</f>
        <v>Butanol (PW2)</v>
      </c>
      <c r="U1231" s="1" t="str">
        <f>VLOOKUP($E1231,'Product Naming'!$A$1:$P$58,4,FALSE)</f>
        <v>E</v>
      </c>
      <c r="V1231" s="1" t="str">
        <f>VLOOKUP($E1231,'Product Naming'!$A$1:$P$58,5,FALSE)</f>
        <v>C4H10O</v>
      </c>
      <c r="W1231" s="1">
        <f>VLOOKUP($E1231,'Product Naming'!$A$1:$P$58,6,FALSE)</f>
        <v>4</v>
      </c>
      <c r="X1231" s="1">
        <f>VLOOKUP($E1231,'Product Naming'!$A$1:$P$58,7,FALSE)</f>
        <v>10</v>
      </c>
      <c r="Y1231" s="1">
        <f>VLOOKUP($E1231,'Product Naming'!$A$1:$P$58,8,FALSE)</f>
        <v>1</v>
      </c>
      <c r="Z1231" s="1">
        <f>VLOOKUP($E1231,'Product Naming'!$A$1:$P$58,9,FALSE)</f>
        <v>0</v>
      </c>
      <c r="AA1231" s="1">
        <f>VLOOKUP($E1231,'Product Naming'!$A$1:$P$58,10,FALSE)</f>
        <v>0</v>
      </c>
      <c r="AB1231" s="29">
        <f>VLOOKUP($E1231,'Product Naming'!$A$1:$P$58,11,FALSE)</f>
        <v>6</v>
      </c>
      <c r="AC1231" s="3">
        <f>VLOOKUP($E1231,'Product Naming'!$A$1:$P$58,12,FALSE)</f>
        <v>74.120199999999997</v>
      </c>
      <c r="AD1231" s="1">
        <f>VLOOKUP($E1231,'Product Naming'!$A$1:$P$58,13,FALSE)</f>
        <v>117.7</v>
      </c>
      <c r="AE1231" s="1" t="str">
        <f>VLOOKUP($E1231,'Product Naming'!$A$1:$P$58,14,FALSE)</f>
        <v>Alcohol</v>
      </c>
      <c r="AF1231" s="1" t="str">
        <f>VLOOKUP($E1231,'Product Naming'!$A$1:$P$58,15,FALSE)</f>
        <v>Oxaloacetate</v>
      </c>
      <c r="AG1231" s="30" t="str">
        <f>VLOOKUP($E1231,'Product Naming'!$A$1:$P$58,16,FALSE)</f>
        <v>Proton symporter</v>
      </c>
      <c r="AH1231" s="3" t="str">
        <f>VLOOKUP($E1231,'Product Naming'!$A$1:$Q$58,17,FALSE)</f>
        <v>btoh_c</v>
      </c>
      <c r="AI1231" s="1">
        <f>VLOOKUP($E1231,'Product Parameters'!$A$2:$D$59,2,FALSE)</f>
        <v>1</v>
      </c>
      <c r="AJ1231" s="1">
        <f>VLOOKUP($E1231,'Product Parameters'!$A$2:$D$59,3,FALSE)</f>
        <v>0</v>
      </c>
      <c r="AK1231" s="1">
        <f>VLOOKUP($E1231,'Product Parameters'!$A$2:$D$59,4,FALSE)</f>
        <v>0.12</v>
      </c>
      <c r="AL1231" s="1">
        <f>VLOOKUP($E1231,'Product Parameters'!$A$2:$E$59,5,FALSE)</f>
        <v>52</v>
      </c>
      <c r="AM1231" s="1">
        <f>VLOOKUP($E1231,'Product Parameters'!$A$2:$F$59,6,FALSE)</f>
        <v>4</v>
      </c>
      <c r="AN1231" s="1">
        <f>VLOOKUP($C1231,'Substrate Heating'!$A$2:$C$33,3,FALSE)</f>
        <v>1230.0006480000002</v>
      </c>
      <c r="AO1231" s="1">
        <f>VLOOKUP($C1231,'Substrate Heating'!$A$2:$B$33,2,FALSE)</f>
        <v>26.7</v>
      </c>
      <c r="AP1231" s="1">
        <f>VLOOKUP($C1231,'Substrate Heating'!$A$2:$M$33,13,FALSE)</f>
        <v>6</v>
      </c>
      <c r="AQ1231" s="1">
        <f>VLOOKUP($C1231,'Substrate Heating'!$A$2:$M$33,8,FALSE)</f>
        <v>2</v>
      </c>
      <c r="AR1231" s="1">
        <f t="shared" si="19"/>
        <v>0.78909090909090795</v>
      </c>
    </row>
    <row r="1232" spans="1:44" x14ac:dyDescent="0.2">
      <c r="A1232" s="8" t="s">
        <v>34</v>
      </c>
      <c r="B1232" s="9" t="s">
        <v>35</v>
      </c>
      <c r="C1232" s="1" t="s">
        <v>331</v>
      </c>
      <c r="D1232" s="10" t="s">
        <v>37</v>
      </c>
      <c r="E1232" s="1" t="s">
        <v>38</v>
      </c>
      <c r="F1232" s="1" t="s">
        <v>39</v>
      </c>
      <c r="G1232" s="1">
        <v>-10</v>
      </c>
      <c r="H1232" s="1">
        <v>-20</v>
      </c>
      <c r="I1232" s="1" t="s">
        <v>40</v>
      </c>
      <c r="J1232" s="1">
        <v>3.15</v>
      </c>
      <c r="K1232" s="1">
        <v>-10</v>
      </c>
      <c r="L1232" s="1">
        <v>-0.94404761904761803</v>
      </c>
      <c r="M1232" s="1" t="s">
        <v>40</v>
      </c>
      <c r="N1232" s="1">
        <v>2.5047619047618901</v>
      </c>
      <c r="O1232" s="1">
        <v>4.3738095238095198</v>
      </c>
      <c r="Q1232" s="1">
        <v>0.43738095238095198</v>
      </c>
      <c r="R1232" s="1">
        <v>0.63506859627446599</v>
      </c>
      <c r="S1232" s="1" t="str">
        <f>VLOOKUP($E1232,'Product Naming'!$A$1:$P$58,2,FALSE)</f>
        <v>1-3-butanediol-PW1</v>
      </c>
      <c r="T1232" s="1" t="str">
        <f>VLOOKUP($E1232,'Product Naming'!$A$1:$P$58,3,FALSE)</f>
        <v>1,3-Butanediol (PW1)</v>
      </c>
      <c r="U1232" s="1" t="str">
        <f>VLOOKUP($E1232,'Product Naming'!$A$1:$P$58,4,FALSE)</f>
        <v>E</v>
      </c>
      <c r="V1232" s="1" t="str">
        <f>VLOOKUP($E1232,'Product Naming'!$A$1:$P$58,5,FALSE)</f>
        <v>C4H10O2</v>
      </c>
      <c r="W1232" s="1">
        <f>VLOOKUP($E1232,'Product Naming'!$A$1:$P$58,6,FALSE)</f>
        <v>4</v>
      </c>
      <c r="X1232" s="1">
        <f>VLOOKUP($E1232,'Product Naming'!$A$1:$P$58,7,FALSE)</f>
        <v>10</v>
      </c>
      <c r="Y1232" s="1">
        <f>VLOOKUP($E1232,'Product Naming'!$A$1:$P$58,8,FALSE)</f>
        <v>2</v>
      </c>
      <c r="Z1232" s="1">
        <f>VLOOKUP($E1232,'Product Naming'!$A$1:$P$58,9,FALSE)</f>
        <v>0</v>
      </c>
      <c r="AA1232" s="1">
        <f>VLOOKUP($E1232,'Product Naming'!$A$1:$P$58,10,FALSE)</f>
        <v>0</v>
      </c>
      <c r="AB1232" s="29">
        <f>VLOOKUP($E1232,'Product Naming'!$A$1:$P$58,11,FALSE)</f>
        <v>5.5</v>
      </c>
      <c r="AC1232" s="3">
        <f>VLOOKUP($E1232,'Product Naming'!$A$1:$P$58,12,FALSE)</f>
        <v>90.119200000000006</v>
      </c>
      <c r="AD1232" s="1">
        <f>VLOOKUP($E1232,'Product Naming'!$A$1:$P$58,13,FALSE)</f>
        <v>207</v>
      </c>
      <c r="AE1232" s="1" t="str">
        <f>VLOOKUP($E1232,'Product Naming'!$A$1:$P$58,14,FALSE)</f>
        <v>Diol</v>
      </c>
      <c r="AF1232" s="1" t="str">
        <f>VLOOKUP($E1232,'Product Naming'!$A$1:$P$58,15,FALSE)</f>
        <v>Acetyl-CoA</v>
      </c>
      <c r="AG1232" s="30" t="str">
        <f>VLOOKUP($E1232,'Product Naming'!$A$1:$P$58,16,FALSE)</f>
        <v>Proton symporter</v>
      </c>
      <c r="AH1232" s="3" t="str">
        <f>VLOOKUP($E1232,'Product Naming'!$A$1:$Q$58,17,FALSE)</f>
        <v>13bdo__R_c</v>
      </c>
      <c r="AI1232" s="1">
        <f>VLOOKUP($E1232,'Product Parameters'!$A$2:$D$59,2,FALSE)</f>
        <v>1</v>
      </c>
      <c r="AJ1232" s="1">
        <f>VLOOKUP($E1232,'Product Parameters'!$A$2:$D$59,3,FALSE)</f>
        <v>0</v>
      </c>
      <c r="AK1232" s="1">
        <f>VLOOKUP($E1232,'Product Parameters'!$A$2:$D$59,4,FALSE)</f>
        <v>0.12</v>
      </c>
      <c r="AL1232" s="1">
        <f>VLOOKUP($E1232,'Product Parameters'!$A$2:$E$59,5,FALSE)</f>
        <v>72.599999999999994</v>
      </c>
      <c r="AM1232" s="1">
        <f>VLOOKUP($E1232,'Product Parameters'!$A$2:$F$59,6,FALSE)</f>
        <v>4</v>
      </c>
      <c r="AN1232" s="1">
        <f>VLOOKUP($C1232,'Substrate Heating'!$A$2:$C$33,3,FALSE)</f>
        <v>1055.1294800000001</v>
      </c>
      <c r="AO1232" s="1">
        <f>VLOOKUP($C1232,'Substrate Heating'!$A$2:$B$33,2,FALSE)</f>
        <v>17</v>
      </c>
      <c r="AP1232" s="1">
        <f>VLOOKUP($C1232,'Substrate Heating'!$A$2:$M$33,13,FALSE)</f>
        <v>5</v>
      </c>
      <c r="AQ1232" s="1">
        <f>VLOOKUP($C1232,'Substrate Heating'!$A$2:$M$33,8,FALSE)</f>
        <v>2</v>
      </c>
      <c r="AR1232" s="1">
        <f t="shared" si="19"/>
        <v>0.87476190476190396</v>
      </c>
    </row>
    <row r="1233" spans="1:44" x14ac:dyDescent="0.2">
      <c r="A1233" s="8" t="s">
        <v>34</v>
      </c>
      <c r="B1233" s="9" t="s">
        <v>35</v>
      </c>
      <c r="C1233" s="1" t="s">
        <v>343</v>
      </c>
      <c r="D1233" s="24" t="s">
        <v>342</v>
      </c>
      <c r="E1233" s="1" t="s">
        <v>198</v>
      </c>
      <c r="F1233" s="1" t="s">
        <v>199</v>
      </c>
      <c r="G1233" s="1">
        <v>-10</v>
      </c>
      <c r="H1233" s="1">
        <v>-20</v>
      </c>
      <c r="I1233" s="1" t="s">
        <v>40</v>
      </c>
      <c r="J1233" s="1">
        <v>3.15</v>
      </c>
      <c r="K1233" s="1">
        <v>-10</v>
      </c>
      <c r="L1233" s="1">
        <v>-1.7777777777777799</v>
      </c>
      <c r="M1233" s="1" t="s">
        <v>40</v>
      </c>
      <c r="N1233" s="1">
        <v>3.4222222222222101</v>
      </c>
      <c r="O1233" s="1">
        <v>6.6444444444444404</v>
      </c>
      <c r="Q1233" s="1">
        <v>0.66444444444444395</v>
      </c>
      <c r="R1233" s="1">
        <v>0.63565497011634398</v>
      </c>
      <c r="S1233" s="1" t="str">
        <f>VLOOKUP($E1233,'Product Naming'!$A$1:$P$58,2,FALSE)</f>
        <v>EthylAcetate</v>
      </c>
      <c r="T1233" s="1" t="str">
        <f>VLOOKUP($E1233,'Product Naming'!$A$1:$P$58,3,FALSE)</f>
        <v>Ethyl acetate</v>
      </c>
      <c r="U1233" s="1" t="str">
        <f>VLOOKUP($E1233,'Product Naming'!$A$1:$P$58,4,FALSE)</f>
        <v>E</v>
      </c>
      <c r="V1233" s="1" t="str">
        <f>VLOOKUP($E1233,'Product Naming'!$A$1:$P$58,5,FALSE)</f>
        <v>C4H8O2</v>
      </c>
      <c r="W1233" s="1">
        <f>VLOOKUP($E1233,'Product Naming'!$A$1:$P$58,6,FALSE)</f>
        <v>4</v>
      </c>
      <c r="X1233" s="1">
        <f>VLOOKUP($E1233,'Product Naming'!$A$1:$P$58,7,FALSE)</f>
        <v>8</v>
      </c>
      <c r="Y1233" s="1">
        <f>VLOOKUP($E1233,'Product Naming'!$A$1:$P$58,8,FALSE)</f>
        <v>2</v>
      </c>
      <c r="Z1233" s="1">
        <f>VLOOKUP($E1233,'Product Naming'!$A$1:$P$58,9,FALSE)</f>
        <v>0</v>
      </c>
      <c r="AA1233" s="1">
        <f>VLOOKUP($E1233,'Product Naming'!$A$1:$P$58,10,FALSE)</f>
        <v>0</v>
      </c>
      <c r="AB1233" s="29">
        <f>VLOOKUP($E1233,'Product Naming'!$A$1:$P$58,11,FALSE)</f>
        <v>5</v>
      </c>
      <c r="AC1233" s="3">
        <f>VLOOKUP($E1233,'Product Naming'!$A$1:$P$58,12,FALSE)</f>
        <v>88.103520000000003</v>
      </c>
      <c r="AD1233" s="1">
        <f>VLOOKUP($E1233,'Product Naming'!$A$1:$P$58,13,FALSE)</f>
        <v>77.099999999999994</v>
      </c>
      <c r="AE1233" s="1" t="str">
        <f>VLOOKUP($E1233,'Product Naming'!$A$1:$P$58,14,FALSE)</f>
        <v>Carboxylate Ester</v>
      </c>
      <c r="AF1233" s="1" t="str">
        <f>VLOOKUP($E1233,'Product Naming'!$A$1:$P$58,15,FALSE)</f>
        <v>Acetyl-CoA</v>
      </c>
      <c r="AG1233" s="30" t="str">
        <f>VLOOKUP($E1233,'Product Naming'!$A$1:$P$58,16,FALSE)</f>
        <v>Proton symporter</v>
      </c>
      <c r="AH1233" s="3" t="str">
        <f>VLOOKUP($E1233,'Product Naming'!$A$1:$Q$58,17,FALSE)</f>
        <v>aces_c</v>
      </c>
      <c r="AI1233" s="1">
        <f>VLOOKUP($E1233,'Product Parameters'!$A$2:$D$59,2,FALSE)</f>
        <v>1</v>
      </c>
      <c r="AJ1233" s="1">
        <f>VLOOKUP($E1233,'Product Parameters'!$A$2:$D$59,3,FALSE)</f>
        <v>0</v>
      </c>
      <c r="AK1233" s="1">
        <f>VLOOKUP($E1233,'Product Parameters'!$A$2:$D$59,4,FALSE)</f>
        <v>0.12</v>
      </c>
      <c r="AL1233" s="1">
        <f>VLOOKUP($E1233,'Product Parameters'!$A$2:$E$59,5,FALSE)</f>
        <v>35</v>
      </c>
      <c r="AM1233" s="1">
        <f>VLOOKUP($E1233,'Product Parameters'!$A$2:$F$59,6,FALSE)</f>
        <v>4</v>
      </c>
      <c r="AN1233" s="1">
        <f>VLOOKUP($C1233,'Substrate Heating'!$A$2:$C$33,3,FALSE)</f>
        <v>1648.4793779999998</v>
      </c>
      <c r="AO1233" s="1">
        <f>VLOOKUP($C1233,'Substrate Heating'!$A$2:$B$33,2,FALSE)</f>
        <v>17.899999999999999</v>
      </c>
      <c r="AP1233" s="1">
        <f>VLOOKUP($C1233,'Substrate Heating'!$A$2:$M$33,13,FALSE)</f>
        <v>4.666666666666667</v>
      </c>
      <c r="AQ1233" s="1">
        <f>VLOOKUP($C1233,'Substrate Heating'!$A$2:$M$33,8,FALSE)</f>
        <v>3</v>
      </c>
      <c r="AR1233" s="1">
        <f t="shared" si="19"/>
        <v>0.88592592592592523</v>
      </c>
    </row>
    <row r="1234" spans="1:44" x14ac:dyDescent="0.2">
      <c r="A1234" s="8" t="s">
        <v>812</v>
      </c>
      <c r="B1234" s="9" t="s">
        <v>35</v>
      </c>
      <c r="C1234" t="s">
        <v>813</v>
      </c>
      <c r="E1234" t="s">
        <v>108</v>
      </c>
      <c r="F1234" t="s">
        <v>109</v>
      </c>
      <c r="G1234">
        <v>-10</v>
      </c>
      <c r="H1234">
        <v>-20</v>
      </c>
      <c r="I1234">
        <v>0</v>
      </c>
      <c r="J1234">
        <v>3.15</v>
      </c>
      <c r="K1234">
        <v>-10</v>
      </c>
      <c r="L1234">
        <v>-14.7477272727272</v>
      </c>
      <c r="M1234">
        <v>0</v>
      </c>
      <c r="N1234">
        <v>4.5244019138756002</v>
      </c>
      <c r="O1234">
        <v>3.18444976076555</v>
      </c>
      <c r="P1234"/>
      <c r="Q1234">
        <v>0.31844497607655498</v>
      </c>
      <c r="R1234">
        <v>0.63666167086659498</v>
      </c>
      <c r="S1234" s="1" t="str">
        <f>VLOOKUP($E1234,'Product Naming'!$A$1:$P$58,2,FALSE)</f>
        <v>4-Hydroxystyrene</v>
      </c>
      <c r="T1234" s="1" t="str">
        <f>VLOOKUP($E1234,'Product Naming'!$A$1:$P$58,3,FALSE)</f>
        <v>4-Hydroxystyrene</v>
      </c>
      <c r="U1234" s="1" t="str">
        <f>VLOOKUP($E1234,'Product Naming'!$A$1:$P$58,4,FALSE)</f>
        <v>E</v>
      </c>
      <c r="V1234" s="1" t="str">
        <f>VLOOKUP($E1234,'Product Naming'!$A$1:$P$58,5,FALSE)</f>
        <v>C8H8O</v>
      </c>
      <c r="W1234" s="1">
        <f>VLOOKUP($E1234,'Product Naming'!$A$1:$P$58,6,FALSE)</f>
        <v>8</v>
      </c>
      <c r="X1234" s="1">
        <f>VLOOKUP($E1234,'Product Naming'!$A$1:$P$58,7,FALSE)</f>
        <v>8</v>
      </c>
      <c r="Y1234" s="1">
        <f>VLOOKUP($E1234,'Product Naming'!$A$1:$P$58,8,FALSE)</f>
        <v>1</v>
      </c>
      <c r="Z1234" s="1">
        <f>VLOOKUP($E1234,'Product Naming'!$A$1:$P$58,9,FALSE)</f>
        <v>0</v>
      </c>
      <c r="AA1234" s="1">
        <f>VLOOKUP($E1234,'Product Naming'!$A$1:$P$58,10,FALSE)</f>
        <v>0</v>
      </c>
      <c r="AB1234" s="29">
        <f>VLOOKUP($E1234,'Product Naming'!$A$1:$P$58,11,FALSE)</f>
        <v>4.75</v>
      </c>
      <c r="AC1234" s="3">
        <f>VLOOKUP($E1234,'Product Naming'!$A$1:$P$58,12,FALSE)</f>
        <v>120.14731999999999</v>
      </c>
      <c r="AD1234" s="1">
        <f>VLOOKUP($E1234,'Product Naming'!$A$1:$P$58,13,FALSE)</f>
        <v>229</v>
      </c>
      <c r="AE1234" s="1" t="str">
        <f>VLOOKUP($E1234,'Product Naming'!$A$1:$P$58,14,FALSE)</f>
        <v>Aromatic + Alcohol</v>
      </c>
      <c r="AF1234" s="1" t="str">
        <f>VLOOKUP($E1234,'Product Naming'!$A$1:$P$58,15,FALSE)</f>
        <v>E4P + L-glutamate</v>
      </c>
      <c r="AG1234" s="30" t="str">
        <f>VLOOKUP($E1234,'Product Naming'!$A$1:$P$58,16,FALSE)</f>
        <v>Proton symporter</v>
      </c>
      <c r="AH1234" s="3" t="str">
        <f>VLOOKUP($E1234,'Product Naming'!$A$1:$Q$58,17,FALSE)</f>
        <v>4hxst_c</v>
      </c>
      <c r="AI1234" s="1">
        <f>VLOOKUP($E1234,'Product Parameters'!$A$2:$D$59,2,FALSE)</f>
        <v>1</v>
      </c>
      <c r="AJ1234" s="1">
        <f>VLOOKUP($E1234,'Product Parameters'!$A$2:$D$59,3,FALSE)</f>
        <v>0</v>
      </c>
      <c r="AK1234" s="1">
        <f>VLOOKUP($E1234,'Product Parameters'!$A$2:$D$59,4,FALSE)</f>
        <v>0.12</v>
      </c>
      <c r="AL1234" s="1">
        <f>VLOOKUP($E1234,'Product Parameters'!$A$2:$E$59,5,FALSE)</f>
        <v>40.65</v>
      </c>
      <c r="AM1234" s="1">
        <f>VLOOKUP($E1234,'Product Parameters'!$A$2:$F$59,6,FALSE)</f>
        <v>8</v>
      </c>
      <c r="AN1234" s="1">
        <f>VLOOKUP($C1234,'Substrate Heating'!$A$2:$C$33,3,FALSE)</f>
        <v>1843.720736</v>
      </c>
      <c r="AO1234" s="1">
        <f>VLOOKUP($C1234,'Substrate Heating'!$A$2:$B$33,2,FALSE)</f>
        <v>30.68</v>
      </c>
      <c r="AP1234" s="1">
        <f>VLOOKUP($C1234,'Substrate Heating'!$A$2:$M$33,13,FALSE)</f>
        <v>6</v>
      </c>
      <c r="AQ1234" s="1">
        <f>VLOOKUP($C1234,'Substrate Heating'!$A$2:$M$33,8,FALSE)</f>
        <v>3</v>
      </c>
      <c r="AR1234" s="1">
        <f t="shared" si="19"/>
        <v>0.84918660287081327</v>
      </c>
    </row>
    <row r="1235" spans="1:44" x14ac:dyDescent="0.2">
      <c r="A1235" s="17" t="s">
        <v>323</v>
      </c>
      <c r="B1235" s="18" t="s">
        <v>324</v>
      </c>
      <c r="C1235" t="s">
        <v>328</v>
      </c>
      <c r="D1235" s="19" t="s">
        <v>326</v>
      </c>
      <c r="E1235" t="s">
        <v>186</v>
      </c>
      <c r="F1235" t="s">
        <v>187</v>
      </c>
      <c r="G1235">
        <v>-10</v>
      </c>
      <c r="H1235">
        <v>0</v>
      </c>
      <c r="I1235">
        <v>-10</v>
      </c>
      <c r="J1235">
        <v>0.45</v>
      </c>
      <c r="K1235">
        <v>-10</v>
      </c>
      <c r="L1235">
        <v>0</v>
      </c>
      <c r="M1235">
        <v>-10</v>
      </c>
      <c r="N1235">
        <v>0</v>
      </c>
      <c r="O1235">
        <v>1.01111111111111</v>
      </c>
      <c r="P1235"/>
      <c r="Q1235">
        <v>0.101111111111111</v>
      </c>
      <c r="R1235">
        <v>0.63668821548821497</v>
      </c>
      <c r="S1235" s="1" t="str">
        <f>VLOOKUP($E1235,'Product Naming'!$A$1:$P$58,2,FALSE)</f>
        <v>Citrate</v>
      </c>
      <c r="T1235" s="1" t="str">
        <f>VLOOKUP($E1235,'Product Naming'!$A$1:$P$58,3,FALSE)</f>
        <v>Citrate</v>
      </c>
      <c r="U1235" s="1" t="str">
        <f>VLOOKUP($E1235,'Product Naming'!$A$1:$P$58,4,FALSE)</f>
        <v>iJO1366</v>
      </c>
      <c r="V1235" s="1" t="str">
        <f>VLOOKUP($E1235,'Product Naming'!$A$1:$P$58,5,FALSE)</f>
        <v>C6H5O7</v>
      </c>
      <c r="W1235" s="1">
        <f>VLOOKUP($E1235,'Product Naming'!$A$1:$P$58,6,FALSE)</f>
        <v>6</v>
      </c>
      <c r="X1235" s="1">
        <f>VLOOKUP($E1235,'Product Naming'!$A$1:$P$58,7,FALSE)</f>
        <v>5</v>
      </c>
      <c r="Y1235" s="1">
        <f>VLOOKUP($E1235,'Product Naming'!$A$1:$P$58,8,FALSE)</f>
        <v>7</v>
      </c>
      <c r="Z1235" s="1">
        <f>VLOOKUP($E1235,'Product Naming'!$A$1:$P$58,9,FALSE)</f>
        <v>0</v>
      </c>
      <c r="AA1235" s="1">
        <f>VLOOKUP($E1235,'Product Naming'!$A$1:$P$58,10,FALSE)</f>
        <v>-3</v>
      </c>
      <c r="AB1235" s="29">
        <f>VLOOKUP($E1235,'Product Naming'!$A$1:$P$58,11,FALSE)</f>
        <v>2.5</v>
      </c>
      <c r="AC1235" s="3">
        <f>VLOOKUP($E1235,'Product Naming'!$A$1:$P$58,12,FALSE)</f>
        <v>189.09640000000002</v>
      </c>
      <c r="AD1235" s="1" t="str">
        <f>VLOOKUP($E1235,'Product Naming'!$A$1:$P$58,13,FALSE)</f>
        <v>NA</v>
      </c>
      <c r="AE1235" s="1" t="str">
        <f>VLOOKUP($E1235,'Product Naming'!$A$1:$P$58,14,FALSE)</f>
        <v>Tricarboxylate + Alcohol</v>
      </c>
      <c r="AF1235" s="1" t="str">
        <f>VLOOKUP($E1235,'Product Naming'!$A$1:$P$58,15,FALSE)</f>
        <v>Acetyl-CoA</v>
      </c>
      <c r="AG1235" s="30" t="str">
        <f>VLOOKUP($E1235,'Product Naming'!$A$1:$P$58,16,FALSE)</f>
        <v>Proton antiport</v>
      </c>
      <c r="AH1235" s="3" t="str">
        <f>VLOOKUP($E1235,'Product Naming'!$A$1:$Q$58,17,FALSE)</f>
        <v>cit_c</v>
      </c>
      <c r="AI1235" s="1">
        <f>VLOOKUP($E1235,'Product Parameters'!$A$2:$D$59,2,FALSE)</f>
        <v>1</v>
      </c>
      <c r="AJ1235" s="1">
        <f>VLOOKUP($E1235,'Product Parameters'!$A$2:$D$59,3,FALSE)</f>
        <v>0</v>
      </c>
      <c r="AK1235" s="1">
        <f>VLOOKUP($E1235,'Product Parameters'!$A$2:$D$59,4,FALSE)</f>
        <v>0.12</v>
      </c>
      <c r="AL1235" s="1">
        <f>VLOOKUP($E1235,'Product Parameters'!$A$2:$E$59,5,FALSE)</f>
        <v>40.65</v>
      </c>
      <c r="AM1235" s="1">
        <f>VLOOKUP($E1235,'Product Parameters'!$A$2:$F$59,6,FALSE)</f>
        <v>6</v>
      </c>
      <c r="AN1235" s="1">
        <f>VLOOKUP($C1235,'Substrate Heating'!$A$2:$C$33,3,FALSE)</f>
        <v>262.39999999999998</v>
      </c>
      <c r="AO1235" s="1">
        <f>VLOOKUP($C1235,'Substrate Heating'!$A$2:$B$33,2,FALSE)</f>
        <v>17.478546483008707</v>
      </c>
      <c r="AP1235" s="1">
        <f>VLOOKUP($C1235,'Substrate Heating'!$A$2:$M$33,13,FALSE)</f>
        <v>1</v>
      </c>
      <c r="AQ1235" s="1">
        <f>VLOOKUP($C1235,'Substrate Heating'!$A$2:$M$33,8,FALSE)</f>
        <v>0.5</v>
      </c>
      <c r="AR1235" s="1">
        <f t="shared" si="19"/>
        <v>1.213333333333332</v>
      </c>
    </row>
    <row r="1236" spans="1:44" x14ac:dyDescent="0.2">
      <c r="A1236" s="8" t="s">
        <v>34</v>
      </c>
      <c r="B1236" s="9" t="s">
        <v>35</v>
      </c>
      <c r="C1236" s="1" t="s">
        <v>346</v>
      </c>
      <c r="D1236" s="23" t="s">
        <v>338</v>
      </c>
      <c r="E1236" s="1" t="s">
        <v>114</v>
      </c>
      <c r="F1236" s="1" t="s">
        <v>115</v>
      </c>
      <c r="G1236" s="1">
        <v>-10</v>
      </c>
      <c r="H1236" s="1">
        <v>-20</v>
      </c>
      <c r="I1236" s="1" t="s">
        <v>40</v>
      </c>
      <c r="J1236" s="1">
        <v>3.15</v>
      </c>
      <c r="K1236" s="1">
        <v>-10</v>
      </c>
      <c r="L1236" s="1">
        <v>-4.51494252873563</v>
      </c>
      <c r="M1236" s="1" t="s">
        <v>40</v>
      </c>
      <c r="N1236" s="1">
        <v>1.2624521072796899</v>
      </c>
      <c r="O1236" s="1">
        <v>1.74750957854406</v>
      </c>
      <c r="Q1236" s="1">
        <v>0.174750957854406</v>
      </c>
      <c r="R1236" s="1">
        <v>0.63890218043092195</v>
      </c>
      <c r="S1236" s="1" t="str">
        <f>VLOOKUP($E1236,'Product Naming'!$A$1:$P$58,2,FALSE)</f>
        <v>5-Aminopentanoate</v>
      </c>
      <c r="T1236" s="1" t="str">
        <f>VLOOKUP($E1236,'Product Naming'!$A$1:$P$58,3,FALSE)</f>
        <v>5-Aminopentanoate</v>
      </c>
      <c r="U1236" s="1" t="str">
        <f>VLOOKUP($E1236,'Product Naming'!$A$1:$P$58,4,FALSE)</f>
        <v>A</v>
      </c>
      <c r="V1236" s="1" t="str">
        <f>VLOOKUP($E1236,'Product Naming'!$A$1:$P$58,5,FALSE)</f>
        <v>C5H11NO2</v>
      </c>
      <c r="W1236" s="1">
        <f>VLOOKUP($E1236,'Product Naming'!$A$1:$P$58,6,FALSE)</f>
        <v>5</v>
      </c>
      <c r="X1236" s="1">
        <f>VLOOKUP($E1236,'Product Naming'!$A$1:$P$58,7,FALSE)</f>
        <v>11</v>
      </c>
      <c r="Y1236" s="1">
        <f>VLOOKUP($E1236,'Product Naming'!$A$1:$P$58,8,FALSE)</f>
        <v>2</v>
      </c>
      <c r="Z1236" s="1">
        <f>VLOOKUP($E1236,'Product Naming'!$A$1:$P$58,9,FALSE)</f>
        <v>1</v>
      </c>
      <c r="AA1236" s="1">
        <f>VLOOKUP($E1236,'Product Naming'!$A$1:$P$58,10,FALSE)</f>
        <v>0</v>
      </c>
      <c r="AB1236" s="29">
        <f>VLOOKUP($E1236,'Product Naming'!$A$1:$P$58,11,FALSE)</f>
        <v>4.8</v>
      </c>
      <c r="AC1236" s="3">
        <f>VLOOKUP($E1236,'Product Naming'!$A$1:$P$58,12,FALSE)</f>
        <v>117.14444</v>
      </c>
      <c r="AD1236" s="1">
        <f>VLOOKUP($E1236,'Product Naming'!$A$1:$P$58,13,FALSE)</f>
        <v>247.5</v>
      </c>
      <c r="AE1236" s="1" t="str">
        <f>VLOOKUP($E1236,'Product Naming'!$A$1:$P$58,14,FALSE)</f>
        <v>D-Amino Acid</v>
      </c>
      <c r="AF1236" s="1" t="str">
        <f>VLOOKUP($E1236,'Product Naming'!$A$1:$P$58,15,FALSE)</f>
        <v>Oxaloacetate</v>
      </c>
      <c r="AG1236" s="30" t="str">
        <f>VLOOKUP($E1236,'Product Naming'!$A$1:$P$58,16,FALSE)</f>
        <v>Proton symporter</v>
      </c>
      <c r="AH1236" s="3" t="str">
        <f>VLOOKUP($E1236,'Product Naming'!$A$1:$Q$58,17,FALSE)</f>
        <v>5aptn_c</v>
      </c>
      <c r="AI1236" s="1">
        <f>VLOOKUP($E1236,'Product Parameters'!$A$2:$D$59,2,FALSE)</f>
        <v>1</v>
      </c>
      <c r="AJ1236" s="1">
        <f>VLOOKUP($E1236,'Product Parameters'!$A$2:$D$59,3,FALSE)</f>
        <v>0</v>
      </c>
      <c r="AK1236" s="1">
        <f>VLOOKUP($E1236,'Product Parameters'!$A$2:$D$59,4,FALSE)</f>
        <v>0.12</v>
      </c>
      <c r="AL1236" s="1">
        <f>VLOOKUP($E1236,'Product Parameters'!$A$2:$E$59,5,FALSE)</f>
        <v>40.65</v>
      </c>
      <c r="AM1236" s="1">
        <f>VLOOKUP($E1236,'Product Parameters'!$A$2:$F$59,6,FALSE)</f>
        <v>5</v>
      </c>
      <c r="AN1236" s="1">
        <f>VLOOKUP($C1236,'Substrate Heating'!$A$2:$C$33,3,FALSE)</f>
        <v>638.57832580000002</v>
      </c>
      <c r="AO1236" s="1">
        <f>VLOOKUP($C1236,'Substrate Heating'!$A$2:$B$33,2,FALSE)</f>
        <v>19.93</v>
      </c>
      <c r="AP1236" s="1">
        <f>VLOOKUP($C1236,'Substrate Heating'!$A$2:$M$33,13,FALSE)</f>
        <v>6</v>
      </c>
      <c r="AQ1236" s="1">
        <f>VLOOKUP($C1236,'Substrate Heating'!$A$2:$M$33,8,FALSE)</f>
        <v>1</v>
      </c>
      <c r="AR1236" s="1">
        <f t="shared" si="19"/>
        <v>0.87375478927202999</v>
      </c>
    </row>
    <row r="1237" spans="1:44" x14ac:dyDescent="0.2">
      <c r="A1237" s="8" t="s">
        <v>34</v>
      </c>
      <c r="B1237" s="9" t="s">
        <v>35</v>
      </c>
      <c r="C1237" s="1" t="s">
        <v>347</v>
      </c>
      <c r="D1237" s="23" t="s">
        <v>338</v>
      </c>
      <c r="E1237" s="1" t="s">
        <v>114</v>
      </c>
      <c r="F1237" s="1" t="s">
        <v>115</v>
      </c>
      <c r="G1237" s="1">
        <v>-10</v>
      </c>
      <c r="H1237" s="1">
        <v>-20</v>
      </c>
      <c r="I1237" s="1" t="s">
        <v>40</v>
      </c>
      <c r="J1237" s="1">
        <v>3.15</v>
      </c>
      <c r="K1237" s="1">
        <v>-10</v>
      </c>
      <c r="L1237" s="1">
        <v>-4.51494252873563</v>
      </c>
      <c r="M1237" s="1" t="s">
        <v>40</v>
      </c>
      <c r="N1237" s="1">
        <v>1.2624521072796999</v>
      </c>
      <c r="O1237" s="1">
        <v>1.74750957854406</v>
      </c>
      <c r="Q1237" s="1">
        <v>0.174750957854406</v>
      </c>
      <c r="R1237" s="1">
        <v>0.63890218043092295</v>
      </c>
      <c r="S1237" s="1" t="str">
        <f>VLOOKUP($E1237,'Product Naming'!$A$1:$P$58,2,FALSE)</f>
        <v>5-Aminopentanoate</v>
      </c>
      <c r="T1237" s="1" t="str">
        <f>VLOOKUP($E1237,'Product Naming'!$A$1:$P$58,3,FALSE)</f>
        <v>5-Aminopentanoate</v>
      </c>
      <c r="U1237" s="1" t="str">
        <f>VLOOKUP($E1237,'Product Naming'!$A$1:$P$58,4,FALSE)</f>
        <v>A</v>
      </c>
      <c r="V1237" s="1" t="str">
        <f>VLOOKUP($E1237,'Product Naming'!$A$1:$P$58,5,FALSE)</f>
        <v>C5H11NO2</v>
      </c>
      <c r="W1237" s="1">
        <f>VLOOKUP($E1237,'Product Naming'!$A$1:$P$58,6,FALSE)</f>
        <v>5</v>
      </c>
      <c r="X1237" s="1">
        <f>VLOOKUP($E1237,'Product Naming'!$A$1:$P$58,7,FALSE)</f>
        <v>11</v>
      </c>
      <c r="Y1237" s="1">
        <f>VLOOKUP($E1237,'Product Naming'!$A$1:$P$58,8,FALSE)</f>
        <v>2</v>
      </c>
      <c r="Z1237" s="1">
        <f>VLOOKUP($E1237,'Product Naming'!$A$1:$P$58,9,FALSE)</f>
        <v>1</v>
      </c>
      <c r="AA1237" s="1">
        <f>VLOOKUP($E1237,'Product Naming'!$A$1:$P$58,10,FALSE)</f>
        <v>0</v>
      </c>
      <c r="AB1237" s="29">
        <f>VLOOKUP($E1237,'Product Naming'!$A$1:$P$58,11,FALSE)</f>
        <v>4.8</v>
      </c>
      <c r="AC1237" s="3">
        <f>VLOOKUP($E1237,'Product Naming'!$A$1:$P$58,12,FALSE)</f>
        <v>117.14444</v>
      </c>
      <c r="AD1237" s="1">
        <f>VLOOKUP($E1237,'Product Naming'!$A$1:$P$58,13,FALSE)</f>
        <v>247.5</v>
      </c>
      <c r="AE1237" s="1" t="str">
        <f>VLOOKUP($E1237,'Product Naming'!$A$1:$P$58,14,FALSE)</f>
        <v>D-Amino Acid</v>
      </c>
      <c r="AF1237" s="1" t="str">
        <f>VLOOKUP($E1237,'Product Naming'!$A$1:$P$58,15,FALSE)</f>
        <v>Oxaloacetate</v>
      </c>
      <c r="AG1237" s="30" t="str">
        <f>VLOOKUP($E1237,'Product Naming'!$A$1:$P$58,16,FALSE)</f>
        <v>Proton symporter</v>
      </c>
      <c r="AH1237" s="3" t="str">
        <f>VLOOKUP($E1237,'Product Naming'!$A$1:$Q$58,17,FALSE)</f>
        <v>5aptn_c</v>
      </c>
      <c r="AI1237" s="1">
        <f>VLOOKUP($E1237,'Product Parameters'!$A$2:$D$59,2,FALSE)</f>
        <v>1</v>
      </c>
      <c r="AJ1237" s="1">
        <f>VLOOKUP($E1237,'Product Parameters'!$A$2:$D$59,3,FALSE)</f>
        <v>0</v>
      </c>
      <c r="AK1237" s="1">
        <f>VLOOKUP($E1237,'Product Parameters'!$A$2:$D$59,4,FALSE)</f>
        <v>0.12</v>
      </c>
      <c r="AL1237" s="1">
        <f>VLOOKUP($E1237,'Product Parameters'!$A$2:$E$59,5,FALSE)</f>
        <v>40.65</v>
      </c>
      <c r="AM1237" s="1">
        <f>VLOOKUP($E1237,'Product Parameters'!$A$2:$F$59,6,FALSE)</f>
        <v>5</v>
      </c>
      <c r="AN1237" s="1">
        <f>VLOOKUP($C1237,'Substrate Heating'!$A$2:$C$33,3,FALSE)</f>
        <v>638.57832580000002</v>
      </c>
      <c r="AO1237" s="1">
        <f>VLOOKUP($C1237,'Substrate Heating'!$A$2:$B$33,2,FALSE)</f>
        <v>19.93</v>
      </c>
      <c r="AP1237" s="1">
        <f>VLOOKUP($C1237,'Substrate Heating'!$A$2:$M$33,13,FALSE)</f>
        <v>6</v>
      </c>
      <c r="AQ1237" s="1">
        <f>VLOOKUP($C1237,'Substrate Heating'!$A$2:$M$33,8,FALSE)</f>
        <v>1</v>
      </c>
      <c r="AR1237" s="1">
        <f t="shared" si="19"/>
        <v>0.87375478927202999</v>
      </c>
    </row>
    <row r="1238" spans="1:44" x14ac:dyDescent="0.2">
      <c r="A1238" s="8" t="s">
        <v>34</v>
      </c>
      <c r="B1238" s="9" t="s">
        <v>35</v>
      </c>
      <c r="C1238" s="1" t="s">
        <v>331</v>
      </c>
      <c r="D1238" s="10" t="s">
        <v>37</v>
      </c>
      <c r="E1238" s="1" t="s">
        <v>209</v>
      </c>
      <c r="F1238" s="1" t="s">
        <v>210</v>
      </c>
      <c r="G1238" s="1">
        <v>-10</v>
      </c>
      <c r="H1238" s="1">
        <v>-20</v>
      </c>
      <c r="I1238" s="1" t="s">
        <v>40</v>
      </c>
      <c r="J1238" s="1">
        <v>3.15</v>
      </c>
      <c r="K1238" s="1">
        <v>-10</v>
      </c>
      <c r="L1238" s="1">
        <v>-4.2464285714285701</v>
      </c>
      <c r="M1238" s="1" t="s">
        <v>40</v>
      </c>
      <c r="N1238" s="1">
        <v>1.55238095238094</v>
      </c>
      <c r="O1238" s="1">
        <v>4.6119047619047597</v>
      </c>
      <c r="Q1238" s="1">
        <v>0.46119047619047598</v>
      </c>
      <c r="R1238" s="1">
        <v>0.63968414349486202</v>
      </c>
      <c r="S1238" s="1" t="str">
        <f>VLOOKUP($E1238,'Product Naming'!$A$1:$P$58,2,FALSE)</f>
        <v>GammaButyrolactone</v>
      </c>
      <c r="T1238" s="1" t="str">
        <f>VLOOKUP($E1238,'Product Naming'!$A$1:$P$58,3,FALSE)</f>
        <v>Gamma butyrolactone</v>
      </c>
      <c r="U1238" s="1" t="str">
        <f>VLOOKUP($E1238,'Product Naming'!$A$1:$P$58,4,FALSE)</f>
        <v>A</v>
      </c>
      <c r="V1238" s="1" t="str">
        <f>VLOOKUP($E1238,'Product Naming'!$A$1:$P$58,5,FALSE)</f>
        <v>C4H6O2</v>
      </c>
      <c r="W1238" s="1">
        <f>VLOOKUP($E1238,'Product Naming'!$A$1:$P$58,6,FALSE)</f>
        <v>4</v>
      </c>
      <c r="X1238" s="1">
        <f>VLOOKUP($E1238,'Product Naming'!$A$1:$P$58,7,FALSE)</f>
        <v>6</v>
      </c>
      <c r="Y1238" s="1">
        <f>VLOOKUP($E1238,'Product Naming'!$A$1:$P$58,8,FALSE)</f>
        <v>2</v>
      </c>
      <c r="Z1238" s="1">
        <f>VLOOKUP($E1238,'Product Naming'!$A$1:$P$58,9,FALSE)</f>
        <v>0</v>
      </c>
      <c r="AA1238" s="1">
        <f>VLOOKUP($E1238,'Product Naming'!$A$1:$P$58,10,FALSE)</f>
        <v>0</v>
      </c>
      <c r="AB1238" s="29">
        <f>VLOOKUP($E1238,'Product Naming'!$A$1:$P$58,11,FALSE)</f>
        <v>4.5</v>
      </c>
      <c r="AC1238" s="3">
        <f>VLOOKUP($E1238,'Product Naming'!$A$1:$P$58,12,FALSE)</f>
        <v>86.08784</v>
      </c>
      <c r="AD1238" s="1">
        <f>VLOOKUP($E1238,'Product Naming'!$A$1:$P$58,13,FALSE)</f>
        <v>204</v>
      </c>
      <c r="AE1238" s="1" t="str">
        <f>VLOOKUP($E1238,'Product Naming'!$A$1:$P$58,14,FALSE)</f>
        <v>Lactone (cyclic ester)</v>
      </c>
      <c r="AF1238" s="1" t="str">
        <f>VLOOKUP($E1238,'Product Naming'!$A$1:$P$58,15,FALSE)</f>
        <v>aKG</v>
      </c>
      <c r="AG1238" s="30" t="str">
        <f>VLOOKUP($E1238,'Product Naming'!$A$1:$P$58,16,FALSE)</f>
        <v>Proton symporter</v>
      </c>
      <c r="AH1238" s="3" t="str">
        <f>VLOOKUP($E1238,'Product Naming'!$A$1:$Q$58,17,FALSE)</f>
        <v>gblt_c</v>
      </c>
      <c r="AI1238" s="1">
        <f>VLOOKUP($E1238,'Product Parameters'!$A$2:$D$59,2,FALSE)</f>
        <v>1</v>
      </c>
      <c r="AJ1238" s="1">
        <f>VLOOKUP($E1238,'Product Parameters'!$A$2:$D$59,3,FALSE)</f>
        <v>0</v>
      </c>
      <c r="AK1238" s="1">
        <f>VLOOKUP($E1238,'Product Parameters'!$A$2:$D$59,4,FALSE)</f>
        <v>0.12</v>
      </c>
      <c r="AL1238" s="1">
        <f>VLOOKUP($E1238,'Product Parameters'!$A$2:$E$59,5,FALSE)</f>
        <v>0</v>
      </c>
      <c r="AM1238" s="1">
        <f>VLOOKUP($E1238,'Product Parameters'!$A$2:$F$59,6,FALSE)</f>
        <v>4</v>
      </c>
      <c r="AN1238" s="1">
        <f>VLOOKUP($C1238,'Substrate Heating'!$A$2:$C$33,3,FALSE)</f>
        <v>1055.1294800000001</v>
      </c>
      <c r="AO1238" s="1">
        <f>VLOOKUP($C1238,'Substrate Heating'!$A$2:$B$33,2,FALSE)</f>
        <v>17</v>
      </c>
      <c r="AP1238" s="1">
        <f>VLOOKUP($C1238,'Substrate Heating'!$A$2:$M$33,13,FALSE)</f>
        <v>5</v>
      </c>
      <c r="AQ1238" s="1">
        <f>VLOOKUP($C1238,'Substrate Heating'!$A$2:$M$33,8,FALSE)</f>
        <v>2</v>
      </c>
      <c r="AR1238" s="1">
        <f t="shared" si="19"/>
        <v>0.92238095238095197</v>
      </c>
    </row>
    <row r="1239" spans="1:44" x14ac:dyDescent="0.2">
      <c r="A1239" s="17" t="s">
        <v>185</v>
      </c>
      <c r="B1239" s="9" t="s">
        <v>35</v>
      </c>
      <c r="C1239" t="s">
        <v>341</v>
      </c>
      <c r="D1239" s="24" t="s">
        <v>342</v>
      </c>
      <c r="E1239" t="s">
        <v>264</v>
      </c>
      <c r="F1239" t="s">
        <v>265</v>
      </c>
      <c r="G1239">
        <v>-10</v>
      </c>
      <c r="H1239">
        <v>-20</v>
      </c>
      <c r="I1239" s="1" t="s">
        <v>40</v>
      </c>
      <c r="J1239">
        <v>3.15</v>
      </c>
      <c r="K1239">
        <v>-10</v>
      </c>
      <c r="L1239">
        <v>-5.1718518518518399</v>
      </c>
      <c r="M1239" s="1" t="s">
        <v>40</v>
      </c>
      <c r="N1239">
        <v>13.004444444444401</v>
      </c>
      <c r="O1239">
        <v>7.8325925925925901</v>
      </c>
      <c r="P1239"/>
      <c r="Q1239">
        <v>0.78325925925925899</v>
      </c>
      <c r="R1239">
        <v>0.63996101964404795</v>
      </c>
      <c r="S1239" s="1" t="str">
        <f>VLOOKUP($E1239,'Product Naming'!$A$1:$P$58,2,FALSE)</f>
        <v>Lysine_L</v>
      </c>
      <c r="T1239" s="1" t="str">
        <f>VLOOKUP($E1239,'Product Naming'!$A$1:$P$58,3,FALSE)</f>
        <v>L-Lysine</v>
      </c>
      <c r="U1239" s="1" t="str">
        <f>VLOOKUP($E1239,'Product Naming'!$A$1:$P$58,4,FALSE)</f>
        <v>iJO1366</v>
      </c>
      <c r="V1239" s="1" t="str">
        <f>VLOOKUP($E1239,'Product Naming'!$A$1:$P$58,5,FALSE)</f>
        <v>C6H15N2O2</v>
      </c>
      <c r="W1239" s="1">
        <f>VLOOKUP($E1239,'Product Naming'!$A$1:$P$58,6,FALSE)</f>
        <v>6</v>
      </c>
      <c r="X1239" s="1">
        <f>VLOOKUP($E1239,'Product Naming'!$A$1:$P$58,7,FALSE)</f>
        <v>15</v>
      </c>
      <c r="Y1239" s="1">
        <f>VLOOKUP($E1239,'Product Naming'!$A$1:$P$58,8,FALSE)</f>
        <v>2</v>
      </c>
      <c r="Z1239" s="1">
        <f>VLOOKUP($E1239,'Product Naming'!$A$1:$P$58,9,FALSE)</f>
        <v>2</v>
      </c>
      <c r="AA1239" s="1">
        <f>VLOOKUP($E1239,'Product Naming'!$A$1:$P$58,10,FALSE)</f>
        <v>1</v>
      </c>
      <c r="AB1239" s="29">
        <f>VLOOKUP($E1239,'Product Naming'!$A$1:$P$58,11,FALSE)</f>
        <v>4.833333333333333</v>
      </c>
      <c r="AC1239" s="3">
        <f>VLOOKUP($E1239,'Product Naming'!$A$1:$P$58,12,FALSE)</f>
        <v>147.19319999999999</v>
      </c>
      <c r="AD1239" s="1" t="str">
        <f>VLOOKUP($E1239,'Product Naming'!$A$1:$P$58,13,FALSE)</f>
        <v>NA</v>
      </c>
      <c r="AE1239" s="1" t="str">
        <f>VLOOKUP($E1239,'Product Naming'!$A$1:$P$58,14,FALSE)</f>
        <v>Amino acid</v>
      </c>
      <c r="AF1239" s="1" t="str">
        <f>VLOOKUP($E1239,'Product Naming'!$A$1:$P$58,15,FALSE)</f>
        <v>Oxaloacetate</v>
      </c>
      <c r="AG1239" s="30" t="str">
        <f>VLOOKUP($E1239,'Product Naming'!$A$1:$P$58,16,FALSE)</f>
        <v>Proton antiport</v>
      </c>
      <c r="AH1239" s="3" t="str">
        <f>VLOOKUP($E1239,'Product Naming'!$A$1:$Q$58,17,FALSE)</f>
        <v>lys__L_</v>
      </c>
      <c r="AI1239" s="1">
        <f>VLOOKUP($E1239,'Product Parameters'!$A$2:$D$59,2,FALSE)</f>
        <v>1</v>
      </c>
      <c r="AJ1239" s="1">
        <f>VLOOKUP($E1239,'Product Parameters'!$A$2:$D$59,3,FALSE)</f>
        <v>0</v>
      </c>
      <c r="AK1239" s="1">
        <f>VLOOKUP($E1239,'Product Parameters'!$A$2:$D$59,4,FALSE)</f>
        <v>0.12</v>
      </c>
      <c r="AL1239" s="1">
        <f>VLOOKUP($E1239,'Product Parameters'!$A$2:$E$59,5,FALSE)</f>
        <v>40.65</v>
      </c>
      <c r="AM1239" s="1">
        <f>VLOOKUP($E1239,'Product Parameters'!$A$2:$F$59,6,FALSE)</f>
        <v>6</v>
      </c>
      <c r="AN1239" s="1">
        <f>VLOOKUP($C1239,'Substrate Heating'!$A$2:$C$33,3,FALSE)</f>
        <v>2828.4492</v>
      </c>
      <c r="AO1239" s="1">
        <f>VLOOKUP($C1239,'Substrate Heating'!$A$2:$B$33,2,FALSE)</f>
        <v>15.7</v>
      </c>
      <c r="AP1239" s="1">
        <f>VLOOKUP($C1239,'Substrate Heating'!$A$2:$M$33,13,FALSE)</f>
        <v>4</v>
      </c>
      <c r="AQ1239" s="1">
        <f>VLOOKUP($C1239,'Substrate Heating'!$A$2:$M$33,8,FALSE)</f>
        <v>6</v>
      </c>
      <c r="AR1239" s="1">
        <f t="shared" si="19"/>
        <v>0.78325925925925899</v>
      </c>
    </row>
    <row r="1240" spans="1:44" x14ac:dyDescent="0.2">
      <c r="A1240" s="8" t="s">
        <v>34</v>
      </c>
      <c r="B1240" s="9" t="s">
        <v>35</v>
      </c>
      <c r="C1240" s="1" t="s">
        <v>341</v>
      </c>
      <c r="D1240" s="24" t="s">
        <v>342</v>
      </c>
      <c r="E1240" s="1" t="s">
        <v>221</v>
      </c>
      <c r="F1240" s="1" t="s">
        <v>222</v>
      </c>
      <c r="G1240" s="1">
        <v>-10</v>
      </c>
      <c r="H1240" s="1">
        <v>-20</v>
      </c>
      <c r="I1240" s="1" t="s">
        <v>40</v>
      </c>
      <c r="J1240" s="1">
        <v>3.15</v>
      </c>
      <c r="K1240" s="1">
        <v>-10</v>
      </c>
      <c r="L1240" s="1">
        <v>-15.5714285714286</v>
      </c>
      <c r="M1240" s="1" t="s">
        <v>40</v>
      </c>
      <c r="N1240" s="1">
        <v>15.5714285714286</v>
      </c>
      <c r="O1240" s="1">
        <v>8.8857142857142701</v>
      </c>
      <c r="Q1240" s="1">
        <v>0.88857142857142701</v>
      </c>
      <c r="R1240" s="1">
        <v>0.64167974116119897</v>
      </c>
      <c r="S1240" s="1" t="str">
        <f>VLOOKUP($E1240,'Product Naming'!$A$1:$P$58,2,FALSE)</f>
        <v>Glutarate</v>
      </c>
      <c r="T1240" s="1" t="str">
        <f>VLOOKUP($E1240,'Product Naming'!$A$1:$P$58,3,FALSE)</f>
        <v>Glutarate</v>
      </c>
      <c r="U1240" s="1" t="str">
        <f>VLOOKUP($E1240,'Product Naming'!$A$1:$P$58,4,FALSE)</f>
        <v>A</v>
      </c>
      <c r="V1240" s="1" t="str">
        <f>VLOOKUP($E1240,'Product Naming'!$A$1:$P$58,5,FALSE)</f>
        <v>C5H6O4</v>
      </c>
      <c r="W1240" s="1">
        <f>VLOOKUP($E1240,'Product Naming'!$A$1:$P$58,6,FALSE)</f>
        <v>5</v>
      </c>
      <c r="X1240" s="1">
        <f>VLOOKUP($E1240,'Product Naming'!$A$1:$P$58,7,FALSE)</f>
        <v>6</v>
      </c>
      <c r="Y1240" s="1">
        <f>VLOOKUP($E1240,'Product Naming'!$A$1:$P$58,8,FALSE)</f>
        <v>4</v>
      </c>
      <c r="Z1240" s="1">
        <f>VLOOKUP($E1240,'Product Naming'!$A$1:$P$58,9,FALSE)</f>
        <v>0</v>
      </c>
      <c r="AA1240" s="1">
        <f>VLOOKUP($E1240,'Product Naming'!$A$1:$P$58,10,FALSE)</f>
        <v>-2</v>
      </c>
      <c r="AB1240" s="29">
        <f>VLOOKUP($E1240,'Product Naming'!$A$1:$P$58,11,FALSE)</f>
        <v>3.6</v>
      </c>
      <c r="AC1240" s="3">
        <f>VLOOKUP($E1240,'Product Naming'!$A$1:$P$58,12,FALSE)</f>
        <v>130.09654</v>
      </c>
      <c r="AD1240" s="1">
        <f>VLOOKUP($E1240,'Product Naming'!$A$1:$P$58,13,FALSE)</f>
        <v>200</v>
      </c>
      <c r="AE1240" s="1" t="str">
        <f>VLOOKUP($E1240,'Product Naming'!$A$1:$P$58,14,FALSE)</f>
        <v>Dicarboxylate</v>
      </c>
      <c r="AF1240" s="1" t="str">
        <f>VLOOKUP($E1240,'Product Naming'!$A$1:$P$58,15,FALSE)</f>
        <v>Oxaloacetate + aKG</v>
      </c>
      <c r="AG1240" s="30" t="str">
        <f>VLOOKUP($E1240,'Product Naming'!$A$1:$P$58,16,FALSE)</f>
        <v>Proton symporter</v>
      </c>
      <c r="AH1240" s="3" t="str">
        <f>VLOOKUP($E1240,'Product Naming'!$A$1:$Q$58,17,FALSE)</f>
        <v>glutar_c</v>
      </c>
      <c r="AI1240" s="1">
        <f>VLOOKUP($E1240,'Product Parameters'!$A$2:$D$59,2,FALSE)</f>
        <v>1</v>
      </c>
      <c r="AJ1240" s="1">
        <f>VLOOKUP($E1240,'Product Parameters'!$A$2:$D$59,3,FALSE)</f>
        <v>0</v>
      </c>
      <c r="AK1240" s="1">
        <f>VLOOKUP($E1240,'Product Parameters'!$A$2:$D$59,4,FALSE)</f>
        <v>0.12</v>
      </c>
      <c r="AL1240" s="1">
        <f>VLOOKUP($E1240,'Product Parameters'!$A$2:$E$59,5,FALSE)</f>
        <v>40.65</v>
      </c>
      <c r="AM1240" s="1">
        <f>VLOOKUP($E1240,'Product Parameters'!$A$2:$F$59,6,FALSE)</f>
        <v>5</v>
      </c>
      <c r="AN1240" s="1">
        <f>VLOOKUP($C1240,'Substrate Heating'!$A$2:$C$33,3,FALSE)</f>
        <v>2828.4492</v>
      </c>
      <c r="AO1240" s="1">
        <f>VLOOKUP($C1240,'Substrate Heating'!$A$2:$B$33,2,FALSE)</f>
        <v>15.7</v>
      </c>
      <c r="AP1240" s="1">
        <f>VLOOKUP($C1240,'Substrate Heating'!$A$2:$M$33,13,FALSE)</f>
        <v>4</v>
      </c>
      <c r="AQ1240" s="1">
        <f>VLOOKUP($C1240,'Substrate Heating'!$A$2:$M$33,8,FALSE)</f>
        <v>6</v>
      </c>
      <c r="AR1240" s="1">
        <f t="shared" si="19"/>
        <v>0.74047619047618918</v>
      </c>
    </row>
    <row r="1241" spans="1:44" x14ac:dyDescent="0.2">
      <c r="A1241" s="8" t="s">
        <v>34</v>
      </c>
      <c r="B1241" s="9" t="s">
        <v>35</v>
      </c>
      <c r="C1241" s="1" t="s">
        <v>331</v>
      </c>
      <c r="D1241" s="10" t="s">
        <v>37</v>
      </c>
      <c r="E1241" s="1" t="s">
        <v>244</v>
      </c>
      <c r="F1241" s="1" t="s">
        <v>245</v>
      </c>
      <c r="G1241" s="1">
        <v>-10</v>
      </c>
      <c r="H1241" s="1">
        <v>-20</v>
      </c>
      <c r="I1241" s="1" t="s">
        <v>40</v>
      </c>
      <c r="J1241" s="1">
        <v>3.15</v>
      </c>
      <c r="K1241" s="1">
        <v>-10</v>
      </c>
      <c r="L1241" s="1">
        <v>-2.0375000000000001</v>
      </c>
      <c r="M1241" s="1" t="s">
        <v>40</v>
      </c>
      <c r="N1241" s="1">
        <v>1.63</v>
      </c>
      <c r="O1241" s="1">
        <v>4.5925000000000002</v>
      </c>
      <c r="Q1241" s="1">
        <v>0.45924999999999999</v>
      </c>
      <c r="R1241" s="1">
        <v>0.64444999291081795</v>
      </c>
      <c r="S1241" s="1" t="str">
        <f>VLOOKUP($E1241,'Product Naming'!$A$1:$P$58,2,FALSE)</f>
        <v>Isobutyrate</v>
      </c>
      <c r="T1241" s="1" t="str">
        <f>VLOOKUP($E1241,'Product Naming'!$A$1:$P$58,3,FALSE)</f>
        <v>Isobutyrate</v>
      </c>
      <c r="U1241" s="1" t="str">
        <f>VLOOKUP($E1241,'Product Naming'!$A$1:$P$58,4,FALSE)</f>
        <v>A</v>
      </c>
      <c r="V1241" s="1" t="str">
        <f>VLOOKUP($E1241,'Product Naming'!$A$1:$P$58,5,FALSE)</f>
        <v>C4H7O2</v>
      </c>
      <c r="W1241" s="1">
        <f>VLOOKUP($E1241,'Product Naming'!$A$1:$P$58,6,FALSE)</f>
        <v>4</v>
      </c>
      <c r="X1241" s="1">
        <f>VLOOKUP($E1241,'Product Naming'!$A$1:$P$58,7,FALSE)</f>
        <v>7</v>
      </c>
      <c r="Y1241" s="1">
        <f>VLOOKUP($E1241,'Product Naming'!$A$1:$P$58,8,FALSE)</f>
        <v>2</v>
      </c>
      <c r="Z1241" s="1">
        <f>VLOOKUP($E1241,'Product Naming'!$A$1:$P$58,9,FALSE)</f>
        <v>0</v>
      </c>
      <c r="AA1241" s="1">
        <f>VLOOKUP($E1241,'Product Naming'!$A$1:$P$58,10,FALSE)</f>
        <v>-1</v>
      </c>
      <c r="AB1241" s="29">
        <f>VLOOKUP($E1241,'Product Naming'!$A$1:$P$58,11,FALSE)</f>
        <v>4.75</v>
      </c>
      <c r="AC1241" s="3">
        <f>VLOOKUP($E1241,'Product Naming'!$A$1:$P$58,12,FALSE)</f>
        <v>87.095680000000002</v>
      </c>
      <c r="AD1241" s="1">
        <f>VLOOKUP($E1241,'Product Naming'!$A$1:$P$58,13,FALSE)</f>
        <v>155</v>
      </c>
      <c r="AE1241" s="1" t="str">
        <f>VLOOKUP($E1241,'Product Naming'!$A$1:$P$58,14,FALSE)</f>
        <v>Carboxylate</v>
      </c>
      <c r="AF1241" s="1" t="str">
        <f>VLOOKUP($E1241,'Product Naming'!$A$1:$P$58,15,FALSE)</f>
        <v>Pyruvate</v>
      </c>
      <c r="AG1241" s="30" t="str">
        <f>VLOOKUP($E1241,'Product Naming'!$A$1:$P$58,16,FALSE)</f>
        <v>Proton symporter</v>
      </c>
      <c r="AH1241" s="3" t="str">
        <f>VLOOKUP($E1241,'Product Naming'!$A$1:$Q$58,17,FALSE)</f>
        <v>ibt_c</v>
      </c>
      <c r="AI1241" s="1">
        <f>VLOOKUP($E1241,'Product Parameters'!$A$2:$D$59,2,FALSE)</f>
        <v>1</v>
      </c>
      <c r="AJ1241" s="1">
        <f>VLOOKUP($E1241,'Product Parameters'!$A$2:$D$59,3,FALSE)</f>
        <v>0</v>
      </c>
      <c r="AK1241" s="1">
        <f>VLOOKUP($E1241,'Product Parameters'!$A$2:$D$59,4,FALSE)</f>
        <v>0.12</v>
      </c>
      <c r="AL1241" s="1">
        <f>VLOOKUP($E1241,'Product Parameters'!$A$2:$E$59,5,FALSE)</f>
        <v>44.5</v>
      </c>
      <c r="AM1241" s="1">
        <f>VLOOKUP($E1241,'Product Parameters'!$A$2:$F$59,6,FALSE)</f>
        <v>4</v>
      </c>
      <c r="AN1241" s="1">
        <f>VLOOKUP($C1241,'Substrate Heating'!$A$2:$C$33,3,FALSE)</f>
        <v>1055.1294800000001</v>
      </c>
      <c r="AO1241" s="1">
        <f>VLOOKUP($C1241,'Substrate Heating'!$A$2:$B$33,2,FALSE)</f>
        <v>17</v>
      </c>
      <c r="AP1241" s="1">
        <f>VLOOKUP($C1241,'Substrate Heating'!$A$2:$M$33,13,FALSE)</f>
        <v>5</v>
      </c>
      <c r="AQ1241" s="1">
        <f>VLOOKUP($C1241,'Substrate Heating'!$A$2:$M$33,8,FALSE)</f>
        <v>2</v>
      </c>
      <c r="AR1241" s="1">
        <f t="shared" si="19"/>
        <v>0.91849999999999998</v>
      </c>
    </row>
    <row r="1242" spans="1:44" x14ac:dyDescent="0.2">
      <c r="A1242" s="8" t="s">
        <v>34</v>
      </c>
      <c r="B1242" s="9" t="s">
        <v>35</v>
      </c>
      <c r="C1242" s="1" t="s">
        <v>343</v>
      </c>
      <c r="D1242" s="24" t="s">
        <v>342</v>
      </c>
      <c r="E1242" s="1" t="s">
        <v>171</v>
      </c>
      <c r="F1242" s="1" t="s">
        <v>172</v>
      </c>
      <c r="G1242" s="1">
        <v>-10</v>
      </c>
      <c r="H1242" s="1">
        <v>-20</v>
      </c>
      <c r="I1242" s="1" t="s">
        <v>40</v>
      </c>
      <c r="J1242" s="1">
        <v>3.15</v>
      </c>
      <c r="K1242" s="1">
        <v>-10</v>
      </c>
      <c r="L1242" s="1">
        <v>-0.90350877192983103</v>
      </c>
      <c r="M1242" s="1" t="s">
        <v>40</v>
      </c>
      <c r="N1242" s="1">
        <v>2.7228070175438699</v>
      </c>
      <c r="O1242" s="1">
        <v>6.8192982456140303</v>
      </c>
      <c r="Q1242" s="1">
        <v>0.68192982456140305</v>
      </c>
      <c r="R1242" s="1">
        <v>0.64491994992124502</v>
      </c>
      <c r="S1242" s="1" t="str">
        <f>VLOOKUP($E1242,'Product Naming'!$A$1:$P$58,2,FALSE)</f>
        <v>Butyrate</v>
      </c>
      <c r="T1242" s="1" t="str">
        <f>VLOOKUP($E1242,'Product Naming'!$A$1:$P$58,3,FALSE)</f>
        <v>Butyrate</v>
      </c>
      <c r="U1242" s="1" t="str">
        <f>VLOOKUP($E1242,'Product Naming'!$A$1:$P$58,4,FALSE)</f>
        <v>A</v>
      </c>
      <c r="V1242" s="1" t="str">
        <f>VLOOKUP($E1242,'Product Naming'!$A$1:$P$58,5,FALSE)</f>
        <v>C4H7O2</v>
      </c>
      <c r="W1242" s="1">
        <f>VLOOKUP($E1242,'Product Naming'!$A$1:$P$58,6,FALSE)</f>
        <v>4</v>
      </c>
      <c r="X1242" s="1">
        <f>VLOOKUP($E1242,'Product Naming'!$A$1:$P$58,7,FALSE)</f>
        <v>7</v>
      </c>
      <c r="Y1242" s="1">
        <f>VLOOKUP($E1242,'Product Naming'!$A$1:$P$58,8,FALSE)</f>
        <v>2</v>
      </c>
      <c r="Z1242" s="1">
        <f>VLOOKUP($E1242,'Product Naming'!$A$1:$P$58,9,FALSE)</f>
        <v>0</v>
      </c>
      <c r="AA1242" s="1">
        <f>VLOOKUP($E1242,'Product Naming'!$A$1:$P$58,10,FALSE)</f>
        <v>-1</v>
      </c>
      <c r="AB1242" s="29">
        <f>VLOOKUP($E1242,'Product Naming'!$A$1:$P$58,11,FALSE)</f>
        <v>4.75</v>
      </c>
      <c r="AC1242" s="3">
        <f>VLOOKUP($E1242,'Product Naming'!$A$1:$P$58,12,FALSE)</f>
        <v>87.095680000000002</v>
      </c>
      <c r="AD1242" s="1">
        <f>VLOOKUP($E1242,'Product Naming'!$A$1:$P$58,13,FALSE)</f>
        <v>163.5</v>
      </c>
      <c r="AE1242" s="1" t="str">
        <f>VLOOKUP($E1242,'Product Naming'!$A$1:$P$58,14,FALSE)</f>
        <v>Carboxylate</v>
      </c>
      <c r="AF1242" s="1" t="str">
        <f>VLOOKUP($E1242,'Product Naming'!$A$1:$P$58,15,FALSE)</f>
        <v>Acetyl-CoA</v>
      </c>
      <c r="AG1242" s="30" t="str">
        <f>VLOOKUP($E1242,'Product Naming'!$A$1:$P$58,16,FALSE)</f>
        <v>Proton symporter</v>
      </c>
      <c r="AH1242" s="3" t="str">
        <f>VLOOKUP($E1242,'Product Naming'!$A$1:$Q$58,17,FALSE)</f>
        <v>but_c</v>
      </c>
      <c r="AI1242" s="1">
        <f>VLOOKUP($E1242,'Product Parameters'!$A$2:$D$59,2,FALSE)</f>
        <v>1</v>
      </c>
      <c r="AJ1242" s="1">
        <f>VLOOKUP($E1242,'Product Parameters'!$A$2:$D$59,3,FALSE)</f>
        <v>0</v>
      </c>
      <c r="AK1242" s="1">
        <f>VLOOKUP($E1242,'Product Parameters'!$A$2:$D$59,4,FALSE)</f>
        <v>0.12</v>
      </c>
      <c r="AL1242" s="1">
        <f>VLOOKUP($E1242,'Product Parameters'!$A$2:$E$59,5,FALSE)</f>
        <v>42</v>
      </c>
      <c r="AM1242" s="1">
        <f>VLOOKUP($E1242,'Product Parameters'!$A$2:$F$59,6,FALSE)</f>
        <v>4</v>
      </c>
      <c r="AN1242" s="1">
        <f>VLOOKUP($C1242,'Substrate Heating'!$A$2:$C$33,3,FALSE)</f>
        <v>1648.4793779999998</v>
      </c>
      <c r="AO1242" s="1">
        <f>VLOOKUP($C1242,'Substrate Heating'!$A$2:$B$33,2,FALSE)</f>
        <v>17.899999999999999</v>
      </c>
      <c r="AP1242" s="1">
        <f>VLOOKUP($C1242,'Substrate Heating'!$A$2:$M$33,13,FALSE)</f>
        <v>4.666666666666667</v>
      </c>
      <c r="AQ1242" s="1">
        <f>VLOOKUP($C1242,'Substrate Heating'!$A$2:$M$33,8,FALSE)</f>
        <v>3</v>
      </c>
      <c r="AR1242" s="1">
        <f t="shared" si="19"/>
        <v>0.90923976608187074</v>
      </c>
    </row>
    <row r="1243" spans="1:44" x14ac:dyDescent="0.2">
      <c r="A1243" s="8" t="s">
        <v>812</v>
      </c>
      <c r="B1243" s="9" t="s">
        <v>35</v>
      </c>
      <c r="C1243" t="s">
        <v>813</v>
      </c>
      <c r="E1243" t="s">
        <v>297</v>
      </c>
      <c r="F1243" t="s">
        <v>298</v>
      </c>
      <c r="G1243">
        <v>-10</v>
      </c>
      <c r="H1243">
        <v>-20</v>
      </c>
      <c r="I1243">
        <v>0</v>
      </c>
      <c r="J1243">
        <v>3.15</v>
      </c>
      <c r="K1243">
        <v>-10</v>
      </c>
      <c r="L1243">
        <v>-16.1689655172413</v>
      </c>
      <c r="M1243">
        <v>0</v>
      </c>
      <c r="N1243">
        <v>5.2876847290640301</v>
      </c>
      <c r="O1243">
        <v>4.1187192118226497</v>
      </c>
      <c r="P1243"/>
      <c r="Q1243">
        <v>0.41187192118226501</v>
      </c>
      <c r="R1243">
        <v>0.644999356882481</v>
      </c>
      <c r="S1243" s="1" t="str">
        <f>VLOOKUP($E1243,'Product Naming'!$A$1:$P$58,2,FALSE)</f>
        <v>Phenol</v>
      </c>
      <c r="T1243" s="1" t="str">
        <f>VLOOKUP($E1243,'Product Naming'!$A$1:$P$58,3,FALSE)</f>
        <v>Phenol</v>
      </c>
      <c r="U1243" s="1" t="str">
        <f>VLOOKUP($E1243,'Product Naming'!$A$1:$P$58,4,FALSE)</f>
        <v>E-S</v>
      </c>
      <c r="V1243" s="1" t="str">
        <f>VLOOKUP($E1243,'Product Naming'!$A$1:$P$58,5,FALSE)</f>
        <v>C6H6O</v>
      </c>
      <c r="W1243" s="1">
        <f>VLOOKUP($E1243,'Product Naming'!$A$1:$P$58,6,FALSE)</f>
        <v>6</v>
      </c>
      <c r="X1243" s="1">
        <f>VLOOKUP($E1243,'Product Naming'!$A$1:$P$58,7,FALSE)</f>
        <v>6</v>
      </c>
      <c r="Y1243" s="1">
        <f>VLOOKUP($E1243,'Product Naming'!$A$1:$P$58,8,FALSE)</f>
        <v>1</v>
      </c>
      <c r="Z1243" s="1">
        <f>VLOOKUP($E1243,'Product Naming'!$A$1:$P$58,9,FALSE)</f>
        <v>0</v>
      </c>
      <c r="AA1243" s="1">
        <f>VLOOKUP($E1243,'Product Naming'!$A$1:$P$58,10,FALSE)</f>
        <v>0</v>
      </c>
      <c r="AB1243" s="29">
        <f>VLOOKUP($E1243,'Product Naming'!$A$1:$P$58,11,FALSE)</f>
        <v>4.666666666666667</v>
      </c>
      <c r="AC1243" s="3">
        <f>VLOOKUP($E1243,'Product Naming'!$A$1:$P$58,12,FALSE)</f>
        <v>94.11023999999999</v>
      </c>
      <c r="AD1243" s="1">
        <f>VLOOKUP($E1243,'Product Naming'!$A$1:$P$58,13,FALSE)</f>
        <v>181.7</v>
      </c>
      <c r="AE1243" s="1" t="str">
        <f>VLOOKUP($E1243,'Product Naming'!$A$1:$P$58,14,FALSE)</f>
        <v>Aromatic + Alcohol</v>
      </c>
      <c r="AF1243" s="1" t="str">
        <f>VLOOKUP($E1243,'Product Naming'!$A$1:$P$58,15,FALSE)</f>
        <v>E4P + L-glutamate</v>
      </c>
      <c r="AG1243" s="30" t="str">
        <f>VLOOKUP($E1243,'Product Naming'!$A$1:$P$58,16,FALSE)</f>
        <v>Proton symporter</v>
      </c>
      <c r="AH1243" s="3" t="str">
        <f>VLOOKUP($E1243,'Product Naming'!$A$1:$Q$58,17,FALSE)</f>
        <v>phenol_c</v>
      </c>
      <c r="AI1243" s="1">
        <f>VLOOKUP($E1243,'Product Parameters'!$A$2:$D$59,2,FALSE)</f>
        <v>1</v>
      </c>
      <c r="AJ1243" s="1">
        <f>VLOOKUP($E1243,'Product Parameters'!$A$2:$D$59,3,FALSE)</f>
        <v>0</v>
      </c>
      <c r="AK1243" s="1">
        <f>VLOOKUP($E1243,'Product Parameters'!$A$2:$D$59,4,FALSE)</f>
        <v>0.12</v>
      </c>
      <c r="AL1243" s="1">
        <f>VLOOKUP($E1243,'Product Parameters'!$A$2:$E$59,5,FALSE)</f>
        <v>58.8</v>
      </c>
      <c r="AM1243" s="1">
        <f>VLOOKUP($E1243,'Product Parameters'!$A$2:$F$59,6,FALSE)</f>
        <v>6</v>
      </c>
      <c r="AN1243" s="1">
        <f>VLOOKUP($C1243,'Substrate Heating'!$A$2:$C$33,3,FALSE)</f>
        <v>1843.720736</v>
      </c>
      <c r="AO1243" s="1">
        <f>VLOOKUP($C1243,'Substrate Heating'!$A$2:$B$33,2,FALSE)</f>
        <v>30.68</v>
      </c>
      <c r="AP1243" s="1">
        <f>VLOOKUP($C1243,'Substrate Heating'!$A$2:$M$33,13,FALSE)</f>
        <v>6</v>
      </c>
      <c r="AQ1243" s="1">
        <f>VLOOKUP($C1243,'Substrate Heating'!$A$2:$M$33,8,FALSE)</f>
        <v>3</v>
      </c>
      <c r="AR1243" s="1">
        <f t="shared" si="19"/>
        <v>0.82374384236453002</v>
      </c>
    </row>
    <row r="1244" spans="1:44" x14ac:dyDescent="0.2">
      <c r="A1244" s="8" t="s">
        <v>34</v>
      </c>
      <c r="B1244" s="9" t="s">
        <v>35</v>
      </c>
      <c r="C1244" s="1" t="s">
        <v>349</v>
      </c>
      <c r="D1244" s="25" t="s">
        <v>342</v>
      </c>
      <c r="E1244" s="1" t="s">
        <v>124</v>
      </c>
      <c r="F1244" s="1" t="s">
        <v>125</v>
      </c>
      <c r="G1244" s="1">
        <v>-10</v>
      </c>
      <c r="H1244" s="1">
        <v>-20</v>
      </c>
      <c r="I1244" s="1" t="s">
        <v>40</v>
      </c>
      <c r="J1244" s="1">
        <v>3.15</v>
      </c>
      <c r="K1244" s="1">
        <v>-10</v>
      </c>
      <c r="L1244" s="1">
        <v>-9.0842105263157897</v>
      </c>
      <c r="M1244" s="1" t="s">
        <v>40</v>
      </c>
      <c r="N1244" s="1">
        <v>9.0842105263157897</v>
      </c>
      <c r="O1244" s="1">
        <v>13.6385964912281</v>
      </c>
      <c r="Q1244" s="1">
        <v>1.3638596491228101</v>
      </c>
      <c r="R1244" s="1">
        <v>0.64548834504832597</v>
      </c>
      <c r="S1244" s="1" t="str">
        <f>VLOOKUP($E1244,'Product Naming'!$A$1:$P$58,2,FALSE)</f>
        <v>Acrylate-PW1</v>
      </c>
      <c r="T1244" s="1" t="str">
        <f>VLOOKUP($E1244,'Product Naming'!$A$1:$P$58,3,FALSE)</f>
        <v>Acrylate (PW1)</v>
      </c>
      <c r="U1244" s="1" t="str">
        <f>VLOOKUP($E1244,'Product Naming'!$A$1:$P$58,4,FALSE)</f>
        <v>A</v>
      </c>
      <c r="V1244" s="1" t="str">
        <f>VLOOKUP($E1244,'Product Naming'!$A$1:$P$58,5,FALSE)</f>
        <v>C3H3O2</v>
      </c>
      <c r="W1244" s="1">
        <f>VLOOKUP($E1244,'Product Naming'!$A$1:$P$58,6,FALSE)</f>
        <v>3</v>
      </c>
      <c r="X1244" s="1">
        <f>VLOOKUP($E1244,'Product Naming'!$A$1:$P$58,7,FALSE)</f>
        <v>3</v>
      </c>
      <c r="Y1244" s="1">
        <f>VLOOKUP($E1244,'Product Naming'!$A$1:$P$58,8,FALSE)</f>
        <v>2</v>
      </c>
      <c r="Z1244" s="1">
        <f>VLOOKUP($E1244,'Product Naming'!$A$1:$P$58,9,FALSE)</f>
        <v>0</v>
      </c>
      <c r="AA1244" s="1">
        <f>VLOOKUP($E1244,'Product Naming'!$A$1:$P$58,10,FALSE)</f>
        <v>-1</v>
      </c>
      <c r="AB1244" s="29">
        <f>VLOOKUP($E1244,'Product Naming'!$A$1:$P$58,11,FALSE)</f>
        <v>3.6666666666666665</v>
      </c>
      <c r="AC1244" s="3">
        <f>VLOOKUP($E1244,'Product Naming'!$A$1:$P$58,12,FALSE)</f>
        <v>71.053619999999995</v>
      </c>
      <c r="AD1244" s="1">
        <f>VLOOKUP($E1244,'Product Naming'!$A$1:$P$58,13,FALSE)</f>
        <v>80</v>
      </c>
      <c r="AE1244" s="1" t="str">
        <f>VLOOKUP($E1244,'Product Naming'!$A$1:$P$58,14,FALSE)</f>
        <v>Carboxylate</v>
      </c>
      <c r="AF1244" s="1" t="str">
        <f>VLOOKUP($E1244,'Product Naming'!$A$1:$P$58,15,FALSE)</f>
        <v>Glyceraldehyde 3-P</v>
      </c>
      <c r="AG1244" s="30" t="str">
        <f>VLOOKUP($E1244,'Product Naming'!$A$1:$P$58,16,FALSE)</f>
        <v>Proton symporter</v>
      </c>
      <c r="AH1244" s="3" t="str">
        <f>VLOOKUP($E1244,'Product Naming'!$A$1:$Q$58,17,FALSE)</f>
        <v>acryl_c</v>
      </c>
      <c r="AI1244" s="1">
        <f>VLOOKUP($E1244,'Product Parameters'!$A$2:$D$59,2,FALSE)</f>
        <v>1</v>
      </c>
      <c r="AJ1244" s="1">
        <f>VLOOKUP($E1244,'Product Parameters'!$A$2:$D$59,3,FALSE)</f>
        <v>0</v>
      </c>
      <c r="AK1244" s="1">
        <f>VLOOKUP($E1244,'Product Parameters'!$A$2:$D$59,4,FALSE)</f>
        <v>0.12</v>
      </c>
      <c r="AL1244" s="1">
        <f>VLOOKUP($E1244,'Product Parameters'!$A$2:$E$59,5,FALSE)</f>
        <v>53.1</v>
      </c>
      <c r="AM1244" s="1">
        <f>VLOOKUP($E1244,'Product Parameters'!$A$2:$F$59,6,FALSE)</f>
        <v>3</v>
      </c>
      <c r="AN1244" s="1">
        <f>VLOOKUP($C1244,'Substrate Heating'!$A$2:$C$33,3,FALSE)</f>
        <v>2342.0279999999998</v>
      </c>
      <c r="AO1244" s="1">
        <f>VLOOKUP($C1244,'Substrate Heating'!$A$2:$B$33,2,FALSE)</f>
        <v>15.6</v>
      </c>
      <c r="AP1244" s="1">
        <f>VLOOKUP($C1244,'Substrate Heating'!$A$2:$M$33,13,FALSE)</f>
        <v>4</v>
      </c>
      <c r="AQ1244" s="1">
        <f>VLOOKUP($C1244,'Substrate Heating'!$A$2:$M$33,8,FALSE)</f>
        <v>5</v>
      </c>
      <c r="AR1244" s="1">
        <f t="shared" si="19"/>
        <v>0.81831578947368599</v>
      </c>
    </row>
    <row r="1245" spans="1:44" x14ac:dyDescent="0.2">
      <c r="A1245" s="8" t="s">
        <v>816</v>
      </c>
      <c r="B1245" s="18" t="s">
        <v>324</v>
      </c>
      <c r="C1245" t="s">
        <v>815</v>
      </c>
      <c r="D1245" s="19" t="s">
        <v>326</v>
      </c>
      <c r="E1245" t="s">
        <v>130</v>
      </c>
      <c r="F1245" t="s">
        <v>125</v>
      </c>
      <c r="G1245">
        <v>-10</v>
      </c>
      <c r="H1245">
        <v>0</v>
      </c>
      <c r="I1245">
        <v>0</v>
      </c>
      <c r="J1245">
        <v>0.45</v>
      </c>
      <c r="K1245">
        <v>20</v>
      </c>
      <c r="L1245">
        <v>0</v>
      </c>
      <c r="M1245">
        <v>0</v>
      </c>
      <c r="N1245">
        <v>20</v>
      </c>
      <c r="O1245">
        <v>5.6705882350000003</v>
      </c>
      <c r="P1245"/>
      <c r="Q1245">
        <v>0.28352941199999998</v>
      </c>
      <c r="R1245">
        <v>0.64549154399999997</v>
      </c>
      <c r="S1245" s="1" t="str">
        <f>VLOOKUP($E1245,'Product Naming'!$A$1:$P$58,2,FALSE)</f>
        <v>Acrylate-PW2</v>
      </c>
      <c r="T1245" s="1" t="str">
        <f>VLOOKUP($E1245,'Product Naming'!$A$1:$P$58,3,FALSE)</f>
        <v>Acrylate (PW2)</v>
      </c>
      <c r="U1245" s="1" t="str">
        <f>VLOOKUP($E1245,'Product Naming'!$A$1:$P$58,4,FALSE)</f>
        <v>A</v>
      </c>
      <c r="V1245" s="1" t="str">
        <f>VLOOKUP($E1245,'Product Naming'!$A$1:$P$58,5,FALSE)</f>
        <v>C3H3O2</v>
      </c>
      <c r="W1245" s="1">
        <f>VLOOKUP($E1245,'Product Naming'!$A$1:$P$58,6,FALSE)</f>
        <v>3</v>
      </c>
      <c r="X1245" s="1">
        <f>VLOOKUP($E1245,'Product Naming'!$A$1:$P$58,7,FALSE)</f>
        <v>3</v>
      </c>
      <c r="Y1245" s="1">
        <f>VLOOKUP($E1245,'Product Naming'!$A$1:$P$58,8,FALSE)</f>
        <v>2</v>
      </c>
      <c r="Z1245" s="1">
        <f>VLOOKUP($E1245,'Product Naming'!$A$1:$P$58,9,FALSE)</f>
        <v>0</v>
      </c>
      <c r="AA1245" s="1">
        <f>VLOOKUP($E1245,'Product Naming'!$A$1:$P$58,10,FALSE)</f>
        <v>-1</v>
      </c>
      <c r="AB1245" s="29">
        <f>VLOOKUP($E1245,'Product Naming'!$A$1:$P$58,11,FALSE)</f>
        <v>3.6666666666666665</v>
      </c>
      <c r="AC1245" s="3">
        <f>VLOOKUP($E1245,'Product Naming'!$A$1:$P$58,12,FALSE)</f>
        <v>71.053619999999995</v>
      </c>
      <c r="AD1245" s="1">
        <f>VLOOKUP($E1245,'Product Naming'!$A$1:$P$58,13,FALSE)</f>
        <v>80</v>
      </c>
      <c r="AE1245" s="1" t="str">
        <f>VLOOKUP($E1245,'Product Naming'!$A$1:$P$58,14,FALSE)</f>
        <v>Carboxylate</v>
      </c>
      <c r="AF1245" s="1" t="str">
        <f>VLOOKUP($E1245,'Product Naming'!$A$1:$P$58,15,FALSE)</f>
        <v>Pyruvate</v>
      </c>
      <c r="AG1245" s="30" t="str">
        <f>VLOOKUP($E1245,'Product Naming'!$A$1:$P$58,16,FALSE)</f>
        <v>Proton symporter</v>
      </c>
      <c r="AH1245" s="3" t="str">
        <f>VLOOKUP($E1245,'Product Naming'!$A$1:$Q$58,17,FALSE)</f>
        <v>acryl_c</v>
      </c>
      <c r="AI1245" s="1">
        <f>VLOOKUP($E1245,'Product Parameters'!$A$2:$D$59,2,FALSE)</f>
        <v>1</v>
      </c>
      <c r="AJ1245" s="1">
        <f>VLOOKUP($E1245,'Product Parameters'!$A$2:$D$59,3,FALSE)</f>
        <v>0</v>
      </c>
      <c r="AK1245" s="1">
        <f>VLOOKUP($E1245,'Product Parameters'!$A$2:$D$59,4,FALSE)</f>
        <v>0.12</v>
      </c>
      <c r="AL1245" s="1">
        <f>VLOOKUP($E1245,'Product Parameters'!$A$2:$E$59,5,FALSE)</f>
        <v>53.1</v>
      </c>
      <c r="AM1245" s="1">
        <f>VLOOKUP($E1245,'Product Parameters'!$A$2:$F$59,6,FALSE)</f>
        <v>3</v>
      </c>
      <c r="AN1245" s="1">
        <f>VLOOKUP($C1245,'Substrate Heating'!$A$2:$C$33,3,FALSE)</f>
        <v>226.4</v>
      </c>
      <c r="AO1245" s="1">
        <f>VLOOKUP($C1245,'Substrate Heating'!$A$2:$B$33,2,FALSE)</f>
        <v>7.2542014450728134</v>
      </c>
      <c r="AP1245" s="1">
        <f>VLOOKUP($C1245,'Substrate Heating'!$A$2:$M$33,13,FALSE)</f>
        <v>1.6</v>
      </c>
      <c r="AQ1245" s="1">
        <f>VLOOKUP($C1245,'Substrate Heating'!$A$2:$M$33,8,FALSE)</f>
        <v>1</v>
      </c>
      <c r="AR1245" s="1">
        <f t="shared" si="19"/>
        <v>0.85058823599999989</v>
      </c>
    </row>
    <row r="1246" spans="1:44" x14ac:dyDescent="0.2">
      <c r="A1246" s="8" t="s">
        <v>34</v>
      </c>
      <c r="B1246" s="9" t="s">
        <v>35</v>
      </c>
      <c r="C1246" s="1" t="s">
        <v>331</v>
      </c>
      <c r="D1246" s="10" t="s">
        <v>37</v>
      </c>
      <c r="E1246" s="1" t="s">
        <v>48</v>
      </c>
      <c r="F1246" s="1" t="s">
        <v>39</v>
      </c>
      <c r="G1246" s="1">
        <v>-10</v>
      </c>
      <c r="H1246" s="1">
        <v>-20</v>
      </c>
      <c r="I1246" s="1" t="s">
        <v>40</v>
      </c>
      <c r="J1246" s="1">
        <v>3.15</v>
      </c>
      <c r="K1246" s="1">
        <v>-10</v>
      </c>
      <c r="L1246" s="1">
        <v>-0.53487179487179703</v>
      </c>
      <c r="M1246" s="1" t="s">
        <v>40</v>
      </c>
      <c r="N1246" s="1">
        <v>2.2071794871795101</v>
      </c>
      <c r="O1246" s="1">
        <v>4.4482051282051298</v>
      </c>
      <c r="Q1246" s="1">
        <v>0.44482051282051299</v>
      </c>
      <c r="R1246" s="1">
        <v>0.64587069266099595</v>
      </c>
      <c r="S1246" s="1" t="str">
        <f>VLOOKUP($E1246,'Product Naming'!$A$1:$P$58,2,FALSE)</f>
        <v>1-3-butanediol-PW2</v>
      </c>
      <c r="T1246" s="1" t="str">
        <f>VLOOKUP($E1246,'Product Naming'!$A$1:$P$58,3,FALSE)</f>
        <v>1,3-Butanediol (PW2)</v>
      </c>
      <c r="U1246" s="1" t="str">
        <f>VLOOKUP($E1246,'Product Naming'!$A$1:$P$58,4,FALSE)</f>
        <v>E</v>
      </c>
      <c r="V1246" s="1" t="str">
        <f>VLOOKUP($E1246,'Product Naming'!$A$1:$P$58,5,FALSE)</f>
        <v>C4H10O2</v>
      </c>
      <c r="W1246" s="1">
        <f>VLOOKUP($E1246,'Product Naming'!$A$1:$P$58,6,FALSE)</f>
        <v>4</v>
      </c>
      <c r="X1246" s="1">
        <f>VLOOKUP($E1246,'Product Naming'!$A$1:$P$58,7,FALSE)</f>
        <v>10</v>
      </c>
      <c r="Y1246" s="1">
        <f>VLOOKUP($E1246,'Product Naming'!$A$1:$P$58,8,FALSE)</f>
        <v>2</v>
      </c>
      <c r="Z1246" s="1">
        <f>VLOOKUP($E1246,'Product Naming'!$A$1:$P$58,9,FALSE)</f>
        <v>0</v>
      </c>
      <c r="AA1246" s="1">
        <f>VLOOKUP($E1246,'Product Naming'!$A$1:$P$58,10,FALSE)</f>
        <v>0</v>
      </c>
      <c r="AB1246" s="29">
        <f>VLOOKUP($E1246,'Product Naming'!$A$1:$P$58,11,FALSE)</f>
        <v>5.5</v>
      </c>
      <c r="AC1246" s="3">
        <f>VLOOKUP($E1246,'Product Naming'!$A$1:$P$58,12,FALSE)</f>
        <v>90.119200000000006</v>
      </c>
      <c r="AD1246" s="1">
        <f>VLOOKUP($E1246,'Product Naming'!$A$1:$P$58,13,FALSE)</f>
        <v>207</v>
      </c>
      <c r="AE1246" s="1" t="str">
        <f>VLOOKUP($E1246,'Product Naming'!$A$1:$P$58,14,FALSE)</f>
        <v>Diol</v>
      </c>
      <c r="AF1246" s="1" t="str">
        <f>VLOOKUP($E1246,'Product Naming'!$A$1:$P$58,15,FALSE)</f>
        <v>Pyruvate (acetalehyde)</v>
      </c>
      <c r="AG1246" s="30" t="str">
        <f>VLOOKUP($E1246,'Product Naming'!$A$1:$P$58,16,FALSE)</f>
        <v>Proton symporter</v>
      </c>
      <c r="AH1246" s="3" t="str">
        <f>VLOOKUP($E1246,'Product Naming'!$A$1:$Q$58,17,FALSE)</f>
        <v>13bdo__R_c</v>
      </c>
      <c r="AI1246" s="1">
        <f>VLOOKUP($E1246,'Product Parameters'!$A$2:$D$59,2,FALSE)</f>
        <v>1</v>
      </c>
      <c r="AJ1246" s="1">
        <f>VLOOKUP($E1246,'Product Parameters'!$A$2:$D$59,3,FALSE)</f>
        <v>0</v>
      </c>
      <c r="AK1246" s="1">
        <f>VLOOKUP($E1246,'Product Parameters'!$A$2:$D$59,4,FALSE)</f>
        <v>0.12</v>
      </c>
      <c r="AL1246" s="1">
        <f>VLOOKUP($E1246,'Product Parameters'!$A$2:$E$59,5,FALSE)</f>
        <v>72.599999999999994</v>
      </c>
      <c r="AM1246" s="1">
        <f>VLOOKUP($E1246,'Product Parameters'!$A$2:$F$59,6,FALSE)</f>
        <v>4</v>
      </c>
      <c r="AN1246" s="1">
        <f>VLOOKUP($C1246,'Substrate Heating'!$A$2:$C$33,3,FALSE)</f>
        <v>1055.1294800000001</v>
      </c>
      <c r="AO1246" s="1">
        <f>VLOOKUP($C1246,'Substrate Heating'!$A$2:$B$33,2,FALSE)</f>
        <v>17</v>
      </c>
      <c r="AP1246" s="1">
        <f>VLOOKUP($C1246,'Substrate Heating'!$A$2:$M$33,13,FALSE)</f>
        <v>5</v>
      </c>
      <c r="AQ1246" s="1">
        <f>VLOOKUP($C1246,'Substrate Heating'!$A$2:$M$33,8,FALSE)</f>
        <v>2</v>
      </c>
      <c r="AR1246" s="1">
        <f t="shared" si="19"/>
        <v>0.88964102564102598</v>
      </c>
    </row>
    <row r="1247" spans="1:44" x14ac:dyDescent="0.2">
      <c r="A1247" s="17" t="s">
        <v>323</v>
      </c>
      <c r="B1247" s="18" t="s">
        <v>324</v>
      </c>
      <c r="C1247" t="s">
        <v>329</v>
      </c>
      <c r="D1247" s="19" t="s">
        <v>326</v>
      </c>
      <c r="E1247" t="s">
        <v>186</v>
      </c>
      <c r="F1247" t="s">
        <v>187</v>
      </c>
      <c r="G1247">
        <v>-10</v>
      </c>
      <c r="H1247">
        <v>0</v>
      </c>
      <c r="I1247">
        <v>-20</v>
      </c>
      <c r="J1247">
        <v>0.45</v>
      </c>
      <c r="K1247">
        <v>-10</v>
      </c>
      <c r="L1247">
        <v>0</v>
      </c>
      <c r="M1247">
        <v>-10.72</v>
      </c>
      <c r="N1247">
        <v>0</v>
      </c>
      <c r="O1247">
        <v>1.03111111111111</v>
      </c>
      <c r="P1247"/>
      <c r="Q1247">
        <v>0.103111111111111</v>
      </c>
      <c r="R1247" s="20">
        <v>0.64615262979135002</v>
      </c>
      <c r="S1247" s="1" t="str">
        <f>VLOOKUP($E1247,'Product Naming'!$A$1:$P$58,2,FALSE)</f>
        <v>Citrate</v>
      </c>
      <c r="T1247" s="1" t="str">
        <f>VLOOKUP($E1247,'Product Naming'!$A$1:$P$58,3,FALSE)</f>
        <v>Citrate</v>
      </c>
      <c r="U1247" s="1" t="str">
        <f>VLOOKUP($E1247,'Product Naming'!$A$1:$P$58,4,FALSE)</f>
        <v>iJO1366</v>
      </c>
      <c r="V1247" s="1" t="str">
        <f>VLOOKUP($E1247,'Product Naming'!$A$1:$P$58,5,FALSE)</f>
        <v>C6H5O7</v>
      </c>
      <c r="W1247" s="1">
        <f>VLOOKUP($E1247,'Product Naming'!$A$1:$P$58,6,FALSE)</f>
        <v>6</v>
      </c>
      <c r="X1247" s="1">
        <f>VLOOKUP($E1247,'Product Naming'!$A$1:$P$58,7,FALSE)</f>
        <v>5</v>
      </c>
      <c r="Y1247" s="1">
        <f>VLOOKUP($E1247,'Product Naming'!$A$1:$P$58,8,FALSE)</f>
        <v>7</v>
      </c>
      <c r="Z1247" s="1">
        <f>VLOOKUP($E1247,'Product Naming'!$A$1:$P$58,9,FALSE)</f>
        <v>0</v>
      </c>
      <c r="AA1247" s="1">
        <f>VLOOKUP($E1247,'Product Naming'!$A$1:$P$58,10,FALSE)</f>
        <v>-3</v>
      </c>
      <c r="AB1247" s="29">
        <f>VLOOKUP($E1247,'Product Naming'!$A$1:$P$58,11,FALSE)</f>
        <v>2.5</v>
      </c>
      <c r="AC1247" s="3">
        <f>VLOOKUP($E1247,'Product Naming'!$A$1:$P$58,12,FALSE)</f>
        <v>189.09640000000002</v>
      </c>
      <c r="AD1247" s="1" t="str">
        <f>VLOOKUP($E1247,'Product Naming'!$A$1:$P$58,13,FALSE)</f>
        <v>NA</v>
      </c>
      <c r="AE1247" s="1" t="str">
        <f>VLOOKUP($E1247,'Product Naming'!$A$1:$P$58,14,FALSE)</f>
        <v>Tricarboxylate + Alcohol</v>
      </c>
      <c r="AF1247" s="1" t="str">
        <f>VLOOKUP($E1247,'Product Naming'!$A$1:$P$58,15,FALSE)</f>
        <v>Acetyl-CoA</v>
      </c>
      <c r="AG1247" s="30" t="str">
        <f>VLOOKUP($E1247,'Product Naming'!$A$1:$P$58,16,FALSE)</f>
        <v>Proton antiport</v>
      </c>
      <c r="AH1247" s="3" t="str">
        <f>VLOOKUP($E1247,'Product Naming'!$A$1:$Q$58,17,FALSE)</f>
        <v>cit_c</v>
      </c>
      <c r="AI1247" s="1">
        <f>VLOOKUP($E1247,'Product Parameters'!$A$2:$D$59,2,FALSE)</f>
        <v>1</v>
      </c>
      <c r="AJ1247" s="1">
        <f>VLOOKUP($E1247,'Product Parameters'!$A$2:$D$59,3,FALSE)</f>
        <v>0</v>
      </c>
      <c r="AK1247" s="1">
        <f>VLOOKUP($E1247,'Product Parameters'!$A$2:$D$59,4,FALSE)</f>
        <v>0.12</v>
      </c>
      <c r="AL1247" s="1">
        <f>VLOOKUP($E1247,'Product Parameters'!$A$2:$E$59,5,FALSE)</f>
        <v>40.65</v>
      </c>
      <c r="AM1247" s="1">
        <f>VLOOKUP($E1247,'Product Parameters'!$A$2:$F$59,6,FALSE)</f>
        <v>6</v>
      </c>
      <c r="AN1247" s="1">
        <f>VLOOKUP($C1247,'Substrate Heating'!$A$2:$C$33,3,FALSE)</f>
        <v>255.53333333333336</v>
      </c>
      <c r="AO1247" s="1">
        <f>VLOOKUP($C1247,'Substrate Heating'!$A$2:$B$33,2,FALSE)</f>
        <v>23.925550527978785</v>
      </c>
      <c r="AP1247" s="1">
        <f>VLOOKUP($C1247,'Substrate Heating'!$A$2:$M$33,13,FALSE)</f>
        <v>0.66666666666666663</v>
      </c>
      <c r="AQ1247" s="1">
        <f>VLOOKUP($C1247,'Substrate Heating'!$A$2:$M$33,8,FALSE)</f>
        <v>0.33333333333333331</v>
      </c>
      <c r="AR1247" s="1">
        <f t="shared" si="19"/>
        <v>1.8559999999999981</v>
      </c>
    </row>
    <row r="1248" spans="1:44" x14ac:dyDescent="0.2">
      <c r="A1248" s="8" t="s">
        <v>34</v>
      </c>
      <c r="B1248" s="9" t="s">
        <v>35</v>
      </c>
      <c r="C1248" s="1" t="s">
        <v>331</v>
      </c>
      <c r="D1248" s="10" t="s">
        <v>37</v>
      </c>
      <c r="E1248" s="1" t="s">
        <v>124</v>
      </c>
      <c r="F1248" s="1" t="s">
        <v>125</v>
      </c>
      <c r="G1248" s="1">
        <v>-10</v>
      </c>
      <c r="H1248" s="1">
        <v>-20</v>
      </c>
      <c r="I1248" s="1" t="s">
        <v>40</v>
      </c>
      <c r="J1248" s="1">
        <v>3.15</v>
      </c>
      <c r="K1248" s="1">
        <v>-10</v>
      </c>
      <c r="L1248" s="1">
        <v>-8.0430769230769297</v>
      </c>
      <c r="M1248" s="1" t="s">
        <v>40</v>
      </c>
      <c r="N1248" s="1">
        <v>3.0430769230769301</v>
      </c>
      <c r="O1248" s="1">
        <v>5.6523076923076996</v>
      </c>
      <c r="Q1248" s="1">
        <v>0.56523076923076998</v>
      </c>
      <c r="R1248" s="1">
        <v>0.64707623269966996</v>
      </c>
      <c r="S1248" s="1" t="str">
        <f>VLOOKUP($E1248,'Product Naming'!$A$1:$P$58,2,FALSE)</f>
        <v>Acrylate-PW1</v>
      </c>
      <c r="T1248" s="1" t="str">
        <f>VLOOKUP($E1248,'Product Naming'!$A$1:$P$58,3,FALSE)</f>
        <v>Acrylate (PW1)</v>
      </c>
      <c r="U1248" s="1" t="str">
        <f>VLOOKUP($E1248,'Product Naming'!$A$1:$P$58,4,FALSE)</f>
        <v>A</v>
      </c>
      <c r="V1248" s="1" t="str">
        <f>VLOOKUP($E1248,'Product Naming'!$A$1:$P$58,5,FALSE)</f>
        <v>C3H3O2</v>
      </c>
      <c r="W1248" s="1">
        <f>VLOOKUP($E1248,'Product Naming'!$A$1:$P$58,6,FALSE)</f>
        <v>3</v>
      </c>
      <c r="X1248" s="1">
        <f>VLOOKUP($E1248,'Product Naming'!$A$1:$P$58,7,FALSE)</f>
        <v>3</v>
      </c>
      <c r="Y1248" s="1">
        <f>VLOOKUP($E1248,'Product Naming'!$A$1:$P$58,8,FALSE)</f>
        <v>2</v>
      </c>
      <c r="Z1248" s="1">
        <f>VLOOKUP($E1248,'Product Naming'!$A$1:$P$58,9,FALSE)</f>
        <v>0</v>
      </c>
      <c r="AA1248" s="1">
        <f>VLOOKUP($E1248,'Product Naming'!$A$1:$P$58,10,FALSE)</f>
        <v>-1</v>
      </c>
      <c r="AB1248" s="29">
        <f>VLOOKUP($E1248,'Product Naming'!$A$1:$P$58,11,FALSE)</f>
        <v>3.6666666666666665</v>
      </c>
      <c r="AC1248" s="3">
        <f>VLOOKUP($E1248,'Product Naming'!$A$1:$P$58,12,FALSE)</f>
        <v>71.053619999999995</v>
      </c>
      <c r="AD1248" s="1">
        <f>VLOOKUP($E1248,'Product Naming'!$A$1:$P$58,13,FALSE)</f>
        <v>80</v>
      </c>
      <c r="AE1248" s="1" t="str">
        <f>VLOOKUP($E1248,'Product Naming'!$A$1:$P$58,14,FALSE)</f>
        <v>Carboxylate</v>
      </c>
      <c r="AF1248" s="1" t="str">
        <f>VLOOKUP($E1248,'Product Naming'!$A$1:$P$58,15,FALSE)</f>
        <v>Glyceraldehyde 3-P</v>
      </c>
      <c r="AG1248" s="30" t="str">
        <f>VLOOKUP($E1248,'Product Naming'!$A$1:$P$58,16,FALSE)</f>
        <v>Proton symporter</v>
      </c>
      <c r="AH1248" s="3" t="str">
        <f>VLOOKUP($E1248,'Product Naming'!$A$1:$Q$58,17,FALSE)</f>
        <v>acryl_c</v>
      </c>
      <c r="AI1248" s="1">
        <f>VLOOKUP($E1248,'Product Parameters'!$A$2:$D$59,2,FALSE)</f>
        <v>1</v>
      </c>
      <c r="AJ1248" s="1">
        <f>VLOOKUP($E1248,'Product Parameters'!$A$2:$D$59,3,FALSE)</f>
        <v>0</v>
      </c>
      <c r="AK1248" s="1">
        <f>VLOOKUP($E1248,'Product Parameters'!$A$2:$D$59,4,FALSE)</f>
        <v>0.12</v>
      </c>
      <c r="AL1248" s="1">
        <f>VLOOKUP($E1248,'Product Parameters'!$A$2:$E$59,5,FALSE)</f>
        <v>53.1</v>
      </c>
      <c r="AM1248" s="1">
        <f>VLOOKUP($E1248,'Product Parameters'!$A$2:$F$59,6,FALSE)</f>
        <v>3</v>
      </c>
      <c r="AN1248" s="1">
        <f>VLOOKUP($C1248,'Substrate Heating'!$A$2:$C$33,3,FALSE)</f>
        <v>1055.1294800000001</v>
      </c>
      <c r="AO1248" s="1">
        <f>VLOOKUP($C1248,'Substrate Heating'!$A$2:$B$33,2,FALSE)</f>
        <v>17</v>
      </c>
      <c r="AP1248" s="1">
        <f>VLOOKUP($C1248,'Substrate Heating'!$A$2:$M$33,13,FALSE)</f>
        <v>5</v>
      </c>
      <c r="AQ1248" s="1">
        <f>VLOOKUP($C1248,'Substrate Heating'!$A$2:$M$33,8,FALSE)</f>
        <v>2</v>
      </c>
      <c r="AR1248" s="1">
        <f t="shared" si="19"/>
        <v>0.84784615384615503</v>
      </c>
    </row>
    <row r="1249" spans="1:44" x14ac:dyDescent="0.2">
      <c r="A1249" s="8" t="s">
        <v>34</v>
      </c>
      <c r="B1249" s="9" t="s">
        <v>35</v>
      </c>
      <c r="C1249" s="1" t="s">
        <v>346</v>
      </c>
      <c r="D1249" s="23" t="s">
        <v>338</v>
      </c>
      <c r="E1249" s="1" t="s">
        <v>85</v>
      </c>
      <c r="F1249" s="1" t="s">
        <v>86</v>
      </c>
      <c r="G1249" s="1">
        <v>-10</v>
      </c>
      <c r="H1249" s="1">
        <v>-20</v>
      </c>
      <c r="I1249" s="1" t="s">
        <v>40</v>
      </c>
      <c r="J1249" s="1">
        <v>3.15</v>
      </c>
      <c r="K1249" s="1">
        <v>-10</v>
      </c>
      <c r="L1249" s="1">
        <v>-2.3305555555555602</v>
      </c>
      <c r="M1249" s="1" t="s">
        <v>40</v>
      </c>
      <c r="N1249" s="1">
        <v>0.78585858585857304</v>
      </c>
      <c r="O1249" s="1">
        <v>2.30353535353535</v>
      </c>
      <c r="Q1249" s="1">
        <v>0.230353535353535</v>
      </c>
      <c r="R1249" s="1">
        <v>0.64789605347738999</v>
      </c>
      <c r="S1249" s="1" t="str">
        <f>VLOOKUP($E1249,'Product Naming'!$A$1:$P$58,2,FALSE)</f>
        <v>2-3-butanediol</v>
      </c>
      <c r="T1249" s="1" t="str">
        <f>VLOOKUP($E1249,'Product Naming'!$A$1:$P$58,3,FALSE)</f>
        <v>2,3-Butanediol</v>
      </c>
      <c r="U1249" s="1" t="str">
        <f>VLOOKUP($E1249,'Product Naming'!$A$1:$P$58,4,FALSE)</f>
        <v>E</v>
      </c>
      <c r="V1249" s="1" t="str">
        <f>VLOOKUP($E1249,'Product Naming'!$A$1:$P$58,5,FALSE)</f>
        <v>C4H10O2</v>
      </c>
      <c r="W1249" s="1">
        <f>VLOOKUP($E1249,'Product Naming'!$A$1:$P$58,6,FALSE)</f>
        <v>4</v>
      </c>
      <c r="X1249" s="1">
        <f>VLOOKUP($E1249,'Product Naming'!$A$1:$P$58,7,FALSE)</f>
        <v>10</v>
      </c>
      <c r="Y1249" s="1">
        <f>VLOOKUP($E1249,'Product Naming'!$A$1:$P$58,8,FALSE)</f>
        <v>2</v>
      </c>
      <c r="Z1249" s="1">
        <f>VLOOKUP($E1249,'Product Naming'!$A$1:$P$58,9,FALSE)</f>
        <v>0</v>
      </c>
      <c r="AA1249" s="1">
        <f>VLOOKUP($E1249,'Product Naming'!$A$1:$P$58,10,FALSE)</f>
        <v>0</v>
      </c>
      <c r="AB1249" s="29">
        <f>VLOOKUP($E1249,'Product Naming'!$A$1:$P$58,11,FALSE)</f>
        <v>5.5</v>
      </c>
      <c r="AC1249" s="3">
        <f>VLOOKUP($E1249,'Product Naming'!$A$1:$P$58,12,FALSE)</f>
        <v>90.119200000000006</v>
      </c>
      <c r="AD1249" s="1">
        <f>VLOOKUP($E1249,'Product Naming'!$A$1:$P$58,13,FALSE)</f>
        <v>177</v>
      </c>
      <c r="AE1249" s="1" t="str">
        <f>VLOOKUP($E1249,'Product Naming'!$A$1:$P$58,14,FALSE)</f>
        <v>Diol</v>
      </c>
      <c r="AF1249" s="1" t="str">
        <f>VLOOKUP($E1249,'Product Naming'!$A$1:$P$58,15,FALSE)</f>
        <v>Pyruvate</v>
      </c>
      <c r="AG1249" s="30" t="str">
        <f>VLOOKUP($E1249,'Product Naming'!$A$1:$P$58,16,FALSE)</f>
        <v>Proton symporter</v>
      </c>
      <c r="AH1249" s="3" t="str">
        <f>VLOOKUP($E1249,'Product Naming'!$A$1:$Q$58,17,FALSE)</f>
        <v>btd_RR_c</v>
      </c>
      <c r="AI1249" s="1">
        <f>VLOOKUP($E1249,'Product Parameters'!$A$2:$D$59,2,FALSE)</f>
        <v>1</v>
      </c>
      <c r="AJ1249" s="1">
        <f>VLOOKUP($E1249,'Product Parameters'!$A$2:$D$59,3,FALSE)</f>
        <v>0</v>
      </c>
      <c r="AK1249" s="1">
        <f>VLOOKUP($E1249,'Product Parameters'!$A$2:$D$59,4,FALSE)</f>
        <v>0.12</v>
      </c>
      <c r="AL1249" s="1">
        <f>VLOOKUP($E1249,'Product Parameters'!$A$2:$E$59,5,FALSE)</f>
        <v>63</v>
      </c>
      <c r="AM1249" s="1">
        <f>VLOOKUP($E1249,'Product Parameters'!$A$2:$F$59,6,FALSE)</f>
        <v>4</v>
      </c>
      <c r="AN1249" s="1">
        <f>VLOOKUP($C1249,'Substrate Heating'!$A$2:$C$33,3,FALSE)</f>
        <v>638.57832580000002</v>
      </c>
      <c r="AO1249" s="1">
        <f>VLOOKUP($C1249,'Substrate Heating'!$A$2:$B$33,2,FALSE)</f>
        <v>19.93</v>
      </c>
      <c r="AP1249" s="1">
        <f>VLOOKUP($C1249,'Substrate Heating'!$A$2:$M$33,13,FALSE)</f>
        <v>6</v>
      </c>
      <c r="AQ1249" s="1">
        <f>VLOOKUP($C1249,'Substrate Heating'!$A$2:$M$33,8,FALSE)</f>
        <v>1</v>
      </c>
      <c r="AR1249" s="1">
        <f t="shared" si="19"/>
        <v>0.92141414141414002</v>
      </c>
    </row>
    <row r="1250" spans="1:44" x14ac:dyDescent="0.2">
      <c r="A1250" s="8" t="s">
        <v>34</v>
      </c>
      <c r="B1250" s="9" t="s">
        <v>35</v>
      </c>
      <c r="C1250" s="1" t="s">
        <v>347</v>
      </c>
      <c r="D1250" s="23" t="s">
        <v>338</v>
      </c>
      <c r="E1250" s="1" t="s">
        <v>85</v>
      </c>
      <c r="F1250" s="1" t="s">
        <v>86</v>
      </c>
      <c r="G1250" s="1">
        <v>-10</v>
      </c>
      <c r="H1250" s="1">
        <v>-20</v>
      </c>
      <c r="I1250" s="1" t="s">
        <v>40</v>
      </c>
      <c r="J1250" s="1">
        <v>3.15</v>
      </c>
      <c r="K1250" s="1">
        <v>-10</v>
      </c>
      <c r="L1250" s="1">
        <v>-2.3305555555555499</v>
      </c>
      <c r="M1250" s="1" t="s">
        <v>40</v>
      </c>
      <c r="N1250" s="1">
        <v>0.78585858585858104</v>
      </c>
      <c r="O1250" s="1">
        <v>2.30353535353535</v>
      </c>
      <c r="Q1250" s="1">
        <v>0.230353535353535</v>
      </c>
      <c r="R1250" s="1">
        <v>0.64789605347739099</v>
      </c>
      <c r="S1250" s="1" t="str">
        <f>VLOOKUP($E1250,'Product Naming'!$A$1:$P$58,2,FALSE)</f>
        <v>2-3-butanediol</v>
      </c>
      <c r="T1250" s="1" t="str">
        <f>VLOOKUP($E1250,'Product Naming'!$A$1:$P$58,3,FALSE)</f>
        <v>2,3-Butanediol</v>
      </c>
      <c r="U1250" s="1" t="str">
        <f>VLOOKUP($E1250,'Product Naming'!$A$1:$P$58,4,FALSE)</f>
        <v>E</v>
      </c>
      <c r="V1250" s="1" t="str">
        <f>VLOOKUP($E1250,'Product Naming'!$A$1:$P$58,5,FALSE)</f>
        <v>C4H10O2</v>
      </c>
      <c r="W1250" s="1">
        <f>VLOOKUP($E1250,'Product Naming'!$A$1:$P$58,6,FALSE)</f>
        <v>4</v>
      </c>
      <c r="X1250" s="1">
        <f>VLOOKUP($E1250,'Product Naming'!$A$1:$P$58,7,FALSE)</f>
        <v>10</v>
      </c>
      <c r="Y1250" s="1">
        <f>VLOOKUP($E1250,'Product Naming'!$A$1:$P$58,8,FALSE)</f>
        <v>2</v>
      </c>
      <c r="Z1250" s="1">
        <f>VLOOKUP($E1250,'Product Naming'!$A$1:$P$58,9,FALSE)</f>
        <v>0</v>
      </c>
      <c r="AA1250" s="1">
        <f>VLOOKUP($E1250,'Product Naming'!$A$1:$P$58,10,FALSE)</f>
        <v>0</v>
      </c>
      <c r="AB1250" s="29">
        <f>VLOOKUP($E1250,'Product Naming'!$A$1:$P$58,11,FALSE)</f>
        <v>5.5</v>
      </c>
      <c r="AC1250" s="3">
        <f>VLOOKUP($E1250,'Product Naming'!$A$1:$P$58,12,FALSE)</f>
        <v>90.119200000000006</v>
      </c>
      <c r="AD1250" s="1">
        <f>VLOOKUP($E1250,'Product Naming'!$A$1:$P$58,13,FALSE)</f>
        <v>177</v>
      </c>
      <c r="AE1250" s="1" t="str">
        <f>VLOOKUP($E1250,'Product Naming'!$A$1:$P$58,14,FALSE)</f>
        <v>Diol</v>
      </c>
      <c r="AF1250" s="1" t="str">
        <f>VLOOKUP($E1250,'Product Naming'!$A$1:$P$58,15,FALSE)</f>
        <v>Pyruvate</v>
      </c>
      <c r="AG1250" s="30" t="str">
        <f>VLOOKUP($E1250,'Product Naming'!$A$1:$P$58,16,FALSE)</f>
        <v>Proton symporter</v>
      </c>
      <c r="AH1250" s="3" t="str">
        <f>VLOOKUP($E1250,'Product Naming'!$A$1:$Q$58,17,FALSE)</f>
        <v>btd_RR_c</v>
      </c>
      <c r="AI1250" s="1">
        <f>VLOOKUP($E1250,'Product Parameters'!$A$2:$D$59,2,FALSE)</f>
        <v>1</v>
      </c>
      <c r="AJ1250" s="1">
        <f>VLOOKUP($E1250,'Product Parameters'!$A$2:$D$59,3,FALSE)</f>
        <v>0</v>
      </c>
      <c r="AK1250" s="1">
        <f>VLOOKUP($E1250,'Product Parameters'!$A$2:$D$59,4,FALSE)</f>
        <v>0.12</v>
      </c>
      <c r="AL1250" s="1">
        <f>VLOOKUP($E1250,'Product Parameters'!$A$2:$E$59,5,FALSE)</f>
        <v>63</v>
      </c>
      <c r="AM1250" s="1">
        <f>VLOOKUP($E1250,'Product Parameters'!$A$2:$F$59,6,FALSE)</f>
        <v>4</v>
      </c>
      <c r="AN1250" s="1">
        <f>VLOOKUP($C1250,'Substrate Heating'!$A$2:$C$33,3,FALSE)</f>
        <v>638.57832580000002</v>
      </c>
      <c r="AO1250" s="1">
        <f>VLOOKUP($C1250,'Substrate Heating'!$A$2:$B$33,2,FALSE)</f>
        <v>19.93</v>
      </c>
      <c r="AP1250" s="1">
        <f>VLOOKUP($C1250,'Substrate Heating'!$A$2:$M$33,13,FALSE)</f>
        <v>6</v>
      </c>
      <c r="AQ1250" s="1">
        <f>VLOOKUP($C1250,'Substrate Heating'!$A$2:$M$33,8,FALSE)</f>
        <v>1</v>
      </c>
      <c r="AR1250" s="1">
        <f t="shared" si="19"/>
        <v>0.92141414141414002</v>
      </c>
    </row>
    <row r="1251" spans="1:44" x14ac:dyDescent="0.2">
      <c r="A1251" s="8" t="s">
        <v>812</v>
      </c>
      <c r="B1251" s="9" t="s">
        <v>35</v>
      </c>
      <c r="C1251" t="s">
        <v>813</v>
      </c>
      <c r="E1251" t="s">
        <v>169</v>
      </c>
      <c r="F1251" t="s">
        <v>165</v>
      </c>
      <c r="G1251">
        <v>-10</v>
      </c>
      <c r="H1251">
        <v>-20</v>
      </c>
      <c r="I1251">
        <v>0</v>
      </c>
      <c r="J1251">
        <v>3.15</v>
      </c>
      <c r="K1251">
        <v>-10</v>
      </c>
      <c r="L1251">
        <v>-13.4198757763975</v>
      </c>
      <c r="M1251">
        <v>0</v>
      </c>
      <c r="N1251">
        <v>8.9465838509316793</v>
      </c>
      <c r="O1251">
        <v>5.2633540372670797</v>
      </c>
      <c r="P1251"/>
      <c r="Q1251">
        <v>0.52633540372670895</v>
      </c>
      <c r="R1251">
        <v>0.64917140455983802</v>
      </c>
      <c r="S1251" s="1" t="str">
        <f>VLOOKUP($E1251,'Product Naming'!$A$1:$P$58,2,FALSE)</f>
        <v>Butanol-PW2</v>
      </c>
      <c r="T1251" s="1" t="str">
        <f>VLOOKUP($E1251,'Product Naming'!$A$1:$P$58,3,FALSE)</f>
        <v>Butanol (PW2)</v>
      </c>
      <c r="U1251" s="1" t="str">
        <f>VLOOKUP($E1251,'Product Naming'!$A$1:$P$58,4,FALSE)</f>
        <v>E</v>
      </c>
      <c r="V1251" s="1" t="str">
        <f>VLOOKUP($E1251,'Product Naming'!$A$1:$P$58,5,FALSE)</f>
        <v>C4H10O</v>
      </c>
      <c r="W1251" s="1">
        <f>VLOOKUP($E1251,'Product Naming'!$A$1:$P$58,6,FALSE)</f>
        <v>4</v>
      </c>
      <c r="X1251" s="1">
        <f>VLOOKUP($E1251,'Product Naming'!$A$1:$P$58,7,FALSE)</f>
        <v>10</v>
      </c>
      <c r="Y1251" s="1">
        <f>VLOOKUP($E1251,'Product Naming'!$A$1:$P$58,8,FALSE)</f>
        <v>1</v>
      </c>
      <c r="Z1251" s="1">
        <f>VLOOKUP($E1251,'Product Naming'!$A$1:$P$58,9,FALSE)</f>
        <v>0</v>
      </c>
      <c r="AA1251" s="1">
        <f>VLOOKUP($E1251,'Product Naming'!$A$1:$P$58,10,FALSE)</f>
        <v>0</v>
      </c>
      <c r="AB1251" s="29">
        <f>VLOOKUP($E1251,'Product Naming'!$A$1:$P$58,11,FALSE)</f>
        <v>6</v>
      </c>
      <c r="AC1251" s="3">
        <f>VLOOKUP($E1251,'Product Naming'!$A$1:$P$58,12,FALSE)</f>
        <v>74.120199999999997</v>
      </c>
      <c r="AD1251" s="1">
        <f>VLOOKUP($E1251,'Product Naming'!$A$1:$P$58,13,FALSE)</f>
        <v>117.7</v>
      </c>
      <c r="AE1251" s="1" t="str">
        <f>VLOOKUP($E1251,'Product Naming'!$A$1:$P$58,14,FALSE)</f>
        <v>Alcohol</v>
      </c>
      <c r="AF1251" s="1" t="str">
        <f>VLOOKUP($E1251,'Product Naming'!$A$1:$P$58,15,FALSE)</f>
        <v>Oxaloacetate</v>
      </c>
      <c r="AG1251" s="30" t="str">
        <f>VLOOKUP($E1251,'Product Naming'!$A$1:$P$58,16,FALSE)</f>
        <v>Proton symporter</v>
      </c>
      <c r="AH1251" s="3" t="str">
        <f>VLOOKUP($E1251,'Product Naming'!$A$1:$Q$58,17,FALSE)</f>
        <v>btoh_c</v>
      </c>
      <c r="AI1251" s="1">
        <f>VLOOKUP($E1251,'Product Parameters'!$A$2:$D$59,2,FALSE)</f>
        <v>1</v>
      </c>
      <c r="AJ1251" s="1">
        <f>VLOOKUP($E1251,'Product Parameters'!$A$2:$D$59,3,FALSE)</f>
        <v>0</v>
      </c>
      <c r="AK1251" s="1">
        <f>VLOOKUP($E1251,'Product Parameters'!$A$2:$D$59,4,FALSE)</f>
        <v>0.12</v>
      </c>
      <c r="AL1251" s="1">
        <f>VLOOKUP($E1251,'Product Parameters'!$A$2:$E$59,5,FALSE)</f>
        <v>52</v>
      </c>
      <c r="AM1251" s="1">
        <f>VLOOKUP($E1251,'Product Parameters'!$A$2:$F$59,6,FALSE)</f>
        <v>4</v>
      </c>
      <c r="AN1251" s="1">
        <f>VLOOKUP($C1251,'Substrate Heating'!$A$2:$C$33,3,FALSE)</f>
        <v>1843.720736</v>
      </c>
      <c r="AO1251" s="1">
        <f>VLOOKUP($C1251,'Substrate Heating'!$A$2:$B$33,2,FALSE)</f>
        <v>30.68</v>
      </c>
      <c r="AP1251" s="1">
        <f>VLOOKUP($C1251,'Substrate Heating'!$A$2:$M$33,13,FALSE)</f>
        <v>6</v>
      </c>
      <c r="AQ1251" s="1">
        <f>VLOOKUP($C1251,'Substrate Heating'!$A$2:$M$33,8,FALSE)</f>
        <v>3</v>
      </c>
      <c r="AR1251" s="1">
        <f t="shared" si="19"/>
        <v>0.7017805383022786</v>
      </c>
    </row>
    <row r="1252" spans="1:44" x14ac:dyDescent="0.2">
      <c r="A1252" s="8" t="s">
        <v>34</v>
      </c>
      <c r="B1252" s="9" t="s">
        <v>35</v>
      </c>
      <c r="C1252" s="1" t="s">
        <v>341</v>
      </c>
      <c r="D1252" s="24" t="s">
        <v>342</v>
      </c>
      <c r="E1252" s="1" t="s">
        <v>124</v>
      </c>
      <c r="F1252" s="1" t="s">
        <v>125</v>
      </c>
      <c r="G1252" s="1">
        <v>-10</v>
      </c>
      <c r="H1252" s="1">
        <v>-20</v>
      </c>
      <c r="I1252" s="1" t="s">
        <v>40</v>
      </c>
      <c r="J1252" s="1">
        <v>3.15</v>
      </c>
      <c r="K1252" s="1">
        <v>-10</v>
      </c>
      <c r="L1252" s="1">
        <v>-10.6130136986301</v>
      </c>
      <c r="M1252" s="1" t="s">
        <v>40</v>
      </c>
      <c r="N1252" s="1">
        <v>10.6130136986301</v>
      </c>
      <c r="O1252" s="1">
        <v>16.462328767123299</v>
      </c>
      <c r="Q1252" s="1">
        <v>1.64623287671233</v>
      </c>
      <c r="R1252" s="1">
        <v>0.64928850888495404</v>
      </c>
      <c r="S1252" s="1" t="str">
        <f>VLOOKUP($E1252,'Product Naming'!$A$1:$P$58,2,FALSE)</f>
        <v>Acrylate-PW1</v>
      </c>
      <c r="T1252" s="1" t="str">
        <f>VLOOKUP($E1252,'Product Naming'!$A$1:$P$58,3,FALSE)</f>
        <v>Acrylate (PW1)</v>
      </c>
      <c r="U1252" s="1" t="str">
        <f>VLOOKUP($E1252,'Product Naming'!$A$1:$P$58,4,FALSE)</f>
        <v>A</v>
      </c>
      <c r="V1252" s="1" t="str">
        <f>VLOOKUP($E1252,'Product Naming'!$A$1:$P$58,5,FALSE)</f>
        <v>C3H3O2</v>
      </c>
      <c r="W1252" s="1">
        <f>VLOOKUP($E1252,'Product Naming'!$A$1:$P$58,6,FALSE)</f>
        <v>3</v>
      </c>
      <c r="X1252" s="1">
        <f>VLOOKUP($E1252,'Product Naming'!$A$1:$P$58,7,FALSE)</f>
        <v>3</v>
      </c>
      <c r="Y1252" s="1">
        <f>VLOOKUP($E1252,'Product Naming'!$A$1:$P$58,8,FALSE)</f>
        <v>2</v>
      </c>
      <c r="Z1252" s="1">
        <f>VLOOKUP($E1252,'Product Naming'!$A$1:$P$58,9,FALSE)</f>
        <v>0</v>
      </c>
      <c r="AA1252" s="1">
        <f>VLOOKUP($E1252,'Product Naming'!$A$1:$P$58,10,FALSE)</f>
        <v>-1</v>
      </c>
      <c r="AB1252" s="29">
        <f>VLOOKUP($E1252,'Product Naming'!$A$1:$P$58,11,FALSE)</f>
        <v>3.6666666666666665</v>
      </c>
      <c r="AC1252" s="3">
        <f>VLOOKUP($E1252,'Product Naming'!$A$1:$P$58,12,FALSE)</f>
        <v>71.053619999999995</v>
      </c>
      <c r="AD1252" s="1">
        <f>VLOOKUP($E1252,'Product Naming'!$A$1:$P$58,13,FALSE)</f>
        <v>80</v>
      </c>
      <c r="AE1252" s="1" t="str">
        <f>VLOOKUP($E1252,'Product Naming'!$A$1:$P$58,14,FALSE)</f>
        <v>Carboxylate</v>
      </c>
      <c r="AF1252" s="1" t="str">
        <f>VLOOKUP($E1252,'Product Naming'!$A$1:$P$58,15,FALSE)</f>
        <v>Glyceraldehyde 3-P</v>
      </c>
      <c r="AG1252" s="30" t="str">
        <f>VLOOKUP($E1252,'Product Naming'!$A$1:$P$58,16,FALSE)</f>
        <v>Proton symporter</v>
      </c>
      <c r="AH1252" s="3" t="str">
        <f>VLOOKUP($E1252,'Product Naming'!$A$1:$Q$58,17,FALSE)</f>
        <v>acryl_c</v>
      </c>
      <c r="AI1252" s="1">
        <f>VLOOKUP($E1252,'Product Parameters'!$A$2:$D$59,2,FALSE)</f>
        <v>1</v>
      </c>
      <c r="AJ1252" s="1">
        <f>VLOOKUP($E1252,'Product Parameters'!$A$2:$D$59,3,FALSE)</f>
        <v>0</v>
      </c>
      <c r="AK1252" s="1">
        <f>VLOOKUP($E1252,'Product Parameters'!$A$2:$D$59,4,FALSE)</f>
        <v>0.12</v>
      </c>
      <c r="AL1252" s="1">
        <f>VLOOKUP($E1252,'Product Parameters'!$A$2:$E$59,5,FALSE)</f>
        <v>53.1</v>
      </c>
      <c r="AM1252" s="1">
        <f>VLOOKUP($E1252,'Product Parameters'!$A$2:$F$59,6,FALSE)</f>
        <v>3</v>
      </c>
      <c r="AN1252" s="1">
        <f>VLOOKUP($C1252,'Substrate Heating'!$A$2:$C$33,3,FALSE)</f>
        <v>2828.4492</v>
      </c>
      <c r="AO1252" s="1">
        <f>VLOOKUP($C1252,'Substrate Heating'!$A$2:$B$33,2,FALSE)</f>
        <v>15.7</v>
      </c>
      <c r="AP1252" s="1">
        <f>VLOOKUP($C1252,'Substrate Heating'!$A$2:$M$33,13,FALSE)</f>
        <v>4</v>
      </c>
      <c r="AQ1252" s="1">
        <f>VLOOKUP($C1252,'Substrate Heating'!$A$2:$M$33,8,FALSE)</f>
        <v>6</v>
      </c>
      <c r="AR1252" s="1">
        <f t="shared" si="19"/>
        <v>0.82311643835616499</v>
      </c>
    </row>
    <row r="1253" spans="1:44" x14ac:dyDescent="0.2">
      <c r="A1253" s="8" t="s">
        <v>34</v>
      </c>
      <c r="B1253" s="9" t="s">
        <v>35</v>
      </c>
      <c r="C1253" s="1" t="s">
        <v>331</v>
      </c>
      <c r="D1253" s="10" t="s">
        <v>37</v>
      </c>
      <c r="E1253" s="1" t="s">
        <v>180</v>
      </c>
      <c r="F1253" s="1" t="s">
        <v>181</v>
      </c>
      <c r="G1253" s="1">
        <v>-10</v>
      </c>
      <c r="H1253" s="1">
        <v>-20</v>
      </c>
      <c r="I1253" s="1" t="s">
        <v>40</v>
      </c>
      <c r="J1253" s="1">
        <v>3.15</v>
      </c>
      <c r="K1253" s="1">
        <v>-10</v>
      </c>
      <c r="L1253" s="1">
        <v>-9.1720626631853808</v>
      </c>
      <c r="M1253" s="1" t="s">
        <v>40</v>
      </c>
      <c r="N1253" s="1">
        <v>2.7331592689295001</v>
      </c>
      <c r="O1253" s="1">
        <v>2.8778067885117502</v>
      </c>
      <c r="Q1253" s="1">
        <v>0.28778067885117498</v>
      </c>
      <c r="R1253" s="1">
        <v>0.64955667217882995</v>
      </c>
      <c r="S1253" s="1" t="str">
        <f>VLOOKUP($E1253,'Product Naming'!$A$1:$P$58,2,FALSE)</f>
        <v>ciscisMuconate</v>
      </c>
      <c r="T1253" s="1" t="str">
        <f>VLOOKUP($E1253,'Product Naming'!$A$1:$P$58,3,FALSE)</f>
        <v>cis,cis-Muconate</v>
      </c>
      <c r="U1253" s="1" t="str">
        <f>VLOOKUP($E1253,'Product Naming'!$A$1:$P$58,4,FALSE)</f>
        <v>A</v>
      </c>
      <c r="V1253" s="1" t="str">
        <f>VLOOKUP($E1253,'Product Naming'!$A$1:$P$58,5,FALSE)</f>
        <v>C6H4O4</v>
      </c>
      <c r="W1253" s="1">
        <f>VLOOKUP($E1253,'Product Naming'!$A$1:$P$58,6,FALSE)</f>
        <v>6</v>
      </c>
      <c r="X1253" s="1">
        <f>VLOOKUP($E1253,'Product Naming'!$A$1:$P$58,7,FALSE)</f>
        <v>4</v>
      </c>
      <c r="Y1253" s="1">
        <f>VLOOKUP($E1253,'Product Naming'!$A$1:$P$58,8,FALSE)</f>
        <v>4</v>
      </c>
      <c r="Z1253" s="1">
        <f>VLOOKUP($E1253,'Product Naming'!$A$1:$P$58,9,FALSE)</f>
        <v>0</v>
      </c>
      <c r="AA1253" s="1">
        <f>VLOOKUP($E1253,'Product Naming'!$A$1:$P$58,10,FALSE)</f>
        <v>-2</v>
      </c>
      <c r="AB1253" s="29">
        <f>VLOOKUP($E1253,'Product Naming'!$A$1:$P$58,11,FALSE)</f>
        <v>3.3333333333333335</v>
      </c>
      <c r="AC1253" s="3">
        <f>VLOOKUP($E1253,'Product Naming'!$A$1:$P$58,12,FALSE)</f>
        <v>140.09156000000002</v>
      </c>
      <c r="AD1253" s="1">
        <f>VLOOKUP($E1253,'Product Naming'!$A$1:$P$58,13,FALSE)</f>
        <v>345.4</v>
      </c>
      <c r="AE1253" s="1" t="str">
        <f>VLOOKUP($E1253,'Product Naming'!$A$1:$P$58,14,FALSE)</f>
        <v>Dicarboxylate</v>
      </c>
      <c r="AF1253" s="1" t="str">
        <f>VLOOKUP($E1253,'Product Naming'!$A$1:$P$58,15,FALSE)</f>
        <v>Glyceraldehyde 3-P</v>
      </c>
      <c r="AG1253" s="30" t="str">
        <f>VLOOKUP($E1253,'Product Naming'!$A$1:$P$58,16,FALSE)</f>
        <v>Proton symporter</v>
      </c>
      <c r="AH1253" s="3" t="str">
        <f>VLOOKUP($E1253,'Product Naming'!$A$1:$Q$58,17,FALSE)</f>
        <v>ccmuac_c</v>
      </c>
      <c r="AI1253" s="1">
        <f>VLOOKUP($E1253,'Product Parameters'!$A$2:$D$59,2,FALSE)</f>
        <v>1</v>
      </c>
      <c r="AJ1253" s="1">
        <f>VLOOKUP($E1253,'Product Parameters'!$A$2:$D$59,3,FALSE)</f>
        <v>0</v>
      </c>
      <c r="AK1253" s="1">
        <f>VLOOKUP($E1253,'Product Parameters'!$A$2:$D$59,4,FALSE)</f>
        <v>0.12</v>
      </c>
      <c r="AL1253" s="1">
        <f>VLOOKUP($E1253,'Product Parameters'!$A$2:$E$59,5,FALSE)</f>
        <v>40.65</v>
      </c>
      <c r="AM1253" s="1">
        <f>VLOOKUP($E1253,'Product Parameters'!$A$2:$F$59,6,FALSE)</f>
        <v>6</v>
      </c>
      <c r="AN1253" s="1">
        <f>VLOOKUP($C1253,'Substrate Heating'!$A$2:$C$33,3,FALSE)</f>
        <v>1055.1294800000001</v>
      </c>
      <c r="AO1253" s="1">
        <f>VLOOKUP($C1253,'Substrate Heating'!$A$2:$B$33,2,FALSE)</f>
        <v>17</v>
      </c>
      <c r="AP1253" s="1">
        <f>VLOOKUP($C1253,'Substrate Heating'!$A$2:$M$33,13,FALSE)</f>
        <v>5</v>
      </c>
      <c r="AQ1253" s="1">
        <f>VLOOKUP($C1253,'Substrate Heating'!$A$2:$M$33,8,FALSE)</f>
        <v>2</v>
      </c>
      <c r="AR1253" s="1">
        <f t="shared" si="19"/>
        <v>0.86334203655352493</v>
      </c>
    </row>
    <row r="1254" spans="1:44" x14ac:dyDescent="0.2">
      <c r="A1254" s="8" t="s">
        <v>34</v>
      </c>
      <c r="B1254" s="9" t="s">
        <v>35</v>
      </c>
      <c r="C1254" s="1" t="s">
        <v>346</v>
      </c>
      <c r="D1254" s="23" t="s">
        <v>338</v>
      </c>
      <c r="E1254" s="1" t="s">
        <v>38</v>
      </c>
      <c r="F1254" s="1" t="s">
        <v>39</v>
      </c>
      <c r="G1254" s="1">
        <v>-10</v>
      </c>
      <c r="H1254" s="1">
        <v>-20</v>
      </c>
      <c r="I1254" s="1" t="s">
        <v>40</v>
      </c>
      <c r="J1254" s="1">
        <v>3.15</v>
      </c>
      <c r="K1254" s="1">
        <v>-10</v>
      </c>
      <c r="L1254" s="1">
        <v>-2.2210937500000099</v>
      </c>
      <c r="M1254" s="1" t="s">
        <v>40</v>
      </c>
      <c r="N1254" s="1">
        <v>0.70624999999998095</v>
      </c>
      <c r="O1254" s="1">
        <v>2.3234374999999901</v>
      </c>
      <c r="Q1254" s="1">
        <v>0.23234374999999899</v>
      </c>
      <c r="R1254" s="1">
        <v>0.65349376315889396</v>
      </c>
      <c r="S1254" s="1" t="str">
        <f>VLOOKUP($E1254,'Product Naming'!$A$1:$P$58,2,FALSE)</f>
        <v>1-3-butanediol-PW1</v>
      </c>
      <c r="T1254" s="1" t="str">
        <f>VLOOKUP($E1254,'Product Naming'!$A$1:$P$58,3,FALSE)</f>
        <v>1,3-Butanediol (PW1)</v>
      </c>
      <c r="U1254" s="1" t="str">
        <f>VLOOKUP($E1254,'Product Naming'!$A$1:$P$58,4,FALSE)</f>
        <v>E</v>
      </c>
      <c r="V1254" s="1" t="str">
        <f>VLOOKUP($E1254,'Product Naming'!$A$1:$P$58,5,FALSE)</f>
        <v>C4H10O2</v>
      </c>
      <c r="W1254" s="1">
        <f>VLOOKUP($E1254,'Product Naming'!$A$1:$P$58,6,FALSE)</f>
        <v>4</v>
      </c>
      <c r="X1254" s="1">
        <f>VLOOKUP($E1254,'Product Naming'!$A$1:$P$58,7,FALSE)</f>
        <v>10</v>
      </c>
      <c r="Y1254" s="1">
        <f>VLOOKUP($E1254,'Product Naming'!$A$1:$P$58,8,FALSE)</f>
        <v>2</v>
      </c>
      <c r="Z1254" s="1">
        <f>VLOOKUP($E1254,'Product Naming'!$A$1:$P$58,9,FALSE)</f>
        <v>0</v>
      </c>
      <c r="AA1254" s="1">
        <f>VLOOKUP($E1254,'Product Naming'!$A$1:$P$58,10,FALSE)</f>
        <v>0</v>
      </c>
      <c r="AB1254" s="29">
        <f>VLOOKUP($E1254,'Product Naming'!$A$1:$P$58,11,FALSE)</f>
        <v>5.5</v>
      </c>
      <c r="AC1254" s="3">
        <f>VLOOKUP($E1254,'Product Naming'!$A$1:$P$58,12,FALSE)</f>
        <v>90.119200000000006</v>
      </c>
      <c r="AD1254" s="1">
        <f>VLOOKUP($E1254,'Product Naming'!$A$1:$P$58,13,FALSE)</f>
        <v>207</v>
      </c>
      <c r="AE1254" s="1" t="str">
        <f>VLOOKUP($E1254,'Product Naming'!$A$1:$P$58,14,FALSE)</f>
        <v>Diol</v>
      </c>
      <c r="AF1254" s="1" t="str">
        <f>VLOOKUP($E1254,'Product Naming'!$A$1:$P$58,15,FALSE)</f>
        <v>Acetyl-CoA</v>
      </c>
      <c r="AG1254" s="30" t="str">
        <f>VLOOKUP($E1254,'Product Naming'!$A$1:$P$58,16,FALSE)</f>
        <v>Proton symporter</v>
      </c>
      <c r="AH1254" s="3" t="str">
        <f>VLOOKUP($E1254,'Product Naming'!$A$1:$Q$58,17,FALSE)</f>
        <v>13bdo__R_c</v>
      </c>
      <c r="AI1254" s="1">
        <f>VLOOKUP($E1254,'Product Parameters'!$A$2:$D$59,2,FALSE)</f>
        <v>1</v>
      </c>
      <c r="AJ1254" s="1">
        <f>VLOOKUP($E1254,'Product Parameters'!$A$2:$D$59,3,FALSE)</f>
        <v>0</v>
      </c>
      <c r="AK1254" s="1">
        <f>VLOOKUP($E1254,'Product Parameters'!$A$2:$D$59,4,FALSE)</f>
        <v>0.12</v>
      </c>
      <c r="AL1254" s="1">
        <f>VLOOKUP($E1254,'Product Parameters'!$A$2:$E$59,5,FALSE)</f>
        <v>72.599999999999994</v>
      </c>
      <c r="AM1254" s="1">
        <f>VLOOKUP($E1254,'Product Parameters'!$A$2:$F$59,6,FALSE)</f>
        <v>4</v>
      </c>
      <c r="AN1254" s="1">
        <f>VLOOKUP($C1254,'Substrate Heating'!$A$2:$C$33,3,FALSE)</f>
        <v>638.57832580000002</v>
      </c>
      <c r="AO1254" s="1">
        <f>VLOOKUP($C1254,'Substrate Heating'!$A$2:$B$33,2,FALSE)</f>
        <v>19.93</v>
      </c>
      <c r="AP1254" s="1">
        <f>VLOOKUP($C1254,'Substrate Heating'!$A$2:$M$33,13,FALSE)</f>
        <v>6</v>
      </c>
      <c r="AQ1254" s="1">
        <f>VLOOKUP($C1254,'Substrate Heating'!$A$2:$M$33,8,FALSE)</f>
        <v>1</v>
      </c>
      <c r="AR1254" s="1">
        <f t="shared" si="19"/>
        <v>0.92937499999999595</v>
      </c>
    </row>
    <row r="1255" spans="1:44" x14ac:dyDescent="0.2">
      <c r="A1255" s="8" t="s">
        <v>34</v>
      </c>
      <c r="B1255" s="9" t="s">
        <v>35</v>
      </c>
      <c r="C1255" s="1" t="s">
        <v>347</v>
      </c>
      <c r="D1255" s="23" t="s">
        <v>338</v>
      </c>
      <c r="E1255" s="1" t="s">
        <v>38</v>
      </c>
      <c r="F1255" s="1" t="s">
        <v>39</v>
      </c>
      <c r="G1255" s="1">
        <v>-10</v>
      </c>
      <c r="H1255" s="1">
        <v>-20</v>
      </c>
      <c r="I1255" s="1" t="s">
        <v>40</v>
      </c>
      <c r="J1255" s="1">
        <v>3.15</v>
      </c>
      <c r="K1255" s="1">
        <v>-10</v>
      </c>
      <c r="L1255" s="1">
        <v>-2.2210937500000001</v>
      </c>
      <c r="M1255" s="1" t="s">
        <v>40</v>
      </c>
      <c r="N1255" s="1">
        <v>0.70625000000000004</v>
      </c>
      <c r="O1255" s="1">
        <v>2.3234374999999998</v>
      </c>
      <c r="Q1255" s="1">
        <v>0.23234374999999999</v>
      </c>
      <c r="R1255" s="1">
        <v>0.65349376315889596</v>
      </c>
      <c r="S1255" s="1" t="str">
        <f>VLOOKUP($E1255,'Product Naming'!$A$1:$P$58,2,FALSE)</f>
        <v>1-3-butanediol-PW1</v>
      </c>
      <c r="T1255" s="1" t="str">
        <f>VLOOKUP($E1255,'Product Naming'!$A$1:$P$58,3,FALSE)</f>
        <v>1,3-Butanediol (PW1)</v>
      </c>
      <c r="U1255" s="1" t="str">
        <f>VLOOKUP($E1255,'Product Naming'!$A$1:$P$58,4,FALSE)</f>
        <v>E</v>
      </c>
      <c r="V1255" s="1" t="str">
        <f>VLOOKUP($E1255,'Product Naming'!$A$1:$P$58,5,FALSE)</f>
        <v>C4H10O2</v>
      </c>
      <c r="W1255" s="1">
        <f>VLOOKUP($E1255,'Product Naming'!$A$1:$P$58,6,FALSE)</f>
        <v>4</v>
      </c>
      <c r="X1255" s="1">
        <f>VLOOKUP($E1255,'Product Naming'!$A$1:$P$58,7,FALSE)</f>
        <v>10</v>
      </c>
      <c r="Y1255" s="1">
        <f>VLOOKUP($E1255,'Product Naming'!$A$1:$P$58,8,FALSE)</f>
        <v>2</v>
      </c>
      <c r="Z1255" s="1">
        <f>VLOOKUP($E1255,'Product Naming'!$A$1:$P$58,9,FALSE)</f>
        <v>0</v>
      </c>
      <c r="AA1255" s="1">
        <f>VLOOKUP($E1255,'Product Naming'!$A$1:$P$58,10,FALSE)</f>
        <v>0</v>
      </c>
      <c r="AB1255" s="29">
        <f>VLOOKUP($E1255,'Product Naming'!$A$1:$P$58,11,FALSE)</f>
        <v>5.5</v>
      </c>
      <c r="AC1255" s="3">
        <f>VLOOKUP($E1255,'Product Naming'!$A$1:$P$58,12,FALSE)</f>
        <v>90.119200000000006</v>
      </c>
      <c r="AD1255" s="1">
        <f>VLOOKUP($E1255,'Product Naming'!$A$1:$P$58,13,FALSE)</f>
        <v>207</v>
      </c>
      <c r="AE1255" s="1" t="str">
        <f>VLOOKUP($E1255,'Product Naming'!$A$1:$P$58,14,FALSE)</f>
        <v>Diol</v>
      </c>
      <c r="AF1255" s="1" t="str">
        <f>VLOOKUP($E1255,'Product Naming'!$A$1:$P$58,15,FALSE)</f>
        <v>Acetyl-CoA</v>
      </c>
      <c r="AG1255" s="30" t="str">
        <f>VLOOKUP($E1255,'Product Naming'!$A$1:$P$58,16,FALSE)</f>
        <v>Proton symporter</v>
      </c>
      <c r="AH1255" s="3" t="str">
        <f>VLOOKUP($E1255,'Product Naming'!$A$1:$Q$58,17,FALSE)</f>
        <v>13bdo__R_c</v>
      </c>
      <c r="AI1255" s="1">
        <f>VLOOKUP($E1255,'Product Parameters'!$A$2:$D$59,2,FALSE)</f>
        <v>1</v>
      </c>
      <c r="AJ1255" s="1">
        <f>VLOOKUP($E1255,'Product Parameters'!$A$2:$D$59,3,FALSE)</f>
        <v>0</v>
      </c>
      <c r="AK1255" s="1">
        <f>VLOOKUP($E1255,'Product Parameters'!$A$2:$D$59,4,FALSE)</f>
        <v>0.12</v>
      </c>
      <c r="AL1255" s="1">
        <f>VLOOKUP($E1255,'Product Parameters'!$A$2:$E$59,5,FALSE)</f>
        <v>72.599999999999994</v>
      </c>
      <c r="AM1255" s="1">
        <f>VLOOKUP($E1255,'Product Parameters'!$A$2:$F$59,6,FALSE)</f>
        <v>4</v>
      </c>
      <c r="AN1255" s="1">
        <f>VLOOKUP($C1255,'Substrate Heating'!$A$2:$C$33,3,FALSE)</f>
        <v>638.57832580000002</v>
      </c>
      <c r="AO1255" s="1">
        <f>VLOOKUP($C1255,'Substrate Heating'!$A$2:$B$33,2,FALSE)</f>
        <v>19.93</v>
      </c>
      <c r="AP1255" s="1">
        <f>VLOOKUP($C1255,'Substrate Heating'!$A$2:$M$33,13,FALSE)</f>
        <v>6</v>
      </c>
      <c r="AQ1255" s="1">
        <f>VLOOKUP($C1255,'Substrate Heating'!$A$2:$M$33,8,FALSE)</f>
        <v>1</v>
      </c>
      <c r="AR1255" s="1">
        <f t="shared" si="19"/>
        <v>0.92937499999999995</v>
      </c>
    </row>
    <row r="1256" spans="1:44" x14ac:dyDescent="0.2">
      <c r="A1256" s="8" t="s">
        <v>34</v>
      </c>
      <c r="B1256" s="9" t="s">
        <v>35</v>
      </c>
      <c r="C1256" s="1" t="s">
        <v>348</v>
      </c>
      <c r="D1256" s="23" t="s">
        <v>338</v>
      </c>
      <c r="E1256" s="1" t="s">
        <v>130</v>
      </c>
      <c r="F1256" s="1" t="s">
        <v>125</v>
      </c>
      <c r="G1256" s="1">
        <v>-10</v>
      </c>
      <c r="H1256" s="1">
        <v>-20</v>
      </c>
      <c r="I1256" s="1" t="s">
        <v>40</v>
      </c>
      <c r="J1256" s="1">
        <v>3.15</v>
      </c>
      <c r="K1256" s="1">
        <v>-10</v>
      </c>
      <c r="L1256" s="1">
        <v>-6.1299999999999901</v>
      </c>
      <c r="M1256" s="1" t="s">
        <v>40</v>
      </c>
      <c r="N1256" s="1">
        <v>1.1299999999999799</v>
      </c>
      <c r="O1256" s="1">
        <v>2.9566666666666501</v>
      </c>
      <c r="Q1256" s="1">
        <v>0.29566666666666502</v>
      </c>
      <c r="R1256" s="1">
        <v>0.655664543557545</v>
      </c>
      <c r="S1256" s="1" t="str">
        <f>VLOOKUP($E1256,'Product Naming'!$A$1:$P$58,2,FALSE)</f>
        <v>Acrylate-PW2</v>
      </c>
      <c r="T1256" s="1" t="str">
        <f>VLOOKUP($E1256,'Product Naming'!$A$1:$P$58,3,FALSE)</f>
        <v>Acrylate (PW2)</v>
      </c>
      <c r="U1256" s="1" t="str">
        <f>VLOOKUP($E1256,'Product Naming'!$A$1:$P$58,4,FALSE)</f>
        <v>A</v>
      </c>
      <c r="V1256" s="1" t="str">
        <f>VLOOKUP($E1256,'Product Naming'!$A$1:$P$58,5,FALSE)</f>
        <v>C3H3O2</v>
      </c>
      <c r="W1256" s="1">
        <f>VLOOKUP($E1256,'Product Naming'!$A$1:$P$58,6,FALSE)</f>
        <v>3</v>
      </c>
      <c r="X1256" s="1">
        <f>VLOOKUP($E1256,'Product Naming'!$A$1:$P$58,7,FALSE)</f>
        <v>3</v>
      </c>
      <c r="Y1256" s="1">
        <f>VLOOKUP($E1256,'Product Naming'!$A$1:$P$58,8,FALSE)</f>
        <v>2</v>
      </c>
      <c r="Z1256" s="1">
        <f>VLOOKUP($E1256,'Product Naming'!$A$1:$P$58,9,FALSE)</f>
        <v>0</v>
      </c>
      <c r="AA1256" s="1">
        <f>VLOOKUP($E1256,'Product Naming'!$A$1:$P$58,10,FALSE)</f>
        <v>-1</v>
      </c>
      <c r="AB1256" s="29">
        <f>VLOOKUP($E1256,'Product Naming'!$A$1:$P$58,11,FALSE)</f>
        <v>3.6666666666666665</v>
      </c>
      <c r="AC1256" s="3">
        <f>VLOOKUP($E1256,'Product Naming'!$A$1:$P$58,12,FALSE)</f>
        <v>71.053619999999995</v>
      </c>
      <c r="AD1256" s="1">
        <f>VLOOKUP($E1256,'Product Naming'!$A$1:$P$58,13,FALSE)</f>
        <v>80</v>
      </c>
      <c r="AE1256" s="1" t="str">
        <f>VLOOKUP($E1256,'Product Naming'!$A$1:$P$58,14,FALSE)</f>
        <v>Carboxylate</v>
      </c>
      <c r="AF1256" s="1" t="str">
        <f>VLOOKUP($E1256,'Product Naming'!$A$1:$P$58,15,FALSE)</f>
        <v>Pyruvate</v>
      </c>
      <c r="AG1256" s="30" t="str">
        <f>VLOOKUP($E1256,'Product Naming'!$A$1:$P$58,16,FALSE)</f>
        <v>Proton symporter</v>
      </c>
      <c r="AH1256" s="3" t="str">
        <f>VLOOKUP($E1256,'Product Naming'!$A$1:$Q$58,17,FALSE)</f>
        <v>acryl_c</v>
      </c>
      <c r="AI1256" s="1">
        <f>VLOOKUP($E1256,'Product Parameters'!$A$2:$D$59,2,FALSE)</f>
        <v>1</v>
      </c>
      <c r="AJ1256" s="1">
        <f>VLOOKUP($E1256,'Product Parameters'!$A$2:$D$59,3,FALSE)</f>
        <v>0</v>
      </c>
      <c r="AK1256" s="1">
        <f>VLOOKUP($E1256,'Product Parameters'!$A$2:$D$59,4,FALSE)</f>
        <v>0.12</v>
      </c>
      <c r="AL1256" s="1">
        <f>VLOOKUP($E1256,'Product Parameters'!$A$2:$E$59,5,FALSE)</f>
        <v>53.1</v>
      </c>
      <c r="AM1256" s="1">
        <f>VLOOKUP($E1256,'Product Parameters'!$A$2:$F$59,6,FALSE)</f>
        <v>3</v>
      </c>
      <c r="AN1256" s="1">
        <f>VLOOKUP($C1256,'Substrate Heating'!$A$2:$C$33,3,FALSE)</f>
        <v>638.57832580000002</v>
      </c>
      <c r="AO1256" s="1">
        <f>VLOOKUP($C1256,'Substrate Heating'!$A$2:$B$33,2,FALSE)</f>
        <v>19.93</v>
      </c>
      <c r="AP1256" s="1">
        <f>VLOOKUP($C1256,'Substrate Heating'!$A$2:$M$33,13,FALSE)</f>
        <v>6</v>
      </c>
      <c r="AQ1256" s="1">
        <f>VLOOKUP($C1256,'Substrate Heating'!$A$2:$M$33,8,FALSE)</f>
        <v>1</v>
      </c>
      <c r="AR1256" s="1">
        <f t="shared" si="19"/>
        <v>0.88699999999999513</v>
      </c>
    </row>
    <row r="1257" spans="1:44" x14ac:dyDescent="0.2">
      <c r="A1257" s="8" t="s">
        <v>34</v>
      </c>
      <c r="B1257" s="9" t="s">
        <v>35</v>
      </c>
      <c r="C1257" s="1" t="s">
        <v>346</v>
      </c>
      <c r="D1257" s="23" t="s">
        <v>338</v>
      </c>
      <c r="E1257" s="1" t="s">
        <v>244</v>
      </c>
      <c r="F1257" s="1" t="s">
        <v>245</v>
      </c>
      <c r="G1257" s="1">
        <v>-10</v>
      </c>
      <c r="H1257" s="1">
        <v>-20</v>
      </c>
      <c r="I1257" s="1" t="s">
        <v>40</v>
      </c>
      <c r="J1257" s="1">
        <v>3.15</v>
      </c>
      <c r="K1257" s="1">
        <v>-10</v>
      </c>
      <c r="L1257" s="1">
        <v>-2.9338624338624402</v>
      </c>
      <c r="M1257" s="1" t="s">
        <v>40</v>
      </c>
      <c r="N1257" s="1">
        <v>0.34708994708995</v>
      </c>
      <c r="O1257" s="1">
        <v>2.4132275132275098</v>
      </c>
      <c r="Q1257" s="1">
        <v>0.24132275132275099</v>
      </c>
      <c r="R1257" s="1">
        <v>0.655976085870004</v>
      </c>
      <c r="S1257" s="1" t="str">
        <f>VLOOKUP($E1257,'Product Naming'!$A$1:$P$58,2,FALSE)</f>
        <v>Isobutyrate</v>
      </c>
      <c r="T1257" s="1" t="str">
        <f>VLOOKUP($E1257,'Product Naming'!$A$1:$P$58,3,FALSE)</f>
        <v>Isobutyrate</v>
      </c>
      <c r="U1257" s="1" t="str">
        <f>VLOOKUP($E1257,'Product Naming'!$A$1:$P$58,4,FALSE)</f>
        <v>A</v>
      </c>
      <c r="V1257" s="1" t="str">
        <f>VLOOKUP($E1257,'Product Naming'!$A$1:$P$58,5,FALSE)</f>
        <v>C4H7O2</v>
      </c>
      <c r="W1257" s="1">
        <f>VLOOKUP($E1257,'Product Naming'!$A$1:$P$58,6,FALSE)</f>
        <v>4</v>
      </c>
      <c r="X1257" s="1">
        <f>VLOOKUP($E1257,'Product Naming'!$A$1:$P$58,7,FALSE)</f>
        <v>7</v>
      </c>
      <c r="Y1257" s="1">
        <f>VLOOKUP($E1257,'Product Naming'!$A$1:$P$58,8,FALSE)</f>
        <v>2</v>
      </c>
      <c r="Z1257" s="1">
        <f>VLOOKUP($E1257,'Product Naming'!$A$1:$P$58,9,FALSE)</f>
        <v>0</v>
      </c>
      <c r="AA1257" s="1">
        <f>VLOOKUP($E1257,'Product Naming'!$A$1:$P$58,10,FALSE)</f>
        <v>-1</v>
      </c>
      <c r="AB1257" s="29">
        <f>VLOOKUP($E1257,'Product Naming'!$A$1:$P$58,11,FALSE)</f>
        <v>4.75</v>
      </c>
      <c r="AC1257" s="3">
        <f>VLOOKUP($E1257,'Product Naming'!$A$1:$P$58,12,FALSE)</f>
        <v>87.095680000000002</v>
      </c>
      <c r="AD1257" s="1">
        <f>VLOOKUP($E1257,'Product Naming'!$A$1:$P$58,13,FALSE)</f>
        <v>155</v>
      </c>
      <c r="AE1257" s="1" t="str">
        <f>VLOOKUP($E1257,'Product Naming'!$A$1:$P$58,14,FALSE)</f>
        <v>Carboxylate</v>
      </c>
      <c r="AF1257" s="1" t="str">
        <f>VLOOKUP($E1257,'Product Naming'!$A$1:$P$58,15,FALSE)</f>
        <v>Pyruvate</v>
      </c>
      <c r="AG1257" s="30" t="str">
        <f>VLOOKUP($E1257,'Product Naming'!$A$1:$P$58,16,FALSE)</f>
        <v>Proton symporter</v>
      </c>
      <c r="AH1257" s="3" t="str">
        <f>VLOOKUP($E1257,'Product Naming'!$A$1:$Q$58,17,FALSE)</f>
        <v>ibt_c</v>
      </c>
      <c r="AI1257" s="1">
        <f>VLOOKUP($E1257,'Product Parameters'!$A$2:$D$59,2,FALSE)</f>
        <v>1</v>
      </c>
      <c r="AJ1257" s="1">
        <f>VLOOKUP($E1257,'Product Parameters'!$A$2:$D$59,3,FALSE)</f>
        <v>0</v>
      </c>
      <c r="AK1257" s="1">
        <f>VLOOKUP($E1257,'Product Parameters'!$A$2:$D$59,4,FALSE)</f>
        <v>0.12</v>
      </c>
      <c r="AL1257" s="1">
        <f>VLOOKUP($E1257,'Product Parameters'!$A$2:$E$59,5,FALSE)</f>
        <v>44.5</v>
      </c>
      <c r="AM1257" s="1">
        <f>VLOOKUP($E1257,'Product Parameters'!$A$2:$F$59,6,FALSE)</f>
        <v>4</v>
      </c>
      <c r="AN1257" s="1">
        <f>VLOOKUP($C1257,'Substrate Heating'!$A$2:$C$33,3,FALSE)</f>
        <v>638.57832580000002</v>
      </c>
      <c r="AO1257" s="1">
        <f>VLOOKUP($C1257,'Substrate Heating'!$A$2:$B$33,2,FALSE)</f>
        <v>19.93</v>
      </c>
      <c r="AP1257" s="1">
        <f>VLOOKUP($C1257,'Substrate Heating'!$A$2:$M$33,13,FALSE)</f>
        <v>6</v>
      </c>
      <c r="AQ1257" s="1">
        <f>VLOOKUP($C1257,'Substrate Heating'!$A$2:$M$33,8,FALSE)</f>
        <v>1</v>
      </c>
      <c r="AR1257" s="1">
        <f t="shared" si="19"/>
        <v>0.96529100529100398</v>
      </c>
    </row>
    <row r="1258" spans="1:44" x14ac:dyDescent="0.2">
      <c r="A1258" s="8" t="s">
        <v>34</v>
      </c>
      <c r="B1258" s="9" t="s">
        <v>35</v>
      </c>
      <c r="C1258" s="1" t="s">
        <v>347</v>
      </c>
      <c r="D1258" s="23" t="s">
        <v>338</v>
      </c>
      <c r="E1258" s="1" t="s">
        <v>244</v>
      </c>
      <c r="F1258" s="1" t="s">
        <v>245</v>
      </c>
      <c r="G1258" s="1">
        <v>-10</v>
      </c>
      <c r="H1258" s="1">
        <v>-20</v>
      </c>
      <c r="I1258" s="1" t="s">
        <v>40</v>
      </c>
      <c r="J1258" s="1">
        <v>3.15</v>
      </c>
      <c r="K1258" s="1">
        <v>-10</v>
      </c>
      <c r="L1258" s="1">
        <v>-2.93386243386243</v>
      </c>
      <c r="M1258" s="1" t="s">
        <v>40</v>
      </c>
      <c r="N1258" s="1">
        <v>0.347089947089951</v>
      </c>
      <c r="O1258" s="1">
        <v>2.4132275132275098</v>
      </c>
      <c r="Q1258" s="1">
        <v>0.24132275132275099</v>
      </c>
      <c r="R1258" s="1">
        <v>0.655976085870004</v>
      </c>
      <c r="S1258" s="1" t="str">
        <f>VLOOKUP($E1258,'Product Naming'!$A$1:$P$58,2,FALSE)</f>
        <v>Isobutyrate</v>
      </c>
      <c r="T1258" s="1" t="str">
        <f>VLOOKUP($E1258,'Product Naming'!$A$1:$P$58,3,FALSE)</f>
        <v>Isobutyrate</v>
      </c>
      <c r="U1258" s="1" t="str">
        <f>VLOOKUP($E1258,'Product Naming'!$A$1:$P$58,4,FALSE)</f>
        <v>A</v>
      </c>
      <c r="V1258" s="1" t="str">
        <f>VLOOKUP($E1258,'Product Naming'!$A$1:$P$58,5,FALSE)</f>
        <v>C4H7O2</v>
      </c>
      <c r="W1258" s="1">
        <f>VLOOKUP($E1258,'Product Naming'!$A$1:$P$58,6,FALSE)</f>
        <v>4</v>
      </c>
      <c r="X1258" s="1">
        <f>VLOOKUP($E1258,'Product Naming'!$A$1:$P$58,7,FALSE)</f>
        <v>7</v>
      </c>
      <c r="Y1258" s="1">
        <f>VLOOKUP($E1258,'Product Naming'!$A$1:$P$58,8,FALSE)</f>
        <v>2</v>
      </c>
      <c r="Z1258" s="1">
        <f>VLOOKUP($E1258,'Product Naming'!$A$1:$P$58,9,FALSE)</f>
        <v>0</v>
      </c>
      <c r="AA1258" s="1">
        <f>VLOOKUP($E1258,'Product Naming'!$A$1:$P$58,10,FALSE)</f>
        <v>-1</v>
      </c>
      <c r="AB1258" s="29">
        <f>VLOOKUP($E1258,'Product Naming'!$A$1:$P$58,11,FALSE)</f>
        <v>4.75</v>
      </c>
      <c r="AC1258" s="3">
        <f>VLOOKUP($E1258,'Product Naming'!$A$1:$P$58,12,FALSE)</f>
        <v>87.095680000000002</v>
      </c>
      <c r="AD1258" s="1">
        <f>VLOOKUP($E1258,'Product Naming'!$A$1:$P$58,13,FALSE)</f>
        <v>155</v>
      </c>
      <c r="AE1258" s="1" t="str">
        <f>VLOOKUP($E1258,'Product Naming'!$A$1:$P$58,14,FALSE)</f>
        <v>Carboxylate</v>
      </c>
      <c r="AF1258" s="1" t="str">
        <f>VLOOKUP($E1258,'Product Naming'!$A$1:$P$58,15,FALSE)</f>
        <v>Pyruvate</v>
      </c>
      <c r="AG1258" s="30" t="str">
        <f>VLOOKUP($E1258,'Product Naming'!$A$1:$P$58,16,FALSE)</f>
        <v>Proton symporter</v>
      </c>
      <c r="AH1258" s="3" t="str">
        <f>VLOOKUP($E1258,'Product Naming'!$A$1:$Q$58,17,FALSE)</f>
        <v>ibt_c</v>
      </c>
      <c r="AI1258" s="1">
        <f>VLOOKUP($E1258,'Product Parameters'!$A$2:$D$59,2,FALSE)</f>
        <v>1</v>
      </c>
      <c r="AJ1258" s="1">
        <f>VLOOKUP($E1258,'Product Parameters'!$A$2:$D$59,3,FALSE)</f>
        <v>0</v>
      </c>
      <c r="AK1258" s="1">
        <f>VLOOKUP($E1258,'Product Parameters'!$A$2:$D$59,4,FALSE)</f>
        <v>0.12</v>
      </c>
      <c r="AL1258" s="1">
        <f>VLOOKUP($E1258,'Product Parameters'!$A$2:$E$59,5,FALSE)</f>
        <v>44.5</v>
      </c>
      <c r="AM1258" s="1">
        <f>VLOOKUP($E1258,'Product Parameters'!$A$2:$F$59,6,FALSE)</f>
        <v>4</v>
      </c>
      <c r="AN1258" s="1">
        <f>VLOOKUP($C1258,'Substrate Heating'!$A$2:$C$33,3,FALSE)</f>
        <v>638.57832580000002</v>
      </c>
      <c r="AO1258" s="1">
        <f>VLOOKUP($C1258,'Substrate Heating'!$A$2:$B$33,2,FALSE)</f>
        <v>19.93</v>
      </c>
      <c r="AP1258" s="1">
        <f>VLOOKUP($C1258,'Substrate Heating'!$A$2:$M$33,13,FALSE)</f>
        <v>6</v>
      </c>
      <c r="AQ1258" s="1">
        <f>VLOOKUP($C1258,'Substrate Heating'!$A$2:$M$33,8,FALSE)</f>
        <v>1</v>
      </c>
      <c r="AR1258" s="1">
        <f t="shared" si="19"/>
        <v>0.96529100529100398</v>
      </c>
    </row>
    <row r="1259" spans="1:44" x14ac:dyDescent="0.2">
      <c r="A1259" s="8" t="s">
        <v>812</v>
      </c>
      <c r="B1259" s="9" t="s">
        <v>35</v>
      </c>
      <c r="C1259" t="s">
        <v>813</v>
      </c>
      <c r="E1259" t="s">
        <v>93</v>
      </c>
      <c r="F1259" t="s">
        <v>92</v>
      </c>
      <c r="G1259">
        <v>-10</v>
      </c>
      <c r="H1259">
        <v>-20</v>
      </c>
      <c r="I1259">
        <v>0</v>
      </c>
      <c r="J1259">
        <v>3.15</v>
      </c>
      <c r="K1259">
        <v>-10</v>
      </c>
      <c r="L1259">
        <v>-11.445652173913</v>
      </c>
      <c r="M1259">
        <v>0</v>
      </c>
      <c r="N1259">
        <v>7.6304347826086998</v>
      </c>
      <c r="O1259">
        <v>4.4739130434782597</v>
      </c>
      <c r="P1259"/>
      <c r="Q1259">
        <v>0.44739130434782598</v>
      </c>
      <c r="R1259">
        <v>0.65622567858997105</v>
      </c>
      <c r="S1259" s="1" t="str">
        <f>VLOOKUP($E1259,'Product Naming'!$A$1:$P$58,2,FALSE)</f>
        <v>2-Methyl-1-Butanol</v>
      </c>
      <c r="T1259" s="1" t="str">
        <f>VLOOKUP($E1259,'Product Naming'!$A$1:$P$58,3,FALSE)</f>
        <v>2-Methyl-1-butanol</v>
      </c>
      <c r="U1259" s="1" t="str">
        <f>VLOOKUP($E1259,'Product Naming'!$A$1:$P$58,4,FALSE)</f>
        <v>A</v>
      </c>
      <c r="V1259" s="1" t="str">
        <f>VLOOKUP($E1259,'Product Naming'!$A$1:$P$58,5,FALSE)</f>
        <v>C5H12O</v>
      </c>
      <c r="W1259" s="1">
        <f>VLOOKUP($E1259,'Product Naming'!$A$1:$P$58,6,FALSE)</f>
        <v>5</v>
      </c>
      <c r="X1259" s="1">
        <f>VLOOKUP($E1259,'Product Naming'!$A$1:$P$58,7,FALSE)</f>
        <v>12</v>
      </c>
      <c r="Y1259" s="1">
        <f>VLOOKUP($E1259,'Product Naming'!$A$1:$P$58,8,FALSE)</f>
        <v>1</v>
      </c>
      <c r="Z1259" s="1">
        <f>VLOOKUP($E1259,'Product Naming'!$A$1:$P$58,9,FALSE)</f>
        <v>0</v>
      </c>
      <c r="AA1259" s="1">
        <f>VLOOKUP($E1259,'Product Naming'!$A$1:$P$58,10,FALSE)</f>
        <v>0</v>
      </c>
      <c r="AB1259" s="29">
        <f>VLOOKUP($E1259,'Product Naming'!$A$1:$P$58,11,FALSE)</f>
        <v>6</v>
      </c>
      <c r="AC1259" s="3">
        <f>VLOOKUP($E1259,'Product Naming'!$A$1:$P$58,12,FALSE)</f>
        <v>88.14658</v>
      </c>
      <c r="AD1259" s="1">
        <f>VLOOKUP($E1259,'Product Naming'!$A$1:$P$58,13,FALSE)</f>
        <v>129</v>
      </c>
      <c r="AE1259" s="1" t="str">
        <f>VLOOKUP($E1259,'Product Naming'!$A$1:$P$58,14,FALSE)</f>
        <v>Alcohol</v>
      </c>
      <c r="AF1259" s="1" t="str">
        <f>VLOOKUP($E1259,'Product Naming'!$A$1:$P$58,15,FALSE)</f>
        <v>PEP</v>
      </c>
      <c r="AG1259" s="30" t="str">
        <f>VLOOKUP($E1259,'Product Naming'!$A$1:$P$58,16,FALSE)</f>
        <v>Proton symporter</v>
      </c>
      <c r="AH1259" s="3" t="str">
        <f>VLOOKUP($E1259,'Product Naming'!$A$1:$Q$58,17,FALSE)</f>
        <v>2mbtoh_c</v>
      </c>
      <c r="AI1259" s="1">
        <f>VLOOKUP($E1259,'Product Parameters'!$A$2:$D$59,2,FALSE)</f>
        <v>1</v>
      </c>
      <c r="AJ1259" s="1">
        <f>VLOOKUP($E1259,'Product Parameters'!$A$2:$D$59,3,FALSE)</f>
        <v>0</v>
      </c>
      <c r="AK1259" s="1">
        <f>VLOOKUP($E1259,'Product Parameters'!$A$2:$D$59,4,FALSE)</f>
        <v>0.12</v>
      </c>
      <c r="AL1259" s="1">
        <f>VLOOKUP($E1259,'Product Parameters'!$A$2:$E$59,5,FALSE)</f>
        <v>54.6</v>
      </c>
      <c r="AM1259" s="1">
        <f>VLOOKUP($E1259,'Product Parameters'!$A$2:$F$59,6,FALSE)</f>
        <v>5</v>
      </c>
      <c r="AN1259" s="1">
        <f>VLOOKUP($C1259,'Substrate Heating'!$A$2:$C$33,3,FALSE)</f>
        <v>1843.720736</v>
      </c>
      <c r="AO1259" s="1">
        <f>VLOOKUP($C1259,'Substrate Heating'!$A$2:$B$33,2,FALSE)</f>
        <v>30.68</v>
      </c>
      <c r="AP1259" s="1">
        <f>VLOOKUP($C1259,'Substrate Heating'!$A$2:$M$33,13,FALSE)</f>
        <v>6</v>
      </c>
      <c r="AQ1259" s="1">
        <f>VLOOKUP($C1259,'Substrate Heating'!$A$2:$M$33,8,FALSE)</f>
        <v>3</v>
      </c>
      <c r="AR1259" s="1">
        <f t="shared" si="19"/>
        <v>0.74565217391304328</v>
      </c>
    </row>
    <row r="1260" spans="1:44" x14ac:dyDescent="0.2">
      <c r="A1260" s="8" t="s">
        <v>34</v>
      </c>
      <c r="B1260" s="9" t="s">
        <v>35</v>
      </c>
      <c r="C1260" s="1" t="s">
        <v>344</v>
      </c>
      <c r="D1260" s="10" t="s">
        <v>37</v>
      </c>
      <c r="E1260" s="1" t="s">
        <v>254</v>
      </c>
      <c r="F1260" s="1" t="s">
        <v>255</v>
      </c>
      <c r="G1260" s="1">
        <v>-10</v>
      </c>
      <c r="H1260" s="1">
        <v>-20</v>
      </c>
      <c r="I1260" s="1" t="s">
        <v>40</v>
      </c>
      <c r="J1260" s="1">
        <v>3.15</v>
      </c>
      <c r="K1260" s="1">
        <v>-10</v>
      </c>
      <c r="L1260" s="1">
        <v>-6.1353448275862101</v>
      </c>
      <c r="M1260" s="1" t="s">
        <v>40</v>
      </c>
      <c r="N1260" s="1">
        <v>4.5948275862069101</v>
      </c>
      <c r="O1260" s="1">
        <v>3.08103448275862</v>
      </c>
      <c r="Q1260" s="1">
        <v>0.308103448275862</v>
      </c>
      <c r="R1260" s="1">
        <v>0.65713306174878305</v>
      </c>
      <c r="S1260" s="1" t="str">
        <f>VLOOKUP($E1260,'Product Naming'!$A$1:$P$58,2,FALSE)</f>
        <v>Itaconate</v>
      </c>
      <c r="T1260" s="1" t="str">
        <f>VLOOKUP($E1260,'Product Naming'!$A$1:$P$58,3,FALSE)</f>
        <v>Itaconate</v>
      </c>
      <c r="U1260" s="1" t="str">
        <f>VLOOKUP($E1260,'Product Naming'!$A$1:$P$58,4,FALSE)</f>
        <v>E</v>
      </c>
      <c r="V1260" s="1" t="str">
        <f>VLOOKUP($E1260,'Product Naming'!$A$1:$P$58,5,FALSE)</f>
        <v>C5H4O4</v>
      </c>
      <c r="W1260" s="1">
        <f>VLOOKUP($E1260,'Product Naming'!$A$1:$P$58,6,FALSE)</f>
        <v>5</v>
      </c>
      <c r="X1260" s="1">
        <f>VLOOKUP($E1260,'Product Naming'!$A$1:$P$58,7,FALSE)</f>
        <v>4</v>
      </c>
      <c r="Y1260" s="1">
        <f>VLOOKUP($E1260,'Product Naming'!$A$1:$P$58,8,FALSE)</f>
        <v>4</v>
      </c>
      <c r="Z1260" s="1">
        <f>VLOOKUP($E1260,'Product Naming'!$A$1:$P$58,9,FALSE)</f>
        <v>0</v>
      </c>
      <c r="AA1260" s="1">
        <f>VLOOKUP($E1260,'Product Naming'!$A$1:$P$58,10,FALSE)</f>
        <v>-2</v>
      </c>
      <c r="AB1260" s="29">
        <f>VLOOKUP($E1260,'Product Naming'!$A$1:$P$58,11,FALSE)</f>
        <v>3.2</v>
      </c>
      <c r="AC1260" s="3">
        <f>VLOOKUP($E1260,'Product Naming'!$A$1:$P$58,12,FALSE)</f>
        <v>128.08086</v>
      </c>
      <c r="AD1260" s="1">
        <f>VLOOKUP($E1260,'Product Naming'!$A$1:$P$58,13,FALSE)</f>
        <v>381</v>
      </c>
      <c r="AE1260" s="1" t="str">
        <f>VLOOKUP($E1260,'Product Naming'!$A$1:$P$58,14,FALSE)</f>
        <v>Dicarboxylate</v>
      </c>
      <c r="AF1260" s="1" t="str">
        <f>VLOOKUP($E1260,'Product Naming'!$A$1:$P$58,15,FALSE)</f>
        <v>Acetyl-CoA + Oxaloacetate</v>
      </c>
      <c r="AG1260" s="30" t="str">
        <f>VLOOKUP($E1260,'Product Naming'!$A$1:$P$58,16,FALSE)</f>
        <v>Proton symporter</v>
      </c>
      <c r="AH1260" s="3" t="str">
        <f>VLOOKUP($E1260,'Product Naming'!$A$1:$Q$58,17,FALSE)</f>
        <v>itacon_c</v>
      </c>
      <c r="AI1260" s="1">
        <f>VLOOKUP($E1260,'Product Parameters'!$A$2:$D$59,2,FALSE)</f>
        <v>1</v>
      </c>
      <c r="AJ1260" s="1">
        <f>VLOOKUP($E1260,'Product Parameters'!$A$2:$D$59,3,FALSE)</f>
        <v>0</v>
      </c>
      <c r="AK1260" s="1">
        <f>VLOOKUP($E1260,'Product Parameters'!$A$2:$D$59,4,FALSE)</f>
        <v>0.12</v>
      </c>
      <c r="AL1260" s="1">
        <f>VLOOKUP($E1260,'Product Parameters'!$A$2:$E$59,5,FALSE)</f>
        <v>40.65</v>
      </c>
      <c r="AM1260" s="1">
        <f>VLOOKUP($E1260,'Product Parameters'!$A$2:$F$59,6,FALSE)</f>
        <v>5</v>
      </c>
      <c r="AN1260" s="1">
        <f>VLOOKUP($C1260,'Substrate Heating'!$A$2:$C$33,3,FALSE)</f>
        <v>1020.8629199999999</v>
      </c>
      <c r="AO1260" s="1">
        <f>VLOOKUP($C1260,'Substrate Heating'!$A$2:$B$33,2,FALSE)</f>
        <v>17</v>
      </c>
      <c r="AP1260" s="1">
        <f>VLOOKUP($C1260,'Substrate Heating'!$A$2:$M$33,13,FALSE)</f>
        <v>4</v>
      </c>
      <c r="AQ1260" s="1">
        <f>VLOOKUP($C1260,'Substrate Heating'!$A$2:$M$33,8,FALSE)</f>
        <v>2</v>
      </c>
      <c r="AR1260" s="1">
        <f t="shared" si="19"/>
        <v>0.770258620689655</v>
      </c>
    </row>
    <row r="1261" spans="1:44" x14ac:dyDescent="0.2">
      <c r="A1261" s="8" t="s">
        <v>34</v>
      </c>
      <c r="B1261" s="9" t="s">
        <v>35</v>
      </c>
      <c r="C1261" s="1" t="s">
        <v>322</v>
      </c>
      <c r="D1261" s="10" t="s">
        <v>37</v>
      </c>
      <c r="E1261" s="1" t="s">
        <v>97</v>
      </c>
      <c r="F1261" s="1" t="s">
        <v>98</v>
      </c>
      <c r="G1261" s="1">
        <v>-10</v>
      </c>
      <c r="H1261" s="1">
        <v>-20</v>
      </c>
      <c r="I1261" s="1" t="s">
        <v>40</v>
      </c>
      <c r="J1261" s="1">
        <v>3.15</v>
      </c>
      <c r="K1261" s="1">
        <v>-10</v>
      </c>
      <c r="L1261" s="1">
        <v>-9.3383233532934096</v>
      </c>
      <c r="M1261" s="1" t="s">
        <v>40</v>
      </c>
      <c r="N1261" s="1">
        <v>5.0736526946107796</v>
      </c>
      <c r="O1261" s="1">
        <v>2.1323353293413199</v>
      </c>
      <c r="Q1261" s="1">
        <v>0.213233532934132</v>
      </c>
      <c r="R1261" s="1">
        <v>0.65759854502838899</v>
      </c>
      <c r="S1261" s="1" t="str">
        <f>VLOOKUP($E1261,'Product Naming'!$A$1:$P$58,2,FALSE)</f>
        <v>2-Pyrone-4-6-Dicarboxylate</v>
      </c>
      <c r="T1261" s="1" t="str">
        <f>VLOOKUP($E1261,'Product Naming'!$A$1:$P$58,3,FALSE)</f>
        <v>2-Pyrone 4,6-dicarboxylate</v>
      </c>
      <c r="U1261" s="1" t="str">
        <f>VLOOKUP($E1261,'Product Naming'!$A$1:$P$58,4,FALSE)</f>
        <v>A</v>
      </c>
      <c r="V1261" s="1" t="str">
        <f>VLOOKUP($E1261,'Product Naming'!$A$1:$P$58,5,FALSE)</f>
        <v>C7H2O6</v>
      </c>
      <c r="W1261" s="1">
        <f>VLOOKUP($E1261,'Product Naming'!$A$1:$P$58,6,FALSE)</f>
        <v>7</v>
      </c>
      <c r="X1261" s="1">
        <f>VLOOKUP($E1261,'Product Naming'!$A$1:$P$58,7,FALSE)</f>
        <v>2</v>
      </c>
      <c r="Y1261" s="1">
        <f>VLOOKUP($E1261,'Product Naming'!$A$1:$P$58,8,FALSE)</f>
        <v>6</v>
      </c>
      <c r="Z1261" s="1">
        <f>VLOOKUP($E1261,'Product Naming'!$A$1:$P$58,9,FALSE)</f>
        <v>0</v>
      </c>
      <c r="AA1261" s="1">
        <f>VLOOKUP($E1261,'Product Naming'!$A$1:$P$58,10,FALSE)</f>
        <v>-2</v>
      </c>
      <c r="AB1261" s="29">
        <f>VLOOKUP($E1261,'Product Naming'!$A$1:$P$58,11,FALSE)</f>
        <v>2.5714285714285716</v>
      </c>
      <c r="AC1261" s="3">
        <f>VLOOKUP($E1261,'Product Naming'!$A$1:$P$58,12,FALSE)</f>
        <v>182.08458000000002</v>
      </c>
      <c r="AD1261" s="1">
        <f>VLOOKUP($E1261,'Product Naming'!$A$1:$P$58,13,FALSE)</f>
        <v>355.5</v>
      </c>
      <c r="AE1261" s="1" t="str">
        <f>VLOOKUP($E1261,'Product Naming'!$A$1:$P$58,14,FALSE)</f>
        <v>Dicarboxylate</v>
      </c>
      <c r="AF1261" s="1" t="str">
        <f>VLOOKUP($E1261,'Product Naming'!$A$1:$P$58,15,FALSE)</f>
        <v>Glyceraldehyde 3-P</v>
      </c>
      <c r="AG1261" s="30" t="str">
        <f>VLOOKUP($E1261,'Product Naming'!$A$1:$P$58,16,FALSE)</f>
        <v>Proton symporter</v>
      </c>
      <c r="AH1261" s="3" t="str">
        <f>VLOOKUP($E1261,'Product Naming'!$A$1:$Q$58,17,FALSE)</f>
        <v>2p46dc_c</v>
      </c>
      <c r="AI1261" s="1">
        <f>VLOOKUP($E1261,'Product Parameters'!$A$2:$D$59,2,FALSE)</f>
        <v>1</v>
      </c>
      <c r="AJ1261" s="1">
        <f>VLOOKUP($E1261,'Product Parameters'!$A$2:$D$59,3,FALSE)</f>
        <v>0</v>
      </c>
      <c r="AK1261" s="1">
        <f>VLOOKUP($E1261,'Product Parameters'!$A$2:$D$59,4,FALSE)</f>
        <v>0.12</v>
      </c>
      <c r="AL1261" s="1">
        <f>VLOOKUP($E1261,'Product Parameters'!$A$2:$E$59,5,FALSE)</f>
        <v>0</v>
      </c>
      <c r="AM1261" s="1">
        <f>VLOOKUP($E1261,'Product Parameters'!$A$2:$F$59,6,FALSE)</f>
        <v>7</v>
      </c>
      <c r="AN1261" s="1">
        <f>VLOOKUP($C1261,'Substrate Heating'!$A$2:$C$33,3,FALSE)</f>
        <v>876.74109599999997</v>
      </c>
      <c r="AO1261" s="1">
        <f>VLOOKUP($C1261,'Substrate Heating'!$A$2:$B$33,2,FALSE)</f>
        <v>14.6</v>
      </c>
      <c r="AP1261" s="1">
        <f>VLOOKUP($C1261,'Substrate Heating'!$A$2:$M$33,13,FALSE)</f>
        <v>3.5</v>
      </c>
      <c r="AQ1261" s="1">
        <f>VLOOKUP($C1261,'Substrate Heating'!$A$2:$M$33,8,FALSE)</f>
        <v>2</v>
      </c>
      <c r="AR1261" s="1">
        <f t="shared" si="19"/>
        <v>0.74631736526946202</v>
      </c>
    </row>
    <row r="1262" spans="1:44" x14ac:dyDescent="0.2">
      <c r="A1262" s="8" t="s">
        <v>34</v>
      </c>
      <c r="B1262" s="9" t="s">
        <v>35</v>
      </c>
      <c r="C1262" s="1" t="s">
        <v>343</v>
      </c>
      <c r="D1262" s="24" t="s">
        <v>342</v>
      </c>
      <c r="E1262" s="1" t="s">
        <v>52</v>
      </c>
      <c r="F1262" s="1" t="s">
        <v>53</v>
      </c>
      <c r="G1262" s="1">
        <v>-10</v>
      </c>
      <c r="H1262" s="1">
        <v>-20</v>
      </c>
      <c r="I1262" s="1" t="s">
        <v>40</v>
      </c>
      <c r="J1262" s="1">
        <v>3.15</v>
      </c>
      <c r="K1262" s="1">
        <v>-10</v>
      </c>
      <c r="L1262" s="1">
        <v>-3.13866666666667</v>
      </c>
      <c r="M1262" s="1" t="s">
        <v>40</v>
      </c>
      <c r="N1262" s="1">
        <v>6.1040000000000001</v>
      </c>
      <c r="O1262" s="1">
        <v>7.96533333333333</v>
      </c>
      <c r="Q1262" s="1">
        <v>0.79653333333333298</v>
      </c>
      <c r="R1262" s="1">
        <v>0.65854270629668699</v>
      </c>
      <c r="S1262" s="1" t="str">
        <f>VLOOKUP($E1262,'Product Naming'!$A$1:$P$58,2,FALSE)</f>
        <v>1-3-Diaminopropane</v>
      </c>
      <c r="T1262" s="1" t="str">
        <f>VLOOKUP($E1262,'Product Naming'!$A$1:$P$58,3,FALSE)</f>
        <v>1,3-Diaminopropane</v>
      </c>
      <c r="U1262" s="1" t="str">
        <f>VLOOKUP($E1262,'Product Naming'!$A$1:$P$58,4,FALSE)</f>
        <v>A</v>
      </c>
      <c r="V1262" s="1" t="str">
        <f>VLOOKUP($E1262,'Product Naming'!$A$1:$P$58,5,FALSE)</f>
        <v>C3H12N2</v>
      </c>
      <c r="W1262" s="1">
        <f>VLOOKUP($E1262,'Product Naming'!$A$1:$P$58,6,FALSE)</f>
        <v>3</v>
      </c>
      <c r="X1262" s="1">
        <f>VLOOKUP($E1262,'Product Naming'!$A$1:$P$58,7,FALSE)</f>
        <v>12</v>
      </c>
      <c r="Y1262" s="1">
        <f>VLOOKUP($E1262,'Product Naming'!$A$1:$P$58,8,FALSE)</f>
        <v>0</v>
      </c>
      <c r="Z1262" s="1">
        <f>VLOOKUP($E1262,'Product Naming'!$A$1:$P$58,9,FALSE)</f>
        <v>2</v>
      </c>
      <c r="AA1262" s="1">
        <f>VLOOKUP($E1262,'Product Naming'!$A$1:$P$58,10,FALSE)</f>
        <v>2</v>
      </c>
      <c r="AB1262" s="29">
        <f>VLOOKUP($E1262,'Product Naming'!$A$1:$P$58,11,FALSE)</f>
        <v>6</v>
      </c>
      <c r="AC1262" s="3">
        <f>VLOOKUP($E1262,'Product Naming'!$A$1:$P$58,12,FALSE)</f>
        <v>76.139580000000009</v>
      </c>
      <c r="AD1262" s="1">
        <f>VLOOKUP($E1262,'Product Naming'!$A$1:$P$58,13,FALSE)</f>
        <v>139.30000000000001</v>
      </c>
      <c r="AE1262" s="1" t="str">
        <f>VLOOKUP($E1262,'Product Naming'!$A$1:$P$58,14,FALSE)</f>
        <v>Diamine</v>
      </c>
      <c r="AF1262" s="1" t="str">
        <f>VLOOKUP($E1262,'Product Naming'!$A$1:$P$58,15,FALSE)</f>
        <v>Oxaloacetate + aKG</v>
      </c>
      <c r="AG1262" s="30" t="str">
        <f>VLOOKUP($E1262,'Product Naming'!$A$1:$P$58,16,FALSE)</f>
        <v>Proton symporter</v>
      </c>
      <c r="AH1262" s="3" t="str">
        <f>VLOOKUP($E1262,'Product Naming'!$A$1:$Q$58,17,FALSE)</f>
        <v>13dampp_c</v>
      </c>
      <c r="AI1262" s="1">
        <f>VLOOKUP($E1262,'Product Parameters'!$A$2:$D$59,2,FALSE)</f>
        <v>1</v>
      </c>
      <c r="AJ1262" s="1">
        <f>VLOOKUP($E1262,'Product Parameters'!$A$2:$D$59,3,FALSE)</f>
        <v>0</v>
      </c>
      <c r="AK1262" s="1">
        <f>VLOOKUP($E1262,'Product Parameters'!$A$2:$D$59,4,FALSE)</f>
        <v>0.12</v>
      </c>
      <c r="AL1262" s="1">
        <f>VLOOKUP($E1262,'Product Parameters'!$A$2:$E$59,5,FALSE)</f>
        <v>50.18</v>
      </c>
      <c r="AM1262" s="1">
        <f>VLOOKUP($E1262,'Product Parameters'!$A$2:$F$59,6,FALSE)</f>
        <v>3</v>
      </c>
      <c r="AN1262" s="1">
        <f>VLOOKUP($C1262,'Substrate Heating'!$A$2:$C$33,3,FALSE)</f>
        <v>1648.4793779999998</v>
      </c>
      <c r="AO1262" s="1">
        <f>VLOOKUP($C1262,'Substrate Heating'!$A$2:$B$33,2,FALSE)</f>
        <v>17.899999999999999</v>
      </c>
      <c r="AP1262" s="1">
        <f>VLOOKUP($C1262,'Substrate Heating'!$A$2:$M$33,13,FALSE)</f>
        <v>4.666666666666667</v>
      </c>
      <c r="AQ1262" s="1">
        <f>VLOOKUP($C1262,'Substrate Heating'!$A$2:$M$33,8,FALSE)</f>
        <v>3</v>
      </c>
      <c r="AR1262" s="1">
        <f t="shared" si="19"/>
        <v>0.79653333333333298</v>
      </c>
    </row>
    <row r="1263" spans="1:44" x14ac:dyDescent="0.2">
      <c r="A1263" s="8" t="s">
        <v>34</v>
      </c>
      <c r="B1263" s="9" t="s">
        <v>35</v>
      </c>
      <c r="C1263" s="1" t="s">
        <v>349</v>
      </c>
      <c r="D1263" s="25" t="s">
        <v>342</v>
      </c>
      <c r="E1263" s="1" t="s">
        <v>180</v>
      </c>
      <c r="F1263" s="1" t="s">
        <v>181</v>
      </c>
      <c r="G1263" s="1">
        <v>-10</v>
      </c>
      <c r="H1263" s="1">
        <v>-20</v>
      </c>
      <c r="I1263" s="1" t="s">
        <v>40</v>
      </c>
      <c r="J1263" s="1">
        <v>3.15</v>
      </c>
      <c r="K1263" s="1">
        <v>-10</v>
      </c>
      <c r="L1263" s="1">
        <v>-11.139009287925701</v>
      </c>
      <c r="M1263" s="1" t="s">
        <v>40</v>
      </c>
      <c r="N1263" s="1">
        <v>7.6061919504643898</v>
      </c>
      <c r="O1263" s="1">
        <v>7.0656346749225998</v>
      </c>
      <c r="Q1263" s="1">
        <v>0.70656346749225996</v>
      </c>
      <c r="R1263" s="1">
        <v>0.65931911276893296</v>
      </c>
      <c r="S1263" s="1" t="str">
        <f>VLOOKUP($E1263,'Product Naming'!$A$1:$P$58,2,FALSE)</f>
        <v>ciscisMuconate</v>
      </c>
      <c r="T1263" s="1" t="str">
        <f>VLOOKUP($E1263,'Product Naming'!$A$1:$P$58,3,FALSE)</f>
        <v>cis,cis-Muconate</v>
      </c>
      <c r="U1263" s="1" t="str">
        <f>VLOOKUP($E1263,'Product Naming'!$A$1:$P$58,4,FALSE)</f>
        <v>A</v>
      </c>
      <c r="V1263" s="1" t="str">
        <f>VLOOKUP($E1263,'Product Naming'!$A$1:$P$58,5,FALSE)</f>
        <v>C6H4O4</v>
      </c>
      <c r="W1263" s="1">
        <f>VLOOKUP($E1263,'Product Naming'!$A$1:$P$58,6,FALSE)</f>
        <v>6</v>
      </c>
      <c r="X1263" s="1">
        <f>VLOOKUP($E1263,'Product Naming'!$A$1:$P$58,7,FALSE)</f>
        <v>4</v>
      </c>
      <c r="Y1263" s="1">
        <f>VLOOKUP($E1263,'Product Naming'!$A$1:$P$58,8,FALSE)</f>
        <v>4</v>
      </c>
      <c r="Z1263" s="1">
        <f>VLOOKUP($E1263,'Product Naming'!$A$1:$P$58,9,FALSE)</f>
        <v>0</v>
      </c>
      <c r="AA1263" s="1">
        <f>VLOOKUP($E1263,'Product Naming'!$A$1:$P$58,10,FALSE)</f>
        <v>-2</v>
      </c>
      <c r="AB1263" s="29">
        <f>VLOOKUP($E1263,'Product Naming'!$A$1:$P$58,11,FALSE)</f>
        <v>3.3333333333333335</v>
      </c>
      <c r="AC1263" s="3">
        <f>VLOOKUP($E1263,'Product Naming'!$A$1:$P$58,12,FALSE)</f>
        <v>140.09156000000002</v>
      </c>
      <c r="AD1263" s="1">
        <f>VLOOKUP($E1263,'Product Naming'!$A$1:$P$58,13,FALSE)</f>
        <v>345.4</v>
      </c>
      <c r="AE1263" s="1" t="str">
        <f>VLOOKUP($E1263,'Product Naming'!$A$1:$P$58,14,FALSE)</f>
        <v>Dicarboxylate</v>
      </c>
      <c r="AF1263" s="1" t="str">
        <f>VLOOKUP($E1263,'Product Naming'!$A$1:$P$58,15,FALSE)</f>
        <v>Glyceraldehyde 3-P</v>
      </c>
      <c r="AG1263" s="30" t="str">
        <f>VLOOKUP($E1263,'Product Naming'!$A$1:$P$58,16,FALSE)</f>
        <v>Proton symporter</v>
      </c>
      <c r="AH1263" s="3" t="str">
        <f>VLOOKUP($E1263,'Product Naming'!$A$1:$Q$58,17,FALSE)</f>
        <v>ccmuac_c</v>
      </c>
      <c r="AI1263" s="1">
        <f>VLOOKUP($E1263,'Product Parameters'!$A$2:$D$59,2,FALSE)</f>
        <v>1</v>
      </c>
      <c r="AJ1263" s="1">
        <f>VLOOKUP($E1263,'Product Parameters'!$A$2:$D$59,3,FALSE)</f>
        <v>0</v>
      </c>
      <c r="AK1263" s="1">
        <f>VLOOKUP($E1263,'Product Parameters'!$A$2:$D$59,4,FALSE)</f>
        <v>0.12</v>
      </c>
      <c r="AL1263" s="1">
        <f>VLOOKUP($E1263,'Product Parameters'!$A$2:$E$59,5,FALSE)</f>
        <v>40.65</v>
      </c>
      <c r="AM1263" s="1">
        <f>VLOOKUP($E1263,'Product Parameters'!$A$2:$F$59,6,FALSE)</f>
        <v>6</v>
      </c>
      <c r="AN1263" s="1">
        <f>VLOOKUP($C1263,'Substrate Heating'!$A$2:$C$33,3,FALSE)</f>
        <v>2342.0279999999998</v>
      </c>
      <c r="AO1263" s="1">
        <f>VLOOKUP($C1263,'Substrate Heating'!$A$2:$B$33,2,FALSE)</f>
        <v>15.6</v>
      </c>
      <c r="AP1263" s="1">
        <f>VLOOKUP($C1263,'Substrate Heating'!$A$2:$M$33,13,FALSE)</f>
        <v>4</v>
      </c>
      <c r="AQ1263" s="1">
        <f>VLOOKUP($C1263,'Substrate Heating'!$A$2:$M$33,8,FALSE)</f>
        <v>5</v>
      </c>
      <c r="AR1263" s="1">
        <f t="shared" si="19"/>
        <v>0.84787616099071195</v>
      </c>
    </row>
    <row r="1264" spans="1:44" x14ac:dyDescent="0.2">
      <c r="A1264" s="8" t="s">
        <v>34</v>
      </c>
      <c r="B1264" s="9" t="s">
        <v>35</v>
      </c>
      <c r="C1264" s="1" t="s">
        <v>341</v>
      </c>
      <c r="D1264" s="24" t="s">
        <v>342</v>
      </c>
      <c r="E1264" s="1" t="s">
        <v>180</v>
      </c>
      <c r="F1264" s="1" t="s">
        <v>181</v>
      </c>
      <c r="G1264" s="1">
        <v>-10</v>
      </c>
      <c r="H1264" s="1">
        <v>-20</v>
      </c>
      <c r="I1264" s="1" t="s">
        <v>40</v>
      </c>
      <c r="J1264" s="1">
        <v>3.15</v>
      </c>
      <c r="K1264" s="1">
        <v>-10</v>
      </c>
      <c r="L1264" s="1">
        <v>-13.13</v>
      </c>
      <c r="M1264" s="1" t="s">
        <v>40</v>
      </c>
      <c r="N1264" s="1">
        <v>8.8690909090909198</v>
      </c>
      <c r="O1264" s="1">
        <v>8.5218181818181904</v>
      </c>
      <c r="Q1264" s="1">
        <v>0.85218181818181904</v>
      </c>
      <c r="R1264" s="1">
        <v>0.66268092922680399</v>
      </c>
      <c r="S1264" s="1" t="str">
        <f>VLOOKUP($E1264,'Product Naming'!$A$1:$P$58,2,FALSE)</f>
        <v>ciscisMuconate</v>
      </c>
      <c r="T1264" s="1" t="str">
        <f>VLOOKUP($E1264,'Product Naming'!$A$1:$P$58,3,FALSE)</f>
        <v>cis,cis-Muconate</v>
      </c>
      <c r="U1264" s="1" t="str">
        <f>VLOOKUP($E1264,'Product Naming'!$A$1:$P$58,4,FALSE)</f>
        <v>A</v>
      </c>
      <c r="V1264" s="1" t="str">
        <f>VLOOKUP($E1264,'Product Naming'!$A$1:$P$58,5,FALSE)</f>
        <v>C6H4O4</v>
      </c>
      <c r="W1264" s="1">
        <f>VLOOKUP($E1264,'Product Naming'!$A$1:$P$58,6,FALSE)</f>
        <v>6</v>
      </c>
      <c r="X1264" s="1">
        <f>VLOOKUP($E1264,'Product Naming'!$A$1:$P$58,7,FALSE)</f>
        <v>4</v>
      </c>
      <c r="Y1264" s="1">
        <f>VLOOKUP($E1264,'Product Naming'!$A$1:$P$58,8,FALSE)</f>
        <v>4</v>
      </c>
      <c r="Z1264" s="1">
        <f>VLOOKUP($E1264,'Product Naming'!$A$1:$P$58,9,FALSE)</f>
        <v>0</v>
      </c>
      <c r="AA1264" s="1">
        <f>VLOOKUP($E1264,'Product Naming'!$A$1:$P$58,10,FALSE)</f>
        <v>-2</v>
      </c>
      <c r="AB1264" s="29">
        <f>VLOOKUP($E1264,'Product Naming'!$A$1:$P$58,11,FALSE)</f>
        <v>3.3333333333333335</v>
      </c>
      <c r="AC1264" s="3">
        <f>VLOOKUP($E1264,'Product Naming'!$A$1:$P$58,12,FALSE)</f>
        <v>140.09156000000002</v>
      </c>
      <c r="AD1264" s="1">
        <f>VLOOKUP($E1264,'Product Naming'!$A$1:$P$58,13,FALSE)</f>
        <v>345.4</v>
      </c>
      <c r="AE1264" s="1" t="str">
        <f>VLOOKUP($E1264,'Product Naming'!$A$1:$P$58,14,FALSE)</f>
        <v>Dicarboxylate</v>
      </c>
      <c r="AF1264" s="1" t="str">
        <f>VLOOKUP($E1264,'Product Naming'!$A$1:$P$58,15,FALSE)</f>
        <v>Glyceraldehyde 3-P</v>
      </c>
      <c r="AG1264" s="30" t="str">
        <f>VLOOKUP($E1264,'Product Naming'!$A$1:$P$58,16,FALSE)</f>
        <v>Proton symporter</v>
      </c>
      <c r="AH1264" s="3" t="str">
        <f>VLOOKUP($E1264,'Product Naming'!$A$1:$Q$58,17,FALSE)</f>
        <v>ccmuac_c</v>
      </c>
      <c r="AI1264" s="1">
        <f>VLOOKUP($E1264,'Product Parameters'!$A$2:$D$59,2,FALSE)</f>
        <v>1</v>
      </c>
      <c r="AJ1264" s="1">
        <f>VLOOKUP($E1264,'Product Parameters'!$A$2:$D$59,3,FALSE)</f>
        <v>0</v>
      </c>
      <c r="AK1264" s="1">
        <f>VLOOKUP($E1264,'Product Parameters'!$A$2:$D$59,4,FALSE)</f>
        <v>0.12</v>
      </c>
      <c r="AL1264" s="1">
        <f>VLOOKUP($E1264,'Product Parameters'!$A$2:$E$59,5,FALSE)</f>
        <v>40.65</v>
      </c>
      <c r="AM1264" s="1">
        <f>VLOOKUP($E1264,'Product Parameters'!$A$2:$F$59,6,FALSE)</f>
        <v>6</v>
      </c>
      <c r="AN1264" s="1">
        <f>VLOOKUP($C1264,'Substrate Heating'!$A$2:$C$33,3,FALSE)</f>
        <v>2828.4492</v>
      </c>
      <c r="AO1264" s="1">
        <f>VLOOKUP($C1264,'Substrate Heating'!$A$2:$B$33,2,FALSE)</f>
        <v>15.7</v>
      </c>
      <c r="AP1264" s="1">
        <f>VLOOKUP($C1264,'Substrate Heating'!$A$2:$M$33,13,FALSE)</f>
        <v>4</v>
      </c>
      <c r="AQ1264" s="1">
        <f>VLOOKUP($C1264,'Substrate Heating'!$A$2:$M$33,8,FALSE)</f>
        <v>6</v>
      </c>
      <c r="AR1264" s="1">
        <f t="shared" si="19"/>
        <v>0.85218181818181904</v>
      </c>
    </row>
    <row r="1265" spans="1:44" x14ac:dyDescent="0.2">
      <c r="A1265" s="8" t="s">
        <v>34</v>
      </c>
      <c r="B1265" s="9" t="s">
        <v>35</v>
      </c>
      <c r="C1265" s="1" t="s">
        <v>346</v>
      </c>
      <c r="D1265" s="23" t="s">
        <v>338</v>
      </c>
      <c r="E1265" s="1" t="s">
        <v>209</v>
      </c>
      <c r="F1265" s="1" t="s">
        <v>210</v>
      </c>
      <c r="G1265" s="1">
        <v>-10</v>
      </c>
      <c r="H1265" s="1">
        <v>-20</v>
      </c>
      <c r="I1265" s="1" t="s">
        <v>40</v>
      </c>
      <c r="J1265" s="1">
        <v>3.15</v>
      </c>
      <c r="K1265" s="1">
        <v>-10</v>
      </c>
      <c r="L1265" s="1">
        <v>-3.8932835820895502</v>
      </c>
      <c r="M1265" s="1" t="s">
        <v>40</v>
      </c>
      <c r="N1265" s="1">
        <v>0.12736318407960301</v>
      </c>
      <c r="O1265" s="1">
        <v>2.4681592039800999</v>
      </c>
      <c r="Q1265" s="1">
        <v>0.24681592039801001</v>
      </c>
      <c r="R1265" s="1">
        <v>0.663144398614672</v>
      </c>
      <c r="S1265" s="1" t="str">
        <f>VLOOKUP($E1265,'Product Naming'!$A$1:$P$58,2,FALSE)</f>
        <v>GammaButyrolactone</v>
      </c>
      <c r="T1265" s="1" t="str">
        <f>VLOOKUP($E1265,'Product Naming'!$A$1:$P$58,3,FALSE)</f>
        <v>Gamma butyrolactone</v>
      </c>
      <c r="U1265" s="1" t="str">
        <f>VLOOKUP($E1265,'Product Naming'!$A$1:$P$58,4,FALSE)</f>
        <v>A</v>
      </c>
      <c r="V1265" s="1" t="str">
        <f>VLOOKUP($E1265,'Product Naming'!$A$1:$P$58,5,FALSE)</f>
        <v>C4H6O2</v>
      </c>
      <c r="W1265" s="1">
        <f>VLOOKUP($E1265,'Product Naming'!$A$1:$P$58,6,FALSE)</f>
        <v>4</v>
      </c>
      <c r="X1265" s="1">
        <f>VLOOKUP($E1265,'Product Naming'!$A$1:$P$58,7,FALSE)</f>
        <v>6</v>
      </c>
      <c r="Y1265" s="1">
        <f>VLOOKUP($E1265,'Product Naming'!$A$1:$P$58,8,FALSE)</f>
        <v>2</v>
      </c>
      <c r="Z1265" s="1">
        <f>VLOOKUP($E1265,'Product Naming'!$A$1:$P$58,9,FALSE)</f>
        <v>0</v>
      </c>
      <c r="AA1265" s="1">
        <f>VLOOKUP($E1265,'Product Naming'!$A$1:$P$58,10,FALSE)</f>
        <v>0</v>
      </c>
      <c r="AB1265" s="29">
        <f>VLOOKUP($E1265,'Product Naming'!$A$1:$P$58,11,FALSE)</f>
        <v>4.5</v>
      </c>
      <c r="AC1265" s="3">
        <f>VLOOKUP($E1265,'Product Naming'!$A$1:$P$58,12,FALSE)</f>
        <v>86.08784</v>
      </c>
      <c r="AD1265" s="1">
        <f>VLOOKUP($E1265,'Product Naming'!$A$1:$P$58,13,FALSE)</f>
        <v>204</v>
      </c>
      <c r="AE1265" s="1" t="str">
        <f>VLOOKUP($E1265,'Product Naming'!$A$1:$P$58,14,FALSE)</f>
        <v>Lactone (cyclic ester)</v>
      </c>
      <c r="AF1265" s="1" t="str">
        <f>VLOOKUP($E1265,'Product Naming'!$A$1:$P$58,15,FALSE)</f>
        <v>aKG</v>
      </c>
      <c r="AG1265" s="30" t="str">
        <f>VLOOKUP($E1265,'Product Naming'!$A$1:$P$58,16,FALSE)</f>
        <v>Proton symporter</v>
      </c>
      <c r="AH1265" s="3" t="str">
        <f>VLOOKUP($E1265,'Product Naming'!$A$1:$Q$58,17,FALSE)</f>
        <v>gblt_c</v>
      </c>
      <c r="AI1265" s="1">
        <f>VLOOKUP($E1265,'Product Parameters'!$A$2:$D$59,2,FALSE)</f>
        <v>1</v>
      </c>
      <c r="AJ1265" s="1">
        <f>VLOOKUP($E1265,'Product Parameters'!$A$2:$D$59,3,FALSE)</f>
        <v>0</v>
      </c>
      <c r="AK1265" s="1">
        <f>VLOOKUP($E1265,'Product Parameters'!$A$2:$D$59,4,FALSE)</f>
        <v>0.12</v>
      </c>
      <c r="AL1265" s="1">
        <f>VLOOKUP($E1265,'Product Parameters'!$A$2:$E$59,5,FALSE)</f>
        <v>0</v>
      </c>
      <c r="AM1265" s="1">
        <f>VLOOKUP($E1265,'Product Parameters'!$A$2:$F$59,6,FALSE)</f>
        <v>4</v>
      </c>
      <c r="AN1265" s="1">
        <f>VLOOKUP($C1265,'Substrate Heating'!$A$2:$C$33,3,FALSE)</f>
        <v>638.57832580000002</v>
      </c>
      <c r="AO1265" s="1">
        <f>VLOOKUP($C1265,'Substrate Heating'!$A$2:$B$33,2,FALSE)</f>
        <v>19.93</v>
      </c>
      <c r="AP1265" s="1">
        <f>VLOOKUP($C1265,'Substrate Heating'!$A$2:$M$33,13,FALSE)</f>
        <v>6</v>
      </c>
      <c r="AQ1265" s="1">
        <f>VLOOKUP($C1265,'Substrate Heating'!$A$2:$M$33,8,FALSE)</f>
        <v>1</v>
      </c>
      <c r="AR1265" s="1">
        <f t="shared" si="19"/>
        <v>0.98726368159204003</v>
      </c>
    </row>
    <row r="1266" spans="1:44" x14ac:dyDescent="0.2">
      <c r="A1266" s="8" t="s">
        <v>34</v>
      </c>
      <c r="B1266" s="9" t="s">
        <v>35</v>
      </c>
      <c r="C1266" s="1" t="s">
        <v>347</v>
      </c>
      <c r="D1266" s="23" t="s">
        <v>338</v>
      </c>
      <c r="E1266" s="1" t="s">
        <v>209</v>
      </c>
      <c r="F1266" s="1" t="s">
        <v>210</v>
      </c>
      <c r="G1266" s="1">
        <v>-10</v>
      </c>
      <c r="H1266" s="1">
        <v>-20</v>
      </c>
      <c r="I1266" s="1" t="s">
        <v>40</v>
      </c>
      <c r="J1266" s="1">
        <v>3.15</v>
      </c>
      <c r="K1266" s="1">
        <v>-10</v>
      </c>
      <c r="L1266" s="1">
        <v>-3.8932835820895502</v>
      </c>
      <c r="M1266" s="1" t="s">
        <v>40</v>
      </c>
      <c r="N1266" s="1">
        <v>0.12736318407960101</v>
      </c>
      <c r="O1266" s="1">
        <v>2.4681592039800999</v>
      </c>
      <c r="Q1266" s="1">
        <v>0.24681592039801001</v>
      </c>
      <c r="R1266" s="1">
        <v>0.663144398614672</v>
      </c>
      <c r="S1266" s="1" t="str">
        <f>VLOOKUP($E1266,'Product Naming'!$A$1:$P$58,2,FALSE)</f>
        <v>GammaButyrolactone</v>
      </c>
      <c r="T1266" s="1" t="str">
        <f>VLOOKUP($E1266,'Product Naming'!$A$1:$P$58,3,FALSE)</f>
        <v>Gamma butyrolactone</v>
      </c>
      <c r="U1266" s="1" t="str">
        <f>VLOOKUP($E1266,'Product Naming'!$A$1:$P$58,4,FALSE)</f>
        <v>A</v>
      </c>
      <c r="V1266" s="1" t="str">
        <f>VLOOKUP($E1266,'Product Naming'!$A$1:$P$58,5,FALSE)</f>
        <v>C4H6O2</v>
      </c>
      <c r="W1266" s="1">
        <f>VLOOKUP($E1266,'Product Naming'!$A$1:$P$58,6,FALSE)</f>
        <v>4</v>
      </c>
      <c r="X1266" s="1">
        <f>VLOOKUP($E1266,'Product Naming'!$A$1:$P$58,7,FALSE)</f>
        <v>6</v>
      </c>
      <c r="Y1266" s="1">
        <f>VLOOKUP($E1266,'Product Naming'!$A$1:$P$58,8,FALSE)</f>
        <v>2</v>
      </c>
      <c r="Z1266" s="1">
        <f>VLOOKUP($E1266,'Product Naming'!$A$1:$P$58,9,FALSE)</f>
        <v>0</v>
      </c>
      <c r="AA1266" s="1">
        <f>VLOOKUP($E1266,'Product Naming'!$A$1:$P$58,10,FALSE)</f>
        <v>0</v>
      </c>
      <c r="AB1266" s="29">
        <f>VLOOKUP($E1266,'Product Naming'!$A$1:$P$58,11,FALSE)</f>
        <v>4.5</v>
      </c>
      <c r="AC1266" s="3">
        <f>VLOOKUP($E1266,'Product Naming'!$A$1:$P$58,12,FALSE)</f>
        <v>86.08784</v>
      </c>
      <c r="AD1266" s="1">
        <f>VLOOKUP($E1266,'Product Naming'!$A$1:$P$58,13,FALSE)</f>
        <v>204</v>
      </c>
      <c r="AE1266" s="1" t="str">
        <f>VLOOKUP($E1266,'Product Naming'!$A$1:$P$58,14,FALSE)</f>
        <v>Lactone (cyclic ester)</v>
      </c>
      <c r="AF1266" s="1" t="str">
        <f>VLOOKUP($E1266,'Product Naming'!$A$1:$P$58,15,FALSE)</f>
        <v>aKG</v>
      </c>
      <c r="AG1266" s="30" t="str">
        <f>VLOOKUP($E1266,'Product Naming'!$A$1:$P$58,16,FALSE)</f>
        <v>Proton symporter</v>
      </c>
      <c r="AH1266" s="3" t="str">
        <f>VLOOKUP($E1266,'Product Naming'!$A$1:$Q$58,17,FALSE)</f>
        <v>gblt_c</v>
      </c>
      <c r="AI1266" s="1">
        <f>VLOOKUP($E1266,'Product Parameters'!$A$2:$D$59,2,FALSE)</f>
        <v>1</v>
      </c>
      <c r="AJ1266" s="1">
        <f>VLOOKUP($E1266,'Product Parameters'!$A$2:$D$59,3,FALSE)</f>
        <v>0</v>
      </c>
      <c r="AK1266" s="1">
        <f>VLOOKUP($E1266,'Product Parameters'!$A$2:$D$59,4,FALSE)</f>
        <v>0.12</v>
      </c>
      <c r="AL1266" s="1">
        <f>VLOOKUP($E1266,'Product Parameters'!$A$2:$E$59,5,FALSE)</f>
        <v>0</v>
      </c>
      <c r="AM1266" s="1">
        <f>VLOOKUP($E1266,'Product Parameters'!$A$2:$F$59,6,FALSE)</f>
        <v>4</v>
      </c>
      <c r="AN1266" s="1">
        <f>VLOOKUP($C1266,'Substrate Heating'!$A$2:$C$33,3,FALSE)</f>
        <v>638.57832580000002</v>
      </c>
      <c r="AO1266" s="1">
        <f>VLOOKUP($C1266,'Substrate Heating'!$A$2:$B$33,2,FALSE)</f>
        <v>19.93</v>
      </c>
      <c r="AP1266" s="1">
        <f>VLOOKUP($C1266,'Substrate Heating'!$A$2:$M$33,13,FALSE)</f>
        <v>6</v>
      </c>
      <c r="AQ1266" s="1">
        <f>VLOOKUP($C1266,'Substrate Heating'!$A$2:$M$33,8,FALSE)</f>
        <v>1</v>
      </c>
      <c r="AR1266" s="1">
        <f t="shared" si="19"/>
        <v>0.98726368159204003</v>
      </c>
    </row>
    <row r="1267" spans="1:44" x14ac:dyDescent="0.2">
      <c r="A1267" s="8" t="s">
        <v>34</v>
      </c>
      <c r="B1267" s="9" t="s">
        <v>35</v>
      </c>
      <c r="C1267" s="1" t="s">
        <v>347</v>
      </c>
      <c r="D1267" s="23" t="s">
        <v>338</v>
      </c>
      <c r="E1267" s="1" t="s">
        <v>48</v>
      </c>
      <c r="F1267" s="1" t="s">
        <v>39</v>
      </c>
      <c r="G1267" s="1">
        <v>-10</v>
      </c>
      <c r="H1267" s="1">
        <v>-20</v>
      </c>
      <c r="I1267" s="1" t="s">
        <v>40</v>
      </c>
      <c r="J1267" s="1">
        <v>3.15</v>
      </c>
      <c r="K1267" s="1">
        <v>-10</v>
      </c>
      <c r="L1267" s="1">
        <v>-2.01825396825397</v>
      </c>
      <c r="M1267" s="1" t="s">
        <v>40</v>
      </c>
      <c r="N1267" s="1">
        <v>0.55873015873013898</v>
      </c>
      <c r="O1267" s="1">
        <v>2.3603174603174599</v>
      </c>
      <c r="Q1267" s="1">
        <v>0.23603174603174601</v>
      </c>
      <c r="R1267" s="1">
        <v>0.66386668003443305</v>
      </c>
      <c r="S1267" s="1" t="str">
        <f>VLOOKUP($E1267,'Product Naming'!$A$1:$P$58,2,FALSE)</f>
        <v>1-3-butanediol-PW2</v>
      </c>
      <c r="T1267" s="1" t="str">
        <f>VLOOKUP($E1267,'Product Naming'!$A$1:$P$58,3,FALSE)</f>
        <v>1,3-Butanediol (PW2)</v>
      </c>
      <c r="U1267" s="1" t="str">
        <f>VLOOKUP($E1267,'Product Naming'!$A$1:$P$58,4,FALSE)</f>
        <v>E</v>
      </c>
      <c r="V1267" s="1" t="str">
        <f>VLOOKUP($E1267,'Product Naming'!$A$1:$P$58,5,FALSE)</f>
        <v>C4H10O2</v>
      </c>
      <c r="W1267" s="1">
        <f>VLOOKUP($E1267,'Product Naming'!$A$1:$P$58,6,FALSE)</f>
        <v>4</v>
      </c>
      <c r="X1267" s="1">
        <f>VLOOKUP($E1267,'Product Naming'!$A$1:$P$58,7,FALSE)</f>
        <v>10</v>
      </c>
      <c r="Y1267" s="1">
        <f>VLOOKUP($E1267,'Product Naming'!$A$1:$P$58,8,FALSE)</f>
        <v>2</v>
      </c>
      <c r="Z1267" s="1">
        <f>VLOOKUP($E1267,'Product Naming'!$A$1:$P$58,9,FALSE)</f>
        <v>0</v>
      </c>
      <c r="AA1267" s="1">
        <f>VLOOKUP($E1267,'Product Naming'!$A$1:$P$58,10,FALSE)</f>
        <v>0</v>
      </c>
      <c r="AB1267" s="29">
        <f>VLOOKUP($E1267,'Product Naming'!$A$1:$P$58,11,FALSE)</f>
        <v>5.5</v>
      </c>
      <c r="AC1267" s="3">
        <f>VLOOKUP($E1267,'Product Naming'!$A$1:$P$58,12,FALSE)</f>
        <v>90.119200000000006</v>
      </c>
      <c r="AD1267" s="1">
        <f>VLOOKUP($E1267,'Product Naming'!$A$1:$P$58,13,FALSE)</f>
        <v>207</v>
      </c>
      <c r="AE1267" s="1" t="str">
        <f>VLOOKUP($E1267,'Product Naming'!$A$1:$P$58,14,FALSE)</f>
        <v>Diol</v>
      </c>
      <c r="AF1267" s="1" t="str">
        <f>VLOOKUP($E1267,'Product Naming'!$A$1:$P$58,15,FALSE)</f>
        <v>Pyruvate (acetalehyde)</v>
      </c>
      <c r="AG1267" s="30" t="str">
        <f>VLOOKUP($E1267,'Product Naming'!$A$1:$P$58,16,FALSE)</f>
        <v>Proton symporter</v>
      </c>
      <c r="AH1267" s="3" t="str">
        <f>VLOOKUP($E1267,'Product Naming'!$A$1:$Q$58,17,FALSE)</f>
        <v>13bdo__R_c</v>
      </c>
      <c r="AI1267" s="1">
        <f>VLOOKUP($E1267,'Product Parameters'!$A$2:$D$59,2,FALSE)</f>
        <v>1</v>
      </c>
      <c r="AJ1267" s="1">
        <f>VLOOKUP($E1267,'Product Parameters'!$A$2:$D$59,3,FALSE)</f>
        <v>0</v>
      </c>
      <c r="AK1267" s="1">
        <f>VLOOKUP($E1267,'Product Parameters'!$A$2:$D$59,4,FALSE)</f>
        <v>0.12</v>
      </c>
      <c r="AL1267" s="1">
        <f>VLOOKUP($E1267,'Product Parameters'!$A$2:$E$59,5,FALSE)</f>
        <v>72.599999999999994</v>
      </c>
      <c r="AM1267" s="1">
        <f>VLOOKUP($E1267,'Product Parameters'!$A$2:$F$59,6,FALSE)</f>
        <v>4</v>
      </c>
      <c r="AN1267" s="1">
        <f>VLOOKUP($C1267,'Substrate Heating'!$A$2:$C$33,3,FALSE)</f>
        <v>638.57832580000002</v>
      </c>
      <c r="AO1267" s="1">
        <f>VLOOKUP($C1267,'Substrate Heating'!$A$2:$B$33,2,FALSE)</f>
        <v>19.93</v>
      </c>
      <c r="AP1267" s="1">
        <f>VLOOKUP($C1267,'Substrate Heating'!$A$2:$M$33,13,FALSE)</f>
        <v>6</v>
      </c>
      <c r="AQ1267" s="1">
        <f>VLOOKUP($C1267,'Substrate Heating'!$A$2:$M$33,8,FALSE)</f>
        <v>1</v>
      </c>
      <c r="AR1267" s="1">
        <f t="shared" si="19"/>
        <v>0.94412698412698404</v>
      </c>
    </row>
    <row r="1268" spans="1:44" x14ac:dyDescent="0.2">
      <c r="A1268" s="8" t="s">
        <v>34</v>
      </c>
      <c r="B1268" s="9" t="s">
        <v>35</v>
      </c>
      <c r="C1268" s="1" t="s">
        <v>346</v>
      </c>
      <c r="D1268" s="23" t="s">
        <v>338</v>
      </c>
      <c r="E1268" s="1" t="s">
        <v>48</v>
      </c>
      <c r="F1268" s="1" t="s">
        <v>39</v>
      </c>
      <c r="G1268" s="1">
        <v>-10</v>
      </c>
      <c r="H1268" s="1">
        <v>-20</v>
      </c>
      <c r="I1268" s="1" t="s">
        <v>40</v>
      </c>
      <c r="J1268" s="1">
        <v>3.15</v>
      </c>
      <c r="K1268" s="1">
        <v>-10</v>
      </c>
      <c r="L1268" s="1">
        <v>-2.01825396825397</v>
      </c>
      <c r="M1268" s="1" t="s">
        <v>40</v>
      </c>
      <c r="N1268" s="1">
        <v>0.55873015873016896</v>
      </c>
      <c r="O1268" s="1">
        <v>2.3603174603174599</v>
      </c>
      <c r="Q1268" s="1">
        <v>0.23603174603174601</v>
      </c>
      <c r="R1268" s="1">
        <v>0.66386668003443605</v>
      </c>
      <c r="S1268" s="1" t="str">
        <f>VLOOKUP($E1268,'Product Naming'!$A$1:$P$58,2,FALSE)</f>
        <v>1-3-butanediol-PW2</v>
      </c>
      <c r="T1268" s="1" t="str">
        <f>VLOOKUP($E1268,'Product Naming'!$A$1:$P$58,3,FALSE)</f>
        <v>1,3-Butanediol (PW2)</v>
      </c>
      <c r="U1268" s="1" t="str">
        <f>VLOOKUP($E1268,'Product Naming'!$A$1:$P$58,4,FALSE)</f>
        <v>E</v>
      </c>
      <c r="V1268" s="1" t="str">
        <f>VLOOKUP($E1268,'Product Naming'!$A$1:$P$58,5,FALSE)</f>
        <v>C4H10O2</v>
      </c>
      <c r="W1268" s="1">
        <f>VLOOKUP($E1268,'Product Naming'!$A$1:$P$58,6,FALSE)</f>
        <v>4</v>
      </c>
      <c r="X1268" s="1">
        <f>VLOOKUP($E1268,'Product Naming'!$A$1:$P$58,7,FALSE)</f>
        <v>10</v>
      </c>
      <c r="Y1268" s="1">
        <f>VLOOKUP($E1268,'Product Naming'!$A$1:$P$58,8,FALSE)</f>
        <v>2</v>
      </c>
      <c r="Z1268" s="1">
        <f>VLOOKUP($E1268,'Product Naming'!$A$1:$P$58,9,FALSE)</f>
        <v>0</v>
      </c>
      <c r="AA1268" s="1">
        <f>VLOOKUP($E1268,'Product Naming'!$A$1:$P$58,10,FALSE)</f>
        <v>0</v>
      </c>
      <c r="AB1268" s="29">
        <f>VLOOKUP($E1268,'Product Naming'!$A$1:$P$58,11,FALSE)</f>
        <v>5.5</v>
      </c>
      <c r="AC1268" s="3">
        <f>VLOOKUP($E1268,'Product Naming'!$A$1:$P$58,12,FALSE)</f>
        <v>90.119200000000006</v>
      </c>
      <c r="AD1268" s="1">
        <f>VLOOKUP($E1268,'Product Naming'!$A$1:$P$58,13,FALSE)</f>
        <v>207</v>
      </c>
      <c r="AE1268" s="1" t="str">
        <f>VLOOKUP($E1268,'Product Naming'!$A$1:$P$58,14,FALSE)</f>
        <v>Diol</v>
      </c>
      <c r="AF1268" s="1" t="str">
        <f>VLOOKUP($E1268,'Product Naming'!$A$1:$P$58,15,FALSE)</f>
        <v>Pyruvate (acetalehyde)</v>
      </c>
      <c r="AG1268" s="30" t="str">
        <f>VLOOKUP($E1268,'Product Naming'!$A$1:$P$58,16,FALSE)</f>
        <v>Proton symporter</v>
      </c>
      <c r="AH1268" s="3" t="str">
        <f>VLOOKUP($E1268,'Product Naming'!$A$1:$Q$58,17,FALSE)</f>
        <v>13bdo__R_c</v>
      </c>
      <c r="AI1268" s="1">
        <f>VLOOKUP($E1268,'Product Parameters'!$A$2:$D$59,2,FALSE)</f>
        <v>1</v>
      </c>
      <c r="AJ1268" s="1">
        <f>VLOOKUP($E1268,'Product Parameters'!$A$2:$D$59,3,FALSE)</f>
        <v>0</v>
      </c>
      <c r="AK1268" s="1">
        <f>VLOOKUP($E1268,'Product Parameters'!$A$2:$D$59,4,FALSE)</f>
        <v>0.12</v>
      </c>
      <c r="AL1268" s="1">
        <f>VLOOKUP($E1268,'Product Parameters'!$A$2:$E$59,5,FALSE)</f>
        <v>72.599999999999994</v>
      </c>
      <c r="AM1268" s="1">
        <f>VLOOKUP($E1268,'Product Parameters'!$A$2:$F$59,6,FALSE)</f>
        <v>4</v>
      </c>
      <c r="AN1268" s="1">
        <f>VLOOKUP($C1268,'Substrate Heating'!$A$2:$C$33,3,FALSE)</f>
        <v>638.57832580000002</v>
      </c>
      <c r="AO1268" s="1">
        <f>VLOOKUP($C1268,'Substrate Heating'!$A$2:$B$33,2,FALSE)</f>
        <v>19.93</v>
      </c>
      <c r="AP1268" s="1">
        <f>VLOOKUP($C1268,'Substrate Heating'!$A$2:$M$33,13,FALSE)</f>
        <v>6</v>
      </c>
      <c r="AQ1268" s="1">
        <f>VLOOKUP($C1268,'Substrate Heating'!$A$2:$M$33,8,FALSE)</f>
        <v>1</v>
      </c>
      <c r="AR1268" s="1">
        <f t="shared" si="19"/>
        <v>0.94412698412698404</v>
      </c>
    </row>
    <row r="1269" spans="1:44" x14ac:dyDescent="0.2">
      <c r="A1269" s="8" t="s">
        <v>812</v>
      </c>
      <c r="B1269" s="18" t="s">
        <v>324</v>
      </c>
      <c r="C1269" t="s">
        <v>814</v>
      </c>
      <c r="E1269" t="s">
        <v>130</v>
      </c>
      <c r="F1269" t="s">
        <v>125</v>
      </c>
      <c r="G1269">
        <v>-10</v>
      </c>
      <c r="H1269">
        <v>0</v>
      </c>
      <c r="I1269">
        <v>-10</v>
      </c>
      <c r="J1269">
        <v>0.45</v>
      </c>
      <c r="K1269">
        <v>-10</v>
      </c>
      <c r="L1269">
        <v>0</v>
      </c>
      <c r="M1269">
        <v>-10</v>
      </c>
      <c r="N1269">
        <v>0</v>
      </c>
      <c r="O1269">
        <v>2.1411764705882299</v>
      </c>
      <c r="P1269"/>
      <c r="Q1269">
        <v>0.214117647058823</v>
      </c>
      <c r="R1269">
        <v>0.666443286844972</v>
      </c>
      <c r="S1269" s="1" t="str">
        <f>VLOOKUP($E1269,'Product Naming'!$A$1:$P$58,2,FALSE)</f>
        <v>Acrylate-PW2</v>
      </c>
      <c r="T1269" s="1" t="str">
        <f>VLOOKUP($E1269,'Product Naming'!$A$1:$P$58,3,FALSE)</f>
        <v>Acrylate (PW2)</v>
      </c>
      <c r="U1269" s="1" t="str">
        <f>VLOOKUP($E1269,'Product Naming'!$A$1:$P$58,4,FALSE)</f>
        <v>A</v>
      </c>
      <c r="V1269" s="1" t="str">
        <f>VLOOKUP($E1269,'Product Naming'!$A$1:$P$58,5,FALSE)</f>
        <v>C3H3O2</v>
      </c>
      <c r="W1269" s="1">
        <f>VLOOKUP($E1269,'Product Naming'!$A$1:$P$58,6,FALSE)</f>
        <v>3</v>
      </c>
      <c r="X1269" s="1">
        <f>VLOOKUP($E1269,'Product Naming'!$A$1:$P$58,7,FALSE)</f>
        <v>3</v>
      </c>
      <c r="Y1269" s="1">
        <f>VLOOKUP($E1269,'Product Naming'!$A$1:$P$58,8,FALSE)</f>
        <v>2</v>
      </c>
      <c r="Z1269" s="1">
        <f>VLOOKUP($E1269,'Product Naming'!$A$1:$P$58,9,FALSE)</f>
        <v>0</v>
      </c>
      <c r="AA1269" s="1">
        <f>VLOOKUP($E1269,'Product Naming'!$A$1:$P$58,10,FALSE)</f>
        <v>-1</v>
      </c>
      <c r="AB1269" s="29">
        <f>VLOOKUP($E1269,'Product Naming'!$A$1:$P$58,11,FALSE)</f>
        <v>3.6666666666666665</v>
      </c>
      <c r="AC1269" s="3">
        <f>VLOOKUP($E1269,'Product Naming'!$A$1:$P$58,12,FALSE)</f>
        <v>71.053619999999995</v>
      </c>
      <c r="AD1269" s="1">
        <f>VLOOKUP($E1269,'Product Naming'!$A$1:$P$58,13,FALSE)</f>
        <v>80</v>
      </c>
      <c r="AE1269" s="1" t="str">
        <f>VLOOKUP($E1269,'Product Naming'!$A$1:$P$58,14,FALSE)</f>
        <v>Carboxylate</v>
      </c>
      <c r="AF1269" s="1" t="str">
        <f>VLOOKUP($E1269,'Product Naming'!$A$1:$P$58,15,FALSE)</f>
        <v>Pyruvate</v>
      </c>
      <c r="AG1269" s="30" t="str">
        <f>VLOOKUP($E1269,'Product Naming'!$A$1:$P$58,16,FALSE)</f>
        <v>Proton symporter</v>
      </c>
      <c r="AH1269" s="3" t="str">
        <f>VLOOKUP($E1269,'Product Naming'!$A$1:$Q$58,17,FALSE)</f>
        <v>acryl_c</v>
      </c>
      <c r="AI1269" s="1">
        <f>VLOOKUP($E1269,'Product Parameters'!$A$2:$D$59,2,FALSE)</f>
        <v>1</v>
      </c>
      <c r="AJ1269" s="1">
        <f>VLOOKUP($E1269,'Product Parameters'!$A$2:$D$59,3,FALSE)</f>
        <v>0</v>
      </c>
      <c r="AK1269" s="1">
        <f>VLOOKUP($E1269,'Product Parameters'!$A$2:$D$59,4,FALSE)</f>
        <v>0.12</v>
      </c>
      <c r="AL1269" s="1">
        <f>VLOOKUP($E1269,'Product Parameters'!$A$2:$E$59,5,FALSE)</f>
        <v>53.1</v>
      </c>
      <c r="AM1269" s="1">
        <f>VLOOKUP($E1269,'Product Parameters'!$A$2:$F$59,6,FALSE)</f>
        <v>3</v>
      </c>
      <c r="AN1269" s="1">
        <f>VLOOKUP($C1269,'Substrate Heating'!$A$2:$C$33,3,FALSE)</f>
        <v>209.92000000000002</v>
      </c>
      <c r="AO1269" s="1">
        <f>VLOOKUP($C1269,'Substrate Heating'!$A$2:$B$33,2,FALSE)</f>
        <v>10.086540906516333</v>
      </c>
      <c r="AP1269" s="1">
        <f>VLOOKUP($C1269,'Substrate Heating'!$A$2:$M$33,13,FALSE)</f>
        <v>0.8</v>
      </c>
      <c r="AQ1269" s="1">
        <f>VLOOKUP($C1269,'Substrate Heating'!$A$2:$M$33,8,FALSE)</f>
        <v>0.8</v>
      </c>
      <c r="AR1269" s="1">
        <f t="shared" si="19"/>
        <v>0.80294117647058627</v>
      </c>
    </row>
    <row r="1270" spans="1:44" x14ac:dyDescent="0.2">
      <c r="A1270" s="17" t="s">
        <v>323</v>
      </c>
      <c r="B1270" s="18" t="s">
        <v>324</v>
      </c>
      <c r="C1270" t="s">
        <v>328</v>
      </c>
      <c r="D1270" s="19" t="s">
        <v>326</v>
      </c>
      <c r="E1270" t="s">
        <v>269</v>
      </c>
      <c r="F1270" t="s">
        <v>270</v>
      </c>
      <c r="G1270">
        <v>-10</v>
      </c>
      <c r="H1270">
        <v>0</v>
      </c>
      <c r="I1270">
        <v>-10</v>
      </c>
      <c r="J1270">
        <v>0.45</v>
      </c>
      <c r="K1270">
        <v>-10</v>
      </c>
      <c r="L1270">
        <v>0</v>
      </c>
      <c r="M1270">
        <v>-10</v>
      </c>
      <c r="N1270">
        <v>0</v>
      </c>
      <c r="O1270">
        <v>1.5166666666666699</v>
      </c>
      <c r="P1270"/>
      <c r="Q1270">
        <v>0.151666666666667</v>
      </c>
      <c r="R1270">
        <v>0.66701595959596005</v>
      </c>
      <c r="S1270" s="1" t="str">
        <f>VLOOKUP($E1270,'Product Naming'!$A$1:$P$58,2,FALSE)</f>
        <v>Malate_L</v>
      </c>
      <c r="T1270" s="1" t="str">
        <f>VLOOKUP($E1270,'Product Naming'!$A$1:$P$58,3,FALSE)</f>
        <v>L-Malate</v>
      </c>
      <c r="U1270" s="1" t="str">
        <f>VLOOKUP($E1270,'Product Naming'!$A$1:$P$58,4,FALSE)</f>
        <v>iJO1366</v>
      </c>
      <c r="V1270" s="1" t="str">
        <f>VLOOKUP($E1270,'Product Naming'!$A$1:$P$58,5,FALSE)</f>
        <v>C4H4O5</v>
      </c>
      <c r="W1270" s="1">
        <f>VLOOKUP($E1270,'Product Naming'!$A$1:$P$58,6,FALSE)</f>
        <v>4</v>
      </c>
      <c r="X1270" s="1">
        <f>VLOOKUP($E1270,'Product Naming'!$A$1:$P$58,7,FALSE)</f>
        <v>4</v>
      </c>
      <c r="Y1270" s="1">
        <f>VLOOKUP($E1270,'Product Naming'!$A$1:$P$58,8,FALSE)</f>
        <v>5</v>
      </c>
      <c r="Z1270" s="1">
        <f>VLOOKUP($E1270,'Product Naming'!$A$1:$P$58,9,FALSE)</f>
        <v>0</v>
      </c>
      <c r="AA1270" s="1">
        <f>VLOOKUP($E1270,'Product Naming'!$A$1:$P$58,10,FALSE)</f>
        <v>-2</v>
      </c>
      <c r="AB1270" s="29">
        <f>VLOOKUP($E1270,'Product Naming'!$A$1:$P$58,11,FALSE)</f>
        <v>2.5</v>
      </c>
      <c r="AC1270" s="3">
        <f>VLOOKUP($E1270,'Product Naming'!$A$1:$P$58,12,FALSE)</f>
        <v>132.06916000000001</v>
      </c>
      <c r="AD1270" s="1" t="str">
        <f>VLOOKUP($E1270,'Product Naming'!$A$1:$P$58,13,FALSE)</f>
        <v>NA</v>
      </c>
      <c r="AE1270" s="1" t="str">
        <f>VLOOKUP($E1270,'Product Naming'!$A$1:$P$58,14,FALSE)</f>
        <v>Dicarboxylate</v>
      </c>
      <c r="AF1270" s="1" t="str">
        <f>VLOOKUP($E1270,'Product Naming'!$A$1:$P$58,15,FALSE)</f>
        <v>Oxaloacetate</v>
      </c>
      <c r="AG1270" s="30" t="str">
        <f>VLOOKUP($E1270,'Product Naming'!$A$1:$P$58,16,FALSE)</f>
        <v>Proton symporter</v>
      </c>
      <c r="AH1270" s="3" t="str">
        <f>VLOOKUP($E1270,'Product Naming'!$A$1:$Q$58,17,FALSE)</f>
        <v>mal__L_e</v>
      </c>
      <c r="AI1270" s="1">
        <f>VLOOKUP($E1270,'Product Parameters'!$A$2:$D$59,2,FALSE)</f>
        <v>1</v>
      </c>
      <c r="AJ1270" s="1">
        <f>VLOOKUP($E1270,'Product Parameters'!$A$2:$D$59,3,FALSE)</f>
        <v>0</v>
      </c>
      <c r="AK1270" s="1">
        <f>VLOOKUP($E1270,'Product Parameters'!$A$2:$D$59,4,FALSE)</f>
        <v>0.12</v>
      </c>
      <c r="AL1270" s="1">
        <f>VLOOKUP($E1270,'Product Parameters'!$A$2:$E$59,5,FALSE)</f>
        <v>40.65</v>
      </c>
      <c r="AM1270" s="1">
        <f>VLOOKUP($E1270,'Product Parameters'!$A$2:$F$59,6,FALSE)</f>
        <v>4</v>
      </c>
      <c r="AN1270" s="1">
        <f>VLOOKUP($C1270,'Substrate Heating'!$A$2:$C$33,3,FALSE)</f>
        <v>262.39999999999998</v>
      </c>
      <c r="AO1270" s="1">
        <f>VLOOKUP($C1270,'Substrate Heating'!$A$2:$B$33,2,FALSE)</f>
        <v>17.478546483008707</v>
      </c>
      <c r="AP1270" s="1">
        <f>VLOOKUP($C1270,'Substrate Heating'!$A$2:$M$33,13,FALSE)</f>
        <v>1</v>
      </c>
      <c r="AQ1270" s="1">
        <f>VLOOKUP($C1270,'Substrate Heating'!$A$2:$M$33,8,FALSE)</f>
        <v>0.5</v>
      </c>
      <c r="AR1270" s="1">
        <f t="shared" si="19"/>
        <v>1.213333333333336</v>
      </c>
    </row>
    <row r="1271" spans="1:44" x14ac:dyDescent="0.2">
      <c r="A1271" s="8" t="s">
        <v>34</v>
      </c>
      <c r="B1271" s="9" t="s">
        <v>35</v>
      </c>
      <c r="C1271" s="1" t="s">
        <v>332</v>
      </c>
      <c r="D1271" s="10" t="s">
        <v>37</v>
      </c>
      <c r="E1271" s="1" t="s">
        <v>81</v>
      </c>
      <c r="F1271" s="1" t="s">
        <v>73</v>
      </c>
      <c r="G1271" s="1">
        <v>-10</v>
      </c>
      <c r="H1271" s="1">
        <v>-20</v>
      </c>
      <c r="I1271" s="1" t="s">
        <v>40</v>
      </c>
      <c r="J1271" s="1">
        <v>3.15</v>
      </c>
      <c r="K1271" s="1">
        <v>-10</v>
      </c>
      <c r="L1271" s="1">
        <v>-6.9</v>
      </c>
      <c r="M1271" s="1" t="s">
        <v>40</v>
      </c>
      <c r="N1271" s="1">
        <v>4.5999999999999996</v>
      </c>
      <c r="O1271" s="1">
        <v>5.1333333333333302</v>
      </c>
      <c r="Q1271" s="1">
        <v>0.51333333333333298</v>
      </c>
      <c r="R1271" s="1">
        <v>0.669630457723141</v>
      </c>
      <c r="S1271" s="1" t="str">
        <f>VLOOKUP($E1271,'Product Naming'!$A$1:$P$58,2,FALSE)</f>
        <v>1-propanol-PW2</v>
      </c>
      <c r="T1271" s="1" t="str">
        <f>VLOOKUP($E1271,'Product Naming'!$A$1:$P$58,3,FALSE)</f>
        <v>1-Propanol (PW2)</v>
      </c>
      <c r="U1271" s="1" t="str">
        <f>VLOOKUP($E1271,'Product Naming'!$A$1:$P$58,4,FALSE)</f>
        <v>E-S</v>
      </c>
      <c r="V1271" s="1" t="str">
        <f>VLOOKUP($E1271,'Product Naming'!$A$1:$P$58,5,FALSE)</f>
        <v>C3H8O</v>
      </c>
      <c r="W1271" s="1">
        <f>VLOOKUP($E1271,'Product Naming'!$A$1:$P$58,6,FALSE)</f>
        <v>3</v>
      </c>
      <c r="X1271" s="1">
        <f>VLOOKUP($E1271,'Product Naming'!$A$1:$P$58,7,FALSE)</f>
        <v>8</v>
      </c>
      <c r="Y1271" s="1">
        <f>VLOOKUP($E1271,'Product Naming'!$A$1:$P$58,8,FALSE)</f>
        <v>1</v>
      </c>
      <c r="Z1271" s="1">
        <f>VLOOKUP($E1271,'Product Naming'!$A$1:$P$58,9,FALSE)</f>
        <v>0</v>
      </c>
      <c r="AA1271" s="1">
        <f>VLOOKUP($E1271,'Product Naming'!$A$1:$P$58,10,FALSE)</f>
        <v>0</v>
      </c>
      <c r="AB1271" s="29">
        <f>VLOOKUP($E1271,'Product Naming'!$A$1:$P$58,11,FALSE)</f>
        <v>6</v>
      </c>
      <c r="AC1271" s="3">
        <f>VLOOKUP($E1271,'Product Naming'!$A$1:$P$58,12,FALSE)</f>
        <v>60.093820000000001</v>
      </c>
      <c r="AD1271" s="1">
        <f>VLOOKUP($E1271,'Product Naming'!$A$1:$P$58,13,FALSE)</f>
        <v>97</v>
      </c>
      <c r="AE1271" s="1" t="str">
        <f>VLOOKUP($E1271,'Product Naming'!$A$1:$P$58,14,FALSE)</f>
        <v>Alcohol</v>
      </c>
      <c r="AF1271" s="1" t="str">
        <f>VLOOKUP($E1271,'Product Naming'!$A$1:$P$58,15,FALSE)</f>
        <v>Oxaloacetate</v>
      </c>
      <c r="AG1271" s="30" t="str">
        <f>VLOOKUP($E1271,'Product Naming'!$A$1:$P$58,16,FALSE)</f>
        <v>Proton symporter</v>
      </c>
      <c r="AH1271" s="3" t="str">
        <f>VLOOKUP($E1271,'Product Naming'!$A$1:$Q$58,17,FALSE)</f>
        <v>ppoh_c</v>
      </c>
      <c r="AI1271" s="1">
        <f>VLOOKUP($E1271,'Product Parameters'!$A$2:$D$59,2,FALSE)</f>
        <v>1</v>
      </c>
      <c r="AJ1271" s="1">
        <f>VLOOKUP($E1271,'Product Parameters'!$A$2:$D$59,3,FALSE)</f>
        <v>0</v>
      </c>
      <c r="AK1271" s="1">
        <f>VLOOKUP($E1271,'Product Parameters'!$A$2:$D$59,4,FALSE)</f>
        <v>0.12</v>
      </c>
      <c r="AL1271" s="1">
        <f>VLOOKUP($E1271,'Product Parameters'!$A$2:$E$59,5,FALSE)</f>
        <v>47</v>
      </c>
      <c r="AM1271" s="1">
        <f>VLOOKUP($E1271,'Product Parameters'!$A$2:$F$59,6,FALSE)</f>
        <v>3</v>
      </c>
      <c r="AN1271" s="1">
        <f>VLOOKUP($C1271,'Substrate Heating'!$A$2:$C$33,3,FALSE)</f>
        <v>1230.0006480000002</v>
      </c>
      <c r="AO1271" s="1">
        <f>VLOOKUP($C1271,'Substrate Heating'!$A$2:$B$33,2,FALSE)</f>
        <v>26.7</v>
      </c>
      <c r="AP1271" s="1">
        <f>VLOOKUP($C1271,'Substrate Heating'!$A$2:$M$33,13,FALSE)</f>
        <v>6</v>
      </c>
      <c r="AQ1271" s="1">
        <f>VLOOKUP($C1271,'Substrate Heating'!$A$2:$M$33,8,FALSE)</f>
        <v>2</v>
      </c>
      <c r="AR1271" s="1">
        <f t="shared" si="19"/>
        <v>0.76999999999999946</v>
      </c>
    </row>
    <row r="1272" spans="1:44" x14ac:dyDescent="0.2">
      <c r="A1272" s="17" t="s">
        <v>323</v>
      </c>
      <c r="B1272" s="18" t="s">
        <v>324</v>
      </c>
      <c r="C1272" t="s">
        <v>328</v>
      </c>
      <c r="D1272" s="19" t="s">
        <v>326</v>
      </c>
      <c r="E1272" t="s">
        <v>318</v>
      </c>
      <c r="F1272" t="s">
        <v>319</v>
      </c>
      <c r="G1272">
        <v>-10</v>
      </c>
      <c r="H1272">
        <v>0</v>
      </c>
      <c r="I1272">
        <v>-10</v>
      </c>
      <c r="J1272">
        <v>0.45</v>
      </c>
      <c r="K1272">
        <v>-10</v>
      </c>
      <c r="L1272">
        <v>0</v>
      </c>
      <c r="M1272">
        <v>-10</v>
      </c>
      <c r="N1272">
        <v>0</v>
      </c>
      <c r="O1272">
        <v>1.7333333333333301</v>
      </c>
      <c r="P1272"/>
      <c r="Q1272">
        <v>0.17333333333333301</v>
      </c>
      <c r="R1272">
        <v>0.66995763347763304</v>
      </c>
      <c r="S1272" s="1" t="str">
        <f>VLOOKUP($E1272,'Product Naming'!$A$1:$P$58,2,FALSE)</f>
        <v>Succinate</v>
      </c>
      <c r="T1272" s="1" t="str">
        <f>VLOOKUP($E1272,'Product Naming'!$A$1:$P$58,3,FALSE)</f>
        <v>Succinate</v>
      </c>
      <c r="U1272" s="1" t="str">
        <f>VLOOKUP($E1272,'Product Naming'!$A$1:$P$58,4,FALSE)</f>
        <v>iJO1366</v>
      </c>
      <c r="V1272" s="1" t="str">
        <f>VLOOKUP($E1272,'Product Naming'!$A$1:$P$58,5,FALSE)</f>
        <v>C4H4O4</v>
      </c>
      <c r="W1272" s="1">
        <f>VLOOKUP($E1272,'Product Naming'!$A$1:$P$58,6,FALSE)</f>
        <v>4</v>
      </c>
      <c r="X1272" s="1">
        <f>VLOOKUP($E1272,'Product Naming'!$A$1:$P$58,7,FALSE)</f>
        <v>4</v>
      </c>
      <c r="Y1272" s="1">
        <f>VLOOKUP($E1272,'Product Naming'!$A$1:$P$58,8,FALSE)</f>
        <v>4</v>
      </c>
      <c r="Z1272" s="1">
        <f>VLOOKUP($E1272,'Product Naming'!$A$1:$P$58,9,FALSE)</f>
        <v>0</v>
      </c>
      <c r="AA1272" s="1">
        <f>VLOOKUP($E1272,'Product Naming'!$A$1:$P$58,10,FALSE)</f>
        <v>-2</v>
      </c>
      <c r="AB1272" s="29">
        <f>VLOOKUP($E1272,'Product Naming'!$A$1:$P$58,11,FALSE)</f>
        <v>3</v>
      </c>
      <c r="AC1272" s="3">
        <f>VLOOKUP($E1272,'Product Naming'!$A$1:$P$58,12,FALSE)</f>
        <v>116.07016</v>
      </c>
      <c r="AD1272" s="1">
        <f>VLOOKUP($E1272,'Product Naming'!$A$1:$P$58,13,FALSE)</f>
        <v>235</v>
      </c>
      <c r="AE1272" s="1" t="str">
        <f>VLOOKUP($E1272,'Product Naming'!$A$1:$P$58,14,FALSE)</f>
        <v>Dicarboxylate</v>
      </c>
      <c r="AF1272" s="1" t="str">
        <f>VLOOKUP($E1272,'Product Naming'!$A$1:$P$58,15,FALSE)</f>
        <v>Oxaloacetate</v>
      </c>
      <c r="AG1272" s="30" t="str">
        <f>VLOOKUP($E1272,'Product Naming'!$A$1:$P$58,16,FALSE)</f>
        <v>Proton symporter</v>
      </c>
      <c r="AH1272" s="3" t="str">
        <f>VLOOKUP($E1272,'Product Naming'!$A$1:$Q$58,17,FALSE)</f>
        <v>succ_c</v>
      </c>
      <c r="AI1272" s="1">
        <f>VLOOKUP($E1272,'Product Parameters'!$A$2:$D$59,2,FALSE)</f>
        <v>1</v>
      </c>
      <c r="AJ1272" s="1">
        <f>VLOOKUP($E1272,'Product Parameters'!$A$2:$D$59,3,FALSE)</f>
        <v>0</v>
      </c>
      <c r="AK1272" s="1">
        <f>VLOOKUP($E1272,'Product Parameters'!$A$2:$D$59,4,FALSE)</f>
        <v>0.12</v>
      </c>
      <c r="AL1272" s="1">
        <f>VLOOKUP($E1272,'Product Parameters'!$A$2:$E$59,5,FALSE)</f>
        <v>40.65</v>
      </c>
      <c r="AM1272" s="1">
        <f>VLOOKUP($E1272,'Product Parameters'!$A$2:$F$59,6,FALSE)</f>
        <v>4</v>
      </c>
      <c r="AN1272" s="1">
        <f>VLOOKUP($C1272,'Substrate Heating'!$A$2:$C$33,3,FALSE)</f>
        <v>262.39999999999998</v>
      </c>
      <c r="AO1272" s="1">
        <f>VLOOKUP($C1272,'Substrate Heating'!$A$2:$B$33,2,FALSE)</f>
        <v>17.478546483008707</v>
      </c>
      <c r="AP1272" s="1">
        <f>VLOOKUP($C1272,'Substrate Heating'!$A$2:$M$33,13,FALSE)</f>
        <v>1</v>
      </c>
      <c r="AQ1272" s="1">
        <f>VLOOKUP($C1272,'Substrate Heating'!$A$2:$M$33,8,FALSE)</f>
        <v>0.5</v>
      </c>
      <c r="AR1272" s="1">
        <f t="shared" si="19"/>
        <v>1.386666666666664</v>
      </c>
    </row>
    <row r="1273" spans="1:44" x14ac:dyDescent="0.2">
      <c r="A1273" s="17" t="s">
        <v>185</v>
      </c>
      <c r="B1273" s="9" t="s">
        <v>35</v>
      </c>
      <c r="C1273" t="s">
        <v>331</v>
      </c>
      <c r="D1273" s="10" t="s">
        <v>37</v>
      </c>
      <c r="E1273" t="s">
        <v>264</v>
      </c>
      <c r="F1273" t="s">
        <v>265</v>
      </c>
      <c r="G1273">
        <v>-10</v>
      </c>
      <c r="H1273">
        <v>-20</v>
      </c>
      <c r="I1273" s="1" t="s">
        <v>40</v>
      </c>
      <c r="J1273">
        <v>3.15</v>
      </c>
      <c r="K1273">
        <v>-10</v>
      </c>
      <c r="L1273">
        <v>-5.2169230769230799</v>
      </c>
      <c r="M1273" s="1" t="s">
        <v>40</v>
      </c>
      <c r="N1273">
        <v>3.0430769230769301</v>
      </c>
      <c r="O1273">
        <v>2.8261538461538498</v>
      </c>
      <c r="P1273"/>
      <c r="Q1273">
        <v>0.28261538461538499</v>
      </c>
      <c r="R1273">
        <v>0.67023482642410803</v>
      </c>
      <c r="S1273" s="1" t="str">
        <f>VLOOKUP($E1273,'Product Naming'!$A$1:$P$58,2,FALSE)</f>
        <v>Lysine_L</v>
      </c>
      <c r="T1273" s="1" t="str">
        <f>VLOOKUP($E1273,'Product Naming'!$A$1:$P$58,3,FALSE)</f>
        <v>L-Lysine</v>
      </c>
      <c r="U1273" s="1" t="str">
        <f>VLOOKUP($E1273,'Product Naming'!$A$1:$P$58,4,FALSE)</f>
        <v>iJO1366</v>
      </c>
      <c r="V1273" s="1" t="str">
        <f>VLOOKUP($E1273,'Product Naming'!$A$1:$P$58,5,FALSE)</f>
        <v>C6H15N2O2</v>
      </c>
      <c r="W1273" s="1">
        <f>VLOOKUP($E1273,'Product Naming'!$A$1:$P$58,6,FALSE)</f>
        <v>6</v>
      </c>
      <c r="X1273" s="1">
        <f>VLOOKUP($E1273,'Product Naming'!$A$1:$P$58,7,FALSE)</f>
        <v>15</v>
      </c>
      <c r="Y1273" s="1">
        <f>VLOOKUP($E1273,'Product Naming'!$A$1:$P$58,8,FALSE)</f>
        <v>2</v>
      </c>
      <c r="Z1273" s="1">
        <f>VLOOKUP($E1273,'Product Naming'!$A$1:$P$58,9,FALSE)</f>
        <v>2</v>
      </c>
      <c r="AA1273" s="1">
        <f>VLOOKUP($E1273,'Product Naming'!$A$1:$P$58,10,FALSE)</f>
        <v>1</v>
      </c>
      <c r="AB1273" s="29">
        <f>VLOOKUP($E1273,'Product Naming'!$A$1:$P$58,11,FALSE)</f>
        <v>4.833333333333333</v>
      </c>
      <c r="AC1273" s="3">
        <f>VLOOKUP($E1273,'Product Naming'!$A$1:$P$58,12,FALSE)</f>
        <v>147.19319999999999</v>
      </c>
      <c r="AD1273" s="1" t="str">
        <f>VLOOKUP($E1273,'Product Naming'!$A$1:$P$58,13,FALSE)</f>
        <v>NA</v>
      </c>
      <c r="AE1273" s="1" t="str">
        <f>VLOOKUP($E1273,'Product Naming'!$A$1:$P$58,14,FALSE)</f>
        <v>Amino acid</v>
      </c>
      <c r="AF1273" s="1" t="str">
        <f>VLOOKUP($E1273,'Product Naming'!$A$1:$P$58,15,FALSE)</f>
        <v>Oxaloacetate</v>
      </c>
      <c r="AG1273" s="30" t="str">
        <f>VLOOKUP($E1273,'Product Naming'!$A$1:$P$58,16,FALSE)</f>
        <v>Proton antiport</v>
      </c>
      <c r="AH1273" s="3" t="str">
        <f>VLOOKUP($E1273,'Product Naming'!$A$1:$Q$58,17,FALSE)</f>
        <v>lys__L_</v>
      </c>
      <c r="AI1273" s="1">
        <f>VLOOKUP($E1273,'Product Parameters'!$A$2:$D$59,2,FALSE)</f>
        <v>1</v>
      </c>
      <c r="AJ1273" s="1">
        <f>VLOOKUP($E1273,'Product Parameters'!$A$2:$D$59,3,FALSE)</f>
        <v>0</v>
      </c>
      <c r="AK1273" s="1">
        <f>VLOOKUP($E1273,'Product Parameters'!$A$2:$D$59,4,FALSE)</f>
        <v>0.12</v>
      </c>
      <c r="AL1273" s="1">
        <f>VLOOKUP($E1273,'Product Parameters'!$A$2:$E$59,5,FALSE)</f>
        <v>40.65</v>
      </c>
      <c r="AM1273" s="1">
        <f>VLOOKUP($E1273,'Product Parameters'!$A$2:$F$59,6,FALSE)</f>
        <v>6</v>
      </c>
      <c r="AN1273" s="1">
        <f>VLOOKUP($C1273,'Substrate Heating'!$A$2:$C$33,3,FALSE)</f>
        <v>1055.1294800000001</v>
      </c>
      <c r="AO1273" s="1">
        <f>VLOOKUP($C1273,'Substrate Heating'!$A$2:$B$33,2,FALSE)</f>
        <v>17</v>
      </c>
      <c r="AP1273" s="1">
        <f>VLOOKUP($C1273,'Substrate Heating'!$A$2:$M$33,13,FALSE)</f>
        <v>5</v>
      </c>
      <c r="AQ1273" s="1">
        <f>VLOOKUP($C1273,'Substrate Heating'!$A$2:$M$33,8,FALSE)</f>
        <v>2</v>
      </c>
      <c r="AR1273" s="1">
        <f t="shared" si="19"/>
        <v>0.84784615384615503</v>
      </c>
    </row>
    <row r="1274" spans="1:44" x14ac:dyDescent="0.2">
      <c r="A1274" s="17" t="s">
        <v>323</v>
      </c>
      <c r="B1274" s="18" t="s">
        <v>324</v>
      </c>
      <c r="C1274" t="s">
        <v>329</v>
      </c>
      <c r="D1274" s="19" t="s">
        <v>326</v>
      </c>
      <c r="E1274" t="s">
        <v>240</v>
      </c>
      <c r="F1274" t="s">
        <v>241</v>
      </c>
      <c r="G1274">
        <v>-10</v>
      </c>
      <c r="H1274">
        <v>0</v>
      </c>
      <c r="I1274">
        <v>-20</v>
      </c>
      <c r="J1274">
        <v>0.45</v>
      </c>
      <c r="K1274">
        <v>-10</v>
      </c>
      <c r="L1274">
        <v>0</v>
      </c>
      <c r="M1274">
        <v>-20</v>
      </c>
      <c r="N1274">
        <v>0</v>
      </c>
      <c r="O1274">
        <v>2.5</v>
      </c>
      <c r="P1274"/>
      <c r="Q1274">
        <v>0.25</v>
      </c>
      <c r="R1274" s="20">
        <v>0.67184789391575706</v>
      </c>
      <c r="S1274" s="1" t="str">
        <f>VLOOKUP($E1274,'Product Naming'!$A$1:$P$58,2,FALSE)</f>
        <v>Isobutanol</v>
      </c>
      <c r="T1274" s="1" t="str">
        <f>VLOOKUP($E1274,'Product Naming'!$A$1:$P$58,3,FALSE)</f>
        <v>Isobutanol</v>
      </c>
      <c r="U1274" s="1" t="str">
        <f>VLOOKUP($E1274,'Product Naming'!$A$1:$P$58,4,FALSE)</f>
        <v>E</v>
      </c>
      <c r="V1274" s="1" t="str">
        <f>VLOOKUP($E1274,'Product Naming'!$A$1:$P$58,5,FALSE)</f>
        <v>C5H10O</v>
      </c>
      <c r="W1274" s="1">
        <f>VLOOKUP($E1274,'Product Naming'!$A$1:$P$58,6,FALSE)</f>
        <v>5</v>
      </c>
      <c r="X1274" s="1">
        <f>VLOOKUP($E1274,'Product Naming'!$A$1:$P$58,7,FALSE)</f>
        <v>10</v>
      </c>
      <c r="Y1274" s="1">
        <f>VLOOKUP($E1274,'Product Naming'!$A$1:$P$58,8,FALSE)</f>
        <v>1</v>
      </c>
      <c r="Z1274" s="1">
        <f>VLOOKUP($E1274,'Product Naming'!$A$1:$P$58,9,FALSE)</f>
        <v>0</v>
      </c>
      <c r="AA1274" s="1">
        <f>VLOOKUP($E1274,'Product Naming'!$A$1:$P$58,10,FALSE)</f>
        <v>0</v>
      </c>
      <c r="AB1274" s="29">
        <f>VLOOKUP($E1274,'Product Naming'!$A$1:$P$58,11,FALSE)</f>
        <v>5.6</v>
      </c>
      <c r="AC1274" s="3">
        <f>VLOOKUP($E1274,'Product Naming'!$A$1:$P$58,12,FALSE)</f>
        <v>86.130899999999997</v>
      </c>
      <c r="AD1274" s="1">
        <f>VLOOKUP($E1274,'Product Naming'!$A$1:$P$58,13,FALSE)</f>
        <v>108</v>
      </c>
      <c r="AE1274" s="1" t="str">
        <f>VLOOKUP($E1274,'Product Naming'!$A$1:$P$58,14,FALSE)</f>
        <v>Alcohol</v>
      </c>
      <c r="AF1274" s="1" t="str">
        <f>VLOOKUP($E1274,'Product Naming'!$A$1:$P$58,15,FALSE)</f>
        <v>Pyruvate</v>
      </c>
      <c r="AG1274" s="30" t="str">
        <f>VLOOKUP($E1274,'Product Naming'!$A$1:$P$58,16,FALSE)</f>
        <v>Proton symporter</v>
      </c>
      <c r="AH1274" s="3" t="str">
        <f>VLOOKUP($E1274,'Product Naming'!$A$1:$Q$58,17,FALSE)</f>
        <v>ibutoh_c</v>
      </c>
      <c r="AI1274" s="1">
        <f>VLOOKUP($E1274,'Product Parameters'!$A$2:$D$59,2,FALSE)</f>
        <v>1</v>
      </c>
      <c r="AJ1274" s="1">
        <f>VLOOKUP($E1274,'Product Parameters'!$A$2:$D$59,3,FALSE)</f>
        <v>0</v>
      </c>
      <c r="AK1274" s="1">
        <f>VLOOKUP($E1274,'Product Parameters'!$A$2:$D$59,4,FALSE)</f>
        <v>0.12</v>
      </c>
      <c r="AL1274" s="1">
        <f>VLOOKUP($E1274,'Product Parameters'!$A$2:$E$59,5,FALSE)</f>
        <v>51</v>
      </c>
      <c r="AM1274" s="1">
        <f>VLOOKUP($E1274,'Product Parameters'!$A$2:$F$59,6,FALSE)</f>
        <v>5</v>
      </c>
      <c r="AN1274" s="1">
        <f>VLOOKUP($C1274,'Substrate Heating'!$A$2:$C$33,3,FALSE)</f>
        <v>255.53333333333336</v>
      </c>
      <c r="AO1274" s="1">
        <f>VLOOKUP($C1274,'Substrate Heating'!$A$2:$B$33,2,FALSE)</f>
        <v>23.925550527978785</v>
      </c>
      <c r="AP1274" s="1">
        <f>VLOOKUP($C1274,'Substrate Heating'!$A$2:$M$33,13,FALSE)</f>
        <v>0.66666666666666663</v>
      </c>
      <c r="AQ1274" s="1">
        <f>VLOOKUP($C1274,'Substrate Heating'!$A$2:$M$33,8,FALSE)</f>
        <v>0.33333333333333331</v>
      </c>
      <c r="AR1274" s="1">
        <f t="shared" si="19"/>
        <v>3.75</v>
      </c>
    </row>
    <row r="1275" spans="1:44" x14ac:dyDescent="0.2">
      <c r="A1275" s="8" t="s">
        <v>34</v>
      </c>
      <c r="B1275" s="9" t="s">
        <v>35</v>
      </c>
      <c r="C1275" s="1" t="s">
        <v>331</v>
      </c>
      <c r="D1275" s="10" t="s">
        <v>37</v>
      </c>
      <c r="E1275" s="1" t="s">
        <v>221</v>
      </c>
      <c r="F1275" s="1" t="s">
        <v>222</v>
      </c>
      <c r="G1275" s="1">
        <v>-10</v>
      </c>
      <c r="H1275" s="1">
        <v>-20</v>
      </c>
      <c r="I1275" s="1" t="s">
        <v>40</v>
      </c>
      <c r="J1275" s="1">
        <v>3.15</v>
      </c>
      <c r="K1275" s="1">
        <v>-10</v>
      </c>
      <c r="L1275" s="1">
        <v>-8.8859649122807003</v>
      </c>
      <c r="M1275" s="1" t="s">
        <v>40</v>
      </c>
      <c r="N1275" s="1">
        <v>3.8859649122806998</v>
      </c>
      <c r="O1275" s="1">
        <v>3.2228070175438601</v>
      </c>
      <c r="Q1275" s="1">
        <v>0.322280701754386</v>
      </c>
      <c r="R1275" s="1">
        <v>0.67552821183470502</v>
      </c>
      <c r="S1275" s="1" t="str">
        <f>VLOOKUP($E1275,'Product Naming'!$A$1:$P$58,2,FALSE)</f>
        <v>Glutarate</v>
      </c>
      <c r="T1275" s="1" t="str">
        <f>VLOOKUP($E1275,'Product Naming'!$A$1:$P$58,3,FALSE)</f>
        <v>Glutarate</v>
      </c>
      <c r="U1275" s="1" t="str">
        <f>VLOOKUP($E1275,'Product Naming'!$A$1:$P$58,4,FALSE)</f>
        <v>A</v>
      </c>
      <c r="V1275" s="1" t="str">
        <f>VLOOKUP($E1275,'Product Naming'!$A$1:$P$58,5,FALSE)</f>
        <v>C5H6O4</v>
      </c>
      <c r="W1275" s="1">
        <f>VLOOKUP($E1275,'Product Naming'!$A$1:$P$58,6,FALSE)</f>
        <v>5</v>
      </c>
      <c r="X1275" s="1">
        <f>VLOOKUP($E1275,'Product Naming'!$A$1:$P$58,7,FALSE)</f>
        <v>6</v>
      </c>
      <c r="Y1275" s="1">
        <f>VLOOKUP($E1275,'Product Naming'!$A$1:$P$58,8,FALSE)</f>
        <v>4</v>
      </c>
      <c r="Z1275" s="1">
        <f>VLOOKUP($E1275,'Product Naming'!$A$1:$P$58,9,FALSE)</f>
        <v>0</v>
      </c>
      <c r="AA1275" s="1">
        <f>VLOOKUP($E1275,'Product Naming'!$A$1:$P$58,10,FALSE)</f>
        <v>-2</v>
      </c>
      <c r="AB1275" s="29">
        <f>VLOOKUP($E1275,'Product Naming'!$A$1:$P$58,11,FALSE)</f>
        <v>3.6</v>
      </c>
      <c r="AC1275" s="3">
        <f>VLOOKUP($E1275,'Product Naming'!$A$1:$P$58,12,FALSE)</f>
        <v>130.09654</v>
      </c>
      <c r="AD1275" s="1">
        <f>VLOOKUP($E1275,'Product Naming'!$A$1:$P$58,13,FALSE)</f>
        <v>200</v>
      </c>
      <c r="AE1275" s="1" t="str">
        <f>VLOOKUP($E1275,'Product Naming'!$A$1:$P$58,14,FALSE)</f>
        <v>Dicarboxylate</v>
      </c>
      <c r="AF1275" s="1" t="str">
        <f>VLOOKUP($E1275,'Product Naming'!$A$1:$P$58,15,FALSE)</f>
        <v>Oxaloacetate + aKG</v>
      </c>
      <c r="AG1275" s="30" t="str">
        <f>VLOOKUP($E1275,'Product Naming'!$A$1:$P$58,16,FALSE)</f>
        <v>Proton symporter</v>
      </c>
      <c r="AH1275" s="3" t="str">
        <f>VLOOKUP($E1275,'Product Naming'!$A$1:$Q$58,17,FALSE)</f>
        <v>glutar_c</v>
      </c>
      <c r="AI1275" s="1">
        <f>VLOOKUP($E1275,'Product Parameters'!$A$2:$D$59,2,FALSE)</f>
        <v>1</v>
      </c>
      <c r="AJ1275" s="1">
        <f>VLOOKUP($E1275,'Product Parameters'!$A$2:$D$59,3,FALSE)</f>
        <v>0</v>
      </c>
      <c r="AK1275" s="1">
        <f>VLOOKUP($E1275,'Product Parameters'!$A$2:$D$59,4,FALSE)</f>
        <v>0.12</v>
      </c>
      <c r="AL1275" s="1">
        <f>VLOOKUP($E1275,'Product Parameters'!$A$2:$E$59,5,FALSE)</f>
        <v>40.65</v>
      </c>
      <c r="AM1275" s="1">
        <f>VLOOKUP($E1275,'Product Parameters'!$A$2:$F$59,6,FALSE)</f>
        <v>5</v>
      </c>
      <c r="AN1275" s="1">
        <f>VLOOKUP($C1275,'Substrate Heating'!$A$2:$C$33,3,FALSE)</f>
        <v>1055.1294800000001</v>
      </c>
      <c r="AO1275" s="1">
        <f>VLOOKUP($C1275,'Substrate Heating'!$A$2:$B$33,2,FALSE)</f>
        <v>17</v>
      </c>
      <c r="AP1275" s="1">
        <f>VLOOKUP($C1275,'Substrate Heating'!$A$2:$M$33,13,FALSE)</f>
        <v>5</v>
      </c>
      <c r="AQ1275" s="1">
        <f>VLOOKUP($C1275,'Substrate Heating'!$A$2:$M$33,8,FALSE)</f>
        <v>2</v>
      </c>
      <c r="AR1275" s="1">
        <f t="shared" si="19"/>
        <v>0.80570175438596503</v>
      </c>
    </row>
    <row r="1276" spans="1:44" x14ac:dyDescent="0.2">
      <c r="A1276" s="8" t="s">
        <v>34</v>
      </c>
      <c r="B1276" s="9" t="s">
        <v>35</v>
      </c>
      <c r="C1276" s="1" t="s">
        <v>343</v>
      </c>
      <c r="D1276" s="24" t="s">
        <v>342</v>
      </c>
      <c r="E1276" s="1" t="s">
        <v>132</v>
      </c>
      <c r="F1276" s="1" t="s">
        <v>133</v>
      </c>
      <c r="G1276" s="1">
        <v>-10</v>
      </c>
      <c r="H1276" s="1">
        <v>-20</v>
      </c>
      <c r="I1276" s="1" t="s">
        <v>40</v>
      </c>
      <c r="J1276" s="1">
        <v>3.15</v>
      </c>
      <c r="K1276" s="1">
        <v>-10</v>
      </c>
      <c r="L1276" s="1">
        <v>-6.9214828897338503</v>
      </c>
      <c r="M1276" s="1" t="s">
        <v>40</v>
      </c>
      <c r="N1276" s="1">
        <v>4.0813688212927897</v>
      </c>
      <c r="O1276" s="1">
        <v>4.3197718631178699</v>
      </c>
      <c r="Q1276" s="1">
        <v>0.431977186311787</v>
      </c>
      <c r="R1276" s="1">
        <v>0.67602596422473105</v>
      </c>
      <c r="S1276" s="1" t="str">
        <f>VLOOKUP($E1276,'Product Naming'!$A$1:$P$58,2,FALSE)</f>
        <v>Adipate</v>
      </c>
      <c r="T1276" s="1" t="str">
        <f>VLOOKUP($E1276,'Product Naming'!$A$1:$P$58,3,FALSE)</f>
        <v>Adipate</v>
      </c>
      <c r="U1276" s="1" t="str">
        <f>VLOOKUP($E1276,'Product Naming'!$A$1:$P$58,4,FALSE)</f>
        <v>E</v>
      </c>
      <c r="V1276" s="1" t="str">
        <f>VLOOKUP($E1276,'Product Naming'!$A$1:$P$58,5,FALSE)</f>
        <v>C6H8O4</v>
      </c>
      <c r="W1276" s="1">
        <f>VLOOKUP($E1276,'Product Naming'!$A$1:$P$58,6,FALSE)</f>
        <v>6</v>
      </c>
      <c r="X1276" s="1">
        <f>VLOOKUP($E1276,'Product Naming'!$A$1:$P$58,7,FALSE)</f>
        <v>8</v>
      </c>
      <c r="Y1276" s="1">
        <f>VLOOKUP($E1276,'Product Naming'!$A$1:$P$58,8,FALSE)</f>
        <v>4</v>
      </c>
      <c r="Z1276" s="1">
        <f>VLOOKUP($E1276,'Product Naming'!$A$1:$P$58,9,FALSE)</f>
        <v>0</v>
      </c>
      <c r="AA1276" s="1">
        <f>VLOOKUP($E1276,'Product Naming'!$A$1:$P$58,10,FALSE)</f>
        <v>-2</v>
      </c>
      <c r="AB1276" s="29">
        <f>VLOOKUP($E1276,'Product Naming'!$A$1:$P$58,11,FALSE)</f>
        <v>4</v>
      </c>
      <c r="AC1276" s="3">
        <f>VLOOKUP($E1276,'Product Naming'!$A$1:$P$58,12,FALSE)</f>
        <v>144.12291999999999</v>
      </c>
      <c r="AD1276" s="1">
        <f>VLOOKUP($E1276,'Product Naming'!$A$1:$P$58,13,FALSE)</f>
        <v>337.5</v>
      </c>
      <c r="AE1276" s="1" t="str">
        <f>VLOOKUP($E1276,'Product Naming'!$A$1:$P$58,14,FALSE)</f>
        <v>Dicarboxylate</v>
      </c>
      <c r="AF1276" s="1" t="str">
        <f>VLOOKUP($E1276,'Product Naming'!$A$1:$P$58,15,FALSE)</f>
        <v>Glyceraldehyde 3-P</v>
      </c>
      <c r="AG1276" s="30" t="str">
        <f>VLOOKUP($E1276,'Product Naming'!$A$1:$P$58,16,FALSE)</f>
        <v>Proton symporter</v>
      </c>
      <c r="AH1276" s="3" t="str">
        <f>VLOOKUP($E1276,'Product Naming'!$A$1:$Q$58,17,FALSE)</f>
        <v>adpac_c</v>
      </c>
      <c r="AI1276" s="1">
        <f>VLOOKUP($E1276,'Product Parameters'!$A$2:$D$59,2,FALSE)</f>
        <v>1</v>
      </c>
      <c r="AJ1276" s="1">
        <f>VLOOKUP($E1276,'Product Parameters'!$A$2:$D$59,3,FALSE)</f>
        <v>0</v>
      </c>
      <c r="AK1276" s="1">
        <f>VLOOKUP($E1276,'Product Parameters'!$A$2:$D$59,4,FALSE)</f>
        <v>0.12</v>
      </c>
      <c r="AL1276" s="1">
        <f>VLOOKUP($E1276,'Product Parameters'!$A$2:$E$59,5,FALSE)</f>
        <v>40.65</v>
      </c>
      <c r="AM1276" s="1">
        <f>VLOOKUP($E1276,'Product Parameters'!$A$2:$F$59,6,FALSE)</f>
        <v>6</v>
      </c>
      <c r="AN1276" s="1">
        <f>VLOOKUP($C1276,'Substrate Heating'!$A$2:$C$33,3,FALSE)</f>
        <v>1648.4793779999998</v>
      </c>
      <c r="AO1276" s="1">
        <f>VLOOKUP($C1276,'Substrate Heating'!$A$2:$B$33,2,FALSE)</f>
        <v>17.899999999999999</v>
      </c>
      <c r="AP1276" s="1">
        <f>VLOOKUP($C1276,'Substrate Heating'!$A$2:$M$33,13,FALSE)</f>
        <v>4.666666666666667</v>
      </c>
      <c r="AQ1276" s="1">
        <f>VLOOKUP($C1276,'Substrate Heating'!$A$2:$M$33,8,FALSE)</f>
        <v>3</v>
      </c>
      <c r="AR1276" s="1">
        <f t="shared" si="19"/>
        <v>0.863954372623574</v>
      </c>
    </row>
    <row r="1277" spans="1:44" x14ac:dyDescent="0.2">
      <c r="A1277" s="8" t="s">
        <v>34</v>
      </c>
      <c r="B1277" s="9" t="s">
        <v>35</v>
      </c>
      <c r="C1277" s="1" t="s">
        <v>332</v>
      </c>
      <c r="D1277" s="10" t="s">
        <v>37</v>
      </c>
      <c r="E1277" s="1" t="s">
        <v>291</v>
      </c>
      <c r="F1277" s="1" t="s">
        <v>292</v>
      </c>
      <c r="G1277" s="1">
        <v>-10</v>
      </c>
      <c r="H1277" s="1">
        <v>-20</v>
      </c>
      <c r="I1277" s="1" t="s">
        <v>40</v>
      </c>
      <c r="J1277" s="1">
        <v>3.15</v>
      </c>
      <c r="K1277" s="1">
        <v>-10</v>
      </c>
      <c r="L1277" s="1">
        <v>-3.4777777777777801</v>
      </c>
      <c r="M1277" s="1" t="s">
        <v>40</v>
      </c>
      <c r="N1277" s="1">
        <v>2.3185185185185202</v>
      </c>
      <c r="O1277" s="1">
        <v>3.5362962962963</v>
      </c>
      <c r="Q1277" s="1">
        <v>0.35362962962963002</v>
      </c>
      <c r="R1277" s="1">
        <v>0.67664368670189901</v>
      </c>
      <c r="S1277" s="1" t="str">
        <f>VLOOKUP($E1277,'Product Naming'!$A$1:$P$58,2,FALSE)</f>
        <v>Pentanol-PW1</v>
      </c>
      <c r="T1277" s="1" t="str">
        <f>VLOOKUP($E1277,'Product Naming'!$A$1:$P$58,3,FALSE)</f>
        <v>Pentanol (PW1)</v>
      </c>
      <c r="U1277" s="1" t="str">
        <f>VLOOKUP($E1277,'Product Naming'!$A$1:$P$58,4,FALSE)</f>
        <v>E</v>
      </c>
      <c r="V1277" s="1" t="str">
        <f>VLOOKUP($E1277,'Product Naming'!$A$1:$P$58,5,FALSE)</f>
        <v>C5H12O</v>
      </c>
      <c r="W1277" s="1">
        <f>VLOOKUP($E1277,'Product Naming'!$A$1:$P$58,6,FALSE)</f>
        <v>5</v>
      </c>
      <c r="X1277" s="1">
        <f>VLOOKUP($E1277,'Product Naming'!$A$1:$P$58,7,FALSE)</f>
        <v>12</v>
      </c>
      <c r="Y1277" s="1">
        <f>VLOOKUP($E1277,'Product Naming'!$A$1:$P$58,8,FALSE)</f>
        <v>1</v>
      </c>
      <c r="Z1277" s="1">
        <f>VLOOKUP($E1277,'Product Naming'!$A$1:$P$58,9,FALSE)</f>
        <v>0</v>
      </c>
      <c r="AA1277" s="1">
        <f>VLOOKUP($E1277,'Product Naming'!$A$1:$P$58,10,FALSE)</f>
        <v>0</v>
      </c>
      <c r="AB1277" s="29">
        <f>VLOOKUP($E1277,'Product Naming'!$A$1:$P$58,11,FALSE)</f>
        <v>6</v>
      </c>
      <c r="AC1277" s="3">
        <f>VLOOKUP($E1277,'Product Naming'!$A$1:$P$58,12,FALSE)</f>
        <v>88.14658</v>
      </c>
      <c r="AD1277" s="1">
        <f>VLOOKUP($E1277,'Product Naming'!$A$1:$P$58,13,FALSE)</f>
        <v>138</v>
      </c>
      <c r="AE1277" s="1" t="str">
        <f>VLOOKUP($E1277,'Product Naming'!$A$1:$P$58,14,FALSE)</f>
        <v>Alcohol</v>
      </c>
      <c r="AF1277" s="1" t="str">
        <f>VLOOKUP($E1277,'Product Naming'!$A$1:$P$58,15,FALSE)</f>
        <v>Acetyl-CoA + Succinyl-CoA</v>
      </c>
      <c r="AG1277" s="30" t="str">
        <f>VLOOKUP($E1277,'Product Naming'!$A$1:$P$58,16,FALSE)</f>
        <v>Proton symporter</v>
      </c>
      <c r="AH1277" s="3" t="str">
        <f>VLOOKUP($E1277,'Product Naming'!$A$1:$Q$58,17,FALSE)</f>
        <v>pentoh_c</v>
      </c>
      <c r="AI1277" s="1">
        <f>VLOOKUP($E1277,'Product Parameters'!$A$2:$D$59,2,FALSE)</f>
        <v>1</v>
      </c>
      <c r="AJ1277" s="1">
        <f>VLOOKUP($E1277,'Product Parameters'!$A$2:$D$59,3,FALSE)</f>
        <v>0</v>
      </c>
      <c r="AK1277" s="1">
        <f>VLOOKUP($E1277,'Product Parameters'!$A$2:$D$59,4,FALSE)</f>
        <v>0.12</v>
      </c>
      <c r="AL1277" s="1">
        <f>VLOOKUP($E1277,'Product Parameters'!$A$2:$E$59,5,FALSE)</f>
        <v>57</v>
      </c>
      <c r="AM1277" s="1">
        <f>VLOOKUP($E1277,'Product Parameters'!$A$2:$F$59,6,FALSE)</f>
        <v>5</v>
      </c>
      <c r="AN1277" s="1">
        <f>VLOOKUP($C1277,'Substrate Heating'!$A$2:$C$33,3,FALSE)</f>
        <v>1230.0006480000002</v>
      </c>
      <c r="AO1277" s="1">
        <f>VLOOKUP($C1277,'Substrate Heating'!$A$2:$B$33,2,FALSE)</f>
        <v>26.7</v>
      </c>
      <c r="AP1277" s="1">
        <f>VLOOKUP($C1277,'Substrate Heating'!$A$2:$M$33,13,FALSE)</f>
        <v>6</v>
      </c>
      <c r="AQ1277" s="1">
        <f>VLOOKUP($C1277,'Substrate Heating'!$A$2:$M$33,8,FALSE)</f>
        <v>2</v>
      </c>
      <c r="AR1277" s="1">
        <f t="shared" si="19"/>
        <v>0.88407407407407501</v>
      </c>
    </row>
    <row r="1278" spans="1:44" x14ac:dyDescent="0.2">
      <c r="A1278" s="17" t="s">
        <v>323</v>
      </c>
      <c r="B1278" s="18" t="s">
        <v>324</v>
      </c>
      <c r="C1278" t="s">
        <v>329</v>
      </c>
      <c r="D1278" s="19" t="s">
        <v>326</v>
      </c>
      <c r="E1278" t="s">
        <v>269</v>
      </c>
      <c r="F1278" t="s">
        <v>270</v>
      </c>
      <c r="G1278">
        <v>-10</v>
      </c>
      <c r="H1278">
        <v>0</v>
      </c>
      <c r="I1278">
        <v>-20</v>
      </c>
      <c r="J1278">
        <v>0.45</v>
      </c>
      <c r="K1278">
        <v>-10</v>
      </c>
      <c r="L1278">
        <v>0</v>
      </c>
      <c r="M1278">
        <v>-10.72</v>
      </c>
      <c r="N1278">
        <v>0</v>
      </c>
      <c r="O1278">
        <v>1.54666666666667</v>
      </c>
      <c r="P1278"/>
      <c r="Q1278">
        <v>0.15466666666666701</v>
      </c>
      <c r="R1278" s="20">
        <v>0.67693119791017797</v>
      </c>
      <c r="S1278" s="1" t="str">
        <f>VLOOKUP($E1278,'Product Naming'!$A$1:$P$58,2,FALSE)</f>
        <v>Malate_L</v>
      </c>
      <c r="T1278" s="1" t="str">
        <f>VLOOKUP($E1278,'Product Naming'!$A$1:$P$58,3,FALSE)</f>
        <v>L-Malate</v>
      </c>
      <c r="U1278" s="1" t="str">
        <f>VLOOKUP($E1278,'Product Naming'!$A$1:$P$58,4,FALSE)</f>
        <v>iJO1366</v>
      </c>
      <c r="V1278" s="1" t="str">
        <f>VLOOKUP($E1278,'Product Naming'!$A$1:$P$58,5,FALSE)</f>
        <v>C4H4O5</v>
      </c>
      <c r="W1278" s="1">
        <f>VLOOKUP($E1278,'Product Naming'!$A$1:$P$58,6,FALSE)</f>
        <v>4</v>
      </c>
      <c r="X1278" s="1">
        <f>VLOOKUP($E1278,'Product Naming'!$A$1:$P$58,7,FALSE)</f>
        <v>4</v>
      </c>
      <c r="Y1278" s="1">
        <f>VLOOKUP($E1278,'Product Naming'!$A$1:$P$58,8,FALSE)</f>
        <v>5</v>
      </c>
      <c r="Z1278" s="1">
        <f>VLOOKUP($E1278,'Product Naming'!$A$1:$P$58,9,FALSE)</f>
        <v>0</v>
      </c>
      <c r="AA1278" s="1">
        <f>VLOOKUP($E1278,'Product Naming'!$A$1:$P$58,10,FALSE)</f>
        <v>-2</v>
      </c>
      <c r="AB1278" s="29">
        <f>VLOOKUP($E1278,'Product Naming'!$A$1:$P$58,11,FALSE)</f>
        <v>2.5</v>
      </c>
      <c r="AC1278" s="3">
        <f>VLOOKUP($E1278,'Product Naming'!$A$1:$P$58,12,FALSE)</f>
        <v>132.06916000000001</v>
      </c>
      <c r="AD1278" s="1" t="str">
        <f>VLOOKUP($E1278,'Product Naming'!$A$1:$P$58,13,FALSE)</f>
        <v>NA</v>
      </c>
      <c r="AE1278" s="1" t="str">
        <f>VLOOKUP($E1278,'Product Naming'!$A$1:$P$58,14,FALSE)</f>
        <v>Dicarboxylate</v>
      </c>
      <c r="AF1278" s="1" t="str">
        <f>VLOOKUP($E1278,'Product Naming'!$A$1:$P$58,15,FALSE)</f>
        <v>Oxaloacetate</v>
      </c>
      <c r="AG1278" s="30" t="str">
        <f>VLOOKUP($E1278,'Product Naming'!$A$1:$P$58,16,FALSE)</f>
        <v>Proton symporter</v>
      </c>
      <c r="AH1278" s="3" t="str">
        <f>VLOOKUP($E1278,'Product Naming'!$A$1:$Q$58,17,FALSE)</f>
        <v>mal__L_e</v>
      </c>
      <c r="AI1278" s="1">
        <f>VLOOKUP($E1278,'Product Parameters'!$A$2:$D$59,2,FALSE)</f>
        <v>1</v>
      </c>
      <c r="AJ1278" s="1">
        <f>VLOOKUP($E1278,'Product Parameters'!$A$2:$D$59,3,FALSE)</f>
        <v>0</v>
      </c>
      <c r="AK1278" s="1">
        <f>VLOOKUP($E1278,'Product Parameters'!$A$2:$D$59,4,FALSE)</f>
        <v>0.12</v>
      </c>
      <c r="AL1278" s="1">
        <f>VLOOKUP($E1278,'Product Parameters'!$A$2:$E$59,5,FALSE)</f>
        <v>40.65</v>
      </c>
      <c r="AM1278" s="1">
        <f>VLOOKUP($E1278,'Product Parameters'!$A$2:$F$59,6,FALSE)</f>
        <v>4</v>
      </c>
      <c r="AN1278" s="1">
        <f>VLOOKUP($C1278,'Substrate Heating'!$A$2:$C$33,3,FALSE)</f>
        <v>255.53333333333336</v>
      </c>
      <c r="AO1278" s="1">
        <f>VLOOKUP($C1278,'Substrate Heating'!$A$2:$B$33,2,FALSE)</f>
        <v>23.925550527978785</v>
      </c>
      <c r="AP1278" s="1">
        <f>VLOOKUP($C1278,'Substrate Heating'!$A$2:$M$33,13,FALSE)</f>
        <v>0.66666666666666663</v>
      </c>
      <c r="AQ1278" s="1">
        <f>VLOOKUP($C1278,'Substrate Heating'!$A$2:$M$33,8,FALSE)</f>
        <v>0.33333333333333331</v>
      </c>
      <c r="AR1278" s="1">
        <f t="shared" si="19"/>
        <v>1.8560000000000041</v>
      </c>
    </row>
    <row r="1279" spans="1:44" x14ac:dyDescent="0.2">
      <c r="A1279" s="8" t="s">
        <v>34</v>
      </c>
      <c r="B1279" s="9" t="s">
        <v>35</v>
      </c>
      <c r="C1279" s="1" t="s">
        <v>36</v>
      </c>
      <c r="D1279" s="10" t="s">
        <v>37</v>
      </c>
      <c r="E1279" s="1" t="s">
        <v>164</v>
      </c>
      <c r="F1279" s="1" t="s">
        <v>165</v>
      </c>
      <c r="G1279" s="1">
        <v>-10</v>
      </c>
      <c r="H1279" s="1">
        <v>-20</v>
      </c>
      <c r="I1279" s="1" t="s">
        <v>40</v>
      </c>
      <c r="J1279" s="1">
        <v>3.15</v>
      </c>
      <c r="K1279" s="1">
        <v>-10</v>
      </c>
      <c r="L1279" s="1">
        <v>-0.79348837209302603</v>
      </c>
      <c r="M1279" s="1" t="s">
        <v>40</v>
      </c>
      <c r="N1279" s="1">
        <v>3.8623255813953601</v>
      </c>
      <c r="O1279" s="1">
        <v>4.0344186046511803</v>
      </c>
      <c r="Q1279" s="1">
        <v>0.40344186046511799</v>
      </c>
      <c r="R1279" s="1">
        <v>0.67881944753278001</v>
      </c>
      <c r="S1279" s="1" t="str">
        <f>VLOOKUP($E1279,'Product Naming'!$A$1:$P$58,2,FALSE)</f>
        <v>Butanol-PW1</v>
      </c>
      <c r="T1279" s="1" t="str">
        <f>VLOOKUP($E1279,'Product Naming'!$A$1:$P$58,3,FALSE)</f>
        <v>Butanol (PW1)</v>
      </c>
      <c r="U1279" s="1" t="str">
        <f>VLOOKUP($E1279,'Product Naming'!$A$1:$P$58,4,FALSE)</f>
        <v>E</v>
      </c>
      <c r="V1279" s="1" t="str">
        <f>VLOOKUP($E1279,'Product Naming'!$A$1:$P$58,5,FALSE)</f>
        <v>C4H10O</v>
      </c>
      <c r="W1279" s="1">
        <f>VLOOKUP($E1279,'Product Naming'!$A$1:$P$58,6,FALSE)</f>
        <v>4</v>
      </c>
      <c r="X1279" s="1">
        <f>VLOOKUP($E1279,'Product Naming'!$A$1:$P$58,7,FALSE)</f>
        <v>10</v>
      </c>
      <c r="Y1279" s="1">
        <f>VLOOKUP($E1279,'Product Naming'!$A$1:$P$58,8,FALSE)</f>
        <v>1</v>
      </c>
      <c r="Z1279" s="1">
        <f>VLOOKUP($E1279,'Product Naming'!$A$1:$P$58,9,FALSE)</f>
        <v>0</v>
      </c>
      <c r="AA1279" s="1">
        <f>VLOOKUP($E1279,'Product Naming'!$A$1:$P$58,10,FALSE)</f>
        <v>0</v>
      </c>
      <c r="AB1279" s="29">
        <f>VLOOKUP($E1279,'Product Naming'!$A$1:$P$58,11,FALSE)</f>
        <v>6</v>
      </c>
      <c r="AC1279" s="3">
        <f>VLOOKUP($E1279,'Product Naming'!$A$1:$P$58,12,FALSE)</f>
        <v>74.120199999999997</v>
      </c>
      <c r="AD1279" s="1">
        <f>VLOOKUP($E1279,'Product Naming'!$A$1:$P$58,13,FALSE)</f>
        <v>117.7</v>
      </c>
      <c r="AE1279" s="1" t="str">
        <f>VLOOKUP($E1279,'Product Naming'!$A$1:$P$58,14,FALSE)</f>
        <v>Alcohol</v>
      </c>
      <c r="AF1279" s="1" t="str">
        <f>VLOOKUP($E1279,'Product Naming'!$A$1:$P$58,15,FALSE)</f>
        <v>Acetyl-CoA</v>
      </c>
      <c r="AG1279" s="30" t="str">
        <f>VLOOKUP($E1279,'Product Naming'!$A$1:$P$58,16,FALSE)</f>
        <v>Proton symporter</v>
      </c>
      <c r="AH1279" s="3" t="str">
        <f>VLOOKUP($E1279,'Product Naming'!$A$1:$Q$58,17,FALSE)</f>
        <v>btoh_c</v>
      </c>
      <c r="AI1279" s="1">
        <f>VLOOKUP($E1279,'Product Parameters'!$A$2:$D$59,2,FALSE)</f>
        <v>1</v>
      </c>
      <c r="AJ1279" s="1">
        <f>VLOOKUP($E1279,'Product Parameters'!$A$2:$D$59,3,FALSE)</f>
        <v>0</v>
      </c>
      <c r="AK1279" s="1">
        <f>VLOOKUP($E1279,'Product Parameters'!$A$2:$D$59,4,FALSE)</f>
        <v>0.12</v>
      </c>
      <c r="AL1279" s="1">
        <f>VLOOKUP($E1279,'Product Parameters'!$A$2:$E$59,5,FALSE)</f>
        <v>52</v>
      </c>
      <c r="AM1279" s="1">
        <f>VLOOKUP($E1279,'Product Parameters'!$A$2:$F$59,6,FALSE)</f>
        <v>4</v>
      </c>
      <c r="AN1279" s="1">
        <f>VLOOKUP($C1279,'Substrate Heating'!$A$2:$C$33,3,FALSE)</f>
        <v>1064.1143145599999</v>
      </c>
      <c r="AO1279" s="1">
        <f>VLOOKUP($C1279,'Substrate Heating'!$A$2:$B$33,2,FALSE)</f>
        <v>24.155999999999999</v>
      </c>
      <c r="AP1279" s="1">
        <f>VLOOKUP($C1279,'Substrate Heating'!$A$2:$M$33,13,FALSE)</f>
        <v>5</v>
      </c>
      <c r="AQ1279" s="1">
        <f>VLOOKUP($C1279,'Substrate Heating'!$A$2:$M$33,8,FALSE)</f>
        <v>2</v>
      </c>
      <c r="AR1279" s="1">
        <f t="shared" si="19"/>
        <v>0.80688372093023597</v>
      </c>
    </row>
    <row r="1280" spans="1:44" x14ac:dyDescent="0.2">
      <c r="A1280" s="8" t="s">
        <v>812</v>
      </c>
      <c r="B1280" s="18" t="s">
        <v>324</v>
      </c>
      <c r="C1280" t="s">
        <v>814</v>
      </c>
      <c r="E1280" t="s">
        <v>81</v>
      </c>
      <c r="F1280" t="s">
        <v>73</v>
      </c>
      <c r="G1280">
        <v>-10</v>
      </c>
      <c r="H1280">
        <v>0</v>
      </c>
      <c r="I1280">
        <v>-10</v>
      </c>
      <c r="J1280">
        <v>0.45</v>
      </c>
      <c r="K1280">
        <v>-5.45</v>
      </c>
      <c r="L1280">
        <v>0</v>
      </c>
      <c r="M1280">
        <v>-10</v>
      </c>
      <c r="N1280">
        <v>0</v>
      </c>
      <c r="O1280">
        <v>1.5166666666666599</v>
      </c>
      <c r="P1280"/>
      <c r="Q1280">
        <v>0.27828746177370001</v>
      </c>
      <c r="R1280">
        <v>0.68226622315238095</v>
      </c>
      <c r="S1280" s="1" t="str">
        <f>VLOOKUP($E1280,'Product Naming'!$A$1:$P$58,2,FALSE)</f>
        <v>1-propanol-PW2</v>
      </c>
      <c r="T1280" s="1" t="str">
        <f>VLOOKUP($E1280,'Product Naming'!$A$1:$P$58,3,FALSE)</f>
        <v>1-Propanol (PW2)</v>
      </c>
      <c r="U1280" s="1" t="str">
        <f>VLOOKUP($E1280,'Product Naming'!$A$1:$P$58,4,FALSE)</f>
        <v>E-S</v>
      </c>
      <c r="V1280" s="1" t="str">
        <f>VLOOKUP($E1280,'Product Naming'!$A$1:$P$58,5,FALSE)</f>
        <v>C3H8O</v>
      </c>
      <c r="W1280" s="1">
        <f>VLOOKUP($E1280,'Product Naming'!$A$1:$P$58,6,FALSE)</f>
        <v>3</v>
      </c>
      <c r="X1280" s="1">
        <f>VLOOKUP($E1280,'Product Naming'!$A$1:$P$58,7,FALSE)</f>
        <v>8</v>
      </c>
      <c r="Y1280" s="1">
        <f>VLOOKUP($E1280,'Product Naming'!$A$1:$P$58,8,FALSE)</f>
        <v>1</v>
      </c>
      <c r="Z1280" s="1">
        <f>VLOOKUP($E1280,'Product Naming'!$A$1:$P$58,9,FALSE)</f>
        <v>0</v>
      </c>
      <c r="AA1280" s="1">
        <f>VLOOKUP($E1280,'Product Naming'!$A$1:$P$58,10,FALSE)</f>
        <v>0</v>
      </c>
      <c r="AB1280" s="29">
        <f>VLOOKUP($E1280,'Product Naming'!$A$1:$P$58,11,FALSE)</f>
        <v>6</v>
      </c>
      <c r="AC1280" s="3">
        <f>VLOOKUP($E1280,'Product Naming'!$A$1:$P$58,12,FALSE)</f>
        <v>60.093820000000001</v>
      </c>
      <c r="AD1280" s="1">
        <f>VLOOKUP($E1280,'Product Naming'!$A$1:$P$58,13,FALSE)</f>
        <v>97</v>
      </c>
      <c r="AE1280" s="1" t="str">
        <f>VLOOKUP($E1280,'Product Naming'!$A$1:$P$58,14,FALSE)</f>
        <v>Alcohol</v>
      </c>
      <c r="AF1280" s="1" t="str">
        <f>VLOOKUP($E1280,'Product Naming'!$A$1:$P$58,15,FALSE)</f>
        <v>Oxaloacetate</v>
      </c>
      <c r="AG1280" s="30" t="str">
        <f>VLOOKUP($E1280,'Product Naming'!$A$1:$P$58,16,FALSE)</f>
        <v>Proton symporter</v>
      </c>
      <c r="AH1280" s="3" t="str">
        <f>VLOOKUP($E1280,'Product Naming'!$A$1:$Q$58,17,FALSE)</f>
        <v>ppoh_c</v>
      </c>
      <c r="AI1280" s="1">
        <f>VLOOKUP($E1280,'Product Parameters'!$A$2:$D$59,2,FALSE)</f>
        <v>1</v>
      </c>
      <c r="AJ1280" s="1">
        <f>VLOOKUP($E1280,'Product Parameters'!$A$2:$D$59,3,FALSE)</f>
        <v>0</v>
      </c>
      <c r="AK1280" s="1">
        <f>VLOOKUP($E1280,'Product Parameters'!$A$2:$D$59,4,FALSE)</f>
        <v>0.12</v>
      </c>
      <c r="AL1280" s="1">
        <f>VLOOKUP($E1280,'Product Parameters'!$A$2:$E$59,5,FALSE)</f>
        <v>47</v>
      </c>
      <c r="AM1280" s="1">
        <f>VLOOKUP($E1280,'Product Parameters'!$A$2:$F$59,6,FALSE)</f>
        <v>3</v>
      </c>
      <c r="AN1280" s="1">
        <f>VLOOKUP($C1280,'Substrate Heating'!$A$2:$C$33,3,FALSE)</f>
        <v>209.92000000000002</v>
      </c>
      <c r="AO1280" s="1">
        <f>VLOOKUP($C1280,'Substrate Heating'!$A$2:$B$33,2,FALSE)</f>
        <v>10.086540906516333</v>
      </c>
      <c r="AP1280" s="1">
        <f>VLOOKUP($C1280,'Substrate Heating'!$A$2:$M$33,13,FALSE)</f>
        <v>0.8</v>
      </c>
      <c r="AQ1280" s="1">
        <f>VLOOKUP($C1280,'Substrate Heating'!$A$2:$M$33,8,FALSE)</f>
        <v>0.8</v>
      </c>
      <c r="AR1280" s="1">
        <f t="shared" si="19"/>
        <v>1.0435779816513751</v>
      </c>
    </row>
    <row r="1281" spans="1:44" x14ac:dyDescent="0.2">
      <c r="A1281" s="8" t="s">
        <v>34</v>
      </c>
      <c r="B1281" s="9" t="s">
        <v>35</v>
      </c>
      <c r="C1281" s="1" t="s">
        <v>330</v>
      </c>
      <c r="D1281" s="10" t="s">
        <v>37</v>
      </c>
      <c r="E1281" s="1" t="s">
        <v>308</v>
      </c>
      <c r="F1281" s="1" t="s">
        <v>309</v>
      </c>
      <c r="G1281" s="1">
        <v>-10</v>
      </c>
      <c r="H1281" s="1">
        <v>-20</v>
      </c>
      <c r="I1281" s="1" t="s">
        <v>40</v>
      </c>
      <c r="J1281" s="1">
        <v>3.15</v>
      </c>
      <c r="K1281" s="1">
        <v>-10</v>
      </c>
      <c r="L1281" s="1">
        <v>-7.8265100671140901</v>
      </c>
      <c r="M1281" s="1" t="s">
        <v>40</v>
      </c>
      <c r="N1281" s="1">
        <v>2.8265100671140999</v>
      </c>
      <c r="O1281" s="1">
        <v>2.4533557046979899</v>
      </c>
      <c r="Q1281" s="1">
        <v>0.24533557046979901</v>
      </c>
      <c r="R1281" s="1">
        <v>0.68438822817987399</v>
      </c>
      <c r="S1281" s="1" t="str">
        <f>VLOOKUP($E1281,'Product Naming'!$A$1:$P$58,2,FALSE)</f>
        <v>Shikimate</v>
      </c>
      <c r="T1281" s="1" t="str">
        <f>VLOOKUP($E1281,'Product Naming'!$A$1:$P$58,3,FALSE)</f>
        <v>Shikimate</v>
      </c>
      <c r="U1281" s="1" t="str">
        <f>VLOOKUP($E1281,'Product Naming'!$A$1:$P$58,4,FALSE)</f>
        <v>E</v>
      </c>
      <c r="V1281" s="1" t="str">
        <f>VLOOKUP($E1281,'Product Naming'!$A$1:$P$58,5,FALSE)</f>
        <v>C7H9O5</v>
      </c>
      <c r="W1281" s="1">
        <f>VLOOKUP($E1281,'Product Naming'!$A$1:$P$58,6,FALSE)</f>
        <v>7</v>
      </c>
      <c r="X1281" s="1">
        <f>VLOOKUP($E1281,'Product Naming'!$A$1:$P$58,7,FALSE)</f>
        <v>9</v>
      </c>
      <c r="Y1281" s="1">
        <f>VLOOKUP($E1281,'Product Naming'!$A$1:$P$58,8,FALSE)</f>
        <v>5</v>
      </c>
      <c r="Z1281" s="1">
        <f>VLOOKUP($E1281,'Product Naming'!$A$1:$P$58,9,FALSE)</f>
        <v>0</v>
      </c>
      <c r="AA1281" s="1">
        <f>VLOOKUP($E1281,'Product Naming'!$A$1:$P$58,10,FALSE)</f>
        <v>-1</v>
      </c>
      <c r="AB1281" s="29">
        <f>VLOOKUP($E1281,'Product Naming'!$A$1:$P$58,11,FALSE)</f>
        <v>3.8571428571428572</v>
      </c>
      <c r="AC1281" s="3">
        <f>VLOOKUP($E1281,'Product Naming'!$A$1:$P$58,12,FALSE)</f>
        <v>173.14046000000002</v>
      </c>
      <c r="AD1281" s="1">
        <f>VLOOKUP($E1281,'Product Naming'!$A$1:$P$58,13,FALSE)</f>
        <v>400.5</v>
      </c>
      <c r="AE1281" s="1" t="str">
        <f>VLOOKUP($E1281,'Product Naming'!$A$1:$P$58,14,FALSE)</f>
        <v>Aromatic + Alcohol + Carboxylate</v>
      </c>
      <c r="AF1281" s="1" t="str">
        <f>VLOOKUP($E1281,'Product Naming'!$A$1:$P$58,15,FALSE)</f>
        <v>PEP + E4P (Glyceraldehyde 3-P)</v>
      </c>
      <c r="AG1281" s="30" t="str">
        <f>VLOOKUP($E1281,'Product Naming'!$A$1:$P$58,16,FALSE)</f>
        <v>Proton symporter</v>
      </c>
      <c r="AH1281" s="3" t="str">
        <f>VLOOKUP($E1281,'Product Naming'!$A$1:$Q$58,17,FALSE)</f>
        <v>skm_c</v>
      </c>
      <c r="AI1281" s="1">
        <f>VLOOKUP($E1281,'Product Parameters'!$A$2:$D$59,2,FALSE)</f>
        <v>1</v>
      </c>
      <c r="AJ1281" s="1">
        <f>VLOOKUP($E1281,'Product Parameters'!$A$2:$D$59,3,FALSE)</f>
        <v>0</v>
      </c>
      <c r="AK1281" s="1">
        <f>VLOOKUP($E1281,'Product Parameters'!$A$2:$D$59,4,FALSE)</f>
        <v>0.12</v>
      </c>
      <c r="AL1281" s="1">
        <f>VLOOKUP($E1281,'Product Parameters'!$A$2:$E$59,5,FALSE)</f>
        <v>40.65</v>
      </c>
      <c r="AM1281" s="1">
        <f>VLOOKUP($E1281,'Product Parameters'!$A$2:$F$59,6,FALSE)</f>
        <v>7</v>
      </c>
      <c r="AN1281" s="1">
        <f>VLOOKUP($C1281,'Substrate Heating'!$A$2:$C$33,3,FALSE)</f>
        <v>1055.1294800000001</v>
      </c>
      <c r="AO1281" s="1">
        <f>VLOOKUP($C1281,'Substrate Heating'!$A$2:$B$33,2,FALSE)</f>
        <v>17</v>
      </c>
      <c r="AP1281" s="1">
        <f>VLOOKUP($C1281,'Substrate Heating'!$A$2:$M$33,13,FALSE)</f>
        <v>5</v>
      </c>
      <c r="AQ1281" s="1">
        <f>VLOOKUP($C1281,'Substrate Heating'!$A$2:$M$33,8,FALSE)</f>
        <v>2</v>
      </c>
      <c r="AR1281" s="1">
        <f t="shared" si="19"/>
        <v>0.85867449664429651</v>
      </c>
    </row>
    <row r="1282" spans="1:44" x14ac:dyDescent="0.2">
      <c r="A1282" s="17" t="s">
        <v>323</v>
      </c>
      <c r="B1282" s="18" t="s">
        <v>324</v>
      </c>
      <c r="C1282" t="s">
        <v>329</v>
      </c>
      <c r="D1282" s="19" t="s">
        <v>326</v>
      </c>
      <c r="E1282" t="s">
        <v>318</v>
      </c>
      <c r="F1282" t="s">
        <v>319</v>
      </c>
      <c r="G1282">
        <v>-10</v>
      </c>
      <c r="H1282">
        <v>0</v>
      </c>
      <c r="I1282">
        <v>-20</v>
      </c>
      <c r="J1282">
        <v>0.45</v>
      </c>
      <c r="K1282">
        <v>-10</v>
      </c>
      <c r="L1282">
        <v>0</v>
      </c>
      <c r="M1282">
        <v>-11.0769230769231</v>
      </c>
      <c r="N1282">
        <v>0</v>
      </c>
      <c r="O1282">
        <v>1.7846153846153801</v>
      </c>
      <c r="P1282"/>
      <c r="Q1282">
        <v>0.17846153846153801</v>
      </c>
      <c r="R1282" s="20">
        <v>0.68481801748648197</v>
      </c>
      <c r="S1282" s="1" t="str">
        <f>VLOOKUP($E1282,'Product Naming'!$A$1:$P$58,2,FALSE)</f>
        <v>Succinate</v>
      </c>
      <c r="T1282" s="1" t="str">
        <f>VLOOKUP($E1282,'Product Naming'!$A$1:$P$58,3,FALSE)</f>
        <v>Succinate</v>
      </c>
      <c r="U1282" s="1" t="str">
        <f>VLOOKUP($E1282,'Product Naming'!$A$1:$P$58,4,FALSE)</f>
        <v>iJO1366</v>
      </c>
      <c r="V1282" s="1" t="str">
        <f>VLOOKUP($E1282,'Product Naming'!$A$1:$P$58,5,FALSE)</f>
        <v>C4H4O4</v>
      </c>
      <c r="W1282" s="1">
        <f>VLOOKUP($E1282,'Product Naming'!$A$1:$P$58,6,FALSE)</f>
        <v>4</v>
      </c>
      <c r="X1282" s="1">
        <f>VLOOKUP($E1282,'Product Naming'!$A$1:$P$58,7,FALSE)</f>
        <v>4</v>
      </c>
      <c r="Y1282" s="1">
        <f>VLOOKUP($E1282,'Product Naming'!$A$1:$P$58,8,FALSE)</f>
        <v>4</v>
      </c>
      <c r="Z1282" s="1">
        <f>VLOOKUP($E1282,'Product Naming'!$A$1:$P$58,9,FALSE)</f>
        <v>0</v>
      </c>
      <c r="AA1282" s="1">
        <f>VLOOKUP($E1282,'Product Naming'!$A$1:$P$58,10,FALSE)</f>
        <v>-2</v>
      </c>
      <c r="AB1282" s="29">
        <f>VLOOKUP($E1282,'Product Naming'!$A$1:$P$58,11,FALSE)</f>
        <v>3</v>
      </c>
      <c r="AC1282" s="3">
        <f>VLOOKUP($E1282,'Product Naming'!$A$1:$P$58,12,FALSE)</f>
        <v>116.07016</v>
      </c>
      <c r="AD1282" s="1">
        <f>VLOOKUP($E1282,'Product Naming'!$A$1:$P$58,13,FALSE)</f>
        <v>235</v>
      </c>
      <c r="AE1282" s="1" t="str">
        <f>VLOOKUP($E1282,'Product Naming'!$A$1:$P$58,14,FALSE)</f>
        <v>Dicarboxylate</v>
      </c>
      <c r="AF1282" s="1" t="str">
        <f>VLOOKUP($E1282,'Product Naming'!$A$1:$P$58,15,FALSE)</f>
        <v>Oxaloacetate</v>
      </c>
      <c r="AG1282" s="30" t="str">
        <f>VLOOKUP($E1282,'Product Naming'!$A$1:$P$58,16,FALSE)</f>
        <v>Proton symporter</v>
      </c>
      <c r="AH1282" s="3" t="str">
        <f>VLOOKUP($E1282,'Product Naming'!$A$1:$Q$58,17,FALSE)</f>
        <v>succ_c</v>
      </c>
      <c r="AI1282" s="1">
        <f>VLOOKUP($E1282,'Product Parameters'!$A$2:$D$59,2,FALSE)</f>
        <v>1</v>
      </c>
      <c r="AJ1282" s="1">
        <f>VLOOKUP($E1282,'Product Parameters'!$A$2:$D$59,3,FALSE)</f>
        <v>0</v>
      </c>
      <c r="AK1282" s="1">
        <f>VLOOKUP($E1282,'Product Parameters'!$A$2:$D$59,4,FALSE)</f>
        <v>0.12</v>
      </c>
      <c r="AL1282" s="1">
        <f>VLOOKUP($E1282,'Product Parameters'!$A$2:$E$59,5,FALSE)</f>
        <v>40.65</v>
      </c>
      <c r="AM1282" s="1">
        <f>VLOOKUP($E1282,'Product Parameters'!$A$2:$F$59,6,FALSE)</f>
        <v>4</v>
      </c>
      <c r="AN1282" s="1">
        <f>VLOOKUP($C1282,'Substrate Heating'!$A$2:$C$33,3,FALSE)</f>
        <v>255.53333333333336</v>
      </c>
      <c r="AO1282" s="1">
        <f>VLOOKUP($C1282,'Substrate Heating'!$A$2:$B$33,2,FALSE)</f>
        <v>23.925550527978785</v>
      </c>
      <c r="AP1282" s="1">
        <f>VLOOKUP($C1282,'Substrate Heating'!$A$2:$M$33,13,FALSE)</f>
        <v>0.66666666666666663</v>
      </c>
      <c r="AQ1282" s="1">
        <f>VLOOKUP($C1282,'Substrate Heating'!$A$2:$M$33,8,FALSE)</f>
        <v>0.33333333333333331</v>
      </c>
      <c r="AR1282" s="1">
        <f t="shared" si="19"/>
        <v>2.1415384615384561</v>
      </c>
    </row>
    <row r="1283" spans="1:44" x14ac:dyDescent="0.2">
      <c r="A1283" s="8" t="s">
        <v>34</v>
      </c>
      <c r="B1283" s="9" t="s">
        <v>35</v>
      </c>
      <c r="C1283" s="1" t="s">
        <v>346</v>
      </c>
      <c r="D1283" s="23" t="s">
        <v>338</v>
      </c>
      <c r="E1283" s="1" t="s">
        <v>198</v>
      </c>
      <c r="F1283" s="1" t="s">
        <v>199</v>
      </c>
      <c r="G1283" s="1">
        <v>-10</v>
      </c>
      <c r="H1283" s="1">
        <v>-20</v>
      </c>
      <c r="I1283" s="1" t="s">
        <v>40</v>
      </c>
      <c r="J1283" s="1">
        <v>3.15</v>
      </c>
      <c r="K1283" s="1">
        <v>-10</v>
      </c>
      <c r="L1283" s="1">
        <v>-2.5042016806722698</v>
      </c>
      <c r="M1283" s="1" t="s">
        <v>40</v>
      </c>
      <c r="N1283" s="1">
        <v>3.3613445377887199E-3</v>
      </c>
      <c r="O1283" s="1">
        <v>2.49915966386554</v>
      </c>
      <c r="Q1283" s="1">
        <v>0.249915966386554</v>
      </c>
      <c r="R1283" s="1">
        <v>0.68719562782433097</v>
      </c>
      <c r="S1283" s="1" t="str">
        <f>VLOOKUP($E1283,'Product Naming'!$A$1:$P$58,2,FALSE)</f>
        <v>EthylAcetate</v>
      </c>
      <c r="T1283" s="1" t="str">
        <f>VLOOKUP($E1283,'Product Naming'!$A$1:$P$58,3,FALSE)</f>
        <v>Ethyl acetate</v>
      </c>
      <c r="U1283" s="1" t="str">
        <f>VLOOKUP($E1283,'Product Naming'!$A$1:$P$58,4,FALSE)</f>
        <v>E</v>
      </c>
      <c r="V1283" s="1" t="str">
        <f>VLOOKUP($E1283,'Product Naming'!$A$1:$P$58,5,FALSE)</f>
        <v>C4H8O2</v>
      </c>
      <c r="W1283" s="1">
        <f>VLOOKUP($E1283,'Product Naming'!$A$1:$P$58,6,FALSE)</f>
        <v>4</v>
      </c>
      <c r="X1283" s="1">
        <f>VLOOKUP($E1283,'Product Naming'!$A$1:$P$58,7,FALSE)</f>
        <v>8</v>
      </c>
      <c r="Y1283" s="1">
        <f>VLOOKUP($E1283,'Product Naming'!$A$1:$P$58,8,FALSE)</f>
        <v>2</v>
      </c>
      <c r="Z1283" s="1">
        <f>VLOOKUP($E1283,'Product Naming'!$A$1:$P$58,9,FALSE)</f>
        <v>0</v>
      </c>
      <c r="AA1283" s="1">
        <f>VLOOKUP($E1283,'Product Naming'!$A$1:$P$58,10,FALSE)</f>
        <v>0</v>
      </c>
      <c r="AB1283" s="29">
        <f>VLOOKUP($E1283,'Product Naming'!$A$1:$P$58,11,FALSE)</f>
        <v>5</v>
      </c>
      <c r="AC1283" s="3">
        <f>VLOOKUP($E1283,'Product Naming'!$A$1:$P$58,12,FALSE)</f>
        <v>88.103520000000003</v>
      </c>
      <c r="AD1283" s="1">
        <f>VLOOKUP($E1283,'Product Naming'!$A$1:$P$58,13,FALSE)</f>
        <v>77.099999999999994</v>
      </c>
      <c r="AE1283" s="1" t="str">
        <f>VLOOKUP($E1283,'Product Naming'!$A$1:$P$58,14,FALSE)</f>
        <v>Carboxylate Ester</v>
      </c>
      <c r="AF1283" s="1" t="str">
        <f>VLOOKUP($E1283,'Product Naming'!$A$1:$P$58,15,FALSE)</f>
        <v>Acetyl-CoA</v>
      </c>
      <c r="AG1283" s="30" t="str">
        <f>VLOOKUP($E1283,'Product Naming'!$A$1:$P$58,16,FALSE)</f>
        <v>Proton symporter</v>
      </c>
      <c r="AH1283" s="3" t="str">
        <f>VLOOKUP($E1283,'Product Naming'!$A$1:$Q$58,17,FALSE)</f>
        <v>aces_c</v>
      </c>
      <c r="AI1283" s="1">
        <f>VLOOKUP($E1283,'Product Parameters'!$A$2:$D$59,2,FALSE)</f>
        <v>1</v>
      </c>
      <c r="AJ1283" s="1">
        <f>VLOOKUP($E1283,'Product Parameters'!$A$2:$D$59,3,FALSE)</f>
        <v>0</v>
      </c>
      <c r="AK1283" s="1">
        <f>VLOOKUP($E1283,'Product Parameters'!$A$2:$D$59,4,FALSE)</f>
        <v>0.12</v>
      </c>
      <c r="AL1283" s="1">
        <f>VLOOKUP($E1283,'Product Parameters'!$A$2:$E$59,5,FALSE)</f>
        <v>35</v>
      </c>
      <c r="AM1283" s="1">
        <f>VLOOKUP($E1283,'Product Parameters'!$A$2:$F$59,6,FALSE)</f>
        <v>4</v>
      </c>
      <c r="AN1283" s="1">
        <f>VLOOKUP($C1283,'Substrate Heating'!$A$2:$C$33,3,FALSE)</f>
        <v>638.57832580000002</v>
      </c>
      <c r="AO1283" s="1">
        <f>VLOOKUP($C1283,'Substrate Heating'!$A$2:$B$33,2,FALSE)</f>
        <v>19.93</v>
      </c>
      <c r="AP1283" s="1">
        <f>VLOOKUP($C1283,'Substrate Heating'!$A$2:$M$33,13,FALSE)</f>
        <v>6</v>
      </c>
      <c r="AQ1283" s="1">
        <f>VLOOKUP($C1283,'Substrate Heating'!$A$2:$M$33,8,FALSE)</f>
        <v>1</v>
      </c>
      <c r="AR1283" s="1">
        <f t="shared" ref="AR1283:AR1346" si="20">Q1283*W1283/AQ1283</f>
        <v>0.999663865546216</v>
      </c>
    </row>
    <row r="1284" spans="1:44" x14ac:dyDescent="0.2">
      <c r="A1284" s="8" t="s">
        <v>34</v>
      </c>
      <c r="B1284" s="9" t="s">
        <v>35</v>
      </c>
      <c r="C1284" s="1" t="s">
        <v>347</v>
      </c>
      <c r="D1284" s="23" t="s">
        <v>338</v>
      </c>
      <c r="E1284" s="1" t="s">
        <v>198</v>
      </c>
      <c r="F1284" s="1" t="s">
        <v>199</v>
      </c>
      <c r="G1284" s="1">
        <v>-10</v>
      </c>
      <c r="H1284" s="1">
        <v>-20</v>
      </c>
      <c r="I1284" s="1" t="s">
        <v>40</v>
      </c>
      <c r="J1284" s="1">
        <v>3.15</v>
      </c>
      <c r="K1284" s="1">
        <v>-10</v>
      </c>
      <c r="L1284" s="1">
        <v>-2.5042016806722698</v>
      </c>
      <c r="M1284" s="1" t="s">
        <v>40</v>
      </c>
      <c r="N1284" s="1">
        <v>3.3613445378147199E-3</v>
      </c>
      <c r="O1284" s="1">
        <v>2.4991596638655502</v>
      </c>
      <c r="Q1284" s="1">
        <v>0.249915966386555</v>
      </c>
      <c r="R1284" s="1">
        <v>0.68719562782433496</v>
      </c>
      <c r="S1284" s="1" t="str">
        <f>VLOOKUP($E1284,'Product Naming'!$A$1:$P$58,2,FALSE)</f>
        <v>EthylAcetate</v>
      </c>
      <c r="T1284" s="1" t="str">
        <f>VLOOKUP($E1284,'Product Naming'!$A$1:$P$58,3,FALSE)</f>
        <v>Ethyl acetate</v>
      </c>
      <c r="U1284" s="1" t="str">
        <f>VLOOKUP($E1284,'Product Naming'!$A$1:$P$58,4,FALSE)</f>
        <v>E</v>
      </c>
      <c r="V1284" s="1" t="str">
        <f>VLOOKUP($E1284,'Product Naming'!$A$1:$P$58,5,FALSE)</f>
        <v>C4H8O2</v>
      </c>
      <c r="W1284" s="1">
        <f>VLOOKUP($E1284,'Product Naming'!$A$1:$P$58,6,FALSE)</f>
        <v>4</v>
      </c>
      <c r="X1284" s="1">
        <f>VLOOKUP($E1284,'Product Naming'!$A$1:$P$58,7,FALSE)</f>
        <v>8</v>
      </c>
      <c r="Y1284" s="1">
        <f>VLOOKUP($E1284,'Product Naming'!$A$1:$P$58,8,FALSE)</f>
        <v>2</v>
      </c>
      <c r="Z1284" s="1">
        <f>VLOOKUP($E1284,'Product Naming'!$A$1:$P$58,9,FALSE)</f>
        <v>0</v>
      </c>
      <c r="AA1284" s="1">
        <f>VLOOKUP($E1284,'Product Naming'!$A$1:$P$58,10,FALSE)</f>
        <v>0</v>
      </c>
      <c r="AB1284" s="29">
        <f>VLOOKUP($E1284,'Product Naming'!$A$1:$P$58,11,FALSE)</f>
        <v>5</v>
      </c>
      <c r="AC1284" s="3">
        <f>VLOOKUP($E1284,'Product Naming'!$A$1:$P$58,12,FALSE)</f>
        <v>88.103520000000003</v>
      </c>
      <c r="AD1284" s="1">
        <f>VLOOKUP($E1284,'Product Naming'!$A$1:$P$58,13,FALSE)</f>
        <v>77.099999999999994</v>
      </c>
      <c r="AE1284" s="1" t="str">
        <f>VLOOKUP($E1284,'Product Naming'!$A$1:$P$58,14,FALSE)</f>
        <v>Carboxylate Ester</v>
      </c>
      <c r="AF1284" s="1" t="str">
        <f>VLOOKUP($E1284,'Product Naming'!$A$1:$P$58,15,FALSE)</f>
        <v>Acetyl-CoA</v>
      </c>
      <c r="AG1284" s="30" t="str">
        <f>VLOOKUP($E1284,'Product Naming'!$A$1:$P$58,16,FALSE)</f>
        <v>Proton symporter</v>
      </c>
      <c r="AH1284" s="3" t="str">
        <f>VLOOKUP($E1284,'Product Naming'!$A$1:$Q$58,17,FALSE)</f>
        <v>aces_c</v>
      </c>
      <c r="AI1284" s="1">
        <f>VLOOKUP($E1284,'Product Parameters'!$A$2:$D$59,2,FALSE)</f>
        <v>1</v>
      </c>
      <c r="AJ1284" s="1">
        <f>VLOOKUP($E1284,'Product Parameters'!$A$2:$D$59,3,FALSE)</f>
        <v>0</v>
      </c>
      <c r="AK1284" s="1">
        <f>VLOOKUP($E1284,'Product Parameters'!$A$2:$D$59,4,FALSE)</f>
        <v>0.12</v>
      </c>
      <c r="AL1284" s="1">
        <f>VLOOKUP($E1284,'Product Parameters'!$A$2:$E$59,5,FALSE)</f>
        <v>35</v>
      </c>
      <c r="AM1284" s="1">
        <f>VLOOKUP($E1284,'Product Parameters'!$A$2:$F$59,6,FALSE)</f>
        <v>4</v>
      </c>
      <c r="AN1284" s="1">
        <f>VLOOKUP($C1284,'Substrate Heating'!$A$2:$C$33,3,FALSE)</f>
        <v>638.57832580000002</v>
      </c>
      <c r="AO1284" s="1">
        <f>VLOOKUP($C1284,'Substrate Heating'!$A$2:$B$33,2,FALSE)</f>
        <v>19.93</v>
      </c>
      <c r="AP1284" s="1">
        <f>VLOOKUP($C1284,'Substrate Heating'!$A$2:$M$33,13,FALSE)</f>
        <v>6</v>
      </c>
      <c r="AQ1284" s="1">
        <f>VLOOKUP($C1284,'Substrate Heating'!$A$2:$M$33,8,FALSE)</f>
        <v>1</v>
      </c>
      <c r="AR1284" s="1">
        <f t="shared" si="20"/>
        <v>0.99966386554622</v>
      </c>
    </row>
    <row r="1285" spans="1:44" x14ac:dyDescent="0.2">
      <c r="A1285" s="8" t="s">
        <v>34</v>
      </c>
      <c r="B1285" s="9" t="s">
        <v>35</v>
      </c>
      <c r="C1285" s="1" t="s">
        <v>345</v>
      </c>
      <c r="D1285" s="10" t="s">
        <v>37</v>
      </c>
      <c r="E1285" s="1" t="s">
        <v>130</v>
      </c>
      <c r="F1285" s="1" t="s">
        <v>125</v>
      </c>
      <c r="G1285" s="1">
        <v>-10</v>
      </c>
      <c r="H1285" s="1">
        <v>-20</v>
      </c>
      <c r="I1285" s="1" t="s">
        <v>40</v>
      </c>
      <c r="J1285" s="1">
        <v>3.15</v>
      </c>
      <c r="K1285" s="1">
        <v>-10</v>
      </c>
      <c r="L1285" s="1">
        <v>-2.50588235294118</v>
      </c>
      <c r="M1285" s="1" t="s">
        <v>40</v>
      </c>
      <c r="N1285" s="1">
        <v>2.50588235294118</v>
      </c>
      <c r="O1285" s="1">
        <v>5.8313725490196102</v>
      </c>
      <c r="Q1285" s="1">
        <v>0.583137254901961</v>
      </c>
      <c r="R1285" s="1">
        <v>0.68996890890639895</v>
      </c>
      <c r="S1285" s="1" t="str">
        <f>VLOOKUP($E1285,'Product Naming'!$A$1:$P$58,2,FALSE)</f>
        <v>Acrylate-PW2</v>
      </c>
      <c r="T1285" s="1" t="str">
        <f>VLOOKUP($E1285,'Product Naming'!$A$1:$P$58,3,FALSE)</f>
        <v>Acrylate (PW2)</v>
      </c>
      <c r="U1285" s="1" t="str">
        <f>VLOOKUP($E1285,'Product Naming'!$A$1:$P$58,4,FALSE)</f>
        <v>A</v>
      </c>
      <c r="V1285" s="1" t="str">
        <f>VLOOKUP($E1285,'Product Naming'!$A$1:$P$58,5,FALSE)</f>
        <v>C3H3O2</v>
      </c>
      <c r="W1285" s="1">
        <f>VLOOKUP($E1285,'Product Naming'!$A$1:$P$58,6,FALSE)</f>
        <v>3</v>
      </c>
      <c r="X1285" s="1">
        <f>VLOOKUP($E1285,'Product Naming'!$A$1:$P$58,7,FALSE)</f>
        <v>3</v>
      </c>
      <c r="Y1285" s="1">
        <f>VLOOKUP($E1285,'Product Naming'!$A$1:$P$58,8,FALSE)</f>
        <v>2</v>
      </c>
      <c r="Z1285" s="1">
        <f>VLOOKUP($E1285,'Product Naming'!$A$1:$P$58,9,FALSE)</f>
        <v>0</v>
      </c>
      <c r="AA1285" s="1">
        <f>VLOOKUP($E1285,'Product Naming'!$A$1:$P$58,10,FALSE)</f>
        <v>-1</v>
      </c>
      <c r="AB1285" s="29">
        <f>VLOOKUP($E1285,'Product Naming'!$A$1:$P$58,11,FALSE)</f>
        <v>3.6666666666666665</v>
      </c>
      <c r="AC1285" s="3">
        <f>VLOOKUP($E1285,'Product Naming'!$A$1:$P$58,12,FALSE)</f>
        <v>71.053619999999995</v>
      </c>
      <c r="AD1285" s="1">
        <f>VLOOKUP($E1285,'Product Naming'!$A$1:$P$58,13,FALSE)</f>
        <v>80</v>
      </c>
      <c r="AE1285" s="1" t="str">
        <f>VLOOKUP($E1285,'Product Naming'!$A$1:$P$58,14,FALSE)</f>
        <v>Carboxylate</v>
      </c>
      <c r="AF1285" s="1" t="str">
        <f>VLOOKUP($E1285,'Product Naming'!$A$1:$P$58,15,FALSE)</f>
        <v>Pyruvate</v>
      </c>
      <c r="AG1285" s="30" t="str">
        <f>VLOOKUP($E1285,'Product Naming'!$A$1:$P$58,16,FALSE)</f>
        <v>Proton symporter</v>
      </c>
      <c r="AH1285" s="3" t="str">
        <f>VLOOKUP($E1285,'Product Naming'!$A$1:$Q$58,17,FALSE)</f>
        <v>acryl_c</v>
      </c>
      <c r="AI1285" s="1">
        <f>VLOOKUP($E1285,'Product Parameters'!$A$2:$D$59,2,FALSE)</f>
        <v>1</v>
      </c>
      <c r="AJ1285" s="1">
        <f>VLOOKUP($E1285,'Product Parameters'!$A$2:$D$59,3,FALSE)</f>
        <v>0</v>
      </c>
      <c r="AK1285" s="1">
        <f>VLOOKUP($E1285,'Product Parameters'!$A$2:$D$59,4,FALSE)</f>
        <v>0.12</v>
      </c>
      <c r="AL1285" s="1">
        <f>VLOOKUP($E1285,'Product Parameters'!$A$2:$E$59,5,FALSE)</f>
        <v>53.1</v>
      </c>
      <c r="AM1285" s="1">
        <f>VLOOKUP($E1285,'Product Parameters'!$A$2:$F$59,6,FALSE)</f>
        <v>3</v>
      </c>
      <c r="AN1285" s="1">
        <f>VLOOKUP($C1285,'Substrate Heating'!$A$2:$C$33,3,FALSE)</f>
        <v>1020.8629199999999</v>
      </c>
      <c r="AO1285" s="1">
        <f>VLOOKUP($C1285,'Substrate Heating'!$A$2:$B$33,2,FALSE)</f>
        <v>17</v>
      </c>
      <c r="AP1285" s="1">
        <f>VLOOKUP($C1285,'Substrate Heating'!$A$2:$M$33,13,FALSE)</f>
        <v>4</v>
      </c>
      <c r="AQ1285" s="1">
        <f>VLOOKUP($C1285,'Substrate Heating'!$A$2:$M$33,8,FALSE)</f>
        <v>2</v>
      </c>
      <c r="AR1285" s="1">
        <f t="shared" si="20"/>
        <v>0.87470588235294144</v>
      </c>
    </row>
    <row r="1286" spans="1:44" x14ac:dyDescent="0.2">
      <c r="A1286" s="8" t="s">
        <v>34</v>
      </c>
      <c r="B1286" s="9" t="s">
        <v>35</v>
      </c>
      <c r="C1286" s="1" t="s">
        <v>330</v>
      </c>
      <c r="D1286" s="10" t="s">
        <v>37</v>
      </c>
      <c r="E1286" s="1" t="s">
        <v>130</v>
      </c>
      <c r="F1286" s="1" t="s">
        <v>125</v>
      </c>
      <c r="G1286" s="1">
        <v>-10</v>
      </c>
      <c r="H1286" s="1">
        <v>-20</v>
      </c>
      <c r="I1286" s="1" t="s">
        <v>40</v>
      </c>
      <c r="J1286" s="1">
        <v>3.15</v>
      </c>
      <c r="K1286" s="1">
        <v>-10</v>
      </c>
      <c r="L1286" s="1">
        <v>-6.8621621621621598</v>
      </c>
      <c r="M1286" s="1" t="s">
        <v>40</v>
      </c>
      <c r="N1286" s="1">
        <v>1.86216216216217</v>
      </c>
      <c r="O1286" s="1">
        <v>6.0459459459459497</v>
      </c>
      <c r="Q1286" s="1">
        <v>0.60459459459459497</v>
      </c>
      <c r="R1286" s="1">
        <v>0.69213994332486495</v>
      </c>
      <c r="S1286" s="1" t="str">
        <f>VLOOKUP($E1286,'Product Naming'!$A$1:$P$58,2,FALSE)</f>
        <v>Acrylate-PW2</v>
      </c>
      <c r="T1286" s="1" t="str">
        <f>VLOOKUP($E1286,'Product Naming'!$A$1:$P$58,3,FALSE)</f>
        <v>Acrylate (PW2)</v>
      </c>
      <c r="U1286" s="1" t="str">
        <f>VLOOKUP($E1286,'Product Naming'!$A$1:$P$58,4,FALSE)</f>
        <v>A</v>
      </c>
      <c r="V1286" s="1" t="str">
        <f>VLOOKUP($E1286,'Product Naming'!$A$1:$P$58,5,FALSE)</f>
        <v>C3H3O2</v>
      </c>
      <c r="W1286" s="1">
        <f>VLOOKUP($E1286,'Product Naming'!$A$1:$P$58,6,FALSE)</f>
        <v>3</v>
      </c>
      <c r="X1286" s="1">
        <f>VLOOKUP($E1286,'Product Naming'!$A$1:$P$58,7,FALSE)</f>
        <v>3</v>
      </c>
      <c r="Y1286" s="1">
        <f>VLOOKUP($E1286,'Product Naming'!$A$1:$P$58,8,FALSE)</f>
        <v>2</v>
      </c>
      <c r="Z1286" s="1">
        <f>VLOOKUP($E1286,'Product Naming'!$A$1:$P$58,9,FALSE)</f>
        <v>0</v>
      </c>
      <c r="AA1286" s="1">
        <f>VLOOKUP($E1286,'Product Naming'!$A$1:$P$58,10,FALSE)</f>
        <v>-1</v>
      </c>
      <c r="AB1286" s="29">
        <f>VLOOKUP($E1286,'Product Naming'!$A$1:$P$58,11,FALSE)</f>
        <v>3.6666666666666665</v>
      </c>
      <c r="AC1286" s="3">
        <f>VLOOKUP($E1286,'Product Naming'!$A$1:$P$58,12,FALSE)</f>
        <v>71.053619999999995</v>
      </c>
      <c r="AD1286" s="1">
        <f>VLOOKUP($E1286,'Product Naming'!$A$1:$P$58,13,FALSE)</f>
        <v>80</v>
      </c>
      <c r="AE1286" s="1" t="str">
        <f>VLOOKUP($E1286,'Product Naming'!$A$1:$P$58,14,FALSE)</f>
        <v>Carboxylate</v>
      </c>
      <c r="AF1286" s="1" t="str">
        <f>VLOOKUP($E1286,'Product Naming'!$A$1:$P$58,15,FALSE)</f>
        <v>Pyruvate</v>
      </c>
      <c r="AG1286" s="30" t="str">
        <f>VLOOKUP($E1286,'Product Naming'!$A$1:$P$58,16,FALSE)</f>
        <v>Proton symporter</v>
      </c>
      <c r="AH1286" s="3" t="str">
        <f>VLOOKUP($E1286,'Product Naming'!$A$1:$Q$58,17,FALSE)</f>
        <v>acryl_c</v>
      </c>
      <c r="AI1286" s="1">
        <f>VLOOKUP($E1286,'Product Parameters'!$A$2:$D$59,2,FALSE)</f>
        <v>1</v>
      </c>
      <c r="AJ1286" s="1">
        <f>VLOOKUP($E1286,'Product Parameters'!$A$2:$D$59,3,FALSE)</f>
        <v>0</v>
      </c>
      <c r="AK1286" s="1">
        <f>VLOOKUP($E1286,'Product Parameters'!$A$2:$D$59,4,FALSE)</f>
        <v>0.12</v>
      </c>
      <c r="AL1286" s="1">
        <f>VLOOKUP($E1286,'Product Parameters'!$A$2:$E$59,5,FALSE)</f>
        <v>53.1</v>
      </c>
      <c r="AM1286" s="1">
        <f>VLOOKUP($E1286,'Product Parameters'!$A$2:$F$59,6,FALSE)</f>
        <v>3</v>
      </c>
      <c r="AN1286" s="1">
        <f>VLOOKUP($C1286,'Substrate Heating'!$A$2:$C$33,3,FALSE)</f>
        <v>1055.1294800000001</v>
      </c>
      <c r="AO1286" s="1">
        <f>VLOOKUP($C1286,'Substrate Heating'!$A$2:$B$33,2,FALSE)</f>
        <v>17</v>
      </c>
      <c r="AP1286" s="1">
        <f>VLOOKUP($C1286,'Substrate Heating'!$A$2:$M$33,13,FALSE)</f>
        <v>5</v>
      </c>
      <c r="AQ1286" s="1">
        <f>VLOOKUP($C1286,'Substrate Heating'!$A$2:$M$33,8,FALSE)</f>
        <v>2</v>
      </c>
      <c r="AR1286" s="1">
        <f t="shared" si="20"/>
        <v>0.90689189189189245</v>
      </c>
    </row>
    <row r="1287" spans="1:44" x14ac:dyDescent="0.2">
      <c r="A1287" s="8" t="s">
        <v>34</v>
      </c>
      <c r="B1287" s="9" t="s">
        <v>35</v>
      </c>
      <c r="C1287" s="1" t="s">
        <v>331</v>
      </c>
      <c r="D1287" s="10" t="s">
        <v>37</v>
      </c>
      <c r="E1287" s="1" t="s">
        <v>198</v>
      </c>
      <c r="F1287" s="1" t="s">
        <v>199</v>
      </c>
      <c r="G1287" s="1">
        <v>-10</v>
      </c>
      <c r="H1287" s="1">
        <v>-20</v>
      </c>
      <c r="I1287" s="1" t="s">
        <v>40</v>
      </c>
      <c r="J1287" s="1">
        <v>3.15</v>
      </c>
      <c r="K1287" s="1">
        <v>-10</v>
      </c>
      <c r="L1287" s="1">
        <v>-0.53521126760563298</v>
      </c>
      <c r="M1287" s="1" t="s">
        <v>40</v>
      </c>
      <c r="N1287" s="1">
        <v>0.42816901408450397</v>
      </c>
      <c r="O1287" s="1">
        <v>4.8929577464788796</v>
      </c>
      <c r="Q1287" s="1">
        <v>0.48929577464788798</v>
      </c>
      <c r="R1287" s="1">
        <v>0.69455744279683795</v>
      </c>
      <c r="S1287" s="1" t="str">
        <f>VLOOKUP($E1287,'Product Naming'!$A$1:$P$58,2,FALSE)</f>
        <v>EthylAcetate</v>
      </c>
      <c r="T1287" s="1" t="str">
        <f>VLOOKUP($E1287,'Product Naming'!$A$1:$P$58,3,FALSE)</f>
        <v>Ethyl acetate</v>
      </c>
      <c r="U1287" s="1" t="str">
        <f>VLOOKUP($E1287,'Product Naming'!$A$1:$P$58,4,FALSE)</f>
        <v>E</v>
      </c>
      <c r="V1287" s="1" t="str">
        <f>VLOOKUP($E1287,'Product Naming'!$A$1:$P$58,5,FALSE)</f>
        <v>C4H8O2</v>
      </c>
      <c r="W1287" s="1">
        <f>VLOOKUP($E1287,'Product Naming'!$A$1:$P$58,6,FALSE)</f>
        <v>4</v>
      </c>
      <c r="X1287" s="1">
        <f>VLOOKUP($E1287,'Product Naming'!$A$1:$P$58,7,FALSE)</f>
        <v>8</v>
      </c>
      <c r="Y1287" s="1">
        <f>VLOOKUP($E1287,'Product Naming'!$A$1:$P$58,8,FALSE)</f>
        <v>2</v>
      </c>
      <c r="Z1287" s="1">
        <f>VLOOKUP($E1287,'Product Naming'!$A$1:$P$58,9,FALSE)</f>
        <v>0</v>
      </c>
      <c r="AA1287" s="1">
        <f>VLOOKUP($E1287,'Product Naming'!$A$1:$P$58,10,FALSE)</f>
        <v>0</v>
      </c>
      <c r="AB1287" s="29">
        <f>VLOOKUP($E1287,'Product Naming'!$A$1:$P$58,11,FALSE)</f>
        <v>5</v>
      </c>
      <c r="AC1287" s="3">
        <f>VLOOKUP($E1287,'Product Naming'!$A$1:$P$58,12,FALSE)</f>
        <v>88.103520000000003</v>
      </c>
      <c r="AD1287" s="1">
        <f>VLOOKUP($E1287,'Product Naming'!$A$1:$P$58,13,FALSE)</f>
        <v>77.099999999999994</v>
      </c>
      <c r="AE1287" s="1" t="str">
        <f>VLOOKUP($E1287,'Product Naming'!$A$1:$P$58,14,FALSE)</f>
        <v>Carboxylate Ester</v>
      </c>
      <c r="AF1287" s="1" t="str">
        <f>VLOOKUP($E1287,'Product Naming'!$A$1:$P$58,15,FALSE)</f>
        <v>Acetyl-CoA</v>
      </c>
      <c r="AG1287" s="30" t="str">
        <f>VLOOKUP($E1287,'Product Naming'!$A$1:$P$58,16,FALSE)</f>
        <v>Proton symporter</v>
      </c>
      <c r="AH1287" s="3" t="str">
        <f>VLOOKUP($E1287,'Product Naming'!$A$1:$Q$58,17,FALSE)</f>
        <v>aces_c</v>
      </c>
      <c r="AI1287" s="1">
        <f>VLOOKUP($E1287,'Product Parameters'!$A$2:$D$59,2,FALSE)</f>
        <v>1</v>
      </c>
      <c r="AJ1287" s="1">
        <f>VLOOKUP($E1287,'Product Parameters'!$A$2:$D$59,3,FALSE)</f>
        <v>0</v>
      </c>
      <c r="AK1287" s="1">
        <f>VLOOKUP($E1287,'Product Parameters'!$A$2:$D$59,4,FALSE)</f>
        <v>0.12</v>
      </c>
      <c r="AL1287" s="1">
        <f>VLOOKUP($E1287,'Product Parameters'!$A$2:$E$59,5,FALSE)</f>
        <v>35</v>
      </c>
      <c r="AM1287" s="1">
        <f>VLOOKUP($E1287,'Product Parameters'!$A$2:$F$59,6,FALSE)</f>
        <v>4</v>
      </c>
      <c r="AN1287" s="1">
        <f>VLOOKUP($C1287,'Substrate Heating'!$A$2:$C$33,3,FALSE)</f>
        <v>1055.1294800000001</v>
      </c>
      <c r="AO1287" s="1">
        <f>VLOOKUP($C1287,'Substrate Heating'!$A$2:$B$33,2,FALSE)</f>
        <v>17</v>
      </c>
      <c r="AP1287" s="1">
        <f>VLOOKUP($C1287,'Substrate Heating'!$A$2:$M$33,13,FALSE)</f>
        <v>5</v>
      </c>
      <c r="AQ1287" s="1">
        <f>VLOOKUP($C1287,'Substrate Heating'!$A$2:$M$33,8,FALSE)</f>
        <v>2</v>
      </c>
      <c r="AR1287" s="1">
        <f t="shared" si="20"/>
        <v>0.97859154929577596</v>
      </c>
    </row>
    <row r="1288" spans="1:44" x14ac:dyDescent="0.2">
      <c r="A1288" s="8" t="s">
        <v>34</v>
      </c>
      <c r="B1288" s="9" t="s">
        <v>35</v>
      </c>
      <c r="C1288" s="1" t="s">
        <v>344</v>
      </c>
      <c r="D1288" s="10" t="s">
        <v>37</v>
      </c>
      <c r="E1288" s="1" t="s">
        <v>97</v>
      </c>
      <c r="F1288" s="1" t="s">
        <v>98</v>
      </c>
      <c r="G1288" s="1">
        <v>-10</v>
      </c>
      <c r="H1288" s="1">
        <v>-20</v>
      </c>
      <c r="I1288" s="1" t="s">
        <v>40</v>
      </c>
      <c r="J1288" s="1">
        <v>3.15</v>
      </c>
      <c r="K1288" s="1">
        <v>-10</v>
      </c>
      <c r="L1288" s="1">
        <v>-8.5203426124197108</v>
      </c>
      <c r="M1288" s="1" t="s">
        <v>40</v>
      </c>
      <c r="N1288" s="1">
        <v>3.92847965738759</v>
      </c>
      <c r="O1288" s="1">
        <v>2.29593147751606</v>
      </c>
      <c r="Q1288" s="1">
        <v>0.229593147751606</v>
      </c>
      <c r="R1288" s="1">
        <v>0.69615286550371602</v>
      </c>
      <c r="S1288" s="1" t="str">
        <f>VLOOKUP($E1288,'Product Naming'!$A$1:$P$58,2,FALSE)</f>
        <v>2-Pyrone-4-6-Dicarboxylate</v>
      </c>
      <c r="T1288" s="1" t="str">
        <f>VLOOKUP($E1288,'Product Naming'!$A$1:$P$58,3,FALSE)</f>
        <v>2-Pyrone 4,6-dicarboxylate</v>
      </c>
      <c r="U1288" s="1" t="str">
        <f>VLOOKUP($E1288,'Product Naming'!$A$1:$P$58,4,FALSE)</f>
        <v>A</v>
      </c>
      <c r="V1288" s="1" t="str">
        <f>VLOOKUP($E1288,'Product Naming'!$A$1:$P$58,5,FALSE)</f>
        <v>C7H2O6</v>
      </c>
      <c r="W1288" s="1">
        <f>VLOOKUP($E1288,'Product Naming'!$A$1:$P$58,6,FALSE)</f>
        <v>7</v>
      </c>
      <c r="X1288" s="1">
        <f>VLOOKUP($E1288,'Product Naming'!$A$1:$P$58,7,FALSE)</f>
        <v>2</v>
      </c>
      <c r="Y1288" s="1">
        <f>VLOOKUP($E1288,'Product Naming'!$A$1:$P$58,8,FALSE)</f>
        <v>6</v>
      </c>
      <c r="Z1288" s="1">
        <f>VLOOKUP($E1288,'Product Naming'!$A$1:$P$58,9,FALSE)</f>
        <v>0</v>
      </c>
      <c r="AA1288" s="1">
        <f>VLOOKUP($E1288,'Product Naming'!$A$1:$P$58,10,FALSE)</f>
        <v>-2</v>
      </c>
      <c r="AB1288" s="29">
        <f>VLOOKUP($E1288,'Product Naming'!$A$1:$P$58,11,FALSE)</f>
        <v>2.5714285714285716</v>
      </c>
      <c r="AC1288" s="3">
        <f>VLOOKUP($E1288,'Product Naming'!$A$1:$P$58,12,FALSE)</f>
        <v>182.08458000000002</v>
      </c>
      <c r="AD1288" s="1">
        <f>VLOOKUP($E1288,'Product Naming'!$A$1:$P$58,13,FALSE)</f>
        <v>355.5</v>
      </c>
      <c r="AE1288" s="1" t="str">
        <f>VLOOKUP($E1288,'Product Naming'!$A$1:$P$58,14,FALSE)</f>
        <v>Dicarboxylate</v>
      </c>
      <c r="AF1288" s="1" t="str">
        <f>VLOOKUP($E1288,'Product Naming'!$A$1:$P$58,15,FALSE)</f>
        <v>Glyceraldehyde 3-P</v>
      </c>
      <c r="AG1288" s="30" t="str">
        <f>VLOOKUP($E1288,'Product Naming'!$A$1:$P$58,16,FALSE)</f>
        <v>Proton symporter</v>
      </c>
      <c r="AH1288" s="3" t="str">
        <f>VLOOKUP($E1288,'Product Naming'!$A$1:$Q$58,17,FALSE)</f>
        <v>2p46dc_c</v>
      </c>
      <c r="AI1288" s="1">
        <f>VLOOKUP($E1288,'Product Parameters'!$A$2:$D$59,2,FALSE)</f>
        <v>1</v>
      </c>
      <c r="AJ1288" s="1">
        <f>VLOOKUP($E1288,'Product Parameters'!$A$2:$D$59,3,FALSE)</f>
        <v>0</v>
      </c>
      <c r="AK1288" s="1">
        <f>VLOOKUP($E1288,'Product Parameters'!$A$2:$D$59,4,FALSE)</f>
        <v>0.12</v>
      </c>
      <c r="AL1288" s="1">
        <f>VLOOKUP($E1288,'Product Parameters'!$A$2:$E$59,5,FALSE)</f>
        <v>0</v>
      </c>
      <c r="AM1288" s="1">
        <f>VLOOKUP($E1288,'Product Parameters'!$A$2:$F$59,6,FALSE)</f>
        <v>7</v>
      </c>
      <c r="AN1288" s="1">
        <f>VLOOKUP($C1288,'Substrate Heating'!$A$2:$C$33,3,FALSE)</f>
        <v>1020.8629199999999</v>
      </c>
      <c r="AO1288" s="1">
        <f>VLOOKUP($C1288,'Substrate Heating'!$A$2:$B$33,2,FALSE)</f>
        <v>17</v>
      </c>
      <c r="AP1288" s="1">
        <f>VLOOKUP($C1288,'Substrate Heating'!$A$2:$M$33,13,FALSE)</f>
        <v>4</v>
      </c>
      <c r="AQ1288" s="1">
        <f>VLOOKUP($C1288,'Substrate Heating'!$A$2:$M$33,8,FALSE)</f>
        <v>2</v>
      </c>
      <c r="AR1288" s="1">
        <f t="shared" si="20"/>
        <v>0.80357601713062099</v>
      </c>
    </row>
    <row r="1289" spans="1:44" x14ac:dyDescent="0.2">
      <c r="A1289" s="8" t="s">
        <v>34</v>
      </c>
      <c r="B1289" s="9" t="s">
        <v>35</v>
      </c>
      <c r="C1289" s="1" t="s">
        <v>346</v>
      </c>
      <c r="D1289" s="23" t="s">
        <v>338</v>
      </c>
      <c r="E1289" s="1" t="s">
        <v>171</v>
      </c>
      <c r="F1289" s="1" t="s">
        <v>172</v>
      </c>
      <c r="G1289" s="1">
        <v>-10</v>
      </c>
      <c r="H1289" s="1">
        <v>-20</v>
      </c>
      <c r="I1289" s="1" t="s">
        <v>40</v>
      </c>
      <c r="J1289" s="1">
        <v>3.15</v>
      </c>
      <c r="K1289" s="1">
        <v>-10</v>
      </c>
      <c r="L1289" s="1">
        <v>-2.1810344827586201</v>
      </c>
      <c r="M1289" s="1" t="s">
        <v>40</v>
      </c>
      <c r="N1289" s="1">
        <v>-0.25517241379310401</v>
      </c>
      <c r="O1289" s="1">
        <v>2.5637931034482802</v>
      </c>
      <c r="Q1289" s="1">
        <v>0.25637931034482803</v>
      </c>
      <c r="R1289" s="1">
        <v>0.69690360969374299</v>
      </c>
      <c r="S1289" s="1" t="str">
        <f>VLOOKUP($E1289,'Product Naming'!$A$1:$P$58,2,FALSE)</f>
        <v>Butyrate</v>
      </c>
      <c r="T1289" s="1" t="str">
        <f>VLOOKUP($E1289,'Product Naming'!$A$1:$P$58,3,FALSE)</f>
        <v>Butyrate</v>
      </c>
      <c r="U1289" s="1" t="str">
        <f>VLOOKUP($E1289,'Product Naming'!$A$1:$P$58,4,FALSE)</f>
        <v>A</v>
      </c>
      <c r="V1289" s="1" t="str">
        <f>VLOOKUP($E1289,'Product Naming'!$A$1:$P$58,5,FALSE)</f>
        <v>C4H7O2</v>
      </c>
      <c r="W1289" s="1">
        <f>VLOOKUP($E1289,'Product Naming'!$A$1:$P$58,6,FALSE)</f>
        <v>4</v>
      </c>
      <c r="X1289" s="1">
        <f>VLOOKUP($E1289,'Product Naming'!$A$1:$P$58,7,FALSE)</f>
        <v>7</v>
      </c>
      <c r="Y1289" s="1">
        <f>VLOOKUP($E1289,'Product Naming'!$A$1:$P$58,8,FALSE)</f>
        <v>2</v>
      </c>
      <c r="Z1289" s="1">
        <f>VLOOKUP($E1289,'Product Naming'!$A$1:$P$58,9,FALSE)</f>
        <v>0</v>
      </c>
      <c r="AA1289" s="1">
        <f>VLOOKUP($E1289,'Product Naming'!$A$1:$P$58,10,FALSE)</f>
        <v>-1</v>
      </c>
      <c r="AB1289" s="29">
        <f>VLOOKUP($E1289,'Product Naming'!$A$1:$P$58,11,FALSE)</f>
        <v>4.75</v>
      </c>
      <c r="AC1289" s="3">
        <f>VLOOKUP($E1289,'Product Naming'!$A$1:$P$58,12,FALSE)</f>
        <v>87.095680000000002</v>
      </c>
      <c r="AD1289" s="1">
        <f>VLOOKUP($E1289,'Product Naming'!$A$1:$P$58,13,FALSE)</f>
        <v>163.5</v>
      </c>
      <c r="AE1289" s="1" t="str">
        <f>VLOOKUP($E1289,'Product Naming'!$A$1:$P$58,14,FALSE)</f>
        <v>Carboxylate</v>
      </c>
      <c r="AF1289" s="1" t="str">
        <f>VLOOKUP($E1289,'Product Naming'!$A$1:$P$58,15,FALSE)</f>
        <v>Acetyl-CoA</v>
      </c>
      <c r="AG1289" s="30" t="str">
        <f>VLOOKUP($E1289,'Product Naming'!$A$1:$P$58,16,FALSE)</f>
        <v>Proton symporter</v>
      </c>
      <c r="AH1289" s="3" t="str">
        <f>VLOOKUP($E1289,'Product Naming'!$A$1:$Q$58,17,FALSE)</f>
        <v>but_c</v>
      </c>
      <c r="AI1289" s="1">
        <f>VLOOKUP($E1289,'Product Parameters'!$A$2:$D$59,2,FALSE)</f>
        <v>1</v>
      </c>
      <c r="AJ1289" s="1">
        <f>VLOOKUP($E1289,'Product Parameters'!$A$2:$D$59,3,FALSE)</f>
        <v>0</v>
      </c>
      <c r="AK1289" s="1">
        <f>VLOOKUP($E1289,'Product Parameters'!$A$2:$D$59,4,FALSE)</f>
        <v>0.12</v>
      </c>
      <c r="AL1289" s="1">
        <f>VLOOKUP($E1289,'Product Parameters'!$A$2:$E$59,5,FALSE)</f>
        <v>42</v>
      </c>
      <c r="AM1289" s="1">
        <f>VLOOKUP($E1289,'Product Parameters'!$A$2:$F$59,6,FALSE)</f>
        <v>4</v>
      </c>
      <c r="AN1289" s="1">
        <f>VLOOKUP($C1289,'Substrate Heating'!$A$2:$C$33,3,FALSE)</f>
        <v>638.57832580000002</v>
      </c>
      <c r="AO1289" s="1">
        <f>VLOOKUP($C1289,'Substrate Heating'!$A$2:$B$33,2,FALSE)</f>
        <v>19.93</v>
      </c>
      <c r="AP1289" s="1">
        <f>VLOOKUP($C1289,'Substrate Heating'!$A$2:$M$33,13,FALSE)</f>
        <v>6</v>
      </c>
      <c r="AQ1289" s="1">
        <f>VLOOKUP($C1289,'Substrate Heating'!$A$2:$M$33,8,FALSE)</f>
        <v>1</v>
      </c>
      <c r="AR1289" s="1">
        <f t="shared" si="20"/>
        <v>1.0255172413793121</v>
      </c>
    </row>
    <row r="1290" spans="1:44" x14ac:dyDescent="0.2">
      <c r="A1290" s="8" t="s">
        <v>34</v>
      </c>
      <c r="B1290" s="9" t="s">
        <v>35</v>
      </c>
      <c r="C1290" s="1" t="s">
        <v>347</v>
      </c>
      <c r="D1290" s="23" t="s">
        <v>338</v>
      </c>
      <c r="E1290" s="1" t="s">
        <v>171</v>
      </c>
      <c r="F1290" s="1" t="s">
        <v>172</v>
      </c>
      <c r="G1290" s="1">
        <v>-10</v>
      </c>
      <c r="H1290" s="1">
        <v>-20</v>
      </c>
      <c r="I1290" s="1" t="s">
        <v>40</v>
      </c>
      <c r="J1290" s="1">
        <v>3.15</v>
      </c>
      <c r="K1290" s="1">
        <v>-10</v>
      </c>
      <c r="L1290" s="1">
        <v>-2.1810344827586299</v>
      </c>
      <c r="M1290" s="1" t="s">
        <v>40</v>
      </c>
      <c r="N1290" s="1">
        <v>-0.25517241379311001</v>
      </c>
      <c r="O1290" s="1">
        <v>2.5637931034483001</v>
      </c>
      <c r="Q1290" s="1">
        <v>0.25637931034483002</v>
      </c>
      <c r="R1290" s="1">
        <v>0.69690360969374798</v>
      </c>
      <c r="S1290" s="1" t="str">
        <f>VLOOKUP($E1290,'Product Naming'!$A$1:$P$58,2,FALSE)</f>
        <v>Butyrate</v>
      </c>
      <c r="T1290" s="1" t="str">
        <f>VLOOKUP($E1290,'Product Naming'!$A$1:$P$58,3,FALSE)</f>
        <v>Butyrate</v>
      </c>
      <c r="U1290" s="1" t="str">
        <f>VLOOKUP($E1290,'Product Naming'!$A$1:$P$58,4,FALSE)</f>
        <v>A</v>
      </c>
      <c r="V1290" s="1" t="str">
        <f>VLOOKUP($E1290,'Product Naming'!$A$1:$P$58,5,FALSE)</f>
        <v>C4H7O2</v>
      </c>
      <c r="W1290" s="1">
        <f>VLOOKUP($E1290,'Product Naming'!$A$1:$P$58,6,FALSE)</f>
        <v>4</v>
      </c>
      <c r="X1290" s="1">
        <f>VLOOKUP($E1290,'Product Naming'!$A$1:$P$58,7,FALSE)</f>
        <v>7</v>
      </c>
      <c r="Y1290" s="1">
        <f>VLOOKUP($E1290,'Product Naming'!$A$1:$P$58,8,FALSE)</f>
        <v>2</v>
      </c>
      <c r="Z1290" s="1">
        <f>VLOOKUP($E1290,'Product Naming'!$A$1:$P$58,9,FALSE)</f>
        <v>0</v>
      </c>
      <c r="AA1290" s="1">
        <f>VLOOKUP($E1290,'Product Naming'!$A$1:$P$58,10,FALSE)</f>
        <v>-1</v>
      </c>
      <c r="AB1290" s="29">
        <f>VLOOKUP($E1290,'Product Naming'!$A$1:$P$58,11,FALSE)</f>
        <v>4.75</v>
      </c>
      <c r="AC1290" s="3">
        <f>VLOOKUP($E1290,'Product Naming'!$A$1:$P$58,12,FALSE)</f>
        <v>87.095680000000002</v>
      </c>
      <c r="AD1290" s="1">
        <f>VLOOKUP($E1290,'Product Naming'!$A$1:$P$58,13,FALSE)</f>
        <v>163.5</v>
      </c>
      <c r="AE1290" s="1" t="str">
        <f>VLOOKUP($E1290,'Product Naming'!$A$1:$P$58,14,FALSE)</f>
        <v>Carboxylate</v>
      </c>
      <c r="AF1290" s="1" t="str">
        <f>VLOOKUP($E1290,'Product Naming'!$A$1:$P$58,15,FALSE)</f>
        <v>Acetyl-CoA</v>
      </c>
      <c r="AG1290" s="30" t="str">
        <f>VLOOKUP($E1290,'Product Naming'!$A$1:$P$58,16,FALSE)</f>
        <v>Proton symporter</v>
      </c>
      <c r="AH1290" s="3" t="str">
        <f>VLOOKUP($E1290,'Product Naming'!$A$1:$Q$58,17,FALSE)</f>
        <v>but_c</v>
      </c>
      <c r="AI1290" s="1">
        <f>VLOOKUP($E1290,'Product Parameters'!$A$2:$D$59,2,FALSE)</f>
        <v>1</v>
      </c>
      <c r="AJ1290" s="1">
        <f>VLOOKUP($E1290,'Product Parameters'!$A$2:$D$59,3,FALSE)</f>
        <v>0</v>
      </c>
      <c r="AK1290" s="1">
        <f>VLOOKUP($E1290,'Product Parameters'!$A$2:$D$59,4,FALSE)</f>
        <v>0.12</v>
      </c>
      <c r="AL1290" s="1">
        <f>VLOOKUP($E1290,'Product Parameters'!$A$2:$E$59,5,FALSE)</f>
        <v>42</v>
      </c>
      <c r="AM1290" s="1">
        <f>VLOOKUP($E1290,'Product Parameters'!$A$2:$F$59,6,FALSE)</f>
        <v>4</v>
      </c>
      <c r="AN1290" s="1">
        <f>VLOOKUP($C1290,'Substrate Heating'!$A$2:$C$33,3,FALSE)</f>
        <v>638.57832580000002</v>
      </c>
      <c r="AO1290" s="1">
        <f>VLOOKUP($C1290,'Substrate Heating'!$A$2:$B$33,2,FALSE)</f>
        <v>19.93</v>
      </c>
      <c r="AP1290" s="1">
        <f>VLOOKUP($C1290,'Substrate Heating'!$A$2:$M$33,13,FALSE)</f>
        <v>6</v>
      </c>
      <c r="AQ1290" s="1">
        <f>VLOOKUP($C1290,'Substrate Heating'!$A$2:$M$33,8,FALSE)</f>
        <v>1</v>
      </c>
      <c r="AR1290" s="1">
        <f t="shared" si="20"/>
        <v>1.0255172413793201</v>
      </c>
    </row>
    <row r="1291" spans="1:44" x14ac:dyDescent="0.2">
      <c r="A1291" s="8" t="s">
        <v>34</v>
      </c>
      <c r="B1291" s="9" t="s">
        <v>35</v>
      </c>
      <c r="C1291" s="1" t="s">
        <v>346</v>
      </c>
      <c r="D1291" s="23" t="s">
        <v>338</v>
      </c>
      <c r="E1291" s="1" t="s">
        <v>66</v>
      </c>
      <c r="F1291" s="1" t="s">
        <v>67</v>
      </c>
      <c r="G1291" s="1">
        <v>-10</v>
      </c>
      <c r="H1291" s="1">
        <v>-20</v>
      </c>
      <c r="I1291" s="1" t="s">
        <v>40</v>
      </c>
      <c r="J1291" s="1">
        <v>3.15</v>
      </c>
      <c r="K1291" s="1">
        <v>-10</v>
      </c>
      <c r="L1291" s="1">
        <v>-1.30968992248062</v>
      </c>
      <c r="M1291" s="1" t="s">
        <v>40</v>
      </c>
      <c r="N1291" s="1">
        <v>4.3410852713176899E-2</v>
      </c>
      <c r="O1291" s="1">
        <v>2.4891472868217002</v>
      </c>
      <c r="Q1291" s="1">
        <v>0.24891472868216999</v>
      </c>
      <c r="R1291" s="1">
        <v>0.70010156396368495</v>
      </c>
      <c r="S1291" s="1" t="str">
        <f>VLOOKUP($E1291,'Product Naming'!$A$1:$P$58,2,FALSE)</f>
        <v>1-4-butanediol</v>
      </c>
      <c r="T1291" s="1" t="str">
        <f>VLOOKUP($E1291,'Product Naming'!$A$1:$P$58,3,FALSE)</f>
        <v>1,4-Butanediol</v>
      </c>
      <c r="U1291" s="1" t="str">
        <f>VLOOKUP($E1291,'Product Naming'!$A$1:$P$58,4,FALSE)</f>
        <v>E</v>
      </c>
      <c r="V1291" s="1" t="str">
        <f>VLOOKUP($E1291,'Product Naming'!$A$1:$P$58,5,FALSE)</f>
        <v>C4H10O2</v>
      </c>
      <c r="W1291" s="1">
        <f>VLOOKUP($E1291,'Product Naming'!$A$1:$P$58,6,FALSE)</f>
        <v>4</v>
      </c>
      <c r="X1291" s="1">
        <f>VLOOKUP($E1291,'Product Naming'!$A$1:$P$58,7,FALSE)</f>
        <v>10</v>
      </c>
      <c r="Y1291" s="1">
        <f>VLOOKUP($E1291,'Product Naming'!$A$1:$P$58,8,FALSE)</f>
        <v>2</v>
      </c>
      <c r="Z1291" s="1">
        <f>VLOOKUP($E1291,'Product Naming'!$A$1:$P$58,9,FALSE)</f>
        <v>0</v>
      </c>
      <c r="AA1291" s="1">
        <f>VLOOKUP($E1291,'Product Naming'!$A$1:$P$58,10,FALSE)</f>
        <v>0</v>
      </c>
      <c r="AB1291" s="29">
        <f>VLOOKUP($E1291,'Product Naming'!$A$1:$P$58,11,FALSE)</f>
        <v>5.5</v>
      </c>
      <c r="AC1291" s="3">
        <f>VLOOKUP($E1291,'Product Naming'!$A$1:$P$58,12,FALSE)</f>
        <v>90.119200000000006</v>
      </c>
      <c r="AD1291" s="1">
        <f>VLOOKUP($E1291,'Product Naming'!$A$1:$P$58,13,FALSE)</f>
        <v>230</v>
      </c>
      <c r="AE1291" s="1" t="str">
        <f>VLOOKUP($E1291,'Product Naming'!$A$1:$P$58,14,FALSE)</f>
        <v>Diol</v>
      </c>
      <c r="AF1291" s="1" t="str">
        <f>VLOOKUP($E1291,'Product Naming'!$A$1:$P$58,15,FALSE)</f>
        <v>aKG</v>
      </c>
      <c r="AG1291" s="30" t="str">
        <f>VLOOKUP($E1291,'Product Naming'!$A$1:$P$58,16,FALSE)</f>
        <v>Proton symporter</v>
      </c>
      <c r="AH1291" s="3" t="str">
        <f>VLOOKUP($E1291,'Product Naming'!$A$1:$Q$58,17,FALSE)</f>
        <v>14bdo_c</v>
      </c>
      <c r="AI1291" s="1">
        <f>VLOOKUP($E1291,'Product Parameters'!$A$2:$D$59,2,FALSE)</f>
        <v>1</v>
      </c>
      <c r="AJ1291" s="1">
        <f>VLOOKUP($E1291,'Product Parameters'!$A$2:$D$59,3,FALSE)</f>
        <v>0</v>
      </c>
      <c r="AK1291" s="1">
        <f>VLOOKUP($E1291,'Product Parameters'!$A$2:$D$59,4,FALSE)</f>
        <v>0.12</v>
      </c>
      <c r="AL1291" s="1">
        <f>VLOOKUP($E1291,'Product Parameters'!$A$2:$E$59,5,FALSE)</f>
        <v>78</v>
      </c>
      <c r="AM1291" s="1">
        <f>VLOOKUP($E1291,'Product Parameters'!$A$2:$F$59,6,FALSE)</f>
        <v>4</v>
      </c>
      <c r="AN1291" s="1">
        <f>VLOOKUP($C1291,'Substrate Heating'!$A$2:$C$33,3,FALSE)</f>
        <v>638.57832580000002</v>
      </c>
      <c r="AO1291" s="1">
        <f>VLOOKUP($C1291,'Substrate Heating'!$A$2:$B$33,2,FALSE)</f>
        <v>19.93</v>
      </c>
      <c r="AP1291" s="1">
        <f>VLOOKUP($C1291,'Substrate Heating'!$A$2:$M$33,13,FALSE)</f>
        <v>6</v>
      </c>
      <c r="AQ1291" s="1">
        <f>VLOOKUP($C1291,'Substrate Heating'!$A$2:$M$33,8,FALSE)</f>
        <v>1</v>
      </c>
      <c r="AR1291" s="1">
        <f t="shared" si="20"/>
        <v>0.99565891472867996</v>
      </c>
    </row>
    <row r="1292" spans="1:44" x14ac:dyDescent="0.2">
      <c r="A1292" s="8" t="s">
        <v>34</v>
      </c>
      <c r="B1292" s="9" t="s">
        <v>35</v>
      </c>
      <c r="C1292" s="1" t="s">
        <v>347</v>
      </c>
      <c r="D1292" s="23" t="s">
        <v>338</v>
      </c>
      <c r="E1292" s="1" t="s">
        <v>66</v>
      </c>
      <c r="F1292" s="1" t="s">
        <v>67</v>
      </c>
      <c r="G1292" s="1">
        <v>-10</v>
      </c>
      <c r="H1292" s="1">
        <v>-20</v>
      </c>
      <c r="I1292" s="1" t="s">
        <v>40</v>
      </c>
      <c r="J1292" s="1">
        <v>3.15</v>
      </c>
      <c r="K1292" s="1">
        <v>-10</v>
      </c>
      <c r="L1292" s="1">
        <v>-1.30968992248062</v>
      </c>
      <c r="M1292" s="1" t="s">
        <v>40</v>
      </c>
      <c r="N1292" s="1">
        <v>4.3410852713177801E-2</v>
      </c>
      <c r="O1292" s="1">
        <v>2.4891472868217099</v>
      </c>
      <c r="Q1292" s="1">
        <v>0.24891472868217099</v>
      </c>
      <c r="R1292" s="1">
        <v>0.70010156396368495</v>
      </c>
      <c r="S1292" s="1" t="str">
        <f>VLOOKUP($E1292,'Product Naming'!$A$1:$P$58,2,FALSE)</f>
        <v>1-4-butanediol</v>
      </c>
      <c r="T1292" s="1" t="str">
        <f>VLOOKUP($E1292,'Product Naming'!$A$1:$P$58,3,FALSE)</f>
        <v>1,4-Butanediol</v>
      </c>
      <c r="U1292" s="1" t="str">
        <f>VLOOKUP($E1292,'Product Naming'!$A$1:$P$58,4,FALSE)</f>
        <v>E</v>
      </c>
      <c r="V1292" s="1" t="str">
        <f>VLOOKUP($E1292,'Product Naming'!$A$1:$P$58,5,FALSE)</f>
        <v>C4H10O2</v>
      </c>
      <c r="W1292" s="1">
        <f>VLOOKUP($E1292,'Product Naming'!$A$1:$P$58,6,FALSE)</f>
        <v>4</v>
      </c>
      <c r="X1292" s="1">
        <f>VLOOKUP($E1292,'Product Naming'!$A$1:$P$58,7,FALSE)</f>
        <v>10</v>
      </c>
      <c r="Y1292" s="1">
        <f>VLOOKUP($E1292,'Product Naming'!$A$1:$P$58,8,FALSE)</f>
        <v>2</v>
      </c>
      <c r="Z1292" s="1">
        <f>VLOOKUP($E1292,'Product Naming'!$A$1:$P$58,9,FALSE)</f>
        <v>0</v>
      </c>
      <c r="AA1292" s="1">
        <f>VLOOKUP($E1292,'Product Naming'!$A$1:$P$58,10,FALSE)</f>
        <v>0</v>
      </c>
      <c r="AB1292" s="29">
        <f>VLOOKUP($E1292,'Product Naming'!$A$1:$P$58,11,FALSE)</f>
        <v>5.5</v>
      </c>
      <c r="AC1292" s="3">
        <f>VLOOKUP($E1292,'Product Naming'!$A$1:$P$58,12,FALSE)</f>
        <v>90.119200000000006</v>
      </c>
      <c r="AD1292" s="1">
        <f>VLOOKUP($E1292,'Product Naming'!$A$1:$P$58,13,FALSE)</f>
        <v>230</v>
      </c>
      <c r="AE1292" s="1" t="str">
        <f>VLOOKUP($E1292,'Product Naming'!$A$1:$P$58,14,FALSE)</f>
        <v>Diol</v>
      </c>
      <c r="AF1292" s="1" t="str">
        <f>VLOOKUP($E1292,'Product Naming'!$A$1:$P$58,15,FALSE)</f>
        <v>aKG</v>
      </c>
      <c r="AG1292" s="30" t="str">
        <f>VLOOKUP($E1292,'Product Naming'!$A$1:$P$58,16,FALSE)</f>
        <v>Proton symporter</v>
      </c>
      <c r="AH1292" s="3" t="str">
        <f>VLOOKUP($E1292,'Product Naming'!$A$1:$Q$58,17,FALSE)</f>
        <v>14bdo_c</v>
      </c>
      <c r="AI1292" s="1">
        <f>VLOOKUP($E1292,'Product Parameters'!$A$2:$D$59,2,FALSE)</f>
        <v>1</v>
      </c>
      <c r="AJ1292" s="1">
        <f>VLOOKUP($E1292,'Product Parameters'!$A$2:$D$59,3,FALSE)</f>
        <v>0</v>
      </c>
      <c r="AK1292" s="1">
        <f>VLOOKUP($E1292,'Product Parameters'!$A$2:$D$59,4,FALSE)</f>
        <v>0.12</v>
      </c>
      <c r="AL1292" s="1">
        <f>VLOOKUP($E1292,'Product Parameters'!$A$2:$E$59,5,FALSE)</f>
        <v>78</v>
      </c>
      <c r="AM1292" s="1">
        <f>VLOOKUP($E1292,'Product Parameters'!$A$2:$F$59,6,FALSE)</f>
        <v>4</v>
      </c>
      <c r="AN1292" s="1">
        <f>VLOOKUP($C1292,'Substrate Heating'!$A$2:$C$33,3,FALSE)</f>
        <v>638.57832580000002</v>
      </c>
      <c r="AO1292" s="1">
        <f>VLOOKUP($C1292,'Substrate Heating'!$A$2:$B$33,2,FALSE)</f>
        <v>19.93</v>
      </c>
      <c r="AP1292" s="1">
        <f>VLOOKUP($C1292,'Substrate Heating'!$A$2:$M$33,13,FALSE)</f>
        <v>6</v>
      </c>
      <c r="AQ1292" s="1">
        <f>VLOOKUP($C1292,'Substrate Heating'!$A$2:$M$33,8,FALSE)</f>
        <v>1</v>
      </c>
      <c r="AR1292" s="1">
        <f t="shared" si="20"/>
        <v>0.99565891472868395</v>
      </c>
    </row>
    <row r="1293" spans="1:44" x14ac:dyDescent="0.2">
      <c r="A1293" s="17" t="s">
        <v>323</v>
      </c>
      <c r="B1293" s="18" t="s">
        <v>324</v>
      </c>
      <c r="C1293" t="s">
        <v>329</v>
      </c>
      <c r="D1293" s="19" t="s">
        <v>326</v>
      </c>
      <c r="E1293" t="s">
        <v>171</v>
      </c>
      <c r="F1293" t="s">
        <v>172</v>
      </c>
      <c r="G1293">
        <v>-10</v>
      </c>
      <c r="H1293">
        <v>0</v>
      </c>
      <c r="I1293">
        <v>-20</v>
      </c>
      <c r="J1293">
        <v>0.45</v>
      </c>
      <c r="K1293">
        <v>-10</v>
      </c>
      <c r="L1293">
        <v>0</v>
      </c>
      <c r="M1293">
        <v>-15</v>
      </c>
      <c r="N1293">
        <v>0</v>
      </c>
      <c r="O1293">
        <v>2.5</v>
      </c>
      <c r="P1293"/>
      <c r="Q1293">
        <v>0.25</v>
      </c>
      <c r="R1293" s="20">
        <v>0.70147938144329902</v>
      </c>
      <c r="S1293" s="1" t="str">
        <f>VLOOKUP($E1293,'Product Naming'!$A$1:$P$58,2,FALSE)</f>
        <v>Butyrate</v>
      </c>
      <c r="T1293" s="1" t="str">
        <f>VLOOKUP($E1293,'Product Naming'!$A$1:$P$58,3,FALSE)</f>
        <v>Butyrate</v>
      </c>
      <c r="U1293" s="1" t="str">
        <f>VLOOKUP($E1293,'Product Naming'!$A$1:$P$58,4,FALSE)</f>
        <v>A</v>
      </c>
      <c r="V1293" s="1" t="str">
        <f>VLOOKUP($E1293,'Product Naming'!$A$1:$P$58,5,FALSE)</f>
        <v>C4H7O2</v>
      </c>
      <c r="W1293" s="1">
        <f>VLOOKUP($E1293,'Product Naming'!$A$1:$P$58,6,FALSE)</f>
        <v>4</v>
      </c>
      <c r="X1293" s="1">
        <f>VLOOKUP($E1293,'Product Naming'!$A$1:$P$58,7,FALSE)</f>
        <v>7</v>
      </c>
      <c r="Y1293" s="1">
        <f>VLOOKUP($E1293,'Product Naming'!$A$1:$P$58,8,FALSE)</f>
        <v>2</v>
      </c>
      <c r="Z1293" s="1">
        <f>VLOOKUP($E1293,'Product Naming'!$A$1:$P$58,9,FALSE)</f>
        <v>0</v>
      </c>
      <c r="AA1293" s="1">
        <f>VLOOKUP($E1293,'Product Naming'!$A$1:$P$58,10,FALSE)</f>
        <v>-1</v>
      </c>
      <c r="AB1293" s="29">
        <f>VLOOKUP($E1293,'Product Naming'!$A$1:$P$58,11,FALSE)</f>
        <v>4.75</v>
      </c>
      <c r="AC1293" s="3">
        <f>VLOOKUP($E1293,'Product Naming'!$A$1:$P$58,12,FALSE)</f>
        <v>87.095680000000002</v>
      </c>
      <c r="AD1293" s="1">
        <f>VLOOKUP($E1293,'Product Naming'!$A$1:$P$58,13,FALSE)</f>
        <v>163.5</v>
      </c>
      <c r="AE1293" s="1" t="str">
        <f>VLOOKUP($E1293,'Product Naming'!$A$1:$P$58,14,FALSE)</f>
        <v>Carboxylate</v>
      </c>
      <c r="AF1293" s="1" t="str">
        <f>VLOOKUP($E1293,'Product Naming'!$A$1:$P$58,15,FALSE)</f>
        <v>Acetyl-CoA</v>
      </c>
      <c r="AG1293" s="30" t="str">
        <f>VLOOKUP($E1293,'Product Naming'!$A$1:$P$58,16,FALSE)</f>
        <v>Proton symporter</v>
      </c>
      <c r="AH1293" s="3" t="str">
        <f>VLOOKUP($E1293,'Product Naming'!$A$1:$Q$58,17,FALSE)</f>
        <v>but_c</v>
      </c>
      <c r="AI1293" s="1">
        <f>VLOOKUP($E1293,'Product Parameters'!$A$2:$D$59,2,FALSE)</f>
        <v>1</v>
      </c>
      <c r="AJ1293" s="1">
        <f>VLOOKUP($E1293,'Product Parameters'!$A$2:$D$59,3,FALSE)</f>
        <v>0</v>
      </c>
      <c r="AK1293" s="1">
        <f>VLOOKUP($E1293,'Product Parameters'!$A$2:$D$59,4,FALSE)</f>
        <v>0.12</v>
      </c>
      <c r="AL1293" s="1">
        <f>VLOOKUP($E1293,'Product Parameters'!$A$2:$E$59,5,FALSE)</f>
        <v>42</v>
      </c>
      <c r="AM1293" s="1">
        <f>VLOOKUP($E1293,'Product Parameters'!$A$2:$F$59,6,FALSE)</f>
        <v>4</v>
      </c>
      <c r="AN1293" s="1">
        <f>VLOOKUP($C1293,'Substrate Heating'!$A$2:$C$33,3,FALSE)</f>
        <v>255.53333333333336</v>
      </c>
      <c r="AO1293" s="1">
        <f>VLOOKUP($C1293,'Substrate Heating'!$A$2:$B$33,2,FALSE)</f>
        <v>23.925550527978785</v>
      </c>
      <c r="AP1293" s="1">
        <f>VLOOKUP($C1293,'Substrate Heating'!$A$2:$M$33,13,FALSE)</f>
        <v>0.66666666666666663</v>
      </c>
      <c r="AQ1293" s="1">
        <f>VLOOKUP($C1293,'Substrate Heating'!$A$2:$M$33,8,FALSE)</f>
        <v>0.33333333333333331</v>
      </c>
      <c r="AR1293" s="1">
        <f t="shared" si="20"/>
        <v>3</v>
      </c>
    </row>
    <row r="1294" spans="1:44" x14ac:dyDescent="0.2">
      <c r="A1294" s="17" t="s">
        <v>323</v>
      </c>
      <c r="B1294" s="18" t="s">
        <v>324</v>
      </c>
      <c r="C1294" t="s">
        <v>329</v>
      </c>
      <c r="D1294" s="19" t="s">
        <v>326</v>
      </c>
      <c r="E1294" t="s">
        <v>244</v>
      </c>
      <c r="F1294" t="s">
        <v>245</v>
      </c>
      <c r="G1294">
        <v>-10</v>
      </c>
      <c r="H1294">
        <v>0</v>
      </c>
      <c r="I1294">
        <v>-20</v>
      </c>
      <c r="J1294">
        <v>0.45</v>
      </c>
      <c r="K1294">
        <v>-10</v>
      </c>
      <c r="L1294">
        <v>0</v>
      </c>
      <c r="M1294">
        <v>-15</v>
      </c>
      <c r="N1294">
        <v>0</v>
      </c>
      <c r="O1294">
        <v>2.5</v>
      </c>
      <c r="P1294"/>
      <c r="Q1294">
        <v>0.25</v>
      </c>
      <c r="R1294" s="20">
        <v>0.70147938144329902</v>
      </c>
      <c r="S1294" s="1" t="str">
        <f>VLOOKUP($E1294,'Product Naming'!$A$1:$P$58,2,FALSE)</f>
        <v>Isobutyrate</v>
      </c>
      <c r="T1294" s="1" t="str">
        <f>VLOOKUP($E1294,'Product Naming'!$A$1:$P$58,3,FALSE)</f>
        <v>Isobutyrate</v>
      </c>
      <c r="U1294" s="1" t="str">
        <f>VLOOKUP($E1294,'Product Naming'!$A$1:$P$58,4,FALSE)</f>
        <v>A</v>
      </c>
      <c r="V1294" s="1" t="str">
        <f>VLOOKUP($E1294,'Product Naming'!$A$1:$P$58,5,FALSE)</f>
        <v>C4H7O2</v>
      </c>
      <c r="W1294" s="1">
        <f>VLOOKUP($E1294,'Product Naming'!$A$1:$P$58,6,FALSE)</f>
        <v>4</v>
      </c>
      <c r="X1294" s="1">
        <f>VLOOKUP($E1294,'Product Naming'!$A$1:$P$58,7,FALSE)</f>
        <v>7</v>
      </c>
      <c r="Y1294" s="1">
        <f>VLOOKUP($E1294,'Product Naming'!$A$1:$P$58,8,FALSE)</f>
        <v>2</v>
      </c>
      <c r="Z1294" s="1">
        <f>VLOOKUP($E1294,'Product Naming'!$A$1:$P$58,9,FALSE)</f>
        <v>0</v>
      </c>
      <c r="AA1294" s="1">
        <f>VLOOKUP($E1294,'Product Naming'!$A$1:$P$58,10,FALSE)</f>
        <v>-1</v>
      </c>
      <c r="AB1294" s="29">
        <f>VLOOKUP($E1294,'Product Naming'!$A$1:$P$58,11,FALSE)</f>
        <v>4.75</v>
      </c>
      <c r="AC1294" s="3">
        <f>VLOOKUP($E1294,'Product Naming'!$A$1:$P$58,12,FALSE)</f>
        <v>87.095680000000002</v>
      </c>
      <c r="AD1294" s="1">
        <f>VLOOKUP($E1294,'Product Naming'!$A$1:$P$58,13,FALSE)</f>
        <v>155</v>
      </c>
      <c r="AE1294" s="1" t="str">
        <f>VLOOKUP($E1294,'Product Naming'!$A$1:$P$58,14,FALSE)</f>
        <v>Carboxylate</v>
      </c>
      <c r="AF1294" s="1" t="str">
        <f>VLOOKUP($E1294,'Product Naming'!$A$1:$P$58,15,FALSE)</f>
        <v>Pyruvate</v>
      </c>
      <c r="AG1294" s="30" t="str">
        <f>VLOOKUP($E1294,'Product Naming'!$A$1:$P$58,16,FALSE)</f>
        <v>Proton symporter</v>
      </c>
      <c r="AH1294" s="3" t="str">
        <f>VLOOKUP($E1294,'Product Naming'!$A$1:$Q$58,17,FALSE)</f>
        <v>ibt_c</v>
      </c>
      <c r="AI1294" s="1">
        <f>VLOOKUP($E1294,'Product Parameters'!$A$2:$D$59,2,FALSE)</f>
        <v>1</v>
      </c>
      <c r="AJ1294" s="1">
        <f>VLOOKUP($E1294,'Product Parameters'!$A$2:$D$59,3,FALSE)</f>
        <v>0</v>
      </c>
      <c r="AK1294" s="1">
        <f>VLOOKUP($E1294,'Product Parameters'!$A$2:$D$59,4,FALSE)</f>
        <v>0.12</v>
      </c>
      <c r="AL1294" s="1">
        <f>VLOOKUP($E1294,'Product Parameters'!$A$2:$E$59,5,FALSE)</f>
        <v>44.5</v>
      </c>
      <c r="AM1294" s="1">
        <f>VLOOKUP($E1294,'Product Parameters'!$A$2:$F$59,6,FALSE)</f>
        <v>4</v>
      </c>
      <c r="AN1294" s="1">
        <f>VLOOKUP($C1294,'Substrate Heating'!$A$2:$C$33,3,FALSE)</f>
        <v>255.53333333333336</v>
      </c>
      <c r="AO1294" s="1">
        <f>VLOOKUP($C1294,'Substrate Heating'!$A$2:$B$33,2,FALSE)</f>
        <v>23.925550527978785</v>
      </c>
      <c r="AP1294" s="1">
        <f>VLOOKUP($C1294,'Substrate Heating'!$A$2:$M$33,13,FALSE)</f>
        <v>0.66666666666666663</v>
      </c>
      <c r="AQ1294" s="1">
        <f>VLOOKUP($C1294,'Substrate Heating'!$A$2:$M$33,8,FALSE)</f>
        <v>0.33333333333333331</v>
      </c>
      <c r="AR1294" s="1">
        <f t="shared" si="20"/>
        <v>3</v>
      </c>
    </row>
    <row r="1295" spans="1:44" x14ac:dyDescent="0.2">
      <c r="A1295" s="8" t="s">
        <v>34</v>
      </c>
      <c r="B1295" s="9" t="s">
        <v>35</v>
      </c>
      <c r="C1295" s="1" t="s">
        <v>331</v>
      </c>
      <c r="D1295" s="10" t="s">
        <v>37</v>
      </c>
      <c r="E1295" s="1" t="s">
        <v>171</v>
      </c>
      <c r="F1295" s="1" t="s">
        <v>172</v>
      </c>
      <c r="G1295" s="1">
        <v>-10</v>
      </c>
      <c r="H1295" s="1">
        <v>-20</v>
      </c>
      <c r="I1295" s="1" t="s">
        <v>40</v>
      </c>
      <c r="J1295" s="1">
        <v>3.15</v>
      </c>
      <c r="K1295" s="1">
        <v>-10</v>
      </c>
      <c r="L1295" s="1">
        <v>2.3731515850323299E-15</v>
      </c>
      <c r="M1295" s="1" t="s">
        <v>40</v>
      </c>
      <c r="N1295" s="1">
        <v>4.1287801066416599E-16</v>
      </c>
      <c r="O1295" s="1">
        <v>5</v>
      </c>
      <c r="Q1295" s="1">
        <v>0.5</v>
      </c>
      <c r="R1295" s="1">
        <v>0.70163308972326399</v>
      </c>
      <c r="S1295" s="1" t="str">
        <f>VLOOKUP($E1295,'Product Naming'!$A$1:$P$58,2,FALSE)</f>
        <v>Butyrate</v>
      </c>
      <c r="T1295" s="1" t="str">
        <f>VLOOKUP($E1295,'Product Naming'!$A$1:$P$58,3,FALSE)</f>
        <v>Butyrate</v>
      </c>
      <c r="U1295" s="1" t="str">
        <f>VLOOKUP($E1295,'Product Naming'!$A$1:$P$58,4,FALSE)</f>
        <v>A</v>
      </c>
      <c r="V1295" s="1" t="str">
        <f>VLOOKUP($E1295,'Product Naming'!$A$1:$P$58,5,FALSE)</f>
        <v>C4H7O2</v>
      </c>
      <c r="W1295" s="1">
        <f>VLOOKUP($E1295,'Product Naming'!$A$1:$P$58,6,FALSE)</f>
        <v>4</v>
      </c>
      <c r="X1295" s="1">
        <f>VLOOKUP($E1295,'Product Naming'!$A$1:$P$58,7,FALSE)</f>
        <v>7</v>
      </c>
      <c r="Y1295" s="1">
        <f>VLOOKUP($E1295,'Product Naming'!$A$1:$P$58,8,FALSE)</f>
        <v>2</v>
      </c>
      <c r="Z1295" s="1">
        <f>VLOOKUP($E1295,'Product Naming'!$A$1:$P$58,9,FALSE)</f>
        <v>0</v>
      </c>
      <c r="AA1295" s="1">
        <f>VLOOKUP($E1295,'Product Naming'!$A$1:$P$58,10,FALSE)</f>
        <v>-1</v>
      </c>
      <c r="AB1295" s="29">
        <f>VLOOKUP($E1295,'Product Naming'!$A$1:$P$58,11,FALSE)</f>
        <v>4.75</v>
      </c>
      <c r="AC1295" s="3">
        <f>VLOOKUP($E1295,'Product Naming'!$A$1:$P$58,12,FALSE)</f>
        <v>87.095680000000002</v>
      </c>
      <c r="AD1295" s="1">
        <f>VLOOKUP($E1295,'Product Naming'!$A$1:$P$58,13,FALSE)</f>
        <v>163.5</v>
      </c>
      <c r="AE1295" s="1" t="str">
        <f>VLOOKUP($E1295,'Product Naming'!$A$1:$P$58,14,FALSE)</f>
        <v>Carboxylate</v>
      </c>
      <c r="AF1295" s="1" t="str">
        <f>VLOOKUP($E1295,'Product Naming'!$A$1:$P$58,15,FALSE)</f>
        <v>Acetyl-CoA</v>
      </c>
      <c r="AG1295" s="30" t="str">
        <f>VLOOKUP($E1295,'Product Naming'!$A$1:$P$58,16,FALSE)</f>
        <v>Proton symporter</v>
      </c>
      <c r="AH1295" s="3" t="str">
        <f>VLOOKUP($E1295,'Product Naming'!$A$1:$Q$58,17,FALSE)</f>
        <v>but_c</v>
      </c>
      <c r="AI1295" s="1">
        <f>VLOOKUP($E1295,'Product Parameters'!$A$2:$D$59,2,FALSE)</f>
        <v>1</v>
      </c>
      <c r="AJ1295" s="1">
        <f>VLOOKUP($E1295,'Product Parameters'!$A$2:$D$59,3,FALSE)</f>
        <v>0</v>
      </c>
      <c r="AK1295" s="1">
        <f>VLOOKUP($E1295,'Product Parameters'!$A$2:$D$59,4,FALSE)</f>
        <v>0.12</v>
      </c>
      <c r="AL1295" s="1">
        <f>VLOOKUP($E1295,'Product Parameters'!$A$2:$E$59,5,FALSE)</f>
        <v>42</v>
      </c>
      <c r="AM1295" s="1">
        <f>VLOOKUP($E1295,'Product Parameters'!$A$2:$F$59,6,FALSE)</f>
        <v>4</v>
      </c>
      <c r="AN1295" s="1">
        <f>VLOOKUP($C1295,'Substrate Heating'!$A$2:$C$33,3,FALSE)</f>
        <v>1055.1294800000001</v>
      </c>
      <c r="AO1295" s="1">
        <f>VLOOKUP($C1295,'Substrate Heating'!$A$2:$B$33,2,FALSE)</f>
        <v>17</v>
      </c>
      <c r="AP1295" s="1">
        <f>VLOOKUP($C1295,'Substrate Heating'!$A$2:$M$33,13,FALSE)</f>
        <v>5</v>
      </c>
      <c r="AQ1295" s="1">
        <f>VLOOKUP($C1295,'Substrate Heating'!$A$2:$M$33,8,FALSE)</f>
        <v>2</v>
      </c>
      <c r="AR1295" s="1">
        <f t="shared" si="20"/>
        <v>1</v>
      </c>
    </row>
    <row r="1296" spans="1:44" x14ac:dyDescent="0.2">
      <c r="A1296" s="8" t="s">
        <v>792</v>
      </c>
      <c r="B1296" s="18" t="s">
        <v>324</v>
      </c>
      <c r="C1296" t="s">
        <v>365</v>
      </c>
      <c r="D1296" s="23" t="s">
        <v>338</v>
      </c>
      <c r="E1296" t="s">
        <v>171</v>
      </c>
      <c r="F1296" t="s">
        <v>172</v>
      </c>
      <c r="G1296">
        <v>-10</v>
      </c>
      <c r="H1296">
        <v>0</v>
      </c>
      <c r="I1296">
        <v>0</v>
      </c>
      <c r="J1296">
        <v>0.45</v>
      </c>
      <c r="K1296">
        <v>-10</v>
      </c>
      <c r="L1296">
        <v>0</v>
      </c>
      <c r="M1296">
        <v>5</v>
      </c>
      <c r="N1296">
        <v>0</v>
      </c>
      <c r="O1296">
        <v>2.5</v>
      </c>
      <c r="P1296"/>
      <c r="Q1296">
        <v>0.25</v>
      </c>
      <c r="R1296">
        <v>0.70163625501320204</v>
      </c>
      <c r="S1296" s="1" t="str">
        <f>VLOOKUP($E1296,'Product Naming'!$A$1:$P$58,2,FALSE)</f>
        <v>Butyrate</v>
      </c>
      <c r="T1296" s="1" t="str">
        <f>VLOOKUP($E1296,'Product Naming'!$A$1:$P$58,3,FALSE)</f>
        <v>Butyrate</v>
      </c>
      <c r="U1296" s="1" t="str">
        <f>VLOOKUP($E1296,'Product Naming'!$A$1:$P$58,4,FALSE)</f>
        <v>A</v>
      </c>
      <c r="V1296" s="1" t="str">
        <f>VLOOKUP($E1296,'Product Naming'!$A$1:$P$58,5,FALSE)</f>
        <v>C4H7O2</v>
      </c>
      <c r="W1296" s="1">
        <f>VLOOKUP($E1296,'Product Naming'!$A$1:$P$58,6,FALSE)</f>
        <v>4</v>
      </c>
      <c r="X1296" s="1">
        <f>VLOOKUP($E1296,'Product Naming'!$A$1:$P$58,7,FALSE)</f>
        <v>7</v>
      </c>
      <c r="Y1296" s="1">
        <f>VLOOKUP($E1296,'Product Naming'!$A$1:$P$58,8,FALSE)</f>
        <v>2</v>
      </c>
      <c r="Z1296" s="1">
        <f>VLOOKUP($E1296,'Product Naming'!$A$1:$P$58,9,FALSE)</f>
        <v>0</v>
      </c>
      <c r="AA1296" s="1">
        <f>VLOOKUP($E1296,'Product Naming'!$A$1:$P$58,10,FALSE)</f>
        <v>-1</v>
      </c>
      <c r="AB1296" s="29">
        <f>VLOOKUP($E1296,'Product Naming'!$A$1:$P$58,11,FALSE)</f>
        <v>4.75</v>
      </c>
      <c r="AC1296" s="3">
        <f>VLOOKUP($E1296,'Product Naming'!$A$1:$P$58,12,FALSE)</f>
        <v>87.095680000000002</v>
      </c>
      <c r="AD1296" s="1">
        <f>VLOOKUP($E1296,'Product Naming'!$A$1:$P$58,13,FALSE)</f>
        <v>163.5</v>
      </c>
      <c r="AE1296" s="1" t="str">
        <f>VLOOKUP($E1296,'Product Naming'!$A$1:$P$58,14,FALSE)</f>
        <v>Carboxylate</v>
      </c>
      <c r="AF1296" s="1" t="str">
        <f>VLOOKUP($E1296,'Product Naming'!$A$1:$P$58,15,FALSE)</f>
        <v>Acetyl-CoA</v>
      </c>
      <c r="AG1296" s="30" t="str">
        <f>VLOOKUP($E1296,'Product Naming'!$A$1:$P$58,16,FALSE)</f>
        <v>Proton symporter</v>
      </c>
      <c r="AH1296" s="3" t="str">
        <f>VLOOKUP($E1296,'Product Naming'!$A$1:$Q$58,17,FALSE)</f>
        <v>but_c</v>
      </c>
      <c r="AI1296" s="1">
        <f>VLOOKUP($E1296,'Product Parameters'!$A$2:$D$59,2,FALSE)</f>
        <v>1</v>
      </c>
      <c r="AJ1296" s="1">
        <f>VLOOKUP($E1296,'Product Parameters'!$A$2:$D$59,3,FALSE)</f>
        <v>0</v>
      </c>
      <c r="AK1296" s="1">
        <f>VLOOKUP($E1296,'Product Parameters'!$A$2:$D$59,4,FALSE)</f>
        <v>0.12</v>
      </c>
      <c r="AL1296" s="1">
        <f>VLOOKUP($E1296,'Product Parameters'!$A$2:$E$59,5,FALSE)</f>
        <v>42</v>
      </c>
      <c r="AM1296" s="1">
        <f>VLOOKUP($E1296,'Product Parameters'!$A$2:$F$59,6,FALSE)</f>
        <v>4</v>
      </c>
      <c r="AN1296" s="1">
        <f>VLOOKUP($C1296,'Substrate Heating'!$A$2:$C$33,3,FALSE)</f>
        <v>638.57832580000002</v>
      </c>
      <c r="AO1296" s="1">
        <f>VLOOKUP($C1296,'Substrate Heating'!$A$2:$B$33,2,FALSE)</f>
        <v>19.93</v>
      </c>
      <c r="AP1296" s="1">
        <f>VLOOKUP($C1296,'Substrate Heating'!$A$2:$M$33,13,FALSE)</f>
        <v>6</v>
      </c>
      <c r="AQ1296" s="1">
        <f>VLOOKUP($C1296,'Substrate Heating'!$A$2:$M$33,8,FALSE)</f>
        <v>1</v>
      </c>
      <c r="AR1296" s="1">
        <f t="shared" si="20"/>
        <v>1</v>
      </c>
    </row>
    <row r="1297" spans="1:44" x14ac:dyDescent="0.2">
      <c r="A1297" s="8" t="s">
        <v>792</v>
      </c>
      <c r="B1297" s="18" t="s">
        <v>324</v>
      </c>
      <c r="C1297" t="s">
        <v>371</v>
      </c>
      <c r="D1297" s="23" t="s">
        <v>338</v>
      </c>
      <c r="E1297" t="s">
        <v>171</v>
      </c>
      <c r="F1297" t="s">
        <v>172</v>
      </c>
      <c r="G1297">
        <v>-10</v>
      </c>
      <c r="H1297">
        <v>0</v>
      </c>
      <c r="I1297">
        <v>0</v>
      </c>
      <c r="J1297">
        <v>0.45</v>
      </c>
      <c r="K1297">
        <v>-10</v>
      </c>
      <c r="L1297">
        <v>0</v>
      </c>
      <c r="M1297" s="28" t="s">
        <v>520</v>
      </c>
      <c r="N1297">
        <v>0</v>
      </c>
      <c r="O1297">
        <v>2.5</v>
      </c>
      <c r="P1297"/>
      <c r="Q1297">
        <v>0.25</v>
      </c>
      <c r="R1297">
        <v>0.70163625501320204</v>
      </c>
      <c r="S1297" s="1" t="str">
        <f>VLOOKUP($E1297,'Product Naming'!$A$1:$P$58,2,FALSE)</f>
        <v>Butyrate</v>
      </c>
      <c r="T1297" s="1" t="str">
        <f>VLOOKUP($E1297,'Product Naming'!$A$1:$P$58,3,FALSE)</f>
        <v>Butyrate</v>
      </c>
      <c r="U1297" s="1" t="str">
        <f>VLOOKUP($E1297,'Product Naming'!$A$1:$P$58,4,FALSE)</f>
        <v>A</v>
      </c>
      <c r="V1297" s="1" t="str">
        <f>VLOOKUP($E1297,'Product Naming'!$A$1:$P$58,5,FALSE)</f>
        <v>C4H7O2</v>
      </c>
      <c r="W1297" s="1">
        <f>VLOOKUP($E1297,'Product Naming'!$A$1:$P$58,6,FALSE)</f>
        <v>4</v>
      </c>
      <c r="X1297" s="1">
        <f>VLOOKUP($E1297,'Product Naming'!$A$1:$P$58,7,FALSE)</f>
        <v>7</v>
      </c>
      <c r="Y1297" s="1">
        <f>VLOOKUP($E1297,'Product Naming'!$A$1:$P$58,8,FALSE)</f>
        <v>2</v>
      </c>
      <c r="Z1297" s="1">
        <f>VLOOKUP($E1297,'Product Naming'!$A$1:$P$58,9,FALSE)</f>
        <v>0</v>
      </c>
      <c r="AA1297" s="1">
        <f>VLOOKUP($E1297,'Product Naming'!$A$1:$P$58,10,FALSE)</f>
        <v>-1</v>
      </c>
      <c r="AB1297" s="29">
        <f>VLOOKUP($E1297,'Product Naming'!$A$1:$P$58,11,FALSE)</f>
        <v>4.75</v>
      </c>
      <c r="AC1297" s="3">
        <f>VLOOKUP($E1297,'Product Naming'!$A$1:$P$58,12,FALSE)</f>
        <v>87.095680000000002</v>
      </c>
      <c r="AD1297" s="1">
        <f>VLOOKUP($E1297,'Product Naming'!$A$1:$P$58,13,FALSE)</f>
        <v>163.5</v>
      </c>
      <c r="AE1297" s="1" t="str">
        <f>VLOOKUP($E1297,'Product Naming'!$A$1:$P$58,14,FALSE)</f>
        <v>Carboxylate</v>
      </c>
      <c r="AF1297" s="1" t="str">
        <f>VLOOKUP($E1297,'Product Naming'!$A$1:$P$58,15,FALSE)</f>
        <v>Acetyl-CoA</v>
      </c>
      <c r="AG1297" s="30" t="str">
        <f>VLOOKUP($E1297,'Product Naming'!$A$1:$P$58,16,FALSE)</f>
        <v>Proton symporter</v>
      </c>
      <c r="AH1297" s="3" t="str">
        <f>VLOOKUP($E1297,'Product Naming'!$A$1:$Q$58,17,FALSE)</f>
        <v>but_c</v>
      </c>
      <c r="AI1297" s="1">
        <f>VLOOKUP($E1297,'Product Parameters'!$A$2:$D$59,2,FALSE)</f>
        <v>1</v>
      </c>
      <c r="AJ1297" s="1">
        <f>VLOOKUP($E1297,'Product Parameters'!$A$2:$D$59,3,FALSE)</f>
        <v>0</v>
      </c>
      <c r="AK1297" s="1">
        <f>VLOOKUP($E1297,'Product Parameters'!$A$2:$D$59,4,FALSE)</f>
        <v>0.12</v>
      </c>
      <c r="AL1297" s="1">
        <f>VLOOKUP($E1297,'Product Parameters'!$A$2:$E$59,5,FALSE)</f>
        <v>42</v>
      </c>
      <c r="AM1297" s="1">
        <f>VLOOKUP($E1297,'Product Parameters'!$A$2:$F$59,6,FALSE)</f>
        <v>4</v>
      </c>
      <c r="AN1297" s="1">
        <f>VLOOKUP($C1297,'Substrate Heating'!$A$2:$C$33,3,FALSE)</f>
        <v>638.57832580000002</v>
      </c>
      <c r="AO1297" s="1">
        <f>VLOOKUP($C1297,'Substrate Heating'!$A$2:$B$33,2,FALSE)</f>
        <v>19.93</v>
      </c>
      <c r="AP1297" s="1">
        <f>VLOOKUP($C1297,'Substrate Heating'!$A$2:$M$33,13,FALSE)</f>
        <v>6</v>
      </c>
      <c r="AQ1297" s="1">
        <f>VLOOKUP($C1297,'Substrate Heating'!$A$2:$M$33,8,FALSE)</f>
        <v>1</v>
      </c>
      <c r="AR1297" s="1">
        <f t="shared" si="20"/>
        <v>1</v>
      </c>
    </row>
    <row r="1298" spans="1:44" x14ac:dyDescent="0.2">
      <c r="A1298" s="8" t="s">
        <v>792</v>
      </c>
      <c r="B1298" s="18" t="s">
        <v>324</v>
      </c>
      <c r="C1298" t="s">
        <v>372</v>
      </c>
      <c r="D1298" s="23" t="s">
        <v>338</v>
      </c>
      <c r="E1298" t="s">
        <v>171</v>
      </c>
      <c r="F1298" t="s">
        <v>172</v>
      </c>
      <c r="G1298">
        <v>-10</v>
      </c>
      <c r="H1298">
        <v>0</v>
      </c>
      <c r="I1298">
        <v>0</v>
      </c>
      <c r="J1298">
        <v>0.45</v>
      </c>
      <c r="K1298">
        <v>-10</v>
      </c>
      <c r="L1298">
        <v>0</v>
      </c>
      <c r="M1298">
        <v>5</v>
      </c>
      <c r="N1298">
        <v>0</v>
      </c>
      <c r="O1298">
        <v>2.5</v>
      </c>
      <c r="P1298"/>
      <c r="Q1298">
        <v>0.25</v>
      </c>
      <c r="R1298">
        <v>0.70163625501320204</v>
      </c>
      <c r="S1298" s="1" t="str">
        <f>VLOOKUP($E1298,'Product Naming'!$A$1:$P$58,2,FALSE)</f>
        <v>Butyrate</v>
      </c>
      <c r="T1298" s="1" t="str">
        <f>VLOOKUP($E1298,'Product Naming'!$A$1:$P$58,3,FALSE)</f>
        <v>Butyrate</v>
      </c>
      <c r="U1298" s="1" t="str">
        <f>VLOOKUP($E1298,'Product Naming'!$A$1:$P$58,4,FALSE)</f>
        <v>A</v>
      </c>
      <c r="V1298" s="1" t="str">
        <f>VLOOKUP($E1298,'Product Naming'!$A$1:$P$58,5,FALSE)</f>
        <v>C4H7O2</v>
      </c>
      <c r="W1298" s="1">
        <f>VLOOKUP($E1298,'Product Naming'!$A$1:$P$58,6,FALSE)</f>
        <v>4</v>
      </c>
      <c r="X1298" s="1">
        <f>VLOOKUP($E1298,'Product Naming'!$A$1:$P$58,7,FALSE)</f>
        <v>7</v>
      </c>
      <c r="Y1298" s="1">
        <f>VLOOKUP($E1298,'Product Naming'!$A$1:$P$58,8,FALSE)</f>
        <v>2</v>
      </c>
      <c r="Z1298" s="1">
        <f>VLOOKUP($E1298,'Product Naming'!$A$1:$P$58,9,FALSE)</f>
        <v>0</v>
      </c>
      <c r="AA1298" s="1">
        <f>VLOOKUP($E1298,'Product Naming'!$A$1:$P$58,10,FALSE)</f>
        <v>-1</v>
      </c>
      <c r="AB1298" s="29">
        <f>VLOOKUP($E1298,'Product Naming'!$A$1:$P$58,11,FALSE)</f>
        <v>4.75</v>
      </c>
      <c r="AC1298" s="3">
        <f>VLOOKUP($E1298,'Product Naming'!$A$1:$P$58,12,FALSE)</f>
        <v>87.095680000000002</v>
      </c>
      <c r="AD1298" s="1">
        <f>VLOOKUP($E1298,'Product Naming'!$A$1:$P$58,13,FALSE)</f>
        <v>163.5</v>
      </c>
      <c r="AE1298" s="1" t="str">
        <f>VLOOKUP($E1298,'Product Naming'!$A$1:$P$58,14,FALSE)</f>
        <v>Carboxylate</v>
      </c>
      <c r="AF1298" s="1" t="str">
        <f>VLOOKUP($E1298,'Product Naming'!$A$1:$P$58,15,FALSE)</f>
        <v>Acetyl-CoA</v>
      </c>
      <c r="AG1298" s="30" t="str">
        <f>VLOOKUP($E1298,'Product Naming'!$A$1:$P$58,16,FALSE)</f>
        <v>Proton symporter</v>
      </c>
      <c r="AH1298" s="3" t="str">
        <f>VLOOKUP($E1298,'Product Naming'!$A$1:$Q$58,17,FALSE)</f>
        <v>but_c</v>
      </c>
      <c r="AI1298" s="1">
        <f>VLOOKUP($E1298,'Product Parameters'!$A$2:$D$59,2,FALSE)</f>
        <v>1</v>
      </c>
      <c r="AJ1298" s="1">
        <f>VLOOKUP($E1298,'Product Parameters'!$A$2:$D$59,3,FALSE)</f>
        <v>0</v>
      </c>
      <c r="AK1298" s="1">
        <f>VLOOKUP($E1298,'Product Parameters'!$A$2:$D$59,4,FALSE)</f>
        <v>0.12</v>
      </c>
      <c r="AL1298" s="1">
        <f>VLOOKUP($E1298,'Product Parameters'!$A$2:$E$59,5,FALSE)</f>
        <v>42</v>
      </c>
      <c r="AM1298" s="1">
        <f>VLOOKUP($E1298,'Product Parameters'!$A$2:$F$59,6,FALSE)</f>
        <v>4</v>
      </c>
      <c r="AN1298" s="1">
        <f>VLOOKUP($C1298,'Substrate Heating'!$A$2:$C$33,3,FALSE)</f>
        <v>638.57832580000002</v>
      </c>
      <c r="AO1298" s="1">
        <f>VLOOKUP($C1298,'Substrate Heating'!$A$2:$B$33,2,FALSE)</f>
        <v>19.93</v>
      </c>
      <c r="AP1298" s="1">
        <f>VLOOKUP($C1298,'Substrate Heating'!$A$2:$M$33,13,FALSE)</f>
        <v>6</v>
      </c>
      <c r="AQ1298" s="1">
        <f>VLOOKUP($C1298,'Substrate Heating'!$A$2:$M$33,8,FALSE)</f>
        <v>1</v>
      </c>
      <c r="AR1298" s="1">
        <f t="shared" si="20"/>
        <v>1</v>
      </c>
    </row>
    <row r="1299" spans="1:44" x14ac:dyDescent="0.2">
      <c r="A1299" s="8" t="s">
        <v>792</v>
      </c>
      <c r="B1299" s="18" t="s">
        <v>324</v>
      </c>
      <c r="C1299" t="s">
        <v>365</v>
      </c>
      <c r="D1299" s="23" t="s">
        <v>338</v>
      </c>
      <c r="E1299" t="s">
        <v>244</v>
      </c>
      <c r="F1299" t="s">
        <v>245</v>
      </c>
      <c r="G1299">
        <v>-10</v>
      </c>
      <c r="H1299">
        <v>0</v>
      </c>
      <c r="I1299">
        <v>0</v>
      </c>
      <c r="J1299">
        <v>0.45</v>
      </c>
      <c r="K1299">
        <v>-10</v>
      </c>
      <c r="L1299">
        <v>0</v>
      </c>
      <c r="M1299" s="28" t="s">
        <v>603</v>
      </c>
      <c r="N1299">
        <v>0</v>
      </c>
      <c r="O1299">
        <v>2.5</v>
      </c>
      <c r="P1299"/>
      <c r="Q1299">
        <v>0.25</v>
      </c>
      <c r="R1299">
        <v>0.70163625501320204</v>
      </c>
      <c r="S1299" s="1" t="str">
        <f>VLOOKUP($E1299,'Product Naming'!$A$1:$P$58,2,FALSE)</f>
        <v>Isobutyrate</v>
      </c>
      <c r="T1299" s="1" t="str">
        <f>VLOOKUP($E1299,'Product Naming'!$A$1:$P$58,3,FALSE)</f>
        <v>Isobutyrate</v>
      </c>
      <c r="U1299" s="1" t="str">
        <f>VLOOKUP($E1299,'Product Naming'!$A$1:$P$58,4,FALSE)</f>
        <v>A</v>
      </c>
      <c r="V1299" s="1" t="str">
        <f>VLOOKUP($E1299,'Product Naming'!$A$1:$P$58,5,FALSE)</f>
        <v>C4H7O2</v>
      </c>
      <c r="W1299" s="1">
        <f>VLOOKUP($E1299,'Product Naming'!$A$1:$P$58,6,FALSE)</f>
        <v>4</v>
      </c>
      <c r="X1299" s="1">
        <f>VLOOKUP($E1299,'Product Naming'!$A$1:$P$58,7,FALSE)</f>
        <v>7</v>
      </c>
      <c r="Y1299" s="1">
        <f>VLOOKUP($E1299,'Product Naming'!$A$1:$P$58,8,FALSE)</f>
        <v>2</v>
      </c>
      <c r="Z1299" s="1">
        <f>VLOOKUP($E1299,'Product Naming'!$A$1:$P$58,9,FALSE)</f>
        <v>0</v>
      </c>
      <c r="AA1299" s="1">
        <f>VLOOKUP($E1299,'Product Naming'!$A$1:$P$58,10,FALSE)</f>
        <v>-1</v>
      </c>
      <c r="AB1299" s="29">
        <f>VLOOKUP($E1299,'Product Naming'!$A$1:$P$58,11,FALSE)</f>
        <v>4.75</v>
      </c>
      <c r="AC1299" s="3">
        <f>VLOOKUP($E1299,'Product Naming'!$A$1:$P$58,12,FALSE)</f>
        <v>87.095680000000002</v>
      </c>
      <c r="AD1299" s="1">
        <f>VLOOKUP($E1299,'Product Naming'!$A$1:$P$58,13,FALSE)</f>
        <v>155</v>
      </c>
      <c r="AE1299" s="1" t="str">
        <f>VLOOKUP($E1299,'Product Naming'!$A$1:$P$58,14,FALSE)</f>
        <v>Carboxylate</v>
      </c>
      <c r="AF1299" s="1" t="str">
        <f>VLOOKUP($E1299,'Product Naming'!$A$1:$P$58,15,FALSE)</f>
        <v>Pyruvate</v>
      </c>
      <c r="AG1299" s="30" t="str">
        <f>VLOOKUP($E1299,'Product Naming'!$A$1:$P$58,16,FALSE)</f>
        <v>Proton symporter</v>
      </c>
      <c r="AH1299" s="3" t="str">
        <f>VLOOKUP($E1299,'Product Naming'!$A$1:$Q$58,17,FALSE)</f>
        <v>ibt_c</v>
      </c>
      <c r="AI1299" s="1">
        <f>VLOOKUP($E1299,'Product Parameters'!$A$2:$D$59,2,FALSE)</f>
        <v>1</v>
      </c>
      <c r="AJ1299" s="1">
        <f>VLOOKUP($E1299,'Product Parameters'!$A$2:$D$59,3,FALSE)</f>
        <v>0</v>
      </c>
      <c r="AK1299" s="1">
        <f>VLOOKUP($E1299,'Product Parameters'!$A$2:$D$59,4,FALSE)</f>
        <v>0.12</v>
      </c>
      <c r="AL1299" s="1">
        <f>VLOOKUP($E1299,'Product Parameters'!$A$2:$E$59,5,FALSE)</f>
        <v>44.5</v>
      </c>
      <c r="AM1299" s="1">
        <f>VLOOKUP($E1299,'Product Parameters'!$A$2:$F$59,6,FALSE)</f>
        <v>4</v>
      </c>
      <c r="AN1299" s="1">
        <f>VLOOKUP($C1299,'Substrate Heating'!$A$2:$C$33,3,FALSE)</f>
        <v>638.57832580000002</v>
      </c>
      <c r="AO1299" s="1">
        <f>VLOOKUP($C1299,'Substrate Heating'!$A$2:$B$33,2,FALSE)</f>
        <v>19.93</v>
      </c>
      <c r="AP1299" s="1">
        <f>VLOOKUP($C1299,'Substrate Heating'!$A$2:$M$33,13,FALSE)</f>
        <v>6</v>
      </c>
      <c r="AQ1299" s="1">
        <f>VLOOKUP($C1299,'Substrate Heating'!$A$2:$M$33,8,FALSE)</f>
        <v>1</v>
      </c>
      <c r="AR1299" s="1">
        <f t="shared" si="20"/>
        <v>1</v>
      </c>
    </row>
    <row r="1300" spans="1:44" x14ac:dyDescent="0.2">
      <c r="A1300" s="8" t="s">
        <v>792</v>
      </c>
      <c r="B1300" s="18" t="s">
        <v>324</v>
      </c>
      <c r="C1300" t="s">
        <v>369</v>
      </c>
      <c r="D1300" s="23" t="s">
        <v>338</v>
      </c>
      <c r="E1300" t="s">
        <v>244</v>
      </c>
      <c r="F1300" t="s">
        <v>245</v>
      </c>
      <c r="G1300">
        <v>-10</v>
      </c>
      <c r="H1300">
        <v>0</v>
      </c>
      <c r="I1300">
        <v>0</v>
      </c>
      <c r="J1300">
        <v>0.45</v>
      </c>
      <c r="K1300">
        <v>-10</v>
      </c>
      <c r="L1300">
        <v>0</v>
      </c>
      <c r="M1300">
        <v>5</v>
      </c>
      <c r="N1300">
        <v>0</v>
      </c>
      <c r="O1300">
        <v>2.5</v>
      </c>
      <c r="P1300"/>
      <c r="Q1300">
        <v>0.25</v>
      </c>
      <c r="R1300">
        <v>0.70163625501320204</v>
      </c>
      <c r="S1300" s="1" t="str">
        <f>VLOOKUP($E1300,'Product Naming'!$A$1:$P$58,2,FALSE)</f>
        <v>Isobutyrate</v>
      </c>
      <c r="T1300" s="1" t="str">
        <f>VLOOKUP($E1300,'Product Naming'!$A$1:$P$58,3,FALSE)</f>
        <v>Isobutyrate</v>
      </c>
      <c r="U1300" s="1" t="str">
        <f>VLOOKUP($E1300,'Product Naming'!$A$1:$P$58,4,FALSE)</f>
        <v>A</v>
      </c>
      <c r="V1300" s="1" t="str">
        <f>VLOOKUP($E1300,'Product Naming'!$A$1:$P$58,5,FALSE)</f>
        <v>C4H7O2</v>
      </c>
      <c r="W1300" s="1">
        <f>VLOOKUP($E1300,'Product Naming'!$A$1:$P$58,6,FALSE)</f>
        <v>4</v>
      </c>
      <c r="X1300" s="1">
        <f>VLOOKUP($E1300,'Product Naming'!$A$1:$P$58,7,FALSE)</f>
        <v>7</v>
      </c>
      <c r="Y1300" s="1">
        <f>VLOOKUP($E1300,'Product Naming'!$A$1:$P$58,8,FALSE)</f>
        <v>2</v>
      </c>
      <c r="Z1300" s="1">
        <f>VLOOKUP($E1300,'Product Naming'!$A$1:$P$58,9,FALSE)</f>
        <v>0</v>
      </c>
      <c r="AA1300" s="1">
        <f>VLOOKUP($E1300,'Product Naming'!$A$1:$P$58,10,FALSE)</f>
        <v>-1</v>
      </c>
      <c r="AB1300" s="29">
        <f>VLOOKUP($E1300,'Product Naming'!$A$1:$P$58,11,FALSE)</f>
        <v>4.75</v>
      </c>
      <c r="AC1300" s="3">
        <f>VLOOKUP($E1300,'Product Naming'!$A$1:$P$58,12,FALSE)</f>
        <v>87.095680000000002</v>
      </c>
      <c r="AD1300" s="1">
        <f>VLOOKUP($E1300,'Product Naming'!$A$1:$P$58,13,FALSE)</f>
        <v>155</v>
      </c>
      <c r="AE1300" s="1" t="str">
        <f>VLOOKUP($E1300,'Product Naming'!$A$1:$P$58,14,FALSE)</f>
        <v>Carboxylate</v>
      </c>
      <c r="AF1300" s="1" t="str">
        <f>VLOOKUP($E1300,'Product Naming'!$A$1:$P$58,15,FALSE)</f>
        <v>Pyruvate</v>
      </c>
      <c r="AG1300" s="30" t="str">
        <f>VLOOKUP($E1300,'Product Naming'!$A$1:$P$58,16,FALSE)</f>
        <v>Proton symporter</v>
      </c>
      <c r="AH1300" s="3" t="str">
        <f>VLOOKUP($E1300,'Product Naming'!$A$1:$Q$58,17,FALSE)</f>
        <v>ibt_c</v>
      </c>
      <c r="AI1300" s="1">
        <f>VLOOKUP($E1300,'Product Parameters'!$A$2:$D$59,2,FALSE)</f>
        <v>1</v>
      </c>
      <c r="AJ1300" s="1">
        <f>VLOOKUP($E1300,'Product Parameters'!$A$2:$D$59,3,FALSE)</f>
        <v>0</v>
      </c>
      <c r="AK1300" s="1">
        <f>VLOOKUP($E1300,'Product Parameters'!$A$2:$D$59,4,FALSE)</f>
        <v>0.12</v>
      </c>
      <c r="AL1300" s="1">
        <f>VLOOKUP($E1300,'Product Parameters'!$A$2:$E$59,5,FALSE)</f>
        <v>44.5</v>
      </c>
      <c r="AM1300" s="1">
        <f>VLOOKUP($E1300,'Product Parameters'!$A$2:$F$59,6,FALSE)</f>
        <v>4</v>
      </c>
      <c r="AN1300" s="1">
        <f>VLOOKUP($C1300,'Substrate Heating'!$A$2:$C$33,3,FALSE)</f>
        <v>638.57832580000002</v>
      </c>
      <c r="AO1300" s="1">
        <f>VLOOKUP($C1300,'Substrate Heating'!$A$2:$B$33,2,FALSE)</f>
        <v>19.93</v>
      </c>
      <c r="AP1300" s="1">
        <f>VLOOKUP($C1300,'Substrate Heating'!$A$2:$M$33,13,FALSE)</f>
        <v>6</v>
      </c>
      <c r="AQ1300" s="1">
        <f>VLOOKUP($C1300,'Substrate Heating'!$A$2:$M$33,8,FALSE)</f>
        <v>1</v>
      </c>
      <c r="AR1300" s="1">
        <f t="shared" si="20"/>
        <v>1</v>
      </c>
    </row>
    <row r="1301" spans="1:44" x14ac:dyDescent="0.2">
      <c r="A1301" s="8" t="s">
        <v>792</v>
      </c>
      <c r="B1301" s="18" t="s">
        <v>324</v>
      </c>
      <c r="C1301" t="s">
        <v>371</v>
      </c>
      <c r="D1301" s="23" t="s">
        <v>338</v>
      </c>
      <c r="E1301" t="s">
        <v>244</v>
      </c>
      <c r="F1301" t="s">
        <v>245</v>
      </c>
      <c r="G1301">
        <v>-10</v>
      </c>
      <c r="H1301">
        <v>0</v>
      </c>
      <c r="I1301">
        <v>0</v>
      </c>
      <c r="J1301">
        <v>0.45</v>
      </c>
      <c r="K1301">
        <v>-10</v>
      </c>
      <c r="L1301">
        <v>0</v>
      </c>
      <c r="M1301">
        <v>5</v>
      </c>
      <c r="N1301">
        <v>0</v>
      </c>
      <c r="O1301">
        <v>2.5</v>
      </c>
      <c r="P1301"/>
      <c r="Q1301">
        <v>0.25</v>
      </c>
      <c r="R1301">
        <v>0.70163625501320204</v>
      </c>
      <c r="S1301" s="1" t="str">
        <f>VLOOKUP($E1301,'Product Naming'!$A$1:$P$58,2,FALSE)</f>
        <v>Isobutyrate</v>
      </c>
      <c r="T1301" s="1" t="str">
        <f>VLOOKUP($E1301,'Product Naming'!$A$1:$P$58,3,FALSE)</f>
        <v>Isobutyrate</v>
      </c>
      <c r="U1301" s="1" t="str">
        <f>VLOOKUP($E1301,'Product Naming'!$A$1:$P$58,4,FALSE)</f>
        <v>A</v>
      </c>
      <c r="V1301" s="1" t="str">
        <f>VLOOKUP($E1301,'Product Naming'!$A$1:$P$58,5,FALSE)</f>
        <v>C4H7O2</v>
      </c>
      <c r="W1301" s="1">
        <f>VLOOKUP($E1301,'Product Naming'!$A$1:$P$58,6,FALSE)</f>
        <v>4</v>
      </c>
      <c r="X1301" s="1">
        <f>VLOOKUP($E1301,'Product Naming'!$A$1:$P$58,7,FALSE)</f>
        <v>7</v>
      </c>
      <c r="Y1301" s="1">
        <f>VLOOKUP($E1301,'Product Naming'!$A$1:$P$58,8,FALSE)</f>
        <v>2</v>
      </c>
      <c r="Z1301" s="1">
        <f>VLOOKUP($E1301,'Product Naming'!$A$1:$P$58,9,FALSE)</f>
        <v>0</v>
      </c>
      <c r="AA1301" s="1">
        <f>VLOOKUP($E1301,'Product Naming'!$A$1:$P$58,10,FALSE)</f>
        <v>-1</v>
      </c>
      <c r="AB1301" s="29">
        <f>VLOOKUP($E1301,'Product Naming'!$A$1:$P$58,11,FALSE)</f>
        <v>4.75</v>
      </c>
      <c r="AC1301" s="3">
        <f>VLOOKUP($E1301,'Product Naming'!$A$1:$P$58,12,FALSE)</f>
        <v>87.095680000000002</v>
      </c>
      <c r="AD1301" s="1">
        <f>VLOOKUP($E1301,'Product Naming'!$A$1:$P$58,13,FALSE)</f>
        <v>155</v>
      </c>
      <c r="AE1301" s="1" t="str">
        <f>VLOOKUP($E1301,'Product Naming'!$A$1:$P$58,14,FALSE)</f>
        <v>Carboxylate</v>
      </c>
      <c r="AF1301" s="1" t="str">
        <f>VLOOKUP($E1301,'Product Naming'!$A$1:$P$58,15,FALSE)</f>
        <v>Pyruvate</v>
      </c>
      <c r="AG1301" s="30" t="str">
        <f>VLOOKUP($E1301,'Product Naming'!$A$1:$P$58,16,FALSE)</f>
        <v>Proton symporter</v>
      </c>
      <c r="AH1301" s="3" t="str">
        <f>VLOOKUP($E1301,'Product Naming'!$A$1:$Q$58,17,FALSE)</f>
        <v>ibt_c</v>
      </c>
      <c r="AI1301" s="1">
        <f>VLOOKUP($E1301,'Product Parameters'!$A$2:$D$59,2,FALSE)</f>
        <v>1</v>
      </c>
      <c r="AJ1301" s="1">
        <f>VLOOKUP($E1301,'Product Parameters'!$A$2:$D$59,3,FALSE)</f>
        <v>0</v>
      </c>
      <c r="AK1301" s="1">
        <f>VLOOKUP($E1301,'Product Parameters'!$A$2:$D$59,4,FALSE)</f>
        <v>0.12</v>
      </c>
      <c r="AL1301" s="1">
        <f>VLOOKUP($E1301,'Product Parameters'!$A$2:$E$59,5,FALSE)</f>
        <v>44.5</v>
      </c>
      <c r="AM1301" s="1">
        <f>VLOOKUP($E1301,'Product Parameters'!$A$2:$F$59,6,FALSE)</f>
        <v>4</v>
      </c>
      <c r="AN1301" s="1">
        <f>VLOOKUP($C1301,'Substrate Heating'!$A$2:$C$33,3,FALSE)</f>
        <v>638.57832580000002</v>
      </c>
      <c r="AO1301" s="1">
        <f>VLOOKUP($C1301,'Substrate Heating'!$A$2:$B$33,2,FALSE)</f>
        <v>19.93</v>
      </c>
      <c r="AP1301" s="1">
        <f>VLOOKUP($C1301,'Substrate Heating'!$A$2:$M$33,13,FALSE)</f>
        <v>6</v>
      </c>
      <c r="AQ1301" s="1">
        <f>VLOOKUP($C1301,'Substrate Heating'!$A$2:$M$33,8,FALSE)</f>
        <v>1</v>
      </c>
      <c r="AR1301" s="1">
        <f t="shared" si="20"/>
        <v>1</v>
      </c>
    </row>
    <row r="1302" spans="1:44" x14ac:dyDescent="0.2">
      <c r="A1302" s="8" t="s">
        <v>792</v>
      </c>
      <c r="B1302" s="18" t="s">
        <v>324</v>
      </c>
      <c r="C1302" t="s">
        <v>372</v>
      </c>
      <c r="D1302" s="23" t="s">
        <v>338</v>
      </c>
      <c r="E1302" t="s">
        <v>244</v>
      </c>
      <c r="F1302" t="s">
        <v>245</v>
      </c>
      <c r="G1302">
        <v>-10</v>
      </c>
      <c r="H1302">
        <v>0</v>
      </c>
      <c r="I1302">
        <v>0</v>
      </c>
      <c r="J1302">
        <v>0.45</v>
      </c>
      <c r="K1302">
        <v>-10</v>
      </c>
      <c r="L1302">
        <v>0</v>
      </c>
      <c r="M1302">
        <v>5</v>
      </c>
      <c r="N1302">
        <v>0</v>
      </c>
      <c r="O1302">
        <v>2.5</v>
      </c>
      <c r="P1302"/>
      <c r="Q1302">
        <v>0.25</v>
      </c>
      <c r="R1302">
        <v>0.70163625501320204</v>
      </c>
      <c r="S1302" s="1" t="str">
        <f>VLOOKUP($E1302,'Product Naming'!$A$1:$P$58,2,FALSE)</f>
        <v>Isobutyrate</v>
      </c>
      <c r="T1302" s="1" t="str">
        <f>VLOOKUP($E1302,'Product Naming'!$A$1:$P$58,3,FALSE)</f>
        <v>Isobutyrate</v>
      </c>
      <c r="U1302" s="1" t="str">
        <f>VLOOKUP($E1302,'Product Naming'!$A$1:$P$58,4,FALSE)</f>
        <v>A</v>
      </c>
      <c r="V1302" s="1" t="str">
        <f>VLOOKUP($E1302,'Product Naming'!$A$1:$P$58,5,FALSE)</f>
        <v>C4H7O2</v>
      </c>
      <c r="W1302" s="1">
        <f>VLOOKUP($E1302,'Product Naming'!$A$1:$P$58,6,FALSE)</f>
        <v>4</v>
      </c>
      <c r="X1302" s="1">
        <f>VLOOKUP($E1302,'Product Naming'!$A$1:$P$58,7,FALSE)</f>
        <v>7</v>
      </c>
      <c r="Y1302" s="1">
        <f>VLOOKUP($E1302,'Product Naming'!$A$1:$P$58,8,FALSE)</f>
        <v>2</v>
      </c>
      <c r="Z1302" s="1">
        <f>VLOOKUP($E1302,'Product Naming'!$A$1:$P$58,9,FALSE)</f>
        <v>0</v>
      </c>
      <c r="AA1302" s="1">
        <f>VLOOKUP($E1302,'Product Naming'!$A$1:$P$58,10,FALSE)</f>
        <v>-1</v>
      </c>
      <c r="AB1302" s="29">
        <f>VLOOKUP($E1302,'Product Naming'!$A$1:$P$58,11,FALSE)</f>
        <v>4.75</v>
      </c>
      <c r="AC1302" s="3">
        <f>VLOOKUP($E1302,'Product Naming'!$A$1:$P$58,12,FALSE)</f>
        <v>87.095680000000002</v>
      </c>
      <c r="AD1302" s="1">
        <f>VLOOKUP($E1302,'Product Naming'!$A$1:$P$58,13,FALSE)</f>
        <v>155</v>
      </c>
      <c r="AE1302" s="1" t="str">
        <f>VLOOKUP($E1302,'Product Naming'!$A$1:$P$58,14,FALSE)</f>
        <v>Carboxylate</v>
      </c>
      <c r="AF1302" s="1" t="str">
        <f>VLOOKUP($E1302,'Product Naming'!$A$1:$P$58,15,FALSE)</f>
        <v>Pyruvate</v>
      </c>
      <c r="AG1302" s="30" t="str">
        <f>VLOOKUP($E1302,'Product Naming'!$A$1:$P$58,16,FALSE)</f>
        <v>Proton symporter</v>
      </c>
      <c r="AH1302" s="3" t="str">
        <f>VLOOKUP($E1302,'Product Naming'!$A$1:$Q$58,17,FALSE)</f>
        <v>ibt_c</v>
      </c>
      <c r="AI1302" s="1">
        <f>VLOOKUP($E1302,'Product Parameters'!$A$2:$D$59,2,FALSE)</f>
        <v>1</v>
      </c>
      <c r="AJ1302" s="1">
        <f>VLOOKUP($E1302,'Product Parameters'!$A$2:$D$59,3,FALSE)</f>
        <v>0</v>
      </c>
      <c r="AK1302" s="1">
        <f>VLOOKUP($E1302,'Product Parameters'!$A$2:$D$59,4,FALSE)</f>
        <v>0.12</v>
      </c>
      <c r="AL1302" s="1">
        <f>VLOOKUP($E1302,'Product Parameters'!$A$2:$E$59,5,FALSE)</f>
        <v>44.5</v>
      </c>
      <c r="AM1302" s="1">
        <f>VLOOKUP($E1302,'Product Parameters'!$A$2:$F$59,6,FALSE)</f>
        <v>4</v>
      </c>
      <c r="AN1302" s="1">
        <f>VLOOKUP($C1302,'Substrate Heating'!$A$2:$C$33,3,FALSE)</f>
        <v>638.57832580000002</v>
      </c>
      <c r="AO1302" s="1">
        <f>VLOOKUP($C1302,'Substrate Heating'!$A$2:$B$33,2,FALSE)</f>
        <v>19.93</v>
      </c>
      <c r="AP1302" s="1">
        <f>VLOOKUP($C1302,'Substrate Heating'!$A$2:$M$33,13,FALSE)</f>
        <v>6</v>
      </c>
      <c r="AQ1302" s="1">
        <f>VLOOKUP($C1302,'Substrate Heating'!$A$2:$M$33,8,FALSE)</f>
        <v>1</v>
      </c>
      <c r="AR1302" s="1">
        <f t="shared" si="20"/>
        <v>1</v>
      </c>
    </row>
    <row r="1303" spans="1:44" x14ac:dyDescent="0.2">
      <c r="A1303" s="8" t="s">
        <v>34</v>
      </c>
      <c r="B1303" s="9" t="s">
        <v>35</v>
      </c>
      <c r="C1303" s="1" t="s">
        <v>332</v>
      </c>
      <c r="D1303" s="10" t="s">
        <v>37</v>
      </c>
      <c r="E1303" s="1" t="s">
        <v>136</v>
      </c>
      <c r="F1303" s="1" t="s">
        <v>137</v>
      </c>
      <c r="G1303" s="1">
        <v>-10</v>
      </c>
      <c r="H1303" s="1">
        <v>-20</v>
      </c>
      <c r="I1303" s="1" t="s">
        <v>40</v>
      </c>
      <c r="J1303" s="1">
        <v>3.15</v>
      </c>
      <c r="K1303" s="1">
        <v>-10</v>
      </c>
      <c r="L1303" s="1">
        <v>-9.8329918032786807</v>
      </c>
      <c r="M1303" s="1" t="s">
        <v>40</v>
      </c>
      <c r="N1303" s="1">
        <v>1.17745901639342</v>
      </c>
      <c r="O1303" s="1">
        <v>2.6889344262295101</v>
      </c>
      <c r="Q1303" s="1">
        <v>0.26889344262295001</v>
      </c>
      <c r="R1303" s="1">
        <v>0.70692553161831995</v>
      </c>
      <c r="S1303" s="1" t="str">
        <f>VLOOKUP($E1303,'Product Naming'!$A$1:$P$58,2,FALSE)</f>
        <v>Benzoate-PW1</v>
      </c>
      <c r="T1303" s="1" t="str">
        <f>VLOOKUP($E1303,'Product Naming'!$A$1:$P$58,3,FALSE)</f>
        <v>Benzoate (PW1)</v>
      </c>
      <c r="U1303" s="1" t="str">
        <f>VLOOKUP($E1303,'Product Naming'!$A$1:$P$58,4,FALSE)</f>
        <v>A</v>
      </c>
      <c r="V1303" s="1" t="str">
        <f>VLOOKUP($E1303,'Product Naming'!$A$1:$P$58,5,FALSE)</f>
        <v>C7H5O2</v>
      </c>
      <c r="W1303" s="1">
        <f>VLOOKUP($E1303,'Product Naming'!$A$1:$P$58,6,FALSE)</f>
        <v>7</v>
      </c>
      <c r="X1303" s="1">
        <f>VLOOKUP($E1303,'Product Naming'!$A$1:$P$58,7,FALSE)</f>
        <v>5</v>
      </c>
      <c r="Y1303" s="1">
        <f>VLOOKUP($E1303,'Product Naming'!$A$1:$P$58,8,FALSE)</f>
        <v>2</v>
      </c>
      <c r="Z1303" s="1">
        <f>VLOOKUP($E1303,'Product Naming'!$A$1:$P$58,9,FALSE)</f>
        <v>0</v>
      </c>
      <c r="AA1303" s="1">
        <f>VLOOKUP($E1303,'Product Naming'!$A$1:$P$58,10,FALSE)</f>
        <v>-1</v>
      </c>
      <c r="AB1303" s="29">
        <f>VLOOKUP($E1303,'Product Naming'!$A$1:$P$58,11,FALSE)</f>
        <v>4.1428571428571432</v>
      </c>
      <c r="AC1303" s="3">
        <f>VLOOKUP($E1303,'Product Naming'!$A$1:$P$58,12,FALSE)</f>
        <v>121.1121</v>
      </c>
      <c r="AD1303" s="1">
        <f>VLOOKUP($E1303,'Product Naming'!$A$1:$P$58,13,FALSE)</f>
        <v>249.2</v>
      </c>
      <c r="AE1303" s="1" t="str">
        <f>VLOOKUP($E1303,'Product Naming'!$A$1:$P$58,14,FALSE)</f>
        <v>Aromatic + Carboxylate</v>
      </c>
      <c r="AF1303" s="1" t="str">
        <f>VLOOKUP($E1303,'Product Naming'!$A$1:$P$58,15,FALSE)</f>
        <v>E4P + aKG</v>
      </c>
      <c r="AG1303" s="30" t="str">
        <f>VLOOKUP($E1303,'Product Naming'!$A$1:$P$58,16,FALSE)</f>
        <v>Proton symporter</v>
      </c>
      <c r="AH1303" s="3" t="str">
        <f>VLOOKUP($E1303,'Product Naming'!$A$1:$Q$58,17,FALSE)</f>
        <v>bz_c</v>
      </c>
      <c r="AI1303" s="1">
        <f>VLOOKUP($E1303,'Product Parameters'!$A$2:$D$59,2,FALSE)</f>
        <v>1</v>
      </c>
      <c r="AJ1303" s="1">
        <f>VLOOKUP($E1303,'Product Parameters'!$A$2:$D$59,3,FALSE)</f>
        <v>0</v>
      </c>
      <c r="AK1303" s="1">
        <f>VLOOKUP($E1303,'Product Parameters'!$A$2:$D$59,4,FALSE)</f>
        <v>0.12</v>
      </c>
      <c r="AL1303" s="1">
        <f>VLOOKUP($E1303,'Product Parameters'!$A$2:$E$59,5,FALSE)</f>
        <v>40.65</v>
      </c>
      <c r="AM1303" s="1">
        <f>VLOOKUP($E1303,'Product Parameters'!$A$2:$F$59,6,FALSE)</f>
        <v>7</v>
      </c>
      <c r="AN1303" s="1">
        <f>VLOOKUP($C1303,'Substrate Heating'!$A$2:$C$33,3,FALSE)</f>
        <v>1230.0006480000002</v>
      </c>
      <c r="AO1303" s="1">
        <f>VLOOKUP($C1303,'Substrate Heating'!$A$2:$B$33,2,FALSE)</f>
        <v>26.7</v>
      </c>
      <c r="AP1303" s="1">
        <f>VLOOKUP($C1303,'Substrate Heating'!$A$2:$M$33,13,FALSE)</f>
        <v>6</v>
      </c>
      <c r="AQ1303" s="1">
        <f>VLOOKUP($C1303,'Substrate Heating'!$A$2:$M$33,8,FALSE)</f>
        <v>2</v>
      </c>
      <c r="AR1303" s="1">
        <f t="shared" si="20"/>
        <v>0.94112704918032497</v>
      </c>
    </row>
    <row r="1304" spans="1:44" x14ac:dyDescent="0.2">
      <c r="A1304" s="8" t="s">
        <v>34</v>
      </c>
      <c r="B1304" s="9" t="s">
        <v>35</v>
      </c>
      <c r="C1304" s="1" t="s">
        <v>332</v>
      </c>
      <c r="D1304" s="10" t="s">
        <v>37</v>
      </c>
      <c r="E1304" s="1" t="s">
        <v>143</v>
      </c>
      <c r="F1304" s="1" t="s">
        <v>137</v>
      </c>
      <c r="G1304" s="1">
        <v>-10</v>
      </c>
      <c r="H1304" s="1">
        <v>-20</v>
      </c>
      <c r="I1304" s="1" t="s">
        <v>40</v>
      </c>
      <c r="J1304" s="1">
        <v>3.15</v>
      </c>
      <c r="K1304" s="1">
        <v>-10</v>
      </c>
      <c r="L1304" s="1">
        <v>-9.8329918032786896</v>
      </c>
      <c r="M1304" s="1" t="s">
        <v>40</v>
      </c>
      <c r="N1304" s="1">
        <v>1.17745901639344</v>
      </c>
      <c r="O1304" s="1">
        <v>2.6889344262295101</v>
      </c>
      <c r="Q1304" s="1">
        <v>0.26889344262295101</v>
      </c>
      <c r="R1304" s="1">
        <v>0.70692553161831995</v>
      </c>
      <c r="S1304" s="1" t="str">
        <f>VLOOKUP($E1304,'Product Naming'!$A$1:$P$58,2,FALSE)</f>
        <v>Benzoate-PW2</v>
      </c>
      <c r="T1304" s="1" t="str">
        <f>VLOOKUP($E1304,'Product Naming'!$A$1:$P$58,3,FALSE)</f>
        <v>Benzoate (PW2)</v>
      </c>
      <c r="U1304" s="1" t="str">
        <f>VLOOKUP($E1304,'Product Naming'!$A$1:$P$58,4,FALSE)</f>
        <v>A</v>
      </c>
      <c r="V1304" s="1" t="str">
        <f>VLOOKUP($E1304,'Product Naming'!$A$1:$P$58,5,FALSE)</f>
        <v>C7H5O2</v>
      </c>
      <c r="W1304" s="1">
        <f>VLOOKUP($E1304,'Product Naming'!$A$1:$P$58,6,FALSE)</f>
        <v>7</v>
      </c>
      <c r="X1304" s="1">
        <f>VLOOKUP($E1304,'Product Naming'!$A$1:$P$58,7,FALSE)</f>
        <v>5</v>
      </c>
      <c r="Y1304" s="1">
        <f>VLOOKUP($E1304,'Product Naming'!$A$1:$P$58,8,FALSE)</f>
        <v>2</v>
      </c>
      <c r="Z1304" s="1">
        <f>VLOOKUP($E1304,'Product Naming'!$A$1:$P$58,9,FALSE)</f>
        <v>0</v>
      </c>
      <c r="AA1304" s="1">
        <f>VLOOKUP($E1304,'Product Naming'!$A$1:$P$58,10,FALSE)</f>
        <v>-1</v>
      </c>
      <c r="AB1304" s="29">
        <f>VLOOKUP($E1304,'Product Naming'!$A$1:$P$58,11,FALSE)</f>
        <v>4.1428571428571432</v>
      </c>
      <c r="AC1304" s="3">
        <f>VLOOKUP($E1304,'Product Naming'!$A$1:$P$58,12,FALSE)</f>
        <v>121.1121</v>
      </c>
      <c r="AD1304" s="1">
        <f>VLOOKUP($E1304,'Product Naming'!$A$1:$P$58,13,FALSE)</f>
        <v>249.2</v>
      </c>
      <c r="AE1304" s="1" t="str">
        <f>VLOOKUP($E1304,'Product Naming'!$A$1:$P$58,14,FALSE)</f>
        <v>Aromatic + Carboxylate</v>
      </c>
      <c r="AF1304" s="1" t="str">
        <f>VLOOKUP($E1304,'Product Naming'!$A$1:$P$58,15,FALSE)</f>
        <v>E4P + aKG</v>
      </c>
      <c r="AG1304" s="30" t="str">
        <f>VLOOKUP($E1304,'Product Naming'!$A$1:$P$58,16,FALSE)</f>
        <v>Proton symporter</v>
      </c>
      <c r="AH1304" s="3" t="str">
        <f>VLOOKUP($E1304,'Product Naming'!$A$1:$Q$58,17,FALSE)</f>
        <v>bz_c</v>
      </c>
      <c r="AI1304" s="1">
        <f>VLOOKUP($E1304,'Product Parameters'!$A$2:$D$59,2,FALSE)</f>
        <v>1</v>
      </c>
      <c r="AJ1304" s="1">
        <f>VLOOKUP($E1304,'Product Parameters'!$A$2:$D$59,3,FALSE)</f>
        <v>0</v>
      </c>
      <c r="AK1304" s="1">
        <f>VLOOKUP($E1304,'Product Parameters'!$A$2:$D$59,4,FALSE)</f>
        <v>0.12</v>
      </c>
      <c r="AL1304" s="1">
        <f>VLOOKUP($E1304,'Product Parameters'!$A$2:$E$59,5,FALSE)</f>
        <v>40.65</v>
      </c>
      <c r="AM1304" s="1">
        <f>VLOOKUP($E1304,'Product Parameters'!$A$2:$F$59,6,FALSE)</f>
        <v>7</v>
      </c>
      <c r="AN1304" s="1">
        <f>VLOOKUP($C1304,'Substrate Heating'!$A$2:$C$33,3,FALSE)</f>
        <v>1230.0006480000002</v>
      </c>
      <c r="AO1304" s="1">
        <f>VLOOKUP($C1304,'Substrate Heating'!$A$2:$B$33,2,FALSE)</f>
        <v>26.7</v>
      </c>
      <c r="AP1304" s="1">
        <f>VLOOKUP($C1304,'Substrate Heating'!$A$2:$M$33,13,FALSE)</f>
        <v>6</v>
      </c>
      <c r="AQ1304" s="1">
        <f>VLOOKUP($C1304,'Substrate Heating'!$A$2:$M$33,8,FALSE)</f>
        <v>2</v>
      </c>
      <c r="AR1304" s="1">
        <f t="shared" si="20"/>
        <v>0.94112704918032852</v>
      </c>
    </row>
    <row r="1305" spans="1:44" x14ac:dyDescent="0.2">
      <c r="A1305" s="17" t="s">
        <v>323</v>
      </c>
      <c r="B1305" s="18" t="s">
        <v>324</v>
      </c>
      <c r="C1305" t="s">
        <v>329</v>
      </c>
      <c r="D1305" s="19" t="s">
        <v>326</v>
      </c>
      <c r="E1305" t="s">
        <v>198</v>
      </c>
      <c r="F1305" t="s">
        <v>199</v>
      </c>
      <c r="G1305">
        <v>-10</v>
      </c>
      <c r="H1305">
        <v>0</v>
      </c>
      <c r="I1305">
        <v>-20</v>
      </c>
      <c r="J1305">
        <v>0.45</v>
      </c>
      <c r="K1305">
        <v>-10</v>
      </c>
      <c r="L1305">
        <v>0</v>
      </c>
      <c r="M1305">
        <v>-15</v>
      </c>
      <c r="N1305">
        <v>0</v>
      </c>
      <c r="O1305">
        <v>2.5</v>
      </c>
      <c r="P1305"/>
      <c r="Q1305">
        <v>0.25</v>
      </c>
      <c r="R1305" s="20">
        <v>0.70959664948453605</v>
      </c>
      <c r="S1305" s="1" t="str">
        <f>VLOOKUP($E1305,'Product Naming'!$A$1:$P$58,2,FALSE)</f>
        <v>EthylAcetate</v>
      </c>
      <c r="T1305" s="1" t="str">
        <f>VLOOKUP($E1305,'Product Naming'!$A$1:$P$58,3,FALSE)</f>
        <v>Ethyl acetate</v>
      </c>
      <c r="U1305" s="1" t="str">
        <f>VLOOKUP($E1305,'Product Naming'!$A$1:$P$58,4,FALSE)</f>
        <v>E</v>
      </c>
      <c r="V1305" s="1" t="str">
        <f>VLOOKUP($E1305,'Product Naming'!$A$1:$P$58,5,FALSE)</f>
        <v>C4H8O2</v>
      </c>
      <c r="W1305" s="1">
        <f>VLOOKUP($E1305,'Product Naming'!$A$1:$P$58,6,FALSE)</f>
        <v>4</v>
      </c>
      <c r="X1305" s="1">
        <f>VLOOKUP($E1305,'Product Naming'!$A$1:$P$58,7,FALSE)</f>
        <v>8</v>
      </c>
      <c r="Y1305" s="1">
        <f>VLOOKUP($E1305,'Product Naming'!$A$1:$P$58,8,FALSE)</f>
        <v>2</v>
      </c>
      <c r="Z1305" s="1">
        <f>VLOOKUP($E1305,'Product Naming'!$A$1:$P$58,9,FALSE)</f>
        <v>0</v>
      </c>
      <c r="AA1305" s="1">
        <f>VLOOKUP($E1305,'Product Naming'!$A$1:$P$58,10,FALSE)</f>
        <v>0</v>
      </c>
      <c r="AB1305" s="29">
        <f>VLOOKUP($E1305,'Product Naming'!$A$1:$P$58,11,FALSE)</f>
        <v>5</v>
      </c>
      <c r="AC1305" s="3">
        <f>VLOOKUP($E1305,'Product Naming'!$A$1:$P$58,12,FALSE)</f>
        <v>88.103520000000003</v>
      </c>
      <c r="AD1305" s="1">
        <f>VLOOKUP($E1305,'Product Naming'!$A$1:$P$58,13,FALSE)</f>
        <v>77.099999999999994</v>
      </c>
      <c r="AE1305" s="1" t="str">
        <f>VLOOKUP($E1305,'Product Naming'!$A$1:$P$58,14,FALSE)</f>
        <v>Carboxylate Ester</v>
      </c>
      <c r="AF1305" s="1" t="str">
        <f>VLOOKUP($E1305,'Product Naming'!$A$1:$P$58,15,FALSE)</f>
        <v>Acetyl-CoA</v>
      </c>
      <c r="AG1305" s="30" t="str">
        <f>VLOOKUP($E1305,'Product Naming'!$A$1:$P$58,16,FALSE)</f>
        <v>Proton symporter</v>
      </c>
      <c r="AH1305" s="3" t="str">
        <f>VLOOKUP($E1305,'Product Naming'!$A$1:$Q$58,17,FALSE)</f>
        <v>aces_c</v>
      </c>
      <c r="AI1305" s="1">
        <f>VLOOKUP($E1305,'Product Parameters'!$A$2:$D$59,2,FALSE)</f>
        <v>1</v>
      </c>
      <c r="AJ1305" s="1">
        <f>VLOOKUP($E1305,'Product Parameters'!$A$2:$D$59,3,FALSE)</f>
        <v>0</v>
      </c>
      <c r="AK1305" s="1">
        <f>VLOOKUP($E1305,'Product Parameters'!$A$2:$D$59,4,FALSE)</f>
        <v>0.12</v>
      </c>
      <c r="AL1305" s="1">
        <f>VLOOKUP($E1305,'Product Parameters'!$A$2:$E$59,5,FALSE)</f>
        <v>35</v>
      </c>
      <c r="AM1305" s="1">
        <f>VLOOKUP($E1305,'Product Parameters'!$A$2:$F$59,6,FALSE)</f>
        <v>4</v>
      </c>
      <c r="AN1305" s="1">
        <f>VLOOKUP($C1305,'Substrate Heating'!$A$2:$C$33,3,FALSE)</f>
        <v>255.53333333333336</v>
      </c>
      <c r="AO1305" s="1">
        <f>VLOOKUP($C1305,'Substrate Heating'!$A$2:$B$33,2,FALSE)</f>
        <v>23.925550527978785</v>
      </c>
      <c r="AP1305" s="1">
        <f>VLOOKUP($C1305,'Substrate Heating'!$A$2:$M$33,13,FALSE)</f>
        <v>0.66666666666666663</v>
      </c>
      <c r="AQ1305" s="1">
        <f>VLOOKUP($C1305,'Substrate Heating'!$A$2:$M$33,8,FALSE)</f>
        <v>0.33333333333333331</v>
      </c>
      <c r="AR1305" s="1">
        <f t="shared" si="20"/>
        <v>3</v>
      </c>
    </row>
    <row r="1306" spans="1:44" x14ac:dyDescent="0.2">
      <c r="A1306" s="8" t="s">
        <v>34</v>
      </c>
      <c r="B1306" s="9" t="s">
        <v>35</v>
      </c>
      <c r="C1306" s="1" t="s">
        <v>343</v>
      </c>
      <c r="D1306" s="24" t="s">
        <v>342</v>
      </c>
      <c r="E1306" s="1" t="s">
        <v>180</v>
      </c>
      <c r="F1306" s="1" t="s">
        <v>181</v>
      </c>
      <c r="G1306" s="1">
        <v>-10</v>
      </c>
      <c r="H1306" s="1">
        <v>-20</v>
      </c>
      <c r="I1306" s="1" t="s">
        <v>40</v>
      </c>
      <c r="J1306" s="1">
        <v>3.15</v>
      </c>
      <c r="K1306" s="1">
        <v>-10</v>
      </c>
      <c r="L1306" s="1">
        <v>-9.1795454545454795</v>
      </c>
      <c r="M1306" s="1" t="s">
        <v>40</v>
      </c>
      <c r="N1306" s="1">
        <v>1.8322314049587001</v>
      </c>
      <c r="O1306" s="1">
        <v>4.6946280991735696</v>
      </c>
      <c r="Q1306" s="1">
        <v>0.469462809917357</v>
      </c>
      <c r="R1306" s="1">
        <v>0.71413887927882602</v>
      </c>
      <c r="S1306" s="1" t="str">
        <f>VLOOKUP($E1306,'Product Naming'!$A$1:$P$58,2,FALSE)</f>
        <v>ciscisMuconate</v>
      </c>
      <c r="T1306" s="1" t="str">
        <f>VLOOKUP($E1306,'Product Naming'!$A$1:$P$58,3,FALSE)</f>
        <v>cis,cis-Muconate</v>
      </c>
      <c r="U1306" s="1" t="str">
        <f>VLOOKUP($E1306,'Product Naming'!$A$1:$P$58,4,FALSE)</f>
        <v>A</v>
      </c>
      <c r="V1306" s="1" t="str">
        <f>VLOOKUP($E1306,'Product Naming'!$A$1:$P$58,5,FALSE)</f>
        <v>C6H4O4</v>
      </c>
      <c r="W1306" s="1">
        <f>VLOOKUP($E1306,'Product Naming'!$A$1:$P$58,6,FALSE)</f>
        <v>6</v>
      </c>
      <c r="X1306" s="1">
        <f>VLOOKUP($E1306,'Product Naming'!$A$1:$P$58,7,FALSE)</f>
        <v>4</v>
      </c>
      <c r="Y1306" s="1">
        <f>VLOOKUP($E1306,'Product Naming'!$A$1:$P$58,8,FALSE)</f>
        <v>4</v>
      </c>
      <c r="Z1306" s="1">
        <f>VLOOKUP($E1306,'Product Naming'!$A$1:$P$58,9,FALSE)</f>
        <v>0</v>
      </c>
      <c r="AA1306" s="1">
        <f>VLOOKUP($E1306,'Product Naming'!$A$1:$P$58,10,FALSE)</f>
        <v>-2</v>
      </c>
      <c r="AB1306" s="29">
        <f>VLOOKUP($E1306,'Product Naming'!$A$1:$P$58,11,FALSE)</f>
        <v>3.3333333333333335</v>
      </c>
      <c r="AC1306" s="3">
        <f>VLOOKUP($E1306,'Product Naming'!$A$1:$P$58,12,FALSE)</f>
        <v>140.09156000000002</v>
      </c>
      <c r="AD1306" s="1">
        <f>VLOOKUP($E1306,'Product Naming'!$A$1:$P$58,13,FALSE)</f>
        <v>345.4</v>
      </c>
      <c r="AE1306" s="1" t="str">
        <f>VLOOKUP($E1306,'Product Naming'!$A$1:$P$58,14,FALSE)</f>
        <v>Dicarboxylate</v>
      </c>
      <c r="AF1306" s="1" t="str">
        <f>VLOOKUP($E1306,'Product Naming'!$A$1:$P$58,15,FALSE)</f>
        <v>Glyceraldehyde 3-P</v>
      </c>
      <c r="AG1306" s="30" t="str">
        <f>VLOOKUP($E1306,'Product Naming'!$A$1:$P$58,16,FALSE)</f>
        <v>Proton symporter</v>
      </c>
      <c r="AH1306" s="3" t="str">
        <f>VLOOKUP($E1306,'Product Naming'!$A$1:$Q$58,17,FALSE)</f>
        <v>ccmuac_c</v>
      </c>
      <c r="AI1306" s="1">
        <f>VLOOKUP($E1306,'Product Parameters'!$A$2:$D$59,2,FALSE)</f>
        <v>1</v>
      </c>
      <c r="AJ1306" s="1">
        <f>VLOOKUP($E1306,'Product Parameters'!$A$2:$D$59,3,FALSE)</f>
        <v>0</v>
      </c>
      <c r="AK1306" s="1">
        <f>VLOOKUP($E1306,'Product Parameters'!$A$2:$D$59,4,FALSE)</f>
        <v>0.12</v>
      </c>
      <c r="AL1306" s="1">
        <f>VLOOKUP($E1306,'Product Parameters'!$A$2:$E$59,5,FALSE)</f>
        <v>40.65</v>
      </c>
      <c r="AM1306" s="1">
        <f>VLOOKUP($E1306,'Product Parameters'!$A$2:$F$59,6,FALSE)</f>
        <v>6</v>
      </c>
      <c r="AN1306" s="1">
        <f>VLOOKUP($C1306,'Substrate Heating'!$A$2:$C$33,3,FALSE)</f>
        <v>1648.4793779999998</v>
      </c>
      <c r="AO1306" s="1">
        <f>VLOOKUP($C1306,'Substrate Heating'!$A$2:$B$33,2,FALSE)</f>
        <v>17.899999999999999</v>
      </c>
      <c r="AP1306" s="1">
        <f>VLOOKUP($C1306,'Substrate Heating'!$A$2:$M$33,13,FALSE)</f>
        <v>4.666666666666667</v>
      </c>
      <c r="AQ1306" s="1">
        <f>VLOOKUP($C1306,'Substrate Heating'!$A$2:$M$33,8,FALSE)</f>
        <v>3</v>
      </c>
      <c r="AR1306" s="1">
        <f t="shared" si="20"/>
        <v>0.93892561983471401</v>
      </c>
    </row>
    <row r="1307" spans="1:44" x14ac:dyDescent="0.2">
      <c r="A1307" s="17" t="s">
        <v>323</v>
      </c>
      <c r="B1307" s="18" t="s">
        <v>324</v>
      </c>
      <c r="C1307" t="s">
        <v>329</v>
      </c>
      <c r="D1307" s="19" t="s">
        <v>326</v>
      </c>
      <c r="E1307" t="s">
        <v>38</v>
      </c>
      <c r="F1307" t="s">
        <v>39</v>
      </c>
      <c r="G1307">
        <v>-10</v>
      </c>
      <c r="H1307">
        <v>0</v>
      </c>
      <c r="I1307">
        <v>-20</v>
      </c>
      <c r="J1307">
        <v>0.45</v>
      </c>
      <c r="K1307">
        <v>-10</v>
      </c>
      <c r="L1307">
        <v>0</v>
      </c>
      <c r="M1307">
        <v>-17.5</v>
      </c>
      <c r="N1307">
        <v>0</v>
      </c>
      <c r="O1307">
        <v>2.5</v>
      </c>
      <c r="P1307"/>
      <c r="Q1307">
        <v>0.25</v>
      </c>
      <c r="R1307" s="20">
        <v>0.71421144396893299</v>
      </c>
      <c r="S1307" s="1" t="str">
        <f>VLOOKUP($E1307,'Product Naming'!$A$1:$P$58,2,FALSE)</f>
        <v>1-3-butanediol-PW1</v>
      </c>
      <c r="T1307" s="1" t="str">
        <f>VLOOKUP($E1307,'Product Naming'!$A$1:$P$58,3,FALSE)</f>
        <v>1,3-Butanediol (PW1)</v>
      </c>
      <c r="U1307" s="1" t="str">
        <f>VLOOKUP($E1307,'Product Naming'!$A$1:$P$58,4,FALSE)</f>
        <v>E</v>
      </c>
      <c r="V1307" s="1" t="str">
        <f>VLOOKUP($E1307,'Product Naming'!$A$1:$P$58,5,FALSE)</f>
        <v>C4H10O2</v>
      </c>
      <c r="W1307" s="1">
        <f>VLOOKUP($E1307,'Product Naming'!$A$1:$P$58,6,FALSE)</f>
        <v>4</v>
      </c>
      <c r="X1307" s="1">
        <f>VLOOKUP($E1307,'Product Naming'!$A$1:$P$58,7,FALSE)</f>
        <v>10</v>
      </c>
      <c r="Y1307" s="1">
        <f>VLOOKUP($E1307,'Product Naming'!$A$1:$P$58,8,FALSE)</f>
        <v>2</v>
      </c>
      <c r="Z1307" s="1">
        <f>VLOOKUP($E1307,'Product Naming'!$A$1:$P$58,9,FALSE)</f>
        <v>0</v>
      </c>
      <c r="AA1307" s="1">
        <f>VLOOKUP($E1307,'Product Naming'!$A$1:$P$58,10,FALSE)</f>
        <v>0</v>
      </c>
      <c r="AB1307" s="29">
        <f>VLOOKUP($E1307,'Product Naming'!$A$1:$P$58,11,FALSE)</f>
        <v>5.5</v>
      </c>
      <c r="AC1307" s="3">
        <f>VLOOKUP($E1307,'Product Naming'!$A$1:$P$58,12,FALSE)</f>
        <v>90.119200000000006</v>
      </c>
      <c r="AD1307" s="1">
        <f>VLOOKUP($E1307,'Product Naming'!$A$1:$P$58,13,FALSE)</f>
        <v>207</v>
      </c>
      <c r="AE1307" s="1" t="str">
        <f>VLOOKUP($E1307,'Product Naming'!$A$1:$P$58,14,FALSE)</f>
        <v>Diol</v>
      </c>
      <c r="AF1307" s="1" t="str">
        <f>VLOOKUP($E1307,'Product Naming'!$A$1:$P$58,15,FALSE)</f>
        <v>Acetyl-CoA</v>
      </c>
      <c r="AG1307" s="30" t="str">
        <f>VLOOKUP($E1307,'Product Naming'!$A$1:$P$58,16,FALSE)</f>
        <v>Proton symporter</v>
      </c>
      <c r="AH1307" s="3" t="str">
        <f>VLOOKUP($E1307,'Product Naming'!$A$1:$Q$58,17,FALSE)</f>
        <v>13bdo__R_c</v>
      </c>
      <c r="AI1307" s="1">
        <f>VLOOKUP($E1307,'Product Parameters'!$A$2:$D$59,2,FALSE)</f>
        <v>1</v>
      </c>
      <c r="AJ1307" s="1">
        <f>VLOOKUP($E1307,'Product Parameters'!$A$2:$D$59,3,FALSE)</f>
        <v>0</v>
      </c>
      <c r="AK1307" s="1">
        <f>VLOOKUP($E1307,'Product Parameters'!$A$2:$D$59,4,FALSE)</f>
        <v>0.12</v>
      </c>
      <c r="AL1307" s="1">
        <f>VLOOKUP($E1307,'Product Parameters'!$A$2:$E$59,5,FALSE)</f>
        <v>72.599999999999994</v>
      </c>
      <c r="AM1307" s="1">
        <f>VLOOKUP($E1307,'Product Parameters'!$A$2:$F$59,6,FALSE)</f>
        <v>4</v>
      </c>
      <c r="AN1307" s="1">
        <f>VLOOKUP($C1307,'Substrate Heating'!$A$2:$C$33,3,FALSE)</f>
        <v>255.53333333333336</v>
      </c>
      <c r="AO1307" s="1">
        <f>VLOOKUP($C1307,'Substrate Heating'!$A$2:$B$33,2,FALSE)</f>
        <v>23.925550527978785</v>
      </c>
      <c r="AP1307" s="1">
        <f>VLOOKUP($C1307,'Substrate Heating'!$A$2:$M$33,13,FALSE)</f>
        <v>0.66666666666666663</v>
      </c>
      <c r="AQ1307" s="1">
        <f>VLOOKUP($C1307,'Substrate Heating'!$A$2:$M$33,8,FALSE)</f>
        <v>0.33333333333333331</v>
      </c>
      <c r="AR1307" s="1">
        <f t="shared" si="20"/>
        <v>3</v>
      </c>
    </row>
    <row r="1308" spans="1:44" x14ac:dyDescent="0.2">
      <c r="A1308" s="17" t="s">
        <v>323</v>
      </c>
      <c r="B1308" s="18" t="s">
        <v>324</v>
      </c>
      <c r="C1308" t="s">
        <v>329</v>
      </c>
      <c r="D1308" s="19" t="s">
        <v>326</v>
      </c>
      <c r="E1308" t="s">
        <v>48</v>
      </c>
      <c r="F1308" t="s">
        <v>39</v>
      </c>
      <c r="G1308">
        <v>-10</v>
      </c>
      <c r="H1308">
        <v>0</v>
      </c>
      <c r="I1308">
        <v>-20</v>
      </c>
      <c r="J1308">
        <v>0.45</v>
      </c>
      <c r="K1308">
        <v>-10</v>
      </c>
      <c r="L1308">
        <v>0</v>
      </c>
      <c r="M1308">
        <v>-17.5</v>
      </c>
      <c r="N1308">
        <v>0</v>
      </c>
      <c r="O1308">
        <v>2.5</v>
      </c>
      <c r="P1308"/>
      <c r="Q1308">
        <v>0.25</v>
      </c>
      <c r="R1308" s="20">
        <v>0.71421144396893299</v>
      </c>
      <c r="S1308" s="1" t="str">
        <f>VLOOKUP($E1308,'Product Naming'!$A$1:$P$58,2,FALSE)</f>
        <v>1-3-butanediol-PW2</v>
      </c>
      <c r="T1308" s="1" t="str">
        <f>VLOOKUP($E1308,'Product Naming'!$A$1:$P$58,3,FALSE)</f>
        <v>1,3-Butanediol (PW2)</v>
      </c>
      <c r="U1308" s="1" t="str">
        <f>VLOOKUP($E1308,'Product Naming'!$A$1:$P$58,4,FALSE)</f>
        <v>E</v>
      </c>
      <c r="V1308" s="1" t="str">
        <f>VLOOKUP($E1308,'Product Naming'!$A$1:$P$58,5,FALSE)</f>
        <v>C4H10O2</v>
      </c>
      <c r="W1308" s="1">
        <f>VLOOKUP($E1308,'Product Naming'!$A$1:$P$58,6,FALSE)</f>
        <v>4</v>
      </c>
      <c r="X1308" s="1">
        <f>VLOOKUP($E1308,'Product Naming'!$A$1:$P$58,7,FALSE)</f>
        <v>10</v>
      </c>
      <c r="Y1308" s="1">
        <f>VLOOKUP($E1308,'Product Naming'!$A$1:$P$58,8,FALSE)</f>
        <v>2</v>
      </c>
      <c r="Z1308" s="1">
        <f>VLOOKUP($E1308,'Product Naming'!$A$1:$P$58,9,FALSE)</f>
        <v>0</v>
      </c>
      <c r="AA1308" s="1">
        <f>VLOOKUP($E1308,'Product Naming'!$A$1:$P$58,10,FALSE)</f>
        <v>0</v>
      </c>
      <c r="AB1308" s="29">
        <f>VLOOKUP($E1308,'Product Naming'!$A$1:$P$58,11,FALSE)</f>
        <v>5.5</v>
      </c>
      <c r="AC1308" s="3">
        <f>VLOOKUP($E1308,'Product Naming'!$A$1:$P$58,12,FALSE)</f>
        <v>90.119200000000006</v>
      </c>
      <c r="AD1308" s="1">
        <f>VLOOKUP($E1308,'Product Naming'!$A$1:$P$58,13,FALSE)</f>
        <v>207</v>
      </c>
      <c r="AE1308" s="1" t="str">
        <f>VLOOKUP($E1308,'Product Naming'!$A$1:$P$58,14,FALSE)</f>
        <v>Diol</v>
      </c>
      <c r="AF1308" s="1" t="str">
        <f>VLOOKUP($E1308,'Product Naming'!$A$1:$P$58,15,FALSE)</f>
        <v>Pyruvate (acetalehyde)</v>
      </c>
      <c r="AG1308" s="30" t="str">
        <f>VLOOKUP($E1308,'Product Naming'!$A$1:$P$58,16,FALSE)</f>
        <v>Proton symporter</v>
      </c>
      <c r="AH1308" s="3" t="str">
        <f>VLOOKUP($E1308,'Product Naming'!$A$1:$Q$58,17,FALSE)</f>
        <v>13bdo__R_c</v>
      </c>
      <c r="AI1308" s="1">
        <f>VLOOKUP($E1308,'Product Parameters'!$A$2:$D$59,2,FALSE)</f>
        <v>1</v>
      </c>
      <c r="AJ1308" s="1">
        <f>VLOOKUP($E1308,'Product Parameters'!$A$2:$D$59,3,FALSE)</f>
        <v>0</v>
      </c>
      <c r="AK1308" s="1">
        <f>VLOOKUP($E1308,'Product Parameters'!$A$2:$D$59,4,FALSE)</f>
        <v>0.12</v>
      </c>
      <c r="AL1308" s="1">
        <f>VLOOKUP($E1308,'Product Parameters'!$A$2:$E$59,5,FALSE)</f>
        <v>72.599999999999994</v>
      </c>
      <c r="AM1308" s="1">
        <f>VLOOKUP($E1308,'Product Parameters'!$A$2:$F$59,6,FALSE)</f>
        <v>4</v>
      </c>
      <c r="AN1308" s="1">
        <f>VLOOKUP($C1308,'Substrate Heating'!$A$2:$C$33,3,FALSE)</f>
        <v>255.53333333333336</v>
      </c>
      <c r="AO1308" s="1">
        <f>VLOOKUP($C1308,'Substrate Heating'!$A$2:$B$33,2,FALSE)</f>
        <v>23.925550527978785</v>
      </c>
      <c r="AP1308" s="1">
        <f>VLOOKUP($C1308,'Substrate Heating'!$A$2:$M$33,13,FALSE)</f>
        <v>0.66666666666666663</v>
      </c>
      <c r="AQ1308" s="1">
        <f>VLOOKUP($C1308,'Substrate Heating'!$A$2:$M$33,8,FALSE)</f>
        <v>0.33333333333333331</v>
      </c>
      <c r="AR1308" s="1">
        <f t="shared" si="20"/>
        <v>3</v>
      </c>
    </row>
    <row r="1309" spans="1:44" x14ac:dyDescent="0.2">
      <c r="A1309" s="17" t="s">
        <v>323</v>
      </c>
      <c r="B1309" s="18" t="s">
        <v>324</v>
      </c>
      <c r="C1309" t="s">
        <v>329</v>
      </c>
      <c r="D1309" s="19" t="s">
        <v>326</v>
      </c>
      <c r="E1309" t="s">
        <v>85</v>
      </c>
      <c r="F1309" t="s">
        <v>86</v>
      </c>
      <c r="G1309">
        <v>-10</v>
      </c>
      <c r="H1309">
        <v>0</v>
      </c>
      <c r="I1309">
        <v>-20</v>
      </c>
      <c r="J1309">
        <v>0.45</v>
      </c>
      <c r="K1309">
        <v>-10</v>
      </c>
      <c r="L1309">
        <v>0</v>
      </c>
      <c r="M1309">
        <v>-17.5</v>
      </c>
      <c r="N1309">
        <v>0</v>
      </c>
      <c r="O1309">
        <v>2.5</v>
      </c>
      <c r="P1309"/>
      <c r="Q1309">
        <v>0.25</v>
      </c>
      <c r="R1309" s="21">
        <v>0.71421144396893299</v>
      </c>
      <c r="S1309" s="1" t="str">
        <f>VLOOKUP($E1309,'Product Naming'!$A$1:$P$58,2,FALSE)</f>
        <v>2-3-butanediol</v>
      </c>
      <c r="T1309" s="1" t="str">
        <f>VLOOKUP($E1309,'Product Naming'!$A$1:$P$58,3,FALSE)</f>
        <v>2,3-Butanediol</v>
      </c>
      <c r="U1309" s="1" t="str">
        <f>VLOOKUP($E1309,'Product Naming'!$A$1:$P$58,4,FALSE)</f>
        <v>E</v>
      </c>
      <c r="V1309" s="1" t="str">
        <f>VLOOKUP($E1309,'Product Naming'!$A$1:$P$58,5,FALSE)</f>
        <v>C4H10O2</v>
      </c>
      <c r="W1309" s="1">
        <f>VLOOKUP($E1309,'Product Naming'!$A$1:$P$58,6,FALSE)</f>
        <v>4</v>
      </c>
      <c r="X1309" s="1">
        <f>VLOOKUP($E1309,'Product Naming'!$A$1:$P$58,7,FALSE)</f>
        <v>10</v>
      </c>
      <c r="Y1309" s="1">
        <f>VLOOKUP($E1309,'Product Naming'!$A$1:$P$58,8,FALSE)</f>
        <v>2</v>
      </c>
      <c r="Z1309" s="1">
        <f>VLOOKUP($E1309,'Product Naming'!$A$1:$P$58,9,FALSE)</f>
        <v>0</v>
      </c>
      <c r="AA1309" s="1">
        <f>VLOOKUP($E1309,'Product Naming'!$A$1:$P$58,10,FALSE)</f>
        <v>0</v>
      </c>
      <c r="AB1309" s="29">
        <f>VLOOKUP($E1309,'Product Naming'!$A$1:$P$58,11,FALSE)</f>
        <v>5.5</v>
      </c>
      <c r="AC1309" s="3">
        <f>VLOOKUP($E1309,'Product Naming'!$A$1:$P$58,12,FALSE)</f>
        <v>90.119200000000006</v>
      </c>
      <c r="AD1309" s="1">
        <f>VLOOKUP($E1309,'Product Naming'!$A$1:$P$58,13,FALSE)</f>
        <v>177</v>
      </c>
      <c r="AE1309" s="1" t="str">
        <f>VLOOKUP($E1309,'Product Naming'!$A$1:$P$58,14,FALSE)</f>
        <v>Diol</v>
      </c>
      <c r="AF1309" s="1" t="str">
        <f>VLOOKUP($E1309,'Product Naming'!$A$1:$P$58,15,FALSE)</f>
        <v>Pyruvate</v>
      </c>
      <c r="AG1309" s="30" t="str">
        <f>VLOOKUP($E1309,'Product Naming'!$A$1:$P$58,16,FALSE)</f>
        <v>Proton symporter</v>
      </c>
      <c r="AH1309" s="3" t="str">
        <f>VLOOKUP($E1309,'Product Naming'!$A$1:$Q$58,17,FALSE)</f>
        <v>btd_RR_c</v>
      </c>
      <c r="AI1309" s="1">
        <f>VLOOKUP($E1309,'Product Parameters'!$A$2:$D$59,2,FALSE)</f>
        <v>1</v>
      </c>
      <c r="AJ1309" s="1">
        <f>VLOOKUP($E1309,'Product Parameters'!$A$2:$D$59,3,FALSE)</f>
        <v>0</v>
      </c>
      <c r="AK1309" s="1">
        <f>VLOOKUP($E1309,'Product Parameters'!$A$2:$D$59,4,FALSE)</f>
        <v>0.12</v>
      </c>
      <c r="AL1309" s="1">
        <f>VLOOKUP($E1309,'Product Parameters'!$A$2:$E$59,5,FALSE)</f>
        <v>63</v>
      </c>
      <c r="AM1309" s="1">
        <f>VLOOKUP($E1309,'Product Parameters'!$A$2:$F$59,6,FALSE)</f>
        <v>4</v>
      </c>
      <c r="AN1309" s="1">
        <f>VLOOKUP($C1309,'Substrate Heating'!$A$2:$C$33,3,FALSE)</f>
        <v>255.53333333333336</v>
      </c>
      <c r="AO1309" s="1">
        <f>VLOOKUP($C1309,'Substrate Heating'!$A$2:$B$33,2,FALSE)</f>
        <v>23.925550527978785</v>
      </c>
      <c r="AP1309" s="1">
        <f>VLOOKUP($C1309,'Substrate Heating'!$A$2:$M$33,13,FALSE)</f>
        <v>0.66666666666666663</v>
      </c>
      <c r="AQ1309" s="1">
        <f>VLOOKUP($C1309,'Substrate Heating'!$A$2:$M$33,8,FALSE)</f>
        <v>0.33333333333333331</v>
      </c>
      <c r="AR1309" s="1">
        <f t="shared" si="20"/>
        <v>3</v>
      </c>
    </row>
    <row r="1310" spans="1:44" x14ac:dyDescent="0.2">
      <c r="A1310" s="8" t="s">
        <v>812</v>
      </c>
      <c r="B1310" s="18" t="s">
        <v>324</v>
      </c>
      <c r="C1310" t="s">
        <v>814</v>
      </c>
      <c r="E1310" t="s">
        <v>254</v>
      </c>
      <c r="F1310" t="s">
        <v>255</v>
      </c>
      <c r="G1310">
        <v>-10</v>
      </c>
      <c r="H1310">
        <v>0</v>
      </c>
      <c r="I1310">
        <v>-10</v>
      </c>
      <c r="J1310">
        <v>0.45</v>
      </c>
      <c r="K1310">
        <v>-10</v>
      </c>
      <c r="L1310">
        <v>0</v>
      </c>
      <c r="M1310">
        <v>-10</v>
      </c>
      <c r="N1310">
        <v>-0.63859649122806905</v>
      </c>
      <c r="O1310">
        <v>1.2771929824561301</v>
      </c>
      <c r="P1310"/>
      <c r="Q1310">
        <v>0.12771929824561301</v>
      </c>
      <c r="R1310">
        <v>0.71658099375754403</v>
      </c>
      <c r="S1310" s="1" t="str">
        <f>VLOOKUP($E1310,'Product Naming'!$A$1:$P$58,2,FALSE)</f>
        <v>Itaconate</v>
      </c>
      <c r="T1310" s="1" t="str">
        <f>VLOOKUP($E1310,'Product Naming'!$A$1:$P$58,3,FALSE)</f>
        <v>Itaconate</v>
      </c>
      <c r="U1310" s="1" t="str">
        <f>VLOOKUP($E1310,'Product Naming'!$A$1:$P$58,4,FALSE)</f>
        <v>E</v>
      </c>
      <c r="V1310" s="1" t="str">
        <f>VLOOKUP($E1310,'Product Naming'!$A$1:$P$58,5,FALSE)</f>
        <v>C5H4O4</v>
      </c>
      <c r="W1310" s="1">
        <f>VLOOKUP($E1310,'Product Naming'!$A$1:$P$58,6,FALSE)</f>
        <v>5</v>
      </c>
      <c r="X1310" s="1">
        <f>VLOOKUP($E1310,'Product Naming'!$A$1:$P$58,7,FALSE)</f>
        <v>4</v>
      </c>
      <c r="Y1310" s="1">
        <f>VLOOKUP($E1310,'Product Naming'!$A$1:$P$58,8,FALSE)</f>
        <v>4</v>
      </c>
      <c r="Z1310" s="1">
        <f>VLOOKUP($E1310,'Product Naming'!$A$1:$P$58,9,FALSE)</f>
        <v>0</v>
      </c>
      <c r="AA1310" s="1">
        <f>VLOOKUP($E1310,'Product Naming'!$A$1:$P$58,10,FALSE)</f>
        <v>-2</v>
      </c>
      <c r="AB1310" s="29">
        <f>VLOOKUP($E1310,'Product Naming'!$A$1:$P$58,11,FALSE)</f>
        <v>3.2</v>
      </c>
      <c r="AC1310" s="3">
        <f>VLOOKUP($E1310,'Product Naming'!$A$1:$P$58,12,FALSE)</f>
        <v>128.08086</v>
      </c>
      <c r="AD1310" s="1">
        <f>VLOOKUP($E1310,'Product Naming'!$A$1:$P$58,13,FALSE)</f>
        <v>381</v>
      </c>
      <c r="AE1310" s="1" t="str">
        <f>VLOOKUP($E1310,'Product Naming'!$A$1:$P$58,14,FALSE)</f>
        <v>Dicarboxylate</v>
      </c>
      <c r="AF1310" s="1" t="str">
        <f>VLOOKUP($E1310,'Product Naming'!$A$1:$P$58,15,FALSE)</f>
        <v>Acetyl-CoA + Oxaloacetate</v>
      </c>
      <c r="AG1310" s="30" t="str">
        <f>VLOOKUP($E1310,'Product Naming'!$A$1:$P$58,16,FALSE)</f>
        <v>Proton symporter</v>
      </c>
      <c r="AH1310" s="3" t="str">
        <f>VLOOKUP($E1310,'Product Naming'!$A$1:$Q$58,17,FALSE)</f>
        <v>itacon_c</v>
      </c>
      <c r="AI1310" s="1">
        <f>VLOOKUP($E1310,'Product Parameters'!$A$2:$D$59,2,FALSE)</f>
        <v>1</v>
      </c>
      <c r="AJ1310" s="1">
        <f>VLOOKUP($E1310,'Product Parameters'!$A$2:$D$59,3,FALSE)</f>
        <v>0</v>
      </c>
      <c r="AK1310" s="1">
        <f>VLOOKUP($E1310,'Product Parameters'!$A$2:$D$59,4,FALSE)</f>
        <v>0.12</v>
      </c>
      <c r="AL1310" s="1">
        <f>VLOOKUP($E1310,'Product Parameters'!$A$2:$E$59,5,FALSE)</f>
        <v>40.65</v>
      </c>
      <c r="AM1310" s="1">
        <f>VLOOKUP($E1310,'Product Parameters'!$A$2:$F$59,6,FALSE)</f>
        <v>5</v>
      </c>
      <c r="AN1310" s="1">
        <f>VLOOKUP($C1310,'Substrate Heating'!$A$2:$C$33,3,FALSE)</f>
        <v>209.92000000000002</v>
      </c>
      <c r="AO1310" s="1">
        <f>VLOOKUP($C1310,'Substrate Heating'!$A$2:$B$33,2,FALSE)</f>
        <v>10.086540906516333</v>
      </c>
      <c r="AP1310" s="1">
        <f>VLOOKUP($C1310,'Substrate Heating'!$A$2:$M$33,13,FALSE)</f>
        <v>0.8</v>
      </c>
      <c r="AQ1310" s="1">
        <f>VLOOKUP($C1310,'Substrate Heating'!$A$2:$M$33,8,FALSE)</f>
        <v>0.8</v>
      </c>
      <c r="AR1310" s="1">
        <f t="shared" si="20"/>
        <v>0.79824561403508132</v>
      </c>
    </row>
    <row r="1311" spans="1:44" x14ac:dyDescent="0.2">
      <c r="A1311" s="8" t="s">
        <v>34</v>
      </c>
      <c r="B1311" s="9" t="s">
        <v>35</v>
      </c>
      <c r="C1311" s="1" t="s">
        <v>36</v>
      </c>
      <c r="D1311" s="10" t="s">
        <v>37</v>
      </c>
      <c r="E1311" s="1" t="s">
        <v>192</v>
      </c>
      <c r="F1311" s="1" t="s">
        <v>193</v>
      </c>
      <c r="G1311" s="1">
        <v>-10</v>
      </c>
      <c r="H1311" s="1">
        <v>-20</v>
      </c>
      <c r="I1311" s="1" t="s">
        <v>40</v>
      </c>
      <c r="J1311" s="1">
        <v>3.15</v>
      </c>
      <c r="K1311" s="1">
        <v>-10</v>
      </c>
      <c r="L1311" s="1">
        <v>-6.5977152899824301</v>
      </c>
      <c r="M1311" s="1" t="s">
        <v>40</v>
      </c>
      <c r="N1311" s="1">
        <v>2.5662565905096599</v>
      </c>
      <c r="O1311" s="1">
        <v>1.9370826010544799</v>
      </c>
      <c r="Q1311" s="1">
        <v>0.193708260105448</v>
      </c>
      <c r="R1311" s="1">
        <v>0.71740947665134003</v>
      </c>
      <c r="S1311" s="1" t="str">
        <f>VLOOKUP($E1311,'Product Naming'!$A$1:$P$58,2,FALSE)</f>
        <v>Coumaric acid</v>
      </c>
      <c r="T1311" s="1" t="str">
        <f>VLOOKUP($E1311,'Product Naming'!$A$1:$P$58,3,FALSE)</f>
        <v>Coumaric acid</v>
      </c>
      <c r="U1311" s="1" t="str">
        <f>VLOOKUP($E1311,'Product Naming'!$A$1:$P$58,4,FALSE)</f>
        <v>E</v>
      </c>
      <c r="V1311" s="1" t="str">
        <f>VLOOKUP($E1311,'Product Naming'!$A$1:$P$58,5,FALSE)</f>
        <v>C9H7O3</v>
      </c>
      <c r="W1311" s="1">
        <f>VLOOKUP($E1311,'Product Naming'!$A$1:$P$58,6,FALSE)</f>
        <v>9</v>
      </c>
      <c r="X1311" s="1">
        <f>VLOOKUP($E1311,'Product Naming'!$A$1:$P$58,7,FALSE)</f>
        <v>7</v>
      </c>
      <c r="Y1311" s="1">
        <f>VLOOKUP($E1311,'Product Naming'!$A$1:$P$58,8,FALSE)</f>
        <v>3</v>
      </c>
      <c r="Z1311" s="1">
        <f>VLOOKUP($E1311,'Product Naming'!$A$1:$P$58,9,FALSE)</f>
        <v>0</v>
      </c>
      <c r="AA1311" s="1">
        <f>VLOOKUP($E1311,'Product Naming'!$A$1:$P$58,10,FALSE)</f>
        <v>-1</v>
      </c>
      <c r="AB1311" s="29">
        <f>VLOOKUP($E1311,'Product Naming'!$A$1:$P$58,11,FALSE)</f>
        <v>4.1111111111111107</v>
      </c>
      <c r="AC1311" s="3">
        <f>VLOOKUP($E1311,'Product Naming'!$A$1:$P$58,12,FALSE)</f>
        <v>163.14818</v>
      </c>
      <c r="AD1311" s="1">
        <f>VLOOKUP($E1311,'Product Naming'!$A$1:$P$58,13,FALSE)</f>
        <v>346</v>
      </c>
      <c r="AE1311" s="1" t="str">
        <f>VLOOKUP($E1311,'Product Naming'!$A$1:$P$58,14,FALSE)</f>
        <v>Aromatic + Alcohol + Carboxylate</v>
      </c>
      <c r="AF1311" s="1" t="str">
        <f>VLOOKUP($E1311,'Product Naming'!$A$1:$P$58,15,FALSE)</f>
        <v>E4P + L-glutamate</v>
      </c>
      <c r="AG1311" s="30" t="str">
        <f>VLOOKUP($E1311,'Product Naming'!$A$1:$P$58,16,FALSE)</f>
        <v>Proton symporter</v>
      </c>
      <c r="AH1311" s="3" t="str">
        <f>VLOOKUP($E1311,'Product Naming'!$A$1:$Q$58,17,FALSE)</f>
        <v>T4hcinnm_c</v>
      </c>
      <c r="AI1311" s="1">
        <f>VLOOKUP($E1311,'Product Parameters'!$A$2:$D$59,2,FALSE)</f>
        <v>1</v>
      </c>
      <c r="AJ1311" s="1">
        <f>VLOOKUP($E1311,'Product Parameters'!$A$2:$D$59,3,FALSE)</f>
        <v>0</v>
      </c>
      <c r="AK1311" s="1">
        <f>VLOOKUP($E1311,'Product Parameters'!$A$2:$D$59,4,FALSE)</f>
        <v>0.12</v>
      </c>
      <c r="AL1311" s="1">
        <f>VLOOKUP($E1311,'Product Parameters'!$A$2:$E$59,5,FALSE)</f>
        <v>40.65</v>
      </c>
      <c r="AM1311" s="1">
        <f>VLOOKUP($E1311,'Product Parameters'!$A$2:$F$59,6,FALSE)</f>
        <v>9</v>
      </c>
      <c r="AN1311" s="1">
        <f>VLOOKUP($C1311,'Substrate Heating'!$A$2:$C$33,3,FALSE)</f>
        <v>1064.1143145599999</v>
      </c>
      <c r="AO1311" s="1">
        <f>VLOOKUP($C1311,'Substrate Heating'!$A$2:$B$33,2,FALSE)</f>
        <v>24.155999999999999</v>
      </c>
      <c r="AP1311" s="1">
        <f>VLOOKUP($C1311,'Substrate Heating'!$A$2:$M$33,13,FALSE)</f>
        <v>5</v>
      </c>
      <c r="AQ1311" s="1">
        <f>VLOOKUP($C1311,'Substrate Heating'!$A$2:$M$33,8,FALSE)</f>
        <v>2</v>
      </c>
      <c r="AR1311" s="1">
        <f t="shared" si="20"/>
        <v>0.87168717047451605</v>
      </c>
    </row>
    <row r="1312" spans="1:44" x14ac:dyDescent="0.2">
      <c r="A1312" s="8" t="s">
        <v>832</v>
      </c>
      <c r="B1312" s="18" t="s">
        <v>324</v>
      </c>
      <c r="C1312" t="s">
        <v>329</v>
      </c>
      <c r="D1312" s="19" t="s">
        <v>326</v>
      </c>
      <c r="E1312" t="s">
        <v>332</v>
      </c>
      <c r="F1312" t="s">
        <v>826</v>
      </c>
      <c r="G1312">
        <v>-10</v>
      </c>
      <c r="H1312">
        <v>0</v>
      </c>
      <c r="I1312">
        <v>-20</v>
      </c>
      <c r="J1312">
        <v>0.45</v>
      </c>
      <c r="K1312">
        <v>-10</v>
      </c>
      <c r="L1312">
        <v>0</v>
      </c>
      <c r="M1312">
        <v>-20</v>
      </c>
      <c r="N1312">
        <v>0</v>
      </c>
      <c r="O1312">
        <v>5</v>
      </c>
      <c r="P1312"/>
      <c r="Q1312">
        <v>0.5</v>
      </c>
      <c r="R1312">
        <v>0.71886024592721998</v>
      </c>
      <c r="S1312" s="1" t="str">
        <f>VLOOKUP($E1312,'Product Naming'!$A$1:$P$58,2,FALSE)</f>
        <v>Ethanol</v>
      </c>
      <c r="T1312" s="1" t="str">
        <f>VLOOKUP($E1312,'Product Naming'!$A$1:$P$58,3,FALSE)</f>
        <v>Ethanol</v>
      </c>
      <c r="U1312" s="1" t="str">
        <f>VLOOKUP($E1312,'Product Naming'!$A$1:$P$58,4,FALSE)</f>
        <v>A</v>
      </c>
      <c r="V1312" s="1" t="str">
        <f>VLOOKUP($E1312,'Product Naming'!$A$1:$P$58,5,FALSE)</f>
        <v>C2H6O</v>
      </c>
      <c r="W1312" s="1">
        <f>VLOOKUP($E1312,'Product Naming'!$A$1:$P$58,6,FALSE)</f>
        <v>2</v>
      </c>
      <c r="X1312" s="1">
        <f>VLOOKUP($E1312,'Product Naming'!$A$1:$P$58,7,FALSE)</f>
        <v>6</v>
      </c>
      <c r="Y1312" s="1">
        <f>VLOOKUP($E1312,'Product Naming'!$A$1:$P$58,8,FALSE)</f>
        <v>1</v>
      </c>
      <c r="Z1312" s="1">
        <f>VLOOKUP($E1312,'Product Naming'!$A$1:$P$58,9,FALSE)</f>
        <v>0</v>
      </c>
      <c r="AA1312" s="1">
        <f>VLOOKUP($E1312,'Product Naming'!$A$1:$P$58,10,FALSE)</f>
        <v>0</v>
      </c>
      <c r="AB1312" s="29">
        <f>VLOOKUP($E1312,'Product Naming'!$A$1:$P$58,11,FALSE)</f>
        <v>6</v>
      </c>
      <c r="AC1312" s="3">
        <f>VLOOKUP($E1312,'Product Naming'!$A$1:$P$58,12,FALSE)</f>
        <v>46.067440000000005</v>
      </c>
      <c r="AD1312" s="1">
        <f>VLOOKUP($E1312,'Product Naming'!$A$1:$P$58,13,FALSE)</f>
        <v>78.37</v>
      </c>
      <c r="AE1312" s="1" t="str">
        <f>VLOOKUP($E1312,'Product Naming'!$A$1:$P$58,14,FALSE)</f>
        <v>Alcohol</v>
      </c>
      <c r="AF1312" s="1" t="str">
        <f>VLOOKUP($E1312,'Product Naming'!$A$1:$P$58,15,FALSE)</f>
        <v>Acetyl-CoA</v>
      </c>
      <c r="AG1312" s="30" t="str">
        <f>VLOOKUP($E1312,'Product Naming'!$A$1:$P$58,16,FALSE)</f>
        <v>Proton symporter</v>
      </c>
      <c r="AH1312" s="3" t="str">
        <f>VLOOKUP($E1312,'Product Naming'!$A$1:$Q$58,17,FALSE)</f>
        <v>etoh_c</v>
      </c>
      <c r="AI1312" s="1">
        <f>VLOOKUP($E1312,'Product Parameters'!$A$2:$D$59,2,FALSE)</f>
        <v>1</v>
      </c>
      <c r="AJ1312" s="1">
        <f>VLOOKUP($E1312,'Product Parameters'!$A$2:$D$59,3,FALSE)</f>
        <v>0</v>
      </c>
      <c r="AK1312" s="1">
        <f>VLOOKUP($E1312,'Product Parameters'!$A$2:$D$59,4,FALSE)</f>
        <v>0.12</v>
      </c>
      <c r="AL1312" s="1">
        <f>VLOOKUP($E1312,'Product Parameters'!$A$2:$E$59,5,FALSE)</f>
        <v>42.3</v>
      </c>
      <c r="AM1312" s="1">
        <f>VLOOKUP($E1312,'Product Parameters'!$A$2:$F$59,6,FALSE)</f>
        <v>2</v>
      </c>
      <c r="AN1312" s="1">
        <f>VLOOKUP($C1312,'Substrate Heating'!$A$2:$C$33,3,FALSE)</f>
        <v>255.53333333333336</v>
      </c>
      <c r="AO1312" s="1">
        <f>VLOOKUP($C1312,'Substrate Heating'!$A$2:$B$33,2,FALSE)</f>
        <v>23.925550527978785</v>
      </c>
      <c r="AP1312" s="1">
        <f>VLOOKUP($C1312,'Substrate Heating'!$A$2:$M$33,13,FALSE)</f>
        <v>0.66666666666666663</v>
      </c>
      <c r="AQ1312" s="1">
        <f>VLOOKUP($C1312,'Substrate Heating'!$A$2:$M$33,8,FALSE)</f>
        <v>0.33333333333333331</v>
      </c>
      <c r="AR1312" s="1">
        <f t="shared" si="20"/>
        <v>3</v>
      </c>
    </row>
    <row r="1313" spans="1:44" x14ac:dyDescent="0.2">
      <c r="A1313" s="8" t="s">
        <v>34</v>
      </c>
      <c r="B1313" s="9" t="s">
        <v>35</v>
      </c>
      <c r="C1313" s="1" t="s">
        <v>343</v>
      </c>
      <c r="D1313" s="24" t="s">
        <v>342</v>
      </c>
      <c r="E1313" s="1" t="s">
        <v>60</v>
      </c>
      <c r="F1313" s="1" t="s">
        <v>61</v>
      </c>
      <c r="G1313" s="1">
        <v>-10</v>
      </c>
      <c r="H1313" s="1">
        <v>-20</v>
      </c>
      <c r="I1313" s="1" t="s">
        <v>40</v>
      </c>
      <c r="J1313" s="1">
        <v>3.15</v>
      </c>
      <c r="K1313" s="1">
        <v>-10</v>
      </c>
      <c r="L1313" s="1">
        <v>-0.162105263157895</v>
      </c>
      <c r="M1313" s="1" t="s">
        <v>40</v>
      </c>
      <c r="N1313" s="1">
        <v>3.8715789473684201</v>
      </c>
      <c r="O1313" s="1">
        <v>8.7094736842105291</v>
      </c>
      <c r="Q1313" s="1">
        <v>0.87094736842105303</v>
      </c>
      <c r="R1313" s="1">
        <v>0.71962311189542205</v>
      </c>
      <c r="S1313" s="1" t="str">
        <f>VLOOKUP($E1313,'Product Naming'!$A$1:$P$58,2,FALSE)</f>
        <v>1-3-Propanediol</v>
      </c>
      <c r="T1313" s="1" t="str">
        <f>VLOOKUP($E1313,'Product Naming'!$A$1:$P$58,3,FALSE)</f>
        <v>1,3-Propanediol</v>
      </c>
      <c r="U1313" s="1" t="str">
        <f>VLOOKUP($E1313,'Product Naming'!$A$1:$P$58,4,FALSE)</f>
        <v>A</v>
      </c>
      <c r="V1313" s="1" t="str">
        <f>VLOOKUP($E1313,'Product Naming'!$A$1:$P$58,5,FALSE)</f>
        <v>C3H8O2</v>
      </c>
      <c r="W1313" s="1">
        <f>VLOOKUP($E1313,'Product Naming'!$A$1:$P$58,6,FALSE)</f>
        <v>3</v>
      </c>
      <c r="X1313" s="1">
        <f>VLOOKUP($E1313,'Product Naming'!$A$1:$P$58,7,FALSE)</f>
        <v>8</v>
      </c>
      <c r="Y1313" s="1">
        <f>VLOOKUP($E1313,'Product Naming'!$A$1:$P$58,8,FALSE)</f>
        <v>2</v>
      </c>
      <c r="Z1313" s="1">
        <f>VLOOKUP($E1313,'Product Naming'!$A$1:$P$58,9,FALSE)</f>
        <v>0</v>
      </c>
      <c r="AA1313" s="1">
        <f>VLOOKUP($E1313,'Product Naming'!$A$1:$P$58,10,FALSE)</f>
        <v>0</v>
      </c>
      <c r="AB1313" s="29">
        <f>VLOOKUP($E1313,'Product Naming'!$A$1:$P$58,11,FALSE)</f>
        <v>5.333333333333333</v>
      </c>
      <c r="AC1313" s="3">
        <f>VLOOKUP($E1313,'Product Naming'!$A$1:$P$58,12,FALSE)</f>
        <v>76.092820000000003</v>
      </c>
      <c r="AD1313" s="1">
        <f>VLOOKUP($E1313,'Product Naming'!$A$1:$P$58,13,FALSE)</f>
        <v>213</v>
      </c>
      <c r="AE1313" s="1" t="str">
        <f>VLOOKUP($E1313,'Product Naming'!$A$1:$P$58,14,FALSE)</f>
        <v>Diol</v>
      </c>
      <c r="AF1313" s="1" t="str">
        <f>VLOOKUP($E1313,'Product Naming'!$A$1:$P$58,15,FALSE)</f>
        <v>Glyceraldehyde 3-P</v>
      </c>
      <c r="AG1313" s="30" t="str">
        <f>VLOOKUP($E1313,'Product Naming'!$A$1:$P$58,16,FALSE)</f>
        <v>Proton symporter</v>
      </c>
      <c r="AH1313" s="3" t="str">
        <f>VLOOKUP($E1313,'Product Naming'!$A$1:$Q$58,17,FALSE)</f>
        <v>13ppd_c</v>
      </c>
      <c r="AI1313" s="1">
        <f>VLOOKUP($E1313,'Product Parameters'!$A$2:$D$59,2,FALSE)</f>
        <v>1</v>
      </c>
      <c r="AJ1313" s="1">
        <f>VLOOKUP($E1313,'Product Parameters'!$A$2:$D$59,3,FALSE)</f>
        <v>0</v>
      </c>
      <c r="AK1313" s="1">
        <f>VLOOKUP($E1313,'Product Parameters'!$A$2:$D$59,4,FALSE)</f>
        <v>0.12</v>
      </c>
      <c r="AL1313" s="1">
        <f>VLOOKUP($E1313,'Product Parameters'!$A$2:$E$59,5,FALSE)</f>
        <v>70</v>
      </c>
      <c r="AM1313" s="1">
        <f>VLOOKUP($E1313,'Product Parameters'!$A$2:$F$59,6,FALSE)</f>
        <v>3</v>
      </c>
      <c r="AN1313" s="1">
        <f>VLOOKUP($C1313,'Substrate Heating'!$A$2:$C$33,3,FALSE)</f>
        <v>1648.4793779999998</v>
      </c>
      <c r="AO1313" s="1">
        <f>VLOOKUP($C1313,'Substrate Heating'!$A$2:$B$33,2,FALSE)</f>
        <v>17.899999999999999</v>
      </c>
      <c r="AP1313" s="1">
        <f>VLOOKUP($C1313,'Substrate Heating'!$A$2:$M$33,13,FALSE)</f>
        <v>4.666666666666667</v>
      </c>
      <c r="AQ1313" s="1">
        <f>VLOOKUP($C1313,'Substrate Heating'!$A$2:$M$33,8,FALSE)</f>
        <v>3</v>
      </c>
      <c r="AR1313" s="1">
        <f t="shared" si="20"/>
        <v>0.87094736842105303</v>
      </c>
    </row>
    <row r="1314" spans="1:44" x14ac:dyDescent="0.2">
      <c r="A1314" s="8" t="s">
        <v>34</v>
      </c>
      <c r="B1314" s="9" t="s">
        <v>35</v>
      </c>
      <c r="C1314" s="1" t="s">
        <v>343</v>
      </c>
      <c r="D1314" s="24" t="s">
        <v>342</v>
      </c>
      <c r="E1314" s="1" t="s">
        <v>221</v>
      </c>
      <c r="F1314" s="1" t="s">
        <v>222</v>
      </c>
      <c r="G1314" s="1">
        <v>-10</v>
      </c>
      <c r="H1314" s="1">
        <v>-20</v>
      </c>
      <c r="I1314" s="1" t="s">
        <v>40</v>
      </c>
      <c r="J1314" s="1">
        <v>3.15</v>
      </c>
      <c r="K1314" s="1">
        <v>-10</v>
      </c>
      <c r="L1314" s="1">
        <v>-9.4562500000000096</v>
      </c>
      <c r="M1314" s="1" t="s">
        <v>40</v>
      </c>
      <c r="N1314" s="1">
        <v>4.45625000000003</v>
      </c>
      <c r="O1314" s="1">
        <v>5.1087500000000103</v>
      </c>
      <c r="Q1314" s="1">
        <v>0.51087500000000097</v>
      </c>
      <c r="R1314" s="1">
        <v>0.72168870693495102</v>
      </c>
      <c r="S1314" s="1" t="str">
        <f>VLOOKUP($E1314,'Product Naming'!$A$1:$P$58,2,FALSE)</f>
        <v>Glutarate</v>
      </c>
      <c r="T1314" s="1" t="str">
        <f>VLOOKUP($E1314,'Product Naming'!$A$1:$P$58,3,FALSE)</f>
        <v>Glutarate</v>
      </c>
      <c r="U1314" s="1" t="str">
        <f>VLOOKUP($E1314,'Product Naming'!$A$1:$P$58,4,FALSE)</f>
        <v>A</v>
      </c>
      <c r="V1314" s="1" t="str">
        <f>VLOOKUP($E1314,'Product Naming'!$A$1:$P$58,5,FALSE)</f>
        <v>C5H6O4</v>
      </c>
      <c r="W1314" s="1">
        <f>VLOOKUP($E1314,'Product Naming'!$A$1:$P$58,6,FALSE)</f>
        <v>5</v>
      </c>
      <c r="X1314" s="1">
        <f>VLOOKUP($E1314,'Product Naming'!$A$1:$P$58,7,FALSE)</f>
        <v>6</v>
      </c>
      <c r="Y1314" s="1">
        <f>VLOOKUP($E1314,'Product Naming'!$A$1:$P$58,8,FALSE)</f>
        <v>4</v>
      </c>
      <c r="Z1314" s="1">
        <f>VLOOKUP($E1314,'Product Naming'!$A$1:$P$58,9,FALSE)</f>
        <v>0</v>
      </c>
      <c r="AA1314" s="1">
        <f>VLOOKUP($E1314,'Product Naming'!$A$1:$P$58,10,FALSE)</f>
        <v>-2</v>
      </c>
      <c r="AB1314" s="29">
        <f>VLOOKUP($E1314,'Product Naming'!$A$1:$P$58,11,FALSE)</f>
        <v>3.6</v>
      </c>
      <c r="AC1314" s="3">
        <f>VLOOKUP($E1314,'Product Naming'!$A$1:$P$58,12,FALSE)</f>
        <v>130.09654</v>
      </c>
      <c r="AD1314" s="1">
        <f>VLOOKUP($E1314,'Product Naming'!$A$1:$P$58,13,FALSE)</f>
        <v>200</v>
      </c>
      <c r="AE1314" s="1" t="str">
        <f>VLOOKUP($E1314,'Product Naming'!$A$1:$P$58,14,FALSE)</f>
        <v>Dicarboxylate</v>
      </c>
      <c r="AF1314" s="1" t="str">
        <f>VLOOKUP($E1314,'Product Naming'!$A$1:$P$58,15,FALSE)</f>
        <v>Oxaloacetate + aKG</v>
      </c>
      <c r="AG1314" s="30" t="str">
        <f>VLOOKUP($E1314,'Product Naming'!$A$1:$P$58,16,FALSE)</f>
        <v>Proton symporter</v>
      </c>
      <c r="AH1314" s="3" t="str">
        <f>VLOOKUP($E1314,'Product Naming'!$A$1:$Q$58,17,FALSE)</f>
        <v>glutar_c</v>
      </c>
      <c r="AI1314" s="1">
        <f>VLOOKUP($E1314,'Product Parameters'!$A$2:$D$59,2,FALSE)</f>
        <v>1</v>
      </c>
      <c r="AJ1314" s="1">
        <f>VLOOKUP($E1314,'Product Parameters'!$A$2:$D$59,3,FALSE)</f>
        <v>0</v>
      </c>
      <c r="AK1314" s="1">
        <f>VLOOKUP($E1314,'Product Parameters'!$A$2:$D$59,4,FALSE)</f>
        <v>0.12</v>
      </c>
      <c r="AL1314" s="1">
        <f>VLOOKUP($E1314,'Product Parameters'!$A$2:$E$59,5,FALSE)</f>
        <v>40.65</v>
      </c>
      <c r="AM1314" s="1">
        <f>VLOOKUP($E1314,'Product Parameters'!$A$2:$F$59,6,FALSE)</f>
        <v>5</v>
      </c>
      <c r="AN1314" s="1">
        <f>VLOOKUP($C1314,'Substrate Heating'!$A$2:$C$33,3,FALSE)</f>
        <v>1648.4793779999998</v>
      </c>
      <c r="AO1314" s="1">
        <f>VLOOKUP($C1314,'Substrate Heating'!$A$2:$B$33,2,FALSE)</f>
        <v>17.899999999999999</v>
      </c>
      <c r="AP1314" s="1">
        <f>VLOOKUP($C1314,'Substrate Heating'!$A$2:$M$33,13,FALSE)</f>
        <v>4.666666666666667</v>
      </c>
      <c r="AQ1314" s="1">
        <f>VLOOKUP($C1314,'Substrate Heating'!$A$2:$M$33,8,FALSE)</f>
        <v>3</v>
      </c>
      <c r="AR1314" s="1">
        <f t="shared" si="20"/>
        <v>0.85145833333333487</v>
      </c>
    </row>
    <row r="1315" spans="1:44" x14ac:dyDescent="0.2">
      <c r="A1315" s="8" t="s">
        <v>34</v>
      </c>
      <c r="B1315" s="9" t="s">
        <v>35</v>
      </c>
      <c r="C1315" s="1" t="s">
        <v>348</v>
      </c>
      <c r="D1315" s="23" t="s">
        <v>338</v>
      </c>
      <c r="E1315" s="1" t="s">
        <v>97</v>
      </c>
      <c r="F1315" s="1" t="s">
        <v>98</v>
      </c>
      <c r="G1315" s="1">
        <v>-10</v>
      </c>
      <c r="H1315" s="1">
        <v>-20</v>
      </c>
      <c r="I1315" s="1" t="s">
        <v>40</v>
      </c>
      <c r="J1315" s="1">
        <v>3.15</v>
      </c>
      <c r="K1315" s="1">
        <v>-10</v>
      </c>
      <c r="L1315" s="1">
        <v>-8.6491646778043005</v>
      </c>
      <c r="M1315" s="1" t="s">
        <v>40</v>
      </c>
      <c r="N1315" s="1">
        <v>1.10883054892602</v>
      </c>
      <c r="O1315" s="1">
        <v>1.2701670644391401</v>
      </c>
      <c r="Q1315" s="1">
        <v>0.127016706443914</v>
      </c>
      <c r="R1315" s="1">
        <v>0.72181705742017899</v>
      </c>
      <c r="S1315" s="1" t="str">
        <f>VLOOKUP($E1315,'Product Naming'!$A$1:$P$58,2,FALSE)</f>
        <v>2-Pyrone-4-6-Dicarboxylate</v>
      </c>
      <c r="T1315" s="1" t="str">
        <f>VLOOKUP($E1315,'Product Naming'!$A$1:$P$58,3,FALSE)</f>
        <v>2-Pyrone 4,6-dicarboxylate</v>
      </c>
      <c r="U1315" s="1" t="str">
        <f>VLOOKUP($E1315,'Product Naming'!$A$1:$P$58,4,FALSE)</f>
        <v>A</v>
      </c>
      <c r="V1315" s="1" t="str">
        <f>VLOOKUP($E1315,'Product Naming'!$A$1:$P$58,5,FALSE)</f>
        <v>C7H2O6</v>
      </c>
      <c r="W1315" s="1">
        <f>VLOOKUP($E1315,'Product Naming'!$A$1:$P$58,6,FALSE)</f>
        <v>7</v>
      </c>
      <c r="X1315" s="1">
        <f>VLOOKUP($E1315,'Product Naming'!$A$1:$P$58,7,FALSE)</f>
        <v>2</v>
      </c>
      <c r="Y1315" s="1">
        <f>VLOOKUP($E1315,'Product Naming'!$A$1:$P$58,8,FALSE)</f>
        <v>6</v>
      </c>
      <c r="Z1315" s="1">
        <f>VLOOKUP($E1315,'Product Naming'!$A$1:$P$58,9,FALSE)</f>
        <v>0</v>
      </c>
      <c r="AA1315" s="1">
        <f>VLOOKUP($E1315,'Product Naming'!$A$1:$P$58,10,FALSE)</f>
        <v>-2</v>
      </c>
      <c r="AB1315" s="29">
        <f>VLOOKUP($E1315,'Product Naming'!$A$1:$P$58,11,FALSE)</f>
        <v>2.5714285714285716</v>
      </c>
      <c r="AC1315" s="3">
        <f>VLOOKUP($E1315,'Product Naming'!$A$1:$P$58,12,FALSE)</f>
        <v>182.08458000000002</v>
      </c>
      <c r="AD1315" s="1">
        <f>VLOOKUP($E1315,'Product Naming'!$A$1:$P$58,13,FALSE)</f>
        <v>355.5</v>
      </c>
      <c r="AE1315" s="1" t="str">
        <f>VLOOKUP($E1315,'Product Naming'!$A$1:$P$58,14,FALSE)</f>
        <v>Dicarboxylate</v>
      </c>
      <c r="AF1315" s="1" t="str">
        <f>VLOOKUP($E1315,'Product Naming'!$A$1:$P$58,15,FALSE)</f>
        <v>Glyceraldehyde 3-P</v>
      </c>
      <c r="AG1315" s="30" t="str">
        <f>VLOOKUP($E1315,'Product Naming'!$A$1:$P$58,16,FALSE)</f>
        <v>Proton symporter</v>
      </c>
      <c r="AH1315" s="3" t="str">
        <f>VLOOKUP($E1315,'Product Naming'!$A$1:$Q$58,17,FALSE)</f>
        <v>2p46dc_c</v>
      </c>
      <c r="AI1315" s="1">
        <f>VLOOKUP($E1315,'Product Parameters'!$A$2:$D$59,2,FALSE)</f>
        <v>1</v>
      </c>
      <c r="AJ1315" s="1">
        <f>VLOOKUP($E1315,'Product Parameters'!$A$2:$D$59,3,FALSE)</f>
        <v>0</v>
      </c>
      <c r="AK1315" s="1">
        <f>VLOOKUP($E1315,'Product Parameters'!$A$2:$D$59,4,FALSE)</f>
        <v>0.12</v>
      </c>
      <c r="AL1315" s="1">
        <f>VLOOKUP($E1315,'Product Parameters'!$A$2:$E$59,5,FALSE)</f>
        <v>0</v>
      </c>
      <c r="AM1315" s="1">
        <f>VLOOKUP($E1315,'Product Parameters'!$A$2:$F$59,6,FALSE)</f>
        <v>7</v>
      </c>
      <c r="AN1315" s="1">
        <f>VLOOKUP($C1315,'Substrate Heating'!$A$2:$C$33,3,FALSE)</f>
        <v>638.57832580000002</v>
      </c>
      <c r="AO1315" s="1">
        <f>VLOOKUP($C1315,'Substrate Heating'!$A$2:$B$33,2,FALSE)</f>
        <v>19.93</v>
      </c>
      <c r="AP1315" s="1">
        <f>VLOOKUP($C1315,'Substrate Heating'!$A$2:$M$33,13,FALSE)</f>
        <v>6</v>
      </c>
      <c r="AQ1315" s="1">
        <f>VLOOKUP($C1315,'Substrate Heating'!$A$2:$M$33,8,FALSE)</f>
        <v>1</v>
      </c>
      <c r="AR1315" s="1">
        <f t="shared" si="20"/>
        <v>0.88911694510739792</v>
      </c>
    </row>
    <row r="1316" spans="1:44" x14ac:dyDescent="0.2">
      <c r="A1316" s="8" t="s">
        <v>34</v>
      </c>
      <c r="B1316" s="9" t="s">
        <v>35</v>
      </c>
      <c r="C1316" s="1" t="s">
        <v>332</v>
      </c>
      <c r="D1316" s="10" t="s">
        <v>37</v>
      </c>
      <c r="E1316" s="1" t="s">
        <v>72</v>
      </c>
      <c r="F1316" s="1" t="s">
        <v>73</v>
      </c>
      <c r="G1316" s="1">
        <v>-10</v>
      </c>
      <c r="H1316" s="1">
        <v>-20</v>
      </c>
      <c r="I1316" s="1" t="s">
        <v>40</v>
      </c>
      <c r="J1316" s="1">
        <v>3.15</v>
      </c>
      <c r="K1316" s="1">
        <v>-10</v>
      </c>
      <c r="L1316" s="1">
        <v>-5.0848101265822798</v>
      </c>
      <c r="M1316" s="1" t="s">
        <v>40</v>
      </c>
      <c r="N1316" s="1">
        <v>3.3898734177215202</v>
      </c>
      <c r="O1316" s="1">
        <v>5.5367088607594903</v>
      </c>
      <c r="Q1316" s="1">
        <v>0.55367088607594905</v>
      </c>
      <c r="R1316" s="1">
        <v>0.72224978351496405</v>
      </c>
      <c r="S1316" s="1" t="str">
        <f>VLOOKUP($E1316,'Product Naming'!$A$1:$P$58,2,FALSE)</f>
        <v>1-propanol-PW1</v>
      </c>
      <c r="T1316" s="1" t="str">
        <f>VLOOKUP($E1316,'Product Naming'!$A$1:$P$58,3,FALSE)</f>
        <v>1-Propanol (PW1)</v>
      </c>
      <c r="U1316" s="1" t="str">
        <f>VLOOKUP($E1316,'Product Naming'!$A$1:$P$58,4,FALSE)</f>
        <v>E-S</v>
      </c>
      <c r="V1316" s="1" t="str">
        <f>VLOOKUP($E1316,'Product Naming'!$A$1:$P$58,5,FALSE)</f>
        <v>C3H8O</v>
      </c>
      <c r="W1316" s="1">
        <f>VLOOKUP($E1316,'Product Naming'!$A$1:$P$58,6,FALSE)</f>
        <v>3</v>
      </c>
      <c r="X1316" s="1">
        <f>VLOOKUP($E1316,'Product Naming'!$A$1:$P$58,7,FALSE)</f>
        <v>8</v>
      </c>
      <c r="Y1316" s="1">
        <f>VLOOKUP($E1316,'Product Naming'!$A$1:$P$58,8,FALSE)</f>
        <v>1</v>
      </c>
      <c r="Z1316" s="1">
        <f>VLOOKUP($E1316,'Product Naming'!$A$1:$P$58,9,FALSE)</f>
        <v>0</v>
      </c>
      <c r="AA1316" s="1">
        <f>VLOOKUP($E1316,'Product Naming'!$A$1:$P$58,10,FALSE)</f>
        <v>0</v>
      </c>
      <c r="AB1316" s="29">
        <f>VLOOKUP($E1316,'Product Naming'!$A$1:$P$58,11,FALSE)</f>
        <v>6</v>
      </c>
      <c r="AC1316" s="3">
        <f>VLOOKUP($E1316,'Product Naming'!$A$1:$P$58,12,FALSE)</f>
        <v>60.093820000000001</v>
      </c>
      <c r="AD1316" s="1">
        <f>VLOOKUP($E1316,'Product Naming'!$A$1:$P$58,13,FALSE)</f>
        <v>97</v>
      </c>
      <c r="AE1316" s="1" t="str">
        <f>VLOOKUP($E1316,'Product Naming'!$A$1:$P$58,14,FALSE)</f>
        <v>Alcohol</v>
      </c>
      <c r="AF1316" s="1" t="str">
        <f>VLOOKUP($E1316,'Product Naming'!$A$1:$P$58,15,FALSE)</f>
        <v>Glyceraldehyde 3-P (--&gt;DHAP)</v>
      </c>
      <c r="AG1316" s="30" t="str">
        <f>VLOOKUP($E1316,'Product Naming'!$A$1:$P$58,16,FALSE)</f>
        <v>Proton symporter</v>
      </c>
      <c r="AH1316" s="3" t="str">
        <f>VLOOKUP($E1316,'Product Naming'!$A$1:$Q$58,17,FALSE)</f>
        <v>ppoh_c</v>
      </c>
      <c r="AI1316" s="1">
        <f>VLOOKUP($E1316,'Product Parameters'!$A$2:$D$59,2,FALSE)</f>
        <v>1</v>
      </c>
      <c r="AJ1316" s="1">
        <f>VLOOKUP($E1316,'Product Parameters'!$A$2:$D$59,3,FALSE)</f>
        <v>0</v>
      </c>
      <c r="AK1316" s="1">
        <f>VLOOKUP($E1316,'Product Parameters'!$A$2:$D$59,4,FALSE)</f>
        <v>0.12</v>
      </c>
      <c r="AL1316" s="1">
        <f>VLOOKUP($E1316,'Product Parameters'!$A$2:$E$59,5,FALSE)</f>
        <v>47</v>
      </c>
      <c r="AM1316" s="1">
        <f>VLOOKUP($E1316,'Product Parameters'!$A$2:$F$59,6,FALSE)</f>
        <v>3</v>
      </c>
      <c r="AN1316" s="1">
        <f>VLOOKUP($C1316,'Substrate Heating'!$A$2:$C$33,3,FALSE)</f>
        <v>1230.0006480000002</v>
      </c>
      <c r="AO1316" s="1">
        <f>VLOOKUP($C1316,'Substrate Heating'!$A$2:$B$33,2,FALSE)</f>
        <v>26.7</v>
      </c>
      <c r="AP1316" s="1">
        <f>VLOOKUP($C1316,'Substrate Heating'!$A$2:$M$33,13,FALSE)</f>
        <v>6</v>
      </c>
      <c r="AQ1316" s="1">
        <f>VLOOKUP($C1316,'Substrate Heating'!$A$2:$M$33,8,FALSE)</f>
        <v>2</v>
      </c>
      <c r="AR1316" s="1">
        <f t="shared" si="20"/>
        <v>0.83050632911392364</v>
      </c>
    </row>
    <row r="1317" spans="1:44" x14ac:dyDescent="0.2">
      <c r="A1317" s="17" t="s">
        <v>185</v>
      </c>
      <c r="B1317" s="9" t="s">
        <v>35</v>
      </c>
      <c r="C1317" t="s">
        <v>343</v>
      </c>
      <c r="D1317" s="24" t="s">
        <v>342</v>
      </c>
      <c r="E1317" t="s">
        <v>264</v>
      </c>
      <c r="F1317" t="s">
        <v>265</v>
      </c>
      <c r="G1317">
        <v>-10</v>
      </c>
      <c r="H1317">
        <v>-20</v>
      </c>
      <c r="I1317" s="1" t="s">
        <v>40</v>
      </c>
      <c r="J1317">
        <v>3.15</v>
      </c>
      <c r="K1317">
        <v>-10</v>
      </c>
      <c r="L1317">
        <v>-3.3196969696969698</v>
      </c>
      <c r="M1317" s="1" t="s">
        <v>40</v>
      </c>
      <c r="N1317">
        <v>2.8454545454545399</v>
      </c>
      <c r="O1317">
        <v>4.5257575757575799</v>
      </c>
      <c r="P1317"/>
      <c r="Q1317">
        <v>0.45257575757575702</v>
      </c>
      <c r="R1317">
        <v>0.72335010101654995</v>
      </c>
      <c r="S1317" s="1" t="str">
        <f>VLOOKUP($E1317,'Product Naming'!$A$1:$P$58,2,FALSE)</f>
        <v>Lysine_L</v>
      </c>
      <c r="T1317" s="1" t="str">
        <f>VLOOKUP($E1317,'Product Naming'!$A$1:$P$58,3,FALSE)</f>
        <v>L-Lysine</v>
      </c>
      <c r="U1317" s="1" t="str">
        <f>VLOOKUP($E1317,'Product Naming'!$A$1:$P$58,4,FALSE)</f>
        <v>iJO1366</v>
      </c>
      <c r="V1317" s="1" t="str">
        <f>VLOOKUP($E1317,'Product Naming'!$A$1:$P$58,5,FALSE)</f>
        <v>C6H15N2O2</v>
      </c>
      <c r="W1317" s="1">
        <f>VLOOKUP($E1317,'Product Naming'!$A$1:$P$58,6,FALSE)</f>
        <v>6</v>
      </c>
      <c r="X1317" s="1">
        <f>VLOOKUP($E1317,'Product Naming'!$A$1:$P$58,7,FALSE)</f>
        <v>15</v>
      </c>
      <c r="Y1317" s="1">
        <f>VLOOKUP($E1317,'Product Naming'!$A$1:$P$58,8,FALSE)</f>
        <v>2</v>
      </c>
      <c r="Z1317" s="1">
        <f>VLOOKUP($E1317,'Product Naming'!$A$1:$P$58,9,FALSE)</f>
        <v>2</v>
      </c>
      <c r="AA1317" s="1">
        <f>VLOOKUP($E1317,'Product Naming'!$A$1:$P$58,10,FALSE)</f>
        <v>1</v>
      </c>
      <c r="AB1317" s="29">
        <f>VLOOKUP($E1317,'Product Naming'!$A$1:$P$58,11,FALSE)</f>
        <v>4.833333333333333</v>
      </c>
      <c r="AC1317" s="3">
        <f>VLOOKUP($E1317,'Product Naming'!$A$1:$P$58,12,FALSE)</f>
        <v>147.19319999999999</v>
      </c>
      <c r="AD1317" s="1" t="str">
        <f>VLOOKUP($E1317,'Product Naming'!$A$1:$P$58,13,FALSE)</f>
        <v>NA</v>
      </c>
      <c r="AE1317" s="1" t="str">
        <f>VLOOKUP($E1317,'Product Naming'!$A$1:$P$58,14,FALSE)</f>
        <v>Amino acid</v>
      </c>
      <c r="AF1317" s="1" t="str">
        <f>VLOOKUP($E1317,'Product Naming'!$A$1:$P$58,15,FALSE)</f>
        <v>Oxaloacetate</v>
      </c>
      <c r="AG1317" s="30" t="str">
        <f>VLOOKUP($E1317,'Product Naming'!$A$1:$P$58,16,FALSE)</f>
        <v>Proton antiport</v>
      </c>
      <c r="AH1317" s="3" t="str">
        <f>VLOOKUP($E1317,'Product Naming'!$A$1:$Q$58,17,FALSE)</f>
        <v>lys__L_</v>
      </c>
      <c r="AI1317" s="1">
        <f>VLOOKUP($E1317,'Product Parameters'!$A$2:$D$59,2,FALSE)</f>
        <v>1</v>
      </c>
      <c r="AJ1317" s="1">
        <f>VLOOKUP($E1317,'Product Parameters'!$A$2:$D$59,3,FALSE)</f>
        <v>0</v>
      </c>
      <c r="AK1317" s="1">
        <f>VLOOKUP($E1317,'Product Parameters'!$A$2:$D$59,4,FALSE)</f>
        <v>0.12</v>
      </c>
      <c r="AL1317" s="1">
        <f>VLOOKUP($E1317,'Product Parameters'!$A$2:$E$59,5,FALSE)</f>
        <v>40.65</v>
      </c>
      <c r="AM1317" s="1">
        <f>VLOOKUP($E1317,'Product Parameters'!$A$2:$F$59,6,FALSE)</f>
        <v>6</v>
      </c>
      <c r="AN1317" s="1">
        <f>VLOOKUP($C1317,'Substrate Heating'!$A$2:$C$33,3,FALSE)</f>
        <v>1648.4793779999998</v>
      </c>
      <c r="AO1317" s="1">
        <f>VLOOKUP($C1317,'Substrate Heating'!$A$2:$B$33,2,FALSE)</f>
        <v>17.899999999999999</v>
      </c>
      <c r="AP1317" s="1">
        <f>VLOOKUP($C1317,'Substrate Heating'!$A$2:$M$33,13,FALSE)</f>
        <v>4.666666666666667</v>
      </c>
      <c r="AQ1317" s="1">
        <f>VLOOKUP($C1317,'Substrate Heating'!$A$2:$M$33,8,FALSE)</f>
        <v>3</v>
      </c>
      <c r="AR1317" s="1">
        <f t="shared" si="20"/>
        <v>0.90515151515151404</v>
      </c>
    </row>
    <row r="1318" spans="1:44" x14ac:dyDescent="0.2">
      <c r="A1318" s="8" t="s">
        <v>34</v>
      </c>
      <c r="B1318" s="9" t="s">
        <v>35</v>
      </c>
      <c r="C1318" s="1" t="s">
        <v>348</v>
      </c>
      <c r="D1318" s="23" t="s">
        <v>338</v>
      </c>
      <c r="E1318" s="1" t="s">
        <v>254</v>
      </c>
      <c r="F1318" s="1" t="s">
        <v>255</v>
      </c>
      <c r="G1318" s="1">
        <v>-10</v>
      </c>
      <c r="H1318" s="1">
        <v>-20</v>
      </c>
      <c r="I1318" s="1" t="s">
        <v>40</v>
      </c>
      <c r="J1318" s="1">
        <v>3.15</v>
      </c>
      <c r="K1318" s="1">
        <v>-10</v>
      </c>
      <c r="L1318" s="1">
        <v>-6.8540816326530702</v>
      </c>
      <c r="M1318" s="1" t="s">
        <v>40</v>
      </c>
      <c r="N1318" s="1">
        <v>0.94897959183673097</v>
      </c>
      <c r="O1318" s="1">
        <v>1.8102040816326499</v>
      </c>
      <c r="Q1318" s="1">
        <v>0.18102040816326501</v>
      </c>
      <c r="R1318" s="1">
        <v>0.72361056578970695</v>
      </c>
      <c r="S1318" s="1" t="str">
        <f>VLOOKUP($E1318,'Product Naming'!$A$1:$P$58,2,FALSE)</f>
        <v>Itaconate</v>
      </c>
      <c r="T1318" s="1" t="str">
        <f>VLOOKUP($E1318,'Product Naming'!$A$1:$P$58,3,FALSE)</f>
        <v>Itaconate</v>
      </c>
      <c r="U1318" s="1" t="str">
        <f>VLOOKUP($E1318,'Product Naming'!$A$1:$P$58,4,FALSE)</f>
        <v>E</v>
      </c>
      <c r="V1318" s="1" t="str">
        <f>VLOOKUP($E1318,'Product Naming'!$A$1:$P$58,5,FALSE)</f>
        <v>C5H4O4</v>
      </c>
      <c r="W1318" s="1">
        <f>VLOOKUP($E1318,'Product Naming'!$A$1:$P$58,6,FALSE)</f>
        <v>5</v>
      </c>
      <c r="X1318" s="1">
        <f>VLOOKUP($E1318,'Product Naming'!$A$1:$P$58,7,FALSE)</f>
        <v>4</v>
      </c>
      <c r="Y1318" s="1">
        <f>VLOOKUP($E1318,'Product Naming'!$A$1:$P$58,8,FALSE)</f>
        <v>4</v>
      </c>
      <c r="Z1318" s="1">
        <f>VLOOKUP($E1318,'Product Naming'!$A$1:$P$58,9,FALSE)</f>
        <v>0</v>
      </c>
      <c r="AA1318" s="1">
        <f>VLOOKUP($E1318,'Product Naming'!$A$1:$P$58,10,FALSE)</f>
        <v>-2</v>
      </c>
      <c r="AB1318" s="29">
        <f>VLOOKUP($E1318,'Product Naming'!$A$1:$P$58,11,FALSE)</f>
        <v>3.2</v>
      </c>
      <c r="AC1318" s="3">
        <f>VLOOKUP($E1318,'Product Naming'!$A$1:$P$58,12,FALSE)</f>
        <v>128.08086</v>
      </c>
      <c r="AD1318" s="1">
        <f>VLOOKUP($E1318,'Product Naming'!$A$1:$P$58,13,FALSE)</f>
        <v>381</v>
      </c>
      <c r="AE1318" s="1" t="str">
        <f>VLOOKUP($E1318,'Product Naming'!$A$1:$P$58,14,FALSE)</f>
        <v>Dicarboxylate</v>
      </c>
      <c r="AF1318" s="1" t="str">
        <f>VLOOKUP($E1318,'Product Naming'!$A$1:$P$58,15,FALSE)</f>
        <v>Acetyl-CoA + Oxaloacetate</v>
      </c>
      <c r="AG1318" s="30" t="str">
        <f>VLOOKUP($E1318,'Product Naming'!$A$1:$P$58,16,FALSE)</f>
        <v>Proton symporter</v>
      </c>
      <c r="AH1318" s="3" t="str">
        <f>VLOOKUP($E1318,'Product Naming'!$A$1:$Q$58,17,FALSE)</f>
        <v>itacon_c</v>
      </c>
      <c r="AI1318" s="1">
        <f>VLOOKUP($E1318,'Product Parameters'!$A$2:$D$59,2,FALSE)</f>
        <v>1</v>
      </c>
      <c r="AJ1318" s="1">
        <f>VLOOKUP($E1318,'Product Parameters'!$A$2:$D$59,3,FALSE)</f>
        <v>0</v>
      </c>
      <c r="AK1318" s="1">
        <f>VLOOKUP($E1318,'Product Parameters'!$A$2:$D$59,4,FALSE)</f>
        <v>0.12</v>
      </c>
      <c r="AL1318" s="1">
        <f>VLOOKUP($E1318,'Product Parameters'!$A$2:$E$59,5,FALSE)</f>
        <v>40.65</v>
      </c>
      <c r="AM1318" s="1">
        <f>VLOOKUP($E1318,'Product Parameters'!$A$2:$F$59,6,FALSE)</f>
        <v>5</v>
      </c>
      <c r="AN1318" s="1">
        <f>VLOOKUP($C1318,'Substrate Heating'!$A$2:$C$33,3,FALSE)</f>
        <v>638.57832580000002</v>
      </c>
      <c r="AO1318" s="1">
        <f>VLOOKUP($C1318,'Substrate Heating'!$A$2:$B$33,2,FALSE)</f>
        <v>19.93</v>
      </c>
      <c r="AP1318" s="1">
        <f>VLOOKUP($C1318,'Substrate Heating'!$A$2:$M$33,13,FALSE)</f>
        <v>6</v>
      </c>
      <c r="AQ1318" s="1">
        <f>VLOOKUP($C1318,'Substrate Heating'!$A$2:$M$33,8,FALSE)</f>
        <v>1</v>
      </c>
      <c r="AR1318" s="1">
        <f t="shared" si="20"/>
        <v>0.90510204081632506</v>
      </c>
    </row>
    <row r="1319" spans="1:44" x14ac:dyDescent="0.2">
      <c r="A1319" s="8" t="s">
        <v>34</v>
      </c>
      <c r="B1319" s="9" t="s">
        <v>35</v>
      </c>
      <c r="C1319" s="1" t="s">
        <v>36</v>
      </c>
      <c r="D1319" s="10" t="s">
        <v>37</v>
      </c>
      <c r="E1319" s="1" t="s">
        <v>251</v>
      </c>
      <c r="F1319" s="1" t="s">
        <v>252</v>
      </c>
      <c r="G1319" s="1">
        <v>-10</v>
      </c>
      <c r="H1319" s="1">
        <v>-20</v>
      </c>
      <c r="I1319" s="1" t="s">
        <v>40</v>
      </c>
      <c r="J1319" s="1">
        <v>3.15</v>
      </c>
      <c r="K1319" s="1">
        <v>-10</v>
      </c>
      <c r="L1319" s="1">
        <v>-1.0974999999999999</v>
      </c>
      <c r="M1319" s="1" t="s">
        <v>40</v>
      </c>
      <c r="N1319" s="1">
        <v>4.0649999999999897</v>
      </c>
      <c r="O1319" s="1">
        <v>5.3116666666666701</v>
      </c>
      <c r="Q1319" s="1">
        <v>0.53116666666666601</v>
      </c>
      <c r="R1319" s="1">
        <v>0.72459838282662603</v>
      </c>
      <c r="S1319" s="1" t="str">
        <f>VLOOKUP($E1319,'Product Naming'!$A$1:$P$58,2,FALSE)</f>
        <v>Isopropanol</v>
      </c>
      <c r="T1319" s="1" t="str">
        <f>VLOOKUP($E1319,'Product Naming'!$A$1:$P$58,3,FALSE)</f>
        <v>Isopropanol</v>
      </c>
      <c r="U1319" s="1" t="str">
        <f>VLOOKUP($E1319,'Product Naming'!$A$1:$P$58,4,FALSE)</f>
        <v>A</v>
      </c>
      <c r="V1319" s="1" t="str">
        <f>VLOOKUP($E1319,'Product Naming'!$A$1:$P$58,5,FALSE)</f>
        <v>C3H8O</v>
      </c>
      <c r="W1319" s="1">
        <f>VLOOKUP($E1319,'Product Naming'!$A$1:$P$58,6,FALSE)</f>
        <v>3</v>
      </c>
      <c r="X1319" s="1">
        <f>VLOOKUP($E1319,'Product Naming'!$A$1:$P$58,7,FALSE)</f>
        <v>8</v>
      </c>
      <c r="Y1319" s="1">
        <f>VLOOKUP($E1319,'Product Naming'!$A$1:$P$58,8,FALSE)</f>
        <v>1</v>
      </c>
      <c r="Z1319" s="1">
        <f>VLOOKUP($E1319,'Product Naming'!$A$1:$P$58,9,FALSE)</f>
        <v>0</v>
      </c>
      <c r="AA1319" s="1">
        <f>VLOOKUP($E1319,'Product Naming'!$A$1:$P$58,10,FALSE)</f>
        <v>0</v>
      </c>
      <c r="AB1319" s="29">
        <f>VLOOKUP($E1319,'Product Naming'!$A$1:$P$58,11,FALSE)</f>
        <v>6</v>
      </c>
      <c r="AC1319" s="3">
        <f>VLOOKUP($E1319,'Product Naming'!$A$1:$P$58,12,FALSE)</f>
        <v>60.093820000000001</v>
      </c>
      <c r="AD1319" s="1">
        <f>VLOOKUP($E1319,'Product Naming'!$A$1:$P$58,13,FALSE)</f>
        <v>82.5</v>
      </c>
      <c r="AE1319" s="1" t="str">
        <f>VLOOKUP($E1319,'Product Naming'!$A$1:$P$58,14,FALSE)</f>
        <v>Alcohol</v>
      </c>
      <c r="AF1319" s="1" t="str">
        <f>VLOOKUP($E1319,'Product Naming'!$A$1:$P$58,15,FALSE)</f>
        <v>Acetyl-CoA</v>
      </c>
      <c r="AG1319" s="30" t="str">
        <f>VLOOKUP($E1319,'Product Naming'!$A$1:$P$58,16,FALSE)</f>
        <v>Proton symporter</v>
      </c>
      <c r="AH1319" s="3" t="str">
        <f>VLOOKUP($E1319,'Product Naming'!$A$1:$Q$58,17,FALSE)</f>
        <v>2ppoh_c</v>
      </c>
      <c r="AI1319" s="1">
        <f>VLOOKUP($E1319,'Product Parameters'!$A$2:$D$59,2,FALSE)</f>
        <v>1</v>
      </c>
      <c r="AJ1319" s="1">
        <f>VLOOKUP($E1319,'Product Parameters'!$A$2:$D$59,3,FALSE)</f>
        <v>0</v>
      </c>
      <c r="AK1319" s="1">
        <f>VLOOKUP($E1319,'Product Parameters'!$A$2:$D$59,4,FALSE)</f>
        <v>0.12</v>
      </c>
      <c r="AL1319" s="1">
        <f>VLOOKUP($E1319,'Product Parameters'!$A$2:$E$59,5,FALSE)</f>
        <v>45</v>
      </c>
      <c r="AM1319" s="1">
        <f>VLOOKUP($E1319,'Product Parameters'!$A$2:$F$59,6,FALSE)</f>
        <v>3</v>
      </c>
      <c r="AN1319" s="1">
        <f>VLOOKUP($C1319,'Substrate Heating'!$A$2:$C$33,3,FALSE)</f>
        <v>1064.1143145599999</v>
      </c>
      <c r="AO1319" s="1">
        <f>VLOOKUP($C1319,'Substrate Heating'!$A$2:$B$33,2,FALSE)</f>
        <v>24.155999999999999</v>
      </c>
      <c r="AP1319" s="1">
        <f>VLOOKUP($C1319,'Substrate Heating'!$A$2:$M$33,13,FALSE)</f>
        <v>5</v>
      </c>
      <c r="AQ1319" s="1">
        <f>VLOOKUP($C1319,'Substrate Heating'!$A$2:$M$33,8,FALSE)</f>
        <v>2</v>
      </c>
      <c r="AR1319" s="1">
        <f t="shared" si="20"/>
        <v>0.79674999999999896</v>
      </c>
    </row>
    <row r="1320" spans="1:44" x14ac:dyDescent="0.2">
      <c r="A1320" s="8" t="s">
        <v>812</v>
      </c>
      <c r="B1320" s="9" t="s">
        <v>35</v>
      </c>
      <c r="C1320" t="s">
        <v>813</v>
      </c>
      <c r="E1320" t="s">
        <v>251</v>
      </c>
      <c r="F1320" t="s">
        <v>252</v>
      </c>
      <c r="G1320">
        <v>-10</v>
      </c>
      <c r="H1320">
        <v>-20</v>
      </c>
      <c r="I1320">
        <v>0</v>
      </c>
      <c r="J1320">
        <v>3.15</v>
      </c>
      <c r="K1320">
        <v>-10</v>
      </c>
      <c r="L1320">
        <v>-12.126724137930999</v>
      </c>
      <c r="M1320">
        <v>0</v>
      </c>
      <c r="N1320">
        <v>8.0844827586206893</v>
      </c>
      <c r="O1320">
        <v>7.3051724137931</v>
      </c>
      <c r="P1320"/>
      <c r="Q1320">
        <v>0.73051724137930996</v>
      </c>
      <c r="R1320">
        <v>0.73050046609953501</v>
      </c>
      <c r="S1320" s="1" t="str">
        <f>VLOOKUP($E1320,'Product Naming'!$A$1:$P$58,2,FALSE)</f>
        <v>Isopropanol</v>
      </c>
      <c r="T1320" s="1" t="str">
        <f>VLOOKUP($E1320,'Product Naming'!$A$1:$P$58,3,FALSE)</f>
        <v>Isopropanol</v>
      </c>
      <c r="U1320" s="1" t="str">
        <f>VLOOKUP($E1320,'Product Naming'!$A$1:$P$58,4,FALSE)</f>
        <v>A</v>
      </c>
      <c r="V1320" s="1" t="str">
        <f>VLOOKUP($E1320,'Product Naming'!$A$1:$P$58,5,FALSE)</f>
        <v>C3H8O</v>
      </c>
      <c r="W1320" s="1">
        <f>VLOOKUP($E1320,'Product Naming'!$A$1:$P$58,6,FALSE)</f>
        <v>3</v>
      </c>
      <c r="X1320" s="1">
        <f>VLOOKUP($E1320,'Product Naming'!$A$1:$P$58,7,FALSE)</f>
        <v>8</v>
      </c>
      <c r="Y1320" s="1">
        <f>VLOOKUP($E1320,'Product Naming'!$A$1:$P$58,8,FALSE)</f>
        <v>1</v>
      </c>
      <c r="Z1320" s="1">
        <f>VLOOKUP($E1320,'Product Naming'!$A$1:$P$58,9,FALSE)</f>
        <v>0</v>
      </c>
      <c r="AA1320" s="1">
        <f>VLOOKUP($E1320,'Product Naming'!$A$1:$P$58,10,FALSE)</f>
        <v>0</v>
      </c>
      <c r="AB1320" s="29">
        <f>VLOOKUP($E1320,'Product Naming'!$A$1:$P$58,11,FALSE)</f>
        <v>6</v>
      </c>
      <c r="AC1320" s="3">
        <f>VLOOKUP($E1320,'Product Naming'!$A$1:$P$58,12,FALSE)</f>
        <v>60.093820000000001</v>
      </c>
      <c r="AD1320" s="1">
        <f>VLOOKUP($E1320,'Product Naming'!$A$1:$P$58,13,FALSE)</f>
        <v>82.5</v>
      </c>
      <c r="AE1320" s="1" t="str">
        <f>VLOOKUP($E1320,'Product Naming'!$A$1:$P$58,14,FALSE)</f>
        <v>Alcohol</v>
      </c>
      <c r="AF1320" s="1" t="str">
        <f>VLOOKUP($E1320,'Product Naming'!$A$1:$P$58,15,FALSE)</f>
        <v>Acetyl-CoA</v>
      </c>
      <c r="AG1320" s="30" t="str">
        <f>VLOOKUP($E1320,'Product Naming'!$A$1:$P$58,16,FALSE)</f>
        <v>Proton symporter</v>
      </c>
      <c r="AH1320" s="3" t="str">
        <f>VLOOKUP($E1320,'Product Naming'!$A$1:$Q$58,17,FALSE)</f>
        <v>2ppoh_c</v>
      </c>
      <c r="AI1320" s="1">
        <f>VLOOKUP($E1320,'Product Parameters'!$A$2:$D$59,2,FALSE)</f>
        <v>1</v>
      </c>
      <c r="AJ1320" s="1">
        <f>VLOOKUP($E1320,'Product Parameters'!$A$2:$D$59,3,FALSE)</f>
        <v>0</v>
      </c>
      <c r="AK1320" s="1">
        <f>VLOOKUP($E1320,'Product Parameters'!$A$2:$D$59,4,FALSE)</f>
        <v>0.12</v>
      </c>
      <c r="AL1320" s="1">
        <f>VLOOKUP($E1320,'Product Parameters'!$A$2:$E$59,5,FALSE)</f>
        <v>45</v>
      </c>
      <c r="AM1320" s="1">
        <f>VLOOKUP($E1320,'Product Parameters'!$A$2:$F$59,6,FALSE)</f>
        <v>3</v>
      </c>
      <c r="AN1320" s="1">
        <f>VLOOKUP($C1320,'Substrate Heating'!$A$2:$C$33,3,FALSE)</f>
        <v>1843.720736</v>
      </c>
      <c r="AO1320" s="1">
        <f>VLOOKUP($C1320,'Substrate Heating'!$A$2:$B$33,2,FALSE)</f>
        <v>30.68</v>
      </c>
      <c r="AP1320" s="1">
        <f>VLOOKUP($C1320,'Substrate Heating'!$A$2:$M$33,13,FALSE)</f>
        <v>6</v>
      </c>
      <c r="AQ1320" s="1">
        <f>VLOOKUP($C1320,'Substrate Heating'!$A$2:$M$33,8,FALSE)</f>
        <v>3</v>
      </c>
      <c r="AR1320" s="1">
        <f t="shared" si="20"/>
        <v>0.73051724137930985</v>
      </c>
    </row>
    <row r="1321" spans="1:44" x14ac:dyDescent="0.2">
      <c r="A1321" s="8" t="s">
        <v>34</v>
      </c>
      <c r="B1321" s="9" t="s">
        <v>35</v>
      </c>
      <c r="C1321" s="1" t="s">
        <v>36</v>
      </c>
      <c r="D1321" s="10" t="s">
        <v>37</v>
      </c>
      <c r="E1321" s="1" t="s">
        <v>175</v>
      </c>
      <c r="F1321" s="1" t="s">
        <v>176</v>
      </c>
      <c r="G1321" s="1">
        <v>-10</v>
      </c>
      <c r="H1321" s="1">
        <v>-20</v>
      </c>
      <c r="I1321" s="1" t="s">
        <v>40</v>
      </c>
      <c r="J1321" s="1">
        <v>3.15</v>
      </c>
      <c r="K1321" s="1">
        <v>-10</v>
      </c>
      <c r="L1321" s="1">
        <v>-5.9965517241379303</v>
      </c>
      <c r="M1321" s="1" t="s">
        <v>40</v>
      </c>
      <c r="N1321" s="1">
        <v>2.4583554376657801</v>
      </c>
      <c r="O1321" s="1">
        <v>2.9236074270557002</v>
      </c>
      <c r="Q1321" s="1">
        <v>0.29236074270557</v>
      </c>
      <c r="R1321" s="1">
        <v>0.73076805978117199</v>
      </c>
      <c r="S1321" s="1" t="str">
        <f>VLOOKUP($E1321,'Product Naming'!$A$1:$P$58,2,FALSE)</f>
        <v>Catechol</v>
      </c>
      <c r="T1321" s="1" t="str">
        <f>VLOOKUP($E1321,'Product Naming'!$A$1:$P$58,3,FALSE)</f>
        <v>Catechol</v>
      </c>
      <c r="U1321" s="1" t="str">
        <f>VLOOKUP($E1321,'Product Naming'!$A$1:$P$58,4,FALSE)</f>
        <v>E</v>
      </c>
      <c r="V1321" s="1" t="str">
        <f>VLOOKUP($E1321,'Product Naming'!$A$1:$P$58,5,FALSE)</f>
        <v>C6H6O2</v>
      </c>
      <c r="W1321" s="1">
        <f>VLOOKUP($E1321,'Product Naming'!$A$1:$P$58,6,FALSE)</f>
        <v>6</v>
      </c>
      <c r="X1321" s="1">
        <f>VLOOKUP($E1321,'Product Naming'!$A$1:$P$58,7,FALSE)</f>
        <v>6</v>
      </c>
      <c r="Y1321" s="1">
        <f>VLOOKUP($E1321,'Product Naming'!$A$1:$P$58,8,FALSE)</f>
        <v>2</v>
      </c>
      <c r="Z1321" s="1">
        <f>VLOOKUP($E1321,'Product Naming'!$A$1:$P$58,9,FALSE)</f>
        <v>0</v>
      </c>
      <c r="AA1321" s="1">
        <f>VLOOKUP($E1321,'Product Naming'!$A$1:$P$58,10,FALSE)</f>
        <v>0</v>
      </c>
      <c r="AB1321" s="29">
        <f>VLOOKUP($E1321,'Product Naming'!$A$1:$P$58,11,FALSE)</f>
        <v>4.333333333333333</v>
      </c>
      <c r="AC1321" s="3">
        <f>VLOOKUP($E1321,'Product Naming'!$A$1:$P$58,12,FALSE)</f>
        <v>110.10924</v>
      </c>
      <c r="AD1321" s="1">
        <f>VLOOKUP($E1321,'Product Naming'!$A$1:$P$58,13,FALSE)</f>
        <v>245</v>
      </c>
      <c r="AE1321" s="1" t="str">
        <f>VLOOKUP($E1321,'Product Naming'!$A$1:$P$58,14,FALSE)</f>
        <v>Aromatic + Diol</v>
      </c>
      <c r="AF1321" s="1" t="str">
        <f>VLOOKUP($E1321,'Product Naming'!$A$1:$P$58,15,FALSE)</f>
        <v>Glyceraldehyde 3-P</v>
      </c>
      <c r="AG1321" s="30" t="str">
        <f>VLOOKUP($E1321,'Product Naming'!$A$1:$P$58,16,FALSE)</f>
        <v>Proton symporter</v>
      </c>
      <c r="AH1321" s="3" t="str">
        <f>VLOOKUP($E1321,'Product Naming'!$A$1:$Q$58,17,FALSE)</f>
        <v>catechol_c</v>
      </c>
      <c r="AI1321" s="1">
        <f>VLOOKUP($E1321,'Product Parameters'!$A$2:$D$59,2,FALSE)</f>
        <v>1</v>
      </c>
      <c r="AJ1321" s="1">
        <f>VLOOKUP($E1321,'Product Parameters'!$A$2:$D$59,3,FALSE)</f>
        <v>0</v>
      </c>
      <c r="AK1321" s="1">
        <f>VLOOKUP($E1321,'Product Parameters'!$A$2:$D$59,4,FALSE)</f>
        <v>0.12</v>
      </c>
      <c r="AL1321" s="1">
        <f>VLOOKUP($E1321,'Product Parameters'!$A$2:$E$59,5,FALSE)</f>
        <v>40.65</v>
      </c>
      <c r="AM1321" s="1">
        <f>VLOOKUP($E1321,'Product Parameters'!$A$2:$F$59,6,FALSE)</f>
        <v>6</v>
      </c>
      <c r="AN1321" s="1">
        <f>VLOOKUP($C1321,'Substrate Heating'!$A$2:$C$33,3,FALSE)</f>
        <v>1064.1143145599999</v>
      </c>
      <c r="AO1321" s="1">
        <f>VLOOKUP($C1321,'Substrate Heating'!$A$2:$B$33,2,FALSE)</f>
        <v>24.155999999999999</v>
      </c>
      <c r="AP1321" s="1">
        <f>VLOOKUP($C1321,'Substrate Heating'!$A$2:$M$33,13,FALSE)</f>
        <v>5</v>
      </c>
      <c r="AQ1321" s="1">
        <f>VLOOKUP($C1321,'Substrate Heating'!$A$2:$M$33,8,FALSE)</f>
        <v>2</v>
      </c>
      <c r="AR1321" s="1">
        <f t="shared" si="20"/>
        <v>0.87708222811670999</v>
      </c>
    </row>
    <row r="1322" spans="1:44" x14ac:dyDescent="0.2">
      <c r="A1322" s="8" t="s">
        <v>34</v>
      </c>
      <c r="B1322" s="9" t="s">
        <v>35</v>
      </c>
      <c r="C1322" s="1" t="s">
        <v>346</v>
      </c>
      <c r="D1322" s="23" t="s">
        <v>338</v>
      </c>
      <c r="E1322" s="1" t="s">
        <v>132</v>
      </c>
      <c r="F1322" s="1" t="s">
        <v>133</v>
      </c>
      <c r="G1322" s="1">
        <v>-10</v>
      </c>
      <c r="H1322" s="1">
        <v>-20</v>
      </c>
      <c r="I1322" s="1" t="s">
        <v>40</v>
      </c>
      <c r="J1322" s="1">
        <v>3.15</v>
      </c>
      <c r="K1322" s="1">
        <v>-10</v>
      </c>
      <c r="L1322" s="1">
        <v>-4.4273770491803299</v>
      </c>
      <c r="M1322" s="1" t="s">
        <v>40</v>
      </c>
      <c r="N1322" s="1">
        <v>0.24065573770491699</v>
      </c>
      <c r="O1322" s="1">
        <v>1.6265573770491799</v>
      </c>
      <c r="Q1322" s="1">
        <v>0.16265573770491801</v>
      </c>
      <c r="R1322" s="1">
        <v>0.73163683950489999</v>
      </c>
      <c r="S1322" s="1" t="str">
        <f>VLOOKUP($E1322,'Product Naming'!$A$1:$P$58,2,FALSE)</f>
        <v>Adipate</v>
      </c>
      <c r="T1322" s="1" t="str">
        <f>VLOOKUP($E1322,'Product Naming'!$A$1:$P$58,3,FALSE)</f>
        <v>Adipate</v>
      </c>
      <c r="U1322" s="1" t="str">
        <f>VLOOKUP($E1322,'Product Naming'!$A$1:$P$58,4,FALSE)</f>
        <v>E</v>
      </c>
      <c r="V1322" s="1" t="str">
        <f>VLOOKUP($E1322,'Product Naming'!$A$1:$P$58,5,FALSE)</f>
        <v>C6H8O4</v>
      </c>
      <c r="W1322" s="1">
        <f>VLOOKUP($E1322,'Product Naming'!$A$1:$P$58,6,FALSE)</f>
        <v>6</v>
      </c>
      <c r="X1322" s="1">
        <f>VLOOKUP($E1322,'Product Naming'!$A$1:$P$58,7,FALSE)</f>
        <v>8</v>
      </c>
      <c r="Y1322" s="1">
        <f>VLOOKUP($E1322,'Product Naming'!$A$1:$P$58,8,FALSE)</f>
        <v>4</v>
      </c>
      <c r="Z1322" s="1">
        <f>VLOOKUP($E1322,'Product Naming'!$A$1:$P$58,9,FALSE)</f>
        <v>0</v>
      </c>
      <c r="AA1322" s="1">
        <f>VLOOKUP($E1322,'Product Naming'!$A$1:$P$58,10,FALSE)</f>
        <v>-2</v>
      </c>
      <c r="AB1322" s="29">
        <f>VLOOKUP($E1322,'Product Naming'!$A$1:$P$58,11,FALSE)</f>
        <v>4</v>
      </c>
      <c r="AC1322" s="3">
        <f>VLOOKUP($E1322,'Product Naming'!$A$1:$P$58,12,FALSE)</f>
        <v>144.12291999999999</v>
      </c>
      <c r="AD1322" s="1">
        <f>VLOOKUP($E1322,'Product Naming'!$A$1:$P$58,13,FALSE)</f>
        <v>337.5</v>
      </c>
      <c r="AE1322" s="1" t="str">
        <f>VLOOKUP($E1322,'Product Naming'!$A$1:$P$58,14,FALSE)</f>
        <v>Dicarboxylate</v>
      </c>
      <c r="AF1322" s="1" t="str">
        <f>VLOOKUP($E1322,'Product Naming'!$A$1:$P$58,15,FALSE)</f>
        <v>Glyceraldehyde 3-P</v>
      </c>
      <c r="AG1322" s="30" t="str">
        <f>VLOOKUP($E1322,'Product Naming'!$A$1:$P$58,16,FALSE)</f>
        <v>Proton symporter</v>
      </c>
      <c r="AH1322" s="3" t="str">
        <f>VLOOKUP($E1322,'Product Naming'!$A$1:$Q$58,17,FALSE)</f>
        <v>adpac_c</v>
      </c>
      <c r="AI1322" s="1">
        <f>VLOOKUP($E1322,'Product Parameters'!$A$2:$D$59,2,FALSE)</f>
        <v>1</v>
      </c>
      <c r="AJ1322" s="1">
        <f>VLOOKUP($E1322,'Product Parameters'!$A$2:$D$59,3,FALSE)</f>
        <v>0</v>
      </c>
      <c r="AK1322" s="1">
        <f>VLOOKUP($E1322,'Product Parameters'!$A$2:$D$59,4,FALSE)</f>
        <v>0.12</v>
      </c>
      <c r="AL1322" s="1">
        <f>VLOOKUP($E1322,'Product Parameters'!$A$2:$E$59,5,FALSE)</f>
        <v>40.65</v>
      </c>
      <c r="AM1322" s="1">
        <f>VLOOKUP($E1322,'Product Parameters'!$A$2:$F$59,6,FALSE)</f>
        <v>6</v>
      </c>
      <c r="AN1322" s="1">
        <f>VLOOKUP($C1322,'Substrate Heating'!$A$2:$C$33,3,FALSE)</f>
        <v>638.57832580000002</v>
      </c>
      <c r="AO1322" s="1">
        <f>VLOOKUP($C1322,'Substrate Heating'!$A$2:$B$33,2,FALSE)</f>
        <v>19.93</v>
      </c>
      <c r="AP1322" s="1">
        <f>VLOOKUP($C1322,'Substrate Heating'!$A$2:$M$33,13,FALSE)</f>
        <v>6</v>
      </c>
      <c r="AQ1322" s="1">
        <f>VLOOKUP($C1322,'Substrate Heating'!$A$2:$M$33,8,FALSE)</f>
        <v>1</v>
      </c>
      <c r="AR1322" s="1">
        <f t="shared" si="20"/>
        <v>0.97593442622950799</v>
      </c>
    </row>
    <row r="1323" spans="1:44" x14ac:dyDescent="0.2">
      <c r="A1323" s="8" t="s">
        <v>34</v>
      </c>
      <c r="B1323" s="9" t="s">
        <v>35</v>
      </c>
      <c r="C1323" s="1" t="s">
        <v>347</v>
      </c>
      <c r="D1323" s="23" t="s">
        <v>338</v>
      </c>
      <c r="E1323" s="1" t="s">
        <v>132</v>
      </c>
      <c r="F1323" s="1" t="s">
        <v>133</v>
      </c>
      <c r="G1323" s="1">
        <v>-10</v>
      </c>
      <c r="H1323" s="1">
        <v>-20</v>
      </c>
      <c r="I1323" s="1" t="s">
        <v>40</v>
      </c>
      <c r="J1323" s="1">
        <v>3.15</v>
      </c>
      <c r="K1323" s="1">
        <v>-10</v>
      </c>
      <c r="L1323" s="1">
        <v>-4.4273770491803299</v>
      </c>
      <c r="M1323" s="1" t="s">
        <v>40</v>
      </c>
      <c r="N1323" s="1">
        <v>0.24065573770491999</v>
      </c>
      <c r="O1323" s="1">
        <v>1.6265573770491799</v>
      </c>
      <c r="Q1323" s="1">
        <v>0.16265573770491801</v>
      </c>
      <c r="R1323" s="1">
        <v>0.73163683950490099</v>
      </c>
      <c r="S1323" s="1" t="str">
        <f>VLOOKUP($E1323,'Product Naming'!$A$1:$P$58,2,FALSE)</f>
        <v>Adipate</v>
      </c>
      <c r="T1323" s="1" t="str">
        <f>VLOOKUP($E1323,'Product Naming'!$A$1:$P$58,3,FALSE)</f>
        <v>Adipate</v>
      </c>
      <c r="U1323" s="1" t="str">
        <f>VLOOKUP($E1323,'Product Naming'!$A$1:$P$58,4,FALSE)</f>
        <v>E</v>
      </c>
      <c r="V1323" s="1" t="str">
        <f>VLOOKUP($E1323,'Product Naming'!$A$1:$P$58,5,FALSE)</f>
        <v>C6H8O4</v>
      </c>
      <c r="W1323" s="1">
        <f>VLOOKUP($E1323,'Product Naming'!$A$1:$P$58,6,FALSE)</f>
        <v>6</v>
      </c>
      <c r="X1323" s="1">
        <f>VLOOKUP($E1323,'Product Naming'!$A$1:$P$58,7,FALSE)</f>
        <v>8</v>
      </c>
      <c r="Y1323" s="1">
        <f>VLOOKUP($E1323,'Product Naming'!$A$1:$P$58,8,FALSE)</f>
        <v>4</v>
      </c>
      <c r="Z1323" s="1">
        <f>VLOOKUP($E1323,'Product Naming'!$A$1:$P$58,9,FALSE)</f>
        <v>0</v>
      </c>
      <c r="AA1323" s="1">
        <f>VLOOKUP($E1323,'Product Naming'!$A$1:$P$58,10,FALSE)</f>
        <v>-2</v>
      </c>
      <c r="AB1323" s="29">
        <f>VLOOKUP($E1323,'Product Naming'!$A$1:$P$58,11,FALSE)</f>
        <v>4</v>
      </c>
      <c r="AC1323" s="3">
        <f>VLOOKUP($E1323,'Product Naming'!$A$1:$P$58,12,FALSE)</f>
        <v>144.12291999999999</v>
      </c>
      <c r="AD1323" s="1">
        <f>VLOOKUP($E1323,'Product Naming'!$A$1:$P$58,13,FALSE)</f>
        <v>337.5</v>
      </c>
      <c r="AE1323" s="1" t="str">
        <f>VLOOKUP($E1323,'Product Naming'!$A$1:$P$58,14,FALSE)</f>
        <v>Dicarboxylate</v>
      </c>
      <c r="AF1323" s="1" t="str">
        <f>VLOOKUP($E1323,'Product Naming'!$A$1:$P$58,15,FALSE)</f>
        <v>Glyceraldehyde 3-P</v>
      </c>
      <c r="AG1323" s="30" t="str">
        <f>VLOOKUP($E1323,'Product Naming'!$A$1:$P$58,16,FALSE)</f>
        <v>Proton symporter</v>
      </c>
      <c r="AH1323" s="3" t="str">
        <f>VLOOKUP($E1323,'Product Naming'!$A$1:$Q$58,17,FALSE)</f>
        <v>adpac_c</v>
      </c>
      <c r="AI1323" s="1">
        <f>VLOOKUP($E1323,'Product Parameters'!$A$2:$D$59,2,FALSE)</f>
        <v>1</v>
      </c>
      <c r="AJ1323" s="1">
        <f>VLOOKUP($E1323,'Product Parameters'!$A$2:$D$59,3,FALSE)</f>
        <v>0</v>
      </c>
      <c r="AK1323" s="1">
        <f>VLOOKUP($E1323,'Product Parameters'!$A$2:$D$59,4,FALSE)</f>
        <v>0.12</v>
      </c>
      <c r="AL1323" s="1">
        <f>VLOOKUP($E1323,'Product Parameters'!$A$2:$E$59,5,FALSE)</f>
        <v>40.65</v>
      </c>
      <c r="AM1323" s="1">
        <f>VLOOKUP($E1323,'Product Parameters'!$A$2:$F$59,6,FALSE)</f>
        <v>6</v>
      </c>
      <c r="AN1323" s="1">
        <f>VLOOKUP($C1323,'Substrate Heating'!$A$2:$C$33,3,FALSE)</f>
        <v>638.57832580000002</v>
      </c>
      <c r="AO1323" s="1">
        <f>VLOOKUP($C1323,'Substrate Heating'!$A$2:$B$33,2,FALSE)</f>
        <v>19.93</v>
      </c>
      <c r="AP1323" s="1">
        <f>VLOOKUP($C1323,'Substrate Heating'!$A$2:$M$33,13,FALSE)</f>
        <v>6</v>
      </c>
      <c r="AQ1323" s="1">
        <f>VLOOKUP($C1323,'Substrate Heating'!$A$2:$M$33,8,FALSE)</f>
        <v>1</v>
      </c>
      <c r="AR1323" s="1">
        <f t="shared" si="20"/>
        <v>0.97593442622950799</v>
      </c>
    </row>
    <row r="1324" spans="1:44" x14ac:dyDescent="0.2">
      <c r="A1324" s="8" t="s">
        <v>34</v>
      </c>
      <c r="B1324" s="9" t="s">
        <v>35</v>
      </c>
      <c r="C1324" s="1" t="s">
        <v>346</v>
      </c>
      <c r="D1324" s="23" t="s">
        <v>338</v>
      </c>
      <c r="E1324" s="1" t="s">
        <v>52</v>
      </c>
      <c r="F1324" s="1" t="s">
        <v>53</v>
      </c>
      <c r="G1324" s="1">
        <v>-10</v>
      </c>
      <c r="H1324" s="1">
        <v>-20</v>
      </c>
      <c r="I1324" s="1" t="s">
        <v>40</v>
      </c>
      <c r="J1324" s="1">
        <v>3.15</v>
      </c>
      <c r="K1324" s="1">
        <v>-10</v>
      </c>
      <c r="L1324" s="1">
        <v>-2.6675324675324701</v>
      </c>
      <c r="M1324" s="1" t="s">
        <v>40</v>
      </c>
      <c r="N1324" s="1">
        <v>0.75064935064935201</v>
      </c>
      <c r="O1324" s="1">
        <v>3.08311688311688</v>
      </c>
      <c r="Q1324" s="1">
        <v>0.30831168831168798</v>
      </c>
      <c r="R1324" s="1">
        <v>0.73264500166794899</v>
      </c>
      <c r="S1324" s="1" t="str">
        <f>VLOOKUP($E1324,'Product Naming'!$A$1:$P$58,2,FALSE)</f>
        <v>1-3-Diaminopropane</v>
      </c>
      <c r="T1324" s="1" t="str">
        <f>VLOOKUP($E1324,'Product Naming'!$A$1:$P$58,3,FALSE)</f>
        <v>1,3-Diaminopropane</v>
      </c>
      <c r="U1324" s="1" t="str">
        <f>VLOOKUP($E1324,'Product Naming'!$A$1:$P$58,4,FALSE)</f>
        <v>A</v>
      </c>
      <c r="V1324" s="1" t="str">
        <f>VLOOKUP($E1324,'Product Naming'!$A$1:$P$58,5,FALSE)</f>
        <v>C3H12N2</v>
      </c>
      <c r="W1324" s="1">
        <f>VLOOKUP($E1324,'Product Naming'!$A$1:$P$58,6,FALSE)</f>
        <v>3</v>
      </c>
      <c r="X1324" s="1">
        <f>VLOOKUP($E1324,'Product Naming'!$A$1:$P$58,7,FALSE)</f>
        <v>12</v>
      </c>
      <c r="Y1324" s="1">
        <f>VLOOKUP($E1324,'Product Naming'!$A$1:$P$58,8,FALSE)</f>
        <v>0</v>
      </c>
      <c r="Z1324" s="1">
        <f>VLOOKUP($E1324,'Product Naming'!$A$1:$P$58,9,FALSE)</f>
        <v>2</v>
      </c>
      <c r="AA1324" s="1">
        <f>VLOOKUP($E1324,'Product Naming'!$A$1:$P$58,10,FALSE)</f>
        <v>2</v>
      </c>
      <c r="AB1324" s="29">
        <f>VLOOKUP($E1324,'Product Naming'!$A$1:$P$58,11,FALSE)</f>
        <v>6</v>
      </c>
      <c r="AC1324" s="3">
        <f>VLOOKUP($E1324,'Product Naming'!$A$1:$P$58,12,FALSE)</f>
        <v>76.139580000000009</v>
      </c>
      <c r="AD1324" s="1">
        <f>VLOOKUP($E1324,'Product Naming'!$A$1:$P$58,13,FALSE)</f>
        <v>139.30000000000001</v>
      </c>
      <c r="AE1324" s="1" t="str">
        <f>VLOOKUP($E1324,'Product Naming'!$A$1:$P$58,14,FALSE)</f>
        <v>Diamine</v>
      </c>
      <c r="AF1324" s="1" t="str">
        <f>VLOOKUP($E1324,'Product Naming'!$A$1:$P$58,15,FALSE)</f>
        <v>Oxaloacetate + aKG</v>
      </c>
      <c r="AG1324" s="30" t="str">
        <f>VLOOKUP($E1324,'Product Naming'!$A$1:$P$58,16,FALSE)</f>
        <v>Proton symporter</v>
      </c>
      <c r="AH1324" s="3" t="str">
        <f>VLOOKUP($E1324,'Product Naming'!$A$1:$Q$58,17,FALSE)</f>
        <v>13dampp_c</v>
      </c>
      <c r="AI1324" s="1">
        <f>VLOOKUP($E1324,'Product Parameters'!$A$2:$D$59,2,FALSE)</f>
        <v>1</v>
      </c>
      <c r="AJ1324" s="1">
        <f>VLOOKUP($E1324,'Product Parameters'!$A$2:$D$59,3,FALSE)</f>
        <v>0</v>
      </c>
      <c r="AK1324" s="1">
        <f>VLOOKUP($E1324,'Product Parameters'!$A$2:$D$59,4,FALSE)</f>
        <v>0.12</v>
      </c>
      <c r="AL1324" s="1">
        <f>VLOOKUP($E1324,'Product Parameters'!$A$2:$E$59,5,FALSE)</f>
        <v>50.18</v>
      </c>
      <c r="AM1324" s="1">
        <f>VLOOKUP($E1324,'Product Parameters'!$A$2:$F$59,6,FALSE)</f>
        <v>3</v>
      </c>
      <c r="AN1324" s="1">
        <f>VLOOKUP($C1324,'Substrate Heating'!$A$2:$C$33,3,FALSE)</f>
        <v>638.57832580000002</v>
      </c>
      <c r="AO1324" s="1">
        <f>VLOOKUP($C1324,'Substrate Heating'!$A$2:$B$33,2,FALSE)</f>
        <v>19.93</v>
      </c>
      <c r="AP1324" s="1">
        <f>VLOOKUP($C1324,'Substrate Heating'!$A$2:$M$33,13,FALSE)</f>
        <v>6</v>
      </c>
      <c r="AQ1324" s="1">
        <f>VLOOKUP($C1324,'Substrate Heating'!$A$2:$M$33,8,FALSE)</f>
        <v>1</v>
      </c>
      <c r="AR1324" s="1">
        <f t="shared" si="20"/>
        <v>0.92493506493506394</v>
      </c>
    </row>
    <row r="1325" spans="1:44" x14ac:dyDescent="0.2">
      <c r="A1325" s="8" t="s">
        <v>34</v>
      </c>
      <c r="B1325" s="9" t="s">
        <v>35</v>
      </c>
      <c r="C1325" s="1" t="s">
        <v>347</v>
      </c>
      <c r="D1325" s="23" t="s">
        <v>338</v>
      </c>
      <c r="E1325" s="1" t="s">
        <v>52</v>
      </c>
      <c r="F1325" s="1" t="s">
        <v>53</v>
      </c>
      <c r="G1325" s="1">
        <v>-10</v>
      </c>
      <c r="H1325" s="1">
        <v>-20</v>
      </c>
      <c r="I1325" s="1" t="s">
        <v>40</v>
      </c>
      <c r="J1325" s="1">
        <v>3.15</v>
      </c>
      <c r="K1325" s="1">
        <v>-10</v>
      </c>
      <c r="L1325" s="1">
        <v>-2.6675324675324701</v>
      </c>
      <c r="M1325" s="1" t="s">
        <v>40</v>
      </c>
      <c r="N1325" s="1">
        <v>0.75064935064937199</v>
      </c>
      <c r="O1325" s="1">
        <v>3.0831168831168898</v>
      </c>
      <c r="Q1325" s="1">
        <v>0.30831168831168898</v>
      </c>
      <c r="R1325" s="1">
        <v>0.73264500166794999</v>
      </c>
      <c r="S1325" s="1" t="str">
        <f>VLOOKUP($E1325,'Product Naming'!$A$1:$P$58,2,FALSE)</f>
        <v>1-3-Diaminopropane</v>
      </c>
      <c r="T1325" s="1" t="str">
        <f>VLOOKUP($E1325,'Product Naming'!$A$1:$P$58,3,FALSE)</f>
        <v>1,3-Diaminopropane</v>
      </c>
      <c r="U1325" s="1" t="str">
        <f>VLOOKUP($E1325,'Product Naming'!$A$1:$P$58,4,FALSE)</f>
        <v>A</v>
      </c>
      <c r="V1325" s="1" t="str">
        <f>VLOOKUP($E1325,'Product Naming'!$A$1:$P$58,5,FALSE)</f>
        <v>C3H12N2</v>
      </c>
      <c r="W1325" s="1">
        <f>VLOOKUP($E1325,'Product Naming'!$A$1:$P$58,6,FALSE)</f>
        <v>3</v>
      </c>
      <c r="X1325" s="1">
        <f>VLOOKUP($E1325,'Product Naming'!$A$1:$P$58,7,FALSE)</f>
        <v>12</v>
      </c>
      <c r="Y1325" s="1">
        <f>VLOOKUP($E1325,'Product Naming'!$A$1:$P$58,8,FALSE)</f>
        <v>0</v>
      </c>
      <c r="Z1325" s="1">
        <f>VLOOKUP($E1325,'Product Naming'!$A$1:$P$58,9,FALSE)</f>
        <v>2</v>
      </c>
      <c r="AA1325" s="1">
        <f>VLOOKUP($E1325,'Product Naming'!$A$1:$P$58,10,FALSE)</f>
        <v>2</v>
      </c>
      <c r="AB1325" s="29">
        <f>VLOOKUP($E1325,'Product Naming'!$A$1:$P$58,11,FALSE)</f>
        <v>6</v>
      </c>
      <c r="AC1325" s="3">
        <f>VLOOKUP($E1325,'Product Naming'!$A$1:$P$58,12,FALSE)</f>
        <v>76.139580000000009</v>
      </c>
      <c r="AD1325" s="1">
        <f>VLOOKUP($E1325,'Product Naming'!$A$1:$P$58,13,FALSE)</f>
        <v>139.30000000000001</v>
      </c>
      <c r="AE1325" s="1" t="str">
        <f>VLOOKUP($E1325,'Product Naming'!$A$1:$P$58,14,FALSE)</f>
        <v>Diamine</v>
      </c>
      <c r="AF1325" s="1" t="str">
        <f>VLOOKUP($E1325,'Product Naming'!$A$1:$P$58,15,FALSE)</f>
        <v>Oxaloacetate + aKG</v>
      </c>
      <c r="AG1325" s="30" t="str">
        <f>VLOOKUP($E1325,'Product Naming'!$A$1:$P$58,16,FALSE)</f>
        <v>Proton symporter</v>
      </c>
      <c r="AH1325" s="3" t="str">
        <f>VLOOKUP($E1325,'Product Naming'!$A$1:$Q$58,17,FALSE)</f>
        <v>13dampp_c</v>
      </c>
      <c r="AI1325" s="1">
        <f>VLOOKUP($E1325,'Product Parameters'!$A$2:$D$59,2,FALSE)</f>
        <v>1</v>
      </c>
      <c r="AJ1325" s="1">
        <f>VLOOKUP($E1325,'Product Parameters'!$A$2:$D$59,3,FALSE)</f>
        <v>0</v>
      </c>
      <c r="AK1325" s="1">
        <f>VLOOKUP($E1325,'Product Parameters'!$A$2:$D$59,4,FALSE)</f>
        <v>0.12</v>
      </c>
      <c r="AL1325" s="1">
        <f>VLOOKUP($E1325,'Product Parameters'!$A$2:$E$59,5,FALSE)</f>
        <v>50.18</v>
      </c>
      <c r="AM1325" s="1">
        <f>VLOOKUP($E1325,'Product Parameters'!$A$2:$F$59,6,FALSE)</f>
        <v>3</v>
      </c>
      <c r="AN1325" s="1">
        <f>VLOOKUP($C1325,'Substrate Heating'!$A$2:$C$33,3,FALSE)</f>
        <v>638.57832580000002</v>
      </c>
      <c r="AO1325" s="1">
        <f>VLOOKUP($C1325,'Substrate Heating'!$A$2:$B$33,2,FALSE)</f>
        <v>19.93</v>
      </c>
      <c r="AP1325" s="1">
        <f>VLOOKUP($C1325,'Substrate Heating'!$A$2:$M$33,13,FALSE)</f>
        <v>6</v>
      </c>
      <c r="AQ1325" s="1">
        <f>VLOOKUP($C1325,'Substrate Heating'!$A$2:$M$33,8,FALSE)</f>
        <v>1</v>
      </c>
      <c r="AR1325" s="1">
        <f t="shared" si="20"/>
        <v>0.92493506493506694</v>
      </c>
    </row>
    <row r="1326" spans="1:44" x14ac:dyDescent="0.2">
      <c r="A1326" s="8" t="s">
        <v>34</v>
      </c>
      <c r="B1326" s="9" t="s">
        <v>35</v>
      </c>
      <c r="C1326" s="1" t="s">
        <v>322</v>
      </c>
      <c r="D1326" s="10" t="s">
        <v>37</v>
      </c>
      <c r="E1326" s="1" t="s">
        <v>254</v>
      </c>
      <c r="F1326" s="1" t="s">
        <v>255</v>
      </c>
      <c r="G1326" s="1">
        <v>-10</v>
      </c>
      <c r="H1326" s="1">
        <v>-20</v>
      </c>
      <c r="I1326" s="1" t="s">
        <v>40</v>
      </c>
      <c r="J1326" s="1">
        <v>3.15</v>
      </c>
      <c r="K1326" s="1">
        <v>-10</v>
      </c>
      <c r="L1326" s="1">
        <v>-4.7920454545454501</v>
      </c>
      <c r="M1326" s="1" t="s">
        <v>40</v>
      </c>
      <c r="N1326" s="1">
        <v>3.1022727272727302</v>
      </c>
      <c r="O1326" s="1">
        <v>3.37954545454545</v>
      </c>
      <c r="Q1326" s="1">
        <v>0.33795454545454501</v>
      </c>
      <c r="R1326" s="1">
        <v>0.733119378627061</v>
      </c>
      <c r="S1326" s="1" t="str">
        <f>VLOOKUP($E1326,'Product Naming'!$A$1:$P$58,2,FALSE)</f>
        <v>Itaconate</v>
      </c>
      <c r="T1326" s="1" t="str">
        <f>VLOOKUP($E1326,'Product Naming'!$A$1:$P$58,3,FALSE)</f>
        <v>Itaconate</v>
      </c>
      <c r="U1326" s="1" t="str">
        <f>VLOOKUP($E1326,'Product Naming'!$A$1:$P$58,4,FALSE)</f>
        <v>E</v>
      </c>
      <c r="V1326" s="1" t="str">
        <f>VLOOKUP($E1326,'Product Naming'!$A$1:$P$58,5,FALSE)</f>
        <v>C5H4O4</v>
      </c>
      <c r="W1326" s="1">
        <f>VLOOKUP($E1326,'Product Naming'!$A$1:$P$58,6,FALSE)</f>
        <v>5</v>
      </c>
      <c r="X1326" s="1">
        <f>VLOOKUP($E1326,'Product Naming'!$A$1:$P$58,7,FALSE)</f>
        <v>4</v>
      </c>
      <c r="Y1326" s="1">
        <f>VLOOKUP($E1326,'Product Naming'!$A$1:$P$58,8,FALSE)</f>
        <v>4</v>
      </c>
      <c r="Z1326" s="1">
        <f>VLOOKUP($E1326,'Product Naming'!$A$1:$P$58,9,FALSE)</f>
        <v>0</v>
      </c>
      <c r="AA1326" s="1">
        <f>VLOOKUP($E1326,'Product Naming'!$A$1:$P$58,10,FALSE)</f>
        <v>-2</v>
      </c>
      <c r="AB1326" s="29">
        <f>VLOOKUP($E1326,'Product Naming'!$A$1:$P$58,11,FALSE)</f>
        <v>3.2</v>
      </c>
      <c r="AC1326" s="3">
        <f>VLOOKUP($E1326,'Product Naming'!$A$1:$P$58,12,FALSE)</f>
        <v>128.08086</v>
      </c>
      <c r="AD1326" s="1">
        <f>VLOOKUP($E1326,'Product Naming'!$A$1:$P$58,13,FALSE)</f>
        <v>381</v>
      </c>
      <c r="AE1326" s="1" t="str">
        <f>VLOOKUP($E1326,'Product Naming'!$A$1:$P$58,14,FALSE)</f>
        <v>Dicarboxylate</v>
      </c>
      <c r="AF1326" s="1" t="str">
        <f>VLOOKUP($E1326,'Product Naming'!$A$1:$P$58,15,FALSE)</f>
        <v>Acetyl-CoA + Oxaloacetate</v>
      </c>
      <c r="AG1326" s="30" t="str">
        <f>VLOOKUP($E1326,'Product Naming'!$A$1:$P$58,16,FALSE)</f>
        <v>Proton symporter</v>
      </c>
      <c r="AH1326" s="3" t="str">
        <f>VLOOKUP($E1326,'Product Naming'!$A$1:$Q$58,17,FALSE)</f>
        <v>itacon_c</v>
      </c>
      <c r="AI1326" s="1">
        <f>VLOOKUP($E1326,'Product Parameters'!$A$2:$D$59,2,FALSE)</f>
        <v>1</v>
      </c>
      <c r="AJ1326" s="1">
        <f>VLOOKUP($E1326,'Product Parameters'!$A$2:$D$59,3,FALSE)</f>
        <v>0</v>
      </c>
      <c r="AK1326" s="1">
        <f>VLOOKUP($E1326,'Product Parameters'!$A$2:$D$59,4,FALSE)</f>
        <v>0.12</v>
      </c>
      <c r="AL1326" s="1">
        <f>VLOOKUP($E1326,'Product Parameters'!$A$2:$E$59,5,FALSE)</f>
        <v>40.65</v>
      </c>
      <c r="AM1326" s="1">
        <f>VLOOKUP($E1326,'Product Parameters'!$A$2:$F$59,6,FALSE)</f>
        <v>5</v>
      </c>
      <c r="AN1326" s="1">
        <f>VLOOKUP($C1326,'Substrate Heating'!$A$2:$C$33,3,FALSE)</f>
        <v>876.74109599999997</v>
      </c>
      <c r="AO1326" s="1">
        <f>VLOOKUP($C1326,'Substrate Heating'!$A$2:$B$33,2,FALSE)</f>
        <v>14.6</v>
      </c>
      <c r="AP1326" s="1">
        <f>VLOOKUP($C1326,'Substrate Heating'!$A$2:$M$33,13,FALSE)</f>
        <v>3.5</v>
      </c>
      <c r="AQ1326" s="1">
        <f>VLOOKUP($C1326,'Substrate Heating'!$A$2:$M$33,8,FALSE)</f>
        <v>2</v>
      </c>
      <c r="AR1326" s="1">
        <f t="shared" si="20"/>
        <v>0.84488636363636249</v>
      </c>
    </row>
    <row r="1327" spans="1:44" x14ac:dyDescent="0.2">
      <c r="A1327" s="8" t="s">
        <v>812</v>
      </c>
      <c r="B1327" s="18" t="s">
        <v>324</v>
      </c>
      <c r="C1327" t="s">
        <v>814</v>
      </c>
      <c r="E1327" t="s">
        <v>164</v>
      </c>
      <c r="F1327" t="s">
        <v>165</v>
      </c>
      <c r="G1327">
        <v>-10</v>
      </c>
      <c r="H1327">
        <v>0</v>
      </c>
      <c r="I1327">
        <v>-10</v>
      </c>
      <c r="J1327">
        <v>0.45</v>
      </c>
      <c r="K1327">
        <v>-5</v>
      </c>
      <c r="L1327">
        <v>0</v>
      </c>
      <c r="M1327">
        <v>-10</v>
      </c>
      <c r="N1327">
        <v>0</v>
      </c>
      <c r="O1327">
        <v>1.25</v>
      </c>
      <c r="P1327"/>
      <c r="Q1327">
        <v>0.25</v>
      </c>
      <c r="R1327">
        <v>0.74584413388932702</v>
      </c>
      <c r="S1327" s="1" t="str">
        <f>VLOOKUP($E1327,'Product Naming'!$A$1:$P$58,2,FALSE)</f>
        <v>Butanol-PW1</v>
      </c>
      <c r="T1327" s="1" t="str">
        <f>VLOOKUP($E1327,'Product Naming'!$A$1:$P$58,3,FALSE)</f>
        <v>Butanol (PW1)</v>
      </c>
      <c r="U1327" s="1" t="str">
        <f>VLOOKUP($E1327,'Product Naming'!$A$1:$P$58,4,FALSE)</f>
        <v>E</v>
      </c>
      <c r="V1327" s="1" t="str">
        <f>VLOOKUP($E1327,'Product Naming'!$A$1:$P$58,5,FALSE)</f>
        <v>C4H10O</v>
      </c>
      <c r="W1327" s="1">
        <f>VLOOKUP($E1327,'Product Naming'!$A$1:$P$58,6,FALSE)</f>
        <v>4</v>
      </c>
      <c r="X1327" s="1">
        <f>VLOOKUP($E1327,'Product Naming'!$A$1:$P$58,7,FALSE)</f>
        <v>10</v>
      </c>
      <c r="Y1327" s="1">
        <f>VLOOKUP($E1327,'Product Naming'!$A$1:$P$58,8,FALSE)</f>
        <v>1</v>
      </c>
      <c r="Z1327" s="1">
        <f>VLOOKUP($E1327,'Product Naming'!$A$1:$P$58,9,FALSE)</f>
        <v>0</v>
      </c>
      <c r="AA1327" s="1">
        <f>VLOOKUP($E1327,'Product Naming'!$A$1:$P$58,10,FALSE)</f>
        <v>0</v>
      </c>
      <c r="AB1327" s="29">
        <f>VLOOKUP($E1327,'Product Naming'!$A$1:$P$58,11,FALSE)</f>
        <v>6</v>
      </c>
      <c r="AC1327" s="3">
        <f>VLOOKUP($E1327,'Product Naming'!$A$1:$P$58,12,FALSE)</f>
        <v>74.120199999999997</v>
      </c>
      <c r="AD1327" s="1">
        <f>VLOOKUP($E1327,'Product Naming'!$A$1:$P$58,13,FALSE)</f>
        <v>117.7</v>
      </c>
      <c r="AE1327" s="1" t="str">
        <f>VLOOKUP($E1327,'Product Naming'!$A$1:$P$58,14,FALSE)</f>
        <v>Alcohol</v>
      </c>
      <c r="AF1327" s="1" t="str">
        <f>VLOOKUP($E1327,'Product Naming'!$A$1:$P$58,15,FALSE)</f>
        <v>Acetyl-CoA</v>
      </c>
      <c r="AG1327" s="30" t="str">
        <f>VLOOKUP($E1327,'Product Naming'!$A$1:$P$58,16,FALSE)</f>
        <v>Proton symporter</v>
      </c>
      <c r="AH1327" s="3" t="str">
        <f>VLOOKUP($E1327,'Product Naming'!$A$1:$Q$58,17,FALSE)</f>
        <v>btoh_c</v>
      </c>
      <c r="AI1327" s="1">
        <f>VLOOKUP($E1327,'Product Parameters'!$A$2:$D$59,2,FALSE)</f>
        <v>1</v>
      </c>
      <c r="AJ1327" s="1">
        <f>VLOOKUP($E1327,'Product Parameters'!$A$2:$D$59,3,FALSE)</f>
        <v>0</v>
      </c>
      <c r="AK1327" s="1">
        <f>VLOOKUP($E1327,'Product Parameters'!$A$2:$D$59,4,FALSE)</f>
        <v>0.12</v>
      </c>
      <c r="AL1327" s="1">
        <f>VLOOKUP($E1327,'Product Parameters'!$A$2:$E$59,5,FALSE)</f>
        <v>52</v>
      </c>
      <c r="AM1327" s="1">
        <f>VLOOKUP($E1327,'Product Parameters'!$A$2:$F$59,6,FALSE)</f>
        <v>4</v>
      </c>
      <c r="AN1327" s="1">
        <f>VLOOKUP($C1327,'Substrate Heating'!$A$2:$C$33,3,FALSE)</f>
        <v>209.92000000000002</v>
      </c>
      <c r="AO1327" s="1">
        <f>VLOOKUP($C1327,'Substrate Heating'!$A$2:$B$33,2,FALSE)</f>
        <v>10.086540906516333</v>
      </c>
      <c r="AP1327" s="1">
        <f>VLOOKUP($C1327,'Substrate Heating'!$A$2:$M$33,13,FALSE)</f>
        <v>0.8</v>
      </c>
      <c r="AQ1327" s="1">
        <f>VLOOKUP($C1327,'Substrate Heating'!$A$2:$M$33,8,FALSE)</f>
        <v>0.8</v>
      </c>
      <c r="AR1327" s="1">
        <f t="shared" si="20"/>
        <v>1.25</v>
      </c>
    </row>
    <row r="1328" spans="1:44" x14ac:dyDescent="0.2">
      <c r="A1328" s="8" t="s">
        <v>812</v>
      </c>
      <c r="B1328" s="18" t="s">
        <v>324</v>
      </c>
      <c r="C1328" t="s">
        <v>814</v>
      </c>
      <c r="E1328" t="s">
        <v>169</v>
      </c>
      <c r="F1328" t="s">
        <v>165</v>
      </c>
      <c r="G1328">
        <v>-10</v>
      </c>
      <c r="H1328">
        <v>0</v>
      </c>
      <c r="I1328">
        <v>-10</v>
      </c>
      <c r="J1328">
        <v>0.45</v>
      </c>
      <c r="K1328">
        <v>-4.9999999999999902</v>
      </c>
      <c r="L1328">
        <v>0</v>
      </c>
      <c r="M1328">
        <v>-10</v>
      </c>
      <c r="N1328">
        <v>0</v>
      </c>
      <c r="O1328">
        <v>1.25</v>
      </c>
      <c r="P1328"/>
      <c r="Q1328">
        <v>0.25</v>
      </c>
      <c r="R1328">
        <v>0.74584413388932702</v>
      </c>
      <c r="S1328" s="1" t="str">
        <f>VLOOKUP($E1328,'Product Naming'!$A$1:$P$58,2,FALSE)</f>
        <v>Butanol-PW2</v>
      </c>
      <c r="T1328" s="1" t="str">
        <f>VLOOKUP($E1328,'Product Naming'!$A$1:$P$58,3,FALSE)</f>
        <v>Butanol (PW2)</v>
      </c>
      <c r="U1328" s="1" t="str">
        <f>VLOOKUP($E1328,'Product Naming'!$A$1:$P$58,4,FALSE)</f>
        <v>E</v>
      </c>
      <c r="V1328" s="1" t="str">
        <f>VLOOKUP($E1328,'Product Naming'!$A$1:$P$58,5,FALSE)</f>
        <v>C4H10O</v>
      </c>
      <c r="W1328" s="1">
        <f>VLOOKUP($E1328,'Product Naming'!$A$1:$P$58,6,FALSE)</f>
        <v>4</v>
      </c>
      <c r="X1328" s="1">
        <f>VLOOKUP($E1328,'Product Naming'!$A$1:$P$58,7,FALSE)</f>
        <v>10</v>
      </c>
      <c r="Y1328" s="1">
        <f>VLOOKUP($E1328,'Product Naming'!$A$1:$P$58,8,FALSE)</f>
        <v>1</v>
      </c>
      <c r="Z1328" s="1">
        <f>VLOOKUP($E1328,'Product Naming'!$A$1:$P$58,9,FALSE)</f>
        <v>0</v>
      </c>
      <c r="AA1328" s="1">
        <f>VLOOKUP($E1328,'Product Naming'!$A$1:$P$58,10,FALSE)</f>
        <v>0</v>
      </c>
      <c r="AB1328" s="29">
        <f>VLOOKUP($E1328,'Product Naming'!$A$1:$P$58,11,FALSE)</f>
        <v>6</v>
      </c>
      <c r="AC1328" s="3">
        <f>VLOOKUP($E1328,'Product Naming'!$A$1:$P$58,12,FALSE)</f>
        <v>74.120199999999997</v>
      </c>
      <c r="AD1328" s="1">
        <f>VLOOKUP($E1328,'Product Naming'!$A$1:$P$58,13,FALSE)</f>
        <v>117.7</v>
      </c>
      <c r="AE1328" s="1" t="str">
        <f>VLOOKUP($E1328,'Product Naming'!$A$1:$P$58,14,FALSE)</f>
        <v>Alcohol</v>
      </c>
      <c r="AF1328" s="1" t="str">
        <f>VLOOKUP($E1328,'Product Naming'!$A$1:$P$58,15,FALSE)</f>
        <v>Oxaloacetate</v>
      </c>
      <c r="AG1328" s="30" t="str">
        <f>VLOOKUP($E1328,'Product Naming'!$A$1:$P$58,16,FALSE)</f>
        <v>Proton symporter</v>
      </c>
      <c r="AH1328" s="3" t="str">
        <f>VLOOKUP($E1328,'Product Naming'!$A$1:$Q$58,17,FALSE)</f>
        <v>btoh_c</v>
      </c>
      <c r="AI1328" s="1">
        <f>VLOOKUP($E1328,'Product Parameters'!$A$2:$D$59,2,FALSE)</f>
        <v>1</v>
      </c>
      <c r="AJ1328" s="1">
        <f>VLOOKUP($E1328,'Product Parameters'!$A$2:$D$59,3,FALSE)</f>
        <v>0</v>
      </c>
      <c r="AK1328" s="1">
        <f>VLOOKUP($E1328,'Product Parameters'!$A$2:$D$59,4,FALSE)</f>
        <v>0.12</v>
      </c>
      <c r="AL1328" s="1">
        <f>VLOOKUP($E1328,'Product Parameters'!$A$2:$E$59,5,FALSE)</f>
        <v>52</v>
      </c>
      <c r="AM1328" s="1">
        <f>VLOOKUP($E1328,'Product Parameters'!$A$2:$F$59,6,FALSE)</f>
        <v>4</v>
      </c>
      <c r="AN1328" s="1">
        <f>VLOOKUP($C1328,'Substrate Heating'!$A$2:$C$33,3,FALSE)</f>
        <v>209.92000000000002</v>
      </c>
      <c r="AO1328" s="1">
        <f>VLOOKUP($C1328,'Substrate Heating'!$A$2:$B$33,2,FALSE)</f>
        <v>10.086540906516333</v>
      </c>
      <c r="AP1328" s="1">
        <f>VLOOKUP($C1328,'Substrate Heating'!$A$2:$M$33,13,FALSE)</f>
        <v>0.8</v>
      </c>
      <c r="AQ1328" s="1">
        <f>VLOOKUP($C1328,'Substrate Heating'!$A$2:$M$33,8,FALSE)</f>
        <v>0.8</v>
      </c>
      <c r="AR1328" s="1">
        <f t="shared" si="20"/>
        <v>1.25</v>
      </c>
    </row>
    <row r="1329" spans="1:44" x14ac:dyDescent="0.2">
      <c r="A1329" s="8" t="s">
        <v>812</v>
      </c>
      <c r="B1329" s="9" t="s">
        <v>35</v>
      </c>
      <c r="C1329" t="s">
        <v>813</v>
      </c>
      <c r="E1329" t="s">
        <v>164</v>
      </c>
      <c r="F1329" t="s">
        <v>165</v>
      </c>
      <c r="G1329">
        <v>-10</v>
      </c>
      <c r="H1329">
        <v>-20</v>
      </c>
      <c r="I1329">
        <v>0</v>
      </c>
      <c r="J1329">
        <v>3.15</v>
      </c>
      <c r="K1329">
        <v>-10</v>
      </c>
      <c r="L1329">
        <v>-8.5414634146341406</v>
      </c>
      <c r="M1329">
        <v>0</v>
      </c>
      <c r="N1329">
        <v>5.69430894308943</v>
      </c>
      <c r="O1329">
        <v>6.0764227642276403</v>
      </c>
      <c r="P1329"/>
      <c r="Q1329">
        <v>0.60764227642276403</v>
      </c>
      <c r="R1329">
        <v>0.74945365115534301</v>
      </c>
      <c r="S1329" s="1" t="str">
        <f>VLOOKUP($E1329,'Product Naming'!$A$1:$P$58,2,FALSE)</f>
        <v>Butanol-PW1</v>
      </c>
      <c r="T1329" s="1" t="str">
        <f>VLOOKUP($E1329,'Product Naming'!$A$1:$P$58,3,FALSE)</f>
        <v>Butanol (PW1)</v>
      </c>
      <c r="U1329" s="1" t="str">
        <f>VLOOKUP($E1329,'Product Naming'!$A$1:$P$58,4,FALSE)</f>
        <v>E</v>
      </c>
      <c r="V1329" s="1" t="str">
        <f>VLOOKUP($E1329,'Product Naming'!$A$1:$P$58,5,FALSE)</f>
        <v>C4H10O</v>
      </c>
      <c r="W1329" s="1">
        <f>VLOOKUP($E1329,'Product Naming'!$A$1:$P$58,6,FALSE)</f>
        <v>4</v>
      </c>
      <c r="X1329" s="1">
        <f>VLOOKUP($E1329,'Product Naming'!$A$1:$P$58,7,FALSE)</f>
        <v>10</v>
      </c>
      <c r="Y1329" s="1">
        <f>VLOOKUP($E1329,'Product Naming'!$A$1:$P$58,8,FALSE)</f>
        <v>1</v>
      </c>
      <c r="Z1329" s="1">
        <f>VLOOKUP($E1329,'Product Naming'!$A$1:$P$58,9,FALSE)</f>
        <v>0</v>
      </c>
      <c r="AA1329" s="1">
        <f>VLOOKUP($E1329,'Product Naming'!$A$1:$P$58,10,FALSE)</f>
        <v>0</v>
      </c>
      <c r="AB1329" s="29">
        <f>VLOOKUP($E1329,'Product Naming'!$A$1:$P$58,11,FALSE)</f>
        <v>6</v>
      </c>
      <c r="AC1329" s="3">
        <f>VLOOKUP($E1329,'Product Naming'!$A$1:$P$58,12,FALSE)</f>
        <v>74.120199999999997</v>
      </c>
      <c r="AD1329" s="1">
        <f>VLOOKUP($E1329,'Product Naming'!$A$1:$P$58,13,FALSE)</f>
        <v>117.7</v>
      </c>
      <c r="AE1329" s="1" t="str">
        <f>VLOOKUP($E1329,'Product Naming'!$A$1:$P$58,14,FALSE)</f>
        <v>Alcohol</v>
      </c>
      <c r="AF1329" s="1" t="str">
        <f>VLOOKUP($E1329,'Product Naming'!$A$1:$P$58,15,FALSE)</f>
        <v>Acetyl-CoA</v>
      </c>
      <c r="AG1329" s="30" t="str">
        <f>VLOOKUP($E1329,'Product Naming'!$A$1:$P$58,16,FALSE)</f>
        <v>Proton symporter</v>
      </c>
      <c r="AH1329" s="3" t="str">
        <f>VLOOKUP($E1329,'Product Naming'!$A$1:$Q$58,17,FALSE)</f>
        <v>btoh_c</v>
      </c>
      <c r="AI1329" s="1">
        <f>VLOOKUP($E1329,'Product Parameters'!$A$2:$D$59,2,FALSE)</f>
        <v>1</v>
      </c>
      <c r="AJ1329" s="1">
        <f>VLOOKUP($E1329,'Product Parameters'!$A$2:$D$59,3,FALSE)</f>
        <v>0</v>
      </c>
      <c r="AK1329" s="1">
        <f>VLOOKUP($E1329,'Product Parameters'!$A$2:$D$59,4,FALSE)</f>
        <v>0.12</v>
      </c>
      <c r="AL1329" s="1">
        <f>VLOOKUP($E1329,'Product Parameters'!$A$2:$E$59,5,FALSE)</f>
        <v>52</v>
      </c>
      <c r="AM1329" s="1">
        <f>VLOOKUP($E1329,'Product Parameters'!$A$2:$F$59,6,FALSE)</f>
        <v>4</v>
      </c>
      <c r="AN1329" s="1">
        <f>VLOOKUP($C1329,'Substrate Heating'!$A$2:$C$33,3,FALSE)</f>
        <v>1843.720736</v>
      </c>
      <c r="AO1329" s="1">
        <f>VLOOKUP($C1329,'Substrate Heating'!$A$2:$B$33,2,FALSE)</f>
        <v>30.68</v>
      </c>
      <c r="AP1329" s="1">
        <f>VLOOKUP($C1329,'Substrate Heating'!$A$2:$M$33,13,FALSE)</f>
        <v>6</v>
      </c>
      <c r="AQ1329" s="1">
        <f>VLOOKUP($C1329,'Substrate Heating'!$A$2:$M$33,8,FALSE)</f>
        <v>3</v>
      </c>
      <c r="AR1329" s="1">
        <f t="shared" si="20"/>
        <v>0.81018970189701867</v>
      </c>
    </row>
    <row r="1330" spans="1:44" x14ac:dyDescent="0.2">
      <c r="A1330" s="17" t="s">
        <v>185</v>
      </c>
      <c r="B1330" s="9" t="s">
        <v>35</v>
      </c>
      <c r="C1330" t="s">
        <v>344</v>
      </c>
      <c r="D1330" s="10" t="s">
        <v>37</v>
      </c>
      <c r="E1330" t="s">
        <v>215</v>
      </c>
      <c r="F1330" t="s">
        <v>216</v>
      </c>
      <c r="G1330">
        <v>-10</v>
      </c>
      <c r="H1330">
        <v>-20</v>
      </c>
      <c r="I1330" s="1" t="s">
        <v>40</v>
      </c>
      <c r="J1330">
        <v>3.15</v>
      </c>
      <c r="K1330">
        <v>-10</v>
      </c>
      <c r="L1330">
        <v>-7.6758620689655102</v>
      </c>
      <c r="M1330" s="1" t="s">
        <v>40</v>
      </c>
      <c r="N1330">
        <v>4.5948275862069003</v>
      </c>
      <c r="O1330">
        <v>3.08103448275862</v>
      </c>
      <c r="P1330"/>
      <c r="Q1330">
        <v>0.308103448275862</v>
      </c>
      <c r="R1330">
        <v>0.74967932975329399</v>
      </c>
      <c r="S1330" s="1" t="str">
        <f>VLOOKUP($E1330,'Product Naming'!$A$1:$P$58,2,FALSE)</f>
        <v>Glutamate_L</v>
      </c>
      <c r="T1330" s="1" t="str">
        <f>VLOOKUP($E1330,'Product Naming'!$A$1:$P$58,3,FALSE)</f>
        <v>L-Glutamate</v>
      </c>
      <c r="U1330" s="1" t="str">
        <f>VLOOKUP($E1330,'Product Naming'!$A$1:$P$58,4,FALSE)</f>
        <v>iJO1366</v>
      </c>
      <c r="V1330" s="1" t="str">
        <f>VLOOKUP($E1330,'Product Naming'!$A$1:$P$58,5,FALSE)</f>
        <v>C5H8NO4</v>
      </c>
      <c r="W1330" s="1">
        <f>VLOOKUP($E1330,'Product Naming'!$A$1:$P$58,6,FALSE)</f>
        <v>5</v>
      </c>
      <c r="X1330" s="1">
        <f>VLOOKUP($E1330,'Product Naming'!$A$1:$P$58,7,FALSE)</f>
        <v>8</v>
      </c>
      <c r="Y1330" s="1">
        <f>VLOOKUP($E1330,'Product Naming'!$A$1:$P$58,8,FALSE)</f>
        <v>4</v>
      </c>
      <c r="Z1330" s="1">
        <f>VLOOKUP($E1330,'Product Naming'!$A$1:$P$58,9,FALSE)</f>
        <v>1</v>
      </c>
      <c r="AA1330" s="1">
        <f>VLOOKUP($E1330,'Product Naming'!$A$1:$P$58,10,FALSE)</f>
        <v>-1</v>
      </c>
      <c r="AB1330" s="29">
        <f>VLOOKUP($E1330,'Product Naming'!$A$1:$P$58,11,FALSE)</f>
        <v>3.4</v>
      </c>
      <c r="AC1330" s="3">
        <f>VLOOKUP($E1330,'Product Naming'!$A$1:$P$58,12,FALSE)</f>
        <v>146.11892</v>
      </c>
      <c r="AD1330" s="1">
        <f>VLOOKUP($E1330,'Product Naming'!$A$1:$P$58,13,FALSE)</f>
        <v>333.8</v>
      </c>
      <c r="AE1330" s="1" t="str">
        <f>VLOOKUP($E1330,'Product Naming'!$A$1:$P$58,14,FALSE)</f>
        <v>Amino acid</v>
      </c>
      <c r="AF1330" s="1" t="str">
        <f>VLOOKUP($E1330,'Product Naming'!$A$1:$P$58,15,FALSE)</f>
        <v>aKG</v>
      </c>
      <c r="AG1330" s="30" t="str">
        <f>VLOOKUP($E1330,'Product Naming'!$A$1:$P$58,16,FALSE)</f>
        <v>Proton symporter</v>
      </c>
      <c r="AH1330" s="3" t="str">
        <f>VLOOKUP($E1330,'Product Naming'!$A$1:$Q$58,17,FALSE)</f>
        <v>glu__L_c</v>
      </c>
      <c r="AI1330" s="1">
        <f>VLOOKUP($E1330,'Product Parameters'!$A$2:$D$59,2,FALSE)</f>
        <v>1</v>
      </c>
      <c r="AJ1330" s="1">
        <f>VLOOKUP($E1330,'Product Parameters'!$A$2:$D$59,3,FALSE)</f>
        <v>0</v>
      </c>
      <c r="AK1330" s="1">
        <f>VLOOKUP($E1330,'Product Parameters'!$A$2:$D$59,4,FALSE)</f>
        <v>0.12</v>
      </c>
      <c r="AL1330" s="1">
        <f>VLOOKUP($E1330,'Product Parameters'!$A$2:$E$59,5,FALSE)</f>
        <v>40.65</v>
      </c>
      <c r="AM1330" s="1">
        <f>VLOOKUP($E1330,'Product Parameters'!$A$2:$F$59,6,FALSE)</f>
        <v>5</v>
      </c>
      <c r="AN1330" s="1">
        <f>VLOOKUP($C1330,'Substrate Heating'!$A$2:$C$33,3,FALSE)</f>
        <v>1020.8629199999999</v>
      </c>
      <c r="AO1330" s="1">
        <f>VLOOKUP($C1330,'Substrate Heating'!$A$2:$B$33,2,FALSE)</f>
        <v>17</v>
      </c>
      <c r="AP1330" s="1">
        <f>VLOOKUP($C1330,'Substrate Heating'!$A$2:$M$33,13,FALSE)</f>
        <v>4</v>
      </c>
      <c r="AQ1330" s="1">
        <f>VLOOKUP($C1330,'Substrate Heating'!$A$2:$M$33,8,FALSE)</f>
        <v>2</v>
      </c>
      <c r="AR1330" s="1">
        <f t="shared" si="20"/>
        <v>0.770258620689655</v>
      </c>
    </row>
    <row r="1331" spans="1:44" x14ac:dyDescent="0.2">
      <c r="A1331" s="8" t="s">
        <v>34</v>
      </c>
      <c r="B1331" s="9" t="s">
        <v>35</v>
      </c>
      <c r="C1331" s="1" t="s">
        <v>330</v>
      </c>
      <c r="D1331" s="10" t="s">
        <v>37</v>
      </c>
      <c r="E1331" s="1" t="s">
        <v>254</v>
      </c>
      <c r="F1331" s="1" t="s">
        <v>255</v>
      </c>
      <c r="G1331" s="1">
        <v>-10</v>
      </c>
      <c r="H1331" s="1">
        <v>-20</v>
      </c>
      <c r="I1331" s="1" t="s">
        <v>40</v>
      </c>
      <c r="J1331" s="1">
        <v>3.15</v>
      </c>
      <c r="K1331" s="1">
        <v>-10</v>
      </c>
      <c r="L1331" s="1">
        <v>-8.6320895522387993</v>
      </c>
      <c r="M1331" s="1" t="s">
        <v>40</v>
      </c>
      <c r="N1331" s="1">
        <v>1.8134328358209</v>
      </c>
      <c r="O1331" s="1">
        <v>3.6373134328358199</v>
      </c>
      <c r="Q1331" s="1">
        <v>0.36373134328358198</v>
      </c>
      <c r="R1331" s="1">
        <v>0.75059973281383197</v>
      </c>
      <c r="S1331" s="1" t="str">
        <f>VLOOKUP($E1331,'Product Naming'!$A$1:$P$58,2,FALSE)</f>
        <v>Itaconate</v>
      </c>
      <c r="T1331" s="1" t="str">
        <f>VLOOKUP($E1331,'Product Naming'!$A$1:$P$58,3,FALSE)</f>
        <v>Itaconate</v>
      </c>
      <c r="U1331" s="1" t="str">
        <f>VLOOKUP($E1331,'Product Naming'!$A$1:$P$58,4,FALSE)</f>
        <v>E</v>
      </c>
      <c r="V1331" s="1" t="str">
        <f>VLOOKUP($E1331,'Product Naming'!$A$1:$P$58,5,FALSE)</f>
        <v>C5H4O4</v>
      </c>
      <c r="W1331" s="1">
        <f>VLOOKUP($E1331,'Product Naming'!$A$1:$P$58,6,FALSE)</f>
        <v>5</v>
      </c>
      <c r="X1331" s="1">
        <f>VLOOKUP($E1331,'Product Naming'!$A$1:$P$58,7,FALSE)</f>
        <v>4</v>
      </c>
      <c r="Y1331" s="1">
        <f>VLOOKUP($E1331,'Product Naming'!$A$1:$P$58,8,FALSE)</f>
        <v>4</v>
      </c>
      <c r="Z1331" s="1">
        <f>VLOOKUP($E1331,'Product Naming'!$A$1:$P$58,9,FALSE)</f>
        <v>0</v>
      </c>
      <c r="AA1331" s="1">
        <f>VLOOKUP($E1331,'Product Naming'!$A$1:$P$58,10,FALSE)</f>
        <v>-2</v>
      </c>
      <c r="AB1331" s="29">
        <f>VLOOKUP($E1331,'Product Naming'!$A$1:$P$58,11,FALSE)</f>
        <v>3.2</v>
      </c>
      <c r="AC1331" s="3">
        <f>VLOOKUP($E1331,'Product Naming'!$A$1:$P$58,12,FALSE)</f>
        <v>128.08086</v>
      </c>
      <c r="AD1331" s="1">
        <f>VLOOKUP($E1331,'Product Naming'!$A$1:$P$58,13,FALSE)</f>
        <v>381</v>
      </c>
      <c r="AE1331" s="1" t="str">
        <f>VLOOKUP($E1331,'Product Naming'!$A$1:$P$58,14,FALSE)</f>
        <v>Dicarboxylate</v>
      </c>
      <c r="AF1331" s="1" t="str">
        <f>VLOOKUP($E1331,'Product Naming'!$A$1:$P$58,15,FALSE)</f>
        <v>Acetyl-CoA + Oxaloacetate</v>
      </c>
      <c r="AG1331" s="30" t="str">
        <f>VLOOKUP($E1331,'Product Naming'!$A$1:$P$58,16,FALSE)</f>
        <v>Proton symporter</v>
      </c>
      <c r="AH1331" s="3" t="str">
        <f>VLOOKUP($E1331,'Product Naming'!$A$1:$Q$58,17,FALSE)</f>
        <v>itacon_c</v>
      </c>
      <c r="AI1331" s="1">
        <f>VLOOKUP($E1331,'Product Parameters'!$A$2:$D$59,2,FALSE)</f>
        <v>1</v>
      </c>
      <c r="AJ1331" s="1">
        <f>VLOOKUP($E1331,'Product Parameters'!$A$2:$D$59,3,FALSE)</f>
        <v>0</v>
      </c>
      <c r="AK1331" s="1">
        <f>VLOOKUP($E1331,'Product Parameters'!$A$2:$D$59,4,FALSE)</f>
        <v>0.12</v>
      </c>
      <c r="AL1331" s="1">
        <f>VLOOKUP($E1331,'Product Parameters'!$A$2:$E$59,5,FALSE)</f>
        <v>40.65</v>
      </c>
      <c r="AM1331" s="1">
        <f>VLOOKUP($E1331,'Product Parameters'!$A$2:$F$59,6,FALSE)</f>
        <v>5</v>
      </c>
      <c r="AN1331" s="1">
        <f>VLOOKUP($C1331,'Substrate Heating'!$A$2:$C$33,3,FALSE)</f>
        <v>1055.1294800000001</v>
      </c>
      <c r="AO1331" s="1">
        <f>VLOOKUP($C1331,'Substrate Heating'!$A$2:$B$33,2,FALSE)</f>
        <v>17</v>
      </c>
      <c r="AP1331" s="1">
        <f>VLOOKUP($C1331,'Substrate Heating'!$A$2:$M$33,13,FALSE)</f>
        <v>5</v>
      </c>
      <c r="AQ1331" s="1">
        <f>VLOOKUP($C1331,'Substrate Heating'!$A$2:$M$33,8,FALSE)</f>
        <v>2</v>
      </c>
      <c r="AR1331" s="1">
        <f t="shared" si="20"/>
        <v>0.90932835820895497</v>
      </c>
    </row>
    <row r="1332" spans="1:44" x14ac:dyDescent="0.2">
      <c r="A1332" s="8" t="s">
        <v>34</v>
      </c>
      <c r="B1332" s="9" t="s">
        <v>35</v>
      </c>
      <c r="C1332" s="1" t="s">
        <v>331</v>
      </c>
      <c r="D1332" s="10" t="s">
        <v>37</v>
      </c>
      <c r="E1332" s="1" t="s">
        <v>308</v>
      </c>
      <c r="F1332" s="1" t="s">
        <v>309</v>
      </c>
      <c r="G1332" s="1">
        <v>-10</v>
      </c>
      <c r="H1332" s="1">
        <v>-20</v>
      </c>
      <c r="I1332" s="1" t="s">
        <v>40</v>
      </c>
      <c r="J1332" s="1">
        <v>3.15</v>
      </c>
      <c r="K1332" s="1">
        <v>-10</v>
      </c>
      <c r="L1332" s="1">
        <v>-6.0432432432432401</v>
      </c>
      <c r="M1332" s="1" t="s">
        <v>40</v>
      </c>
      <c r="N1332" s="1">
        <v>1.0432432432432399</v>
      </c>
      <c r="O1332" s="1">
        <v>2.7081081081081102</v>
      </c>
      <c r="Q1332" s="1">
        <v>0.27081081081081099</v>
      </c>
      <c r="R1332" s="1">
        <v>0.75545397117855595</v>
      </c>
      <c r="S1332" s="1" t="str">
        <f>VLOOKUP($E1332,'Product Naming'!$A$1:$P$58,2,FALSE)</f>
        <v>Shikimate</v>
      </c>
      <c r="T1332" s="1" t="str">
        <f>VLOOKUP($E1332,'Product Naming'!$A$1:$P$58,3,FALSE)</f>
        <v>Shikimate</v>
      </c>
      <c r="U1332" s="1" t="str">
        <f>VLOOKUP($E1332,'Product Naming'!$A$1:$P$58,4,FALSE)</f>
        <v>E</v>
      </c>
      <c r="V1332" s="1" t="str">
        <f>VLOOKUP($E1332,'Product Naming'!$A$1:$P$58,5,FALSE)</f>
        <v>C7H9O5</v>
      </c>
      <c r="W1332" s="1">
        <f>VLOOKUP($E1332,'Product Naming'!$A$1:$P$58,6,FALSE)</f>
        <v>7</v>
      </c>
      <c r="X1332" s="1">
        <f>VLOOKUP($E1332,'Product Naming'!$A$1:$P$58,7,FALSE)</f>
        <v>9</v>
      </c>
      <c r="Y1332" s="1">
        <f>VLOOKUP($E1332,'Product Naming'!$A$1:$P$58,8,FALSE)</f>
        <v>5</v>
      </c>
      <c r="Z1332" s="1">
        <f>VLOOKUP($E1332,'Product Naming'!$A$1:$P$58,9,FALSE)</f>
        <v>0</v>
      </c>
      <c r="AA1332" s="1">
        <f>VLOOKUP($E1332,'Product Naming'!$A$1:$P$58,10,FALSE)</f>
        <v>-1</v>
      </c>
      <c r="AB1332" s="29">
        <f>VLOOKUP($E1332,'Product Naming'!$A$1:$P$58,11,FALSE)</f>
        <v>3.8571428571428572</v>
      </c>
      <c r="AC1332" s="3">
        <f>VLOOKUP($E1332,'Product Naming'!$A$1:$P$58,12,FALSE)</f>
        <v>173.14046000000002</v>
      </c>
      <c r="AD1332" s="1">
        <f>VLOOKUP($E1332,'Product Naming'!$A$1:$P$58,13,FALSE)</f>
        <v>400.5</v>
      </c>
      <c r="AE1332" s="1" t="str">
        <f>VLOOKUP($E1332,'Product Naming'!$A$1:$P$58,14,FALSE)</f>
        <v>Aromatic + Alcohol + Carboxylate</v>
      </c>
      <c r="AF1332" s="1" t="str">
        <f>VLOOKUP($E1332,'Product Naming'!$A$1:$P$58,15,FALSE)</f>
        <v>PEP + E4P (Glyceraldehyde 3-P)</v>
      </c>
      <c r="AG1332" s="30" t="str">
        <f>VLOOKUP($E1332,'Product Naming'!$A$1:$P$58,16,FALSE)</f>
        <v>Proton symporter</v>
      </c>
      <c r="AH1332" s="3" t="str">
        <f>VLOOKUP($E1332,'Product Naming'!$A$1:$Q$58,17,FALSE)</f>
        <v>skm_c</v>
      </c>
      <c r="AI1332" s="1">
        <f>VLOOKUP($E1332,'Product Parameters'!$A$2:$D$59,2,FALSE)</f>
        <v>1</v>
      </c>
      <c r="AJ1332" s="1">
        <f>VLOOKUP($E1332,'Product Parameters'!$A$2:$D$59,3,FALSE)</f>
        <v>0</v>
      </c>
      <c r="AK1332" s="1">
        <f>VLOOKUP($E1332,'Product Parameters'!$A$2:$D$59,4,FALSE)</f>
        <v>0.12</v>
      </c>
      <c r="AL1332" s="1">
        <f>VLOOKUP($E1332,'Product Parameters'!$A$2:$E$59,5,FALSE)</f>
        <v>40.65</v>
      </c>
      <c r="AM1332" s="1">
        <f>VLOOKUP($E1332,'Product Parameters'!$A$2:$F$59,6,FALSE)</f>
        <v>7</v>
      </c>
      <c r="AN1332" s="1">
        <f>VLOOKUP($C1332,'Substrate Heating'!$A$2:$C$33,3,FALSE)</f>
        <v>1055.1294800000001</v>
      </c>
      <c r="AO1332" s="1">
        <f>VLOOKUP($C1332,'Substrate Heating'!$A$2:$B$33,2,FALSE)</f>
        <v>17</v>
      </c>
      <c r="AP1332" s="1">
        <f>VLOOKUP($C1332,'Substrate Heating'!$A$2:$M$33,13,FALSE)</f>
        <v>5</v>
      </c>
      <c r="AQ1332" s="1">
        <f>VLOOKUP($C1332,'Substrate Heating'!$A$2:$M$33,8,FALSE)</f>
        <v>2</v>
      </c>
      <c r="AR1332" s="1">
        <f t="shared" si="20"/>
        <v>0.94783783783783848</v>
      </c>
    </row>
    <row r="1333" spans="1:44" x14ac:dyDescent="0.2">
      <c r="A1333" s="8" t="s">
        <v>34</v>
      </c>
      <c r="B1333" s="9" t="s">
        <v>35</v>
      </c>
      <c r="C1333" s="1" t="s">
        <v>345</v>
      </c>
      <c r="D1333" s="10" t="s">
        <v>37</v>
      </c>
      <c r="E1333" s="1" t="s">
        <v>97</v>
      </c>
      <c r="F1333" s="1" t="s">
        <v>98</v>
      </c>
      <c r="G1333" s="1">
        <v>-10</v>
      </c>
      <c r="H1333" s="1">
        <v>-20</v>
      </c>
      <c r="I1333" s="1" t="s">
        <v>40</v>
      </c>
      <c r="J1333" s="1">
        <v>3.15</v>
      </c>
      <c r="K1333" s="1">
        <v>-10</v>
      </c>
      <c r="L1333" s="1">
        <v>-7.54191616766468</v>
      </c>
      <c r="M1333" s="1" t="s">
        <v>40</v>
      </c>
      <c r="N1333" s="1">
        <v>2.5586826347305398</v>
      </c>
      <c r="O1333" s="1">
        <v>2.4916167664670699</v>
      </c>
      <c r="Q1333" s="1">
        <v>0.24916167664670699</v>
      </c>
      <c r="R1333" s="1">
        <v>0.75548689875959896</v>
      </c>
      <c r="S1333" s="1" t="str">
        <f>VLOOKUP($E1333,'Product Naming'!$A$1:$P$58,2,FALSE)</f>
        <v>2-Pyrone-4-6-Dicarboxylate</v>
      </c>
      <c r="T1333" s="1" t="str">
        <f>VLOOKUP($E1333,'Product Naming'!$A$1:$P$58,3,FALSE)</f>
        <v>2-Pyrone 4,6-dicarboxylate</v>
      </c>
      <c r="U1333" s="1" t="str">
        <f>VLOOKUP($E1333,'Product Naming'!$A$1:$P$58,4,FALSE)</f>
        <v>A</v>
      </c>
      <c r="V1333" s="1" t="str">
        <f>VLOOKUP($E1333,'Product Naming'!$A$1:$P$58,5,FALSE)</f>
        <v>C7H2O6</v>
      </c>
      <c r="W1333" s="1">
        <f>VLOOKUP($E1333,'Product Naming'!$A$1:$P$58,6,FALSE)</f>
        <v>7</v>
      </c>
      <c r="X1333" s="1">
        <f>VLOOKUP($E1333,'Product Naming'!$A$1:$P$58,7,FALSE)</f>
        <v>2</v>
      </c>
      <c r="Y1333" s="1">
        <f>VLOOKUP($E1333,'Product Naming'!$A$1:$P$58,8,FALSE)</f>
        <v>6</v>
      </c>
      <c r="Z1333" s="1">
        <f>VLOOKUP($E1333,'Product Naming'!$A$1:$P$58,9,FALSE)</f>
        <v>0</v>
      </c>
      <c r="AA1333" s="1">
        <f>VLOOKUP($E1333,'Product Naming'!$A$1:$P$58,10,FALSE)</f>
        <v>-2</v>
      </c>
      <c r="AB1333" s="29">
        <f>VLOOKUP($E1333,'Product Naming'!$A$1:$P$58,11,FALSE)</f>
        <v>2.5714285714285716</v>
      </c>
      <c r="AC1333" s="3">
        <f>VLOOKUP($E1333,'Product Naming'!$A$1:$P$58,12,FALSE)</f>
        <v>182.08458000000002</v>
      </c>
      <c r="AD1333" s="1">
        <f>VLOOKUP($E1333,'Product Naming'!$A$1:$P$58,13,FALSE)</f>
        <v>355.5</v>
      </c>
      <c r="AE1333" s="1" t="str">
        <f>VLOOKUP($E1333,'Product Naming'!$A$1:$P$58,14,FALSE)</f>
        <v>Dicarboxylate</v>
      </c>
      <c r="AF1333" s="1" t="str">
        <f>VLOOKUP($E1333,'Product Naming'!$A$1:$P$58,15,FALSE)</f>
        <v>Glyceraldehyde 3-P</v>
      </c>
      <c r="AG1333" s="30" t="str">
        <f>VLOOKUP($E1333,'Product Naming'!$A$1:$P$58,16,FALSE)</f>
        <v>Proton symporter</v>
      </c>
      <c r="AH1333" s="3" t="str">
        <f>VLOOKUP($E1333,'Product Naming'!$A$1:$Q$58,17,FALSE)</f>
        <v>2p46dc_c</v>
      </c>
      <c r="AI1333" s="1">
        <f>VLOOKUP($E1333,'Product Parameters'!$A$2:$D$59,2,FALSE)</f>
        <v>1</v>
      </c>
      <c r="AJ1333" s="1">
        <f>VLOOKUP($E1333,'Product Parameters'!$A$2:$D$59,3,FALSE)</f>
        <v>0</v>
      </c>
      <c r="AK1333" s="1">
        <f>VLOOKUP($E1333,'Product Parameters'!$A$2:$D$59,4,FALSE)</f>
        <v>0.12</v>
      </c>
      <c r="AL1333" s="1">
        <f>VLOOKUP($E1333,'Product Parameters'!$A$2:$E$59,5,FALSE)</f>
        <v>0</v>
      </c>
      <c r="AM1333" s="1">
        <f>VLOOKUP($E1333,'Product Parameters'!$A$2:$F$59,6,FALSE)</f>
        <v>7</v>
      </c>
      <c r="AN1333" s="1">
        <f>VLOOKUP($C1333,'Substrate Heating'!$A$2:$C$33,3,FALSE)</f>
        <v>1020.8629199999999</v>
      </c>
      <c r="AO1333" s="1">
        <f>VLOOKUP($C1333,'Substrate Heating'!$A$2:$B$33,2,FALSE)</f>
        <v>17</v>
      </c>
      <c r="AP1333" s="1">
        <f>VLOOKUP($C1333,'Substrate Heating'!$A$2:$M$33,13,FALSE)</f>
        <v>4</v>
      </c>
      <c r="AQ1333" s="1">
        <f>VLOOKUP($C1333,'Substrate Heating'!$A$2:$M$33,8,FALSE)</f>
        <v>2</v>
      </c>
      <c r="AR1333" s="1">
        <f t="shared" si="20"/>
        <v>0.87206586826347443</v>
      </c>
    </row>
    <row r="1334" spans="1:44" x14ac:dyDescent="0.2">
      <c r="A1334" s="8" t="s">
        <v>812</v>
      </c>
      <c r="B1334" s="9" t="s">
        <v>35</v>
      </c>
      <c r="C1334" t="s">
        <v>813</v>
      </c>
      <c r="E1334" t="s">
        <v>291</v>
      </c>
      <c r="F1334" t="s">
        <v>292</v>
      </c>
      <c r="G1334">
        <v>-10</v>
      </c>
      <c r="H1334">
        <v>-20</v>
      </c>
      <c r="I1334">
        <v>0</v>
      </c>
      <c r="J1334">
        <v>3.15</v>
      </c>
      <c r="K1334">
        <v>-10</v>
      </c>
      <c r="L1334">
        <v>-6.3413793103448297</v>
      </c>
      <c r="M1334">
        <v>0</v>
      </c>
      <c r="N1334">
        <v>4.2275862068965502</v>
      </c>
      <c r="O1334">
        <v>5.1544827586206798</v>
      </c>
      <c r="P1334"/>
      <c r="Q1334">
        <v>0.51544827586206798</v>
      </c>
      <c r="R1334">
        <v>0.75605044469671301</v>
      </c>
      <c r="S1334" s="1" t="str">
        <f>VLOOKUP($E1334,'Product Naming'!$A$1:$P$58,2,FALSE)</f>
        <v>Pentanol-PW1</v>
      </c>
      <c r="T1334" s="1" t="str">
        <f>VLOOKUP($E1334,'Product Naming'!$A$1:$P$58,3,FALSE)</f>
        <v>Pentanol (PW1)</v>
      </c>
      <c r="U1334" s="1" t="str">
        <f>VLOOKUP($E1334,'Product Naming'!$A$1:$P$58,4,FALSE)</f>
        <v>E</v>
      </c>
      <c r="V1334" s="1" t="str">
        <f>VLOOKUP($E1334,'Product Naming'!$A$1:$P$58,5,FALSE)</f>
        <v>C5H12O</v>
      </c>
      <c r="W1334" s="1">
        <f>VLOOKUP($E1334,'Product Naming'!$A$1:$P$58,6,FALSE)</f>
        <v>5</v>
      </c>
      <c r="X1334" s="1">
        <f>VLOOKUP($E1334,'Product Naming'!$A$1:$P$58,7,FALSE)</f>
        <v>12</v>
      </c>
      <c r="Y1334" s="1">
        <f>VLOOKUP($E1334,'Product Naming'!$A$1:$P$58,8,FALSE)</f>
        <v>1</v>
      </c>
      <c r="Z1334" s="1">
        <f>VLOOKUP($E1334,'Product Naming'!$A$1:$P$58,9,FALSE)</f>
        <v>0</v>
      </c>
      <c r="AA1334" s="1">
        <f>VLOOKUP($E1334,'Product Naming'!$A$1:$P$58,10,FALSE)</f>
        <v>0</v>
      </c>
      <c r="AB1334" s="29">
        <f>VLOOKUP($E1334,'Product Naming'!$A$1:$P$58,11,FALSE)</f>
        <v>6</v>
      </c>
      <c r="AC1334" s="3">
        <f>VLOOKUP($E1334,'Product Naming'!$A$1:$P$58,12,FALSE)</f>
        <v>88.14658</v>
      </c>
      <c r="AD1334" s="1">
        <f>VLOOKUP($E1334,'Product Naming'!$A$1:$P$58,13,FALSE)</f>
        <v>138</v>
      </c>
      <c r="AE1334" s="1" t="str">
        <f>VLOOKUP($E1334,'Product Naming'!$A$1:$P$58,14,FALSE)</f>
        <v>Alcohol</v>
      </c>
      <c r="AF1334" s="1" t="str">
        <f>VLOOKUP($E1334,'Product Naming'!$A$1:$P$58,15,FALSE)</f>
        <v>Acetyl-CoA + Succinyl-CoA</v>
      </c>
      <c r="AG1334" s="30" t="str">
        <f>VLOOKUP($E1334,'Product Naming'!$A$1:$P$58,16,FALSE)</f>
        <v>Proton symporter</v>
      </c>
      <c r="AH1334" s="3" t="str">
        <f>VLOOKUP($E1334,'Product Naming'!$A$1:$Q$58,17,FALSE)</f>
        <v>pentoh_c</v>
      </c>
      <c r="AI1334" s="1">
        <f>VLOOKUP($E1334,'Product Parameters'!$A$2:$D$59,2,FALSE)</f>
        <v>1</v>
      </c>
      <c r="AJ1334" s="1">
        <f>VLOOKUP($E1334,'Product Parameters'!$A$2:$D$59,3,FALSE)</f>
        <v>0</v>
      </c>
      <c r="AK1334" s="1">
        <f>VLOOKUP($E1334,'Product Parameters'!$A$2:$D$59,4,FALSE)</f>
        <v>0.12</v>
      </c>
      <c r="AL1334" s="1">
        <f>VLOOKUP($E1334,'Product Parameters'!$A$2:$E$59,5,FALSE)</f>
        <v>57</v>
      </c>
      <c r="AM1334" s="1">
        <f>VLOOKUP($E1334,'Product Parameters'!$A$2:$F$59,6,FALSE)</f>
        <v>5</v>
      </c>
      <c r="AN1334" s="1">
        <f>VLOOKUP($C1334,'Substrate Heating'!$A$2:$C$33,3,FALSE)</f>
        <v>1843.720736</v>
      </c>
      <c r="AO1334" s="1">
        <f>VLOOKUP($C1334,'Substrate Heating'!$A$2:$B$33,2,FALSE)</f>
        <v>30.68</v>
      </c>
      <c r="AP1334" s="1">
        <f>VLOOKUP($C1334,'Substrate Heating'!$A$2:$M$33,13,FALSE)</f>
        <v>6</v>
      </c>
      <c r="AQ1334" s="1">
        <f>VLOOKUP($C1334,'Substrate Heating'!$A$2:$M$33,8,FALSE)</f>
        <v>3</v>
      </c>
      <c r="AR1334" s="1">
        <f t="shared" si="20"/>
        <v>0.85908045977011327</v>
      </c>
    </row>
    <row r="1335" spans="1:44" x14ac:dyDescent="0.2">
      <c r="A1335" s="8" t="s">
        <v>34</v>
      </c>
      <c r="B1335" s="9" t="s">
        <v>35</v>
      </c>
      <c r="C1335" s="1" t="s">
        <v>36</v>
      </c>
      <c r="D1335" s="10" t="s">
        <v>37</v>
      </c>
      <c r="E1335" s="1" t="s">
        <v>240</v>
      </c>
      <c r="F1335" s="1" t="s">
        <v>241</v>
      </c>
      <c r="G1335" s="1">
        <v>-10</v>
      </c>
      <c r="H1335" s="1">
        <v>-20</v>
      </c>
      <c r="I1335" s="1" t="s">
        <v>40</v>
      </c>
      <c r="J1335" s="1">
        <v>3.15</v>
      </c>
      <c r="K1335" s="1">
        <v>-10</v>
      </c>
      <c r="L1335" s="1">
        <v>-1.7957894736842099</v>
      </c>
      <c r="M1335" s="1" t="s">
        <v>40</v>
      </c>
      <c r="N1335" s="1">
        <v>4.5305263157894702</v>
      </c>
      <c r="O1335" s="1">
        <v>3.86736842105263</v>
      </c>
      <c r="Q1335" s="1">
        <v>0.38673684210526299</v>
      </c>
      <c r="R1335" s="1">
        <v>0.75615576480222801</v>
      </c>
      <c r="S1335" s="1" t="str">
        <f>VLOOKUP($E1335,'Product Naming'!$A$1:$P$58,2,FALSE)</f>
        <v>Isobutanol</v>
      </c>
      <c r="T1335" s="1" t="str">
        <f>VLOOKUP($E1335,'Product Naming'!$A$1:$P$58,3,FALSE)</f>
        <v>Isobutanol</v>
      </c>
      <c r="U1335" s="1" t="str">
        <f>VLOOKUP($E1335,'Product Naming'!$A$1:$P$58,4,FALSE)</f>
        <v>E</v>
      </c>
      <c r="V1335" s="1" t="str">
        <f>VLOOKUP($E1335,'Product Naming'!$A$1:$P$58,5,FALSE)</f>
        <v>C5H10O</v>
      </c>
      <c r="W1335" s="1">
        <f>VLOOKUP($E1335,'Product Naming'!$A$1:$P$58,6,FALSE)</f>
        <v>5</v>
      </c>
      <c r="X1335" s="1">
        <f>VLOOKUP($E1335,'Product Naming'!$A$1:$P$58,7,FALSE)</f>
        <v>10</v>
      </c>
      <c r="Y1335" s="1">
        <f>VLOOKUP($E1335,'Product Naming'!$A$1:$P$58,8,FALSE)</f>
        <v>1</v>
      </c>
      <c r="Z1335" s="1">
        <f>VLOOKUP($E1335,'Product Naming'!$A$1:$P$58,9,FALSE)</f>
        <v>0</v>
      </c>
      <c r="AA1335" s="1">
        <f>VLOOKUP($E1335,'Product Naming'!$A$1:$P$58,10,FALSE)</f>
        <v>0</v>
      </c>
      <c r="AB1335" s="29">
        <f>VLOOKUP($E1335,'Product Naming'!$A$1:$P$58,11,FALSE)</f>
        <v>5.6</v>
      </c>
      <c r="AC1335" s="3">
        <f>VLOOKUP($E1335,'Product Naming'!$A$1:$P$58,12,FALSE)</f>
        <v>86.130899999999997</v>
      </c>
      <c r="AD1335" s="1">
        <f>VLOOKUP($E1335,'Product Naming'!$A$1:$P$58,13,FALSE)</f>
        <v>108</v>
      </c>
      <c r="AE1335" s="1" t="str">
        <f>VLOOKUP($E1335,'Product Naming'!$A$1:$P$58,14,FALSE)</f>
        <v>Alcohol</v>
      </c>
      <c r="AF1335" s="1" t="str">
        <f>VLOOKUP($E1335,'Product Naming'!$A$1:$P$58,15,FALSE)</f>
        <v>Pyruvate</v>
      </c>
      <c r="AG1335" s="30" t="str">
        <f>VLOOKUP($E1335,'Product Naming'!$A$1:$P$58,16,FALSE)</f>
        <v>Proton symporter</v>
      </c>
      <c r="AH1335" s="3" t="str">
        <f>VLOOKUP($E1335,'Product Naming'!$A$1:$Q$58,17,FALSE)</f>
        <v>ibutoh_c</v>
      </c>
      <c r="AI1335" s="1">
        <f>VLOOKUP($E1335,'Product Parameters'!$A$2:$D$59,2,FALSE)</f>
        <v>1</v>
      </c>
      <c r="AJ1335" s="1">
        <f>VLOOKUP($E1335,'Product Parameters'!$A$2:$D$59,3,FALSE)</f>
        <v>0</v>
      </c>
      <c r="AK1335" s="1">
        <f>VLOOKUP($E1335,'Product Parameters'!$A$2:$D$59,4,FALSE)</f>
        <v>0.12</v>
      </c>
      <c r="AL1335" s="1">
        <f>VLOOKUP($E1335,'Product Parameters'!$A$2:$E$59,5,FALSE)</f>
        <v>51</v>
      </c>
      <c r="AM1335" s="1">
        <f>VLOOKUP($E1335,'Product Parameters'!$A$2:$F$59,6,FALSE)</f>
        <v>5</v>
      </c>
      <c r="AN1335" s="1">
        <f>VLOOKUP($C1335,'Substrate Heating'!$A$2:$C$33,3,FALSE)</f>
        <v>1064.1143145599999</v>
      </c>
      <c r="AO1335" s="1">
        <f>VLOOKUP($C1335,'Substrate Heating'!$A$2:$B$33,2,FALSE)</f>
        <v>24.155999999999999</v>
      </c>
      <c r="AP1335" s="1">
        <f>VLOOKUP($C1335,'Substrate Heating'!$A$2:$M$33,13,FALSE)</f>
        <v>5</v>
      </c>
      <c r="AQ1335" s="1">
        <f>VLOOKUP($C1335,'Substrate Heating'!$A$2:$M$33,8,FALSE)</f>
        <v>2</v>
      </c>
      <c r="AR1335" s="1">
        <f t="shared" si="20"/>
        <v>0.9668421052631575</v>
      </c>
    </row>
    <row r="1336" spans="1:44" x14ac:dyDescent="0.2">
      <c r="A1336" s="8" t="s">
        <v>34</v>
      </c>
      <c r="B1336" s="9" t="s">
        <v>35</v>
      </c>
      <c r="C1336" s="1" t="s">
        <v>36</v>
      </c>
      <c r="D1336" s="10" t="s">
        <v>37</v>
      </c>
      <c r="E1336" s="1" t="s">
        <v>119</v>
      </c>
      <c r="F1336" s="1" t="s">
        <v>120</v>
      </c>
      <c r="G1336" s="1">
        <v>-10</v>
      </c>
      <c r="H1336" s="1">
        <v>-20</v>
      </c>
      <c r="I1336" s="1" t="s">
        <v>40</v>
      </c>
      <c r="J1336" s="1">
        <v>3.15</v>
      </c>
      <c r="K1336" s="1">
        <v>-10</v>
      </c>
      <c r="L1336" s="1">
        <v>-2.0306306306306299</v>
      </c>
      <c r="M1336" s="1" t="s">
        <v>40</v>
      </c>
      <c r="N1336" s="1">
        <v>2.7729729729729802</v>
      </c>
      <c r="O1336" s="1">
        <v>5.7423423423423401</v>
      </c>
      <c r="Q1336" s="1">
        <v>0.57423423423423403</v>
      </c>
      <c r="R1336" s="1">
        <v>0.75707432004189301</v>
      </c>
      <c r="S1336" s="1" t="str">
        <f>VLOOKUP($E1336,'Product Naming'!$A$1:$P$58,2,FALSE)</f>
        <v>Acetone</v>
      </c>
      <c r="T1336" s="1" t="str">
        <f>VLOOKUP($E1336,'Product Naming'!$A$1:$P$58,3,FALSE)</f>
        <v>Acetone</v>
      </c>
      <c r="U1336" s="1" t="str">
        <f>VLOOKUP($E1336,'Product Naming'!$A$1:$P$58,4,FALSE)</f>
        <v>A</v>
      </c>
      <c r="V1336" s="1" t="str">
        <f>VLOOKUP($E1336,'Product Naming'!$A$1:$P$58,5,FALSE)</f>
        <v>C3H6O</v>
      </c>
      <c r="W1336" s="1">
        <f>VLOOKUP($E1336,'Product Naming'!$A$1:$P$58,6,FALSE)</f>
        <v>3</v>
      </c>
      <c r="X1336" s="1">
        <f>VLOOKUP($E1336,'Product Naming'!$A$1:$P$58,7,FALSE)</f>
        <v>6</v>
      </c>
      <c r="Y1336" s="1">
        <f>VLOOKUP($E1336,'Product Naming'!$A$1:$P$58,8,FALSE)</f>
        <v>1</v>
      </c>
      <c r="Z1336" s="1">
        <f>VLOOKUP($E1336,'Product Naming'!$A$1:$P$58,9,FALSE)</f>
        <v>0</v>
      </c>
      <c r="AA1336" s="1">
        <f>VLOOKUP($E1336,'Product Naming'!$A$1:$P$58,10,FALSE)</f>
        <v>0</v>
      </c>
      <c r="AB1336" s="29">
        <f>VLOOKUP($E1336,'Product Naming'!$A$1:$P$58,11,FALSE)</f>
        <v>5.333333333333333</v>
      </c>
      <c r="AC1336" s="3">
        <f>VLOOKUP($E1336,'Product Naming'!$A$1:$P$58,12,FALSE)</f>
        <v>58.078140000000005</v>
      </c>
      <c r="AD1336" s="1">
        <f>VLOOKUP($E1336,'Product Naming'!$A$1:$P$58,13,FALSE)</f>
        <v>56</v>
      </c>
      <c r="AE1336" s="1" t="str">
        <f>VLOOKUP($E1336,'Product Naming'!$A$1:$P$58,14,FALSE)</f>
        <v>Ketone</v>
      </c>
      <c r="AF1336" s="1" t="str">
        <f>VLOOKUP($E1336,'Product Naming'!$A$1:$P$58,15,FALSE)</f>
        <v>Acetyl-CoA</v>
      </c>
      <c r="AG1336" s="30" t="str">
        <f>VLOOKUP($E1336,'Product Naming'!$A$1:$P$58,16,FALSE)</f>
        <v>Proton symporter</v>
      </c>
      <c r="AH1336" s="3" t="str">
        <f>VLOOKUP($E1336,'Product Naming'!$A$1:$Q$58,17,FALSE)</f>
        <v>acetone_c</v>
      </c>
      <c r="AI1336" s="1">
        <f>VLOOKUP($E1336,'Product Parameters'!$A$2:$D$59,2,FALSE)</f>
        <v>1</v>
      </c>
      <c r="AJ1336" s="1">
        <f>VLOOKUP($E1336,'Product Parameters'!$A$2:$D$59,3,FALSE)</f>
        <v>0</v>
      </c>
      <c r="AK1336" s="1">
        <f>VLOOKUP($E1336,'Product Parameters'!$A$2:$D$59,4,FALSE)</f>
        <v>0.12</v>
      </c>
      <c r="AL1336" s="1">
        <f>VLOOKUP($E1336,'Product Parameters'!$A$2:$E$59,5,FALSE)</f>
        <v>31.3</v>
      </c>
      <c r="AM1336" s="1">
        <f>VLOOKUP($E1336,'Product Parameters'!$A$2:$F$59,6,FALSE)</f>
        <v>3</v>
      </c>
      <c r="AN1336" s="1">
        <f>VLOOKUP($C1336,'Substrate Heating'!$A$2:$C$33,3,FALSE)</f>
        <v>1064.1143145599999</v>
      </c>
      <c r="AO1336" s="1">
        <f>VLOOKUP($C1336,'Substrate Heating'!$A$2:$B$33,2,FALSE)</f>
        <v>24.155999999999999</v>
      </c>
      <c r="AP1336" s="1">
        <f>VLOOKUP($C1336,'Substrate Heating'!$A$2:$M$33,13,FALSE)</f>
        <v>5</v>
      </c>
      <c r="AQ1336" s="1">
        <f>VLOOKUP($C1336,'Substrate Heating'!$A$2:$M$33,8,FALSE)</f>
        <v>2</v>
      </c>
      <c r="AR1336" s="1">
        <f t="shared" si="20"/>
        <v>0.8613513513513511</v>
      </c>
    </row>
    <row r="1337" spans="1:44" x14ac:dyDescent="0.2">
      <c r="A1337" s="8" t="s">
        <v>816</v>
      </c>
      <c r="B1337" s="18" t="s">
        <v>324</v>
      </c>
      <c r="C1337" t="s">
        <v>815</v>
      </c>
      <c r="D1337" s="19" t="s">
        <v>326</v>
      </c>
      <c r="E1337" t="s">
        <v>254</v>
      </c>
      <c r="F1337" t="s">
        <v>255</v>
      </c>
      <c r="G1337">
        <v>-10</v>
      </c>
      <c r="H1337">
        <v>0</v>
      </c>
      <c r="I1337">
        <v>0</v>
      </c>
      <c r="J1337">
        <v>0.45</v>
      </c>
      <c r="K1337">
        <v>18.308771929999999</v>
      </c>
      <c r="L1337">
        <v>0</v>
      </c>
      <c r="M1337">
        <v>0</v>
      </c>
      <c r="N1337">
        <v>18.308771929999999</v>
      </c>
      <c r="O1337">
        <v>3.3824561399999999</v>
      </c>
      <c r="P1337"/>
      <c r="Q1337">
        <v>0.18474511299999999</v>
      </c>
      <c r="R1337">
        <v>0.75816446500000001</v>
      </c>
      <c r="S1337" s="1" t="str">
        <f>VLOOKUP($E1337,'Product Naming'!$A$1:$P$58,2,FALSE)</f>
        <v>Itaconate</v>
      </c>
      <c r="T1337" s="1" t="str">
        <f>VLOOKUP($E1337,'Product Naming'!$A$1:$P$58,3,FALSE)</f>
        <v>Itaconate</v>
      </c>
      <c r="U1337" s="1" t="str">
        <f>VLOOKUP($E1337,'Product Naming'!$A$1:$P$58,4,FALSE)</f>
        <v>E</v>
      </c>
      <c r="V1337" s="1" t="str">
        <f>VLOOKUP($E1337,'Product Naming'!$A$1:$P$58,5,FALSE)</f>
        <v>C5H4O4</v>
      </c>
      <c r="W1337" s="1">
        <f>VLOOKUP($E1337,'Product Naming'!$A$1:$P$58,6,FALSE)</f>
        <v>5</v>
      </c>
      <c r="X1337" s="1">
        <f>VLOOKUP($E1337,'Product Naming'!$A$1:$P$58,7,FALSE)</f>
        <v>4</v>
      </c>
      <c r="Y1337" s="1">
        <f>VLOOKUP($E1337,'Product Naming'!$A$1:$P$58,8,FALSE)</f>
        <v>4</v>
      </c>
      <c r="Z1337" s="1">
        <f>VLOOKUP($E1337,'Product Naming'!$A$1:$P$58,9,FALSE)</f>
        <v>0</v>
      </c>
      <c r="AA1337" s="1">
        <f>VLOOKUP($E1337,'Product Naming'!$A$1:$P$58,10,FALSE)</f>
        <v>-2</v>
      </c>
      <c r="AB1337" s="29">
        <f>VLOOKUP($E1337,'Product Naming'!$A$1:$P$58,11,FALSE)</f>
        <v>3.2</v>
      </c>
      <c r="AC1337" s="3">
        <f>VLOOKUP($E1337,'Product Naming'!$A$1:$P$58,12,FALSE)</f>
        <v>128.08086</v>
      </c>
      <c r="AD1337" s="1">
        <f>VLOOKUP($E1337,'Product Naming'!$A$1:$P$58,13,FALSE)</f>
        <v>381</v>
      </c>
      <c r="AE1337" s="1" t="str">
        <f>VLOOKUP($E1337,'Product Naming'!$A$1:$P$58,14,FALSE)</f>
        <v>Dicarboxylate</v>
      </c>
      <c r="AF1337" s="1" t="str">
        <f>VLOOKUP($E1337,'Product Naming'!$A$1:$P$58,15,FALSE)</f>
        <v>Acetyl-CoA + Oxaloacetate</v>
      </c>
      <c r="AG1337" s="30" t="str">
        <f>VLOOKUP($E1337,'Product Naming'!$A$1:$P$58,16,FALSE)</f>
        <v>Proton symporter</v>
      </c>
      <c r="AH1337" s="3" t="str">
        <f>VLOOKUP($E1337,'Product Naming'!$A$1:$Q$58,17,FALSE)</f>
        <v>itacon_c</v>
      </c>
      <c r="AI1337" s="1">
        <f>VLOOKUP($E1337,'Product Parameters'!$A$2:$D$59,2,FALSE)</f>
        <v>1</v>
      </c>
      <c r="AJ1337" s="1">
        <f>VLOOKUP($E1337,'Product Parameters'!$A$2:$D$59,3,FALSE)</f>
        <v>0</v>
      </c>
      <c r="AK1337" s="1">
        <f>VLOOKUP($E1337,'Product Parameters'!$A$2:$D$59,4,FALSE)</f>
        <v>0.12</v>
      </c>
      <c r="AL1337" s="1">
        <f>VLOOKUP($E1337,'Product Parameters'!$A$2:$E$59,5,FALSE)</f>
        <v>40.65</v>
      </c>
      <c r="AM1337" s="1">
        <f>VLOOKUP($E1337,'Product Parameters'!$A$2:$F$59,6,FALSE)</f>
        <v>5</v>
      </c>
      <c r="AN1337" s="1">
        <f>VLOOKUP($C1337,'Substrate Heating'!$A$2:$C$33,3,FALSE)</f>
        <v>226.4</v>
      </c>
      <c r="AO1337" s="1">
        <f>VLOOKUP($C1337,'Substrate Heating'!$A$2:$B$33,2,FALSE)</f>
        <v>7.2542014450728134</v>
      </c>
      <c r="AP1337" s="1">
        <f>VLOOKUP($C1337,'Substrate Heating'!$A$2:$M$33,13,FALSE)</f>
        <v>1.6</v>
      </c>
      <c r="AQ1337" s="1">
        <f>VLOOKUP($C1337,'Substrate Heating'!$A$2:$M$33,8,FALSE)</f>
        <v>1</v>
      </c>
      <c r="AR1337" s="1">
        <f t="shared" si="20"/>
        <v>0.92372556499999992</v>
      </c>
    </row>
    <row r="1338" spans="1:44" x14ac:dyDescent="0.2">
      <c r="A1338" s="8" t="s">
        <v>812</v>
      </c>
      <c r="B1338" s="9" t="s">
        <v>35</v>
      </c>
      <c r="C1338" t="s">
        <v>813</v>
      </c>
      <c r="E1338" t="s">
        <v>143</v>
      </c>
      <c r="F1338" t="s">
        <v>137</v>
      </c>
      <c r="G1338">
        <v>-10</v>
      </c>
      <c r="H1338">
        <v>-20</v>
      </c>
      <c r="I1338">
        <v>0</v>
      </c>
      <c r="J1338">
        <v>3.15</v>
      </c>
      <c r="K1338">
        <v>-10</v>
      </c>
      <c r="L1338">
        <v>-16.625565610859699</v>
      </c>
      <c r="M1338">
        <v>0</v>
      </c>
      <c r="N1338">
        <v>3.5171945701357399</v>
      </c>
      <c r="O1338">
        <v>3.7832579185520299</v>
      </c>
      <c r="P1338"/>
      <c r="Q1338">
        <v>0.37832579185520299</v>
      </c>
      <c r="R1338">
        <v>0.76245409177016699</v>
      </c>
      <c r="S1338" s="1" t="str">
        <f>VLOOKUP($E1338,'Product Naming'!$A$1:$P$58,2,FALSE)</f>
        <v>Benzoate-PW2</v>
      </c>
      <c r="T1338" s="1" t="str">
        <f>VLOOKUP($E1338,'Product Naming'!$A$1:$P$58,3,FALSE)</f>
        <v>Benzoate (PW2)</v>
      </c>
      <c r="U1338" s="1" t="str">
        <f>VLOOKUP($E1338,'Product Naming'!$A$1:$P$58,4,FALSE)</f>
        <v>A</v>
      </c>
      <c r="V1338" s="1" t="str">
        <f>VLOOKUP($E1338,'Product Naming'!$A$1:$P$58,5,FALSE)</f>
        <v>C7H5O2</v>
      </c>
      <c r="W1338" s="1">
        <f>VLOOKUP($E1338,'Product Naming'!$A$1:$P$58,6,FALSE)</f>
        <v>7</v>
      </c>
      <c r="X1338" s="1">
        <f>VLOOKUP($E1338,'Product Naming'!$A$1:$P$58,7,FALSE)</f>
        <v>5</v>
      </c>
      <c r="Y1338" s="1">
        <f>VLOOKUP($E1338,'Product Naming'!$A$1:$P$58,8,FALSE)</f>
        <v>2</v>
      </c>
      <c r="Z1338" s="1">
        <f>VLOOKUP($E1338,'Product Naming'!$A$1:$P$58,9,FALSE)</f>
        <v>0</v>
      </c>
      <c r="AA1338" s="1">
        <f>VLOOKUP($E1338,'Product Naming'!$A$1:$P$58,10,FALSE)</f>
        <v>-1</v>
      </c>
      <c r="AB1338" s="29">
        <f>VLOOKUP($E1338,'Product Naming'!$A$1:$P$58,11,FALSE)</f>
        <v>4.1428571428571432</v>
      </c>
      <c r="AC1338" s="3">
        <f>VLOOKUP($E1338,'Product Naming'!$A$1:$P$58,12,FALSE)</f>
        <v>121.1121</v>
      </c>
      <c r="AD1338" s="1">
        <f>VLOOKUP($E1338,'Product Naming'!$A$1:$P$58,13,FALSE)</f>
        <v>249.2</v>
      </c>
      <c r="AE1338" s="1" t="str">
        <f>VLOOKUP($E1338,'Product Naming'!$A$1:$P$58,14,FALSE)</f>
        <v>Aromatic + Carboxylate</v>
      </c>
      <c r="AF1338" s="1" t="str">
        <f>VLOOKUP($E1338,'Product Naming'!$A$1:$P$58,15,FALSE)</f>
        <v>E4P + aKG</v>
      </c>
      <c r="AG1338" s="30" t="str">
        <f>VLOOKUP($E1338,'Product Naming'!$A$1:$P$58,16,FALSE)</f>
        <v>Proton symporter</v>
      </c>
      <c r="AH1338" s="3" t="str">
        <f>VLOOKUP($E1338,'Product Naming'!$A$1:$Q$58,17,FALSE)</f>
        <v>bz_c</v>
      </c>
      <c r="AI1338" s="1">
        <f>VLOOKUP($E1338,'Product Parameters'!$A$2:$D$59,2,FALSE)</f>
        <v>1</v>
      </c>
      <c r="AJ1338" s="1">
        <f>VLOOKUP($E1338,'Product Parameters'!$A$2:$D$59,3,FALSE)</f>
        <v>0</v>
      </c>
      <c r="AK1338" s="1">
        <f>VLOOKUP($E1338,'Product Parameters'!$A$2:$D$59,4,FALSE)</f>
        <v>0.12</v>
      </c>
      <c r="AL1338" s="1">
        <f>VLOOKUP($E1338,'Product Parameters'!$A$2:$E$59,5,FALSE)</f>
        <v>40.65</v>
      </c>
      <c r="AM1338" s="1">
        <f>VLOOKUP($E1338,'Product Parameters'!$A$2:$F$59,6,FALSE)</f>
        <v>7</v>
      </c>
      <c r="AN1338" s="1">
        <f>VLOOKUP($C1338,'Substrate Heating'!$A$2:$C$33,3,FALSE)</f>
        <v>1843.720736</v>
      </c>
      <c r="AO1338" s="1">
        <f>VLOOKUP($C1338,'Substrate Heating'!$A$2:$B$33,2,FALSE)</f>
        <v>30.68</v>
      </c>
      <c r="AP1338" s="1">
        <f>VLOOKUP($C1338,'Substrate Heating'!$A$2:$M$33,13,FALSE)</f>
        <v>6</v>
      </c>
      <c r="AQ1338" s="1">
        <f>VLOOKUP($C1338,'Substrate Heating'!$A$2:$M$33,8,FALSE)</f>
        <v>3</v>
      </c>
      <c r="AR1338" s="1">
        <f t="shared" si="20"/>
        <v>0.8827601809954736</v>
      </c>
    </row>
    <row r="1339" spans="1:44" x14ac:dyDescent="0.2">
      <c r="A1339" s="8" t="s">
        <v>812</v>
      </c>
      <c r="B1339" s="9" t="s">
        <v>35</v>
      </c>
      <c r="C1339" t="s">
        <v>813</v>
      </c>
      <c r="E1339" t="s">
        <v>136</v>
      </c>
      <c r="F1339" t="s">
        <v>137</v>
      </c>
      <c r="G1339">
        <v>-10</v>
      </c>
      <c r="H1339">
        <v>-20</v>
      </c>
      <c r="I1339">
        <v>0</v>
      </c>
      <c r="J1339">
        <v>3.15</v>
      </c>
      <c r="K1339">
        <v>-10</v>
      </c>
      <c r="L1339">
        <v>-16.625565610859699</v>
      </c>
      <c r="M1339">
        <v>0</v>
      </c>
      <c r="N1339">
        <v>3.5171945701357399</v>
      </c>
      <c r="O1339">
        <v>3.7832579185520299</v>
      </c>
      <c r="P1339"/>
      <c r="Q1339">
        <v>0.37832579185520299</v>
      </c>
      <c r="R1339">
        <v>0.76245409177016799</v>
      </c>
      <c r="S1339" s="1" t="str">
        <f>VLOOKUP($E1339,'Product Naming'!$A$1:$P$58,2,FALSE)</f>
        <v>Benzoate-PW1</v>
      </c>
      <c r="T1339" s="1" t="str">
        <f>VLOOKUP($E1339,'Product Naming'!$A$1:$P$58,3,FALSE)</f>
        <v>Benzoate (PW1)</v>
      </c>
      <c r="U1339" s="1" t="str">
        <f>VLOOKUP($E1339,'Product Naming'!$A$1:$P$58,4,FALSE)</f>
        <v>A</v>
      </c>
      <c r="V1339" s="1" t="str">
        <f>VLOOKUP($E1339,'Product Naming'!$A$1:$P$58,5,FALSE)</f>
        <v>C7H5O2</v>
      </c>
      <c r="W1339" s="1">
        <f>VLOOKUP($E1339,'Product Naming'!$A$1:$P$58,6,FALSE)</f>
        <v>7</v>
      </c>
      <c r="X1339" s="1">
        <f>VLOOKUP($E1339,'Product Naming'!$A$1:$P$58,7,FALSE)</f>
        <v>5</v>
      </c>
      <c r="Y1339" s="1">
        <f>VLOOKUP($E1339,'Product Naming'!$A$1:$P$58,8,FALSE)</f>
        <v>2</v>
      </c>
      <c r="Z1339" s="1">
        <f>VLOOKUP($E1339,'Product Naming'!$A$1:$P$58,9,FALSE)</f>
        <v>0</v>
      </c>
      <c r="AA1339" s="1">
        <f>VLOOKUP($E1339,'Product Naming'!$A$1:$P$58,10,FALSE)</f>
        <v>-1</v>
      </c>
      <c r="AB1339" s="29">
        <f>VLOOKUP($E1339,'Product Naming'!$A$1:$P$58,11,FALSE)</f>
        <v>4.1428571428571432</v>
      </c>
      <c r="AC1339" s="3">
        <f>VLOOKUP($E1339,'Product Naming'!$A$1:$P$58,12,FALSE)</f>
        <v>121.1121</v>
      </c>
      <c r="AD1339" s="1">
        <f>VLOOKUP($E1339,'Product Naming'!$A$1:$P$58,13,FALSE)</f>
        <v>249.2</v>
      </c>
      <c r="AE1339" s="1" t="str">
        <f>VLOOKUP($E1339,'Product Naming'!$A$1:$P$58,14,FALSE)</f>
        <v>Aromatic + Carboxylate</v>
      </c>
      <c r="AF1339" s="1" t="str">
        <f>VLOOKUP($E1339,'Product Naming'!$A$1:$P$58,15,FALSE)</f>
        <v>E4P + aKG</v>
      </c>
      <c r="AG1339" s="30" t="str">
        <f>VLOOKUP($E1339,'Product Naming'!$A$1:$P$58,16,FALSE)</f>
        <v>Proton symporter</v>
      </c>
      <c r="AH1339" s="3" t="str">
        <f>VLOOKUP($E1339,'Product Naming'!$A$1:$Q$58,17,FALSE)</f>
        <v>bz_c</v>
      </c>
      <c r="AI1339" s="1">
        <f>VLOOKUP($E1339,'Product Parameters'!$A$2:$D$59,2,FALSE)</f>
        <v>1</v>
      </c>
      <c r="AJ1339" s="1">
        <f>VLOOKUP($E1339,'Product Parameters'!$A$2:$D$59,3,FALSE)</f>
        <v>0</v>
      </c>
      <c r="AK1339" s="1">
        <f>VLOOKUP($E1339,'Product Parameters'!$A$2:$D$59,4,FALSE)</f>
        <v>0.12</v>
      </c>
      <c r="AL1339" s="1">
        <f>VLOOKUP($E1339,'Product Parameters'!$A$2:$E$59,5,FALSE)</f>
        <v>40.65</v>
      </c>
      <c r="AM1339" s="1">
        <f>VLOOKUP($E1339,'Product Parameters'!$A$2:$F$59,6,FALSE)</f>
        <v>7</v>
      </c>
      <c r="AN1339" s="1">
        <f>VLOOKUP($C1339,'Substrate Heating'!$A$2:$C$33,3,FALSE)</f>
        <v>1843.720736</v>
      </c>
      <c r="AO1339" s="1">
        <f>VLOOKUP($C1339,'Substrate Heating'!$A$2:$B$33,2,FALSE)</f>
        <v>30.68</v>
      </c>
      <c r="AP1339" s="1">
        <f>VLOOKUP($C1339,'Substrate Heating'!$A$2:$M$33,13,FALSE)</f>
        <v>6</v>
      </c>
      <c r="AQ1339" s="1">
        <f>VLOOKUP($C1339,'Substrate Heating'!$A$2:$M$33,8,FALSE)</f>
        <v>3</v>
      </c>
      <c r="AR1339" s="1">
        <f t="shared" si="20"/>
        <v>0.8827601809954736</v>
      </c>
    </row>
    <row r="1340" spans="1:44" x14ac:dyDescent="0.2">
      <c r="A1340" s="8" t="s">
        <v>34</v>
      </c>
      <c r="B1340" s="9" t="s">
        <v>35</v>
      </c>
      <c r="C1340" s="1" t="s">
        <v>36</v>
      </c>
      <c r="D1340" s="10" t="s">
        <v>37</v>
      </c>
      <c r="E1340" s="1" t="s">
        <v>114</v>
      </c>
      <c r="F1340" s="1" t="s">
        <v>115</v>
      </c>
      <c r="G1340" s="1">
        <v>-10</v>
      </c>
      <c r="H1340" s="1">
        <v>-20</v>
      </c>
      <c r="I1340" s="1" t="s">
        <v>40</v>
      </c>
      <c r="J1340" s="1">
        <v>3.15</v>
      </c>
      <c r="K1340" s="1">
        <v>-10</v>
      </c>
      <c r="L1340" s="1">
        <v>-7.7781250000000002</v>
      </c>
      <c r="M1340" s="1" t="s">
        <v>40</v>
      </c>
      <c r="N1340" s="1">
        <v>5.6484374999999796</v>
      </c>
      <c r="O1340" s="1">
        <v>2.87031250000001</v>
      </c>
      <c r="Q1340" s="1">
        <v>0.28703125000000101</v>
      </c>
      <c r="R1340" s="1">
        <v>0.76328653029413895</v>
      </c>
      <c r="S1340" s="1" t="str">
        <f>VLOOKUP($E1340,'Product Naming'!$A$1:$P$58,2,FALSE)</f>
        <v>5-Aminopentanoate</v>
      </c>
      <c r="T1340" s="1" t="str">
        <f>VLOOKUP($E1340,'Product Naming'!$A$1:$P$58,3,FALSE)</f>
        <v>5-Aminopentanoate</v>
      </c>
      <c r="U1340" s="1" t="str">
        <f>VLOOKUP($E1340,'Product Naming'!$A$1:$P$58,4,FALSE)</f>
        <v>A</v>
      </c>
      <c r="V1340" s="1" t="str">
        <f>VLOOKUP($E1340,'Product Naming'!$A$1:$P$58,5,FALSE)</f>
        <v>C5H11NO2</v>
      </c>
      <c r="W1340" s="1">
        <f>VLOOKUP($E1340,'Product Naming'!$A$1:$P$58,6,FALSE)</f>
        <v>5</v>
      </c>
      <c r="X1340" s="1">
        <f>VLOOKUP($E1340,'Product Naming'!$A$1:$P$58,7,FALSE)</f>
        <v>11</v>
      </c>
      <c r="Y1340" s="1">
        <f>VLOOKUP($E1340,'Product Naming'!$A$1:$P$58,8,FALSE)</f>
        <v>2</v>
      </c>
      <c r="Z1340" s="1">
        <f>VLOOKUP($E1340,'Product Naming'!$A$1:$P$58,9,FALSE)</f>
        <v>1</v>
      </c>
      <c r="AA1340" s="1">
        <f>VLOOKUP($E1340,'Product Naming'!$A$1:$P$58,10,FALSE)</f>
        <v>0</v>
      </c>
      <c r="AB1340" s="29">
        <f>VLOOKUP($E1340,'Product Naming'!$A$1:$P$58,11,FALSE)</f>
        <v>4.8</v>
      </c>
      <c r="AC1340" s="3">
        <f>VLOOKUP($E1340,'Product Naming'!$A$1:$P$58,12,FALSE)</f>
        <v>117.14444</v>
      </c>
      <c r="AD1340" s="1">
        <f>VLOOKUP($E1340,'Product Naming'!$A$1:$P$58,13,FALSE)</f>
        <v>247.5</v>
      </c>
      <c r="AE1340" s="1" t="str">
        <f>VLOOKUP($E1340,'Product Naming'!$A$1:$P$58,14,FALSE)</f>
        <v>D-Amino Acid</v>
      </c>
      <c r="AF1340" s="1" t="str">
        <f>VLOOKUP($E1340,'Product Naming'!$A$1:$P$58,15,FALSE)</f>
        <v>Oxaloacetate</v>
      </c>
      <c r="AG1340" s="30" t="str">
        <f>VLOOKUP($E1340,'Product Naming'!$A$1:$P$58,16,FALSE)</f>
        <v>Proton symporter</v>
      </c>
      <c r="AH1340" s="3" t="str">
        <f>VLOOKUP($E1340,'Product Naming'!$A$1:$Q$58,17,FALSE)</f>
        <v>5aptn_c</v>
      </c>
      <c r="AI1340" s="1">
        <f>VLOOKUP($E1340,'Product Parameters'!$A$2:$D$59,2,FALSE)</f>
        <v>1</v>
      </c>
      <c r="AJ1340" s="1">
        <f>VLOOKUP($E1340,'Product Parameters'!$A$2:$D$59,3,FALSE)</f>
        <v>0</v>
      </c>
      <c r="AK1340" s="1">
        <f>VLOOKUP($E1340,'Product Parameters'!$A$2:$D$59,4,FALSE)</f>
        <v>0.12</v>
      </c>
      <c r="AL1340" s="1">
        <f>VLOOKUP($E1340,'Product Parameters'!$A$2:$E$59,5,FALSE)</f>
        <v>40.65</v>
      </c>
      <c r="AM1340" s="1">
        <f>VLOOKUP($E1340,'Product Parameters'!$A$2:$F$59,6,FALSE)</f>
        <v>5</v>
      </c>
      <c r="AN1340" s="1">
        <f>VLOOKUP($C1340,'Substrate Heating'!$A$2:$C$33,3,FALSE)</f>
        <v>1064.1143145599999</v>
      </c>
      <c r="AO1340" s="1">
        <f>VLOOKUP($C1340,'Substrate Heating'!$A$2:$B$33,2,FALSE)</f>
        <v>24.155999999999999</v>
      </c>
      <c r="AP1340" s="1">
        <f>VLOOKUP($C1340,'Substrate Heating'!$A$2:$M$33,13,FALSE)</f>
        <v>5</v>
      </c>
      <c r="AQ1340" s="1">
        <f>VLOOKUP($C1340,'Substrate Heating'!$A$2:$M$33,8,FALSE)</f>
        <v>2</v>
      </c>
      <c r="AR1340" s="1">
        <f t="shared" si="20"/>
        <v>0.71757812500000251</v>
      </c>
    </row>
    <row r="1341" spans="1:44" x14ac:dyDescent="0.2">
      <c r="A1341" s="8" t="s">
        <v>34</v>
      </c>
      <c r="B1341" s="9" t="s">
        <v>35</v>
      </c>
      <c r="C1341" s="1" t="s">
        <v>347</v>
      </c>
      <c r="D1341" s="23" t="s">
        <v>338</v>
      </c>
      <c r="E1341" s="1" t="s">
        <v>180</v>
      </c>
      <c r="F1341" s="1" t="s">
        <v>181</v>
      </c>
      <c r="G1341" s="1">
        <v>-10</v>
      </c>
      <c r="H1341" s="1">
        <v>-20</v>
      </c>
      <c r="I1341" s="1" t="s">
        <v>40</v>
      </c>
      <c r="J1341" s="1">
        <v>3.15</v>
      </c>
      <c r="K1341" s="1">
        <v>-10</v>
      </c>
      <c r="L1341" s="1">
        <v>-5.3924295774647897</v>
      </c>
      <c r="M1341" s="1" t="s">
        <v>40</v>
      </c>
      <c r="N1341" s="1">
        <v>-0.48098591549296599</v>
      </c>
      <c r="O1341" s="1">
        <v>1.74683098591549</v>
      </c>
      <c r="Q1341" s="1">
        <v>0.17468309859154901</v>
      </c>
      <c r="R1341" s="1">
        <v>0.76375837089421805</v>
      </c>
      <c r="S1341" s="1" t="str">
        <f>VLOOKUP($E1341,'Product Naming'!$A$1:$P$58,2,FALSE)</f>
        <v>ciscisMuconate</v>
      </c>
      <c r="T1341" s="1" t="str">
        <f>VLOOKUP($E1341,'Product Naming'!$A$1:$P$58,3,FALSE)</f>
        <v>cis,cis-Muconate</v>
      </c>
      <c r="U1341" s="1" t="str">
        <f>VLOOKUP($E1341,'Product Naming'!$A$1:$P$58,4,FALSE)</f>
        <v>A</v>
      </c>
      <c r="V1341" s="1" t="str">
        <f>VLOOKUP($E1341,'Product Naming'!$A$1:$P$58,5,FALSE)</f>
        <v>C6H4O4</v>
      </c>
      <c r="W1341" s="1">
        <f>VLOOKUP($E1341,'Product Naming'!$A$1:$P$58,6,FALSE)</f>
        <v>6</v>
      </c>
      <c r="X1341" s="1">
        <f>VLOOKUP($E1341,'Product Naming'!$A$1:$P$58,7,FALSE)</f>
        <v>4</v>
      </c>
      <c r="Y1341" s="1">
        <f>VLOOKUP($E1341,'Product Naming'!$A$1:$P$58,8,FALSE)</f>
        <v>4</v>
      </c>
      <c r="Z1341" s="1">
        <f>VLOOKUP($E1341,'Product Naming'!$A$1:$P$58,9,FALSE)</f>
        <v>0</v>
      </c>
      <c r="AA1341" s="1">
        <f>VLOOKUP($E1341,'Product Naming'!$A$1:$P$58,10,FALSE)</f>
        <v>-2</v>
      </c>
      <c r="AB1341" s="29">
        <f>VLOOKUP($E1341,'Product Naming'!$A$1:$P$58,11,FALSE)</f>
        <v>3.3333333333333335</v>
      </c>
      <c r="AC1341" s="3">
        <f>VLOOKUP($E1341,'Product Naming'!$A$1:$P$58,12,FALSE)</f>
        <v>140.09156000000002</v>
      </c>
      <c r="AD1341" s="1">
        <f>VLOOKUP($E1341,'Product Naming'!$A$1:$P$58,13,FALSE)</f>
        <v>345.4</v>
      </c>
      <c r="AE1341" s="1" t="str">
        <f>VLOOKUP($E1341,'Product Naming'!$A$1:$P$58,14,FALSE)</f>
        <v>Dicarboxylate</v>
      </c>
      <c r="AF1341" s="1" t="str">
        <f>VLOOKUP($E1341,'Product Naming'!$A$1:$P$58,15,FALSE)</f>
        <v>Glyceraldehyde 3-P</v>
      </c>
      <c r="AG1341" s="30" t="str">
        <f>VLOOKUP($E1341,'Product Naming'!$A$1:$P$58,16,FALSE)</f>
        <v>Proton symporter</v>
      </c>
      <c r="AH1341" s="3" t="str">
        <f>VLOOKUP($E1341,'Product Naming'!$A$1:$Q$58,17,FALSE)</f>
        <v>ccmuac_c</v>
      </c>
      <c r="AI1341" s="1">
        <f>VLOOKUP($E1341,'Product Parameters'!$A$2:$D$59,2,FALSE)</f>
        <v>1</v>
      </c>
      <c r="AJ1341" s="1">
        <f>VLOOKUP($E1341,'Product Parameters'!$A$2:$D$59,3,FALSE)</f>
        <v>0</v>
      </c>
      <c r="AK1341" s="1">
        <f>VLOOKUP($E1341,'Product Parameters'!$A$2:$D$59,4,FALSE)</f>
        <v>0.12</v>
      </c>
      <c r="AL1341" s="1">
        <f>VLOOKUP($E1341,'Product Parameters'!$A$2:$E$59,5,FALSE)</f>
        <v>40.65</v>
      </c>
      <c r="AM1341" s="1">
        <f>VLOOKUP($E1341,'Product Parameters'!$A$2:$F$59,6,FALSE)</f>
        <v>6</v>
      </c>
      <c r="AN1341" s="1">
        <f>VLOOKUP($C1341,'Substrate Heating'!$A$2:$C$33,3,FALSE)</f>
        <v>638.57832580000002</v>
      </c>
      <c r="AO1341" s="1">
        <f>VLOOKUP($C1341,'Substrate Heating'!$A$2:$B$33,2,FALSE)</f>
        <v>19.93</v>
      </c>
      <c r="AP1341" s="1">
        <f>VLOOKUP($C1341,'Substrate Heating'!$A$2:$M$33,13,FALSE)</f>
        <v>6</v>
      </c>
      <c r="AQ1341" s="1">
        <f>VLOOKUP($C1341,'Substrate Heating'!$A$2:$M$33,8,FALSE)</f>
        <v>1</v>
      </c>
      <c r="AR1341" s="1">
        <f t="shared" si="20"/>
        <v>1.048098591549294</v>
      </c>
    </row>
    <row r="1342" spans="1:44" x14ac:dyDescent="0.2">
      <c r="A1342" s="8" t="s">
        <v>34</v>
      </c>
      <c r="B1342" s="9" t="s">
        <v>35</v>
      </c>
      <c r="C1342" s="1" t="s">
        <v>346</v>
      </c>
      <c r="D1342" s="23" t="s">
        <v>338</v>
      </c>
      <c r="E1342" s="1" t="s">
        <v>180</v>
      </c>
      <c r="F1342" s="1" t="s">
        <v>181</v>
      </c>
      <c r="G1342" s="1">
        <v>-10</v>
      </c>
      <c r="H1342" s="1">
        <v>-20</v>
      </c>
      <c r="I1342" s="1" t="s">
        <v>40</v>
      </c>
      <c r="J1342" s="1">
        <v>3.15</v>
      </c>
      <c r="K1342" s="1">
        <v>-10</v>
      </c>
      <c r="L1342" s="1">
        <v>-5.3924295774647897</v>
      </c>
      <c r="M1342" s="1" t="s">
        <v>40</v>
      </c>
      <c r="N1342" s="1">
        <v>-0.48098591549295799</v>
      </c>
      <c r="O1342" s="1">
        <v>1.74683098591549</v>
      </c>
      <c r="Q1342" s="1">
        <v>0.17468309859154901</v>
      </c>
      <c r="R1342" s="1">
        <v>0.76375837089421905</v>
      </c>
      <c r="S1342" s="1" t="str">
        <f>VLOOKUP($E1342,'Product Naming'!$A$1:$P$58,2,FALSE)</f>
        <v>ciscisMuconate</v>
      </c>
      <c r="T1342" s="1" t="str">
        <f>VLOOKUP($E1342,'Product Naming'!$A$1:$P$58,3,FALSE)</f>
        <v>cis,cis-Muconate</v>
      </c>
      <c r="U1342" s="1" t="str">
        <f>VLOOKUP($E1342,'Product Naming'!$A$1:$P$58,4,FALSE)</f>
        <v>A</v>
      </c>
      <c r="V1342" s="1" t="str">
        <f>VLOOKUP($E1342,'Product Naming'!$A$1:$P$58,5,FALSE)</f>
        <v>C6H4O4</v>
      </c>
      <c r="W1342" s="1">
        <f>VLOOKUP($E1342,'Product Naming'!$A$1:$P$58,6,FALSE)</f>
        <v>6</v>
      </c>
      <c r="X1342" s="1">
        <f>VLOOKUP($E1342,'Product Naming'!$A$1:$P$58,7,FALSE)</f>
        <v>4</v>
      </c>
      <c r="Y1342" s="1">
        <f>VLOOKUP($E1342,'Product Naming'!$A$1:$P$58,8,FALSE)</f>
        <v>4</v>
      </c>
      <c r="Z1342" s="1">
        <f>VLOOKUP($E1342,'Product Naming'!$A$1:$P$58,9,FALSE)</f>
        <v>0</v>
      </c>
      <c r="AA1342" s="1">
        <f>VLOOKUP($E1342,'Product Naming'!$A$1:$P$58,10,FALSE)</f>
        <v>-2</v>
      </c>
      <c r="AB1342" s="29">
        <f>VLOOKUP($E1342,'Product Naming'!$A$1:$P$58,11,FALSE)</f>
        <v>3.3333333333333335</v>
      </c>
      <c r="AC1342" s="3">
        <f>VLOOKUP($E1342,'Product Naming'!$A$1:$P$58,12,FALSE)</f>
        <v>140.09156000000002</v>
      </c>
      <c r="AD1342" s="1">
        <f>VLOOKUP($E1342,'Product Naming'!$A$1:$P$58,13,FALSE)</f>
        <v>345.4</v>
      </c>
      <c r="AE1342" s="1" t="str">
        <f>VLOOKUP($E1342,'Product Naming'!$A$1:$P$58,14,FALSE)</f>
        <v>Dicarboxylate</v>
      </c>
      <c r="AF1342" s="1" t="str">
        <f>VLOOKUP($E1342,'Product Naming'!$A$1:$P$58,15,FALSE)</f>
        <v>Glyceraldehyde 3-P</v>
      </c>
      <c r="AG1342" s="30" t="str">
        <f>VLOOKUP($E1342,'Product Naming'!$A$1:$P$58,16,FALSE)</f>
        <v>Proton symporter</v>
      </c>
      <c r="AH1342" s="3" t="str">
        <f>VLOOKUP($E1342,'Product Naming'!$A$1:$Q$58,17,FALSE)</f>
        <v>ccmuac_c</v>
      </c>
      <c r="AI1342" s="1">
        <f>VLOOKUP($E1342,'Product Parameters'!$A$2:$D$59,2,FALSE)</f>
        <v>1</v>
      </c>
      <c r="AJ1342" s="1">
        <f>VLOOKUP($E1342,'Product Parameters'!$A$2:$D$59,3,FALSE)</f>
        <v>0</v>
      </c>
      <c r="AK1342" s="1">
        <f>VLOOKUP($E1342,'Product Parameters'!$A$2:$D$59,4,FALSE)</f>
        <v>0.12</v>
      </c>
      <c r="AL1342" s="1">
        <f>VLOOKUP($E1342,'Product Parameters'!$A$2:$E$59,5,FALSE)</f>
        <v>40.65</v>
      </c>
      <c r="AM1342" s="1">
        <f>VLOOKUP($E1342,'Product Parameters'!$A$2:$F$59,6,FALSE)</f>
        <v>6</v>
      </c>
      <c r="AN1342" s="1">
        <f>VLOOKUP($C1342,'Substrate Heating'!$A$2:$C$33,3,FALSE)</f>
        <v>638.57832580000002</v>
      </c>
      <c r="AO1342" s="1">
        <f>VLOOKUP($C1342,'Substrate Heating'!$A$2:$B$33,2,FALSE)</f>
        <v>19.93</v>
      </c>
      <c r="AP1342" s="1">
        <f>VLOOKUP($C1342,'Substrate Heating'!$A$2:$M$33,13,FALSE)</f>
        <v>6</v>
      </c>
      <c r="AQ1342" s="1">
        <f>VLOOKUP($C1342,'Substrate Heating'!$A$2:$M$33,8,FALSE)</f>
        <v>1</v>
      </c>
      <c r="AR1342" s="1">
        <f t="shared" si="20"/>
        <v>1.048098591549294</v>
      </c>
    </row>
    <row r="1343" spans="1:44" x14ac:dyDescent="0.2">
      <c r="A1343" s="8" t="s">
        <v>812</v>
      </c>
      <c r="B1343" s="9" t="s">
        <v>35</v>
      </c>
      <c r="C1343" t="s">
        <v>813</v>
      </c>
      <c r="E1343" t="s">
        <v>119</v>
      </c>
      <c r="F1343" t="s">
        <v>120</v>
      </c>
      <c r="G1343">
        <v>-10</v>
      </c>
      <c r="H1343">
        <v>-20</v>
      </c>
      <c r="I1343">
        <v>0</v>
      </c>
      <c r="J1343">
        <v>3.15</v>
      </c>
      <c r="K1343">
        <v>-10</v>
      </c>
      <c r="L1343">
        <v>-13.3214953271028</v>
      </c>
      <c r="M1343">
        <v>0</v>
      </c>
      <c r="N1343">
        <v>6.2411214953270999</v>
      </c>
      <c r="O1343">
        <v>7.9196261682242897</v>
      </c>
      <c r="P1343"/>
      <c r="Q1343">
        <v>0.79196261682242897</v>
      </c>
      <c r="R1343">
        <v>0.76538085794837896</v>
      </c>
      <c r="S1343" s="1" t="str">
        <f>VLOOKUP($E1343,'Product Naming'!$A$1:$P$58,2,FALSE)</f>
        <v>Acetone</v>
      </c>
      <c r="T1343" s="1" t="str">
        <f>VLOOKUP($E1343,'Product Naming'!$A$1:$P$58,3,FALSE)</f>
        <v>Acetone</v>
      </c>
      <c r="U1343" s="1" t="str">
        <f>VLOOKUP($E1343,'Product Naming'!$A$1:$P$58,4,FALSE)</f>
        <v>A</v>
      </c>
      <c r="V1343" s="1" t="str">
        <f>VLOOKUP($E1343,'Product Naming'!$A$1:$P$58,5,FALSE)</f>
        <v>C3H6O</v>
      </c>
      <c r="W1343" s="1">
        <f>VLOOKUP($E1343,'Product Naming'!$A$1:$P$58,6,FALSE)</f>
        <v>3</v>
      </c>
      <c r="X1343" s="1">
        <f>VLOOKUP($E1343,'Product Naming'!$A$1:$P$58,7,FALSE)</f>
        <v>6</v>
      </c>
      <c r="Y1343" s="1">
        <f>VLOOKUP($E1343,'Product Naming'!$A$1:$P$58,8,FALSE)</f>
        <v>1</v>
      </c>
      <c r="Z1343" s="1">
        <f>VLOOKUP($E1343,'Product Naming'!$A$1:$P$58,9,FALSE)</f>
        <v>0</v>
      </c>
      <c r="AA1343" s="1">
        <f>VLOOKUP($E1343,'Product Naming'!$A$1:$P$58,10,FALSE)</f>
        <v>0</v>
      </c>
      <c r="AB1343" s="29">
        <f>VLOOKUP($E1343,'Product Naming'!$A$1:$P$58,11,FALSE)</f>
        <v>5.333333333333333</v>
      </c>
      <c r="AC1343" s="3">
        <f>VLOOKUP($E1343,'Product Naming'!$A$1:$P$58,12,FALSE)</f>
        <v>58.078140000000005</v>
      </c>
      <c r="AD1343" s="1">
        <f>VLOOKUP($E1343,'Product Naming'!$A$1:$P$58,13,FALSE)</f>
        <v>56</v>
      </c>
      <c r="AE1343" s="1" t="str">
        <f>VLOOKUP($E1343,'Product Naming'!$A$1:$P$58,14,FALSE)</f>
        <v>Ketone</v>
      </c>
      <c r="AF1343" s="1" t="str">
        <f>VLOOKUP($E1343,'Product Naming'!$A$1:$P$58,15,FALSE)</f>
        <v>Acetyl-CoA</v>
      </c>
      <c r="AG1343" s="30" t="str">
        <f>VLOOKUP($E1343,'Product Naming'!$A$1:$P$58,16,FALSE)</f>
        <v>Proton symporter</v>
      </c>
      <c r="AH1343" s="3" t="str">
        <f>VLOOKUP($E1343,'Product Naming'!$A$1:$Q$58,17,FALSE)</f>
        <v>acetone_c</v>
      </c>
      <c r="AI1343" s="1">
        <f>VLOOKUP($E1343,'Product Parameters'!$A$2:$D$59,2,FALSE)</f>
        <v>1</v>
      </c>
      <c r="AJ1343" s="1">
        <f>VLOOKUP($E1343,'Product Parameters'!$A$2:$D$59,3,FALSE)</f>
        <v>0</v>
      </c>
      <c r="AK1343" s="1">
        <f>VLOOKUP($E1343,'Product Parameters'!$A$2:$D$59,4,FALSE)</f>
        <v>0.12</v>
      </c>
      <c r="AL1343" s="1">
        <f>VLOOKUP($E1343,'Product Parameters'!$A$2:$E$59,5,FALSE)</f>
        <v>31.3</v>
      </c>
      <c r="AM1343" s="1">
        <f>VLOOKUP($E1343,'Product Parameters'!$A$2:$F$59,6,FALSE)</f>
        <v>3</v>
      </c>
      <c r="AN1343" s="1">
        <f>VLOOKUP($C1343,'Substrate Heating'!$A$2:$C$33,3,FALSE)</f>
        <v>1843.720736</v>
      </c>
      <c r="AO1343" s="1">
        <f>VLOOKUP($C1343,'Substrate Heating'!$A$2:$B$33,2,FALSE)</f>
        <v>30.68</v>
      </c>
      <c r="AP1343" s="1">
        <f>VLOOKUP($C1343,'Substrate Heating'!$A$2:$M$33,13,FALSE)</f>
        <v>6</v>
      </c>
      <c r="AQ1343" s="1">
        <f>VLOOKUP($C1343,'Substrate Heating'!$A$2:$M$33,8,FALSE)</f>
        <v>3</v>
      </c>
      <c r="AR1343" s="1">
        <f t="shared" si="20"/>
        <v>0.79196261682242897</v>
      </c>
    </row>
    <row r="1344" spans="1:44" x14ac:dyDescent="0.2">
      <c r="A1344" s="8" t="s">
        <v>34</v>
      </c>
      <c r="B1344" s="9" t="s">
        <v>35</v>
      </c>
      <c r="C1344" s="1" t="s">
        <v>349</v>
      </c>
      <c r="D1344" s="25" t="s">
        <v>342</v>
      </c>
      <c r="E1344" s="1" t="s">
        <v>130</v>
      </c>
      <c r="F1344" s="1" t="s">
        <v>125</v>
      </c>
      <c r="G1344" s="1">
        <v>-10</v>
      </c>
      <c r="H1344" s="1">
        <v>-20</v>
      </c>
      <c r="I1344" s="1" t="s">
        <v>40</v>
      </c>
      <c r="J1344" s="1">
        <v>3.15</v>
      </c>
      <c r="K1344" s="1">
        <v>-10</v>
      </c>
      <c r="L1344" s="1">
        <v>-1.4425531914893599</v>
      </c>
      <c r="M1344" s="1" t="s">
        <v>40</v>
      </c>
      <c r="N1344" s="1">
        <v>1.4425531914893599</v>
      </c>
      <c r="O1344" s="1">
        <v>16.1858156028369</v>
      </c>
      <c r="Q1344" s="1">
        <v>1.6185815602836899</v>
      </c>
      <c r="R1344" s="1">
        <v>0.76604328997138604</v>
      </c>
      <c r="S1344" s="1" t="str">
        <f>VLOOKUP($E1344,'Product Naming'!$A$1:$P$58,2,FALSE)</f>
        <v>Acrylate-PW2</v>
      </c>
      <c r="T1344" s="1" t="str">
        <f>VLOOKUP($E1344,'Product Naming'!$A$1:$P$58,3,FALSE)</f>
        <v>Acrylate (PW2)</v>
      </c>
      <c r="U1344" s="1" t="str">
        <f>VLOOKUP($E1344,'Product Naming'!$A$1:$P$58,4,FALSE)</f>
        <v>A</v>
      </c>
      <c r="V1344" s="1" t="str">
        <f>VLOOKUP($E1344,'Product Naming'!$A$1:$P$58,5,FALSE)</f>
        <v>C3H3O2</v>
      </c>
      <c r="W1344" s="1">
        <f>VLOOKUP($E1344,'Product Naming'!$A$1:$P$58,6,FALSE)</f>
        <v>3</v>
      </c>
      <c r="X1344" s="1">
        <f>VLOOKUP($E1344,'Product Naming'!$A$1:$P$58,7,FALSE)</f>
        <v>3</v>
      </c>
      <c r="Y1344" s="1">
        <f>VLOOKUP($E1344,'Product Naming'!$A$1:$P$58,8,FALSE)</f>
        <v>2</v>
      </c>
      <c r="Z1344" s="1">
        <f>VLOOKUP($E1344,'Product Naming'!$A$1:$P$58,9,FALSE)</f>
        <v>0</v>
      </c>
      <c r="AA1344" s="1">
        <f>VLOOKUP($E1344,'Product Naming'!$A$1:$P$58,10,FALSE)</f>
        <v>-1</v>
      </c>
      <c r="AB1344" s="29">
        <f>VLOOKUP($E1344,'Product Naming'!$A$1:$P$58,11,FALSE)</f>
        <v>3.6666666666666665</v>
      </c>
      <c r="AC1344" s="3">
        <f>VLOOKUP($E1344,'Product Naming'!$A$1:$P$58,12,FALSE)</f>
        <v>71.053619999999995</v>
      </c>
      <c r="AD1344" s="1">
        <f>VLOOKUP($E1344,'Product Naming'!$A$1:$P$58,13,FALSE)</f>
        <v>80</v>
      </c>
      <c r="AE1344" s="1" t="str">
        <f>VLOOKUP($E1344,'Product Naming'!$A$1:$P$58,14,FALSE)</f>
        <v>Carboxylate</v>
      </c>
      <c r="AF1344" s="1" t="str">
        <f>VLOOKUP($E1344,'Product Naming'!$A$1:$P$58,15,FALSE)</f>
        <v>Pyruvate</v>
      </c>
      <c r="AG1344" s="30" t="str">
        <f>VLOOKUP($E1344,'Product Naming'!$A$1:$P$58,16,FALSE)</f>
        <v>Proton symporter</v>
      </c>
      <c r="AH1344" s="3" t="str">
        <f>VLOOKUP($E1344,'Product Naming'!$A$1:$Q$58,17,FALSE)</f>
        <v>acryl_c</v>
      </c>
      <c r="AI1344" s="1">
        <f>VLOOKUP($E1344,'Product Parameters'!$A$2:$D$59,2,FALSE)</f>
        <v>1</v>
      </c>
      <c r="AJ1344" s="1">
        <f>VLOOKUP($E1344,'Product Parameters'!$A$2:$D$59,3,FALSE)</f>
        <v>0</v>
      </c>
      <c r="AK1344" s="1">
        <f>VLOOKUP($E1344,'Product Parameters'!$A$2:$D$59,4,FALSE)</f>
        <v>0.12</v>
      </c>
      <c r="AL1344" s="1">
        <f>VLOOKUP($E1344,'Product Parameters'!$A$2:$E$59,5,FALSE)</f>
        <v>53.1</v>
      </c>
      <c r="AM1344" s="1">
        <f>VLOOKUP($E1344,'Product Parameters'!$A$2:$F$59,6,FALSE)</f>
        <v>3</v>
      </c>
      <c r="AN1344" s="1">
        <f>VLOOKUP($C1344,'Substrate Heating'!$A$2:$C$33,3,FALSE)</f>
        <v>2342.0279999999998</v>
      </c>
      <c r="AO1344" s="1">
        <f>VLOOKUP($C1344,'Substrate Heating'!$A$2:$B$33,2,FALSE)</f>
        <v>15.6</v>
      </c>
      <c r="AP1344" s="1">
        <f>VLOOKUP($C1344,'Substrate Heating'!$A$2:$M$33,13,FALSE)</f>
        <v>4</v>
      </c>
      <c r="AQ1344" s="1">
        <f>VLOOKUP($C1344,'Substrate Heating'!$A$2:$M$33,8,FALSE)</f>
        <v>5</v>
      </c>
      <c r="AR1344" s="1">
        <f t="shared" si="20"/>
        <v>0.97114893617021392</v>
      </c>
    </row>
    <row r="1345" spans="1:44" x14ac:dyDescent="0.2">
      <c r="A1345" s="8" t="s">
        <v>34</v>
      </c>
      <c r="B1345" s="9" t="s">
        <v>35</v>
      </c>
      <c r="C1345" s="1" t="s">
        <v>349</v>
      </c>
      <c r="D1345" s="25" t="s">
        <v>342</v>
      </c>
      <c r="E1345" s="1" t="s">
        <v>308</v>
      </c>
      <c r="F1345" s="1" t="s">
        <v>309</v>
      </c>
      <c r="G1345" s="1">
        <v>-10</v>
      </c>
      <c r="H1345" s="1">
        <v>-20</v>
      </c>
      <c r="I1345" s="1" t="s">
        <v>40</v>
      </c>
      <c r="J1345" s="1">
        <v>3.15</v>
      </c>
      <c r="K1345" s="1">
        <v>-10</v>
      </c>
      <c r="L1345" s="1">
        <v>-3.4888888888888898</v>
      </c>
      <c r="M1345" s="1" t="s">
        <v>40</v>
      </c>
      <c r="N1345" s="1">
        <v>3.48888888888888</v>
      </c>
      <c r="O1345" s="1">
        <v>6.6444444444444501</v>
      </c>
      <c r="Q1345" s="1">
        <v>0.66444444444444495</v>
      </c>
      <c r="R1345" s="1">
        <v>0.76628399890465304</v>
      </c>
      <c r="S1345" s="1" t="str">
        <f>VLOOKUP($E1345,'Product Naming'!$A$1:$P$58,2,FALSE)</f>
        <v>Shikimate</v>
      </c>
      <c r="T1345" s="1" t="str">
        <f>VLOOKUP($E1345,'Product Naming'!$A$1:$P$58,3,FALSE)</f>
        <v>Shikimate</v>
      </c>
      <c r="U1345" s="1" t="str">
        <f>VLOOKUP($E1345,'Product Naming'!$A$1:$P$58,4,FALSE)</f>
        <v>E</v>
      </c>
      <c r="V1345" s="1" t="str">
        <f>VLOOKUP($E1345,'Product Naming'!$A$1:$P$58,5,FALSE)</f>
        <v>C7H9O5</v>
      </c>
      <c r="W1345" s="1">
        <f>VLOOKUP($E1345,'Product Naming'!$A$1:$P$58,6,FALSE)</f>
        <v>7</v>
      </c>
      <c r="X1345" s="1">
        <f>VLOOKUP($E1345,'Product Naming'!$A$1:$P$58,7,FALSE)</f>
        <v>9</v>
      </c>
      <c r="Y1345" s="1">
        <f>VLOOKUP($E1345,'Product Naming'!$A$1:$P$58,8,FALSE)</f>
        <v>5</v>
      </c>
      <c r="Z1345" s="1">
        <f>VLOOKUP($E1345,'Product Naming'!$A$1:$P$58,9,FALSE)</f>
        <v>0</v>
      </c>
      <c r="AA1345" s="1">
        <f>VLOOKUP($E1345,'Product Naming'!$A$1:$P$58,10,FALSE)</f>
        <v>-1</v>
      </c>
      <c r="AB1345" s="29">
        <f>VLOOKUP($E1345,'Product Naming'!$A$1:$P$58,11,FALSE)</f>
        <v>3.8571428571428572</v>
      </c>
      <c r="AC1345" s="3">
        <f>VLOOKUP($E1345,'Product Naming'!$A$1:$P$58,12,FALSE)</f>
        <v>173.14046000000002</v>
      </c>
      <c r="AD1345" s="1">
        <f>VLOOKUP($E1345,'Product Naming'!$A$1:$P$58,13,FALSE)</f>
        <v>400.5</v>
      </c>
      <c r="AE1345" s="1" t="str">
        <f>VLOOKUP($E1345,'Product Naming'!$A$1:$P$58,14,FALSE)</f>
        <v>Aromatic + Alcohol + Carboxylate</v>
      </c>
      <c r="AF1345" s="1" t="str">
        <f>VLOOKUP($E1345,'Product Naming'!$A$1:$P$58,15,FALSE)</f>
        <v>PEP + E4P (Glyceraldehyde 3-P)</v>
      </c>
      <c r="AG1345" s="30" t="str">
        <f>VLOOKUP($E1345,'Product Naming'!$A$1:$P$58,16,FALSE)</f>
        <v>Proton symporter</v>
      </c>
      <c r="AH1345" s="3" t="str">
        <f>VLOOKUP($E1345,'Product Naming'!$A$1:$Q$58,17,FALSE)</f>
        <v>skm_c</v>
      </c>
      <c r="AI1345" s="1">
        <f>VLOOKUP($E1345,'Product Parameters'!$A$2:$D$59,2,FALSE)</f>
        <v>1</v>
      </c>
      <c r="AJ1345" s="1">
        <f>VLOOKUP($E1345,'Product Parameters'!$A$2:$D$59,3,FALSE)</f>
        <v>0</v>
      </c>
      <c r="AK1345" s="1">
        <f>VLOOKUP($E1345,'Product Parameters'!$A$2:$D$59,4,FALSE)</f>
        <v>0.12</v>
      </c>
      <c r="AL1345" s="1">
        <f>VLOOKUP($E1345,'Product Parameters'!$A$2:$E$59,5,FALSE)</f>
        <v>40.65</v>
      </c>
      <c r="AM1345" s="1">
        <f>VLOOKUP($E1345,'Product Parameters'!$A$2:$F$59,6,FALSE)</f>
        <v>7</v>
      </c>
      <c r="AN1345" s="1">
        <f>VLOOKUP($C1345,'Substrate Heating'!$A$2:$C$33,3,FALSE)</f>
        <v>2342.0279999999998</v>
      </c>
      <c r="AO1345" s="1">
        <f>VLOOKUP($C1345,'Substrate Heating'!$A$2:$B$33,2,FALSE)</f>
        <v>15.6</v>
      </c>
      <c r="AP1345" s="1">
        <f>VLOOKUP($C1345,'Substrate Heating'!$A$2:$M$33,13,FALSE)</f>
        <v>4</v>
      </c>
      <c r="AQ1345" s="1">
        <f>VLOOKUP($C1345,'Substrate Heating'!$A$2:$M$33,8,FALSE)</f>
        <v>5</v>
      </c>
      <c r="AR1345" s="1">
        <f t="shared" si="20"/>
        <v>0.93022222222222284</v>
      </c>
    </row>
    <row r="1346" spans="1:44" x14ac:dyDescent="0.2">
      <c r="A1346" s="8" t="s">
        <v>34</v>
      </c>
      <c r="B1346" s="9" t="s">
        <v>35</v>
      </c>
      <c r="C1346" s="1" t="s">
        <v>332</v>
      </c>
      <c r="D1346" s="10" t="s">
        <v>37</v>
      </c>
      <c r="E1346" s="1" t="s">
        <v>251</v>
      </c>
      <c r="F1346" s="1" t="s">
        <v>252</v>
      </c>
      <c r="G1346" s="1">
        <v>-10</v>
      </c>
      <c r="H1346" s="1">
        <v>-20</v>
      </c>
      <c r="I1346" s="1" t="s">
        <v>40</v>
      </c>
      <c r="J1346" s="1">
        <v>3.15</v>
      </c>
      <c r="K1346" s="1">
        <v>-10</v>
      </c>
      <c r="L1346" s="1">
        <v>-3.4725000000000001</v>
      </c>
      <c r="M1346" s="1" t="s">
        <v>40</v>
      </c>
      <c r="N1346" s="1">
        <v>2.3149999999999999</v>
      </c>
      <c r="O1346" s="1">
        <v>5.8949999999999996</v>
      </c>
      <c r="Q1346" s="1">
        <v>0.58950000000000002</v>
      </c>
      <c r="R1346" s="1">
        <v>0.76898796395024305</v>
      </c>
      <c r="S1346" s="1" t="str">
        <f>VLOOKUP($E1346,'Product Naming'!$A$1:$P$58,2,FALSE)</f>
        <v>Isopropanol</v>
      </c>
      <c r="T1346" s="1" t="str">
        <f>VLOOKUP($E1346,'Product Naming'!$A$1:$P$58,3,FALSE)</f>
        <v>Isopropanol</v>
      </c>
      <c r="U1346" s="1" t="str">
        <f>VLOOKUP($E1346,'Product Naming'!$A$1:$P$58,4,FALSE)</f>
        <v>A</v>
      </c>
      <c r="V1346" s="1" t="str">
        <f>VLOOKUP($E1346,'Product Naming'!$A$1:$P$58,5,FALSE)</f>
        <v>C3H8O</v>
      </c>
      <c r="W1346" s="1">
        <f>VLOOKUP($E1346,'Product Naming'!$A$1:$P$58,6,FALSE)</f>
        <v>3</v>
      </c>
      <c r="X1346" s="1">
        <f>VLOOKUP($E1346,'Product Naming'!$A$1:$P$58,7,FALSE)</f>
        <v>8</v>
      </c>
      <c r="Y1346" s="1">
        <f>VLOOKUP($E1346,'Product Naming'!$A$1:$P$58,8,FALSE)</f>
        <v>1</v>
      </c>
      <c r="Z1346" s="1">
        <f>VLOOKUP($E1346,'Product Naming'!$A$1:$P$58,9,FALSE)</f>
        <v>0</v>
      </c>
      <c r="AA1346" s="1">
        <f>VLOOKUP($E1346,'Product Naming'!$A$1:$P$58,10,FALSE)</f>
        <v>0</v>
      </c>
      <c r="AB1346" s="29">
        <f>VLOOKUP($E1346,'Product Naming'!$A$1:$P$58,11,FALSE)</f>
        <v>6</v>
      </c>
      <c r="AC1346" s="3">
        <f>VLOOKUP($E1346,'Product Naming'!$A$1:$P$58,12,FALSE)</f>
        <v>60.093820000000001</v>
      </c>
      <c r="AD1346" s="1">
        <f>VLOOKUP($E1346,'Product Naming'!$A$1:$P$58,13,FALSE)</f>
        <v>82.5</v>
      </c>
      <c r="AE1346" s="1" t="str">
        <f>VLOOKUP($E1346,'Product Naming'!$A$1:$P$58,14,FALSE)</f>
        <v>Alcohol</v>
      </c>
      <c r="AF1346" s="1" t="str">
        <f>VLOOKUP($E1346,'Product Naming'!$A$1:$P$58,15,FALSE)</f>
        <v>Acetyl-CoA</v>
      </c>
      <c r="AG1346" s="30" t="str">
        <f>VLOOKUP($E1346,'Product Naming'!$A$1:$P$58,16,FALSE)</f>
        <v>Proton symporter</v>
      </c>
      <c r="AH1346" s="3" t="str">
        <f>VLOOKUP($E1346,'Product Naming'!$A$1:$Q$58,17,FALSE)</f>
        <v>2ppoh_c</v>
      </c>
      <c r="AI1346" s="1">
        <f>VLOOKUP($E1346,'Product Parameters'!$A$2:$D$59,2,FALSE)</f>
        <v>1</v>
      </c>
      <c r="AJ1346" s="1">
        <f>VLOOKUP($E1346,'Product Parameters'!$A$2:$D$59,3,FALSE)</f>
        <v>0</v>
      </c>
      <c r="AK1346" s="1">
        <f>VLOOKUP($E1346,'Product Parameters'!$A$2:$D$59,4,FALSE)</f>
        <v>0.12</v>
      </c>
      <c r="AL1346" s="1">
        <f>VLOOKUP($E1346,'Product Parameters'!$A$2:$E$59,5,FALSE)</f>
        <v>45</v>
      </c>
      <c r="AM1346" s="1">
        <f>VLOOKUP($E1346,'Product Parameters'!$A$2:$F$59,6,FALSE)</f>
        <v>3</v>
      </c>
      <c r="AN1346" s="1">
        <f>VLOOKUP($C1346,'Substrate Heating'!$A$2:$C$33,3,FALSE)</f>
        <v>1230.0006480000002</v>
      </c>
      <c r="AO1346" s="1">
        <f>VLOOKUP($C1346,'Substrate Heating'!$A$2:$B$33,2,FALSE)</f>
        <v>26.7</v>
      </c>
      <c r="AP1346" s="1">
        <f>VLOOKUP($C1346,'Substrate Heating'!$A$2:$M$33,13,FALSE)</f>
        <v>6</v>
      </c>
      <c r="AQ1346" s="1">
        <f>VLOOKUP($C1346,'Substrate Heating'!$A$2:$M$33,8,FALSE)</f>
        <v>2</v>
      </c>
      <c r="AR1346" s="1">
        <f t="shared" si="20"/>
        <v>0.88424999999999998</v>
      </c>
    </row>
    <row r="1347" spans="1:44" x14ac:dyDescent="0.2">
      <c r="A1347" s="8" t="s">
        <v>34</v>
      </c>
      <c r="B1347" s="9" t="s">
        <v>35</v>
      </c>
      <c r="C1347" s="1" t="s">
        <v>341</v>
      </c>
      <c r="D1347" s="24" t="s">
        <v>342</v>
      </c>
      <c r="E1347" s="1" t="s">
        <v>308</v>
      </c>
      <c r="F1347" s="1" t="s">
        <v>309</v>
      </c>
      <c r="G1347" s="1">
        <v>-10</v>
      </c>
      <c r="H1347" s="1">
        <v>-20</v>
      </c>
      <c r="I1347" s="1" t="s">
        <v>40</v>
      </c>
      <c r="J1347" s="1">
        <v>3.15</v>
      </c>
      <c r="K1347" s="1">
        <v>-10</v>
      </c>
      <c r="L1347" s="1">
        <v>-3.9257575757575802</v>
      </c>
      <c r="M1347" s="1" t="s">
        <v>40</v>
      </c>
      <c r="N1347" s="1">
        <v>3.92575757575757</v>
      </c>
      <c r="O1347" s="1">
        <v>8.0106060606060598</v>
      </c>
      <c r="Q1347" s="1">
        <v>0.80106060606060603</v>
      </c>
      <c r="R1347" s="1">
        <v>0.76988202325950095</v>
      </c>
      <c r="S1347" s="1" t="str">
        <f>VLOOKUP($E1347,'Product Naming'!$A$1:$P$58,2,FALSE)</f>
        <v>Shikimate</v>
      </c>
      <c r="T1347" s="1" t="str">
        <f>VLOOKUP($E1347,'Product Naming'!$A$1:$P$58,3,FALSE)</f>
        <v>Shikimate</v>
      </c>
      <c r="U1347" s="1" t="str">
        <f>VLOOKUP($E1347,'Product Naming'!$A$1:$P$58,4,FALSE)</f>
        <v>E</v>
      </c>
      <c r="V1347" s="1" t="str">
        <f>VLOOKUP($E1347,'Product Naming'!$A$1:$P$58,5,FALSE)</f>
        <v>C7H9O5</v>
      </c>
      <c r="W1347" s="1">
        <f>VLOOKUP($E1347,'Product Naming'!$A$1:$P$58,6,FALSE)</f>
        <v>7</v>
      </c>
      <c r="X1347" s="1">
        <f>VLOOKUP($E1347,'Product Naming'!$A$1:$P$58,7,FALSE)</f>
        <v>9</v>
      </c>
      <c r="Y1347" s="1">
        <f>VLOOKUP($E1347,'Product Naming'!$A$1:$P$58,8,FALSE)</f>
        <v>5</v>
      </c>
      <c r="Z1347" s="1">
        <f>VLOOKUP($E1347,'Product Naming'!$A$1:$P$58,9,FALSE)</f>
        <v>0</v>
      </c>
      <c r="AA1347" s="1">
        <f>VLOOKUP($E1347,'Product Naming'!$A$1:$P$58,10,FALSE)</f>
        <v>-1</v>
      </c>
      <c r="AB1347" s="29">
        <f>VLOOKUP($E1347,'Product Naming'!$A$1:$P$58,11,FALSE)</f>
        <v>3.8571428571428572</v>
      </c>
      <c r="AC1347" s="3">
        <f>VLOOKUP($E1347,'Product Naming'!$A$1:$P$58,12,FALSE)</f>
        <v>173.14046000000002</v>
      </c>
      <c r="AD1347" s="1">
        <f>VLOOKUP($E1347,'Product Naming'!$A$1:$P$58,13,FALSE)</f>
        <v>400.5</v>
      </c>
      <c r="AE1347" s="1" t="str">
        <f>VLOOKUP($E1347,'Product Naming'!$A$1:$P$58,14,FALSE)</f>
        <v>Aromatic + Alcohol + Carboxylate</v>
      </c>
      <c r="AF1347" s="1" t="str">
        <f>VLOOKUP($E1347,'Product Naming'!$A$1:$P$58,15,FALSE)</f>
        <v>PEP + E4P (Glyceraldehyde 3-P)</v>
      </c>
      <c r="AG1347" s="30" t="str">
        <f>VLOOKUP($E1347,'Product Naming'!$A$1:$P$58,16,FALSE)</f>
        <v>Proton symporter</v>
      </c>
      <c r="AH1347" s="3" t="str">
        <f>VLOOKUP($E1347,'Product Naming'!$A$1:$Q$58,17,FALSE)</f>
        <v>skm_c</v>
      </c>
      <c r="AI1347" s="1">
        <f>VLOOKUP($E1347,'Product Parameters'!$A$2:$D$59,2,FALSE)</f>
        <v>1</v>
      </c>
      <c r="AJ1347" s="1">
        <f>VLOOKUP($E1347,'Product Parameters'!$A$2:$D$59,3,FALSE)</f>
        <v>0</v>
      </c>
      <c r="AK1347" s="1">
        <f>VLOOKUP($E1347,'Product Parameters'!$A$2:$D$59,4,FALSE)</f>
        <v>0.12</v>
      </c>
      <c r="AL1347" s="1">
        <f>VLOOKUP($E1347,'Product Parameters'!$A$2:$E$59,5,FALSE)</f>
        <v>40.65</v>
      </c>
      <c r="AM1347" s="1">
        <f>VLOOKUP($E1347,'Product Parameters'!$A$2:$F$59,6,FALSE)</f>
        <v>7</v>
      </c>
      <c r="AN1347" s="1">
        <f>VLOOKUP($C1347,'Substrate Heating'!$A$2:$C$33,3,FALSE)</f>
        <v>2828.4492</v>
      </c>
      <c r="AO1347" s="1">
        <f>VLOOKUP($C1347,'Substrate Heating'!$A$2:$B$33,2,FALSE)</f>
        <v>15.7</v>
      </c>
      <c r="AP1347" s="1">
        <f>VLOOKUP($C1347,'Substrate Heating'!$A$2:$M$33,13,FALSE)</f>
        <v>4</v>
      </c>
      <c r="AQ1347" s="1">
        <f>VLOOKUP($C1347,'Substrate Heating'!$A$2:$M$33,8,FALSE)</f>
        <v>6</v>
      </c>
      <c r="AR1347" s="1">
        <f t="shared" ref="AR1347:AR1410" si="21">Q1347*W1347/AQ1347</f>
        <v>0.93457070707070711</v>
      </c>
    </row>
    <row r="1348" spans="1:44" x14ac:dyDescent="0.2">
      <c r="A1348" s="8" t="s">
        <v>34</v>
      </c>
      <c r="B1348" s="9" t="s">
        <v>35</v>
      </c>
      <c r="C1348" s="1" t="s">
        <v>347</v>
      </c>
      <c r="D1348" s="23" t="s">
        <v>338</v>
      </c>
      <c r="E1348" s="1" t="s">
        <v>221</v>
      </c>
      <c r="F1348" s="1" t="s">
        <v>222</v>
      </c>
      <c r="G1348" s="1">
        <v>-10</v>
      </c>
      <c r="H1348" s="1">
        <v>-20</v>
      </c>
      <c r="I1348" s="1" t="s">
        <v>40</v>
      </c>
      <c r="J1348" s="1">
        <v>3.15</v>
      </c>
      <c r="K1348" s="1">
        <v>-10</v>
      </c>
      <c r="L1348" s="1">
        <v>-5.4979166666666703</v>
      </c>
      <c r="M1348" s="1" t="s">
        <v>40</v>
      </c>
      <c r="N1348" s="1">
        <v>0.49791666666666301</v>
      </c>
      <c r="O1348" s="1">
        <v>1.90041666666667</v>
      </c>
      <c r="Q1348" s="1">
        <v>0.190041666666667</v>
      </c>
      <c r="R1348" s="1">
        <v>0.77162750823994697</v>
      </c>
      <c r="S1348" s="1" t="str">
        <f>VLOOKUP($E1348,'Product Naming'!$A$1:$P$58,2,FALSE)</f>
        <v>Glutarate</v>
      </c>
      <c r="T1348" s="1" t="str">
        <f>VLOOKUP($E1348,'Product Naming'!$A$1:$P$58,3,FALSE)</f>
        <v>Glutarate</v>
      </c>
      <c r="U1348" s="1" t="str">
        <f>VLOOKUP($E1348,'Product Naming'!$A$1:$P$58,4,FALSE)</f>
        <v>A</v>
      </c>
      <c r="V1348" s="1" t="str">
        <f>VLOOKUP($E1348,'Product Naming'!$A$1:$P$58,5,FALSE)</f>
        <v>C5H6O4</v>
      </c>
      <c r="W1348" s="1">
        <f>VLOOKUP($E1348,'Product Naming'!$A$1:$P$58,6,FALSE)</f>
        <v>5</v>
      </c>
      <c r="X1348" s="1">
        <f>VLOOKUP($E1348,'Product Naming'!$A$1:$P$58,7,FALSE)</f>
        <v>6</v>
      </c>
      <c r="Y1348" s="1">
        <f>VLOOKUP($E1348,'Product Naming'!$A$1:$P$58,8,FALSE)</f>
        <v>4</v>
      </c>
      <c r="Z1348" s="1">
        <f>VLOOKUP($E1348,'Product Naming'!$A$1:$P$58,9,FALSE)</f>
        <v>0</v>
      </c>
      <c r="AA1348" s="1">
        <f>VLOOKUP($E1348,'Product Naming'!$A$1:$P$58,10,FALSE)</f>
        <v>-2</v>
      </c>
      <c r="AB1348" s="29">
        <f>VLOOKUP($E1348,'Product Naming'!$A$1:$P$58,11,FALSE)</f>
        <v>3.6</v>
      </c>
      <c r="AC1348" s="3">
        <f>VLOOKUP($E1348,'Product Naming'!$A$1:$P$58,12,FALSE)</f>
        <v>130.09654</v>
      </c>
      <c r="AD1348" s="1">
        <f>VLOOKUP($E1348,'Product Naming'!$A$1:$P$58,13,FALSE)</f>
        <v>200</v>
      </c>
      <c r="AE1348" s="1" t="str">
        <f>VLOOKUP($E1348,'Product Naming'!$A$1:$P$58,14,FALSE)</f>
        <v>Dicarboxylate</v>
      </c>
      <c r="AF1348" s="1" t="str">
        <f>VLOOKUP($E1348,'Product Naming'!$A$1:$P$58,15,FALSE)</f>
        <v>Oxaloacetate + aKG</v>
      </c>
      <c r="AG1348" s="30" t="str">
        <f>VLOOKUP($E1348,'Product Naming'!$A$1:$P$58,16,FALSE)</f>
        <v>Proton symporter</v>
      </c>
      <c r="AH1348" s="3" t="str">
        <f>VLOOKUP($E1348,'Product Naming'!$A$1:$Q$58,17,FALSE)</f>
        <v>glutar_c</v>
      </c>
      <c r="AI1348" s="1">
        <f>VLOOKUP($E1348,'Product Parameters'!$A$2:$D$59,2,FALSE)</f>
        <v>1</v>
      </c>
      <c r="AJ1348" s="1">
        <f>VLOOKUP($E1348,'Product Parameters'!$A$2:$D$59,3,FALSE)</f>
        <v>0</v>
      </c>
      <c r="AK1348" s="1">
        <f>VLOOKUP($E1348,'Product Parameters'!$A$2:$D$59,4,FALSE)</f>
        <v>0.12</v>
      </c>
      <c r="AL1348" s="1">
        <f>VLOOKUP($E1348,'Product Parameters'!$A$2:$E$59,5,FALSE)</f>
        <v>40.65</v>
      </c>
      <c r="AM1348" s="1">
        <f>VLOOKUP($E1348,'Product Parameters'!$A$2:$F$59,6,FALSE)</f>
        <v>5</v>
      </c>
      <c r="AN1348" s="1">
        <f>VLOOKUP($C1348,'Substrate Heating'!$A$2:$C$33,3,FALSE)</f>
        <v>638.57832580000002</v>
      </c>
      <c r="AO1348" s="1">
        <f>VLOOKUP($C1348,'Substrate Heating'!$A$2:$B$33,2,FALSE)</f>
        <v>19.93</v>
      </c>
      <c r="AP1348" s="1">
        <f>VLOOKUP($C1348,'Substrate Heating'!$A$2:$M$33,13,FALSE)</f>
        <v>6</v>
      </c>
      <c r="AQ1348" s="1">
        <f>VLOOKUP($C1348,'Substrate Heating'!$A$2:$M$33,8,FALSE)</f>
        <v>1</v>
      </c>
      <c r="AR1348" s="1">
        <f t="shared" si="21"/>
        <v>0.95020833333333499</v>
      </c>
    </row>
    <row r="1349" spans="1:44" x14ac:dyDescent="0.2">
      <c r="A1349" s="8" t="s">
        <v>34</v>
      </c>
      <c r="B1349" s="9" t="s">
        <v>35</v>
      </c>
      <c r="C1349" s="1" t="s">
        <v>346</v>
      </c>
      <c r="D1349" s="23" t="s">
        <v>338</v>
      </c>
      <c r="E1349" s="1" t="s">
        <v>221</v>
      </c>
      <c r="F1349" s="1" t="s">
        <v>222</v>
      </c>
      <c r="G1349" s="1">
        <v>-10</v>
      </c>
      <c r="H1349" s="1">
        <v>-20</v>
      </c>
      <c r="I1349" s="1" t="s">
        <v>40</v>
      </c>
      <c r="J1349" s="1">
        <v>3.15</v>
      </c>
      <c r="K1349" s="1">
        <v>-10</v>
      </c>
      <c r="L1349" s="1">
        <v>-5.4979166666666703</v>
      </c>
      <c r="M1349" s="1" t="s">
        <v>40</v>
      </c>
      <c r="N1349" s="1">
        <v>0.49791666666666801</v>
      </c>
      <c r="O1349" s="1">
        <v>1.90041666666667</v>
      </c>
      <c r="Q1349" s="1">
        <v>0.190041666666667</v>
      </c>
      <c r="R1349" s="1">
        <v>0.77162750823994797</v>
      </c>
      <c r="S1349" s="1" t="str">
        <f>VLOOKUP($E1349,'Product Naming'!$A$1:$P$58,2,FALSE)</f>
        <v>Glutarate</v>
      </c>
      <c r="T1349" s="1" t="str">
        <f>VLOOKUP($E1349,'Product Naming'!$A$1:$P$58,3,FALSE)</f>
        <v>Glutarate</v>
      </c>
      <c r="U1349" s="1" t="str">
        <f>VLOOKUP($E1349,'Product Naming'!$A$1:$P$58,4,FALSE)</f>
        <v>A</v>
      </c>
      <c r="V1349" s="1" t="str">
        <f>VLOOKUP($E1349,'Product Naming'!$A$1:$P$58,5,FALSE)</f>
        <v>C5H6O4</v>
      </c>
      <c r="W1349" s="1">
        <f>VLOOKUP($E1349,'Product Naming'!$A$1:$P$58,6,FALSE)</f>
        <v>5</v>
      </c>
      <c r="X1349" s="1">
        <f>VLOOKUP($E1349,'Product Naming'!$A$1:$P$58,7,FALSE)</f>
        <v>6</v>
      </c>
      <c r="Y1349" s="1">
        <f>VLOOKUP($E1349,'Product Naming'!$A$1:$P$58,8,FALSE)</f>
        <v>4</v>
      </c>
      <c r="Z1349" s="1">
        <f>VLOOKUP($E1349,'Product Naming'!$A$1:$P$58,9,FALSE)</f>
        <v>0</v>
      </c>
      <c r="AA1349" s="1">
        <f>VLOOKUP($E1349,'Product Naming'!$A$1:$P$58,10,FALSE)</f>
        <v>-2</v>
      </c>
      <c r="AB1349" s="29">
        <f>VLOOKUP($E1349,'Product Naming'!$A$1:$P$58,11,FALSE)</f>
        <v>3.6</v>
      </c>
      <c r="AC1349" s="3">
        <f>VLOOKUP($E1349,'Product Naming'!$A$1:$P$58,12,FALSE)</f>
        <v>130.09654</v>
      </c>
      <c r="AD1349" s="1">
        <f>VLOOKUP($E1349,'Product Naming'!$A$1:$P$58,13,FALSE)</f>
        <v>200</v>
      </c>
      <c r="AE1349" s="1" t="str">
        <f>VLOOKUP($E1349,'Product Naming'!$A$1:$P$58,14,FALSE)</f>
        <v>Dicarboxylate</v>
      </c>
      <c r="AF1349" s="1" t="str">
        <f>VLOOKUP($E1349,'Product Naming'!$A$1:$P$58,15,FALSE)</f>
        <v>Oxaloacetate + aKG</v>
      </c>
      <c r="AG1349" s="30" t="str">
        <f>VLOOKUP($E1349,'Product Naming'!$A$1:$P$58,16,FALSE)</f>
        <v>Proton symporter</v>
      </c>
      <c r="AH1349" s="3" t="str">
        <f>VLOOKUP($E1349,'Product Naming'!$A$1:$Q$58,17,FALSE)</f>
        <v>glutar_c</v>
      </c>
      <c r="AI1349" s="1">
        <f>VLOOKUP($E1349,'Product Parameters'!$A$2:$D$59,2,FALSE)</f>
        <v>1</v>
      </c>
      <c r="AJ1349" s="1">
        <f>VLOOKUP($E1349,'Product Parameters'!$A$2:$D$59,3,FALSE)</f>
        <v>0</v>
      </c>
      <c r="AK1349" s="1">
        <f>VLOOKUP($E1349,'Product Parameters'!$A$2:$D$59,4,FALSE)</f>
        <v>0.12</v>
      </c>
      <c r="AL1349" s="1">
        <f>VLOOKUP($E1349,'Product Parameters'!$A$2:$E$59,5,FALSE)</f>
        <v>40.65</v>
      </c>
      <c r="AM1349" s="1">
        <f>VLOOKUP($E1349,'Product Parameters'!$A$2:$F$59,6,FALSE)</f>
        <v>5</v>
      </c>
      <c r="AN1349" s="1">
        <f>VLOOKUP($C1349,'Substrate Heating'!$A$2:$C$33,3,FALSE)</f>
        <v>638.57832580000002</v>
      </c>
      <c r="AO1349" s="1">
        <f>VLOOKUP($C1349,'Substrate Heating'!$A$2:$B$33,2,FALSE)</f>
        <v>19.93</v>
      </c>
      <c r="AP1349" s="1">
        <f>VLOOKUP($C1349,'Substrate Heating'!$A$2:$M$33,13,FALSE)</f>
        <v>6</v>
      </c>
      <c r="AQ1349" s="1">
        <f>VLOOKUP($C1349,'Substrate Heating'!$A$2:$M$33,8,FALSE)</f>
        <v>1</v>
      </c>
      <c r="AR1349" s="1">
        <f t="shared" si="21"/>
        <v>0.95020833333333499</v>
      </c>
    </row>
    <row r="1350" spans="1:44" x14ac:dyDescent="0.2">
      <c r="A1350" s="8" t="s">
        <v>34</v>
      </c>
      <c r="B1350" s="9" t="s">
        <v>35</v>
      </c>
      <c r="C1350" s="1" t="s">
        <v>341</v>
      </c>
      <c r="D1350" s="24" t="s">
        <v>342</v>
      </c>
      <c r="E1350" s="1" t="s">
        <v>130</v>
      </c>
      <c r="F1350" s="1" t="s">
        <v>125</v>
      </c>
      <c r="G1350" s="1">
        <v>-10</v>
      </c>
      <c r="H1350" s="1">
        <v>-20</v>
      </c>
      <c r="I1350" s="1" t="s">
        <v>40</v>
      </c>
      <c r="J1350" s="1">
        <v>3.15</v>
      </c>
      <c r="K1350" s="1">
        <v>-10</v>
      </c>
      <c r="L1350" s="1">
        <v>-0.804255319148931</v>
      </c>
      <c r="M1350" s="1" t="s">
        <v>40</v>
      </c>
      <c r="N1350" s="1">
        <v>0.804255319148938</v>
      </c>
      <c r="O1350" s="1">
        <v>19.731914893616999</v>
      </c>
      <c r="Q1350" s="1">
        <v>1.9731914893617</v>
      </c>
      <c r="R1350" s="1">
        <v>0.77824381835378598</v>
      </c>
      <c r="S1350" s="1" t="str">
        <f>VLOOKUP($E1350,'Product Naming'!$A$1:$P$58,2,FALSE)</f>
        <v>Acrylate-PW2</v>
      </c>
      <c r="T1350" s="1" t="str">
        <f>VLOOKUP($E1350,'Product Naming'!$A$1:$P$58,3,FALSE)</f>
        <v>Acrylate (PW2)</v>
      </c>
      <c r="U1350" s="1" t="str">
        <f>VLOOKUP($E1350,'Product Naming'!$A$1:$P$58,4,FALSE)</f>
        <v>A</v>
      </c>
      <c r="V1350" s="1" t="str">
        <f>VLOOKUP($E1350,'Product Naming'!$A$1:$P$58,5,FALSE)</f>
        <v>C3H3O2</v>
      </c>
      <c r="W1350" s="1">
        <f>VLOOKUP($E1350,'Product Naming'!$A$1:$P$58,6,FALSE)</f>
        <v>3</v>
      </c>
      <c r="X1350" s="1">
        <f>VLOOKUP($E1350,'Product Naming'!$A$1:$P$58,7,FALSE)</f>
        <v>3</v>
      </c>
      <c r="Y1350" s="1">
        <f>VLOOKUP($E1350,'Product Naming'!$A$1:$P$58,8,FALSE)</f>
        <v>2</v>
      </c>
      <c r="Z1350" s="1">
        <f>VLOOKUP($E1350,'Product Naming'!$A$1:$P$58,9,FALSE)</f>
        <v>0</v>
      </c>
      <c r="AA1350" s="1">
        <f>VLOOKUP($E1350,'Product Naming'!$A$1:$P$58,10,FALSE)</f>
        <v>-1</v>
      </c>
      <c r="AB1350" s="29">
        <f>VLOOKUP($E1350,'Product Naming'!$A$1:$P$58,11,FALSE)</f>
        <v>3.6666666666666665</v>
      </c>
      <c r="AC1350" s="3">
        <f>VLOOKUP($E1350,'Product Naming'!$A$1:$P$58,12,FALSE)</f>
        <v>71.053619999999995</v>
      </c>
      <c r="AD1350" s="1">
        <f>VLOOKUP($E1350,'Product Naming'!$A$1:$P$58,13,FALSE)</f>
        <v>80</v>
      </c>
      <c r="AE1350" s="1" t="str">
        <f>VLOOKUP($E1350,'Product Naming'!$A$1:$P$58,14,FALSE)</f>
        <v>Carboxylate</v>
      </c>
      <c r="AF1350" s="1" t="str">
        <f>VLOOKUP($E1350,'Product Naming'!$A$1:$P$58,15,FALSE)</f>
        <v>Pyruvate</v>
      </c>
      <c r="AG1350" s="30" t="str">
        <f>VLOOKUP($E1350,'Product Naming'!$A$1:$P$58,16,FALSE)</f>
        <v>Proton symporter</v>
      </c>
      <c r="AH1350" s="3" t="str">
        <f>VLOOKUP($E1350,'Product Naming'!$A$1:$Q$58,17,FALSE)</f>
        <v>acryl_c</v>
      </c>
      <c r="AI1350" s="1">
        <f>VLOOKUP($E1350,'Product Parameters'!$A$2:$D$59,2,FALSE)</f>
        <v>1</v>
      </c>
      <c r="AJ1350" s="1">
        <f>VLOOKUP($E1350,'Product Parameters'!$A$2:$D$59,3,FALSE)</f>
        <v>0</v>
      </c>
      <c r="AK1350" s="1">
        <f>VLOOKUP($E1350,'Product Parameters'!$A$2:$D$59,4,FALSE)</f>
        <v>0.12</v>
      </c>
      <c r="AL1350" s="1">
        <f>VLOOKUP($E1350,'Product Parameters'!$A$2:$E$59,5,FALSE)</f>
        <v>53.1</v>
      </c>
      <c r="AM1350" s="1">
        <f>VLOOKUP($E1350,'Product Parameters'!$A$2:$F$59,6,FALSE)</f>
        <v>3</v>
      </c>
      <c r="AN1350" s="1">
        <f>VLOOKUP($C1350,'Substrate Heating'!$A$2:$C$33,3,FALSE)</f>
        <v>2828.4492</v>
      </c>
      <c r="AO1350" s="1">
        <f>VLOOKUP($C1350,'Substrate Heating'!$A$2:$B$33,2,FALSE)</f>
        <v>15.7</v>
      </c>
      <c r="AP1350" s="1">
        <f>VLOOKUP($C1350,'Substrate Heating'!$A$2:$M$33,13,FALSE)</f>
        <v>4</v>
      </c>
      <c r="AQ1350" s="1">
        <f>VLOOKUP($C1350,'Substrate Heating'!$A$2:$M$33,8,FALSE)</f>
        <v>6</v>
      </c>
      <c r="AR1350" s="1">
        <f t="shared" si="21"/>
        <v>0.9865957446808501</v>
      </c>
    </row>
    <row r="1351" spans="1:44" x14ac:dyDescent="0.2">
      <c r="A1351" s="8" t="s">
        <v>34</v>
      </c>
      <c r="B1351" s="9" t="s">
        <v>35</v>
      </c>
      <c r="C1351" s="1" t="s">
        <v>343</v>
      </c>
      <c r="D1351" s="24" t="s">
        <v>342</v>
      </c>
      <c r="E1351" s="1" t="s">
        <v>124</v>
      </c>
      <c r="F1351" s="1" t="s">
        <v>125</v>
      </c>
      <c r="G1351" s="1">
        <v>-10</v>
      </c>
      <c r="H1351" s="1">
        <v>-20</v>
      </c>
      <c r="I1351" s="1" t="s">
        <v>40</v>
      </c>
      <c r="J1351" s="1">
        <v>3.15</v>
      </c>
      <c r="K1351" s="1">
        <v>-10</v>
      </c>
      <c r="L1351" s="1">
        <v>-4.4326086956521804</v>
      </c>
      <c r="M1351" s="1" t="s">
        <v>40</v>
      </c>
      <c r="N1351" s="1">
        <v>-0.56739130434782203</v>
      </c>
      <c r="O1351" s="1">
        <v>10.1891304347826</v>
      </c>
      <c r="Q1351" s="1">
        <v>1.0189130434782601</v>
      </c>
      <c r="R1351" s="1">
        <v>0.78612723638076698</v>
      </c>
      <c r="S1351" s="1" t="str">
        <f>VLOOKUP($E1351,'Product Naming'!$A$1:$P$58,2,FALSE)</f>
        <v>Acrylate-PW1</v>
      </c>
      <c r="T1351" s="1" t="str">
        <f>VLOOKUP($E1351,'Product Naming'!$A$1:$P$58,3,FALSE)</f>
        <v>Acrylate (PW1)</v>
      </c>
      <c r="U1351" s="1" t="str">
        <f>VLOOKUP($E1351,'Product Naming'!$A$1:$P$58,4,FALSE)</f>
        <v>A</v>
      </c>
      <c r="V1351" s="1" t="str">
        <f>VLOOKUP($E1351,'Product Naming'!$A$1:$P$58,5,FALSE)</f>
        <v>C3H3O2</v>
      </c>
      <c r="W1351" s="1">
        <f>VLOOKUP($E1351,'Product Naming'!$A$1:$P$58,6,FALSE)</f>
        <v>3</v>
      </c>
      <c r="X1351" s="1">
        <f>VLOOKUP($E1351,'Product Naming'!$A$1:$P$58,7,FALSE)</f>
        <v>3</v>
      </c>
      <c r="Y1351" s="1">
        <f>VLOOKUP($E1351,'Product Naming'!$A$1:$P$58,8,FALSE)</f>
        <v>2</v>
      </c>
      <c r="Z1351" s="1">
        <f>VLOOKUP($E1351,'Product Naming'!$A$1:$P$58,9,FALSE)</f>
        <v>0</v>
      </c>
      <c r="AA1351" s="1">
        <f>VLOOKUP($E1351,'Product Naming'!$A$1:$P$58,10,FALSE)</f>
        <v>-1</v>
      </c>
      <c r="AB1351" s="29">
        <f>VLOOKUP($E1351,'Product Naming'!$A$1:$P$58,11,FALSE)</f>
        <v>3.6666666666666665</v>
      </c>
      <c r="AC1351" s="3">
        <f>VLOOKUP($E1351,'Product Naming'!$A$1:$P$58,12,FALSE)</f>
        <v>71.053619999999995</v>
      </c>
      <c r="AD1351" s="1">
        <f>VLOOKUP($E1351,'Product Naming'!$A$1:$P$58,13,FALSE)</f>
        <v>80</v>
      </c>
      <c r="AE1351" s="1" t="str">
        <f>VLOOKUP($E1351,'Product Naming'!$A$1:$P$58,14,FALSE)</f>
        <v>Carboxylate</v>
      </c>
      <c r="AF1351" s="1" t="str">
        <f>VLOOKUP($E1351,'Product Naming'!$A$1:$P$58,15,FALSE)</f>
        <v>Glyceraldehyde 3-P</v>
      </c>
      <c r="AG1351" s="30" t="str">
        <f>VLOOKUP($E1351,'Product Naming'!$A$1:$P$58,16,FALSE)</f>
        <v>Proton symporter</v>
      </c>
      <c r="AH1351" s="3" t="str">
        <f>VLOOKUP($E1351,'Product Naming'!$A$1:$Q$58,17,FALSE)</f>
        <v>acryl_c</v>
      </c>
      <c r="AI1351" s="1">
        <f>VLOOKUP($E1351,'Product Parameters'!$A$2:$D$59,2,FALSE)</f>
        <v>1</v>
      </c>
      <c r="AJ1351" s="1">
        <f>VLOOKUP($E1351,'Product Parameters'!$A$2:$D$59,3,FALSE)</f>
        <v>0</v>
      </c>
      <c r="AK1351" s="1">
        <f>VLOOKUP($E1351,'Product Parameters'!$A$2:$D$59,4,FALSE)</f>
        <v>0.12</v>
      </c>
      <c r="AL1351" s="1">
        <f>VLOOKUP($E1351,'Product Parameters'!$A$2:$E$59,5,FALSE)</f>
        <v>53.1</v>
      </c>
      <c r="AM1351" s="1">
        <f>VLOOKUP($E1351,'Product Parameters'!$A$2:$F$59,6,FALSE)</f>
        <v>3</v>
      </c>
      <c r="AN1351" s="1">
        <f>VLOOKUP($C1351,'Substrate Heating'!$A$2:$C$33,3,FALSE)</f>
        <v>1648.4793779999998</v>
      </c>
      <c r="AO1351" s="1">
        <f>VLOOKUP($C1351,'Substrate Heating'!$A$2:$B$33,2,FALSE)</f>
        <v>17.899999999999999</v>
      </c>
      <c r="AP1351" s="1">
        <f>VLOOKUP($C1351,'Substrate Heating'!$A$2:$M$33,13,FALSE)</f>
        <v>4.666666666666667</v>
      </c>
      <c r="AQ1351" s="1">
        <f>VLOOKUP($C1351,'Substrate Heating'!$A$2:$M$33,8,FALSE)</f>
        <v>3</v>
      </c>
      <c r="AR1351" s="1">
        <f t="shared" si="21"/>
        <v>1.0189130434782601</v>
      </c>
    </row>
    <row r="1352" spans="1:44" x14ac:dyDescent="0.2">
      <c r="A1352" s="8" t="s">
        <v>34</v>
      </c>
      <c r="B1352" s="9" t="s">
        <v>35</v>
      </c>
      <c r="C1352" s="1" t="s">
        <v>330</v>
      </c>
      <c r="D1352" s="10" t="s">
        <v>37</v>
      </c>
      <c r="E1352" s="1" t="s">
        <v>97</v>
      </c>
      <c r="F1352" s="1" t="s">
        <v>98</v>
      </c>
      <c r="G1352" s="1">
        <v>-10</v>
      </c>
      <c r="H1352" s="1">
        <v>-20</v>
      </c>
      <c r="I1352" s="1" t="s">
        <v>40</v>
      </c>
      <c r="J1352" s="1">
        <v>3.15</v>
      </c>
      <c r="K1352" s="1">
        <v>-10</v>
      </c>
      <c r="L1352" s="1">
        <v>-11.585321100917399</v>
      </c>
      <c r="M1352" s="1" t="s">
        <v>40</v>
      </c>
      <c r="N1352" s="1">
        <v>1.2194495412844</v>
      </c>
      <c r="O1352" s="1">
        <v>2.6829357798165199</v>
      </c>
      <c r="Q1352" s="1">
        <v>0.26829357798165199</v>
      </c>
      <c r="R1352" s="1">
        <v>0.78709452237420396</v>
      </c>
      <c r="S1352" s="1" t="str">
        <f>VLOOKUP($E1352,'Product Naming'!$A$1:$P$58,2,FALSE)</f>
        <v>2-Pyrone-4-6-Dicarboxylate</v>
      </c>
      <c r="T1352" s="1" t="str">
        <f>VLOOKUP($E1352,'Product Naming'!$A$1:$P$58,3,FALSE)</f>
        <v>2-Pyrone 4,6-dicarboxylate</v>
      </c>
      <c r="U1352" s="1" t="str">
        <f>VLOOKUP($E1352,'Product Naming'!$A$1:$P$58,4,FALSE)</f>
        <v>A</v>
      </c>
      <c r="V1352" s="1" t="str">
        <f>VLOOKUP($E1352,'Product Naming'!$A$1:$P$58,5,FALSE)</f>
        <v>C7H2O6</v>
      </c>
      <c r="W1352" s="1">
        <f>VLOOKUP($E1352,'Product Naming'!$A$1:$P$58,6,FALSE)</f>
        <v>7</v>
      </c>
      <c r="X1352" s="1">
        <f>VLOOKUP($E1352,'Product Naming'!$A$1:$P$58,7,FALSE)</f>
        <v>2</v>
      </c>
      <c r="Y1352" s="1">
        <f>VLOOKUP($E1352,'Product Naming'!$A$1:$P$58,8,FALSE)</f>
        <v>6</v>
      </c>
      <c r="Z1352" s="1">
        <f>VLOOKUP($E1352,'Product Naming'!$A$1:$P$58,9,FALSE)</f>
        <v>0</v>
      </c>
      <c r="AA1352" s="1">
        <f>VLOOKUP($E1352,'Product Naming'!$A$1:$P$58,10,FALSE)</f>
        <v>-2</v>
      </c>
      <c r="AB1352" s="29">
        <f>VLOOKUP($E1352,'Product Naming'!$A$1:$P$58,11,FALSE)</f>
        <v>2.5714285714285716</v>
      </c>
      <c r="AC1352" s="3">
        <f>VLOOKUP($E1352,'Product Naming'!$A$1:$P$58,12,FALSE)</f>
        <v>182.08458000000002</v>
      </c>
      <c r="AD1352" s="1">
        <f>VLOOKUP($E1352,'Product Naming'!$A$1:$P$58,13,FALSE)</f>
        <v>355.5</v>
      </c>
      <c r="AE1352" s="1" t="str">
        <f>VLOOKUP($E1352,'Product Naming'!$A$1:$P$58,14,FALSE)</f>
        <v>Dicarboxylate</v>
      </c>
      <c r="AF1352" s="1" t="str">
        <f>VLOOKUP($E1352,'Product Naming'!$A$1:$P$58,15,FALSE)</f>
        <v>Glyceraldehyde 3-P</v>
      </c>
      <c r="AG1352" s="30" t="str">
        <f>VLOOKUP($E1352,'Product Naming'!$A$1:$P$58,16,FALSE)</f>
        <v>Proton symporter</v>
      </c>
      <c r="AH1352" s="3" t="str">
        <f>VLOOKUP($E1352,'Product Naming'!$A$1:$Q$58,17,FALSE)</f>
        <v>2p46dc_c</v>
      </c>
      <c r="AI1352" s="1">
        <f>VLOOKUP($E1352,'Product Parameters'!$A$2:$D$59,2,FALSE)</f>
        <v>1</v>
      </c>
      <c r="AJ1352" s="1">
        <f>VLOOKUP($E1352,'Product Parameters'!$A$2:$D$59,3,FALSE)</f>
        <v>0</v>
      </c>
      <c r="AK1352" s="1">
        <f>VLOOKUP($E1352,'Product Parameters'!$A$2:$D$59,4,FALSE)</f>
        <v>0.12</v>
      </c>
      <c r="AL1352" s="1">
        <f>VLOOKUP($E1352,'Product Parameters'!$A$2:$E$59,5,FALSE)</f>
        <v>0</v>
      </c>
      <c r="AM1352" s="1">
        <f>VLOOKUP($E1352,'Product Parameters'!$A$2:$F$59,6,FALSE)</f>
        <v>7</v>
      </c>
      <c r="AN1352" s="1">
        <f>VLOOKUP($C1352,'Substrate Heating'!$A$2:$C$33,3,FALSE)</f>
        <v>1055.1294800000001</v>
      </c>
      <c r="AO1352" s="1">
        <f>VLOOKUP($C1352,'Substrate Heating'!$A$2:$B$33,2,FALSE)</f>
        <v>17</v>
      </c>
      <c r="AP1352" s="1">
        <f>VLOOKUP($C1352,'Substrate Heating'!$A$2:$M$33,13,FALSE)</f>
        <v>5</v>
      </c>
      <c r="AQ1352" s="1">
        <f>VLOOKUP($C1352,'Substrate Heating'!$A$2:$M$33,8,FALSE)</f>
        <v>2</v>
      </c>
      <c r="AR1352" s="1">
        <f t="shared" si="21"/>
        <v>0.93902752293578196</v>
      </c>
    </row>
    <row r="1353" spans="1:44" x14ac:dyDescent="0.2">
      <c r="A1353" s="8" t="s">
        <v>34</v>
      </c>
      <c r="B1353" s="9" t="s">
        <v>35</v>
      </c>
      <c r="C1353" s="1" t="s">
        <v>332</v>
      </c>
      <c r="D1353" s="10" t="s">
        <v>37</v>
      </c>
      <c r="E1353" s="1" t="s">
        <v>164</v>
      </c>
      <c r="F1353" s="1" t="s">
        <v>165</v>
      </c>
      <c r="G1353" s="1">
        <v>-10</v>
      </c>
      <c r="H1353" s="1">
        <v>-20</v>
      </c>
      <c r="I1353" s="1" t="s">
        <v>40</v>
      </c>
      <c r="J1353" s="1">
        <v>3.15</v>
      </c>
      <c r="K1353" s="1">
        <v>-10</v>
      </c>
      <c r="L1353" s="1">
        <v>-0.53647058823529603</v>
      </c>
      <c r="M1353" s="1" t="s">
        <v>40</v>
      </c>
      <c r="N1353" s="1">
        <v>0.35764705882352998</v>
      </c>
      <c r="O1353" s="1">
        <v>4.9105882352941199</v>
      </c>
      <c r="Q1353" s="1">
        <v>0.49105882352941199</v>
      </c>
      <c r="R1353" s="1">
        <v>0.79008901323287595</v>
      </c>
      <c r="S1353" s="1" t="str">
        <f>VLOOKUP($E1353,'Product Naming'!$A$1:$P$58,2,FALSE)</f>
        <v>Butanol-PW1</v>
      </c>
      <c r="T1353" s="1" t="str">
        <f>VLOOKUP($E1353,'Product Naming'!$A$1:$P$58,3,FALSE)</f>
        <v>Butanol (PW1)</v>
      </c>
      <c r="U1353" s="1" t="str">
        <f>VLOOKUP($E1353,'Product Naming'!$A$1:$P$58,4,FALSE)</f>
        <v>E</v>
      </c>
      <c r="V1353" s="1" t="str">
        <f>VLOOKUP($E1353,'Product Naming'!$A$1:$P$58,5,FALSE)</f>
        <v>C4H10O</v>
      </c>
      <c r="W1353" s="1">
        <f>VLOOKUP($E1353,'Product Naming'!$A$1:$P$58,6,FALSE)</f>
        <v>4</v>
      </c>
      <c r="X1353" s="1">
        <f>VLOOKUP($E1353,'Product Naming'!$A$1:$P$58,7,FALSE)</f>
        <v>10</v>
      </c>
      <c r="Y1353" s="1">
        <f>VLOOKUP($E1353,'Product Naming'!$A$1:$P$58,8,FALSE)</f>
        <v>1</v>
      </c>
      <c r="Z1353" s="1">
        <f>VLOOKUP($E1353,'Product Naming'!$A$1:$P$58,9,FALSE)</f>
        <v>0</v>
      </c>
      <c r="AA1353" s="1">
        <f>VLOOKUP($E1353,'Product Naming'!$A$1:$P$58,10,FALSE)</f>
        <v>0</v>
      </c>
      <c r="AB1353" s="29">
        <f>VLOOKUP($E1353,'Product Naming'!$A$1:$P$58,11,FALSE)</f>
        <v>6</v>
      </c>
      <c r="AC1353" s="3">
        <f>VLOOKUP($E1353,'Product Naming'!$A$1:$P$58,12,FALSE)</f>
        <v>74.120199999999997</v>
      </c>
      <c r="AD1353" s="1">
        <f>VLOOKUP($E1353,'Product Naming'!$A$1:$P$58,13,FALSE)</f>
        <v>117.7</v>
      </c>
      <c r="AE1353" s="1" t="str">
        <f>VLOOKUP($E1353,'Product Naming'!$A$1:$P$58,14,FALSE)</f>
        <v>Alcohol</v>
      </c>
      <c r="AF1353" s="1" t="str">
        <f>VLOOKUP($E1353,'Product Naming'!$A$1:$P$58,15,FALSE)</f>
        <v>Acetyl-CoA</v>
      </c>
      <c r="AG1353" s="30" t="str">
        <f>VLOOKUP($E1353,'Product Naming'!$A$1:$P$58,16,FALSE)</f>
        <v>Proton symporter</v>
      </c>
      <c r="AH1353" s="3" t="str">
        <f>VLOOKUP($E1353,'Product Naming'!$A$1:$Q$58,17,FALSE)</f>
        <v>btoh_c</v>
      </c>
      <c r="AI1353" s="1">
        <f>VLOOKUP($E1353,'Product Parameters'!$A$2:$D$59,2,FALSE)</f>
        <v>1</v>
      </c>
      <c r="AJ1353" s="1">
        <f>VLOOKUP($E1353,'Product Parameters'!$A$2:$D$59,3,FALSE)</f>
        <v>0</v>
      </c>
      <c r="AK1353" s="1">
        <f>VLOOKUP($E1353,'Product Parameters'!$A$2:$D$59,4,FALSE)</f>
        <v>0.12</v>
      </c>
      <c r="AL1353" s="1">
        <f>VLOOKUP($E1353,'Product Parameters'!$A$2:$E$59,5,FALSE)</f>
        <v>52</v>
      </c>
      <c r="AM1353" s="1">
        <f>VLOOKUP($E1353,'Product Parameters'!$A$2:$F$59,6,FALSE)</f>
        <v>4</v>
      </c>
      <c r="AN1353" s="1">
        <f>VLOOKUP($C1353,'Substrate Heating'!$A$2:$C$33,3,FALSE)</f>
        <v>1230.0006480000002</v>
      </c>
      <c r="AO1353" s="1">
        <f>VLOOKUP($C1353,'Substrate Heating'!$A$2:$B$33,2,FALSE)</f>
        <v>26.7</v>
      </c>
      <c r="AP1353" s="1">
        <f>VLOOKUP($C1353,'Substrate Heating'!$A$2:$M$33,13,FALSE)</f>
        <v>6</v>
      </c>
      <c r="AQ1353" s="1">
        <f>VLOOKUP($C1353,'Substrate Heating'!$A$2:$M$33,8,FALSE)</f>
        <v>2</v>
      </c>
      <c r="AR1353" s="1">
        <f t="shared" si="21"/>
        <v>0.98211764705882398</v>
      </c>
    </row>
    <row r="1354" spans="1:44" x14ac:dyDescent="0.2">
      <c r="A1354" s="17" t="s">
        <v>185</v>
      </c>
      <c r="B1354" s="9" t="s">
        <v>35</v>
      </c>
      <c r="C1354" t="s">
        <v>346</v>
      </c>
      <c r="D1354" s="23" t="s">
        <v>338</v>
      </c>
      <c r="E1354" t="s">
        <v>264</v>
      </c>
      <c r="F1354" t="s">
        <v>265</v>
      </c>
      <c r="G1354">
        <v>-10</v>
      </c>
      <c r="H1354">
        <v>-20</v>
      </c>
      <c r="I1354" s="1" t="s">
        <v>40</v>
      </c>
      <c r="J1354">
        <v>3.15</v>
      </c>
      <c r="K1354">
        <v>-10</v>
      </c>
      <c r="L1354">
        <v>-2.9064393939393902</v>
      </c>
      <c r="M1354" s="1" t="s">
        <v>40</v>
      </c>
      <c r="N1354">
        <v>-0.36590909090909501</v>
      </c>
      <c r="O1354">
        <v>1.7276515151515099</v>
      </c>
      <c r="P1354"/>
      <c r="Q1354">
        <v>0.17276515151515101</v>
      </c>
      <c r="R1354">
        <v>0.793664613467844</v>
      </c>
      <c r="S1354" s="1" t="str">
        <f>VLOOKUP($E1354,'Product Naming'!$A$1:$P$58,2,FALSE)</f>
        <v>Lysine_L</v>
      </c>
      <c r="T1354" s="1" t="str">
        <f>VLOOKUP($E1354,'Product Naming'!$A$1:$P$58,3,FALSE)</f>
        <v>L-Lysine</v>
      </c>
      <c r="U1354" s="1" t="str">
        <f>VLOOKUP($E1354,'Product Naming'!$A$1:$P$58,4,FALSE)</f>
        <v>iJO1366</v>
      </c>
      <c r="V1354" s="1" t="str">
        <f>VLOOKUP($E1354,'Product Naming'!$A$1:$P$58,5,FALSE)</f>
        <v>C6H15N2O2</v>
      </c>
      <c r="W1354" s="1">
        <f>VLOOKUP($E1354,'Product Naming'!$A$1:$P$58,6,FALSE)</f>
        <v>6</v>
      </c>
      <c r="X1354" s="1">
        <f>VLOOKUP($E1354,'Product Naming'!$A$1:$P$58,7,FALSE)</f>
        <v>15</v>
      </c>
      <c r="Y1354" s="1">
        <f>VLOOKUP($E1354,'Product Naming'!$A$1:$P$58,8,FALSE)</f>
        <v>2</v>
      </c>
      <c r="Z1354" s="1">
        <f>VLOOKUP($E1354,'Product Naming'!$A$1:$P$58,9,FALSE)</f>
        <v>2</v>
      </c>
      <c r="AA1354" s="1">
        <f>VLOOKUP($E1354,'Product Naming'!$A$1:$P$58,10,FALSE)</f>
        <v>1</v>
      </c>
      <c r="AB1354" s="29">
        <f>VLOOKUP($E1354,'Product Naming'!$A$1:$P$58,11,FALSE)</f>
        <v>4.833333333333333</v>
      </c>
      <c r="AC1354" s="3">
        <f>VLOOKUP($E1354,'Product Naming'!$A$1:$P$58,12,FALSE)</f>
        <v>147.19319999999999</v>
      </c>
      <c r="AD1354" s="1" t="str">
        <f>VLOOKUP($E1354,'Product Naming'!$A$1:$P$58,13,FALSE)</f>
        <v>NA</v>
      </c>
      <c r="AE1354" s="1" t="str">
        <f>VLOOKUP($E1354,'Product Naming'!$A$1:$P$58,14,FALSE)</f>
        <v>Amino acid</v>
      </c>
      <c r="AF1354" s="1" t="str">
        <f>VLOOKUP($E1354,'Product Naming'!$A$1:$P$58,15,FALSE)</f>
        <v>Oxaloacetate</v>
      </c>
      <c r="AG1354" s="30" t="str">
        <f>VLOOKUP($E1354,'Product Naming'!$A$1:$P$58,16,FALSE)</f>
        <v>Proton antiport</v>
      </c>
      <c r="AH1354" s="3" t="str">
        <f>VLOOKUP($E1354,'Product Naming'!$A$1:$Q$58,17,FALSE)</f>
        <v>lys__L_</v>
      </c>
      <c r="AI1354" s="1">
        <f>VLOOKUP($E1354,'Product Parameters'!$A$2:$D$59,2,FALSE)</f>
        <v>1</v>
      </c>
      <c r="AJ1354" s="1">
        <f>VLOOKUP($E1354,'Product Parameters'!$A$2:$D$59,3,FALSE)</f>
        <v>0</v>
      </c>
      <c r="AK1354" s="1">
        <f>VLOOKUP($E1354,'Product Parameters'!$A$2:$D$59,4,FALSE)</f>
        <v>0.12</v>
      </c>
      <c r="AL1354" s="1">
        <f>VLOOKUP($E1354,'Product Parameters'!$A$2:$E$59,5,FALSE)</f>
        <v>40.65</v>
      </c>
      <c r="AM1354" s="1">
        <f>VLOOKUP($E1354,'Product Parameters'!$A$2:$F$59,6,FALSE)</f>
        <v>6</v>
      </c>
      <c r="AN1354" s="1">
        <f>VLOOKUP($C1354,'Substrate Heating'!$A$2:$C$33,3,FALSE)</f>
        <v>638.57832580000002</v>
      </c>
      <c r="AO1354" s="1">
        <f>VLOOKUP($C1354,'Substrate Heating'!$A$2:$B$33,2,FALSE)</f>
        <v>19.93</v>
      </c>
      <c r="AP1354" s="1">
        <f>VLOOKUP($C1354,'Substrate Heating'!$A$2:$M$33,13,FALSE)</f>
        <v>6</v>
      </c>
      <c r="AQ1354" s="1">
        <f>VLOOKUP($C1354,'Substrate Heating'!$A$2:$M$33,8,FALSE)</f>
        <v>1</v>
      </c>
      <c r="AR1354" s="1">
        <f t="shared" si="21"/>
        <v>1.036590909090906</v>
      </c>
    </row>
    <row r="1355" spans="1:44" x14ac:dyDescent="0.2">
      <c r="A1355" s="17" t="s">
        <v>185</v>
      </c>
      <c r="B1355" s="9" t="s">
        <v>35</v>
      </c>
      <c r="C1355" t="s">
        <v>347</v>
      </c>
      <c r="D1355" s="23" t="s">
        <v>338</v>
      </c>
      <c r="E1355" t="s">
        <v>264</v>
      </c>
      <c r="F1355" t="s">
        <v>265</v>
      </c>
      <c r="G1355">
        <v>-10</v>
      </c>
      <c r="H1355">
        <v>-20</v>
      </c>
      <c r="I1355" s="1" t="s">
        <v>40</v>
      </c>
      <c r="J1355">
        <v>3.15</v>
      </c>
      <c r="K1355">
        <v>-10</v>
      </c>
      <c r="L1355">
        <v>-2.9064393939393902</v>
      </c>
      <c r="M1355" s="1" t="s">
        <v>40</v>
      </c>
      <c r="N1355">
        <v>-0.36590909090909002</v>
      </c>
      <c r="O1355">
        <v>1.7276515151515099</v>
      </c>
      <c r="P1355"/>
      <c r="Q1355">
        <v>0.17276515151515101</v>
      </c>
      <c r="R1355">
        <v>0.793664613467844</v>
      </c>
      <c r="S1355" s="1" t="str">
        <f>VLOOKUP($E1355,'Product Naming'!$A$1:$P$58,2,FALSE)</f>
        <v>Lysine_L</v>
      </c>
      <c r="T1355" s="1" t="str">
        <f>VLOOKUP($E1355,'Product Naming'!$A$1:$P$58,3,FALSE)</f>
        <v>L-Lysine</v>
      </c>
      <c r="U1355" s="1" t="str">
        <f>VLOOKUP($E1355,'Product Naming'!$A$1:$P$58,4,FALSE)</f>
        <v>iJO1366</v>
      </c>
      <c r="V1355" s="1" t="str">
        <f>VLOOKUP($E1355,'Product Naming'!$A$1:$P$58,5,FALSE)</f>
        <v>C6H15N2O2</v>
      </c>
      <c r="W1355" s="1">
        <f>VLOOKUP($E1355,'Product Naming'!$A$1:$P$58,6,FALSE)</f>
        <v>6</v>
      </c>
      <c r="X1355" s="1">
        <f>VLOOKUP($E1355,'Product Naming'!$A$1:$P$58,7,FALSE)</f>
        <v>15</v>
      </c>
      <c r="Y1355" s="1">
        <f>VLOOKUP($E1355,'Product Naming'!$A$1:$P$58,8,FALSE)</f>
        <v>2</v>
      </c>
      <c r="Z1355" s="1">
        <f>VLOOKUP($E1355,'Product Naming'!$A$1:$P$58,9,FALSE)</f>
        <v>2</v>
      </c>
      <c r="AA1355" s="1">
        <f>VLOOKUP($E1355,'Product Naming'!$A$1:$P$58,10,FALSE)</f>
        <v>1</v>
      </c>
      <c r="AB1355" s="29">
        <f>VLOOKUP($E1355,'Product Naming'!$A$1:$P$58,11,FALSE)</f>
        <v>4.833333333333333</v>
      </c>
      <c r="AC1355" s="3">
        <f>VLOOKUP($E1355,'Product Naming'!$A$1:$P$58,12,FALSE)</f>
        <v>147.19319999999999</v>
      </c>
      <c r="AD1355" s="1" t="str">
        <f>VLOOKUP($E1355,'Product Naming'!$A$1:$P$58,13,FALSE)</f>
        <v>NA</v>
      </c>
      <c r="AE1355" s="1" t="str">
        <f>VLOOKUP($E1355,'Product Naming'!$A$1:$P$58,14,FALSE)</f>
        <v>Amino acid</v>
      </c>
      <c r="AF1355" s="1" t="str">
        <f>VLOOKUP($E1355,'Product Naming'!$A$1:$P$58,15,FALSE)</f>
        <v>Oxaloacetate</v>
      </c>
      <c r="AG1355" s="30" t="str">
        <f>VLOOKUP($E1355,'Product Naming'!$A$1:$P$58,16,FALSE)</f>
        <v>Proton antiport</v>
      </c>
      <c r="AH1355" s="3" t="str">
        <f>VLOOKUP($E1355,'Product Naming'!$A$1:$Q$58,17,FALSE)</f>
        <v>lys__L_</v>
      </c>
      <c r="AI1355" s="1">
        <f>VLOOKUP($E1355,'Product Parameters'!$A$2:$D$59,2,FALSE)</f>
        <v>1</v>
      </c>
      <c r="AJ1355" s="1">
        <f>VLOOKUP($E1355,'Product Parameters'!$A$2:$D$59,3,FALSE)</f>
        <v>0</v>
      </c>
      <c r="AK1355" s="1">
        <f>VLOOKUP($E1355,'Product Parameters'!$A$2:$D$59,4,FALSE)</f>
        <v>0.12</v>
      </c>
      <c r="AL1355" s="1">
        <f>VLOOKUP($E1355,'Product Parameters'!$A$2:$E$59,5,FALSE)</f>
        <v>40.65</v>
      </c>
      <c r="AM1355" s="1">
        <f>VLOOKUP($E1355,'Product Parameters'!$A$2:$F$59,6,FALSE)</f>
        <v>6</v>
      </c>
      <c r="AN1355" s="1">
        <f>VLOOKUP($C1355,'Substrate Heating'!$A$2:$C$33,3,FALSE)</f>
        <v>638.57832580000002</v>
      </c>
      <c r="AO1355" s="1">
        <f>VLOOKUP($C1355,'Substrate Heating'!$A$2:$B$33,2,FALSE)</f>
        <v>19.93</v>
      </c>
      <c r="AP1355" s="1">
        <f>VLOOKUP($C1355,'Substrate Heating'!$A$2:$M$33,13,FALSE)</f>
        <v>6</v>
      </c>
      <c r="AQ1355" s="1">
        <f>VLOOKUP($C1355,'Substrate Heating'!$A$2:$M$33,8,FALSE)</f>
        <v>1</v>
      </c>
      <c r="AR1355" s="1">
        <f t="shared" si="21"/>
        <v>1.036590909090906</v>
      </c>
    </row>
    <row r="1356" spans="1:44" x14ac:dyDescent="0.2">
      <c r="A1356" s="8" t="s">
        <v>34</v>
      </c>
      <c r="B1356" s="9" t="s">
        <v>35</v>
      </c>
      <c r="C1356" s="1" t="s">
        <v>347</v>
      </c>
      <c r="D1356" s="23" t="s">
        <v>338</v>
      </c>
      <c r="E1356" s="1" t="s">
        <v>124</v>
      </c>
      <c r="F1356" s="1" t="s">
        <v>125</v>
      </c>
      <c r="G1356" s="1">
        <v>-10</v>
      </c>
      <c r="H1356" s="1">
        <v>-20</v>
      </c>
      <c r="I1356" s="1" t="s">
        <v>40</v>
      </c>
      <c r="J1356" s="1">
        <v>3.15</v>
      </c>
      <c r="K1356" s="1">
        <v>-10</v>
      </c>
      <c r="L1356" s="1">
        <v>-4.2152173913043498</v>
      </c>
      <c r="M1356" s="1" t="s">
        <v>40</v>
      </c>
      <c r="N1356" s="1">
        <v>-0.78478260869565597</v>
      </c>
      <c r="O1356" s="1">
        <v>3.59492753623188</v>
      </c>
      <c r="Q1356" s="1">
        <v>0.359492753623188</v>
      </c>
      <c r="R1356" s="1">
        <v>0.79720400975172501</v>
      </c>
      <c r="S1356" s="1" t="str">
        <f>VLOOKUP($E1356,'Product Naming'!$A$1:$P$58,2,FALSE)</f>
        <v>Acrylate-PW1</v>
      </c>
      <c r="T1356" s="1" t="str">
        <f>VLOOKUP($E1356,'Product Naming'!$A$1:$P$58,3,FALSE)</f>
        <v>Acrylate (PW1)</v>
      </c>
      <c r="U1356" s="1" t="str">
        <f>VLOOKUP($E1356,'Product Naming'!$A$1:$P$58,4,FALSE)</f>
        <v>A</v>
      </c>
      <c r="V1356" s="1" t="str">
        <f>VLOOKUP($E1356,'Product Naming'!$A$1:$P$58,5,FALSE)</f>
        <v>C3H3O2</v>
      </c>
      <c r="W1356" s="1">
        <f>VLOOKUP($E1356,'Product Naming'!$A$1:$P$58,6,FALSE)</f>
        <v>3</v>
      </c>
      <c r="X1356" s="1">
        <f>VLOOKUP($E1356,'Product Naming'!$A$1:$P$58,7,FALSE)</f>
        <v>3</v>
      </c>
      <c r="Y1356" s="1">
        <f>VLOOKUP($E1356,'Product Naming'!$A$1:$P$58,8,FALSE)</f>
        <v>2</v>
      </c>
      <c r="Z1356" s="1">
        <f>VLOOKUP($E1356,'Product Naming'!$A$1:$P$58,9,FALSE)</f>
        <v>0</v>
      </c>
      <c r="AA1356" s="1">
        <f>VLOOKUP($E1356,'Product Naming'!$A$1:$P$58,10,FALSE)</f>
        <v>-1</v>
      </c>
      <c r="AB1356" s="29">
        <f>VLOOKUP($E1356,'Product Naming'!$A$1:$P$58,11,FALSE)</f>
        <v>3.6666666666666665</v>
      </c>
      <c r="AC1356" s="3">
        <f>VLOOKUP($E1356,'Product Naming'!$A$1:$P$58,12,FALSE)</f>
        <v>71.053619999999995</v>
      </c>
      <c r="AD1356" s="1">
        <f>VLOOKUP($E1356,'Product Naming'!$A$1:$P$58,13,FALSE)</f>
        <v>80</v>
      </c>
      <c r="AE1356" s="1" t="str">
        <f>VLOOKUP($E1356,'Product Naming'!$A$1:$P$58,14,FALSE)</f>
        <v>Carboxylate</v>
      </c>
      <c r="AF1356" s="1" t="str">
        <f>VLOOKUP($E1356,'Product Naming'!$A$1:$P$58,15,FALSE)</f>
        <v>Glyceraldehyde 3-P</v>
      </c>
      <c r="AG1356" s="30" t="str">
        <f>VLOOKUP($E1356,'Product Naming'!$A$1:$P$58,16,FALSE)</f>
        <v>Proton symporter</v>
      </c>
      <c r="AH1356" s="3" t="str">
        <f>VLOOKUP($E1356,'Product Naming'!$A$1:$Q$58,17,FALSE)</f>
        <v>acryl_c</v>
      </c>
      <c r="AI1356" s="1">
        <f>VLOOKUP($E1356,'Product Parameters'!$A$2:$D$59,2,FALSE)</f>
        <v>1</v>
      </c>
      <c r="AJ1356" s="1">
        <f>VLOOKUP($E1356,'Product Parameters'!$A$2:$D$59,3,FALSE)</f>
        <v>0</v>
      </c>
      <c r="AK1356" s="1">
        <f>VLOOKUP($E1356,'Product Parameters'!$A$2:$D$59,4,FALSE)</f>
        <v>0.12</v>
      </c>
      <c r="AL1356" s="1">
        <f>VLOOKUP($E1356,'Product Parameters'!$A$2:$E$59,5,FALSE)</f>
        <v>53.1</v>
      </c>
      <c r="AM1356" s="1">
        <f>VLOOKUP($E1356,'Product Parameters'!$A$2:$F$59,6,FALSE)</f>
        <v>3</v>
      </c>
      <c r="AN1356" s="1">
        <f>VLOOKUP($C1356,'Substrate Heating'!$A$2:$C$33,3,FALSE)</f>
        <v>638.57832580000002</v>
      </c>
      <c r="AO1356" s="1">
        <f>VLOOKUP($C1356,'Substrate Heating'!$A$2:$B$33,2,FALSE)</f>
        <v>19.93</v>
      </c>
      <c r="AP1356" s="1">
        <f>VLOOKUP($C1356,'Substrate Heating'!$A$2:$M$33,13,FALSE)</f>
        <v>6</v>
      </c>
      <c r="AQ1356" s="1">
        <f>VLOOKUP($C1356,'Substrate Heating'!$A$2:$M$33,8,FALSE)</f>
        <v>1</v>
      </c>
      <c r="AR1356" s="1">
        <f t="shared" si="21"/>
        <v>1.078478260869564</v>
      </c>
    </row>
    <row r="1357" spans="1:44" x14ac:dyDescent="0.2">
      <c r="A1357" s="8" t="s">
        <v>34</v>
      </c>
      <c r="B1357" s="9" t="s">
        <v>35</v>
      </c>
      <c r="C1357" s="1" t="s">
        <v>346</v>
      </c>
      <c r="D1357" s="23" t="s">
        <v>338</v>
      </c>
      <c r="E1357" s="1" t="s">
        <v>124</v>
      </c>
      <c r="F1357" s="1" t="s">
        <v>125</v>
      </c>
      <c r="G1357" s="1">
        <v>-10</v>
      </c>
      <c r="H1357" s="1">
        <v>-20</v>
      </c>
      <c r="I1357" s="1" t="s">
        <v>40</v>
      </c>
      <c r="J1357" s="1">
        <v>3.15</v>
      </c>
      <c r="K1357" s="1">
        <v>-10</v>
      </c>
      <c r="L1357" s="1">
        <v>-4.2152173913043498</v>
      </c>
      <c r="M1357" s="1" t="s">
        <v>40</v>
      </c>
      <c r="N1357" s="1">
        <v>-0.78478260869564598</v>
      </c>
      <c r="O1357" s="1">
        <v>3.5949275362318902</v>
      </c>
      <c r="Q1357" s="1">
        <v>0.359492753623189</v>
      </c>
      <c r="R1357" s="1">
        <v>0.79720400975172701</v>
      </c>
      <c r="S1357" s="1" t="str">
        <f>VLOOKUP($E1357,'Product Naming'!$A$1:$P$58,2,FALSE)</f>
        <v>Acrylate-PW1</v>
      </c>
      <c r="T1357" s="1" t="str">
        <f>VLOOKUP($E1357,'Product Naming'!$A$1:$P$58,3,FALSE)</f>
        <v>Acrylate (PW1)</v>
      </c>
      <c r="U1357" s="1" t="str">
        <f>VLOOKUP($E1357,'Product Naming'!$A$1:$P$58,4,FALSE)</f>
        <v>A</v>
      </c>
      <c r="V1357" s="1" t="str">
        <f>VLOOKUP($E1357,'Product Naming'!$A$1:$P$58,5,FALSE)</f>
        <v>C3H3O2</v>
      </c>
      <c r="W1357" s="1">
        <f>VLOOKUP($E1357,'Product Naming'!$A$1:$P$58,6,FALSE)</f>
        <v>3</v>
      </c>
      <c r="X1357" s="1">
        <f>VLOOKUP($E1357,'Product Naming'!$A$1:$P$58,7,FALSE)</f>
        <v>3</v>
      </c>
      <c r="Y1357" s="1">
        <f>VLOOKUP($E1357,'Product Naming'!$A$1:$P$58,8,FALSE)</f>
        <v>2</v>
      </c>
      <c r="Z1357" s="1">
        <f>VLOOKUP($E1357,'Product Naming'!$A$1:$P$58,9,FALSE)</f>
        <v>0</v>
      </c>
      <c r="AA1357" s="1">
        <f>VLOOKUP($E1357,'Product Naming'!$A$1:$P$58,10,FALSE)</f>
        <v>-1</v>
      </c>
      <c r="AB1357" s="29">
        <f>VLOOKUP($E1357,'Product Naming'!$A$1:$P$58,11,FALSE)</f>
        <v>3.6666666666666665</v>
      </c>
      <c r="AC1357" s="3">
        <f>VLOOKUP($E1357,'Product Naming'!$A$1:$P$58,12,FALSE)</f>
        <v>71.053619999999995</v>
      </c>
      <c r="AD1357" s="1">
        <f>VLOOKUP($E1357,'Product Naming'!$A$1:$P$58,13,FALSE)</f>
        <v>80</v>
      </c>
      <c r="AE1357" s="1" t="str">
        <f>VLOOKUP($E1357,'Product Naming'!$A$1:$P$58,14,FALSE)</f>
        <v>Carboxylate</v>
      </c>
      <c r="AF1357" s="1" t="str">
        <f>VLOOKUP($E1357,'Product Naming'!$A$1:$P$58,15,FALSE)</f>
        <v>Glyceraldehyde 3-P</v>
      </c>
      <c r="AG1357" s="30" t="str">
        <f>VLOOKUP($E1357,'Product Naming'!$A$1:$P$58,16,FALSE)</f>
        <v>Proton symporter</v>
      </c>
      <c r="AH1357" s="3" t="str">
        <f>VLOOKUP($E1357,'Product Naming'!$A$1:$Q$58,17,FALSE)</f>
        <v>acryl_c</v>
      </c>
      <c r="AI1357" s="1">
        <f>VLOOKUP($E1357,'Product Parameters'!$A$2:$D$59,2,FALSE)</f>
        <v>1</v>
      </c>
      <c r="AJ1357" s="1">
        <f>VLOOKUP($E1357,'Product Parameters'!$A$2:$D$59,3,FALSE)</f>
        <v>0</v>
      </c>
      <c r="AK1357" s="1">
        <f>VLOOKUP($E1357,'Product Parameters'!$A$2:$D$59,4,FALSE)</f>
        <v>0.12</v>
      </c>
      <c r="AL1357" s="1">
        <f>VLOOKUP($E1357,'Product Parameters'!$A$2:$E$59,5,FALSE)</f>
        <v>53.1</v>
      </c>
      <c r="AM1357" s="1">
        <f>VLOOKUP($E1357,'Product Parameters'!$A$2:$F$59,6,FALSE)</f>
        <v>3</v>
      </c>
      <c r="AN1357" s="1">
        <f>VLOOKUP($C1357,'Substrate Heating'!$A$2:$C$33,3,FALSE)</f>
        <v>638.57832580000002</v>
      </c>
      <c r="AO1357" s="1">
        <f>VLOOKUP($C1357,'Substrate Heating'!$A$2:$B$33,2,FALSE)</f>
        <v>19.93</v>
      </c>
      <c r="AP1357" s="1">
        <f>VLOOKUP($C1357,'Substrate Heating'!$A$2:$M$33,13,FALSE)</f>
        <v>6</v>
      </c>
      <c r="AQ1357" s="1">
        <f>VLOOKUP($C1357,'Substrate Heating'!$A$2:$M$33,8,FALSE)</f>
        <v>1</v>
      </c>
      <c r="AR1357" s="1">
        <f t="shared" si="21"/>
        <v>1.0784782608695669</v>
      </c>
    </row>
    <row r="1358" spans="1:44" x14ac:dyDescent="0.2">
      <c r="A1358" s="8" t="s">
        <v>812</v>
      </c>
      <c r="B1358" s="18" t="s">
        <v>324</v>
      </c>
      <c r="C1358" t="s">
        <v>814</v>
      </c>
      <c r="E1358" t="s">
        <v>119</v>
      </c>
      <c r="F1358" t="s">
        <v>120</v>
      </c>
      <c r="G1358">
        <v>-10</v>
      </c>
      <c r="H1358">
        <v>0</v>
      </c>
      <c r="I1358">
        <v>-10</v>
      </c>
      <c r="J1358">
        <v>0.45</v>
      </c>
      <c r="K1358">
        <v>-6</v>
      </c>
      <c r="L1358">
        <v>0</v>
      </c>
      <c r="M1358">
        <v>-10</v>
      </c>
      <c r="N1358">
        <v>0</v>
      </c>
      <c r="O1358">
        <v>2</v>
      </c>
      <c r="P1358"/>
      <c r="Q1358">
        <v>0.33333333333333298</v>
      </c>
      <c r="R1358">
        <v>0.80088778937962302</v>
      </c>
      <c r="S1358" s="1" t="str">
        <f>VLOOKUP($E1358,'Product Naming'!$A$1:$P$58,2,FALSE)</f>
        <v>Acetone</v>
      </c>
      <c r="T1358" s="1" t="str">
        <f>VLOOKUP($E1358,'Product Naming'!$A$1:$P$58,3,FALSE)</f>
        <v>Acetone</v>
      </c>
      <c r="U1358" s="1" t="str">
        <f>VLOOKUP($E1358,'Product Naming'!$A$1:$P$58,4,FALSE)</f>
        <v>A</v>
      </c>
      <c r="V1358" s="1" t="str">
        <f>VLOOKUP($E1358,'Product Naming'!$A$1:$P$58,5,FALSE)</f>
        <v>C3H6O</v>
      </c>
      <c r="W1358" s="1">
        <f>VLOOKUP($E1358,'Product Naming'!$A$1:$P$58,6,FALSE)</f>
        <v>3</v>
      </c>
      <c r="X1358" s="1">
        <f>VLOOKUP($E1358,'Product Naming'!$A$1:$P$58,7,FALSE)</f>
        <v>6</v>
      </c>
      <c r="Y1358" s="1">
        <f>VLOOKUP($E1358,'Product Naming'!$A$1:$P$58,8,FALSE)</f>
        <v>1</v>
      </c>
      <c r="Z1358" s="1">
        <f>VLOOKUP($E1358,'Product Naming'!$A$1:$P$58,9,FALSE)</f>
        <v>0</v>
      </c>
      <c r="AA1358" s="1">
        <f>VLOOKUP($E1358,'Product Naming'!$A$1:$P$58,10,FALSE)</f>
        <v>0</v>
      </c>
      <c r="AB1358" s="29">
        <f>VLOOKUP($E1358,'Product Naming'!$A$1:$P$58,11,FALSE)</f>
        <v>5.333333333333333</v>
      </c>
      <c r="AC1358" s="3">
        <f>VLOOKUP($E1358,'Product Naming'!$A$1:$P$58,12,FALSE)</f>
        <v>58.078140000000005</v>
      </c>
      <c r="AD1358" s="1">
        <f>VLOOKUP($E1358,'Product Naming'!$A$1:$P$58,13,FALSE)</f>
        <v>56</v>
      </c>
      <c r="AE1358" s="1" t="str">
        <f>VLOOKUP($E1358,'Product Naming'!$A$1:$P$58,14,FALSE)</f>
        <v>Ketone</v>
      </c>
      <c r="AF1358" s="1" t="str">
        <f>VLOOKUP($E1358,'Product Naming'!$A$1:$P$58,15,FALSE)</f>
        <v>Acetyl-CoA</v>
      </c>
      <c r="AG1358" s="30" t="str">
        <f>VLOOKUP($E1358,'Product Naming'!$A$1:$P$58,16,FALSE)</f>
        <v>Proton symporter</v>
      </c>
      <c r="AH1358" s="3" t="str">
        <f>VLOOKUP($E1358,'Product Naming'!$A$1:$Q$58,17,FALSE)</f>
        <v>acetone_c</v>
      </c>
      <c r="AI1358" s="1">
        <f>VLOOKUP($E1358,'Product Parameters'!$A$2:$D$59,2,FALSE)</f>
        <v>1</v>
      </c>
      <c r="AJ1358" s="1">
        <f>VLOOKUP($E1358,'Product Parameters'!$A$2:$D$59,3,FALSE)</f>
        <v>0</v>
      </c>
      <c r="AK1358" s="1">
        <f>VLOOKUP($E1358,'Product Parameters'!$A$2:$D$59,4,FALSE)</f>
        <v>0.12</v>
      </c>
      <c r="AL1358" s="1">
        <f>VLOOKUP($E1358,'Product Parameters'!$A$2:$E$59,5,FALSE)</f>
        <v>31.3</v>
      </c>
      <c r="AM1358" s="1">
        <f>VLOOKUP($E1358,'Product Parameters'!$A$2:$F$59,6,FALSE)</f>
        <v>3</v>
      </c>
      <c r="AN1358" s="1">
        <f>VLOOKUP($C1358,'Substrate Heating'!$A$2:$C$33,3,FALSE)</f>
        <v>209.92000000000002</v>
      </c>
      <c r="AO1358" s="1">
        <f>VLOOKUP($C1358,'Substrate Heating'!$A$2:$B$33,2,FALSE)</f>
        <v>10.086540906516333</v>
      </c>
      <c r="AP1358" s="1">
        <f>VLOOKUP($C1358,'Substrate Heating'!$A$2:$M$33,13,FALSE)</f>
        <v>0.8</v>
      </c>
      <c r="AQ1358" s="1">
        <f>VLOOKUP($C1358,'Substrate Heating'!$A$2:$M$33,8,FALSE)</f>
        <v>0.8</v>
      </c>
      <c r="AR1358" s="1">
        <f t="shared" si="21"/>
        <v>1.2499999999999984</v>
      </c>
    </row>
    <row r="1359" spans="1:44" x14ac:dyDescent="0.2">
      <c r="A1359" s="8" t="s">
        <v>34</v>
      </c>
      <c r="B1359" s="9" t="s">
        <v>35</v>
      </c>
      <c r="C1359" s="1" t="s">
        <v>332</v>
      </c>
      <c r="D1359" s="10" t="s">
        <v>37</v>
      </c>
      <c r="E1359" s="1" t="s">
        <v>119</v>
      </c>
      <c r="F1359" s="1" t="s">
        <v>120</v>
      </c>
      <c r="G1359" s="1">
        <v>-10</v>
      </c>
      <c r="H1359" s="1">
        <v>-20</v>
      </c>
      <c r="I1359" s="1" t="s">
        <v>40</v>
      </c>
      <c r="J1359" s="1">
        <v>3.15</v>
      </c>
      <c r="K1359" s="1">
        <v>-10</v>
      </c>
      <c r="L1359" s="1">
        <v>-4.50810810810811</v>
      </c>
      <c r="M1359" s="1" t="s">
        <v>40</v>
      </c>
      <c r="N1359" s="1">
        <v>0.88108108108104599</v>
      </c>
      <c r="O1359" s="1">
        <v>6.3729729729729696</v>
      </c>
      <c r="Q1359" s="1">
        <v>0.63729729729729701</v>
      </c>
      <c r="R1359" s="1">
        <v>0.803453407744256</v>
      </c>
      <c r="S1359" s="1" t="str">
        <f>VLOOKUP($E1359,'Product Naming'!$A$1:$P$58,2,FALSE)</f>
        <v>Acetone</v>
      </c>
      <c r="T1359" s="1" t="str">
        <f>VLOOKUP($E1359,'Product Naming'!$A$1:$P$58,3,FALSE)</f>
        <v>Acetone</v>
      </c>
      <c r="U1359" s="1" t="str">
        <f>VLOOKUP($E1359,'Product Naming'!$A$1:$P$58,4,FALSE)</f>
        <v>A</v>
      </c>
      <c r="V1359" s="1" t="str">
        <f>VLOOKUP($E1359,'Product Naming'!$A$1:$P$58,5,FALSE)</f>
        <v>C3H6O</v>
      </c>
      <c r="W1359" s="1">
        <f>VLOOKUP($E1359,'Product Naming'!$A$1:$P$58,6,FALSE)</f>
        <v>3</v>
      </c>
      <c r="X1359" s="1">
        <f>VLOOKUP($E1359,'Product Naming'!$A$1:$P$58,7,FALSE)</f>
        <v>6</v>
      </c>
      <c r="Y1359" s="1">
        <f>VLOOKUP($E1359,'Product Naming'!$A$1:$P$58,8,FALSE)</f>
        <v>1</v>
      </c>
      <c r="Z1359" s="1">
        <f>VLOOKUP($E1359,'Product Naming'!$A$1:$P$58,9,FALSE)</f>
        <v>0</v>
      </c>
      <c r="AA1359" s="1">
        <f>VLOOKUP($E1359,'Product Naming'!$A$1:$P$58,10,FALSE)</f>
        <v>0</v>
      </c>
      <c r="AB1359" s="29">
        <f>VLOOKUP($E1359,'Product Naming'!$A$1:$P$58,11,FALSE)</f>
        <v>5.333333333333333</v>
      </c>
      <c r="AC1359" s="3">
        <f>VLOOKUP($E1359,'Product Naming'!$A$1:$P$58,12,FALSE)</f>
        <v>58.078140000000005</v>
      </c>
      <c r="AD1359" s="1">
        <f>VLOOKUP($E1359,'Product Naming'!$A$1:$P$58,13,FALSE)</f>
        <v>56</v>
      </c>
      <c r="AE1359" s="1" t="str">
        <f>VLOOKUP($E1359,'Product Naming'!$A$1:$P$58,14,FALSE)</f>
        <v>Ketone</v>
      </c>
      <c r="AF1359" s="1" t="str">
        <f>VLOOKUP($E1359,'Product Naming'!$A$1:$P$58,15,FALSE)</f>
        <v>Acetyl-CoA</v>
      </c>
      <c r="AG1359" s="30" t="str">
        <f>VLOOKUP($E1359,'Product Naming'!$A$1:$P$58,16,FALSE)</f>
        <v>Proton symporter</v>
      </c>
      <c r="AH1359" s="3" t="str">
        <f>VLOOKUP($E1359,'Product Naming'!$A$1:$Q$58,17,FALSE)</f>
        <v>acetone_c</v>
      </c>
      <c r="AI1359" s="1">
        <f>VLOOKUP($E1359,'Product Parameters'!$A$2:$D$59,2,FALSE)</f>
        <v>1</v>
      </c>
      <c r="AJ1359" s="1">
        <f>VLOOKUP($E1359,'Product Parameters'!$A$2:$D$59,3,FALSE)</f>
        <v>0</v>
      </c>
      <c r="AK1359" s="1">
        <f>VLOOKUP($E1359,'Product Parameters'!$A$2:$D$59,4,FALSE)</f>
        <v>0.12</v>
      </c>
      <c r="AL1359" s="1">
        <f>VLOOKUP($E1359,'Product Parameters'!$A$2:$E$59,5,FALSE)</f>
        <v>31.3</v>
      </c>
      <c r="AM1359" s="1">
        <f>VLOOKUP($E1359,'Product Parameters'!$A$2:$F$59,6,FALSE)</f>
        <v>3</v>
      </c>
      <c r="AN1359" s="1">
        <f>VLOOKUP($C1359,'Substrate Heating'!$A$2:$C$33,3,FALSE)</f>
        <v>1230.0006480000002</v>
      </c>
      <c r="AO1359" s="1">
        <f>VLOOKUP($C1359,'Substrate Heating'!$A$2:$B$33,2,FALSE)</f>
        <v>26.7</v>
      </c>
      <c r="AP1359" s="1">
        <f>VLOOKUP($C1359,'Substrate Heating'!$A$2:$M$33,13,FALSE)</f>
        <v>6</v>
      </c>
      <c r="AQ1359" s="1">
        <f>VLOOKUP($C1359,'Substrate Heating'!$A$2:$M$33,8,FALSE)</f>
        <v>2</v>
      </c>
      <c r="AR1359" s="1">
        <f t="shared" si="21"/>
        <v>0.95594594594594551</v>
      </c>
    </row>
    <row r="1360" spans="1:44" x14ac:dyDescent="0.2">
      <c r="A1360" s="8" t="s">
        <v>812</v>
      </c>
      <c r="B1360" s="18" t="s">
        <v>324</v>
      </c>
      <c r="C1360" t="s">
        <v>814</v>
      </c>
      <c r="E1360" t="s">
        <v>251</v>
      </c>
      <c r="F1360" t="s">
        <v>252</v>
      </c>
      <c r="G1360">
        <v>-10</v>
      </c>
      <c r="H1360">
        <v>0</v>
      </c>
      <c r="I1360">
        <v>-10</v>
      </c>
      <c r="J1360">
        <v>0.45</v>
      </c>
      <c r="K1360">
        <v>-5</v>
      </c>
      <c r="L1360">
        <v>0</v>
      </c>
      <c r="M1360">
        <v>-10</v>
      </c>
      <c r="N1360">
        <v>0</v>
      </c>
      <c r="O1360">
        <v>1.6666666666666601</v>
      </c>
      <c r="P1360"/>
      <c r="Q1360">
        <v>0.33333333333333298</v>
      </c>
      <c r="R1360">
        <v>0.80626915253873399</v>
      </c>
      <c r="S1360" s="1" t="str">
        <f>VLOOKUP($E1360,'Product Naming'!$A$1:$P$58,2,FALSE)</f>
        <v>Isopropanol</v>
      </c>
      <c r="T1360" s="1" t="str">
        <f>VLOOKUP($E1360,'Product Naming'!$A$1:$P$58,3,FALSE)</f>
        <v>Isopropanol</v>
      </c>
      <c r="U1360" s="1" t="str">
        <f>VLOOKUP($E1360,'Product Naming'!$A$1:$P$58,4,FALSE)</f>
        <v>A</v>
      </c>
      <c r="V1360" s="1" t="str">
        <f>VLOOKUP($E1360,'Product Naming'!$A$1:$P$58,5,FALSE)</f>
        <v>C3H8O</v>
      </c>
      <c r="W1360" s="1">
        <f>VLOOKUP($E1360,'Product Naming'!$A$1:$P$58,6,FALSE)</f>
        <v>3</v>
      </c>
      <c r="X1360" s="1">
        <f>VLOOKUP($E1360,'Product Naming'!$A$1:$P$58,7,FALSE)</f>
        <v>8</v>
      </c>
      <c r="Y1360" s="1">
        <f>VLOOKUP($E1360,'Product Naming'!$A$1:$P$58,8,FALSE)</f>
        <v>1</v>
      </c>
      <c r="Z1360" s="1">
        <f>VLOOKUP($E1360,'Product Naming'!$A$1:$P$58,9,FALSE)</f>
        <v>0</v>
      </c>
      <c r="AA1360" s="1">
        <f>VLOOKUP($E1360,'Product Naming'!$A$1:$P$58,10,FALSE)</f>
        <v>0</v>
      </c>
      <c r="AB1360" s="29">
        <f>VLOOKUP($E1360,'Product Naming'!$A$1:$P$58,11,FALSE)</f>
        <v>6</v>
      </c>
      <c r="AC1360" s="3">
        <f>VLOOKUP($E1360,'Product Naming'!$A$1:$P$58,12,FALSE)</f>
        <v>60.093820000000001</v>
      </c>
      <c r="AD1360" s="1">
        <f>VLOOKUP($E1360,'Product Naming'!$A$1:$P$58,13,FALSE)</f>
        <v>82.5</v>
      </c>
      <c r="AE1360" s="1" t="str">
        <f>VLOOKUP($E1360,'Product Naming'!$A$1:$P$58,14,FALSE)</f>
        <v>Alcohol</v>
      </c>
      <c r="AF1360" s="1" t="str">
        <f>VLOOKUP($E1360,'Product Naming'!$A$1:$P$58,15,FALSE)</f>
        <v>Acetyl-CoA</v>
      </c>
      <c r="AG1360" s="30" t="str">
        <f>VLOOKUP($E1360,'Product Naming'!$A$1:$P$58,16,FALSE)</f>
        <v>Proton symporter</v>
      </c>
      <c r="AH1360" s="3" t="str">
        <f>VLOOKUP($E1360,'Product Naming'!$A$1:$Q$58,17,FALSE)</f>
        <v>2ppoh_c</v>
      </c>
      <c r="AI1360" s="1">
        <f>VLOOKUP($E1360,'Product Parameters'!$A$2:$D$59,2,FALSE)</f>
        <v>1</v>
      </c>
      <c r="AJ1360" s="1">
        <f>VLOOKUP($E1360,'Product Parameters'!$A$2:$D$59,3,FALSE)</f>
        <v>0</v>
      </c>
      <c r="AK1360" s="1">
        <f>VLOOKUP($E1360,'Product Parameters'!$A$2:$D$59,4,FALSE)</f>
        <v>0.12</v>
      </c>
      <c r="AL1360" s="1">
        <f>VLOOKUP($E1360,'Product Parameters'!$A$2:$E$59,5,FALSE)</f>
        <v>45</v>
      </c>
      <c r="AM1360" s="1">
        <f>VLOOKUP($E1360,'Product Parameters'!$A$2:$F$59,6,FALSE)</f>
        <v>3</v>
      </c>
      <c r="AN1360" s="1">
        <f>VLOOKUP($C1360,'Substrate Heating'!$A$2:$C$33,3,FALSE)</f>
        <v>209.92000000000002</v>
      </c>
      <c r="AO1360" s="1">
        <f>VLOOKUP($C1360,'Substrate Heating'!$A$2:$B$33,2,FALSE)</f>
        <v>10.086540906516333</v>
      </c>
      <c r="AP1360" s="1">
        <f>VLOOKUP($C1360,'Substrate Heating'!$A$2:$M$33,13,FALSE)</f>
        <v>0.8</v>
      </c>
      <c r="AQ1360" s="1">
        <f>VLOOKUP($C1360,'Substrate Heating'!$A$2:$M$33,8,FALSE)</f>
        <v>0.8</v>
      </c>
      <c r="AR1360" s="1">
        <f t="shared" si="21"/>
        <v>1.2499999999999984</v>
      </c>
    </row>
    <row r="1361" spans="1:44" x14ac:dyDescent="0.2">
      <c r="A1361" s="17" t="s">
        <v>323</v>
      </c>
      <c r="B1361" s="18" t="s">
        <v>324</v>
      </c>
      <c r="C1361" t="s">
        <v>329</v>
      </c>
      <c r="D1361" s="19" t="s">
        <v>326</v>
      </c>
      <c r="E1361" t="s">
        <v>60</v>
      </c>
      <c r="F1361" t="s">
        <v>61</v>
      </c>
      <c r="G1361">
        <v>-10</v>
      </c>
      <c r="H1361">
        <v>0</v>
      </c>
      <c r="I1361">
        <v>-20</v>
      </c>
      <c r="J1361">
        <v>0.45</v>
      </c>
      <c r="K1361">
        <v>-10</v>
      </c>
      <c r="L1361">
        <v>0</v>
      </c>
      <c r="M1361">
        <v>-16.6666666666667</v>
      </c>
      <c r="N1361">
        <v>0</v>
      </c>
      <c r="O1361">
        <v>3.3333333333333299</v>
      </c>
      <c r="P1361"/>
      <c r="Q1361">
        <v>0.33333333333333298</v>
      </c>
      <c r="R1361" s="20">
        <v>0.80838011261021903</v>
      </c>
      <c r="S1361" s="1" t="str">
        <f>VLOOKUP($E1361,'Product Naming'!$A$1:$P$58,2,FALSE)</f>
        <v>1-3-Propanediol</v>
      </c>
      <c r="T1361" s="1" t="str">
        <f>VLOOKUP($E1361,'Product Naming'!$A$1:$P$58,3,FALSE)</f>
        <v>1,3-Propanediol</v>
      </c>
      <c r="U1361" s="1" t="str">
        <f>VLOOKUP($E1361,'Product Naming'!$A$1:$P$58,4,FALSE)</f>
        <v>A</v>
      </c>
      <c r="V1361" s="1" t="str">
        <f>VLOOKUP($E1361,'Product Naming'!$A$1:$P$58,5,FALSE)</f>
        <v>C3H8O2</v>
      </c>
      <c r="W1361" s="1">
        <f>VLOOKUP($E1361,'Product Naming'!$A$1:$P$58,6,FALSE)</f>
        <v>3</v>
      </c>
      <c r="X1361" s="1">
        <f>VLOOKUP($E1361,'Product Naming'!$A$1:$P$58,7,FALSE)</f>
        <v>8</v>
      </c>
      <c r="Y1361" s="1">
        <f>VLOOKUP($E1361,'Product Naming'!$A$1:$P$58,8,FALSE)</f>
        <v>2</v>
      </c>
      <c r="Z1361" s="1">
        <f>VLOOKUP($E1361,'Product Naming'!$A$1:$P$58,9,FALSE)</f>
        <v>0</v>
      </c>
      <c r="AA1361" s="1">
        <f>VLOOKUP($E1361,'Product Naming'!$A$1:$P$58,10,FALSE)</f>
        <v>0</v>
      </c>
      <c r="AB1361" s="29">
        <f>VLOOKUP($E1361,'Product Naming'!$A$1:$P$58,11,FALSE)</f>
        <v>5.333333333333333</v>
      </c>
      <c r="AC1361" s="3">
        <f>VLOOKUP($E1361,'Product Naming'!$A$1:$P$58,12,FALSE)</f>
        <v>76.092820000000003</v>
      </c>
      <c r="AD1361" s="1">
        <f>VLOOKUP($E1361,'Product Naming'!$A$1:$P$58,13,FALSE)</f>
        <v>213</v>
      </c>
      <c r="AE1361" s="1" t="str">
        <f>VLOOKUP($E1361,'Product Naming'!$A$1:$P$58,14,FALSE)</f>
        <v>Diol</v>
      </c>
      <c r="AF1361" s="1" t="str">
        <f>VLOOKUP($E1361,'Product Naming'!$A$1:$P$58,15,FALSE)</f>
        <v>Glyceraldehyde 3-P</v>
      </c>
      <c r="AG1361" s="30" t="str">
        <f>VLOOKUP($E1361,'Product Naming'!$A$1:$P$58,16,FALSE)</f>
        <v>Proton symporter</v>
      </c>
      <c r="AH1361" s="3" t="str">
        <f>VLOOKUP($E1361,'Product Naming'!$A$1:$Q$58,17,FALSE)</f>
        <v>13ppd_c</v>
      </c>
      <c r="AI1361" s="1">
        <f>VLOOKUP($E1361,'Product Parameters'!$A$2:$D$59,2,FALSE)</f>
        <v>1</v>
      </c>
      <c r="AJ1361" s="1">
        <f>VLOOKUP($E1361,'Product Parameters'!$A$2:$D$59,3,FALSE)</f>
        <v>0</v>
      </c>
      <c r="AK1361" s="1">
        <f>VLOOKUP($E1361,'Product Parameters'!$A$2:$D$59,4,FALSE)</f>
        <v>0.12</v>
      </c>
      <c r="AL1361" s="1">
        <f>VLOOKUP($E1361,'Product Parameters'!$A$2:$E$59,5,FALSE)</f>
        <v>70</v>
      </c>
      <c r="AM1361" s="1">
        <f>VLOOKUP($E1361,'Product Parameters'!$A$2:$F$59,6,FALSE)</f>
        <v>3</v>
      </c>
      <c r="AN1361" s="1">
        <f>VLOOKUP($C1361,'Substrate Heating'!$A$2:$C$33,3,FALSE)</f>
        <v>255.53333333333336</v>
      </c>
      <c r="AO1361" s="1">
        <f>VLOOKUP($C1361,'Substrate Heating'!$A$2:$B$33,2,FALSE)</f>
        <v>23.925550527978785</v>
      </c>
      <c r="AP1361" s="1">
        <f>VLOOKUP($C1361,'Substrate Heating'!$A$2:$M$33,13,FALSE)</f>
        <v>0.66666666666666663</v>
      </c>
      <c r="AQ1361" s="1">
        <f>VLOOKUP($C1361,'Substrate Heating'!$A$2:$M$33,8,FALSE)</f>
        <v>0.33333333333333331</v>
      </c>
      <c r="AR1361" s="1">
        <f t="shared" si="21"/>
        <v>2.9999999999999969</v>
      </c>
    </row>
    <row r="1362" spans="1:44" x14ac:dyDescent="0.2">
      <c r="A1362" s="8" t="s">
        <v>792</v>
      </c>
      <c r="B1362" s="18" t="s">
        <v>324</v>
      </c>
      <c r="C1362" t="s">
        <v>369</v>
      </c>
      <c r="D1362" s="23" t="s">
        <v>338</v>
      </c>
      <c r="E1362" t="s">
        <v>60</v>
      </c>
      <c r="F1362" t="s">
        <v>61</v>
      </c>
      <c r="G1362">
        <v>-10</v>
      </c>
      <c r="H1362">
        <v>0</v>
      </c>
      <c r="I1362">
        <v>0</v>
      </c>
      <c r="J1362">
        <v>0.45</v>
      </c>
      <c r="K1362">
        <v>-10</v>
      </c>
      <c r="L1362">
        <v>0</v>
      </c>
      <c r="M1362" s="28" t="s">
        <v>391</v>
      </c>
      <c r="N1362">
        <v>0</v>
      </c>
      <c r="O1362" s="28" t="s">
        <v>388</v>
      </c>
      <c r="P1362"/>
      <c r="Q1362" s="28" t="s">
        <v>389</v>
      </c>
      <c r="R1362">
        <v>0.80857613627355596</v>
      </c>
      <c r="S1362" s="1" t="str">
        <f>VLOOKUP($E1362,'Product Naming'!$A$1:$P$58,2,FALSE)</f>
        <v>1-3-Propanediol</v>
      </c>
      <c r="T1362" s="1" t="str">
        <f>VLOOKUP($E1362,'Product Naming'!$A$1:$P$58,3,FALSE)</f>
        <v>1,3-Propanediol</v>
      </c>
      <c r="U1362" s="1" t="str">
        <f>VLOOKUP($E1362,'Product Naming'!$A$1:$P$58,4,FALSE)</f>
        <v>A</v>
      </c>
      <c r="V1362" s="1" t="str">
        <f>VLOOKUP($E1362,'Product Naming'!$A$1:$P$58,5,FALSE)</f>
        <v>C3H8O2</v>
      </c>
      <c r="W1362" s="1">
        <f>VLOOKUP($E1362,'Product Naming'!$A$1:$P$58,6,FALSE)</f>
        <v>3</v>
      </c>
      <c r="X1362" s="1">
        <f>VLOOKUP($E1362,'Product Naming'!$A$1:$P$58,7,FALSE)</f>
        <v>8</v>
      </c>
      <c r="Y1362" s="1">
        <f>VLOOKUP($E1362,'Product Naming'!$A$1:$P$58,8,FALSE)</f>
        <v>2</v>
      </c>
      <c r="Z1362" s="1">
        <f>VLOOKUP($E1362,'Product Naming'!$A$1:$P$58,9,FALSE)</f>
        <v>0</v>
      </c>
      <c r="AA1362" s="1">
        <f>VLOOKUP($E1362,'Product Naming'!$A$1:$P$58,10,FALSE)</f>
        <v>0</v>
      </c>
      <c r="AB1362" s="29">
        <f>VLOOKUP($E1362,'Product Naming'!$A$1:$P$58,11,FALSE)</f>
        <v>5.333333333333333</v>
      </c>
      <c r="AC1362" s="3">
        <f>VLOOKUP($E1362,'Product Naming'!$A$1:$P$58,12,FALSE)</f>
        <v>76.092820000000003</v>
      </c>
      <c r="AD1362" s="1">
        <f>VLOOKUP($E1362,'Product Naming'!$A$1:$P$58,13,FALSE)</f>
        <v>213</v>
      </c>
      <c r="AE1362" s="1" t="str">
        <f>VLOOKUP($E1362,'Product Naming'!$A$1:$P$58,14,FALSE)</f>
        <v>Diol</v>
      </c>
      <c r="AF1362" s="1" t="str">
        <f>VLOOKUP($E1362,'Product Naming'!$A$1:$P$58,15,FALSE)</f>
        <v>Glyceraldehyde 3-P</v>
      </c>
      <c r="AG1362" s="30" t="str">
        <f>VLOOKUP($E1362,'Product Naming'!$A$1:$P$58,16,FALSE)</f>
        <v>Proton symporter</v>
      </c>
      <c r="AH1362" s="3" t="str">
        <f>VLOOKUP($E1362,'Product Naming'!$A$1:$Q$58,17,FALSE)</f>
        <v>13ppd_c</v>
      </c>
      <c r="AI1362" s="1">
        <f>VLOOKUP($E1362,'Product Parameters'!$A$2:$D$59,2,FALSE)</f>
        <v>1</v>
      </c>
      <c r="AJ1362" s="1">
        <f>VLOOKUP($E1362,'Product Parameters'!$A$2:$D$59,3,FALSE)</f>
        <v>0</v>
      </c>
      <c r="AK1362" s="1">
        <f>VLOOKUP($E1362,'Product Parameters'!$A$2:$D$59,4,FALSE)</f>
        <v>0.12</v>
      </c>
      <c r="AL1362" s="1">
        <f>VLOOKUP($E1362,'Product Parameters'!$A$2:$E$59,5,FALSE)</f>
        <v>70</v>
      </c>
      <c r="AM1362" s="1">
        <f>VLOOKUP($E1362,'Product Parameters'!$A$2:$F$59,6,FALSE)</f>
        <v>3</v>
      </c>
      <c r="AN1362" s="1">
        <f>VLOOKUP($C1362,'Substrate Heating'!$A$2:$C$33,3,FALSE)</f>
        <v>638.57832580000002</v>
      </c>
      <c r="AO1362" s="1">
        <f>VLOOKUP($C1362,'Substrate Heating'!$A$2:$B$33,2,FALSE)</f>
        <v>19.93</v>
      </c>
      <c r="AP1362" s="1">
        <f>VLOOKUP($C1362,'Substrate Heating'!$A$2:$M$33,13,FALSE)</f>
        <v>6</v>
      </c>
      <c r="AQ1362" s="1">
        <f>VLOOKUP($C1362,'Substrate Heating'!$A$2:$M$33,8,FALSE)</f>
        <v>1</v>
      </c>
      <c r="AR1362" s="1">
        <f t="shared" si="21"/>
        <v>0.99999999999999889</v>
      </c>
    </row>
    <row r="1363" spans="1:44" x14ac:dyDescent="0.2">
      <c r="A1363" s="8" t="s">
        <v>812</v>
      </c>
      <c r="B1363" s="18" t="s">
        <v>324</v>
      </c>
      <c r="C1363" t="s">
        <v>814</v>
      </c>
      <c r="E1363" t="s">
        <v>275</v>
      </c>
      <c r="F1363" t="s">
        <v>276</v>
      </c>
      <c r="G1363">
        <v>-10</v>
      </c>
      <c r="H1363">
        <v>0</v>
      </c>
      <c r="I1363">
        <v>-10</v>
      </c>
      <c r="J1363">
        <v>0.45</v>
      </c>
      <c r="K1363">
        <v>-10</v>
      </c>
      <c r="L1363">
        <v>0</v>
      </c>
      <c r="M1363">
        <v>-10</v>
      </c>
      <c r="N1363">
        <v>-1.82</v>
      </c>
      <c r="O1363">
        <v>1.82</v>
      </c>
      <c r="P1363"/>
      <c r="Q1363">
        <v>0.182</v>
      </c>
      <c r="R1363">
        <v>0.81354663314117504</v>
      </c>
      <c r="S1363" s="1" t="str">
        <f>VLOOKUP($E1363,'Product Naming'!$A$1:$P$58,2,FALSE)</f>
        <v>Malonate</v>
      </c>
      <c r="T1363" s="1" t="str">
        <f>VLOOKUP($E1363,'Product Naming'!$A$1:$P$58,3,FALSE)</f>
        <v>Malonate</v>
      </c>
      <c r="U1363" s="1" t="str">
        <f>VLOOKUP($E1363,'Product Naming'!$A$1:$P$58,4,FALSE)</f>
        <v>A</v>
      </c>
      <c r="V1363" s="1" t="str">
        <f>VLOOKUP($E1363,'Product Naming'!$A$1:$P$58,5,FALSE)</f>
        <v>C3H2O4</v>
      </c>
      <c r="W1363" s="1">
        <f>VLOOKUP($E1363,'Product Naming'!$A$1:$P$58,6,FALSE)</f>
        <v>3</v>
      </c>
      <c r="X1363" s="1">
        <f>VLOOKUP($E1363,'Product Naming'!$A$1:$P$58,7,FALSE)</f>
        <v>2</v>
      </c>
      <c r="Y1363" s="1">
        <f>VLOOKUP($E1363,'Product Naming'!$A$1:$P$58,8,FALSE)</f>
        <v>4</v>
      </c>
      <c r="Z1363" s="1">
        <f>VLOOKUP($E1363,'Product Naming'!$A$1:$P$58,9,FALSE)</f>
        <v>0</v>
      </c>
      <c r="AA1363" s="1">
        <f>VLOOKUP($E1363,'Product Naming'!$A$1:$P$58,10,FALSE)</f>
        <v>-2</v>
      </c>
      <c r="AB1363" s="29">
        <f>VLOOKUP($E1363,'Product Naming'!$A$1:$P$58,11,FALSE)</f>
        <v>2</v>
      </c>
      <c r="AC1363" s="3">
        <f>VLOOKUP($E1363,'Product Naming'!$A$1:$P$58,12,FALSE)</f>
        <v>102.04378</v>
      </c>
      <c r="AD1363" s="1">
        <f>VLOOKUP($E1363,'Product Naming'!$A$1:$P$58,13,FALSE)</f>
        <v>199</v>
      </c>
      <c r="AE1363" s="1" t="str">
        <f>VLOOKUP($E1363,'Product Naming'!$A$1:$P$58,14,FALSE)</f>
        <v>Dicarboxylate</v>
      </c>
      <c r="AF1363" s="1" t="str">
        <f>VLOOKUP($E1363,'Product Naming'!$A$1:$P$58,15,FALSE)</f>
        <v>Oxaloacetate</v>
      </c>
      <c r="AG1363" s="30" t="str">
        <f>VLOOKUP($E1363,'Product Naming'!$A$1:$P$58,16,FALSE)</f>
        <v>Proton symporter</v>
      </c>
      <c r="AH1363" s="3" t="str">
        <f>VLOOKUP($E1363,'Product Naming'!$A$1:$Q$58,17,FALSE)</f>
        <v>malon_c</v>
      </c>
      <c r="AI1363" s="1">
        <f>VLOOKUP($E1363,'Product Parameters'!$A$2:$D$59,2,FALSE)</f>
        <v>1</v>
      </c>
      <c r="AJ1363" s="1">
        <f>VLOOKUP($E1363,'Product Parameters'!$A$2:$D$59,3,FALSE)</f>
        <v>0</v>
      </c>
      <c r="AK1363" s="1">
        <f>VLOOKUP($E1363,'Product Parameters'!$A$2:$D$59,4,FALSE)</f>
        <v>0.12</v>
      </c>
      <c r="AL1363" s="1">
        <f>VLOOKUP($E1363,'Product Parameters'!$A$2:$E$59,5,FALSE)</f>
        <v>40.65</v>
      </c>
      <c r="AM1363" s="1">
        <f>VLOOKUP($E1363,'Product Parameters'!$A$2:$F$59,6,FALSE)</f>
        <v>3</v>
      </c>
      <c r="AN1363" s="1">
        <f>VLOOKUP($C1363,'Substrate Heating'!$A$2:$C$33,3,FALSE)</f>
        <v>209.92000000000002</v>
      </c>
      <c r="AO1363" s="1">
        <f>VLOOKUP($C1363,'Substrate Heating'!$A$2:$B$33,2,FALSE)</f>
        <v>10.086540906516333</v>
      </c>
      <c r="AP1363" s="1">
        <f>VLOOKUP($C1363,'Substrate Heating'!$A$2:$M$33,13,FALSE)</f>
        <v>0.8</v>
      </c>
      <c r="AQ1363" s="1">
        <f>VLOOKUP($C1363,'Substrate Heating'!$A$2:$M$33,8,FALSE)</f>
        <v>0.8</v>
      </c>
      <c r="AR1363" s="1">
        <f t="shared" si="21"/>
        <v>0.6825</v>
      </c>
    </row>
    <row r="1364" spans="1:44" x14ac:dyDescent="0.2">
      <c r="A1364" s="8" t="s">
        <v>34</v>
      </c>
      <c r="B1364" s="9" t="s">
        <v>35</v>
      </c>
      <c r="C1364" s="1" t="s">
        <v>332</v>
      </c>
      <c r="D1364" s="10" t="s">
        <v>37</v>
      </c>
      <c r="E1364" s="1" t="s">
        <v>192</v>
      </c>
      <c r="F1364" s="1" t="s">
        <v>193</v>
      </c>
      <c r="G1364" s="1">
        <v>-10</v>
      </c>
      <c r="H1364" s="1">
        <v>-20</v>
      </c>
      <c r="I1364" s="1" t="s">
        <v>40</v>
      </c>
      <c r="J1364" s="1">
        <v>3.15</v>
      </c>
      <c r="K1364" s="1">
        <v>-10</v>
      </c>
      <c r="L1364" s="1">
        <v>-8.0915641476274196</v>
      </c>
      <c r="M1364" s="1" t="s">
        <v>40</v>
      </c>
      <c r="N1364" s="1">
        <v>-0.75536028119507403</v>
      </c>
      <c r="O1364" s="1">
        <v>2.3061511423550098</v>
      </c>
      <c r="Q1364" s="1">
        <v>0.23061511423550099</v>
      </c>
      <c r="R1364" s="1">
        <v>0.81672513532364899</v>
      </c>
      <c r="S1364" s="1" t="str">
        <f>VLOOKUP($E1364,'Product Naming'!$A$1:$P$58,2,FALSE)</f>
        <v>Coumaric acid</v>
      </c>
      <c r="T1364" s="1" t="str">
        <f>VLOOKUP($E1364,'Product Naming'!$A$1:$P$58,3,FALSE)</f>
        <v>Coumaric acid</v>
      </c>
      <c r="U1364" s="1" t="str">
        <f>VLOOKUP($E1364,'Product Naming'!$A$1:$P$58,4,FALSE)</f>
        <v>E</v>
      </c>
      <c r="V1364" s="1" t="str">
        <f>VLOOKUP($E1364,'Product Naming'!$A$1:$P$58,5,FALSE)</f>
        <v>C9H7O3</v>
      </c>
      <c r="W1364" s="1">
        <f>VLOOKUP($E1364,'Product Naming'!$A$1:$P$58,6,FALSE)</f>
        <v>9</v>
      </c>
      <c r="X1364" s="1">
        <f>VLOOKUP($E1364,'Product Naming'!$A$1:$P$58,7,FALSE)</f>
        <v>7</v>
      </c>
      <c r="Y1364" s="1">
        <f>VLOOKUP($E1364,'Product Naming'!$A$1:$P$58,8,FALSE)</f>
        <v>3</v>
      </c>
      <c r="Z1364" s="1">
        <f>VLOOKUP($E1364,'Product Naming'!$A$1:$P$58,9,FALSE)</f>
        <v>0</v>
      </c>
      <c r="AA1364" s="1">
        <f>VLOOKUP($E1364,'Product Naming'!$A$1:$P$58,10,FALSE)</f>
        <v>-1</v>
      </c>
      <c r="AB1364" s="29">
        <f>VLOOKUP($E1364,'Product Naming'!$A$1:$P$58,11,FALSE)</f>
        <v>4.1111111111111107</v>
      </c>
      <c r="AC1364" s="3">
        <f>VLOOKUP($E1364,'Product Naming'!$A$1:$P$58,12,FALSE)</f>
        <v>163.14818</v>
      </c>
      <c r="AD1364" s="1">
        <f>VLOOKUP($E1364,'Product Naming'!$A$1:$P$58,13,FALSE)</f>
        <v>346</v>
      </c>
      <c r="AE1364" s="1" t="str">
        <f>VLOOKUP($E1364,'Product Naming'!$A$1:$P$58,14,FALSE)</f>
        <v>Aromatic + Alcohol + Carboxylate</v>
      </c>
      <c r="AF1364" s="1" t="str">
        <f>VLOOKUP($E1364,'Product Naming'!$A$1:$P$58,15,FALSE)</f>
        <v>E4P + L-glutamate</v>
      </c>
      <c r="AG1364" s="30" t="str">
        <f>VLOOKUP($E1364,'Product Naming'!$A$1:$P$58,16,FALSE)</f>
        <v>Proton symporter</v>
      </c>
      <c r="AH1364" s="3" t="str">
        <f>VLOOKUP($E1364,'Product Naming'!$A$1:$Q$58,17,FALSE)</f>
        <v>T4hcinnm_c</v>
      </c>
      <c r="AI1364" s="1">
        <f>VLOOKUP($E1364,'Product Parameters'!$A$2:$D$59,2,FALSE)</f>
        <v>1</v>
      </c>
      <c r="AJ1364" s="1">
        <f>VLOOKUP($E1364,'Product Parameters'!$A$2:$D$59,3,FALSE)</f>
        <v>0</v>
      </c>
      <c r="AK1364" s="1">
        <f>VLOOKUP($E1364,'Product Parameters'!$A$2:$D$59,4,FALSE)</f>
        <v>0.12</v>
      </c>
      <c r="AL1364" s="1">
        <f>VLOOKUP($E1364,'Product Parameters'!$A$2:$E$59,5,FALSE)</f>
        <v>40.65</v>
      </c>
      <c r="AM1364" s="1">
        <f>VLOOKUP($E1364,'Product Parameters'!$A$2:$F$59,6,FALSE)</f>
        <v>9</v>
      </c>
      <c r="AN1364" s="1">
        <f>VLOOKUP($C1364,'Substrate Heating'!$A$2:$C$33,3,FALSE)</f>
        <v>1230.0006480000002</v>
      </c>
      <c r="AO1364" s="1">
        <f>VLOOKUP($C1364,'Substrate Heating'!$A$2:$B$33,2,FALSE)</f>
        <v>26.7</v>
      </c>
      <c r="AP1364" s="1">
        <f>VLOOKUP($C1364,'Substrate Heating'!$A$2:$M$33,13,FALSE)</f>
        <v>6</v>
      </c>
      <c r="AQ1364" s="1">
        <f>VLOOKUP($C1364,'Substrate Heating'!$A$2:$M$33,8,FALSE)</f>
        <v>2</v>
      </c>
      <c r="AR1364" s="1">
        <f t="shared" si="21"/>
        <v>1.0377680140597545</v>
      </c>
    </row>
    <row r="1365" spans="1:44" x14ac:dyDescent="0.2">
      <c r="A1365" s="8" t="s">
        <v>34</v>
      </c>
      <c r="B1365" s="9" t="s">
        <v>35</v>
      </c>
      <c r="C1365" s="1" t="s">
        <v>345</v>
      </c>
      <c r="D1365" s="10" t="s">
        <v>37</v>
      </c>
      <c r="E1365" s="1" t="s">
        <v>254</v>
      </c>
      <c r="F1365" s="1" t="s">
        <v>255</v>
      </c>
      <c r="G1365" s="1">
        <v>-10</v>
      </c>
      <c r="H1365" s="1">
        <v>-20</v>
      </c>
      <c r="I1365" s="1" t="s">
        <v>40</v>
      </c>
      <c r="J1365" s="1">
        <v>3.15</v>
      </c>
      <c r="K1365" s="1">
        <v>-10</v>
      </c>
      <c r="L1365" s="1">
        <v>-2.74659090909091</v>
      </c>
      <c r="M1365" s="1" t="s">
        <v>40</v>
      </c>
      <c r="N1365" s="1">
        <v>0.82954545454545403</v>
      </c>
      <c r="O1365" s="1">
        <v>3.8340909090909099</v>
      </c>
      <c r="Q1365" s="1">
        <v>0.38340909090909098</v>
      </c>
      <c r="R1365" s="1">
        <v>0.81774738718867901</v>
      </c>
      <c r="S1365" s="1" t="str">
        <f>VLOOKUP($E1365,'Product Naming'!$A$1:$P$58,2,FALSE)</f>
        <v>Itaconate</v>
      </c>
      <c r="T1365" s="1" t="str">
        <f>VLOOKUP($E1365,'Product Naming'!$A$1:$P$58,3,FALSE)</f>
        <v>Itaconate</v>
      </c>
      <c r="U1365" s="1" t="str">
        <f>VLOOKUP($E1365,'Product Naming'!$A$1:$P$58,4,FALSE)</f>
        <v>E</v>
      </c>
      <c r="V1365" s="1" t="str">
        <f>VLOOKUP($E1365,'Product Naming'!$A$1:$P$58,5,FALSE)</f>
        <v>C5H4O4</v>
      </c>
      <c r="W1365" s="1">
        <f>VLOOKUP($E1365,'Product Naming'!$A$1:$P$58,6,FALSE)</f>
        <v>5</v>
      </c>
      <c r="X1365" s="1">
        <f>VLOOKUP($E1365,'Product Naming'!$A$1:$P$58,7,FALSE)</f>
        <v>4</v>
      </c>
      <c r="Y1365" s="1">
        <f>VLOOKUP($E1365,'Product Naming'!$A$1:$P$58,8,FALSE)</f>
        <v>4</v>
      </c>
      <c r="Z1365" s="1">
        <f>VLOOKUP($E1365,'Product Naming'!$A$1:$P$58,9,FALSE)</f>
        <v>0</v>
      </c>
      <c r="AA1365" s="1">
        <f>VLOOKUP($E1365,'Product Naming'!$A$1:$P$58,10,FALSE)</f>
        <v>-2</v>
      </c>
      <c r="AB1365" s="29">
        <f>VLOOKUP($E1365,'Product Naming'!$A$1:$P$58,11,FALSE)</f>
        <v>3.2</v>
      </c>
      <c r="AC1365" s="3">
        <f>VLOOKUP($E1365,'Product Naming'!$A$1:$P$58,12,FALSE)</f>
        <v>128.08086</v>
      </c>
      <c r="AD1365" s="1">
        <f>VLOOKUP($E1365,'Product Naming'!$A$1:$P$58,13,FALSE)</f>
        <v>381</v>
      </c>
      <c r="AE1365" s="1" t="str">
        <f>VLOOKUP($E1365,'Product Naming'!$A$1:$P$58,14,FALSE)</f>
        <v>Dicarboxylate</v>
      </c>
      <c r="AF1365" s="1" t="str">
        <f>VLOOKUP($E1365,'Product Naming'!$A$1:$P$58,15,FALSE)</f>
        <v>Acetyl-CoA + Oxaloacetate</v>
      </c>
      <c r="AG1365" s="30" t="str">
        <f>VLOOKUP($E1365,'Product Naming'!$A$1:$P$58,16,FALSE)</f>
        <v>Proton symporter</v>
      </c>
      <c r="AH1365" s="3" t="str">
        <f>VLOOKUP($E1365,'Product Naming'!$A$1:$Q$58,17,FALSE)</f>
        <v>itacon_c</v>
      </c>
      <c r="AI1365" s="1">
        <f>VLOOKUP($E1365,'Product Parameters'!$A$2:$D$59,2,FALSE)</f>
        <v>1</v>
      </c>
      <c r="AJ1365" s="1">
        <f>VLOOKUP($E1365,'Product Parameters'!$A$2:$D$59,3,FALSE)</f>
        <v>0</v>
      </c>
      <c r="AK1365" s="1">
        <f>VLOOKUP($E1365,'Product Parameters'!$A$2:$D$59,4,FALSE)</f>
        <v>0.12</v>
      </c>
      <c r="AL1365" s="1">
        <f>VLOOKUP($E1365,'Product Parameters'!$A$2:$E$59,5,FALSE)</f>
        <v>40.65</v>
      </c>
      <c r="AM1365" s="1">
        <f>VLOOKUP($E1365,'Product Parameters'!$A$2:$F$59,6,FALSE)</f>
        <v>5</v>
      </c>
      <c r="AN1365" s="1">
        <f>VLOOKUP($C1365,'Substrate Heating'!$A$2:$C$33,3,FALSE)</f>
        <v>1020.8629199999999</v>
      </c>
      <c r="AO1365" s="1">
        <f>VLOOKUP($C1365,'Substrate Heating'!$A$2:$B$33,2,FALSE)</f>
        <v>17</v>
      </c>
      <c r="AP1365" s="1">
        <f>VLOOKUP($C1365,'Substrate Heating'!$A$2:$M$33,13,FALSE)</f>
        <v>4</v>
      </c>
      <c r="AQ1365" s="1">
        <f>VLOOKUP($C1365,'Substrate Heating'!$A$2:$M$33,8,FALSE)</f>
        <v>2</v>
      </c>
      <c r="AR1365" s="1">
        <f t="shared" si="21"/>
        <v>0.95852272727272747</v>
      </c>
    </row>
    <row r="1366" spans="1:44" x14ac:dyDescent="0.2">
      <c r="A1366" s="8" t="s">
        <v>34</v>
      </c>
      <c r="B1366" s="9" t="s">
        <v>35</v>
      </c>
      <c r="C1366" s="1" t="s">
        <v>331</v>
      </c>
      <c r="D1366" s="10" t="s">
        <v>37</v>
      </c>
      <c r="E1366" s="1" t="s">
        <v>130</v>
      </c>
      <c r="F1366" s="1" t="s">
        <v>125</v>
      </c>
      <c r="G1366" s="1">
        <v>-10</v>
      </c>
      <c r="H1366" s="1">
        <v>-20</v>
      </c>
      <c r="I1366" s="1" t="s">
        <v>40</v>
      </c>
      <c r="J1366" s="1">
        <v>3.15</v>
      </c>
      <c r="K1366" s="1">
        <v>-10</v>
      </c>
      <c r="L1366" s="1">
        <v>-3.3882352941176501</v>
      </c>
      <c r="M1366" s="1" t="s">
        <v>40</v>
      </c>
      <c r="N1366" s="1">
        <v>-1.6117647058823601</v>
      </c>
      <c r="O1366" s="1">
        <v>7.2039215686274503</v>
      </c>
      <c r="Q1366" s="1">
        <v>0.72039215686274505</v>
      </c>
      <c r="R1366" s="1">
        <v>0.82470500246036305</v>
      </c>
      <c r="S1366" s="1" t="str">
        <f>VLOOKUP($E1366,'Product Naming'!$A$1:$P$58,2,FALSE)</f>
        <v>Acrylate-PW2</v>
      </c>
      <c r="T1366" s="1" t="str">
        <f>VLOOKUP($E1366,'Product Naming'!$A$1:$P$58,3,FALSE)</f>
        <v>Acrylate (PW2)</v>
      </c>
      <c r="U1366" s="1" t="str">
        <f>VLOOKUP($E1366,'Product Naming'!$A$1:$P$58,4,FALSE)</f>
        <v>A</v>
      </c>
      <c r="V1366" s="1" t="str">
        <f>VLOOKUP($E1366,'Product Naming'!$A$1:$P$58,5,FALSE)</f>
        <v>C3H3O2</v>
      </c>
      <c r="W1366" s="1">
        <f>VLOOKUP($E1366,'Product Naming'!$A$1:$P$58,6,FALSE)</f>
        <v>3</v>
      </c>
      <c r="X1366" s="1">
        <f>VLOOKUP($E1366,'Product Naming'!$A$1:$P$58,7,FALSE)</f>
        <v>3</v>
      </c>
      <c r="Y1366" s="1">
        <f>VLOOKUP($E1366,'Product Naming'!$A$1:$P$58,8,FALSE)</f>
        <v>2</v>
      </c>
      <c r="Z1366" s="1">
        <f>VLOOKUP($E1366,'Product Naming'!$A$1:$P$58,9,FALSE)</f>
        <v>0</v>
      </c>
      <c r="AA1366" s="1">
        <f>VLOOKUP($E1366,'Product Naming'!$A$1:$P$58,10,FALSE)</f>
        <v>-1</v>
      </c>
      <c r="AB1366" s="29">
        <f>VLOOKUP($E1366,'Product Naming'!$A$1:$P$58,11,FALSE)</f>
        <v>3.6666666666666665</v>
      </c>
      <c r="AC1366" s="3">
        <f>VLOOKUP($E1366,'Product Naming'!$A$1:$P$58,12,FALSE)</f>
        <v>71.053619999999995</v>
      </c>
      <c r="AD1366" s="1">
        <f>VLOOKUP($E1366,'Product Naming'!$A$1:$P$58,13,FALSE)</f>
        <v>80</v>
      </c>
      <c r="AE1366" s="1" t="str">
        <f>VLOOKUP($E1366,'Product Naming'!$A$1:$P$58,14,FALSE)</f>
        <v>Carboxylate</v>
      </c>
      <c r="AF1366" s="1" t="str">
        <f>VLOOKUP($E1366,'Product Naming'!$A$1:$P$58,15,FALSE)</f>
        <v>Pyruvate</v>
      </c>
      <c r="AG1366" s="30" t="str">
        <f>VLOOKUP($E1366,'Product Naming'!$A$1:$P$58,16,FALSE)</f>
        <v>Proton symporter</v>
      </c>
      <c r="AH1366" s="3" t="str">
        <f>VLOOKUP($E1366,'Product Naming'!$A$1:$Q$58,17,FALSE)</f>
        <v>acryl_c</v>
      </c>
      <c r="AI1366" s="1">
        <f>VLOOKUP($E1366,'Product Parameters'!$A$2:$D$59,2,FALSE)</f>
        <v>1</v>
      </c>
      <c r="AJ1366" s="1">
        <f>VLOOKUP($E1366,'Product Parameters'!$A$2:$D$59,3,FALSE)</f>
        <v>0</v>
      </c>
      <c r="AK1366" s="1">
        <f>VLOOKUP($E1366,'Product Parameters'!$A$2:$D$59,4,FALSE)</f>
        <v>0.12</v>
      </c>
      <c r="AL1366" s="1">
        <f>VLOOKUP($E1366,'Product Parameters'!$A$2:$E$59,5,FALSE)</f>
        <v>53.1</v>
      </c>
      <c r="AM1366" s="1">
        <f>VLOOKUP($E1366,'Product Parameters'!$A$2:$F$59,6,FALSE)</f>
        <v>3</v>
      </c>
      <c r="AN1366" s="1">
        <f>VLOOKUP($C1366,'Substrate Heating'!$A$2:$C$33,3,FALSE)</f>
        <v>1055.1294800000001</v>
      </c>
      <c r="AO1366" s="1">
        <f>VLOOKUP($C1366,'Substrate Heating'!$A$2:$B$33,2,FALSE)</f>
        <v>17</v>
      </c>
      <c r="AP1366" s="1">
        <f>VLOOKUP($C1366,'Substrate Heating'!$A$2:$M$33,13,FALSE)</f>
        <v>5</v>
      </c>
      <c r="AQ1366" s="1">
        <f>VLOOKUP($C1366,'Substrate Heating'!$A$2:$M$33,8,FALSE)</f>
        <v>2</v>
      </c>
      <c r="AR1366" s="1">
        <f t="shared" si="21"/>
        <v>1.0805882352941176</v>
      </c>
    </row>
    <row r="1367" spans="1:44" x14ac:dyDescent="0.2">
      <c r="A1367" s="17" t="s">
        <v>185</v>
      </c>
      <c r="B1367" s="9" t="s">
        <v>35</v>
      </c>
      <c r="C1367" t="s">
        <v>348</v>
      </c>
      <c r="D1367" s="23" t="s">
        <v>338</v>
      </c>
      <c r="E1367" t="s">
        <v>215</v>
      </c>
      <c r="F1367" t="s">
        <v>216</v>
      </c>
      <c r="G1367">
        <v>-10</v>
      </c>
      <c r="H1367">
        <v>-20</v>
      </c>
      <c r="I1367" s="1" t="s">
        <v>40</v>
      </c>
      <c r="J1367">
        <v>3.15</v>
      </c>
      <c r="K1367">
        <v>-10</v>
      </c>
      <c r="L1367">
        <v>-6.8540816326530702</v>
      </c>
      <c r="M1367" s="1" t="s">
        <v>40</v>
      </c>
      <c r="N1367">
        <v>0.94897959183673597</v>
      </c>
      <c r="O1367">
        <v>1.8102040816326599</v>
      </c>
      <c r="P1367"/>
      <c r="Q1367">
        <v>0.18102040816326601</v>
      </c>
      <c r="R1367">
        <v>0.82551908516058903</v>
      </c>
      <c r="S1367" s="1" t="str">
        <f>VLOOKUP($E1367,'Product Naming'!$A$1:$P$58,2,FALSE)</f>
        <v>Glutamate_L</v>
      </c>
      <c r="T1367" s="1" t="str">
        <f>VLOOKUP($E1367,'Product Naming'!$A$1:$P$58,3,FALSE)</f>
        <v>L-Glutamate</v>
      </c>
      <c r="U1367" s="1" t="str">
        <f>VLOOKUP($E1367,'Product Naming'!$A$1:$P$58,4,FALSE)</f>
        <v>iJO1366</v>
      </c>
      <c r="V1367" s="1" t="str">
        <f>VLOOKUP($E1367,'Product Naming'!$A$1:$P$58,5,FALSE)</f>
        <v>C5H8NO4</v>
      </c>
      <c r="W1367" s="1">
        <f>VLOOKUP($E1367,'Product Naming'!$A$1:$P$58,6,FALSE)</f>
        <v>5</v>
      </c>
      <c r="X1367" s="1">
        <f>VLOOKUP($E1367,'Product Naming'!$A$1:$P$58,7,FALSE)</f>
        <v>8</v>
      </c>
      <c r="Y1367" s="1">
        <f>VLOOKUP($E1367,'Product Naming'!$A$1:$P$58,8,FALSE)</f>
        <v>4</v>
      </c>
      <c r="Z1367" s="1">
        <f>VLOOKUP($E1367,'Product Naming'!$A$1:$P$58,9,FALSE)</f>
        <v>1</v>
      </c>
      <c r="AA1367" s="1">
        <f>VLOOKUP($E1367,'Product Naming'!$A$1:$P$58,10,FALSE)</f>
        <v>-1</v>
      </c>
      <c r="AB1367" s="29">
        <f>VLOOKUP($E1367,'Product Naming'!$A$1:$P$58,11,FALSE)</f>
        <v>3.4</v>
      </c>
      <c r="AC1367" s="3">
        <f>VLOOKUP($E1367,'Product Naming'!$A$1:$P$58,12,FALSE)</f>
        <v>146.11892</v>
      </c>
      <c r="AD1367" s="1">
        <f>VLOOKUP($E1367,'Product Naming'!$A$1:$P$58,13,FALSE)</f>
        <v>333.8</v>
      </c>
      <c r="AE1367" s="1" t="str">
        <f>VLOOKUP($E1367,'Product Naming'!$A$1:$P$58,14,FALSE)</f>
        <v>Amino acid</v>
      </c>
      <c r="AF1367" s="1" t="str">
        <f>VLOOKUP($E1367,'Product Naming'!$A$1:$P$58,15,FALSE)</f>
        <v>aKG</v>
      </c>
      <c r="AG1367" s="30" t="str">
        <f>VLOOKUP($E1367,'Product Naming'!$A$1:$P$58,16,FALSE)</f>
        <v>Proton symporter</v>
      </c>
      <c r="AH1367" s="3" t="str">
        <f>VLOOKUP($E1367,'Product Naming'!$A$1:$Q$58,17,FALSE)</f>
        <v>glu__L_c</v>
      </c>
      <c r="AI1367" s="1">
        <f>VLOOKUP($E1367,'Product Parameters'!$A$2:$D$59,2,FALSE)</f>
        <v>1</v>
      </c>
      <c r="AJ1367" s="1">
        <f>VLOOKUP($E1367,'Product Parameters'!$A$2:$D$59,3,FALSE)</f>
        <v>0</v>
      </c>
      <c r="AK1367" s="1">
        <f>VLOOKUP($E1367,'Product Parameters'!$A$2:$D$59,4,FALSE)</f>
        <v>0.12</v>
      </c>
      <c r="AL1367" s="1">
        <f>VLOOKUP($E1367,'Product Parameters'!$A$2:$E$59,5,FALSE)</f>
        <v>40.65</v>
      </c>
      <c r="AM1367" s="1">
        <f>VLOOKUP($E1367,'Product Parameters'!$A$2:$F$59,6,FALSE)</f>
        <v>5</v>
      </c>
      <c r="AN1367" s="1">
        <f>VLOOKUP($C1367,'Substrate Heating'!$A$2:$C$33,3,FALSE)</f>
        <v>638.57832580000002</v>
      </c>
      <c r="AO1367" s="1">
        <f>VLOOKUP($C1367,'Substrate Heating'!$A$2:$B$33,2,FALSE)</f>
        <v>19.93</v>
      </c>
      <c r="AP1367" s="1">
        <f>VLOOKUP($C1367,'Substrate Heating'!$A$2:$M$33,13,FALSE)</f>
        <v>6</v>
      </c>
      <c r="AQ1367" s="1">
        <f>VLOOKUP($C1367,'Substrate Heating'!$A$2:$M$33,8,FALSE)</f>
        <v>1</v>
      </c>
      <c r="AR1367" s="1">
        <f t="shared" si="21"/>
        <v>0.90510204081633006</v>
      </c>
    </row>
    <row r="1368" spans="1:44" x14ac:dyDescent="0.2">
      <c r="A1368" s="8" t="s">
        <v>34</v>
      </c>
      <c r="B1368" s="9" t="s">
        <v>35</v>
      </c>
      <c r="C1368" s="1" t="s">
        <v>36</v>
      </c>
      <c r="D1368" s="10" t="s">
        <v>37</v>
      </c>
      <c r="E1368" s="1" t="s">
        <v>66</v>
      </c>
      <c r="F1368" s="1" t="s">
        <v>67</v>
      </c>
      <c r="G1368" s="1">
        <v>-10</v>
      </c>
      <c r="H1368" s="1">
        <v>-20</v>
      </c>
      <c r="I1368" s="1" t="s">
        <v>40</v>
      </c>
      <c r="J1368" s="1">
        <v>3.15</v>
      </c>
      <c r="K1368" s="1">
        <v>-10</v>
      </c>
      <c r="L1368" s="1">
        <v>-2.78255813953488</v>
      </c>
      <c r="M1368" s="1" t="s">
        <v>40</v>
      </c>
      <c r="N1368" s="1">
        <v>3.84186046511627</v>
      </c>
      <c r="O1368" s="1">
        <v>4.0395348837209299</v>
      </c>
      <c r="Q1368" s="1">
        <v>0.40395348837209299</v>
      </c>
      <c r="R1368" s="1">
        <v>0.82639070968565798</v>
      </c>
      <c r="S1368" s="1" t="str">
        <f>VLOOKUP($E1368,'Product Naming'!$A$1:$P$58,2,FALSE)</f>
        <v>1-4-butanediol</v>
      </c>
      <c r="T1368" s="1" t="str">
        <f>VLOOKUP($E1368,'Product Naming'!$A$1:$P$58,3,FALSE)</f>
        <v>1,4-Butanediol</v>
      </c>
      <c r="U1368" s="1" t="str">
        <f>VLOOKUP($E1368,'Product Naming'!$A$1:$P$58,4,FALSE)</f>
        <v>E</v>
      </c>
      <c r="V1368" s="1" t="str">
        <f>VLOOKUP($E1368,'Product Naming'!$A$1:$P$58,5,FALSE)</f>
        <v>C4H10O2</v>
      </c>
      <c r="W1368" s="1">
        <f>VLOOKUP($E1368,'Product Naming'!$A$1:$P$58,6,FALSE)</f>
        <v>4</v>
      </c>
      <c r="X1368" s="1">
        <f>VLOOKUP($E1368,'Product Naming'!$A$1:$P$58,7,FALSE)</f>
        <v>10</v>
      </c>
      <c r="Y1368" s="1">
        <f>VLOOKUP($E1368,'Product Naming'!$A$1:$P$58,8,FALSE)</f>
        <v>2</v>
      </c>
      <c r="Z1368" s="1">
        <f>VLOOKUP($E1368,'Product Naming'!$A$1:$P$58,9,FALSE)</f>
        <v>0</v>
      </c>
      <c r="AA1368" s="1">
        <f>VLOOKUP($E1368,'Product Naming'!$A$1:$P$58,10,FALSE)</f>
        <v>0</v>
      </c>
      <c r="AB1368" s="29">
        <f>VLOOKUP($E1368,'Product Naming'!$A$1:$P$58,11,FALSE)</f>
        <v>5.5</v>
      </c>
      <c r="AC1368" s="3">
        <f>VLOOKUP($E1368,'Product Naming'!$A$1:$P$58,12,FALSE)</f>
        <v>90.119200000000006</v>
      </c>
      <c r="AD1368" s="1">
        <f>VLOOKUP($E1368,'Product Naming'!$A$1:$P$58,13,FALSE)</f>
        <v>230</v>
      </c>
      <c r="AE1368" s="1" t="str">
        <f>VLOOKUP($E1368,'Product Naming'!$A$1:$P$58,14,FALSE)</f>
        <v>Diol</v>
      </c>
      <c r="AF1368" s="1" t="str">
        <f>VLOOKUP($E1368,'Product Naming'!$A$1:$P$58,15,FALSE)</f>
        <v>aKG</v>
      </c>
      <c r="AG1368" s="30" t="str">
        <f>VLOOKUP($E1368,'Product Naming'!$A$1:$P$58,16,FALSE)</f>
        <v>Proton symporter</v>
      </c>
      <c r="AH1368" s="3" t="str">
        <f>VLOOKUP($E1368,'Product Naming'!$A$1:$Q$58,17,FALSE)</f>
        <v>14bdo_c</v>
      </c>
      <c r="AI1368" s="1">
        <f>VLOOKUP($E1368,'Product Parameters'!$A$2:$D$59,2,FALSE)</f>
        <v>1</v>
      </c>
      <c r="AJ1368" s="1">
        <f>VLOOKUP($E1368,'Product Parameters'!$A$2:$D$59,3,FALSE)</f>
        <v>0</v>
      </c>
      <c r="AK1368" s="1">
        <f>VLOOKUP($E1368,'Product Parameters'!$A$2:$D$59,4,FALSE)</f>
        <v>0.12</v>
      </c>
      <c r="AL1368" s="1">
        <f>VLOOKUP($E1368,'Product Parameters'!$A$2:$E$59,5,FALSE)</f>
        <v>78</v>
      </c>
      <c r="AM1368" s="1">
        <f>VLOOKUP($E1368,'Product Parameters'!$A$2:$F$59,6,FALSE)</f>
        <v>4</v>
      </c>
      <c r="AN1368" s="1">
        <f>VLOOKUP($C1368,'Substrate Heating'!$A$2:$C$33,3,FALSE)</f>
        <v>1064.1143145599999</v>
      </c>
      <c r="AO1368" s="1">
        <f>VLOOKUP($C1368,'Substrate Heating'!$A$2:$B$33,2,FALSE)</f>
        <v>24.155999999999999</v>
      </c>
      <c r="AP1368" s="1">
        <f>VLOOKUP($C1368,'Substrate Heating'!$A$2:$M$33,13,FALSE)</f>
        <v>5</v>
      </c>
      <c r="AQ1368" s="1">
        <f>VLOOKUP($C1368,'Substrate Heating'!$A$2:$M$33,8,FALSE)</f>
        <v>2</v>
      </c>
      <c r="AR1368" s="1">
        <f t="shared" si="21"/>
        <v>0.80790697674418599</v>
      </c>
    </row>
    <row r="1369" spans="1:44" x14ac:dyDescent="0.2">
      <c r="A1369" s="8" t="s">
        <v>34</v>
      </c>
      <c r="B1369" s="9" t="s">
        <v>35</v>
      </c>
      <c r="C1369" s="1" t="s">
        <v>346</v>
      </c>
      <c r="D1369" s="23" t="s">
        <v>338</v>
      </c>
      <c r="E1369" s="1" t="s">
        <v>60</v>
      </c>
      <c r="F1369" s="1" t="s">
        <v>61</v>
      </c>
      <c r="G1369" s="1">
        <v>-10</v>
      </c>
      <c r="H1369" s="1">
        <v>-20</v>
      </c>
      <c r="I1369" s="1" t="s">
        <v>40</v>
      </c>
      <c r="J1369" s="1">
        <v>3.15</v>
      </c>
      <c r="K1369" s="1">
        <v>-10</v>
      </c>
      <c r="L1369" s="1">
        <v>-1.01992337164751</v>
      </c>
      <c r="M1369" s="1" t="s">
        <v>40</v>
      </c>
      <c r="N1369" s="1">
        <v>-0.48505747126437398</v>
      </c>
      <c r="O1369" s="1">
        <v>3.4950191570881199</v>
      </c>
      <c r="Q1369" s="1">
        <v>0.34950191570881201</v>
      </c>
      <c r="R1369" s="1">
        <v>0.83001580976677403</v>
      </c>
      <c r="S1369" s="1" t="str">
        <f>VLOOKUP($E1369,'Product Naming'!$A$1:$P$58,2,FALSE)</f>
        <v>1-3-Propanediol</v>
      </c>
      <c r="T1369" s="1" t="str">
        <f>VLOOKUP($E1369,'Product Naming'!$A$1:$P$58,3,FALSE)</f>
        <v>1,3-Propanediol</v>
      </c>
      <c r="U1369" s="1" t="str">
        <f>VLOOKUP($E1369,'Product Naming'!$A$1:$P$58,4,FALSE)</f>
        <v>A</v>
      </c>
      <c r="V1369" s="1" t="str">
        <f>VLOOKUP($E1369,'Product Naming'!$A$1:$P$58,5,FALSE)</f>
        <v>C3H8O2</v>
      </c>
      <c r="W1369" s="1">
        <f>VLOOKUP($E1369,'Product Naming'!$A$1:$P$58,6,FALSE)</f>
        <v>3</v>
      </c>
      <c r="X1369" s="1">
        <f>VLOOKUP($E1369,'Product Naming'!$A$1:$P$58,7,FALSE)</f>
        <v>8</v>
      </c>
      <c r="Y1369" s="1">
        <f>VLOOKUP($E1369,'Product Naming'!$A$1:$P$58,8,FALSE)</f>
        <v>2</v>
      </c>
      <c r="Z1369" s="1">
        <f>VLOOKUP($E1369,'Product Naming'!$A$1:$P$58,9,FALSE)</f>
        <v>0</v>
      </c>
      <c r="AA1369" s="1">
        <f>VLOOKUP($E1369,'Product Naming'!$A$1:$P$58,10,FALSE)</f>
        <v>0</v>
      </c>
      <c r="AB1369" s="29">
        <f>VLOOKUP($E1369,'Product Naming'!$A$1:$P$58,11,FALSE)</f>
        <v>5.333333333333333</v>
      </c>
      <c r="AC1369" s="3">
        <f>VLOOKUP($E1369,'Product Naming'!$A$1:$P$58,12,FALSE)</f>
        <v>76.092820000000003</v>
      </c>
      <c r="AD1369" s="1">
        <f>VLOOKUP($E1369,'Product Naming'!$A$1:$P$58,13,FALSE)</f>
        <v>213</v>
      </c>
      <c r="AE1369" s="1" t="str">
        <f>VLOOKUP($E1369,'Product Naming'!$A$1:$P$58,14,FALSE)</f>
        <v>Diol</v>
      </c>
      <c r="AF1369" s="1" t="str">
        <f>VLOOKUP($E1369,'Product Naming'!$A$1:$P$58,15,FALSE)</f>
        <v>Glyceraldehyde 3-P</v>
      </c>
      <c r="AG1369" s="30" t="str">
        <f>VLOOKUP($E1369,'Product Naming'!$A$1:$P$58,16,FALSE)</f>
        <v>Proton symporter</v>
      </c>
      <c r="AH1369" s="3" t="str">
        <f>VLOOKUP($E1369,'Product Naming'!$A$1:$Q$58,17,FALSE)</f>
        <v>13ppd_c</v>
      </c>
      <c r="AI1369" s="1">
        <f>VLOOKUP($E1369,'Product Parameters'!$A$2:$D$59,2,FALSE)</f>
        <v>1</v>
      </c>
      <c r="AJ1369" s="1">
        <f>VLOOKUP($E1369,'Product Parameters'!$A$2:$D$59,3,FALSE)</f>
        <v>0</v>
      </c>
      <c r="AK1369" s="1">
        <f>VLOOKUP($E1369,'Product Parameters'!$A$2:$D$59,4,FALSE)</f>
        <v>0.12</v>
      </c>
      <c r="AL1369" s="1">
        <f>VLOOKUP($E1369,'Product Parameters'!$A$2:$E$59,5,FALSE)</f>
        <v>70</v>
      </c>
      <c r="AM1369" s="1">
        <f>VLOOKUP($E1369,'Product Parameters'!$A$2:$F$59,6,FALSE)</f>
        <v>3</v>
      </c>
      <c r="AN1369" s="1">
        <f>VLOOKUP($C1369,'Substrate Heating'!$A$2:$C$33,3,FALSE)</f>
        <v>638.57832580000002</v>
      </c>
      <c r="AO1369" s="1">
        <f>VLOOKUP($C1369,'Substrate Heating'!$A$2:$B$33,2,FALSE)</f>
        <v>19.93</v>
      </c>
      <c r="AP1369" s="1">
        <f>VLOOKUP($C1369,'Substrate Heating'!$A$2:$M$33,13,FALSE)</f>
        <v>6</v>
      </c>
      <c r="AQ1369" s="1">
        <f>VLOOKUP($C1369,'Substrate Heating'!$A$2:$M$33,8,FALSE)</f>
        <v>1</v>
      </c>
      <c r="AR1369" s="1">
        <f t="shared" si="21"/>
        <v>1.0485057471264361</v>
      </c>
    </row>
    <row r="1370" spans="1:44" x14ac:dyDescent="0.2">
      <c r="A1370" s="8" t="s">
        <v>34</v>
      </c>
      <c r="B1370" s="9" t="s">
        <v>35</v>
      </c>
      <c r="C1370" s="1" t="s">
        <v>347</v>
      </c>
      <c r="D1370" s="23" t="s">
        <v>338</v>
      </c>
      <c r="E1370" s="1" t="s">
        <v>60</v>
      </c>
      <c r="F1370" s="1" t="s">
        <v>61</v>
      </c>
      <c r="G1370" s="1">
        <v>-10</v>
      </c>
      <c r="H1370" s="1">
        <v>-20</v>
      </c>
      <c r="I1370" s="1" t="s">
        <v>40</v>
      </c>
      <c r="J1370" s="1">
        <v>3.15</v>
      </c>
      <c r="K1370" s="1">
        <v>-10</v>
      </c>
      <c r="L1370" s="1">
        <v>-1.01992337164751</v>
      </c>
      <c r="M1370" s="1" t="s">
        <v>40</v>
      </c>
      <c r="N1370" s="1">
        <v>-0.48505747126437099</v>
      </c>
      <c r="O1370" s="1">
        <v>3.4950191570881199</v>
      </c>
      <c r="Q1370" s="1">
        <v>0.34950191570881201</v>
      </c>
      <c r="R1370" s="1">
        <v>0.83001580976677503</v>
      </c>
      <c r="S1370" s="1" t="str">
        <f>VLOOKUP($E1370,'Product Naming'!$A$1:$P$58,2,FALSE)</f>
        <v>1-3-Propanediol</v>
      </c>
      <c r="T1370" s="1" t="str">
        <f>VLOOKUP($E1370,'Product Naming'!$A$1:$P$58,3,FALSE)</f>
        <v>1,3-Propanediol</v>
      </c>
      <c r="U1370" s="1" t="str">
        <f>VLOOKUP($E1370,'Product Naming'!$A$1:$P$58,4,FALSE)</f>
        <v>A</v>
      </c>
      <c r="V1370" s="1" t="str">
        <f>VLOOKUP($E1370,'Product Naming'!$A$1:$P$58,5,FALSE)</f>
        <v>C3H8O2</v>
      </c>
      <c r="W1370" s="1">
        <f>VLOOKUP($E1370,'Product Naming'!$A$1:$P$58,6,FALSE)</f>
        <v>3</v>
      </c>
      <c r="X1370" s="1">
        <f>VLOOKUP($E1370,'Product Naming'!$A$1:$P$58,7,FALSE)</f>
        <v>8</v>
      </c>
      <c r="Y1370" s="1">
        <f>VLOOKUP($E1370,'Product Naming'!$A$1:$P$58,8,FALSE)</f>
        <v>2</v>
      </c>
      <c r="Z1370" s="1">
        <f>VLOOKUP($E1370,'Product Naming'!$A$1:$P$58,9,FALSE)</f>
        <v>0</v>
      </c>
      <c r="AA1370" s="1">
        <f>VLOOKUP($E1370,'Product Naming'!$A$1:$P$58,10,FALSE)</f>
        <v>0</v>
      </c>
      <c r="AB1370" s="29">
        <f>VLOOKUP($E1370,'Product Naming'!$A$1:$P$58,11,FALSE)</f>
        <v>5.333333333333333</v>
      </c>
      <c r="AC1370" s="3">
        <f>VLOOKUP($E1370,'Product Naming'!$A$1:$P$58,12,FALSE)</f>
        <v>76.092820000000003</v>
      </c>
      <c r="AD1370" s="1">
        <f>VLOOKUP($E1370,'Product Naming'!$A$1:$P$58,13,FALSE)</f>
        <v>213</v>
      </c>
      <c r="AE1370" s="1" t="str">
        <f>VLOOKUP($E1370,'Product Naming'!$A$1:$P$58,14,FALSE)</f>
        <v>Diol</v>
      </c>
      <c r="AF1370" s="1" t="str">
        <f>VLOOKUP($E1370,'Product Naming'!$A$1:$P$58,15,FALSE)</f>
        <v>Glyceraldehyde 3-P</v>
      </c>
      <c r="AG1370" s="30" t="str">
        <f>VLOOKUP($E1370,'Product Naming'!$A$1:$P$58,16,FALSE)</f>
        <v>Proton symporter</v>
      </c>
      <c r="AH1370" s="3" t="str">
        <f>VLOOKUP($E1370,'Product Naming'!$A$1:$Q$58,17,FALSE)</f>
        <v>13ppd_c</v>
      </c>
      <c r="AI1370" s="1">
        <f>VLOOKUP($E1370,'Product Parameters'!$A$2:$D$59,2,FALSE)</f>
        <v>1</v>
      </c>
      <c r="AJ1370" s="1">
        <f>VLOOKUP($E1370,'Product Parameters'!$A$2:$D$59,3,FALSE)</f>
        <v>0</v>
      </c>
      <c r="AK1370" s="1">
        <f>VLOOKUP($E1370,'Product Parameters'!$A$2:$D$59,4,FALSE)</f>
        <v>0.12</v>
      </c>
      <c r="AL1370" s="1">
        <f>VLOOKUP($E1370,'Product Parameters'!$A$2:$E$59,5,FALSE)</f>
        <v>70</v>
      </c>
      <c r="AM1370" s="1">
        <f>VLOOKUP($E1370,'Product Parameters'!$A$2:$F$59,6,FALSE)</f>
        <v>3</v>
      </c>
      <c r="AN1370" s="1">
        <f>VLOOKUP($C1370,'Substrate Heating'!$A$2:$C$33,3,FALSE)</f>
        <v>638.57832580000002</v>
      </c>
      <c r="AO1370" s="1">
        <f>VLOOKUP($C1370,'Substrate Heating'!$A$2:$B$33,2,FALSE)</f>
        <v>19.93</v>
      </c>
      <c r="AP1370" s="1">
        <f>VLOOKUP($C1370,'Substrate Heating'!$A$2:$M$33,13,FALSE)</f>
        <v>6</v>
      </c>
      <c r="AQ1370" s="1">
        <f>VLOOKUP($C1370,'Substrate Heating'!$A$2:$M$33,8,FALSE)</f>
        <v>1</v>
      </c>
      <c r="AR1370" s="1">
        <f t="shared" si="21"/>
        <v>1.0485057471264361</v>
      </c>
    </row>
    <row r="1371" spans="1:44" x14ac:dyDescent="0.2">
      <c r="A1371" s="8" t="s">
        <v>34</v>
      </c>
      <c r="B1371" s="9" t="s">
        <v>35</v>
      </c>
      <c r="C1371" s="1" t="s">
        <v>332</v>
      </c>
      <c r="D1371" s="10" t="s">
        <v>37</v>
      </c>
      <c r="E1371" s="1" t="s">
        <v>175</v>
      </c>
      <c r="F1371" s="1" t="s">
        <v>176</v>
      </c>
      <c r="G1371" s="1">
        <v>-10</v>
      </c>
      <c r="H1371" s="1">
        <v>-20</v>
      </c>
      <c r="I1371" s="1" t="s">
        <v>40</v>
      </c>
      <c r="J1371" s="1">
        <v>3.15</v>
      </c>
      <c r="K1371" s="1">
        <v>-10</v>
      </c>
      <c r="L1371" s="1">
        <v>-7.3758620689655299</v>
      </c>
      <c r="M1371" s="1" t="s">
        <v>40</v>
      </c>
      <c r="N1371" s="1">
        <v>-0.88381962864721897</v>
      </c>
      <c r="O1371" s="1">
        <v>3.4806366047745301</v>
      </c>
      <c r="Q1371" s="1">
        <v>0.34806366047745302</v>
      </c>
      <c r="R1371" s="1">
        <v>0.83193303397780305</v>
      </c>
      <c r="S1371" s="1" t="str">
        <f>VLOOKUP($E1371,'Product Naming'!$A$1:$P$58,2,FALSE)</f>
        <v>Catechol</v>
      </c>
      <c r="T1371" s="1" t="str">
        <f>VLOOKUP($E1371,'Product Naming'!$A$1:$P$58,3,FALSE)</f>
        <v>Catechol</v>
      </c>
      <c r="U1371" s="1" t="str">
        <f>VLOOKUP($E1371,'Product Naming'!$A$1:$P$58,4,FALSE)</f>
        <v>E</v>
      </c>
      <c r="V1371" s="1" t="str">
        <f>VLOOKUP($E1371,'Product Naming'!$A$1:$P$58,5,FALSE)</f>
        <v>C6H6O2</v>
      </c>
      <c r="W1371" s="1">
        <f>VLOOKUP($E1371,'Product Naming'!$A$1:$P$58,6,FALSE)</f>
        <v>6</v>
      </c>
      <c r="X1371" s="1">
        <f>VLOOKUP($E1371,'Product Naming'!$A$1:$P$58,7,FALSE)</f>
        <v>6</v>
      </c>
      <c r="Y1371" s="1">
        <f>VLOOKUP($E1371,'Product Naming'!$A$1:$P$58,8,FALSE)</f>
        <v>2</v>
      </c>
      <c r="Z1371" s="1">
        <f>VLOOKUP($E1371,'Product Naming'!$A$1:$P$58,9,FALSE)</f>
        <v>0</v>
      </c>
      <c r="AA1371" s="1">
        <f>VLOOKUP($E1371,'Product Naming'!$A$1:$P$58,10,FALSE)</f>
        <v>0</v>
      </c>
      <c r="AB1371" s="29">
        <f>VLOOKUP($E1371,'Product Naming'!$A$1:$P$58,11,FALSE)</f>
        <v>4.333333333333333</v>
      </c>
      <c r="AC1371" s="3">
        <f>VLOOKUP($E1371,'Product Naming'!$A$1:$P$58,12,FALSE)</f>
        <v>110.10924</v>
      </c>
      <c r="AD1371" s="1">
        <f>VLOOKUP($E1371,'Product Naming'!$A$1:$P$58,13,FALSE)</f>
        <v>245</v>
      </c>
      <c r="AE1371" s="1" t="str">
        <f>VLOOKUP($E1371,'Product Naming'!$A$1:$P$58,14,FALSE)</f>
        <v>Aromatic + Diol</v>
      </c>
      <c r="AF1371" s="1" t="str">
        <f>VLOOKUP($E1371,'Product Naming'!$A$1:$P$58,15,FALSE)</f>
        <v>Glyceraldehyde 3-P</v>
      </c>
      <c r="AG1371" s="30" t="str">
        <f>VLOOKUP($E1371,'Product Naming'!$A$1:$P$58,16,FALSE)</f>
        <v>Proton symporter</v>
      </c>
      <c r="AH1371" s="3" t="str">
        <f>VLOOKUP($E1371,'Product Naming'!$A$1:$Q$58,17,FALSE)</f>
        <v>catechol_c</v>
      </c>
      <c r="AI1371" s="1">
        <f>VLOOKUP($E1371,'Product Parameters'!$A$2:$D$59,2,FALSE)</f>
        <v>1</v>
      </c>
      <c r="AJ1371" s="1">
        <f>VLOOKUP($E1371,'Product Parameters'!$A$2:$D$59,3,FALSE)</f>
        <v>0</v>
      </c>
      <c r="AK1371" s="1">
        <f>VLOOKUP($E1371,'Product Parameters'!$A$2:$D$59,4,FALSE)</f>
        <v>0.12</v>
      </c>
      <c r="AL1371" s="1">
        <f>VLOOKUP($E1371,'Product Parameters'!$A$2:$E$59,5,FALSE)</f>
        <v>40.65</v>
      </c>
      <c r="AM1371" s="1">
        <f>VLOOKUP($E1371,'Product Parameters'!$A$2:$F$59,6,FALSE)</f>
        <v>6</v>
      </c>
      <c r="AN1371" s="1">
        <f>VLOOKUP($C1371,'Substrate Heating'!$A$2:$C$33,3,FALSE)</f>
        <v>1230.0006480000002</v>
      </c>
      <c r="AO1371" s="1">
        <f>VLOOKUP($C1371,'Substrate Heating'!$A$2:$B$33,2,FALSE)</f>
        <v>26.7</v>
      </c>
      <c r="AP1371" s="1">
        <f>VLOOKUP($C1371,'Substrate Heating'!$A$2:$M$33,13,FALSE)</f>
        <v>6</v>
      </c>
      <c r="AQ1371" s="1">
        <f>VLOOKUP($C1371,'Substrate Heating'!$A$2:$M$33,8,FALSE)</f>
        <v>2</v>
      </c>
      <c r="AR1371" s="1">
        <f t="shared" si="21"/>
        <v>1.0441909814323591</v>
      </c>
    </row>
    <row r="1372" spans="1:44" x14ac:dyDescent="0.2">
      <c r="A1372" s="17" t="s">
        <v>185</v>
      </c>
      <c r="B1372" s="9" t="s">
        <v>35</v>
      </c>
      <c r="C1372" t="s">
        <v>322</v>
      </c>
      <c r="D1372" s="10" t="s">
        <v>37</v>
      </c>
      <c r="E1372" t="s">
        <v>215</v>
      </c>
      <c r="F1372" t="s">
        <v>216</v>
      </c>
      <c r="G1372">
        <v>-10</v>
      </c>
      <c r="H1372">
        <v>-20</v>
      </c>
      <c r="I1372" s="1" t="s">
        <v>40</v>
      </c>
      <c r="J1372">
        <v>3.15</v>
      </c>
      <c r="K1372">
        <v>-10</v>
      </c>
      <c r="L1372">
        <v>-4.7920454545454598</v>
      </c>
      <c r="M1372" s="1" t="s">
        <v>40</v>
      </c>
      <c r="N1372">
        <v>3.1022727272727102</v>
      </c>
      <c r="O1372">
        <v>3.37954545454545</v>
      </c>
      <c r="P1372"/>
      <c r="Q1372">
        <v>0.33795454545454501</v>
      </c>
      <c r="R1372">
        <v>0.83636705621789997</v>
      </c>
      <c r="S1372" s="1" t="str">
        <f>VLOOKUP($E1372,'Product Naming'!$A$1:$P$58,2,FALSE)</f>
        <v>Glutamate_L</v>
      </c>
      <c r="T1372" s="1" t="str">
        <f>VLOOKUP($E1372,'Product Naming'!$A$1:$P$58,3,FALSE)</f>
        <v>L-Glutamate</v>
      </c>
      <c r="U1372" s="1" t="str">
        <f>VLOOKUP($E1372,'Product Naming'!$A$1:$P$58,4,FALSE)</f>
        <v>iJO1366</v>
      </c>
      <c r="V1372" s="1" t="str">
        <f>VLOOKUP($E1372,'Product Naming'!$A$1:$P$58,5,FALSE)</f>
        <v>C5H8NO4</v>
      </c>
      <c r="W1372" s="1">
        <f>VLOOKUP($E1372,'Product Naming'!$A$1:$P$58,6,FALSE)</f>
        <v>5</v>
      </c>
      <c r="X1372" s="1">
        <f>VLOOKUP($E1372,'Product Naming'!$A$1:$P$58,7,FALSE)</f>
        <v>8</v>
      </c>
      <c r="Y1372" s="1">
        <f>VLOOKUP($E1372,'Product Naming'!$A$1:$P$58,8,FALSE)</f>
        <v>4</v>
      </c>
      <c r="Z1372" s="1">
        <f>VLOOKUP($E1372,'Product Naming'!$A$1:$P$58,9,FALSE)</f>
        <v>1</v>
      </c>
      <c r="AA1372" s="1">
        <f>VLOOKUP($E1372,'Product Naming'!$A$1:$P$58,10,FALSE)</f>
        <v>-1</v>
      </c>
      <c r="AB1372" s="29">
        <f>VLOOKUP($E1372,'Product Naming'!$A$1:$P$58,11,FALSE)</f>
        <v>3.4</v>
      </c>
      <c r="AC1372" s="3">
        <f>VLOOKUP($E1372,'Product Naming'!$A$1:$P$58,12,FALSE)</f>
        <v>146.11892</v>
      </c>
      <c r="AD1372" s="1">
        <f>VLOOKUP($E1372,'Product Naming'!$A$1:$P$58,13,FALSE)</f>
        <v>333.8</v>
      </c>
      <c r="AE1372" s="1" t="str">
        <f>VLOOKUP($E1372,'Product Naming'!$A$1:$P$58,14,FALSE)</f>
        <v>Amino acid</v>
      </c>
      <c r="AF1372" s="1" t="str">
        <f>VLOOKUP($E1372,'Product Naming'!$A$1:$P$58,15,FALSE)</f>
        <v>aKG</v>
      </c>
      <c r="AG1372" s="30" t="str">
        <f>VLOOKUP($E1372,'Product Naming'!$A$1:$P$58,16,FALSE)</f>
        <v>Proton symporter</v>
      </c>
      <c r="AH1372" s="3" t="str">
        <f>VLOOKUP($E1372,'Product Naming'!$A$1:$Q$58,17,FALSE)</f>
        <v>glu__L_c</v>
      </c>
      <c r="AI1372" s="1">
        <f>VLOOKUP($E1372,'Product Parameters'!$A$2:$D$59,2,FALSE)</f>
        <v>1</v>
      </c>
      <c r="AJ1372" s="1">
        <f>VLOOKUP($E1372,'Product Parameters'!$A$2:$D$59,3,FALSE)</f>
        <v>0</v>
      </c>
      <c r="AK1372" s="1">
        <f>VLOOKUP($E1372,'Product Parameters'!$A$2:$D$59,4,FALSE)</f>
        <v>0.12</v>
      </c>
      <c r="AL1372" s="1">
        <f>VLOOKUP($E1372,'Product Parameters'!$A$2:$E$59,5,FALSE)</f>
        <v>40.65</v>
      </c>
      <c r="AM1372" s="1">
        <f>VLOOKUP($E1372,'Product Parameters'!$A$2:$F$59,6,FALSE)</f>
        <v>5</v>
      </c>
      <c r="AN1372" s="1">
        <f>VLOOKUP($C1372,'Substrate Heating'!$A$2:$C$33,3,FALSE)</f>
        <v>876.74109599999997</v>
      </c>
      <c r="AO1372" s="1">
        <f>VLOOKUP($C1372,'Substrate Heating'!$A$2:$B$33,2,FALSE)</f>
        <v>14.6</v>
      </c>
      <c r="AP1372" s="1">
        <f>VLOOKUP($C1372,'Substrate Heating'!$A$2:$M$33,13,FALSE)</f>
        <v>3.5</v>
      </c>
      <c r="AQ1372" s="1">
        <f>VLOOKUP($C1372,'Substrate Heating'!$A$2:$M$33,8,FALSE)</f>
        <v>2</v>
      </c>
      <c r="AR1372" s="1">
        <f t="shared" si="21"/>
        <v>0.84488636363636249</v>
      </c>
    </row>
    <row r="1373" spans="1:44" x14ac:dyDescent="0.2">
      <c r="A1373" s="8" t="s">
        <v>34</v>
      </c>
      <c r="B1373" s="9" t="s">
        <v>35</v>
      </c>
      <c r="C1373" s="1" t="s">
        <v>343</v>
      </c>
      <c r="D1373" s="24" t="s">
        <v>342</v>
      </c>
      <c r="E1373" s="1" t="s">
        <v>130</v>
      </c>
      <c r="F1373" s="1" t="s">
        <v>125</v>
      </c>
      <c r="G1373" s="1">
        <v>-10</v>
      </c>
      <c r="H1373" s="1">
        <v>-20</v>
      </c>
      <c r="I1373" s="1" t="s">
        <v>40</v>
      </c>
      <c r="J1373" s="1">
        <v>3.15</v>
      </c>
      <c r="K1373" s="1">
        <v>-10</v>
      </c>
      <c r="L1373" s="1">
        <v>-2.2225806451612899</v>
      </c>
      <c r="M1373" s="1" t="s">
        <v>40</v>
      </c>
      <c r="N1373" s="1">
        <v>-2.7774193548387101</v>
      </c>
      <c r="O1373" s="1">
        <v>10.9258064516129</v>
      </c>
      <c r="Q1373" s="1">
        <v>1.0925806451612901</v>
      </c>
      <c r="R1373" s="1">
        <v>0.84296438111314298</v>
      </c>
      <c r="S1373" s="1" t="str">
        <f>VLOOKUP($E1373,'Product Naming'!$A$1:$P$58,2,FALSE)</f>
        <v>Acrylate-PW2</v>
      </c>
      <c r="T1373" s="1" t="str">
        <f>VLOOKUP($E1373,'Product Naming'!$A$1:$P$58,3,FALSE)</f>
        <v>Acrylate (PW2)</v>
      </c>
      <c r="U1373" s="1" t="str">
        <f>VLOOKUP($E1373,'Product Naming'!$A$1:$P$58,4,FALSE)</f>
        <v>A</v>
      </c>
      <c r="V1373" s="1" t="str">
        <f>VLOOKUP($E1373,'Product Naming'!$A$1:$P$58,5,FALSE)</f>
        <v>C3H3O2</v>
      </c>
      <c r="W1373" s="1">
        <f>VLOOKUP($E1373,'Product Naming'!$A$1:$P$58,6,FALSE)</f>
        <v>3</v>
      </c>
      <c r="X1373" s="1">
        <f>VLOOKUP($E1373,'Product Naming'!$A$1:$P$58,7,FALSE)</f>
        <v>3</v>
      </c>
      <c r="Y1373" s="1">
        <f>VLOOKUP($E1373,'Product Naming'!$A$1:$P$58,8,FALSE)</f>
        <v>2</v>
      </c>
      <c r="Z1373" s="1">
        <f>VLOOKUP($E1373,'Product Naming'!$A$1:$P$58,9,FALSE)</f>
        <v>0</v>
      </c>
      <c r="AA1373" s="1">
        <f>VLOOKUP($E1373,'Product Naming'!$A$1:$P$58,10,FALSE)</f>
        <v>-1</v>
      </c>
      <c r="AB1373" s="29">
        <f>VLOOKUP($E1373,'Product Naming'!$A$1:$P$58,11,FALSE)</f>
        <v>3.6666666666666665</v>
      </c>
      <c r="AC1373" s="3">
        <f>VLOOKUP($E1373,'Product Naming'!$A$1:$P$58,12,FALSE)</f>
        <v>71.053619999999995</v>
      </c>
      <c r="AD1373" s="1">
        <f>VLOOKUP($E1373,'Product Naming'!$A$1:$P$58,13,FALSE)</f>
        <v>80</v>
      </c>
      <c r="AE1373" s="1" t="str">
        <f>VLOOKUP($E1373,'Product Naming'!$A$1:$P$58,14,FALSE)</f>
        <v>Carboxylate</v>
      </c>
      <c r="AF1373" s="1" t="str">
        <f>VLOOKUP($E1373,'Product Naming'!$A$1:$P$58,15,FALSE)</f>
        <v>Pyruvate</v>
      </c>
      <c r="AG1373" s="30" t="str">
        <f>VLOOKUP($E1373,'Product Naming'!$A$1:$P$58,16,FALSE)</f>
        <v>Proton symporter</v>
      </c>
      <c r="AH1373" s="3" t="str">
        <f>VLOOKUP($E1373,'Product Naming'!$A$1:$Q$58,17,FALSE)</f>
        <v>acryl_c</v>
      </c>
      <c r="AI1373" s="1">
        <f>VLOOKUP($E1373,'Product Parameters'!$A$2:$D$59,2,FALSE)</f>
        <v>1</v>
      </c>
      <c r="AJ1373" s="1">
        <f>VLOOKUP($E1373,'Product Parameters'!$A$2:$D$59,3,FALSE)</f>
        <v>0</v>
      </c>
      <c r="AK1373" s="1">
        <f>VLOOKUP($E1373,'Product Parameters'!$A$2:$D$59,4,FALSE)</f>
        <v>0.12</v>
      </c>
      <c r="AL1373" s="1">
        <f>VLOOKUP($E1373,'Product Parameters'!$A$2:$E$59,5,FALSE)</f>
        <v>53.1</v>
      </c>
      <c r="AM1373" s="1">
        <f>VLOOKUP($E1373,'Product Parameters'!$A$2:$F$59,6,FALSE)</f>
        <v>3</v>
      </c>
      <c r="AN1373" s="1">
        <f>VLOOKUP($C1373,'Substrate Heating'!$A$2:$C$33,3,FALSE)</f>
        <v>1648.4793779999998</v>
      </c>
      <c r="AO1373" s="1">
        <f>VLOOKUP($C1373,'Substrate Heating'!$A$2:$B$33,2,FALSE)</f>
        <v>17.899999999999999</v>
      </c>
      <c r="AP1373" s="1">
        <f>VLOOKUP($C1373,'Substrate Heating'!$A$2:$M$33,13,FALSE)</f>
        <v>4.666666666666667</v>
      </c>
      <c r="AQ1373" s="1">
        <f>VLOOKUP($C1373,'Substrate Heating'!$A$2:$M$33,8,FALSE)</f>
        <v>3</v>
      </c>
      <c r="AR1373" s="1">
        <f t="shared" si="21"/>
        <v>1.0925806451612901</v>
      </c>
    </row>
    <row r="1374" spans="1:44" x14ac:dyDescent="0.2">
      <c r="A1374" s="8" t="s">
        <v>34</v>
      </c>
      <c r="B1374" s="9" t="s">
        <v>35</v>
      </c>
      <c r="C1374" s="1" t="s">
        <v>349</v>
      </c>
      <c r="D1374" s="25" t="s">
        <v>342</v>
      </c>
      <c r="E1374" s="1" t="s">
        <v>254</v>
      </c>
      <c r="F1374" s="1" t="s">
        <v>255</v>
      </c>
      <c r="G1374" s="1">
        <v>-10</v>
      </c>
      <c r="H1374" s="1">
        <v>-20</v>
      </c>
      <c r="I1374" s="1" t="s">
        <v>40</v>
      </c>
      <c r="J1374" s="1">
        <v>3.15</v>
      </c>
      <c r="K1374" s="1">
        <v>-10</v>
      </c>
      <c r="L1374" s="1">
        <v>-5.47647058823528</v>
      </c>
      <c r="M1374" s="1" t="s">
        <v>40</v>
      </c>
      <c r="N1374" s="1">
        <v>0.52941176470589002</v>
      </c>
      <c r="O1374" s="1">
        <v>9.8941176470588399</v>
      </c>
      <c r="Q1374" s="1">
        <v>0.98941176470588399</v>
      </c>
      <c r="R1374" s="1">
        <v>0.84409984491871903</v>
      </c>
      <c r="S1374" s="1" t="str">
        <f>VLOOKUP($E1374,'Product Naming'!$A$1:$P$58,2,FALSE)</f>
        <v>Itaconate</v>
      </c>
      <c r="T1374" s="1" t="str">
        <f>VLOOKUP($E1374,'Product Naming'!$A$1:$P$58,3,FALSE)</f>
        <v>Itaconate</v>
      </c>
      <c r="U1374" s="1" t="str">
        <f>VLOOKUP($E1374,'Product Naming'!$A$1:$P$58,4,FALSE)</f>
        <v>E</v>
      </c>
      <c r="V1374" s="1" t="str">
        <f>VLOOKUP($E1374,'Product Naming'!$A$1:$P$58,5,FALSE)</f>
        <v>C5H4O4</v>
      </c>
      <c r="W1374" s="1">
        <f>VLOOKUP($E1374,'Product Naming'!$A$1:$P$58,6,FALSE)</f>
        <v>5</v>
      </c>
      <c r="X1374" s="1">
        <f>VLOOKUP($E1374,'Product Naming'!$A$1:$P$58,7,FALSE)</f>
        <v>4</v>
      </c>
      <c r="Y1374" s="1">
        <f>VLOOKUP($E1374,'Product Naming'!$A$1:$P$58,8,FALSE)</f>
        <v>4</v>
      </c>
      <c r="Z1374" s="1">
        <f>VLOOKUP($E1374,'Product Naming'!$A$1:$P$58,9,FALSE)</f>
        <v>0</v>
      </c>
      <c r="AA1374" s="1">
        <f>VLOOKUP($E1374,'Product Naming'!$A$1:$P$58,10,FALSE)</f>
        <v>-2</v>
      </c>
      <c r="AB1374" s="29">
        <f>VLOOKUP($E1374,'Product Naming'!$A$1:$P$58,11,FALSE)</f>
        <v>3.2</v>
      </c>
      <c r="AC1374" s="3">
        <f>VLOOKUP($E1374,'Product Naming'!$A$1:$P$58,12,FALSE)</f>
        <v>128.08086</v>
      </c>
      <c r="AD1374" s="1">
        <f>VLOOKUP($E1374,'Product Naming'!$A$1:$P$58,13,FALSE)</f>
        <v>381</v>
      </c>
      <c r="AE1374" s="1" t="str">
        <f>VLOOKUP($E1374,'Product Naming'!$A$1:$P$58,14,FALSE)</f>
        <v>Dicarboxylate</v>
      </c>
      <c r="AF1374" s="1" t="str">
        <f>VLOOKUP($E1374,'Product Naming'!$A$1:$P$58,15,FALSE)</f>
        <v>Acetyl-CoA + Oxaloacetate</v>
      </c>
      <c r="AG1374" s="30" t="str">
        <f>VLOOKUP($E1374,'Product Naming'!$A$1:$P$58,16,FALSE)</f>
        <v>Proton symporter</v>
      </c>
      <c r="AH1374" s="3" t="str">
        <f>VLOOKUP($E1374,'Product Naming'!$A$1:$Q$58,17,FALSE)</f>
        <v>itacon_c</v>
      </c>
      <c r="AI1374" s="1">
        <f>VLOOKUP($E1374,'Product Parameters'!$A$2:$D$59,2,FALSE)</f>
        <v>1</v>
      </c>
      <c r="AJ1374" s="1">
        <f>VLOOKUP($E1374,'Product Parameters'!$A$2:$D$59,3,FALSE)</f>
        <v>0</v>
      </c>
      <c r="AK1374" s="1">
        <f>VLOOKUP($E1374,'Product Parameters'!$A$2:$D$59,4,FALSE)</f>
        <v>0.12</v>
      </c>
      <c r="AL1374" s="1">
        <f>VLOOKUP($E1374,'Product Parameters'!$A$2:$E$59,5,FALSE)</f>
        <v>40.65</v>
      </c>
      <c r="AM1374" s="1">
        <f>VLOOKUP($E1374,'Product Parameters'!$A$2:$F$59,6,FALSE)</f>
        <v>5</v>
      </c>
      <c r="AN1374" s="1">
        <f>VLOOKUP($C1374,'Substrate Heating'!$A$2:$C$33,3,FALSE)</f>
        <v>2342.0279999999998</v>
      </c>
      <c r="AO1374" s="1">
        <f>VLOOKUP($C1374,'Substrate Heating'!$A$2:$B$33,2,FALSE)</f>
        <v>15.6</v>
      </c>
      <c r="AP1374" s="1">
        <f>VLOOKUP($C1374,'Substrate Heating'!$A$2:$M$33,13,FALSE)</f>
        <v>4</v>
      </c>
      <c r="AQ1374" s="1">
        <f>VLOOKUP($C1374,'Substrate Heating'!$A$2:$M$33,8,FALSE)</f>
        <v>5</v>
      </c>
      <c r="AR1374" s="1">
        <f t="shared" si="21"/>
        <v>0.98941176470588399</v>
      </c>
    </row>
    <row r="1375" spans="1:44" x14ac:dyDescent="0.2">
      <c r="A1375" s="8" t="s">
        <v>34</v>
      </c>
      <c r="B1375" s="9" t="s">
        <v>35</v>
      </c>
      <c r="C1375" s="1" t="s">
        <v>36</v>
      </c>
      <c r="D1375" s="10" t="s">
        <v>37</v>
      </c>
      <c r="E1375" s="1" t="s">
        <v>132</v>
      </c>
      <c r="F1375" s="1" t="s">
        <v>133</v>
      </c>
      <c r="G1375" s="1">
        <v>-10</v>
      </c>
      <c r="H1375" s="1">
        <v>-20</v>
      </c>
      <c r="I1375" s="1" t="s">
        <v>40</v>
      </c>
      <c r="J1375" s="1">
        <v>3.15</v>
      </c>
      <c r="K1375" s="1">
        <v>-10</v>
      </c>
      <c r="L1375" s="1">
        <v>-8.1428235294117695</v>
      </c>
      <c r="M1375" s="1" t="s">
        <v>40</v>
      </c>
      <c r="N1375" s="1">
        <v>4.4395294117647204</v>
      </c>
      <c r="O1375" s="1">
        <v>2.5934117647058801</v>
      </c>
      <c r="Q1375" s="1">
        <v>0.25934117647058802</v>
      </c>
      <c r="R1375" s="1">
        <v>0.848479325892462</v>
      </c>
      <c r="S1375" s="1" t="str">
        <f>VLOOKUP($E1375,'Product Naming'!$A$1:$P$58,2,FALSE)</f>
        <v>Adipate</v>
      </c>
      <c r="T1375" s="1" t="str">
        <f>VLOOKUP($E1375,'Product Naming'!$A$1:$P$58,3,FALSE)</f>
        <v>Adipate</v>
      </c>
      <c r="U1375" s="1" t="str">
        <f>VLOOKUP($E1375,'Product Naming'!$A$1:$P$58,4,FALSE)</f>
        <v>E</v>
      </c>
      <c r="V1375" s="1" t="str">
        <f>VLOOKUP($E1375,'Product Naming'!$A$1:$P$58,5,FALSE)</f>
        <v>C6H8O4</v>
      </c>
      <c r="W1375" s="1">
        <f>VLOOKUP($E1375,'Product Naming'!$A$1:$P$58,6,FALSE)</f>
        <v>6</v>
      </c>
      <c r="X1375" s="1">
        <f>VLOOKUP($E1375,'Product Naming'!$A$1:$P$58,7,FALSE)</f>
        <v>8</v>
      </c>
      <c r="Y1375" s="1">
        <f>VLOOKUP($E1375,'Product Naming'!$A$1:$P$58,8,FALSE)</f>
        <v>4</v>
      </c>
      <c r="Z1375" s="1">
        <f>VLOOKUP($E1375,'Product Naming'!$A$1:$P$58,9,FALSE)</f>
        <v>0</v>
      </c>
      <c r="AA1375" s="1">
        <f>VLOOKUP($E1375,'Product Naming'!$A$1:$P$58,10,FALSE)</f>
        <v>-2</v>
      </c>
      <c r="AB1375" s="29">
        <f>VLOOKUP($E1375,'Product Naming'!$A$1:$P$58,11,FALSE)</f>
        <v>4</v>
      </c>
      <c r="AC1375" s="3">
        <f>VLOOKUP($E1375,'Product Naming'!$A$1:$P$58,12,FALSE)</f>
        <v>144.12291999999999</v>
      </c>
      <c r="AD1375" s="1">
        <f>VLOOKUP($E1375,'Product Naming'!$A$1:$P$58,13,FALSE)</f>
        <v>337.5</v>
      </c>
      <c r="AE1375" s="1" t="str">
        <f>VLOOKUP($E1375,'Product Naming'!$A$1:$P$58,14,FALSE)</f>
        <v>Dicarboxylate</v>
      </c>
      <c r="AF1375" s="1" t="str">
        <f>VLOOKUP($E1375,'Product Naming'!$A$1:$P$58,15,FALSE)</f>
        <v>Glyceraldehyde 3-P</v>
      </c>
      <c r="AG1375" s="30" t="str">
        <f>VLOOKUP($E1375,'Product Naming'!$A$1:$P$58,16,FALSE)</f>
        <v>Proton symporter</v>
      </c>
      <c r="AH1375" s="3" t="str">
        <f>VLOOKUP($E1375,'Product Naming'!$A$1:$Q$58,17,FALSE)</f>
        <v>adpac_c</v>
      </c>
      <c r="AI1375" s="1">
        <f>VLOOKUP($E1375,'Product Parameters'!$A$2:$D$59,2,FALSE)</f>
        <v>1</v>
      </c>
      <c r="AJ1375" s="1">
        <f>VLOOKUP($E1375,'Product Parameters'!$A$2:$D$59,3,FALSE)</f>
        <v>0</v>
      </c>
      <c r="AK1375" s="1">
        <f>VLOOKUP($E1375,'Product Parameters'!$A$2:$D$59,4,FALSE)</f>
        <v>0.12</v>
      </c>
      <c r="AL1375" s="1">
        <f>VLOOKUP($E1375,'Product Parameters'!$A$2:$E$59,5,FALSE)</f>
        <v>40.65</v>
      </c>
      <c r="AM1375" s="1">
        <f>VLOOKUP($E1375,'Product Parameters'!$A$2:$F$59,6,FALSE)</f>
        <v>6</v>
      </c>
      <c r="AN1375" s="1">
        <f>VLOOKUP($C1375,'Substrate Heating'!$A$2:$C$33,3,FALSE)</f>
        <v>1064.1143145599999</v>
      </c>
      <c r="AO1375" s="1">
        <f>VLOOKUP($C1375,'Substrate Heating'!$A$2:$B$33,2,FALSE)</f>
        <v>24.155999999999999</v>
      </c>
      <c r="AP1375" s="1">
        <f>VLOOKUP($C1375,'Substrate Heating'!$A$2:$M$33,13,FALSE)</f>
        <v>5</v>
      </c>
      <c r="AQ1375" s="1">
        <f>VLOOKUP($C1375,'Substrate Heating'!$A$2:$M$33,8,FALSE)</f>
        <v>2</v>
      </c>
      <c r="AR1375" s="1">
        <f t="shared" si="21"/>
        <v>0.77802352941176411</v>
      </c>
    </row>
    <row r="1376" spans="1:44" x14ac:dyDescent="0.2">
      <c r="A1376" s="8" t="s">
        <v>34</v>
      </c>
      <c r="B1376" s="9" t="s">
        <v>35</v>
      </c>
      <c r="C1376" s="1" t="s">
        <v>341</v>
      </c>
      <c r="D1376" s="24" t="s">
        <v>342</v>
      </c>
      <c r="E1376" s="1" t="s">
        <v>254</v>
      </c>
      <c r="F1376" s="1" t="s">
        <v>255</v>
      </c>
      <c r="G1376" s="1">
        <v>-10</v>
      </c>
      <c r="H1376" s="1">
        <v>-20</v>
      </c>
      <c r="I1376" s="1" t="s">
        <v>40</v>
      </c>
      <c r="J1376" s="1">
        <v>3.15</v>
      </c>
      <c r="K1376" s="1">
        <v>-10</v>
      </c>
      <c r="L1376" s="1">
        <v>-6.2820618556701104</v>
      </c>
      <c r="M1376" s="1" t="s">
        <v>40</v>
      </c>
      <c r="N1376" s="1">
        <v>0.31340206185568997</v>
      </c>
      <c r="O1376" s="1">
        <v>11.937319587628901</v>
      </c>
      <c r="Q1376" s="1">
        <v>1.1937319587628901</v>
      </c>
      <c r="R1376" s="1">
        <v>0.84869431509740001</v>
      </c>
      <c r="S1376" s="1" t="str">
        <f>VLOOKUP($E1376,'Product Naming'!$A$1:$P$58,2,FALSE)</f>
        <v>Itaconate</v>
      </c>
      <c r="T1376" s="1" t="str">
        <f>VLOOKUP($E1376,'Product Naming'!$A$1:$P$58,3,FALSE)</f>
        <v>Itaconate</v>
      </c>
      <c r="U1376" s="1" t="str">
        <f>VLOOKUP($E1376,'Product Naming'!$A$1:$P$58,4,FALSE)</f>
        <v>E</v>
      </c>
      <c r="V1376" s="1" t="str">
        <f>VLOOKUP($E1376,'Product Naming'!$A$1:$P$58,5,FALSE)</f>
        <v>C5H4O4</v>
      </c>
      <c r="W1376" s="1">
        <f>VLOOKUP($E1376,'Product Naming'!$A$1:$P$58,6,FALSE)</f>
        <v>5</v>
      </c>
      <c r="X1376" s="1">
        <f>VLOOKUP($E1376,'Product Naming'!$A$1:$P$58,7,FALSE)</f>
        <v>4</v>
      </c>
      <c r="Y1376" s="1">
        <f>VLOOKUP($E1376,'Product Naming'!$A$1:$P$58,8,FALSE)</f>
        <v>4</v>
      </c>
      <c r="Z1376" s="1">
        <f>VLOOKUP($E1376,'Product Naming'!$A$1:$P$58,9,FALSE)</f>
        <v>0</v>
      </c>
      <c r="AA1376" s="1">
        <f>VLOOKUP($E1376,'Product Naming'!$A$1:$P$58,10,FALSE)</f>
        <v>-2</v>
      </c>
      <c r="AB1376" s="29">
        <f>VLOOKUP($E1376,'Product Naming'!$A$1:$P$58,11,FALSE)</f>
        <v>3.2</v>
      </c>
      <c r="AC1376" s="3">
        <f>VLOOKUP($E1376,'Product Naming'!$A$1:$P$58,12,FALSE)</f>
        <v>128.08086</v>
      </c>
      <c r="AD1376" s="1">
        <f>VLOOKUP($E1376,'Product Naming'!$A$1:$P$58,13,FALSE)</f>
        <v>381</v>
      </c>
      <c r="AE1376" s="1" t="str">
        <f>VLOOKUP($E1376,'Product Naming'!$A$1:$P$58,14,FALSE)</f>
        <v>Dicarboxylate</v>
      </c>
      <c r="AF1376" s="1" t="str">
        <f>VLOOKUP($E1376,'Product Naming'!$A$1:$P$58,15,FALSE)</f>
        <v>Acetyl-CoA + Oxaloacetate</v>
      </c>
      <c r="AG1376" s="30" t="str">
        <f>VLOOKUP($E1376,'Product Naming'!$A$1:$P$58,16,FALSE)</f>
        <v>Proton symporter</v>
      </c>
      <c r="AH1376" s="3" t="str">
        <f>VLOOKUP($E1376,'Product Naming'!$A$1:$Q$58,17,FALSE)</f>
        <v>itacon_c</v>
      </c>
      <c r="AI1376" s="1">
        <f>VLOOKUP($E1376,'Product Parameters'!$A$2:$D$59,2,FALSE)</f>
        <v>1</v>
      </c>
      <c r="AJ1376" s="1">
        <f>VLOOKUP($E1376,'Product Parameters'!$A$2:$D$59,3,FALSE)</f>
        <v>0</v>
      </c>
      <c r="AK1376" s="1">
        <f>VLOOKUP($E1376,'Product Parameters'!$A$2:$D$59,4,FALSE)</f>
        <v>0.12</v>
      </c>
      <c r="AL1376" s="1">
        <f>VLOOKUP($E1376,'Product Parameters'!$A$2:$E$59,5,FALSE)</f>
        <v>40.65</v>
      </c>
      <c r="AM1376" s="1">
        <f>VLOOKUP($E1376,'Product Parameters'!$A$2:$F$59,6,FALSE)</f>
        <v>5</v>
      </c>
      <c r="AN1376" s="1">
        <f>VLOOKUP($C1376,'Substrate Heating'!$A$2:$C$33,3,FALSE)</f>
        <v>2828.4492</v>
      </c>
      <c r="AO1376" s="1">
        <f>VLOOKUP($C1376,'Substrate Heating'!$A$2:$B$33,2,FALSE)</f>
        <v>15.7</v>
      </c>
      <c r="AP1376" s="1">
        <f>VLOOKUP($C1376,'Substrate Heating'!$A$2:$M$33,13,FALSE)</f>
        <v>4</v>
      </c>
      <c r="AQ1376" s="1">
        <f>VLOOKUP($C1376,'Substrate Heating'!$A$2:$M$33,8,FALSE)</f>
        <v>6</v>
      </c>
      <c r="AR1376" s="1">
        <f t="shared" si="21"/>
        <v>0.99477663230240843</v>
      </c>
    </row>
    <row r="1377" spans="1:44" x14ac:dyDescent="0.2">
      <c r="A1377" s="8" t="s">
        <v>34</v>
      </c>
      <c r="B1377" s="9" t="s">
        <v>35</v>
      </c>
      <c r="C1377" s="1" t="s">
        <v>343</v>
      </c>
      <c r="D1377" s="24" t="s">
        <v>342</v>
      </c>
      <c r="E1377" s="1" t="s">
        <v>308</v>
      </c>
      <c r="F1377" s="1" t="s">
        <v>309</v>
      </c>
      <c r="G1377" s="1">
        <v>-10</v>
      </c>
      <c r="H1377" s="1">
        <v>-20</v>
      </c>
      <c r="I1377" s="1" t="s">
        <v>40</v>
      </c>
      <c r="J1377" s="1">
        <v>3.15</v>
      </c>
      <c r="K1377" s="1">
        <v>-10</v>
      </c>
      <c r="L1377" s="1">
        <v>-3.3159362549800799</v>
      </c>
      <c r="M1377" s="1" t="s">
        <v>40</v>
      </c>
      <c r="N1377" s="1">
        <v>-1.6840637450199201</v>
      </c>
      <c r="O1377" s="1">
        <v>4.5262948207171299</v>
      </c>
      <c r="Q1377" s="1">
        <v>0.452629482071713</v>
      </c>
      <c r="R1377" s="1">
        <v>0.85096347111519699</v>
      </c>
      <c r="S1377" s="1" t="str">
        <f>VLOOKUP($E1377,'Product Naming'!$A$1:$P$58,2,FALSE)</f>
        <v>Shikimate</v>
      </c>
      <c r="T1377" s="1" t="str">
        <f>VLOOKUP($E1377,'Product Naming'!$A$1:$P$58,3,FALSE)</f>
        <v>Shikimate</v>
      </c>
      <c r="U1377" s="1" t="str">
        <f>VLOOKUP($E1377,'Product Naming'!$A$1:$P$58,4,FALSE)</f>
        <v>E</v>
      </c>
      <c r="V1377" s="1" t="str">
        <f>VLOOKUP($E1377,'Product Naming'!$A$1:$P$58,5,FALSE)</f>
        <v>C7H9O5</v>
      </c>
      <c r="W1377" s="1">
        <f>VLOOKUP($E1377,'Product Naming'!$A$1:$P$58,6,FALSE)</f>
        <v>7</v>
      </c>
      <c r="X1377" s="1">
        <f>VLOOKUP($E1377,'Product Naming'!$A$1:$P$58,7,FALSE)</f>
        <v>9</v>
      </c>
      <c r="Y1377" s="1">
        <f>VLOOKUP($E1377,'Product Naming'!$A$1:$P$58,8,FALSE)</f>
        <v>5</v>
      </c>
      <c r="Z1377" s="1">
        <f>VLOOKUP($E1377,'Product Naming'!$A$1:$P$58,9,FALSE)</f>
        <v>0</v>
      </c>
      <c r="AA1377" s="1">
        <f>VLOOKUP($E1377,'Product Naming'!$A$1:$P$58,10,FALSE)</f>
        <v>-1</v>
      </c>
      <c r="AB1377" s="29">
        <f>VLOOKUP($E1377,'Product Naming'!$A$1:$P$58,11,FALSE)</f>
        <v>3.8571428571428572</v>
      </c>
      <c r="AC1377" s="3">
        <f>VLOOKUP($E1377,'Product Naming'!$A$1:$P$58,12,FALSE)</f>
        <v>173.14046000000002</v>
      </c>
      <c r="AD1377" s="1">
        <f>VLOOKUP($E1377,'Product Naming'!$A$1:$P$58,13,FALSE)</f>
        <v>400.5</v>
      </c>
      <c r="AE1377" s="1" t="str">
        <f>VLOOKUP($E1377,'Product Naming'!$A$1:$P$58,14,FALSE)</f>
        <v>Aromatic + Alcohol + Carboxylate</v>
      </c>
      <c r="AF1377" s="1" t="str">
        <f>VLOOKUP($E1377,'Product Naming'!$A$1:$P$58,15,FALSE)</f>
        <v>PEP + E4P (Glyceraldehyde 3-P)</v>
      </c>
      <c r="AG1377" s="30" t="str">
        <f>VLOOKUP($E1377,'Product Naming'!$A$1:$P$58,16,FALSE)</f>
        <v>Proton symporter</v>
      </c>
      <c r="AH1377" s="3" t="str">
        <f>VLOOKUP($E1377,'Product Naming'!$A$1:$Q$58,17,FALSE)</f>
        <v>skm_c</v>
      </c>
      <c r="AI1377" s="1">
        <f>VLOOKUP($E1377,'Product Parameters'!$A$2:$D$59,2,FALSE)</f>
        <v>1</v>
      </c>
      <c r="AJ1377" s="1">
        <f>VLOOKUP($E1377,'Product Parameters'!$A$2:$D$59,3,FALSE)</f>
        <v>0</v>
      </c>
      <c r="AK1377" s="1">
        <f>VLOOKUP($E1377,'Product Parameters'!$A$2:$D$59,4,FALSE)</f>
        <v>0.12</v>
      </c>
      <c r="AL1377" s="1">
        <f>VLOOKUP($E1377,'Product Parameters'!$A$2:$E$59,5,FALSE)</f>
        <v>40.65</v>
      </c>
      <c r="AM1377" s="1">
        <f>VLOOKUP($E1377,'Product Parameters'!$A$2:$F$59,6,FALSE)</f>
        <v>7</v>
      </c>
      <c r="AN1377" s="1">
        <f>VLOOKUP($C1377,'Substrate Heating'!$A$2:$C$33,3,FALSE)</f>
        <v>1648.4793779999998</v>
      </c>
      <c r="AO1377" s="1">
        <f>VLOOKUP($C1377,'Substrate Heating'!$A$2:$B$33,2,FALSE)</f>
        <v>17.899999999999999</v>
      </c>
      <c r="AP1377" s="1">
        <f>VLOOKUP($C1377,'Substrate Heating'!$A$2:$M$33,13,FALSE)</f>
        <v>4.666666666666667</v>
      </c>
      <c r="AQ1377" s="1">
        <f>VLOOKUP($C1377,'Substrate Heating'!$A$2:$M$33,8,FALSE)</f>
        <v>3</v>
      </c>
      <c r="AR1377" s="1">
        <f t="shared" si="21"/>
        <v>1.0561354581673303</v>
      </c>
    </row>
    <row r="1378" spans="1:44" x14ac:dyDescent="0.2">
      <c r="A1378" s="8" t="s">
        <v>812</v>
      </c>
      <c r="B1378" s="9" t="s">
        <v>35</v>
      </c>
      <c r="C1378" t="s">
        <v>813</v>
      </c>
      <c r="E1378" t="s">
        <v>175</v>
      </c>
      <c r="F1378" t="s">
        <v>176</v>
      </c>
      <c r="G1378">
        <v>-10</v>
      </c>
      <c r="H1378">
        <v>-20</v>
      </c>
      <c r="I1378">
        <v>0</v>
      </c>
      <c r="J1378">
        <v>3.15</v>
      </c>
      <c r="K1378">
        <v>-10</v>
      </c>
      <c r="L1378">
        <v>-14.7628630705394</v>
      </c>
      <c r="M1378">
        <v>0</v>
      </c>
      <c r="N1378">
        <v>2.0887966804979299</v>
      </c>
      <c r="O1378">
        <v>4.6518672199170101</v>
      </c>
      <c r="P1378"/>
      <c r="Q1378">
        <v>0.46518672199170102</v>
      </c>
      <c r="R1378">
        <v>0.85233689906344401</v>
      </c>
      <c r="S1378" s="1" t="str">
        <f>VLOOKUP($E1378,'Product Naming'!$A$1:$P$58,2,FALSE)</f>
        <v>Catechol</v>
      </c>
      <c r="T1378" s="1" t="str">
        <f>VLOOKUP($E1378,'Product Naming'!$A$1:$P$58,3,FALSE)</f>
        <v>Catechol</v>
      </c>
      <c r="U1378" s="1" t="str">
        <f>VLOOKUP($E1378,'Product Naming'!$A$1:$P$58,4,FALSE)</f>
        <v>E</v>
      </c>
      <c r="V1378" s="1" t="str">
        <f>VLOOKUP($E1378,'Product Naming'!$A$1:$P$58,5,FALSE)</f>
        <v>C6H6O2</v>
      </c>
      <c r="W1378" s="1">
        <f>VLOOKUP($E1378,'Product Naming'!$A$1:$P$58,6,FALSE)</f>
        <v>6</v>
      </c>
      <c r="X1378" s="1">
        <f>VLOOKUP($E1378,'Product Naming'!$A$1:$P$58,7,FALSE)</f>
        <v>6</v>
      </c>
      <c r="Y1378" s="1">
        <f>VLOOKUP($E1378,'Product Naming'!$A$1:$P$58,8,FALSE)</f>
        <v>2</v>
      </c>
      <c r="Z1378" s="1">
        <f>VLOOKUP($E1378,'Product Naming'!$A$1:$P$58,9,FALSE)</f>
        <v>0</v>
      </c>
      <c r="AA1378" s="1">
        <f>VLOOKUP($E1378,'Product Naming'!$A$1:$P$58,10,FALSE)</f>
        <v>0</v>
      </c>
      <c r="AB1378" s="29">
        <f>VLOOKUP($E1378,'Product Naming'!$A$1:$P$58,11,FALSE)</f>
        <v>4.333333333333333</v>
      </c>
      <c r="AC1378" s="3">
        <f>VLOOKUP($E1378,'Product Naming'!$A$1:$P$58,12,FALSE)</f>
        <v>110.10924</v>
      </c>
      <c r="AD1378" s="1">
        <f>VLOOKUP($E1378,'Product Naming'!$A$1:$P$58,13,FALSE)</f>
        <v>245</v>
      </c>
      <c r="AE1378" s="1" t="str">
        <f>VLOOKUP($E1378,'Product Naming'!$A$1:$P$58,14,FALSE)</f>
        <v>Aromatic + Diol</v>
      </c>
      <c r="AF1378" s="1" t="str">
        <f>VLOOKUP($E1378,'Product Naming'!$A$1:$P$58,15,FALSE)</f>
        <v>Glyceraldehyde 3-P</v>
      </c>
      <c r="AG1378" s="30" t="str">
        <f>VLOOKUP($E1378,'Product Naming'!$A$1:$P$58,16,FALSE)</f>
        <v>Proton symporter</v>
      </c>
      <c r="AH1378" s="3" t="str">
        <f>VLOOKUP($E1378,'Product Naming'!$A$1:$Q$58,17,FALSE)</f>
        <v>catechol_c</v>
      </c>
      <c r="AI1378" s="1">
        <f>VLOOKUP($E1378,'Product Parameters'!$A$2:$D$59,2,FALSE)</f>
        <v>1</v>
      </c>
      <c r="AJ1378" s="1">
        <f>VLOOKUP($E1378,'Product Parameters'!$A$2:$D$59,3,FALSE)</f>
        <v>0</v>
      </c>
      <c r="AK1378" s="1">
        <f>VLOOKUP($E1378,'Product Parameters'!$A$2:$D$59,4,FALSE)</f>
        <v>0.12</v>
      </c>
      <c r="AL1378" s="1">
        <f>VLOOKUP($E1378,'Product Parameters'!$A$2:$E$59,5,FALSE)</f>
        <v>40.65</v>
      </c>
      <c r="AM1378" s="1">
        <f>VLOOKUP($E1378,'Product Parameters'!$A$2:$F$59,6,FALSE)</f>
        <v>6</v>
      </c>
      <c r="AN1378" s="1">
        <f>VLOOKUP($C1378,'Substrate Heating'!$A$2:$C$33,3,FALSE)</f>
        <v>1843.720736</v>
      </c>
      <c r="AO1378" s="1">
        <f>VLOOKUP($C1378,'Substrate Heating'!$A$2:$B$33,2,FALSE)</f>
        <v>30.68</v>
      </c>
      <c r="AP1378" s="1">
        <f>VLOOKUP($C1378,'Substrate Heating'!$A$2:$M$33,13,FALSE)</f>
        <v>6</v>
      </c>
      <c r="AQ1378" s="1">
        <f>VLOOKUP($C1378,'Substrate Heating'!$A$2:$M$33,8,FALSE)</f>
        <v>3</v>
      </c>
      <c r="AR1378" s="1">
        <f t="shared" si="21"/>
        <v>0.93037344398340205</v>
      </c>
    </row>
    <row r="1379" spans="1:44" x14ac:dyDescent="0.2">
      <c r="A1379" s="8" t="s">
        <v>812</v>
      </c>
      <c r="B1379" s="9" t="s">
        <v>35</v>
      </c>
      <c r="C1379" t="s">
        <v>813</v>
      </c>
      <c r="E1379" t="s">
        <v>240</v>
      </c>
      <c r="F1379" t="s">
        <v>241</v>
      </c>
      <c r="G1379">
        <v>-10</v>
      </c>
      <c r="H1379">
        <v>-20</v>
      </c>
      <c r="I1379">
        <v>0</v>
      </c>
      <c r="J1379">
        <v>3.15</v>
      </c>
      <c r="K1379">
        <v>-10</v>
      </c>
      <c r="L1379">
        <v>-9.2657718120805299</v>
      </c>
      <c r="M1379">
        <v>0</v>
      </c>
      <c r="N1379">
        <v>6.1771812080536899</v>
      </c>
      <c r="O1379">
        <v>5.9557046979865698</v>
      </c>
      <c r="P1379"/>
      <c r="Q1379">
        <v>0.59557046979865702</v>
      </c>
      <c r="R1379">
        <v>0.85359597067954196</v>
      </c>
      <c r="S1379" s="1" t="str">
        <f>VLOOKUP($E1379,'Product Naming'!$A$1:$P$58,2,FALSE)</f>
        <v>Isobutanol</v>
      </c>
      <c r="T1379" s="1" t="str">
        <f>VLOOKUP($E1379,'Product Naming'!$A$1:$P$58,3,FALSE)</f>
        <v>Isobutanol</v>
      </c>
      <c r="U1379" s="1" t="str">
        <f>VLOOKUP($E1379,'Product Naming'!$A$1:$P$58,4,FALSE)</f>
        <v>E</v>
      </c>
      <c r="V1379" s="1" t="str">
        <f>VLOOKUP($E1379,'Product Naming'!$A$1:$P$58,5,FALSE)</f>
        <v>C5H10O</v>
      </c>
      <c r="W1379" s="1">
        <f>VLOOKUP($E1379,'Product Naming'!$A$1:$P$58,6,FALSE)</f>
        <v>5</v>
      </c>
      <c r="X1379" s="1">
        <f>VLOOKUP($E1379,'Product Naming'!$A$1:$P$58,7,FALSE)</f>
        <v>10</v>
      </c>
      <c r="Y1379" s="1">
        <f>VLOOKUP($E1379,'Product Naming'!$A$1:$P$58,8,FALSE)</f>
        <v>1</v>
      </c>
      <c r="Z1379" s="1">
        <f>VLOOKUP($E1379,'Product Naming'!$A$1:$P$58,9,FALSE)</f>
        <v>0</v>
      </c>
      <c r="AA1379" s="1">
        <f>VLOOKUP($E1379,'Product Naming'!$A$1:$P$58,10,FALSE)</f>
        <v>0</v>
      </c>
      <c r="AB1379" s="29">
        <f>VLOOKUP($E1379,'Product Naming'!$A$1:$P$58,11,FALSE)</f>
        <v>5.6</v>
      </c>
      <c r="AC1379" s="3">
        <f>VLOOKUP($E1379,'Product Naming'!$A$1:$P$58,12,FALSE)</f>
        <v>86.130899999999997</v>
      </c>
      <c r="AD1379" s="1">
        <f>VLOOKUP($E1379,'Product Naming'!$A$1:$P$58,13,FALSE)</f>
        <v>108</v>
      </c>
      <c r="AE1379" s="1" t="str">
        <f>VLOOKUP($E1379,'Product Naming'!$A$1:$P$58,14,FALSE)</f>
        <v>Alcohol</v>
      </c>
      <c r="AF1379" s="1" t="str">
        <f>VLOOKUP($E1379,'Product Naming'!$A$1:$P$58,15,FALSE)</f>
        <v>Pyruvate</v>
      </c>
      <c r="AG1379" s="30" t="str">
        <f>VLOOKUP($E1379,'Product Naming'!$A$1:$P$58,16,FALSE)</f>
        <v>Proton symporter</v>
      </c>
      <c r="AH1379" s="3" t="str">
        <f>VLOOKUP($E1379,'Product Naming'!$A$1:$Q$58,17,FALSE)</f>
        <v>ibutoh_c</v>
      </c>
      <c r="AI1379" s="1">
        <f>VLOOKUP($E1379,'Product Parameters'!$A$2:$D$59,2,FALSE)</f>
        <v>1</v>
      </c>
      <c r="AJ1379" s="1">
        <f>VLOOKUP($E1379,'Product Parameters'!$A$2:$D$59,3,FALSE)</f>
        <v>0</v>
      </c>
      <c r="AK1379" s="1">
        <f>VLOOKUP($E1379,'Product Parameters'!$A$2:$D$59,4,FALSE)</f>
        <v>0.12</v>
      </c>
      <c r="AL1379" s="1">
        <f>VLOOKUP($E1379,'Product Parameters'!$A$2:$E$59,5,FALSE)</f>
        <v>51</v>
      </c>
      <c r="AM1379" s="1">
        <f>VLOOKUP($E1379,'Product Parameters'!$A$2:$F$59,6,FALSE)</f>
        <v>5</v>
      </c>
      <c r="AN1379" s="1">
        <f>VLOOKUP($C1379,'Substrate Heating'!$A$2:$C$33,3,FALSE)</f>
        <v>1843.720736</v>
      </c>
      <c r="AO1379" s="1">
        <f>VLOOKUP($C1379,'Substrate Heating'!$A$2:$B$33,2,FALSE)</f>
        <v>30.68</v>
      </c>
      <c r="AP1379" s="1">
        <f>VLOOKUP($C1379,'Substrate Heating'!$A$2:$M$33,13,FALSE)</f>
        <v>6</v>
      </c>
      <c r="AQ1379" s="1">
        <f>VLOOKUP($C1379,'Substrate Heating'!$A$2:$M$33,8,FALSE)</f>
        <v>3</v>
      </c>
      <c r="AR1379" s="1">
        <f t="shared" si="21"/>
        <v>0.99261744966442844</v>
      </c>
    </row>
    <row r="1380" spans="1:44" x14ac:dyDescent="0.2">
      <c r="A1380" s="17" t="s">
        <v>185</v>
      </c>
      <c r="B1380" s="9" t="s">
        <v>35</v>
      </c>
      <c r="C1380" t="s">
        <v>330</v>
      </c>
      <c r="D1380" s="10" t="s">
        <v>37</v>
      </c>
      <c r="E1380" t="s">
        <v>215</v>
      </c>
      <c r="F1380" t="s">
        <v>216</v>
      </c>
      <c r="G1380">
        <v>-10</v>
      </c>
      <c r="H1380">
        <v>-20</v>
      </c>
      <c r="I1380" s="1" t="s">
        <v>40</v>
      </c>
      <c r="J1380">
        <v>3.15</v>
      </c>
      <c r="K1380">
        <v>-10</v>
      </c>
      <c r="L1380">
        <v>-8.6320895522388099</v>
      </c>
      <c r="M1380" s="1" t="s">
        <v>40</v>
      </c>
      <c r="N1380">
        <v>1.8134328358209</v>
      </c>
      <c r="O1380">
        <v>3.6373134328358199</v>
      </c>
      <c r="P1380"/>
      <c r="Q1380">
        <v>0.36373134328358198</v>
      </c>
      <c r="R1380">
        <v>0.85630922771010198</v>
      </c>
      <c r="S1380" s="1" t="str">
        <f>VLOOKUP($E1380,'Product Naming'!$A$1:$P$58,2,FALSE)</f>
        <v>Glutamate_L</v>
      </c>
      <c r="T1380" s="1" t="str">
        <f>VLOOKUP($E1380,'Product Naming'!$A$1:$P$58,3,FALSE)</f>
        <v>L-Glutamate</v>
      </c>
      <c r="U1380" s="1" t="str">
        <f>VLOOKUP($E1380,'Product Naming'!$A$1:$P$58,4,FALSE)</f>
        <v>iJO1366</v>
      </c>
      <c r="V1380" s="1" t="str">
        <f>VLOOKUP($E1380,'Product Naming'!$A$1:$P$58,5,FALSE)</f>
        <v>C5H8NO4</v>
      </c>
      <c r="W1380" s="1">
        <f>VLOOKUP($E1380,'Product Naming'!$A$1:$P$58,6,FALSE)</f>
        <v>5</v>
      </c>
      <c r="X1380" s="1">
        <f>VLOOKUP($E1380,'Product Naming'!$A$1:$P$58,7,FALSE)</f>
        <v>8</v>
      </c>
      <c r="Y1380" s="1">
        <f>VLOOKUP($E1380,'Product Naming'!$A$1:$P$58,8,FALSE)</f>
        <v>4</v>
      </c>
      <c r="Z1380" s="1">
        <f>VLOOKUP($E1380,'Product Naming'!$A$1:$P$58,9,FALSE)</f>
        <v>1</v>
      </c>
      <c r="AA1380" s="1">
        <f>VLOOKUP($E1380,'Product Naming'!$A$1:$P$58,10,FALSE)</f>
        <v>-1</v>
      </c>
      <c r="AB1380" s="29">
        <f>VLOOKUP($E1380,'Product Naming'!$A$1:$P$58,11,FALSE)</f>
        <v>3.4</v>
      </c>
      <c r="AC1380" s="3">
        <f>VLOOKUP($E1380,'Product Naming'!$A$1:$P$58,12,FALSE)</f>
        <v>146.11892</v>
      </c>
      <c r="AD1380" s="1">
        <f>VLOOKUP($E1380,'Product Naming'!$A$1:$P$58,13,FALSE)</f>
        <v>333.8</v>
      </c>
      <c r="AE1380" s="1" t="str">
        <f>VLOOKUP($E1380,'Product Naming'!$A$1:$P$58,14,FALSE)</f>
        <v>Amino acid</v>
      </c>
      <c r="AF1380" s="1" t="str">
        <f>VLOOKUP($E1380,'Product Naming'!$A$1:$P$58,15,FALSE)</f>
        <v>aKG</v>
      </c>
      <c r="AG1380" s="30" t="str">
        <f>VLOOKUP($E1380,'Product Naming'!$A$1:$P$58,16,FALSE)</f>
        <v>Proton symporter</v>
      </c>
      <c r="AH1380" s="3" t="str">
        <f>VLOOKUP($E1380,'Product Naming'!$A$1:$Q$58,17,FALSE)</f>
        <v>glu__L_c</v>
      </c>
      <c r="AI1380" s="1">
        <f>VLOOKUP($E1380,'Product Parameters'!$A$2:$D$59,2,FALSE)</f>
        <v>1</v>
      </c>
      <c r="AJ1380" s="1">
        <f>VLOOKUP($E1380,'Product Parameters'!$A$2:$D$59,3,FALSE)</f>
        <v>0</v>
      </c>
      <c r="AK1380" s="1">
        <f>VLOOKUP($E1380,'Product Parameters'!$A$2:$D$59,4,FALSE)</f>
        <v>0.12</v>
      </c>
      <c r="AL1380" s="1">
        <f>VLOOKUP($E1380,'Product Parameters'!$A$2:$E$59,5,FALSE)</f>
        <v>40.65</v>
      </c>
      <c r="AM1380" s="1">
        <f>VLOOKUP($E1380,'Product Parameters'!$A$2:$F$59,6,FALSE)</f>
        <v>5</v>
      </c>
      <c r="AN1380" s="1">
        <f>VLOOKUP($C1380,'Substrate Heating'!$A$2:$C$33,3,FALSE)</f>
        <v>1055.1294800000001</v>
      </c>
      <c r="AO1380" s="1">
        <f>VLOOKUP($C1380,'Substrate Heating'!$A$2:$B$33,2,FALSE)</f>
        <v>17</v>
      </c>
      <c r="AP1380" s="1">
        <f>VLOOKUP($C1380,'Substrate Heating'!$A$2:$M$33,13,FALSE)</f>
        <v>5</v>
      </c>
      <c r="AQ1380" s="1">
        <f>VLOOKUP($C1380,'Substrate Heating'!$A$2:$M$33,8,FALSE)</f>
        <v>2</v>
      </c>
      <c r="AR1380" s="1">
        <f t="shared" si="21"/>
        <v>0.90932835820895497</v>
      </c>
    </row>
    <row r="1381" spans="1:44" x14ac:dyDescent="0.2">
      <c r="A1381" s="8" t="s">
        <v>34</v>
      </c>
      <c r="B1381" s="9" t="s">
        <v>35</v>
      </c>
      <c r="C1381" s="1" t="s">
        <v>36</v>
      </c>
      <c r="D1381" s="10" t="s">
        <v>37</v>
      </c>
      <c r="E1381" s="1" t="s">
        <v>52</v>
      </c>
      <c r="F1381" s="1" t="s">
        <v>53</v>
      </c>
      <c r="G1381" s="1">
        <v>-10</v>
      </c>
      <c r="H1381" s="1">
        <v>-20</v>
      </c>
      <c r="I1381" s="1" t="s">
        <v>40</v>
      </c>
      <c r="J1381" s="1">
        <v>3.15</v>
      </c>
      <c r="K1381" s="1">
        <v>-10</v>
      </c>
      <c r="L1381" s="1">
        <v>-5.1405405405405498</v>
      </c>
      <c r="M1381" s="1" t="s">
        <v>40</v>
      </c>
      <c r="N1381" s="1">
        <v>5.1054054054054196</v>
      </c>
      <c r="O1381" s="1">
        <v>4.9648648648648699</v>
      </c>
      <c r="Q1381" s="1">
        <v>0.49648648648648702</v>
      </c>
      <c r="R1381" s="1">
        <v>0.85813308155580603</v>
      </c>
      <c r="S1381" s="1" t="str">
        <f>VLOOKUP($E1381,'Product Naming'!$A$1:$P$58,2,FALSE)</f>
        <v>1-3-Diaminopropane</v>
      </c>
      <c r="T1381" s="1" t="str">
        <f>VLOOKUP($E1381,'Product Naming'!$A$1:$P$58,3,FALSE)</f>
        <v>1,3-Diaminopropane</v>
      </c>
      <c r="U1381" s="1" t="str">
        <f>VLOOKUP($E1381,'Product Naming'!$A$1:$P$58,4,FALSE)</f>
        <v>A</v>
      </c>
      <c r="V1381" s="1" t="str">
        <f>VLOOKUP($E1381,'Product Naming'!$A$1:$P$58,5,FALSE)</f>
        <v>C3H12N2</v>
      </c>
      <c r="W1381" s="1">
        <f>VLOOKUP($E1381,'Product Naming'!$A$1:$P$58,6,FALSE)</f>
        <v>3</v>
      </c>
      <c r="X1381" s="1">
        <f>VLOOKUP($E1381,'Product Naming'!$A$1:$P$58,7,FALSE)</f>
        <v>12</v>
      </c>
      <c r="Y1381" s="1">
        <f>VLOOKUP($E1381,'Product Naming'!$A$1:$P$58,8,FALSE)</f>
        <v>0</v>
      </c>
      <c r="Z1381" s="1">
        <f>VLOOKUP($E1381,'Product Naming'!$A$1:$P$58,9,FALSE)</f>
        <v>2</v>
      </c>
      <c r="AA1381" s="1">
        <f>VLOOKUP($E1381,'Product Naming'!$A$1:$P$58,10,FALSE)</f>
        <v>2</v>
      </c>
      <c r="AB1381" s="29">
        <f>VLOOKUP($E1381,'Product Naming'!$A$1:$P$58,11,FALSE)</f>
        <v>6</v>
      </c>
      <c r="AC1381" s="3">
        <f>VLOOKUP($E1381,'Product Naming'!$A$1:$P$58,12,FALSE)</f>
        <v>76.139580000000009</v>
      </c>
      <c r="AD1381" s="1">
        <f>VLOOKUP($E1381,'Product Naming'!$A$1:$P$58,13,FALSE)</f>
        <v>139.30000000000001</v>
      </c>
      <c r="AE1381" s="1" t="str">
        <f>VLOOKUP($E1381,'Product Naming'!$A$1:$P$58,14,FALSE)</f>
        <v>Diamine</v>
      </c>
      <c r="AF1381" s="1" t="str">
        <f>VLOOKUP($E1381,'Product Naming'!$A$1:$P$58,15,FALSE)</f>
        <v>Oxaloacetate + aKG</v>
      </c>
      <c r="AG1381" s="30" t="str">
        <f>VLOOKUP($E1381,'Product Naming'!$A$1:$P$58,16,FALSE)</f>
        <v>Proton symporter</v>
      </c>
      <c r="AH1381" s="3" t="str">
        <f>VLOOKUP($E1381,'Product Naming'!$A$1:$Q$58,17,FALSE)</f>
        <v>13dampp_c</v>
      </c>
      <c r="AI1381" s="1">
        <f>VLOOKUP($E1381,'Product Parameters'!$A$2:$D$59,2,FALSE)</f>
        <v>1</v>
      </c>
      <c r="AJ1381" s="1">
        <f>VLOOKUP($E1381,'Product Parameters'!$A$2:$D$59,3,FALSE)</f>
        <v>0</v>
      </c>
      <c r="AK1381" s="1">
        <f>VLOOKUP($E1381,'Product Parameters'!$A$2:$D$59,4,FALSE)</f>
        <v>0.12</v>
      </c>
      <c r="AL1381" s="1">
        <f>VLOOKUP($E1381,'Product Parameters'!$A$2:$E$59,5,FALSE)</f>
        <v>50.18</v>
      </c>
      <c r="AM1381" s="1">
        <f>VLOOKUP($E1381,'Product Parameters'!$A$2:$F$59,6,FALSE)</f>
        <v>3</v>
      </c>
      <c r="AN1381" s="1">
        <f>VLOOKUP($C1381,'Substrate Heating'!$A$2:$C$33,3,FALSE)</f>
        <v>1064.1143145599999</v>
      </c>
      <c r="AO1381" s="1">
        <f>VLOOKUP($C1381,'Substrate Heating'!$A$2:$B$33,2,FALSE)</f>
        <v>24.155999999999999</v>
      </c>
      <c r="AP1381" s="1">
        <f>VLOOKUP($C1381,'Substrate Heating'!$A$2:$M$33,13,FALSE)</f>
        <v>5</v>
      </c>
      <c r="AQ1381" s="1">
        <f>VLOOKUP($C1381,'Substrate Heating'!$A$2:$M$33,8,FALSE)</f>
        <v>2</v>
      </c>
      <c r="AR1381" s="1">
        <f t="shared" si="21"/>
        <v>0.74472972972973051</v>
      </c>
    </row>
    <row r="1382" spans="1:44" x14ac:dyDescent="0.2">
      <c r="A1382" s="8" t="s">
        <v>34</v>
      </c>
      <c r="B1382" s="9" t="s">
        <v>35</v>
      </c>
      <c r="C1382" s="1" t="s">
        <v>332</v>
      </c>
      <c r="D1382" s="10" t="s">
        <v>37</v>
      </c>
      <c r="E1382" s="1" t="s">
        <v>240</v>
      </c>
      <c r="F1382" s="1" t="s">
        <v>241</v>
      </c>
      <c r="G1382" s="1">
        <v>-10</v>
      </c>
      <c r="H1382" s="1">
        <v>-20</v>
      </c>
      <c r="I1382" s="1" t="s">
        <v>40</v>
      </c>
      <c r="J1382" s="1">
        <v>3.15</v>
      </c>
      <c r="K1382" s="1">
        <v>-10</v>
      </c>
      <c r="L1382" s="1">
        <v>-2.3747368421052601</v>
      </c>
      <c r="M1382" s="1" t="s">
        <v>40</v>
      </c>
      <c r="N1382" s="1">
        <v>1.5831578947368601</v>
      </c>
      <c r="O1382" s="1">
        <v>4.6042105263158</v>
      </c>
      <c r="Q1382" s="1">
        <v>0.46042105263158001</v>
      </c>
      <c r="R1382" s="1">
        <v>0.86083532408367702</v>
      </c>
      <c r="S1382" s="1" t="str">
        <f>VLOOKUP($E1382,'Product Naming'!$A$1:$P$58,2,FALSE)</f>
        <v>Isobutanol</v>
      </c>
      <c r="T1382" s="1" t="str">
        <f>VLOOKUP($E1382,'Product Naming'!$A$1:$P$58,3,FALSE)</f>
        <v>Isobutanol</v>
      </c>
      <c r="U1382" s="1" t="str">
        <f>VLOOKUP($E1382,'Product Naming'!$A$1:$P$58,4,FALSE)</f>
        <v>E</v>
      </c>
      <c r="V1382" s="1" t="str">
        <f>VLOOKUP($E1382,'Product Naming'!$A$1:$P$58,5,FALSE)</f>
        <v>C5H10O</v>
      </c>
      <c r="W1382" s="1">
        <f>VLOOKUP($E1382,'Product Naming'!$A$1:$P$58,6,FALSE)</f>
        <v>5</v>
      </c>
      <c r="X1382" s="1">
        <f>VLOOKUP($E1382,'Product Naming'!$A$1:$P$58,7,FALSE)</f>
        <v>10</v>
      </c>
      <c r="Y1382" s="1">
        <f>VLOOKUP($E1382,'Product Naming'!$A$1:$P$58,8,FALSE)</f>
        <v>1</v>
      </c>
      <c r="Z1382" s="1">
        <f>VLOOKUP($E1382,'Product Naming'!$A$1:$P$58,9,FALSE)</f>
        <v>0</v>
      </c>
      <c r="AA1382" s="1">
        <f>VLOOKUP($E1382,'Product Naming'!$A$1:$P$58,10,FALSE)</f>
        <v>0</v>
      </c>
      <c r="AB1382" s="29">
        <f>VLOOKUP($E1382,'Product Naming'!$A$1:$P$58,11,FALSE)</f>
        <v>5.6</v>
      </c>
      <c r="AC1382" s="3">
        <f>VLOOKUP($E1382,'Product Naming'!$A$1:$P$58,12,FALSE)</f>
        <v>86.130899999999997</v>
      </c>
      <c r="AD1382" s="1">
        <f>VLOOKUP($E1382,'Product Naming'!$A$1:$P$58,13,FALSE)</f>
        <v>108</v>
      </c>
      <c r="AE1382" s="1" t="str">
        <f>VLOOKUP($E1382,'Product Naming'!$A$1:$P$58,14,FALSE)</f>
        <v>Alcohol</v>
      </c>
      <c r="AF1382" s="1" t="str">
        <f>VLOOKUP($E1382,'Product Naming'!$A$1:$P$58,15,FALSE)</f>
        <v>Pyruvate</v>
      </c>
      <c r="AG1382" s="30" t="str">
        <f>VLOOKUP($E1382,'Product Naming'!$A$1:$P$58,16,FALSE)</f>
        <v>Proton symporter</v>
      </c>
      <c r="AH1382" s="3" t="str">
        <f>VLOOKUP($E1382,'Product Naming'!$A$1:$Q$58,17,FALSE)</f>
        <v>ibutoh_c</v>
      </c>
      <c r="AI1382" s="1">
        <f>VLOOKUP($E1382,'Product Parameters'!$A$2:$D$59,2,FALSE)</f>
        <v>1</v>
      </c>
      <c r="AJ1382" s="1">
        <f>VLOOKUP($E1382,'Product Parameters'!$A$2:$D$59,3,FALSE)</f>
        <v>0</v>
      </c>
      <c r="AK1382" s="1">
        <f>VLOOKUP($E1382,'Product Parameters'!$A$2:$D$59,4,FALSE)</f>
        <v>0.12</v>
      </c>
      <c r="AL1382" s="1">
        <f>VLOOKUP($E1382,'Product Parameters'!$A$2:$E$59,5,FALSE)</f>
        <v>51</v>
      </c>
      <c r="AM1382" s="1">
        <f>VLOOKUP($E1382,'Product Parameters'!$A$2:$F$59,6,FALSE)</f>
        <v>5</v>
      </c>
      <c r="AN1382" s="1">
        <f>VLOOKUP($C1382,'Substrate Heating'!$A$2:$C$33,3,FALSE)</f>
        <v>1230.0006480000002</v>
      </c>
      <c r="AO1382" s="1">
        <f>VLOOKUP($C1382,'Substrate Heating'!$A$2:$B$33,2,FALSE)</f>
        <v>26.7</v>
      </c>
      <c r="AP1382" s="1">
        <f>VLOOKUP($C1382,'Substrate Heating'!$A$2:$M$33,13,FALSE)</f>
        <v>6</v>
      </c>
      <c r="AQ1382" s="1">
        <f>VLOOKUP($C1382,'Substrate Heating'!$A$2:$M$33,8,FALSE)</f>
        <v>2</v>
      </c>
      <c r="AR1382" s="1">
        <f t="shared" si="21"/>
        <v>1.15105263157895</v>
      </c>
    </row>
    <row r="1383" spans="1:44" x14ac:dyDescent="0.2">
      <c r="A1383" s="8" t="s">
        <v>812</v>
      </c>
      <c r="B1383" s="9" t="s">
        <v>35</v>
      </c>
      <c r="C1383" t="s">
        <v>813</v>
      </c>
      <c r="E1383" t="s">
        <v>192</v>
      </c>
      <c r="F1383" t="s">
        <v>193</v>
      </c>
      <c r="G1383">
        <v>-10</v>
      </c>
      <c r="H1383">
        <v>-20</v>
      </c>
      <c r="I1383">
        <v>0</v>
      </c>
      <c r="J1383">
        <v>3.15</v>
      </c>
      <c r="K1383">
        <v>-10</v>
      </c>
      <c r="L1383">
        <v>-14.871428571428501</v>
      </c>
      <c r="M1383">
        <v>0</v>
      </c>
      <c r="N1383">
        <v>1.45714285714285</v>
      </c>
      <c r="O1383">
        <v>3.1714285714285699</v>
      </c>
      <c r="P1383"/>
      <c r="Q1383">
        <v>0.317142857142857</v>
      </c>
      <c r="R1383">
        <v>0.86098856385962796</v>
      </c>
      <c r="S1383" s="1" t="str">
        <f>VLOOKUP($E1383,'Product Naming'!$A$1:$P$58,2,FALSE)</f>
        <v>Coumaric acid</v>
      </c>
      <c r="T1383" s="1" t="str">
        <f>VLOOKUP($E1383,'Product Naming'!$A$1:$P$58,3,FALSE)</f>
        <v>Coumaric acid</v>
      </c>
      <c r="U1383" s="1" t="str">
        <f>VLOOKUP($E1383,'Product Naming'!$A$1:$P$58,4,FALSE)</f>
        <v>E</v>
      </c>
      <c r="V1383" s="1" t="str">
        <f>VLOOKUP($E1383,'Product Naming'!$A$1:$P$58,5,FALSE)</f>
        <v>C9H7O3</v>
      </c>
      <c r="W1383" s="1">
        <f>VLOOKUP($E1383,'Product Naming'!$A$1:$P$58,6,FALSE)</f>
        <v>9</v>
      </c>
      <c r="X1383" s="1">
        <f>VLOOKUP($E1383,'Product Naming'!$A$1:$P$58,7,FALSE)</f>
        <v>7</v>
      </c>
      <c r="Y1383" s="1">
        <f>VLOOKUP($E1383,'Product Naming'!$A$1:$P$58,8,FALSE)</f>
        <v>3</v>
      </c>
      <c r="Z1383" s="1">
        <f>VLOOKUP($E1383,'Product Naming'!$A$1:$P$58,9,FALSE)</f>
        <v>0</v>
      </c>
      <c r="AA1383" s="1">
        <f>VLOOKUP($E1383,'Product Naming'!$A$1:$P$58,10,FALSE)</f>
        <v>-1</v>
      </c>
      <c r="AB1383" s="29">
        <f>VLOOKUP($E1383,'Product Naming'!$A$1:$P$58,11,FALSE)</f>
        <v>4.1111111111111107</v>
      </c>
      <c r="AC1383" s="3">
        <f>VLOOKUP($E1383,'Product Naming'!$A$1:$P$58,12,FALSE)</f>
        <v>163.14818</v>
      </c>
      <c r="AD1383" s="1">
        <f>VLOOKUP($E1383,'Product Naming'!$A$1:$P$58,13,FALSE)</f>
        <v>346</v>
      </c>
      <c r="AE1383" s="1" t="str">
        <f>VLOOKUP($E1383,'Product Naming'!$A$1:$P$58,14,FALSE)</f>
        <v>Aromatic + Alcohol + Carboxylate</v>
      </c>
      <c r="AF1383" s="1" t="str">
        <f>VLOOKUP($E1383,'Product Naming'!$A$1:$P$58,15,FALSE)</f>
        <v>E4P + L-glutamate</v>
      </c>
      <c r="AG1383" s="30" t="str">
        <f>VLOOKUP($E1383,'Product Naming'!$A$1:$P$58,16,FALSE)</f>
        <v>Proton symporter</v>
      </c>
      <c r="AH1383" s="3" t="str">
        <f>VLOOKUP($E1383,'Product Naming'!$A$1:$Q$58,17,FALSE)</f>
        <v>T4hcinnm_c</v>
      </c>
      <c r="AI1383" s="1">
        <f>VLOOKUP($E1383,'Product Parameters'!$A$2:$D$59,2,FALSE)</f>
        <v>1</v>
      </c>
      <c r="AJ1383" s="1">
        <f>VLOOKUP($E1383,'Product Parameters'!$A$2:$D$59,3,FALSE)</f>
        <v>0</v>
      </c>
      <c r="AK1383" s="1">
        <f>VLOOKUP($E1383,'Product Parameters'!$A$2:$D$59,4,FALSE)</f>
        <v>0.12</v>
      </c>
      <c r="AL1383" s="1">
        <f>VLOOKUP($E1383,'Product Parameters'!$A$2:$E$59,5,FALSE)</f>
        <v>40.65</v>
      </c>
      <c r="AM1383" s="1">
        <f>VLOOKUP($E1383,'Product Parameters'!$A$2:$F$59,6,FALSE)</f>
        <v>9</v>
      </c>
      <c r="AN1383" s="1">
        <f>VLOOKUP($C1383,'Substrate Heating'!$A$2:$C$33,3,FALSE)</f>
        <v>1843.720736</v>
      </c>
      <c r="AO1383" s="1">
        <f>VLOOKUP($C1383,'Substrate Heating'!$A$2:$B$33,2,FALSE)</f>
        <v>30.68</v>
      </c>
      <c r="AP1383" s="1">
        <f>VLOOKUP($C1383,'Substrate Heating'!$A$2:$M$33,13,FALSE)</f>
        <v>6</v>
      </c>
      <c r="AQ1383" s="1">
        <f>VLOOKUP($C1383,'Substrate Heating'!$A$2:$M$33,8,FALSE)</f>
        <v>3</v>
      </c>
      <c r="AR1383" s="1">
        <f t="shared" si="21"/>
        <v>0.95142857142857107</v>
      </c>
    </row>
    <row r="1384" spans="1:44" x14ac:dyDescent="0.2">
      <c r="A1384" s="17" t="s">
        <v>185</v>
      </c>
      <c r="B1384" s="9" t="s">
        <v>35</v>
      </c>
      <c r="C1384" t="s">
        <v>322</v>
      </c>
      <c r="D1384" s="10" t="s">
        <v>37</v>
      </c>
      <c r="E1384" t="s">
        <v>318</v>
      </c>
      <c r="F1384" t="s">
        <v>319</v>
      </c>
      <c r="G1384">
        <v>-10</v>
      </c>
      <c r="H1384">
        <v>-20</v>
      </c>
      <c r="I1384" s="1" t="s">
        <v>40</v>
      </c>
      <c r="J1384">
        <v>3.15</v>
      </c>
      <c r="K1384">
        <v>-10</v>
      </c>
      <c r="L1384">
        <v>-4.6129629629629703</v>
      </c>
      <c r="M1384" s="1" t="s">
        <v>40</v>
      </c>
      <c r="N1384">
        <v>2.4148148148148199</v>
      </c>
      <c r="O1384">
        <v>4.3962962962962902</v>
      </c>
      <c r="P1384"/>
      <c r="Q1384">
        <v>0.43962962962962898</v>
      </c>
      <c r="R1384">
        <v>0.86425064092107495</v>
      </c>
      <c r="S1384" s="1" t="str">
        <f>VLOOKUP($E1384,'Product Naming'!$A$1:$P$58,2,FALSE)</f>
        <v>Succinate</v>
      </c>
      <c r="T1384" s="1" t="str">
        <f>VLOOKUP($E1384,'Product Naming'!$A$1:$P$58,3,FALSE)</f>
        <v>Succinate</v>
      </c>
      <c r="U1384" s="1" t="str">
        <f>VLOOKUP($E1384,'Product Naming'!$A$1:$P$58,4,FALSE)</f>
        <v>iJO1366</v>
      </c>
      <c r="V1384" s="1" t="str">
        <f>VLOOKUP($E1384,'Product Naming'!$A$1:$P$58,5,FALSE)</f>
        <v>C4H4O4</v>
      </c>
      <c r="W1384" s="1">
        <f>VLOOKUP($E1384,'Product Naming'!$A$1:$P$58,6,FALSE)</f>
        <v>4</v>
      </c>
      <c r="X1384" s="1">
        <f>VLOOKUP($E1384,'Product Naming'!$A$1:$P$58,7,FALSE)</f>
        <v>4</v>
      </c>
      <c r="Y1384" s="1">
        <f>VLOOKUP($E1384,'Product Naming'!$A$1:$P$58,8,FALSE)</f>
        <v>4</v>
      </c>
      <c r="Z1384" s="1">
        <f>VLOOKUP($E1384,'Product Naming'!$A$1:$P$58,9,FALSE)</f>
        <v>0</v>
      </c>
      <c r="AA1384" s="1">
        <f>VLOOKUP($E1384,'Product Naming'!$A$1:$P$58,10,FALSE)</f>
        <v>-2</v>
      </c>
      <c r="AB1384" s="29">
        <f>VLOOKUP($E1384,'Product Naming'!$A$1:$P$58,11,FALSE)</f>
        <v>3</v>
      </c>
      <c r="AC1384" s="3">
        <f>VLOOKUP($E1384,'Product Naming'!$A$1:$P$58,12,FALSE)</f>
        <v>116.07016</v>
      </c>
      <c r="AD1384" s="1">
        <f>VLOOKUP($E1384,'Product Naming'!$A$1:$P$58,13,FALSE)</f>
        <v>235</v>
      </c>
      <c r="AE1384" s="1" t="str">
        <f>VLOOKUP($E1384,'Product Naming'!$A$1:$P$58,14,FALSE)</f>
        <v>Dicarboxylate</v>
      </c>
      <c r="AF1384" s="1" t="str">
        <f>VLOOKUP($E1384,'Product Naming'!$A$1:$P$58,15,FALSE)</f>
        <v>Oxaloacetate</v>
      </c>
      <c r="AG1384" s="30" t="str">
        <f>VLOOKUP($E1384,'Product Naming'!$A$1:$P$58,16,FALSE)</f>
        <v>Proton symporter</v>
      </c>
      <c r="AH1384" s="3" t="str">
        <f>VLOOKUP($E1384,'Product Naming'!$A$1:$Q$58,17,FALSE)</f>
        <v>succ_c</v>
      </c>
      <c r="AI1384" s="1">
        <f>VLOOKUP($E1384,'Product Parameters'!$A$2:$D$59,2,FALSE)</f>
        <v>1</v>
      </c>
      <c r="AJ1384" s="1">
        <f>VLOOKUP($E1384,'Product Parameters'!$A$2:$D$59,3,FALSE)</f>
        <v>0</v>
      </c>
      <c r="AK1384" s="1">
        <f>VLOOKUP($E1384,'Product Parameters'!$A$2:$D$59,4,FALSE)</f>
        <v>0.12</v>
      </c>
      <c r="AL1384" s="1">
        <f>VLOOKUP($E1384,'Product Parameters'!$A$2:$E$59,5,FALSE)</f>
        <v>40.65</v>
      </c>
      <c r="AM1384" s="1">
        <f>VLOOKUP($E1384,'Product Parameters'!$A$2:$F$59,6,FALSE)</f>
        <v>4</v>
      </c>
      <c r="AN1384" s="1">
        <f>VLOOKUP($C1384,'Substrate Heating'!$A$2:$C$33,3,FALSE)</f>
        <v>876.74109599999997</v>
      </c>
      <c r="AO1384" s="1">
        <f>VLOOKUP($C1384,'Substrate Heating'!$A$2:$B$33,2,FALSE)</f>
        <v>14.6</v>
      </c>
      <c r="AP1384" s="1">
        <f>VLOOKUP($C1384,'Substrate Heating'!$A$2:$M$33,13,FALSE)</f>
        <v>3.5</v>
      </c>
      <c r="AQ1384" s="1">
        <f>VLOOKUP($C1384,'Substrate Heating'!$A$2:$M$33,8,FALSE)</f>
        <v>2</v>
      </c>
      <c r="AR1384" s="1">
        <f t="shared" si="21"/>
        <v>0.87925925925925796</v>
      </c>
    </row>
    <row r="1385" spans="1:44" x14ac:dyDescent="0.2">
      <c r="A1385" s="8" t="s">
        <v>812</v>
      </c>
      <c r="B1385" s="18" t="s">
        <v>324</v>
      </c>
      <c r="C1385" t="s">
        <v>814</v>
      </c>
      <c r="E1385" t="s">
        <v>240</v>
      </c>
      <c r="F1385" t="s">
        <v>241</v>
      </c>
      <c r="G1385">
        <v>-10</v>
      </c>
      <c r="H1385">
        <v>0</v>
      </c>
      <c r="I1385">
        <v>-10</v>
      </c>
      <c r="J1385">
        <v>0.45</v>
      </c>
      <c r="K1385">
        <v>-4.9999999999999902</v>
      </c>
      <c r="L1385">
        <v>0</v>
      </c>
      <c r="M1385">
        <v>-10</v>
      </c>
      <c r="N1385">
        <v>0</v>
      </c>
      <c r="O1385">
        <v>1.25</v>
      </c>
      <c r="P1385"/>
      <c r="Q1385">
        <v>0.25</v>
      </c>
      <c r="R1385">
        <v>0.86670336172336704</v>
      </c>
      <c r="S1385" s="1" t="str">
        <f>VLOOKUP($E1385,'Product Naming'!$A$1:$P$58,2,FALSE)</f>
        <v>Isobutanol</v>
      </c>
      <c r="T1385" s="1" t="str">
        <f>VLOOKUP($E1385,'Product Naming'!$A$1:$P$58,3,FALSE)</f>
        <v>Isobutanol</v>
      </c>
      <c r="U1385" s="1" t="str">
        <f>VLOOKUP($E1385,'Product Naming'!$A$1:$P$58,4,FALSE)</f>
        <v>E</v>
      </c>
      <c r="V1385" s="1" t="str">
        <f>VLOOKUP($E1385,'Product Naming'!$A$1:$P$58,5,FALSE)</f>
        <v>C5H10O</v>
      </c>
      <c r="W1385" s="1">
        <f>VLOOKUP($E1385,'Product Naming'!$A$1:$P$58,6,FALSE)</f>
        <v>5</v>
      </c>
      <c r="X1385" s="1">
        <f>VLOOKUP($E1385,'Product Naming'!$A$1:$P$58,7,FALSE)</f>
        <v>10</v>
      </c>
      <c r="Y1385" s="1">
        <f>VLOOKUP($E1385,'Product Naming'!$A$1:$P$58,8,FALSE)</f>
        <v>1</v>
      </c>
      <c r="Z1385" s="1">
        <f>VLOOKUP($E1385,'Product Naming'!$A$1:$P$58,9,FALSE)</f>
        <v>0</v>
      </c>
      <c r="AA1385" s="1">
        <f>VLOOKUP($E1385,'Product Naming'!$A$1:$P$58,10,FALSE)</f>
        <v>0</v>
      </c>
      <c r="AB1385" s="29">
        <f>VLOOKUP($E1385,'Product Naming'!$A$1:$P$58,11,FALSE)</f>
        <v>5.6</v>
      </c>
      <c r="AC1385" s="3">
        <f>VLOOKUP($E1385,'Product Naming'!$A$1:$P$58,12,FALSE)</f>
        <v>86.130899999999997</v>
      </c>
      <c r="AD1385" s="1">
        <f>VLOOKUP($E1385,'Product Naming'!$A$1:$P$58,13,FALSE)</f>
        <v>108</v>
      </c>
      <c r="AE1385" s="1" t="str">
        <f>VLOOKUP($E1385,'Product Naming'!$A$1:$P$58,14,FALSE)</f>
        <v>Alcohol</v>
      </c>
      <c r="AF1385" s="1" t="str">
        <f>VLOOKUP($E1385,'Product Naming'!$A$1:$P$58,15,FALSE)</f>
        <v>Pyruvate</v>
      </c>
      <c r="AG1385" s="30" t="str">
        <f>VLOOKUP($E1385,'Product Naming'!$A$1:$P$58,16,FALSE)</f>
        <v>Proton symporter</v>
      </c>
      <c r="AH1385" s="3" t="str">
        <f>VLOOKUP($E1385,'Product Naming'!$A$1:$Q$58,17,FALSE)</f>
        <v>ibutoh_c</v>
      </c>
      <c r="AI1385" s="1">
        <f>VLOOKUP($E1385,'Product Parameters'!$A$2:$D$59,2,FALSE)</f>
        <v>1</v>
      </c>
      <c r="AJ1385" s="1">
        <f>VLOOKUP($E1385,'Product Parameters'!$A$2:$D$59,3,FALSE)</f>
        <v>0</v>
      </c>
      <c r="AK1385" s="1">
        <f>VLOOKUP($E1385,'Product Parameters'!$A$2:$D$59,4,FALSE)</f>
        <v>0.12</v>
      </c>
      <c r="AL1385" s="1">
        <f>VLOOKUP($E1385,'Product Parameters'!$A$2:$E$59,5,FALSE)</f>
        <v>51</v>
      </c>
      <c r="AM1385" s="1">
        <f>VLOOKUP($E1385,'Product Parameters'!$A$2:$F$59,6,FALSE)</f>
        <v>5</v>
      </c>
      <c r="AN1385" s="1">
        <f>VLOOKUP($C1385,'Substrate Heating'!$A$2:$C$33,3,FALSE)</f>
        <v>209.92000000000002</v>
      </c>
      <c r="AO1385" s="1">
        <f>VLOOKUP($C1385,'Substrate Heating'!$A$2:$B$33,2,FALSE)</f>
        <v>10.086540906516333</v>
      </c>
      <c r="AP1385" s="1">
        <f>VLOOKUP($C1385,'Substrate Heating'!$A$2:$M$33,13,FALSE)</f>
        <v>0.8</v>
      </c>
      <c r="AQ1385" s="1">
        <f>VLOOKUP($C1385,'Substrate Heating'!$A$2:$M$33,8,FALSE)</f>
        <v>0.8</v>
      </c>
      <c r="AR1385" s="1">
        <f t="shared" si="21"/>
        <v>1.5625</v>
      </c>
    </row>
    <row r="1386" spans="1:44" x14ac:dyDescent="0.2">
      <c r="A1386" s="8" t="s">
        <v>34</v>
      </c>
      <c r="B1386" s="9" t="s">
        <v>35</v>
      </c>
      <c r="C1386" s="1" t="s">
        <v>332</v>
      </c>
      <c r="D1386" s="10" t="s">
        <v>37</v>
      </c>
      <c r="E1386" s="1" t="s">
        <v>114</v>
      </c>
      <c r="F1386" s="1" t="s">
        <v>115</v>
      </c>
      <c r="G1386" s="1">
        <v>-10</v>
      </c>
      <c r="H1386" s="1">
        <v>-20</v>
      </c>
      <c r="I1386" s="1" t="s">
        <v>40</v>
      </c>
      <c r="J1386" s="1">
        <v>3.15</v>
      </c>
      <c r="K1386" s="1">
        <v>-10</v>
      </c>
      <c r="L1386" s="1">
        <v>-9.5399999999999991</v>
      </c>
      <c r="M1386" s="1" t="s">
        <v>40</v>
      </c>
      <c r="N1386" s="1">
        <v>2.9500000000000099</v>
      </c>
      <c r="O1386" s="1">
        <v>3.41</v>
      </c>
      <c r="Q1386" s="1">
        <v>0.34100000000000003</v>
      </c>
      <c r="R1386" s="1">
        <v>0.86712554550459098</v>
      </c>
      <c r="S1386" s="1" t="str">
        <f>VLOOKUP($E1386,'Product Naming'!$A$1:$P$58,2,FALSE)</f>
        <v>5-Aminopentanoate</v>
      </c>
      <c r="T1386" s="1" t="str">
        <f>VLOOKUP($E1386,'Product Naming'!$A$1:$P$58,3,FALSE)</f>
        <v>5-Aminopentanoate</v>
      </c>
      <c r="U1386" s="1" t="str">
        <f>VLOOKUP($E1386,'Product Naming'!$A$1:$P$58,4,FALSE)</f>
        <v>A</v>
      </c>
      <c r="V1386" s="1" t="str">
        <f>VLOOKUP($E1386,'Product Naming'!$A$1:$P$58,5,FALSE)</f>
        <v>C5H11NO2</v>
      </c>
      <c r="W1386" s="1">
        <f>VLOOKUP($E1386,'Product Naming'!$A$1:$P$58,6,FALSE)</f>
        <v>5</v>
      </c>
      <c r="X1386" s="1">
        <f>VLOOKUP($E1386,'Product Naming'!$A$1:$P$58,7,FALSE)</f>
        <v>11</v>
      </c>
      <c r="Y1386" s="1">
        <f>VLOOKUP($E1386,'Product Naming'!$A$1:$P$58,8,FALSE)</f>
        <v>2</v>
      </c>
      <c r="Z1386" s="1">
        <f>VLOOKUP($E1386,'Product Naming'!$A$1:$P$58,9,FALSE)</f>
        <v>1</v>
      </c>
      <c r="AA1386" s="1">
        <f>VLOOKUP($E1386,'Product Naming'!$A$1:$P$58,10,FALSE)</f>
        <v>0</v>
      </c>
      <c r="AB1386" s="29">
        <f>VLOOKUP($E1386,'Product Naming'!$A$1:$P$58,11,FALSE)</f>
        <v>4.8</v>
      </c>
      <c r="AC1386" s="3">
        <f>VLOOKUP($E1386,'Product Naming'!$A$1:$P$58,12,FALSE)</f>
        <v>117.14444</v>
      </c>
      <c r="AD1386" s="1">
        <f>VLOOKUP($E1386,'Product Naming'!$A$1:$P$58,13,FALSE)</f>
        <v>247.5</v>
      </c>
      <c r="AE1386" s="1" t="str">
        <f>VLOOKUP($E1386,'Product Naming'!$A$1:$P$58,14,FALSE)</f>
        <v>D-Amino Acid</v>
      </c>
      <c r="AF1386" s="1" t="str">
        <f>VLOOKUP($E1386,'Product Naming'!$A$1:$P$58,15,FALSE)</f>
        <v>Oxaloacetate</v>
      </c>
      <c r="AG1386" s="30" t="str">
        <f>VLOOKUP($E1386,'Product Naming'!$A$1:$P$58,16,FALSE)</f>
        <v>Proton symporter</v>
      </c>
      <c r="AH1386" s="3" t="str">
        <f>VLOOKUP($E1386,'Product Naming'!$A$1:$Q$58,17,FALSE)</f>
        <v>5aptn_c</v>
      </c>
      <c r="AI1386" s="1">
        <f>VLOOKUP($E1386,'Product Parameters'!$A$2:$D$59,2,FALSE)</f>
        <v>1</v>
      </c>
      <c r="AJ1386" s="1">
        <f>VLOOKUP($E1386,'Product Parameters'!$A$2:$D$59,3,FALSE)</f>
        <v>0</v>
      </c>
      <c r="AK1386" s="1">
        <f>VLOOKUP($E1386,'Product Parameters'!$A$2:$D$59,4,FALSE)</f>
        <v>0.12</v>
      </c>
      <c r="AL1386" s="1">
        <f>VLOOKUP($E1386,'Product Parameters'!$A$2:$E$59,5,FALSE)</f>
        <v>40.65</v>
      </c>
      <c r="AM1386" s="1">
        <f>VLOOKUP($E1386,'Product Parameters'!$A$2:$F$59,6,FALSE)</f>
        <v>5</v>
      </c>
      <c r="AN1386" s="1">
        <f>VLOOKUP($C1386,'Substrate Heating'!$A$2:$C$33,3,FALSE)</f>
        <v>1230.0006480000002</v>
      </c>
      <c r="AO1386" s="1">
        <f>VLOOKUP($C1386,'Substrate Heating'!$A$2:$B$33,2,FALSE)</f>
        <v>26.7</v>
      </c>
      <c r="AP1386" s="1">
        <f>VLOOKUP($C1386,'Substrate Heating'!$A$2:$M$33,13,FALSE)</f>
        <v>6</v>
      </c>
      <c r="AQ1386" s="1">
        <f>VLOOKUP($C1386,'Substrate Heating'!$A$2:$M$33,8,FALSE)</f>
        <v>2</v>
      </c>
      <c r="AR1386" s="1">
        <f t="shared" si="21"/>
        <v>0.85250000000000004</v>
      </c>
    </row>
    <row r="1387" spans="1:44" x14ac:dyDescent="0.2">
      <c r="A1387" s="8" t="s">
        <v>812</v>
      </c>
      <c r="B1387" s="18" t="s">
        <v>324</v>
      </c>
      <c r="C1387" t="s">
        <v>814</v>
      </c>
      <c r="E1387" t="s">
        <v>186</v>
      </c>
      <c r="F1387" t="s">
        <v>187</v>
      </c>
      <c r="G1387">
        <v>-10</v>
      </c>
      <c r="H1387">
        <v>0</v>
      </c>
      <c r="I1387">
        <v>-10</v>
      </c>
      <c r="J1387">
        <v>0.45</v>
      </c>
      <c r="K1387">
        <v>-10</v>
      </c>
      <c r="L1387">
        <v>0</v>
      </c>
      <c r="M1387">
        <v>-10</v>
      </c>
      <c r="N1387">
        <v>-1.5826086956522101</v>
      </c>
      <c r="O1387">
        <v>1.0550724637681399</v>
      </c>
      <c r="P1387"/>
      <c r="Q1387">
        <v>0.105507246376814</v>
      </c>
      <c r="R1387">
        <v>0.87395702124409103</v>
      </c>
      <c r="S1387" s="1" t="str">
        <f>VLOOKUP($E1387,'Product Naming'!$A$1:$P$58,2,FALSE)</f>
        <v>Citrate</v>
      </c>
      <c r="T1387" s="1" t="str">
        <f>VLOOKUP($E1387,'Product Naming'!$A$1:$P$58,3,FALSE)</f>
        <v>Citrate</v>
      </c>
      <c r="U1387" s="1" t="str">
        <f>VLOOKUP($E1387,'Product Naming'!$A$1:$P$58,4,FALSE)</f>
        <v>iJO1366</v>
      </c>
      <c r="V1387" s="1" t="str">
        <f>VLOOKUP($E1387,'Product Naming'!$A$1:$P$58,5,FALSE)</f>
        <v>C6H5O7</v>
      </c>
      <c r="W1387" s="1">
        <f>VLOOKUP($E1387,'Product Naming'!$A$1:$P$58,6,FALSE)</f>
        <v>6</v>
      </c>
      <c r="X1387" s="1">
        <f>VLOOKUP($E1387,'Product Naming'!$A$1:$P$58,7,FALSE)</f>
        <v>5</v>
      </c>
      <c r="Y1387" s="1">
        <f>VLOOKUP($E1387,'Product Naming'!$A$1:$P$58,8,FALSE)</f>
        <v>7</v>
      </c>
      <c r="Z1387" s="1">
        <f>VLOOKUP($E1387,'Product Naming'!$A$1:$P$58,9,FALSE)</f>
        <v>0</v>
      </c>
      <c r="AA1387" s="1">
        <f>VLOOKUP($E1387,'Product Naming'!$A$1:$P$58,10,FALSE)</f>
        <v>-3</v>
      </c>
      <c r="AB1387" s="29">
        <f>VLOOKUP($E1387,'Product Naming'!$A$1:$P$58,11,FALSE)</f>
        <v>2.5</v>
      </c>
      <c r="AC1387" s="3">
        <f>VLOOKUP($E1387,'Product Naming'!$A$1:$P$58,12,FALSE)</f>
        <v>189.09640000000002</v>
      </c>
      <c r="AD1387" s="1" t="str">
        <f>VLOOKUP($E1387,'Product Naming'!$A$1:$P$58,13,FALSE)</f>
        <v>NA</v>
      </c>
      <c r="AE1387" s="1" t="str">
        <f>VLOOKUP($E1387,'Product Naming'!$A$1:$P$58,14,FALSE)</f>
        <v>Tricarboxylate + Alcohol</v>
      </c>
      <c r="AF1387" s="1" t="str">
        <f>VLOOKUP($E1387,'Product Naming'!$A$1:$P$58,15,FALSE)</f>
        <v>Acetyl-CoA</v>
      </c>
      <c r="AG1387" s="30" t="str">
        <f>VLOOKUP($E1387,'Product Naming'!$A$1:$P$58,16,FALSE)</f>
        <v>Proton antiport</v>
      </c>
      <c r="AH1387" s="3" t="str">
        <f>VLOOKUP($E1387,'Product Naming'!$A$1:$Q$58,17,FALSE)</f>
        <v>cit_c</v>
      </c>
      <c r="AI1387" s="1">
        <f>VLOOKUP($E1387,'Product Parameters'!$A$2:$D$59,2,FALSE)</f>
        <v>1</v>
      </c>
      <c r="AJ1387" s="1">
        <f>VLOOKUP($E1387,'Product Parameters'!$A$2:$D$59,3,FALSE)</f>
        <v>0</v>
      </c>
      <c r="AK1387" s="1">
        <f>VLOOKUP($E1387,'Product Parameters'!$A$2:$D$59,4,FALSE)</f>
        <v>0.12</v>
      </c>
      <c r="AL1387" s="1">
        <f>VLOOKUP($E1387,'Product Parameters'!$A$2:$E$59,5,FALSE)</f>
        <v>40.65</v>
      </c>
      <c r="AM1387" s="1">
        <f>VLOOKUP($E1387,'Product Parameters'!$A$2:$F$59,6,FALSE)</f>
        <v>6</v>
      </c>
      <c r="AN1387" s="1">
        <f>VLOOKUP($C1387,'Substrate Heating'!$A$2:$C$33,3,FALSE)</f>
        <v>209.92000000000002</v>
      </c>
      <c r="AO1387" s="1">
        <f>VLOOKUP($C1387,'Substrate Heating'!$A$2:$B$33,2,FALSE)</f>
        <v>10.086540906516333</v>
      </c>
      <c r="AP1387" s="1">
        <f>VLOOKUP($C1387,'Substrate Heating'!$A$2:$M$33,13,FALSE)</f>
        <v>0.8</v>
      </c>
      <c r="AQ1387" s="1">
        <f>VLOOKUP($C1387,'Substrate Heating'!$A$2:$M$33,8,FALSE)</f>
        <v>0.8</v>
      </c>
      <c r="AR1387" s="1">
        <f t="shared" si="21"/>
        <v>0.79130434782610504</v>
      </c>
    </row>
    <row r="1388" spans="1:44" x14ac:dyDescent="0.2">
      <c r="A1388" s="8" t="s">
        <v>34</v>
      </c>
      <c r="B1388" s="9" t="s">
        <v>35</v>
      </c>
      <c r="C1388" s="1" t="s">
        <v>36</v>
      </c>
      <c r="D1388" s="10" t="s">
        <v>37</v>
      </c>
      <c r="E1388" s="1" t="s">
        <v>85</v>
      </c>
      <c r="F1388" s="1" t="s">
        <v>86</v>
      </c>
      <c r="G1388" s="1">
        <v>-10</v>
      </c>
      <c r="H1388" s="1">
        <v>-20</v>
      </c>
      <c r="I1388" s="1" t="s">
        <v>40</v>
      </c>
      <c r="J1388" s="1">
        <v>3.15</v>
      </c>
      <c r="K1388" s="1">
        <v>-10</v>
      </c>
      <c r="L1388" s="1">
        <v>-1.5034883720930201</v>
      </c>
      <c r="M1388" s="1" t="s">
        <v>40</v>
      </c>
      <c r="N1388" s="1">
        <v>2.9116279069767499</v>
      </c>
      <c r="O1388" s="1">
        <v>4.2720930232558203</v>
      </c>
      <c r="Q1388" s="1">
        <v>0.42720930232558202</v>
      </c>
      <c r="R1388" s="1">
        <v>0.87396645578155197</v>
      </c>
      <c r="S1388" s="1" t="str">
        <f>VLOOKUP($E1388,'Product Naming'!$A$1:$P$58,2,FALSE)</f>
        <v>2-3-butanediol</v>
      </c>
      <c r="T1388" s="1" t="str">
        <f>VLOOKUP($E1388,'Product Naming'!$A$1:$P$58,3,FALSE)</f>
        <v>2,3-Butanediol</v>
      </c>
      <c r="U1388" s="1" t="str">
        <f>VLOOKUP($E1388,'Product Naming'!$A$1:$P$58,4,FALSE)</f>
        <v>E</v>
      </c>
      <c r="V1388" s="1" t="str">
        <f>VLOOKUP($E1388,'Product Naming'!$A$1:$P$58,5,FALSE)</f>
        <v>C4H10O2</v>
      </c>
      <c r="W1388" s="1">
        <f>VLOOKUP($E1388,'Product Naming'!$A$1:$P$58,6,FALSE)</f>
        <v>4</v>
      </c>
      <c r="X1388" s="1">
        <f>VLOOKUP($E1388,'Product Naming'!$A$1:$P$58,7,FALSE)</f>
        <v>10</v>
      </c>
      <c r="Y1388" s="1">
        <f>VLOOKUP($E1388,'Product Naming'!$A$1:$P$58,8,FALSE)</f>
        <v>2</v>
      </c>
      <c r="Z1388" s="1">
        <f>VLOOKUP($E1388,'Product Naming'!$A$1:$P$58,9,FALSE)</f>
        <v>0</v>
      </c>
      <c r="AA1388" s="1">
        <f>VLOOKUP($E1388,'Product Naming'!$A$1:$P$58,10,FALSE)</f>
        <v>0</v>
      </c>
      <c r="AB1388" s="29">
        <f>VLOOKUP($E1388,'Product Naming'!$A$1:$P$58,11,FALSE)</f>
        <v>5.5</v>
      </c>
      <c r="AC1388" s="3">
        <f>VLOOKUP($E1388,'Product Naming'!$A$1:$P$58,12,FALSE)</f>
        <v>90.119200000000006</v>
      </c>
      <c r="AD1388" s="1">
        <f>VLOOKUP($E1388,'Product Naming'!$A$1:$P$58,13,FALSE)</f>
        <v>177</v>
      </c>
      <c r="AE1388" s="1" t="str">
        <f>VLOOKUP($E1388,'Product Naming'!$A$1:$P$58,14,FALSE)</f>
        <v>Diol</v>
      </c>
      <c r="AF1388" s="1" t="str">
        <f>VLOOKUP($E1388,'Product Naming'!$A$1:$P$58,15,FALSE)</f>
        <v>Pyruvate</v>
      </c>
      <c r="AG1388" s="30" t="str">
        <f>VLOOKUP($E1388,'Product Naming'!$A$1:$P$58,16,FALSE)</f>
        <v>Proton symporter</v>
      </c>
      <c r="AH1388" s="3" t="str">
        <f>VLOOKUP($E1388,'Product Naming'!$A$1:$Q$58,17,FALSE)</f>
        <v>btd_RR_c</v>
      </c>
      <c r="AI1388" s="1">
        <f>VLOOKUP($E1388,'Product Parameters'!$A$2:$D$59,2,FALSE)</f>
        <v>1</v>
      </c>
      <c r="AJ1388" s="1">
        <f>VLOOKUP($E1388,'Product Parameters'!$A$2:$D$59,3,FALSE)</f>
        <v>0</v>
      </c>
      <c r="AK1388" s="1">
        <f>VLOOKUP($E1388,'Product Parameters'!$A$2:$D$59,4,FALSE)</f>
        <v>0.12</v>
      </c>
      <c r="AL1388" s="1">
        <f>VLOOKUP($E1388,'Product Parameters'!$A$2:$E$59,5,FALSE)</f>
        <v>63</v>
      </c>
      <c r="AM1388" s="1">
        <f>VLOOKUP($E1388,'Product Parameters'!$A$2:$F$59,6,FALSE)</f>
        <v>4</v>
      </c>
      <c r="AN1388" s="1">
        <f>VLOOKUP($C1388,'Substrate Heating'!$A$2:$C$33,3,FALSE)</f>
        <v>1064.1143145599999</v>
      </c>
      <c r="AO1388" s="1">
        <f>VLOOKUP($C1388,'Substrate Heating'!$A$2:$B$33,2,FALSE)</f>
        <v>24.155999999999999</v>
      </c>
      <c r="AP1388" s="1">
        <f>VLOOKUP($C1388,'Substrate Heating'!$A$2:$M$33,13,FALSE)</f>
        <v>5</v>
      </c>
      <c r="AQ1388" s="1">
        <f>VLOOKUP($C1388,'Substrate Heating'!$A$2:$M$33,8,FALSE)</f>
        <v>2</v>
      </c>
      <c r="AR1388" s="1">
        <f t="shared" si="21"/>
        <v>0.85441860465116404</v>
      </c>
    </row>
    <row r="1389" spans="1:44" x14ac:dyDescent="0.2">
      <c r="A1389" s="17" t="s">
        <v>185</v>
      </c>
      <c r="B1389" s="9" t="s">
        <v>35</v>
      </c>
      <c r="C1389" t="s">
        <v>344</v>
      </c>
      <c r="D1389" s="10" t="s">
        <v>37</v>
      </c>
      <c r="E1389" t="s">
        <v>318</v>
      </c>
      <c r="F1389" t="s">
        <v>319</v>
      </c>
      <c r="G1389">
        <v>-10</v>
      </c>
      <c r="H1389">
        <v>-20</v>
      </c>
      <c r="I1389" s="1" t="s">
        <v>40</v>
      </c>
      <c r="J1389">
        <v>3.15</v>
      </c>
      <c r="K1389">
        <v>-10</v>
      </c>
      <c r="L1389">
        <v>-4.0836065573770499</v>
      </c>
      <c r="M1389" s="1" t="s">
        <v>40</v>
      </c>
      <c r="N1389">
        <v>1.80983606557377</v>
      </c>
      <c r="O1389">
        <v>4.5475409836065603</v>
      </c>
      <c r="P1389"/>
      <c r="Q1389">
        <v>0.454754098360656</v>
      </c>
      <c r="R1389">
        <v>0.87896124954001598</v>
      </c>
      <c r="S1389" s="1" t="str">
        <f>VLOOKUP($E1389,'Product Naming'!$A$1:$P$58,2,FALSE)</f>
        <v>Succinate</v>
      </c>
      <c r="T1389" s="1" t="str">
        <f>VLOOKUP($E1389,'Product Naming'!$A$1:$P$58,3,FALSE)</f>
        <v>Succinate</v>
      </c>
      <c r="U1389" s="1" t="str">
        <f>VLOOKUP($E1389,'Product Naming'!$A$1:$P$58,4,FALSE)</f>
        <v>iJO1366</v>
      </c>
      <c r="V1389" s="1" t="str">
        <f>VLOOKUP($E1389,'Product Naming'!$A$1:$P$58,5,FALSE)</f>
        <v>C4H4O4</v>
      </c>
      <c r="W1389" s="1">
        <f>VLOOKUP($E1389,'Product Naming'!$A$1:$P$58,6,FALSE)</f>
        <v>4</v>
      </c>
      <c r="X1389" s="1">
        <f>VLOOKUP($E1389,'Product Naming'!$A$1:$P$58,7,FALSE)</f>
        <v>4</v>
      </c>
      <c r="Y1389" s="1">
        <f>VLOOKUP($E1389,'Product Naming'!$A$1:$P$58,8,FALSE)</f>
        <v>4</v>
      </c>
      <c r="Z1389" s="1">
        <f>VLOOKUP($E1389,'Product Naming'!$A$1:$P$58,9,FALSE)</f>
        <v>0</v>
      </c>
      <c r="AA1389" s="1">
        <f>VLOOKUP($E1389,'Product Naming'!$A$1:$P$58,10,FALSE)</f>
        <v>-2</v>
      </c>
      <c r="AB1389" s="29">
        <f>VLOOKUP($E1389,'Product Naming'!$A$1:$P$58,11,FALSE)</f>
        <v>3</v>
      </c>
      <c r="AC1389" s="3">
        <f>VLOOKUP($E1389,'Product Naming'!$A$1:$P$58,12,FALSE)</f>
        <v>116.07016</v>
      </c>
      <c r="AD1389" s="1">
        <f>VLOOKUP($E1389,'Product Naming'!$A$1:$P$58,13,FALSE)</f>
        <v>235</v>
      </c>
      <c r="AE1389" s="1" t="str">
        <f>VLOOKUP($E1389,'Product Naming'!$A$1:$P$58,14,FALSE)</f>
        <v>Dicarboxylate</v>
      </c>
      <c r="AF1389" s="1" t="str">
        <f>VLOOKUP($E1389,'Product Naming'!$A$1:$P$58,15,FALSE)</f>
        <v>Oxaloacetate</v>
      </c>
      <c r="AG1389" s="30" t="str">
        <f>VLOOKUP($E1389,'Product Naming'!$A$1:$P$58,16,FALSE)</f>
        <v>Proton symporter</v>
      </c>
      <c r="AH1389" s="3" t="str">
        <f>VLOOKUP($E1389,'Product Naming'!$A$1:$Q$58,17,FALSE)</f>
        <v>succ_c</v>
      </c>
      <c r="AI1389" s="1">
        <f>VLOOKUP($E1389,'Product Parameters'!$A$2:$D$59,2,FALSE)</f>
        <v>1</v>
      </c>
      <c r="AJ1389" s="1">
        <f>VLOOKUP($E1389,'Product Parameters'!$A$2:$D$59,3,FALSE)</f>
        <v>0</v>
      </c>
      <c r="AK1389" s="1">
        <f>VLOOKUP($E1389,'Product Parameters'!$A$2:$D$59,4,FALSE)</f>
        <v>0.12</v>
      </c>
      <c r="AL1389" s="1">
        <f>VLOOKUP($E1389,'Product Parameters'!$A$2:$E$59,5,FALSE)</f>
        <v>40.65</v>
      </c>
      <c r="AM1389" s="1">
        <f>VLOOKUP($E1389,'Product Parameters'!$A$2:$F$59,6,FALSE)</f>
        <v>4</v>
      </c>
      <c r="AN1389" s="1">
        <f>VLOOKUP($C1389,'Substrate Heating'!$A$2:$C$33,3,FALSE)</f>
        <v>1020.8629199999999</v>
      </c>
      <c r="AO1389" s="1">
        <f>VLOOKUP($C1389,'Substrate Heating'!$A$2:$B$33,2,FALSE)</f>
        <v>17</v>
      </c>
      <c r="AP1389" s="1">
        <f>VLOOKUP($C1389,'Substrate Heating'!$A$2:$M$33,13,FALSE)</f>
        <v>4</v>
      </c>
      <c r="AQ1389" s="1">
        <f>VLOOKUP($C1389,'Substrate Heating'!$A$2:$M$33,8,FALSE)</f>
        <v>2</v>
      </c>
      <c r="AR1389" s="1">
        <f t="shared" si="21"/>
        <v>0.909508196721312</v>
      </c>
    </row>
    <row r="1390" spans="1:44" x14ac:dyDescent="0.2">
      <c r="A1390" s="8" t="s">
        <v>34</v>
      </c>
      <c r="B1390" s="9" t="s">
        <v>35</v>
      </c>
      <c r="C1390" s="1" t="s">
        <v>36</v>
      </c>
      <c r="D1390" s="10" t="s">
        <v>37</v>
      </c>
      <c r="E1390" s="1" t="s">
        <v>60</v>
      </c>
      <c r="F1390" s="1" t="s">
        <v>61</v>
      </c>
      <c r="G1390" s="1">
        <v>-10</v>
      </c>
      <c r="H1390" s="1">
        <v>-20</v>
      </c>
      <c r="I1390" s="1" t="s">
        <v>40</v>
      </c>
      <c r="J1390" s="1">
        <v>3.15</v>
      </c>
      <c r="K1390" s="1">
        <v>-10</v>
      </c>
      <c r="L1390" s="1">
        <v>-4.5647058823529401</v>
      </c>
      <c r="M1390" s="1" t="s">
        <v>40</v>
      </c>
      <c r="N1390" s="1">
        <v>4.6735294117647097</v>
      </c>
      <c r="O1390" s="1">
        <v>5.1088235294117696</v>
      </c>
      <c r="Q1390" s="1">
        <v>0.51088235294117701</v>
      </c>
      <c r="R1390" s="1">
        <v>0.88247277574220495</v>
      </c>
      <c r="S1390" s="1" t="str">
        <f>VLOOKUP($E1390,'Product Naming'!$A$1:$P$58,2,FALSE)</f>
        <v>1-3-Propanediol</v>
      </c>
      <c r="T1390" s="1" t="str">
        <f>VLOOKUP($E1390,'Product Naming'!$A$1:$P$58,3,FALSE)</f>
        <v>1,3-Propanediol</v>
      </c>
      <c r="U1390" s="1" t="str">
        <f>VLOOKUP($E1390,'Product Naming'!$A$1:$P$58,4,FALSE)</f>
        <v>A</v>
      </c>
      <c r="V1390" s="1" t="str">
        <f>VLOOKUP($E1390,'Product Naming'!$A$1:$P$58,5,FALSE)</f>
        <v>C3H8O2</v>
      </c>
      <c r="W1390" s="1">
        <f>VLOOKUP($E1390,'Product Naming'!$A$1:$P$58,6,FALSE)</f>
        <v>3</v>
      </c>
      <c r="X1390" s="1">
        <f>VLOOKUP($E1390,'Product Naming'!$A$1:$P$58,7,FALSE)</f>
        <v>8</v>
      </c>
      <c r="Y1390" s="1">
        <f>VLOOKUP($E1390,'Product Naming'!$A$1:$P$58,8,FALSE)</f>
        <v>2</v>
      </c>
      <c r="Z1390" s="1">
        <f>VLOOKUP($E1390,'Product Naming'!$A$1:$P$58,9,FALSE)</f>
        <v>0</v>
      </c>
      <c r="AA1390" s="1">
        <f>VLOOKUP($E1390,'Product Naming'!$A$1:$P$58,10,FALSE)</f>
        <v>0</v>
      </c>
      <c r="AB1390" s="29">
        <f>VLOOKUP($E1390,'Product Naming'!$A$1:$P$58,11,FALSE)</f>
        <v>5.333333333333333</v>
      </c>
      <c r="AC1390" s="3">
        <f>VLOOKUP($E1390,'Product Naming'!$A$1:$P$58,12,FALSE)</f>
        <v>76.092820000000003</v>
      </c>
      <c r="AD1390" s="1">
        <f>VLOOKUP($E1390,'Product Naming'!$A$1:$P$58,13,FALSE)</f>
        <v>213</v>
      </c>
      <c r="AE1390" s="1" t="str">
        <f>VLOOKUP($E1390,'Product Naming'!$A$1:$P$58,14,FALSE)</f>
        <v>Diol</v>
      </c>
      <c r="AF1390" s="1" t="str">
        <f>VLOOKUP($E1390,'Product Naming'!$A$1:$P$58,15,FALSE)</f>
        <v>Glyceraldehyde 3-P</v>
      </c>
      <c r="AG1390" s="30" t="str">
        <f>VLOOKUP($E1390,'Product Naming'!$A$1:$P$58,16,FALSE)</f>
        <v>Proton symporter</v>
      </c>
      <c r="AH1390" s="3" t="str">
        <f>VLOOKUP($E1390,'Product Naming'!$A$1:$Q$58,17,FALSE)</f>
        <v>13ppd_c</v>
      </c>
      <c r="AI1390" s="1">
        <f>VLOOKUP($E1390,'Product Parameters'!$A$2:$D$59,2,FALSE)</f>
        <v>1</v>
      </c>
      <c r="AJ1390" s="1">
        <f>VLOOKUP($E1390,'Product Parameters'!$A$2:$D$59,3,FALSE)</f>
        <v>0</v>
      </c>
      <c r="AK1390" s="1">
        <f>VLOOKUP($E1390,'Product Parameters'!$A$2:$D$59,4,FALSE)</f>
        <v>0.12</v>
      </c>
      <c r="AL1390" s="1">
        <f>VLOOKUP($E1390,'Product Parameters'!$A$2:$E$59,5,FALSE)</f>
        <v>70</v>
      </c>
      <c r="AM1390" s="1">
        <f>VLOOKUP($E1390,'Product Parameters'!$A$2:$F$59,6,FALSE)</f>
        <v>3</v>
      </c>
      <c r="AN1390" s="1">
        <f>VLOOKUP($C1390,'Substrate Heating'!$A$2:$C$33,3,FALSE)</f>
        <v>1064.1143145599999</v>
      </c>
      <c r="AO1390" s="1">
        <f>VLOOKUP($C1390,'Substrate Heating'!$A$2:$B$33,2,FALSE)</f>
        <v>24.155999999999999</v>
      </c>
      <c r="AP1390" s="1">
        <f>VLOOKUP($C1390,'Substrate Heating'!$A$2:$M$33,13,FALSE)</f>
        <v>5</v>
      </c>
      <c r="AQ1390" s="1">
        <f>VLOOKUP($C1390,'Substrate Heating'!$A$2:$M$33,8,FALSE)</f>
        <v>2</v>
      </c>
      <c r="AR1390" s="1">
        <f t="shared" si="21"/>
        <v>0.76632352941176551</v>
      </c>
    </row>
    <row r="1391" spans="1:44" x14ac:dyDescent="0.2">
      <c r="A1391" s="8" t="s">
        <v>34</v>
      </c>
      <c r="B1391" s="9" t="s">
        <v>35</v>
      </c>
      <c r="C1391" s="1" t="s">
        <v>36</v>
      </c>
      <c r="D1391" s="10" t="s">
        <v>37</v>
      </c>
      <c r="E1391" s="1" t="s">
        <v>38</v>
      </c>
      <c r="F1391" s="1" t="s">
        <v>39</v>
      </c>
      <c r="G1391" s="1">
        <v>-10</v>
      </c>
      <c r="H1391" s="1">
        <v>-20</v>
      </c>
      <c r="I1391" s="1" t="s">
        <v>40</v>
      </c>
      <c r="J1391" s="1">
        <v>3.15</v>
      </c>
      <c r="K1391" s="1">
        <v>-10</v>
      </c>
      <c r="L1391" s="1">
        <v>-0.94404761904761503</v>
      </c>
      <c r="M1391" s="1" t="s">
        <v>40</v>
      </c>
      <c r="N1391" s="1">
        <v>2.5047619047618999</v>
      </c>
      <c r="O1391" s="1">
        <v>4.3738095238095296</v>
      </c>
      <c r="Q1391" s="1">
        <v>0.43738095238095298</v>
      </c>
      <c r="R1391" s="1">
        <v>0.89477518091920805</v>
      </c>
      <c r="S1391" s="1" t="str">
        <f>VLOOKUP($E1391,'Product Naming'!$A$1:$P$58,2,FALSE)</f>
        <v>1-3-butanediol-PW1</v>
      </c>
      <c r="T1391" s="1" t="str">
        <f>VLOOKUP($E1391,'Product Naming'!$A$1:$P$58,3,FALSE)</f>
        <v>1,3-Butanediol (PW1)</v>
      </c>
      <c r="U1391" s="1" t="str">
        <f>VLOOKUP($E1391,'Product Naming'!$A$1:$P$58,4,FALSE)</f>
        <v>E</v>
      </c>
      <c r="V1391" s="1" t="str">
        <f>VLOOKUP($E1391,'Product Naming'!$A$1:$P$58,5,FALSE)</f>
        <v>C4H10O2</v>
      </c>
      <c r="W1391" s="1">
        <f>VLOOKUP($E1391,'Product Naming'!$A$1:$P$58,6,FALSE)</f>
        <v>4</v>
      </c>
      <c r="X1391" s="1">
        <f>VLOOKUP($E1391,'Product Naming'!$A$1:$P$58,7,FALSE)</f>
        <v>10</v>
      </c>
      <c r="Y1391" s="1">
        <f>VLOOKUP($E1391,'Product Naming'!$A$1:$P$58,8,FALSE)</f>
        <v>2</v>
      </c>
      <c r="Z1391" s="1">
        <f>VLOOKUP($E1391,'Product Naming'!$A$1:$P$58,9,FALSE)</f>
        <v>0</v>
      </c>
      <c r="AA1391" s="1">
        <f>VLOOKUP($E1391,'Product Naming'!$A$1:$P$58,10,FALSE)</f>
        <v>0</v>
      </c>
      <c r="AB1391" s="29">
        <f>VLOOKUP($E1391,'Product Naming'!$A$1:$P$58,11,FALSE)</f>
        <v>5.5</v>
      </c>
      <c r="AC1391" s="3">
        <f>VLOOKUP($E1391,'Product Naming'!$A$1:$P$58,12,FALSE)</f>
        <v>90.119200000000006</v>
      </c>
      <c r="AD1391" s="1">
        <f>VLOOKUP($E1391,'Product Naming'!$A$1:$P$58,13,FALSE)</f>
        <v>207</v>
      </c>
      <c r="AE1391" s="1" t="str">
        <f>VLOOKUP($E1391,'Product Naming'!$A$1:$P$58,14,FALSE)</f>
        <v>Diol</v>
      </c>
      <c r="AF1391" s="1" t="str">
        <f>VLOOKUP($E1391,'Product Naming'!$A$1:$P$58,15,FALSE)</f>
        <v>Acetyl-CoA</v>
      </c>
      <c r="AG1391" s="30" t="str">
        <f>VLOOKUP($E1391,'Product Naming'!$A$1:$P$58,16,FALSE)</f>
        <v>Proton symporter</v>
      </c>
      <c r="AH1391" s="3" t="str">
        <f>VLOOKUP($E1391,'Product Naming'!$A$1:$Q$58,17,FALSE)</f>
        <v>13bdo__R_c</v>
      </c>
      <c r="AI1391" s="1">
        <f>VLOOKUP($E1391,'Product Parameters'!$A$2:$D$59,2,FALSE)</f>
        <v>1</v>
      </c>
      <c r="AJ1391" s="1">
        <f>VLOOKUP($E1391,'Product Parameters'!$A$2:$D$59,3,FALSE)</f>
        <v>0</v>
      </c>
      <c r="AK1391" s="1">
        <f>VLOOKUP($E1391,'Product Parameters'!$A$2:$D$59,4,FALSE)</f>
        <v>0.12</v>
      </c>
      <c r="AL1391" s="1">
        <f>VLOOKUP($E1391,'Product Parameters'!$A$2:$E$59,5,FALSE)</f>
        <v>72.599999999999994</v>
      </c>
      <c r="AM1391" s="1">
        <f>VLOOKUP($E1391,'Product Parameters'!$A$2:$F$59,6,FALSE)</f>
        <v>4</v>
      </c>
      <c r="AN1391" s="1">
        <f>VLOOKUP($C1391,'Substrate Heating'!$A$2:$C$33,3,FALSE)</f>
        <v>1064.1143145599999</v>
      </c>
      <c r="AO1391" s="1">
        <f>VLOOKUP($C1391,'Substrate Heating'!$A$2:$B$33,2,FALSE)</f>
        <v>24.155999999999999</v>
      </c>
      <c r="AP1391" s="1">
        <f>VLOOKUP($C1391,'Substrate Heating'!$A$2:$M$33,13,FALSE)</f>
        <v>5</v>
      </c>
      <c r="AQ1391" s="1">
        <f>VLOOKUP($C1391,'Substrate Heating'!$A$2:$M$33,8,FALSE)</f>
        <v>2</v>
      </c>
      <c r="AR1391" s="1">
        <f t="shared" si="21"/>
        <v>0.87476190476190596</v>
      </c>
    </row>
    <row r="1392" spans="1:44" x14ac:dyDescent="0.2">
      <c r="A1392" s="8" t="s">
        <v>34</v>
      </c>
      <c r="B1392" s="9" t="s">
        <v>35</v>
      </c>
      <c r="C1392" s="1" t="s">
        <v>349</v>
      </c>
      <c r="D1392" s="25" t="s">
        <v>342</v>
      </c>
      <c r="E1392" s="1" t="s">
        <v>97</v>
      </c>
      <c r="F1392" s="1" t="s">
        <v>98</v>
      </c>
      <c r="G1392" s="1">
        <v>-10</v>
      </c>
      <c r="H1392" s="1">
        <v>-20</v>
      </c>
      <c r="I1392" s="1" t="s">
        <v>40</v>
      </c>
      <c r="J1392" s="1">
        <v>3.15</v>
      </c>
      <c r="K1392" s="1">
        <v>-10</v>
      </c>
      <c r="L1392" s="1">
        <v>-12.9352051835853</v>
      </c>
      <c r="M1392" s="1" t="s">
        <v>40</v>
      </c>
      <c r="N1392" s="1">
        <v>-1.8907127429805399</v>
      </c>
      <c r="O1392" s="1">
        <v>7.41295896328295</v>
      </c>
      <c r="Q1392" s="1">
        <v>0.74129589632829496</v>
      </c>
      <c r="R1392" s="1">
        <v>0.89907781215387395</v>
      </c>
      <c r="S1392" s="1" t="str">
        <f>VLOOKUP($E1392,'Product Naming'!$A$1:$P$58,2,FALSE)</f>
        <v>2-Pyrone-4-6-Dicarboxylate</v>
      </c>
      <c r="T1392" s="1" t="str">
        <f>VLOOKUP($E1392,'Product Naming'!$A$1:$P$58,3,FALSE)</f>
        <v>2-Pyrone 4,6-dicarboxylate</v>
      </c>
      <c r="U1392" s="1" t="str">
        <f>VLOOKUP($E1392,'Product Naming'!$A$1:$P$58,4,FALSE)</f>
        <v>A</v>
      </c>
      <c r="V1392" s="1" t="str">
        <f>VLOOKUP($E1392,'Product Naming'!$A$1:$P$58,5,FALSE)</f>
        <v>C7H2O6</v>
      </c>
      <c r="W1392" s="1">
        <f>VLOOKUP($E1392,'Product Naming'!$A$1:$P$58,6,FALSE)</f>
        <v>7</v>
      </c>
      <c r="X1392" s="1">
        <f>VLOOKUP($E1392,'Product Naming'!$A$1:$P$58,7,FALSE)</f>
        <v>2</v>
      </c>
      <c r="Y1392" s="1">
        <f>VLOOKUP($E1392,'Product Naming'!$A$1:$P$58,8,FALSE)</f>
        <v>6</v>
      </c>
      <c r="Z1392" s="1">
        <f>VLOOKUP($E1392,'Product Naming'!$A$1:$P$58,9,FALSE)</f>
        <v>0</v>
      </c>
      <c r="AA1392" s="1">
        <f>VLOOKUP($E1392,'Product Naming'!$A$1:$P$58,10,FALSE)</f>
        <v>-2</v>
      </c>
      <c r="AB1392" s="29">
        <f>VLOOKUP($E1392,'Product Naming'!$A$1:$P$58,11,FALSE)</f>
        <v>2.5714285714285716</v>
      </c>
      <c r="AC1392" s="3">
        <f>VLOOKUP($E1392,'Product Naming'!$A$1:$P$58,12,FALSE)</f>
        <v>182.08458000000002</v>
      </c>
      <c r="AD1392" s="1">
        <f>VLOOKUP($E1392,'Product Naming'!$A$1:$P$58,13,FALSE)</f>
        <v>355.5</v>
      </c>
      <c r="AE1392" s="1" t="str">
        <f>VLOOKUP($E1392,'Product Naming'!$A$1:$P$58,14,FALSE)</f>
        <v>Dicarboxylate</v>
      </c>
      <c r="AF1392" s="1" t="str">
        <f>VLOOKUP($E1392,'Product Naming'!$A$1:$P$58,15,FALSE)</f>
        <v>Glyceraldehyde 3-P</v>
      </c>
      <c r="AG1392" s="30" t="str">
        <f>VLOOKUP($E1392,'Product Naming'!$A$1:$P$58,16,FALSE)</f>
        <v>Proton symporter</v>
      </c>
      <c r="AH1392" s="3" t="str">
        <f>VLOOKUP($E1392,'Product Naming'!$A$1:$Q$58,17,FALSE)</f>
        <v>2p46dc_c</v>
      </c>
      <c r="AI1392" s="1">
        <f>VLOOKUP($E1392,'Product Parameters'!$A$2:$D$59,2,FALSE)</f>
        <v>1</v>
      </c>
      <c r="AJ1392" s="1">
        <f>VLOOKUP($E1392,'Product Parameters'!$A$2:$D$59,3,FALSE)</f>
        <v>0</v>
      </c>
      <c r="AK1392" s="1">
        <f>VLOOKUP($E1392,'Product Parameters'!$A$2:$D$59,4,FALSE)</f>
        <v>0.12</v>
      </c>
      <c r="AL1392" s="1">
        <f>VLOOKUP($E1392,'Product Parameters'!$A$2:$E$59,5,FALSE)</f>
        <v>0</v>
      </c>
      <c r="AM1392" s="1">
        <f>VLOOKUP($E1392,'Product Parameters'!$A$2:$F$59,6,FALSE)</f>
        <v>7</v>
      </c>
      <c r="AN1392" s="1">
        <f>VLOOKUP($C1392,'Substrate Heating'!$A$2:$C$33,3,FALSE)</f>
        <v>2342.0279999999998</v>
      </c>
      <c r="AO1392" s="1">
        <f>VLOOKUP($C1392,'Substrate Heating'!$A$2:$B$33,2,FALSE)</f>
        <v>15.6</v>
      </c>
      <c r="AP1392" s="1">
        <f>VLOOKUP($C1392,'Substrate Heating'!$A$2:$M$33,13,FALSE)</f>
        <v>4</v>
      </c>
      <c r="AQ1392" s="1">
        <f>VLOOKUP($C1392,'Substrate Heating'!$A$2:$M$33,8,FALSE)</f>
        <v>5</v>
      </c>
      <c r="AR1392" s="1">
        <f t="shared" si="21"/>
        <v>1.037814254859613</v>
      </c>
    </row>
    <row r="1393" spans="1:44" x14ac:dyDescent="0.2">
      <c r="A1393" s="8" t="s">
        <v>34</v>
      </c>
      <c r="B1393" s="9" t="s">
        <v>35</v>
      </c>
      <c r="C1393" s="1" t="s">
        <v>36</v>
      </c>
      <c r="D1393" s="10" t="s">
        <v>37</v>
      </c>
      <c r="E1393" s="1" t="s">
        <v>209</v>
      </c>
      <c r="F1393" s="1" t="s">
        <v>210</v>
      </c>
      <c r="G1393" s="1">
        <v>-10</v>
      </c>
      <c r="H1393" s="1">
        <v>-20</v>
      </c>
      <c r="I1393" s="1" t="s">
        <v>40</v>
      </c>
      <c r="J1393" s="1">
        <v>3.15</v>
      </c>
      <c r="K1393" s="1">
        <v>-10</v>
      </c>
      <c r="L1393" s="1">
        <v>-4.2464285714285701</v>
      </c>
      <c r="M1393" s="1" t="s">
        <v>40</v>
      </c>
      <c r="N1393" s="1">
        <v>1.55238095238097</v>
      </c>
      <c r="O1393" s="1">
        <v>4.6119047619047704</v>
      </c>
      <c r="Q1393" s="1">
        <v>0.46119047619047698</v>
      </c>
      <c r="R1393" s="1">
        <v>0.90127822188738005</v>
      </c>
      <c r="S1393" s="1" t="str">
        <f>VLOOKUP($E1393,'Product Naming'!$A$1:$P$58,2,FALSE)</f>
        <v>GammaButyrolactone</v>
      </c>
      <c r="T1393" s="1" t="str">
        <f>VLOOKUP($E1393,'Product Naming'!$A$1:$P$58,3,FALSE)</f>
        <v>Gamma butyrolactone</v>
      </c>
      <c r="U1393" s="1" t="str">
        <f>VLOOKUP($E1393,'Product Naming'!$A$1:$P$58,4,FALSE)</f>
        <v>A</v>
      </c>
      <c r="V1393" s="1" t="str">
        <f>VLOOKUP($E1393,'Product Naming'!$A$1:$P$58,5,FALSE)</f>
        <v>C4H6O2</v>
      </c>
      <c r="W1393" s="1">
        <f>VLOOKUP($E1393,'Product Naming'!$A$1:$P$58,6,FALSE)</f>
        <v>4</v>
      </c>
      <c r="X1393" s="1">
        <f>VLOOKUP($E1393,'Product Naming'!$A$1:$P$58,7,FALSE)</f>
        <v>6</v>
      </c>
      <c r="Y1393" s="1">
        <f>VLOOKUP($E1393,'Product Naming'!$A$1:$P$58,8,FALSE)</f>
        <v>2</v>
      </c>
      <c r="Z1393" s="1">
        <f>VLOOKUP($E1393,'Product Naming'!$A$1:$P$58,9,FALSE)</f>
        <v>0</v>
      </c>
      <c r="AA1393" s="1">
        <f>VLOOKUP($E1393,'Product Naming'!$A$1:$P$58,10,FALSE)</f>
        <v>0</v>
      </c>
      <c r="AB1393" s="29">
        <f>VLOOKUP($E1393,'Product Naming'!$A$1:$P$58,11,FALSE)</f>
        <v>4.5</v>
      </c>
      <c r="AC1393" s="3">
        <f>VLOOKUP($E1393,'Product Naming'!$A$1:$P$58,12,FALSE)</f>
        <v>86.08784</v>
      </c>
      <c r="AD1393" s="1">
        <f>VLOOKUP($E1393,'Product Naming'!$A$1:$P$58,13,FALSE)</f>
        <v>204</v>
      </c>
      <c r="AE1393" s="1" t="str">
        <f>VLOOKUP($E1393,'Product Naming'!$A$1:$P$58,14,FALSE)</f>
        <v>Lactone (cyclic ester)</v>
      </c>
      <c r="AF1393" s="1" t="str">
        <f>VLOOKUP($E1393,'Product Naming'!$A$1:$P$58,15,FALSE)</f>
        <v>aKG</v>
      </c>
      <c r="AG1393" s="30" t="str">
        <f>VLOOKUP($E1393,'Product Naming'!$A$1:$P$58,16,FALSE)</f>
        <v>Proton symporter</v>
      </c>
      <c r="AH1393" s="3" t="str">
        <f>VLOOKUP($E1393,'Product Naming'!$A$1:$Q$58,17,FALSE)</f>
        <v>gblt_c</v>
      </c>
      <c r="AI1393" s="1">
        <f>VLOOKUP($E1393,'Product Parameters'!$A$2:$D$59,2,FALSE)</f>
        <v>1</v>
      </c>
      <c r="AJ1393" s="1">
        <f>VLOOKUP($E1393,'Product Parameters'!$A$2:$D$59,3,FALSE)</f>
        <v>0</v>
      </c>
      <c r="AK1393" s="1">
        <f>VLOOKUP($E1393,'Product Parameters'!$A$2:$D$59,4,FALSE)</f>
        <v>0.12</v>
      </c>
      <c r="AL1393" s="1">
        <f>VLOOKUP($E1393,'Product Parameters'!$A$2:$E$59,5,FALSE)</f>
        <v>0</v>
      </c>
      <c r="AM1393" s="1">
        <f>VLOOKUP($E1393,'Product Parameters'!$A$2:$F$59,6,FALSE)</f>
        <v>4</v>
      </c>
      <c r="AN1393" s="1">
        <f>VLOOKUP($C1393,'Substrate Heating'!$A$2:$C$33,3,FALSE)</f>
        <v>1064.1143145599999</v>
      </c>
      <c r="AO1393" s="1">
        <f>VLOOKUP($C1393,'Substrate Heating'!$A$2:$B$33,2,FALSE)</f>
        <v>24.155999999999999</v>
      </c>
      <c r="AP1393" s="1">
        <f>VLOOKUP($C1393,'Substrate Heating'!$A$2:$M$33,13,FALSE)</f>
        <v>5</v>
      </c>
      <c r="AQ1393" s="1">
        <f>VLOOKUP($C1393,'Substrate Heating'!$A$2:$M$33,8,FALSE)</f>
        <v>2</v>
      </c>
      <c r="AR1393" s="1">
        <f t="shared" si="21"/>
        <v>0.92238095238095397</v>
      </c>
    </row>
    <row r="1394" spans="1:44" x14ac:dyDescent="0.2">
      <c r="A1394" s="8" t="s">
        <v>34</v>
      </c>
      <c r="B1394" s="9" t="s">
        <v>35</v>
      </c>
      <c r="C1394" s="1" t="s">
        <v>341</v>
      </c>
      <c r="D1394" s="24" t="s">
        <v>342</v>
      </c>
      <c r="E1394" s="1" t="s">
        <v>97</v>
      </c>
      <c r="F1394" s="1" t="s">
        <v>98</v>
      </c>
      <c r="G1394" s="1">
        <v>-10</v>
      </c>
      <c r="H1394" s="1">
        <v>-20</v>
      </c>
      <c r="I1394" s="1" t="s">
        <v>40</v>
      </c>
      <c r="J1394" s="1">
        <v>3.15</v>
      </c>
      <c r="K1394" s="1">
        <v>-10</v>
      </c>
      <c r="L1394" s="1">
        <v>-15.375809935205201</v>
      </c>
      <c r="M1394" s="1" t="s">
        <v>40</v>
      </c>
      <c r="N1394" s="1">
        <v>-2.4738660907127201</v>
      </c>
      <c r="O1394" s="1">
        <v>8.9248380129589702</v>
      </c>
      <c r="Q1394" s="1">
        <v>0.89248380129589699</v>
      </c>
      <c r="R1394" s="1">
        <v>0.90205651638584206</v>
      </c>
      <c r="S1394" s="1" t="str">
        <f>VLOOKUP($E1394,'Product Naming'!$A$1:$P$58,2,FALSE)</f>
        <v>2-Pyrone-4-6-Dicarboxylate</v>
      </c>
      <c r="T1394" s="1" t="str">
        <f>VLOOKUP($E1394,'Product Naming'!$A$1:$P$58,3,FALSE)</f>
        <v>2-Pyrone 4,6-dicarboxylate</v>
      </c>
      <c r="U1394" s="1" t="str">
        <f>VLOOKUP($E1394,'Product Naming'!$A$1:$P$58,4,FALSE)</f>
        <v>A</v>
      </c>
      <c r="V1394" s="1" t="str">
        <f>VLOOKUP($E1394,'Product Naming'!$A$1:$P$58,5,FALSE)</f>
        <v>C7H2O6</v>
      </c>
      <c r="W1394" s="1">
        <f>VLOOKUP($E1394,'Product Naming'!$A$1:$P$58,6,FALSE)</f>
        <v>7</v>
      </c>
      <c r="X1394" s="1">
        <f>VLOOKUP($E1394,'Product Naming'!$A$1:$P$58,7,FALSE)</f>
        <v>2</v>
      </c>
      <c r="Y1394" s="1">
        <f>VLOOKUP($E1394,'Product Naming'!$A$1:$P$58,8,FALSE)</f>
        <v>6</v>
      </c>
      <c r="Z1394" s="1">
        <f>VLOOKUP($E1394,'Product Naming'!$A$1:$P$58,9,FALSE)</f>
        <v>0</v>
      </c>
      <c r="AA1394" s="1">
        <f>VLOOKUP($E1394,'Product Naming'!$A$1:$P$58,10,FALSE)</f>
        <v>-2</v>
      </c>
      <c r="AB1394" s="29">
        <f>VLOOKUP($E1394,'Product Naming'!$A$1:$P$58,11,FALSE)</f>
        <v>2.5714285714285716</v>
      </c>
      <c r="AC1394" s="3">
        <f>VLOOKUP($E1394,'Product Naming'!$A$1:$P$58,12,FALSE)</f>
        <v>182.08458000000002</v>
      </c>
      <c r="AD1394" s="1">
        <f>VLOOKUP($E1394,'Product Naming'!$A$1:$P$58,13,FALSE)</f>
        <v>355.5</v>
      </c>
      <c r="AE1394" s="1" t="str">
        <f>VLOOKUP($E1394,'Product Naming'!$A$1:$P$58,14,FALSE)</f>
        <v>Dicarboxylate</v>
      </c>
      <c r="AF1394" s="1" t="str">
        <f>VLOOKUP($E1394,'Product Naming'!$A$1:$P$58,15,FALSE)</f>
        <v>Glyceraldehyde 3-P</v>
      </c>
      <c r="AG1394" s="30" t="str">
        <f>VLOOKUP($E1394,'Product Naming'!$A$1:$P$58,16,FALSE)</f>
        <v>Proton symporter</v>
      </c>
      <c r="AH1394" s="3" t="str">
        <f>VLOOKUP($E1394,'Product Naming'!$A$1:$Q$58,17,FALSE)</f>
        <v>2p46dc_c</v>
      </c>
      <c r="AI1394" s="1">
        <f>VLOOKUP($E1394,'Product Parameters'!$A$2:$D$59,2,FALSE)</f>
        <v>1</v>
      </c>
      <c r="AJ1394" s="1">
        <f>VLOOKUP($E1394,'Product Parameters'!$A$2:$D$59,3,FALSE)</f>
        <v>0</v>
      </c>
      <c r="AK1394" s="1">
        <f>VLOOKUP($E1394,'Product Parameters'!$A$2:$D$59,4,FALSE)</f>
        <v>0.12</v>
      </c>
      <c r="AL1394" s="1">
        <f>VLOOKUP($E1394,'Product Parameters'!$A$2:$E$59,5,FALSE)</f>
        <v>0</v>
      </c>
      <c r="AM1394" s="1">
        <f>VLOOKUP($E1394,'Product Parameters'!$A$2:$F$59,6,FALSE)</f>
        <v>7</v>
      </c>
      <c r="AN1394" s="1">
        <f>VLOOKUP($C1394,'Substrate Heating'!$A$2:$C$33,3,FALSE)</f>
        <v>2828.4492</v>
      </c>
      <c r="AO1394" s="1">
        <f>VLOOKUP($C1394,'Substrate Heating'!$A$2:$B$33,2,FALSE)</f>
        <v>15.7</v>
      </c>
      <c r="AP1394" s="1">
        <f>VLOOKUP($C1394,'Substrate Heating'!$A$2:$M$33,13,FALSE)</f>
        <v>4</v>
      </c>
      <c r="AQ1394" s="1">
        <f>VLOOKUP($C1394,'Substrate Heating'!$A$2:$M$33,8,FALSE)</f>
        <v>6</v>
      </c>
      <c r="AR1394" s="1">
        <f t="shared" si="21"/>
        <v>1.0412311015118798</v>
      </c>
    </row>
    <row r="1395" spans="1:44" x14ac:dyDescent="0.2">
      <c r="A1395" s="8" t="s">
        <v>812</v>
      </c>
      <c r="B1395" s="18" t="s">
        <v>324</v>
      </c>
      <c r="C1395" t="s">
        <v>814</v>
      </c>
      <c r="E1395" t="s">
        <v>318</v>
      </c>
      <c r="F1395" t="s">
        <v>319</v>
      </c>
      <c r="G1395">
        <v>-10</v>
      </c>
      <c r="H1395">
        <v>0</v>
      </c>
      <c r="I1395">
        <v>-10</v>
      </c>
      <c r="J1395">
        <v>0.45</v>
      </c>
      <c r="K1395">
        <v>-10</v>
      </c>
      <c r="L1395">
        <v>0</v>
      </c>
      <c r="M1395">
        <v>-10</v>
      </c>
      <c r="N1395">
        <v>-0.88780487804877894</v>
      </c>
      <c r="O1395">
        <v>1.7756097560975601</v>
      </c>
      <c r="P1395"/>
      <c r="Q1395">
        <v>0.17756097560975601</v>
      </c>
      <c r="R1395">
        <v>0.90280224846158696</v>
      </c>
      <c r="S1395" s="1" t="str">
        <f>VLOOKUP($E1395,'Product Naming'!$A$1:$P$58,2,FALSE)</f>
        <v>Succinate</v>
      </c>
      <c r="T1395" s="1" t="str">
        <f>VLOOKUP($E1395,'Product Naming'!$A$1:$P$58,3,FALSE)</f>
        <v>Succinate</v>
      </c>
      <c r="U1395" s="1" t="str">
        <f>VLOOKUP($E1395,'Product Naming'!$A$1:$P$58,4,FALSE)</f>
        <v>iJO1366</v>
      </c>
      <c r="V1395" s="1" t="str">
        <f>VLOOKUP($E1395,'Product Naming'!$A$1:$P$58,5,FALSE)</f>
        <v>C4H4O4</v>
      </c>
      <c r="W1395" s="1">
        <f>VLOOKUP($E1395,'Product Naming'!$A$1:$P$58,6,FALSE)</f>
        <v>4</v>
      </c>
      <c r="X1395" s="1">
        <f>VLOOKUP($E1395,'Product Naming'!$A$1:$P$58,7,FALSE)</f>
        <v>4</v>
      </c>
      <c r="Y1395" s="1">
        <f>VLOOKUP($E1395,'Product Naming'!$A$1:$P$58,8,FALSE)</f>
        <v>4</v>
      </c>
      <c r="Z1395" s="1">
        <f>VLOOKUP($E1395,'Product Naming'!$A$1:$P$58,9,FALSE)</f>
        <v>0</v>
      </c>
      <c r="AA1395" s="1">
        <f>VLOOKUP($E1395,'Product Naming'!$A$1:$P$58,10,FALSE)</f>
        <v>-2</v>
      </c>
      <c r="AB1395" s="29">
        <f>VLOOKUP($E1395,'Product Naming'!$A$1:$P$58,11,FALSE)</f>
        <v>3</v>
      </c>
      <c r="AC1395" s="3">
        <f>VLOOKUP($E1395,'Product Naming'!$A$1:$P$58,12,FALSE)</f>
        <v>116.07016</v>
      </c>
      <c r="AD1395" s="1">
        <f>VLOOKUP($E1395,'Product Naming'!$A$1:$P$58,13,FALSE)</f>
        <v>235</v>
      </c>
      <c r="AE1395" s="1" t="str">
        <f>VLOOKUP($E1395,'Product Naming'!$A$1:$P$58,14,FALSE)</f>
        <v>Dicarboxylate</v>
      </c>
      <c r="AF1395" s="1" t="str">
        <f>VLOOKUP($E1395,'Product Naming'!$A$1:$P$58,15,FALSE)</f>
        <v>Oxaloacetate</v>
      </c>
      <c r="AG1395" s="30" t="str">
        <f>VLOOKUP($E1395,'Product Naming'!$A$1:$P$58,16,FALSE)</f>
        <v>Proton symporter</v>
      </c>
      <c r="AH1395" s="3" t="str">
        <f>VLOOKUP($E1395,'Product Naming'!$A$1:$Q$58,17,FALSE)</f>
        <v>succ_c</v>
      </c>
      <c r="AI1395" s="1">
        <f>VLOOKUP($E1395,'Product Parameters'!$A$2:$D$59,2,FALSE)</f>
        <v>1</v>
      </c>
      <c r="AJ1395" s="1">
        <f>VLOOKUP($E1395,'Product Parameters'!$A$2:$D$59,3,FALSE)</f>
        <v>0</v>
      </c>
      <c r="AK1395" s="1">
        <f>VLOOKUP($E1395,'Product Parameters'!$A$2:$D$59,4,FALSE)</f>
        <v>0.12</v>
      </c>
      <c r="AL1395" s="1">
        <f>VLOOKUP($E1395,'Product Parameters'!$A$2:$E$59,5,FALSE)</f>
        <v>40.65</v>
      </c>
      <c r="AM1395" s="1">
        <f>VLOOKUP($E1395,'Product Parameters'!$A$2:$F$59,6,FALSE)</f>
        <v>4</v>
      </c>
      <c r="AN1395" s="1">
        <f>VLOOKUP($C1395,'Substrate Heating'!$A$2:$C$33,3,FALSE)</f>
        <v>209.92000000000002</v>
      </c>
      <c r="AO1395" s="1">
        <f>VLOOKUP($C1395,'Substrate Heating'!$A$2:$B$33,2,FALSE)</f>
        <v>10.086540906516333</v>
      </c>
      <c r="AP1395" s="1">
        <f>VLOOKUP($C1395,'Substrate Heating'!$A$2:$M$33,13,FALSE)</f>
        <v>0.8</v>
      </c>
      <c r="AQ1395" s="1">
        <f>VLOOKUP($C1395,'Substrate Heating'!$A$2:$M$33,8,FALSE)</f>
        <v>0.8</v>
      </c>
      <c r="AR1395" s="1">
        <f t="shared" si="21"/>
        <v>0.88780487804877994</v>
      </c>
    </row>
    <row r="1396" spans="1:44" x14ac:dyDescent="0.2">
      <c r="A1396" s="17" t="s">
        <v>185</v>
      </c>
      <c r="B1396" s="9" t="s">
        <v>35</v>
      </c>
      <c r="C1396" t="s">
        <v>348</v>
      </c>
      <c r="D1396" s="23" t="s">
        <v>338</v>
      </c>
      <c r="E1396" t="s">
        <v>318</v>
      </c>
      <c r="F1396" t="s">
        <v>319</v>
      </c>
      <c r="G1396">
        <v>-10</v>
      </c>
      <c r="H1396">
        <v>-20</v>
      </c>
      <c r="I1396" s="1" t="s">
        <v>40</v>
      </c>
      <c r="J1396">
        <v>3.15</v>
      </c>
      <c r="K1396">
        <v>-10</v>
      </c>
      <c r="L1396">
        <v>-6.2549295774647904</v>
      </c>
      <c r="M1396" s="1" t="s">
        <v>40</v>
      </c>
      <c r="N1396">
        <v>5.6338028168996298E-3</v>
      </c>
      <c r="O1396">
        <v>2.49859154929577</v>
      </c>
      <c r="P1396"/>
      <c r="Q1396">
        <v>0.249859154929577</v>
      </c>
      <c r="R1396">
        <v>0.90512586319369104</v>
      </c>
      <c r="S1396" s="1" t="str">
        <f>VLOOKUP($E1396,'Product Naming'!$A$1:$P$58,2,FALSE)</f>
        <v>Succinate</v>
      </c>
      <c r="T1396" s="1" t="str">
        <f>VLOOKUP($E1396,'Product Naming'!$A$1:$P$58,3,FALSE)</f>
        <v>Succinate</v>
      </c>
      <c r="U1396" s="1" t="str">
        <f>VLOOKUP($E1396,'Product Naming'!$A$1:$P$58,4,FALSE)</f>
        <v>iJO1366</v>
      </c>
      <c r="V1396" s="1" t="str">
        <f>VLOOKUP($E1396,'Product Naming'!$A$1:$P$58,5,FALSE)</f>
        <v>C4H4O4</v>
      </c>
      <c r="W1396" s="1">
        <f>VLOOKUP($E1396,'Product Naming'!$A$1:$P$58,6,FALSE)</f>
        <v>4</v>
      </c>
      <c r="X1396" s="1">
        <f>VLOOKUP($E1396,'Product Naming'!$A$1:$P$58,7,FALSE)</f>
        <v>4</v>
      </c>
      <c r="Y1396" s="1">
        <f>VLOOKUP($E1396,'Product Naming'!$A$1:$P$58,8,FALSE)</f>
        <v>4</v>
      </c>
      <c r="Z1396" s="1">
        <f>VLOOKUP($E1396,'Product Naming'!$A$1:$P$58,9,FALSE)</f>
        <v>0</v>
      </c>
      <c r="AA1396" s="1">
        <f>VLOOKUP($E1396,'Product Naming'!$A$1:$P$58,10,FALSE)</f>
        <v>-2</v>
      </c>
      <c r="AB1396" s="29">
        <f>VLOOKUP($E1396,'Product Naming'!$A$1:$P$58,11,FALSE)</f>
        <v>3</v>
      </c>
      <c r="AC1396" s="3">
        <f>VLOOKUP($E1396,'Product Naming'!$A$1:$P$58,12,FALSE)</f>
        <v>116.07016</v>
      </c>
      <c r="AD1396" s="1">
        <f>VLOOKUP($E1396,'Product Naming'!$A$1:$P$58,13,FALSE)</f>
        <v>235</v>
      </c>
      <c r="AE1396" s="1" t="str">
        <f>VLOOKUP($E1396,'Product Naming'!$A$1:$P$58,14,FALSE)</f>
        <v>Dicarboxylate</v>
      </c>
      <c r="AF1396" s="1" t="str">
        <f>VLOOKUP($E1396,'Product Naming'!$A$1:$P$58,15,FALSE)</f>
        <v>Oxaloacetate</v>
      </c>
      <c r="AG1396" s="30" t="str">
        <f>VLOOKUP($E1396,'Product Naming'!$A$1:$P$58,16,FALSE)</f>
        <v>Proton symporter</v>
      </c>
      <c r="AH1396" s="3" t="str">
        <f>VLOOKUP($E1396,'Product Naming'!$A$1:$Q$58,17,FALSE)</f>
        <v>succ_c</v>
      </c>
      <c r="AI1396" s="1">
        <f>VLOOKUP($E1396,'Product Parameters'!$A$2:$D$59,2,FALSE)</f>
        <v>1</v>
      </c>
      <c r="AJ1396" s="1">
        <f>VLOOKUP($E1396,'Product Parameters'!$A$2:$D$59,3,FALSE)</f>
        <v>0</v>
      </c>
      <c r="AK1396" s="1">
        <f>VLOOKUP($E1396,'Product Parameters'!$A$2:$D$59,4,FALSE)</f>
        <v>0.12</v>
      </c>
      <c r="AL1396" s="1">
        <f>VLOOKUP($E1396,'Product Parameters'!$A$2:$E$59,5,FALSE)</f>
        <v>40.65</v>
      </c>
      <c r="AM1396" s="1">
        <f>VLOOKUP($E1396,'Product Parameters'!$A$2:$F$59,6,FALSE)</f>
        <v>4</v>
      </c>
      <c r="AN1396" s="1">
        <f>VLOOKUP($C1396,'Substrate Heating'!$A$2:$C$33,3,FALSE)</f>
        <v>638.57832580000002</v>
      </c>
      <c r="AO1396" s="1">
        <f>VLOOKUP($C1396,'Substrate Heating'!$A$2:$B$33,2,FALSE)</f>
        <v>19.93</v>
      </c>
      <c r="AP1396" s="1">
        <f>VLOOKUP($C1396,'Substrate Heating'!$A$2:$M$33,13,FALSE)</f>
        <v>6</v>
      </c>
      <c r="AQ1396" s="1">
        <f>VLOOKUP($C1396,'Substrate Heating'!$A$2:$M$33,8,FALSE)</f>
        <v>1</v>
      </c>
      <c r="AR1396" s="1">
        <f t="shared" si="21"/>
        <v>0.99943661971830799</v>
      </c>
    </row>
    <row r="1397" spans="1:44" x14ac:dyDescent="0.2">
      <c r="A1397" s="8" t="s">
        <v>34</v>
      </c>
      <c r="B1397" s="9" t="s">
        <v>35</v>
      </c>
      <c r="C1397" s="1" t="s">
        <v>346</v>
      </c>
      <c r="D1397" s="23" t="s">
        <v>338</v>
      </c>
      <c r="E1397" s="1" t="s">
        <v>308</v>
      </c>
      <c r="F1397" s="1" t="s">
        <v>309</v>
      </c>
      <c r="G1397" s="1">
        <v>-10</v>
      </c>
      <c r="H1397" s="1">
        <v>-20</v>
      </c>
      <c r="I1397" s="1" t="s">
        <v>40</v>
      </c>
      <c r="J1397" s="1">
        <v>3.15</v>
      </c>
      <c r="K1397" s="1">
        <v>-10</v>
      </c>
      <c r="L1397" s="1">
        <v>-3.26790540540541</v>
      </c>
      <c r="M1397" s="1" t="s">
        <v>40</v>
      </c>
      <c r="N1397" s="1">
        <v>-1.73209459459459</v>
      </c>
      <c r="O1397" s="1">
        <v>1.6760135135135099</v>
      </c>
      <c r="Q1397" s="1">
        <v>0.16760135135135101</v>
      </c>
      <c r="R1397" s="1">
        <v>0.905668385178099</v>
      </c>
      <c r="S1397" s="1" t="str">
        <f>VLOOKUP($E1397,'Product Naming'!$A$1:$P$58,2,FALSE)</f>
        <v>Shikimate</v>
      </c>
      <c r="T1397" s="1" t="str">
        <f>VLOOKUP($E1397,'Product Naming'!$A$1:$P$58,3,FALSE)</f>
        <v>Shikimate</v>
      </c>
      <c r="U1397" s="1" t="str">
        <f>VLOOKUP($E1397,'Product Naming'!$A$1:$P$58,4,FALSE)</f>
        <v>E</v>
      </c>
      <c r="V1397" s="1" t="str">
        <f>VLOOKUP($E1397,'Product Naming'!$A$1:$P$58,5,FALSE)</f>
        <v>C7H9O5</v>
      </c>
      <c r="W1397" s="1">
        <f>VLOOKUP($E1397,'Product Naming'!$A$1:$P$58,6,FALSE)</f>
        <v>7</v>
      </c>
      <c r="X1397" s="1">
        <f>VLOOKUP($E1397,'Product Naming'!$A$1:$P$58,7,FALSE)</f>
        <v>9</v>
      </c>
      <c r="Y1397" s="1">
        <f>VLOOKUP($E1397,'Product Naming'!$A$1:$P$58,8,FALSE)</f>
        <v>5</v>
      </c>
      <c r="Z1397" s="1">
        <f>VLOOKUP($E1397,'Product Naming'!$A$1:$P$58,9,FALSE)</f>
        <v>0</v>
      </c>
      <c r="AA1397" s="1">
        <f>VLOOKUP($E1397,'Product Naming'!$A$1:$P$58,10,FALSE)</f>
        <v>-1</v>
      </c>
      <c r="AB1397" s="29">
        <f>VLOOKUP($E1397,'Product Naming'!$A$1:$P$58,11,FALSE)</f>
        <v>3.8571428571428572</v>
      </c>
      <c r="AC1397" s="3">
        <f>VLOOKUP($E1397,'Product Naming'!$A$1:$P$58,12,FALSE)</f>
        <v>173.14046000000002</v>
      </c>
      <c r="AD1397" s="1">
        <f>VLOOKUP($E1397,'Product Naming'!$A$1:$P$58,13,FALSE)</f>
        <v>400.5</v>
      </c>
      <c r="AE1397" s="1" t="str">
        <f>VLOOKUP($E1397,'Product Naming'!$A$1:$P$58,14,FALSE)</f>
        <v>Aromatic + Alcohol + Carboxylate</v>
      </c>
      <c r="AF1397" s="1" t="str">
        <f>VLOOKUP($E1397,'Product Naming'!$A$1:$P$58,15,FALSE)</f>
        <v>PEP + E4P (Glyceraldehyde 3-P)</v>
      </c>
      <c r="AG1397" s="30" t="str">
        <f>VLOOKUP($E1397,'Product Naming'!$A$1:$P$58,16,FALSE)</f>
        <v>Proton symporter</v>
      </c>
      <c r="AH1397" s="3" t="str">
        <f>VLOOKUP($E1397,'Product Naming'!$A$1:$Q$58,17,FALSE)</f>
        <v>skm_c</v>
      </c>
      <c r="AI1397" s="1">
        <f>VLOOKUP($E1397,'Product Parameters'!$A$2:$D$59,2,FALSE)</f>
        <v>1</v>
      </c>
      <c r="AJ1397" s="1">
        <f>VLOOKUP($E1397,'Product Parameters'!$A$2:$D$59,3,FALSE)</f>
        <v>0</v>
      </c>
      <c r="AK1397" s="1">
        <f>VLOOKUP($E1397,'Product Parameters'!$A$2:$D$59,4,FALSE)</f>
        <v>0.12</v>
      </c>
      <c r="AL1397" s="1">
        <f>VLOOKUP($E1397,'Product Parameters'!$A$2:$E$59,5,FALSE)</f>
        <v>40.65</v>
      </c>
      <c r="AM1397" s="1">
        <f>VLOOKUP($E1397,'Product Parameters'!$A$2:$F$59,6,FALSE)</f>
        <v>7</v>
      </c>
      <c r="AN1397" s="1">
        <f>VLOOKUP($C1397,'Substrate Heating'!$A$2:$C$33,3,FALSE)</f>
        <v>638.57832580000002</v>
      </c>
      <c r="AO1397" s="1">
        <f>VLOOKUP($C1397,'Substrate Heating'!$A$2:$B$33,2,FALSE)</f>
        <v>19.93</v>
      </c>
      <c r="AP1397" s="1">
        <f>VLOOKUP($C1397,'Substrate Heating'!$A$2:$M$33,13,FALSE)</f>
        <v>6</v>
      </c>
      <c r="AQ1397" s="1">
        <f>VLOOKUP($C1397,'Substrate Heating'!$A$2:$M$33,8,FALSE)</f>
        <v>1</v>
      </c>
      <c r="AR1397" s="1">
        <f t="shared" si="21"/>
        <v>1.1732094594594571</v>
      </c>
    </row>
    <row r="1398" spans="1:44" x14ac:dyDescent="0.2">
      <c r="A1398" s="8" t="s">
        <v>34</v>
      </c>
      <c r="B1398" s="9" t="s">
        <v>35</v>
      </c>
      <c r="C1398" s="1" t="s">
        <v>347</v>
      </c>
      <c r="D1398" s="23" t="s">
        <v>338</v>
      </c>
      <c r="E1398" s="1" t="s">
        <v>308</v>
      </c>
      <c r="F1398" s="1" t="s">
        <v>309</v>
      </c>
      <c r="G1398" s="1">
        <v>-10</v>
      </c>
      <c r="H1398" s="1">
        <v>-20</v>
      </c>
      <c r="I1398" s="1" t="s">
        <v>40</v>
      </c>
      <c r="J1398" s="1">
        <v>3.15</v>
      </c>
      <c r="K1398" s="1">
        <v>-10</v>
      </c>
      <c r="L1398" s="1">
        <v>-3.26790540540541</v>
      </c>
      <c r="M1398" s="1" t="s">
        <v>40</v>
      </c>
      <c r="N1398" s="1">
        <v>-1.7320945945946</v>
      </c>
      <c r="O1398" s="1">
        <v>1.6760135135135099</v>
      </c>
      <c r="Q1398" s="1">
        <v>0.16760135135135101</v>
      </c>
      <c r="R1398" s="1">
        <v>0.905668385178099</v>
      </c>
      <c r="S1398" s="1" t="str">
        <f>VLOOKUP($E1398,'Product Naming'!$A$1:$P$58,2,FALSE)</f>
        <v>Shikimate</v>
      </c>
      <c r="T1398" s="1" t="str">
        <f>VLOOKUP($E1398,'Product Naming'!$A$1:$P$58,3,FALSE)</f>
        <v>Shikimate</v>
      </c>
      <c r="U1398" s="1" t="str">
        <f>VLOOKUP($E1398,'Product Naming'!$A$1:$P$58,4,FALSE)</f>
        <v>E</v>
      </c>
      <c r="V1398" s="1" t="str">
        <f>VLOOKUP($E1398,'Product Naming'!$A$1:$P$58,5,FALSE)</f>
        <v>C7H9O5</v>
      </c>
      <c r="W1398" s="1">
        <f>VLOOKUP($E1398,'Product Naming'!$A$1:$P$58,6,FALSE)</f>
        <v>7</v>
      </c>
      <c r="X1398" s="1">
        <f>VLOOKUP($E1398,'Product Naming'!$A$1:$P$58,7,FALSE)</f>
        <v>9</v>
      </c>
      <c r="Y1398" s="1">
        <f>VLOOKUP($E1398,'Product Naming'!$A$1:$P$58,8,FALSE)</f>
        <v>5</v>
      </c>
      <c r="Z1398" s="1">
        <f>VLOOKUP($E1398,'Product Naming'!$A$1:$P$58,9,FALSE)</f>
        <v>0</v>
      </c>
      <c r="AA1398" s="1">
        <f>VLOOKUP($E1398,'Product Naming'!$A$1:$P$58,10,FALSE)</f>
        <v>-1</v>
      </c>
      <c r="AB1398" s="29">
        <f>VLOOKUP($E1398,'Product Naming'!$A$1:$P$58,11,FALSE)</f>
        <v>3.8571428571428572</v>
      </c>
      <c r="AC1398" s="3">
        <f>VLOOKUP($E1398,'Product Naming'!$A$1:$P$58,12,FALSE)</f>
        <v>173.14046000000002</v>
      </c>
      <c r="AD1398" s="1">
        <f>VLOOKUP($E1398,'Product Naming'!$A$1:$P$58,13,FALSE)</f>
        <v>400.5</v>
      </c>
      <c r="AE1398" s="1" t="str">
        <f>VLOOKUP($E1398,'Product Naming'!$A$1:$P$58,14,FALSE)</f>
        <v>Aromatic + Alcohol + Carboxylate</v>
      </c>
      <c r="AF1398" s="1" t="str">
        <f>VLOOKUP($E1398,'Product Naming'!$A$1:$P$58,15,FALSE)</f>
        <v>PEP + E4P (Glyceraldehyde 3-P)</v>
      </c>
      <c r="AG1398" s="30" t="str">
        <f>VLOOKUP($E1398,'Product Naming'!$A$1:$P$58,16,FALSE)</f>
        <v>Proton symporter</v>
      </c>
      <c r="AH1398" s="3" t="str">
        <f>VLOOKUP($E1398,'Product Naming'!$A$1:$Q$58,17,FALSE)</f>
        <v>skm_c</v>
      </c>
      <c r="AI1398" s="1">
        <f>VLOOKUP($E1398,'Product Parameters'!$A$2:$D$59,2,FALSE)</f>
        <v>1</v>
      </c>
      <c r="AJ1398" s="1">
        <f>VLOOKUP($E1398,'Product Parameters'!$A$2:$D$59,3,FALSE)</f>
        <v>0</v>
      </c>
      <c r="AK1398" s="1">
        <f>VLOOKUP($E1398,'Product Parameters'!$A$2:$D$59,4,FALSE)</f>
        <v>0.12</v>
      </c>
      <c r="AL1398" s="1">
        <f>VLOOKUP($E1398,'Product Parameters'!$A$2:$E$59,5,FALSE)</f>
        <v>40.65</v>
      </c>
      <c r="AM1398" s="1">
        <f>VLOOKUP($E1398,'Product Parameters'!$A$2:$F$59,6,FALSE)</f>
        <v>7</v>
      </c>
      <c r="AN1398" s="1">
        <f>VLOOKUP($C1398,'Substrate Heating'!$A$2:$C$33,3,FALSE)</f>
        <v>638.57832580000002</v>
      </c>
      <c r="AO1398" s="1">
        <f>VLOOKUP($C1398,'Substrate Heating'!$A$2:$B$33,2,FALSE)</f>
        <v>19.93</v>
      </c>
      <c r="AP1398" s="1">
        <f>VLOOKUP($C1398,'Substrate Heating'!$A$2:$M$33,13,FALSE)</f>
        <v>6</v>
      </c>
      <c r="AQ1398" s="1">
        <f>VLOOKUP($C1398,'Substrate Heating'!$A$2:$M$33,8,FALSE)</f>
        <v>1</v>
      </c>
      <c r="AR1398" s="1">
        <f t="shared" si="21"/>
        <v>1.1732094594594571</v>
      </c>
    </row>
    <row r="1399" spans="1:44" x14ac:dyDescent="0.2">
      <c r="A1399" s="8" t="s">
        <v>34</v>
      </c>
      <c r="B1399" s="9" t="s">
        <v>35</v>
      </c>
      <c r="C1399" s="1" t="s">
        <v>36</v>
      </c>
      <c r="D1399" s="10" t="s">
        <v>37</v>
      </c>
      <c r="E1399" s="1" t="s">
        <v>244</v>
      </c>
      <c r="F1399" s="1" t="s">
        <v>245</v>
      </c>
      <c r="G1399" s="1">
        <v>-10</v>
      </c>
      <c r="H1399" s="1">
        <v>-20</v>
      </c>
      <c r="I1399" s="1" t="s">
        <v>40</v>
      </c>
      <c r="J1399" s="1">
        <v>3.15</v>
      </c>
      <c r="K1399" s="1">
        <v>-10</v>
      </c>
      <c r="L1399" s="1">
        <v>-2.0375000000000001</v>
      </c>
      <c r="M1399" s="1" t="s">
        <v>40</v>
      </c>
      <c r="N1399" s="1">
        <v>1.63</v>
      </c>
      <c r="O1399" s="1">
        <v>4.5925000000000002</v>
      </c>
      <c r="Q1399" s="1">
        <v>0.45924999999999999</v>
      </c>
      <c r="R1399" s="1">
        <v>0.90799303001741605</v>
      </c>
      <c r="S1399" s="1" t="str">
        <f>VLOOKUP($E1399,'Product Naming'!$A$1:$P$58,2,FALSE)</f>
        <v>Isobutyrate</v>
      </c>
      <c r="T1399" s="1" t="str">
        <f>VLOOKUP($E1399,'Product Naming'!$A$1:$P$58,3,FALSE)</f>
        <v>Isobutyrate</v>
      </c>
      <c r="U1399" s="1" t="str">
        <f>VLOOKUP($E1399,'Product Naming'!$A$1:$P$58,4,FALSE)</f>
        <v>A</v>
      </c>
      <c r="V1399" s="1" t="str">
        <f>VLOOKUP($E1399,'Product Naming'!$A$1:$P$58,5,FALSE)</f>
        <v>C4H7O2</v>
      </c>
      <c r="W1399" s="1">
        <f>VLOOKUP($E1399,'Product Naming'!$A$1:$P$58,6,FALSE)</f>
        <v>4</v>
      </c>
      <c r="X1399" s="1">
        <f>VLOOKUP($E1399,'Product Naming'!$A$1:$P$58,7,FALSE)</f>
        <v>7</v>
      </c>
      <c r="Y1399" s="1">
        <f>VLOOKUP($E1399,'Product Naming'!$A$1:$P$58,8,FALSE)</f>
        <v>2</v>
      </c>
      <c r="Z1399" s="1">
        <f>VLOOKUP($E1399,'Product Naming'!$A$1:$P$58,9,FALSE)</f>
        <v>0</v>
      </c>
      <c r="AA1399" s="1">
        <f>VLOOKUP($E1399,'Product Naming'!$A$1:$P$58,10,FALSE)</f>
        <v>-1</v>
      </c>
      <c r="AB1399" s="29">
        <f>VLOOKUP($E1399,'Product Naming'!$A$1:$P$58,11,FALSE)</f>
        <v>4.75</v>
      </c>
      <c r="AC1399" s="3">
        <f>VLOOKUP($E1399,'Product Naming'!$A$1:$P$58,12,FALSE)</f>
        <v>87.095680000000002</v>
      </c>
      <c r="AD1399" s="1">
        <f>VLOOKUP($E1399,'Product Naming'!$A$1:$P$58,13,FALSE)</f>
        <v>155</v>
      </c>
      <c r="AE1399" s="1" t="str">
        <f>VLOOKUP($E1399,'Product Naming'!$A$1:$P$58,14,FALSE)</f>
        <v>Carboxylate</v>
      </c>
      <c r="AF1399" s="1" t="str">
        <f>VLOOKUP($E1399,'Product Naming'!$A$1:$P$58,15,FALSE)</f>
        <v>Pyruvate</v>
      </c>
      <c r="AG1399" s="30" t="str">
        <f>VLOOKUP($E1399,'Product Naming'!$A$1:$P$58,16,FALSE)</f>
        <v>Proton symporter</v>
      </c>
      <c r="AH1399" s="3" t="str">
        <f>VLOOKUP($E1399,'Product Naming'!$A$1:$Q$58,17,FALSE)</f>
        <v>ibt_c</v>
      </c>
      <c r="AI1399" s="1">
        <f>VLOOKUP($E1399,'Product Parameters'!$A$2:$D$59,2,FALSE)</f>
        <v>1</v>
      </c>
      <c r="AJ1399" s="1">
        <f>VLOOKUP($E1399,'Product Parameters'!$A$2:$D$59,3,FALSE)</f>
        <v>0</v>
      </c>
      <c r="AK1399" s="1">
        <f>VLOOKUP($E1399,'Product Parameters'!$A$2:$D$59,4,FALSE)</f>
        <v>0.12</v>
      </c>
      <c r="AL1399" s="1">
        <f>VLOOKUP($E1399,'Product Parameters'!$A$2:$E$59,5,FALSE)</f>
        <v>44.5</v>
      </c>
      <c r="AM1399" s="1">
        <f>VLOOKUP($E1399,'Product Parameters'!$A$2:$F$59,6,FALSE)</f>
        <v>4</v>
      </c>
      <c r="AN1399" s="1">
        <f>VLOOKUP($C1399,'Substrate Heating'!$A$2:$C$33,3,FALSE)</f>
        <v>1064.1143145599999</v>
      </c>
      <c r="AO1399" s="1">
        <f>VLOOKUP($C1399,'Substrate Heating'!$A$2:$B$33,2,FALSE)</f>
        <v>24.155999999999999</v>
      </c>
      <c r="AP1399" s="1">
        <f>VLOOKUP($C1399,'Substrate Heating'!$A$2:$M$33,13,FALSE)</f>
        <v>5</v>
      </c>
      <c r="AQ1399" s="1">
        <f>VLOOKUP($C1399,'Substrate Heating'!$A$2:$M$33,8,FALSE)</f>
        <v>2</v>
      </c>
      <c r="AR1399" s="1">
        <f t="shared" si="21"/>
        <v>0.91849999999999998</v>
      </c>
    </row>
    <row r="1400" spans="1:44" x14ac:dyDescent="0.2">
      <c r="A1400" s="8" t="s">
        <v>34</v>
      </c>
      <c r="B1400" s="9" t="s">
        <v>35</v>
      </c>
      <c r="C1400" s="1" t="s">
        <v>331</v>
      </c>
      <c r="D1400" s="10" t="s">
        <v>37</v>
      </c>
      <c r="E1400" s="1" t="s">
        <v>97</v>
      </c>
      <c r="F1400" s="1" t="s">
        <v>98</v>
      </c>
      <c r="G1400" s="1">
        <v>-10</v>
      </c>
      <c r="H1400" s="1">
        <v>-20</v>
      </c>
      <c r="I1400" s="1" t="s">
        <v>40</v>
      </c>
      <c r="J1400" s="1">
        <v>3.15</v>
      </c>
      <c r="K1400" s="1">
        <v>-10</v>
      </c>
      <c r="L1400" s="1">
        <v>-9.5196629213483206</v>
      </c>
      <c r="M1400" s="1" t="s">
        <v>40</v>
      </c>
      <c r="N1400" s="1">
        <v>-1.67247191011236</v>
      </c>
      <c r="O1400" s="1">
        <v>3.0960674157303401</v>
      </c>
      <c r="Q1400" s="1">
        <v>0.30960674157303397</v>
      </c>
      <c r="R1400" s="1">
        <v>0.908295204885324</v>
      </c>
      <c r="S1400" s="1" t="str">
        <f>VLOOKUP($E1400,'Product Naming'!$A$1:$P$58,2,FALSE)</f>
        <v>2-Pyrone-4-6-Dicarboxylate</v>
      </c>
      <c r="T1400" s="1" t="str">
        <f>VLOOKUP($E1400,'Product Naming'!$A$1:$P$58,3,FALSE)</f>
        <v>2-Pyrone 4,6-dicarboxylate</v>
      </c>
      <c r="U1400" s="1" t="str">
        <f>VLOOKUP($E1400,'Product Naming'!$A$1:$P$58,4,FALSE)</f>
        <v>A</v>
      </c>
      <c r="V1400" s="1" t="str">
        <f>VLOOKUP($E1400,'Product Naming'!$A$1:$P$58,5,FALSE)</f>
        <v>C7H2O6</v>
      </c>
      <c r="W1400" s="1">
        <f>VLOOKUP($E1400,'Product Naming'!$A$1:$P$58,6,FALSE)</f>
        <v>7</v>
      </c>
      <c r="X1400" s="1">
        <f>VLOOKUP($E1400,'Product Naming'!$A$1:$P$58,7,FALSE)</f>
        <v>2</v>
      </c>
      <c r="Y1400" s="1">
        <f>VLOOKUP($E1400,'Product Naming'!$A$1:$P$58,8,FALSE)</f>
        <v>6</v>
      </c>
      <c r="Z1400" s="1">
        <f>VLOOKUP($E1400,'Product Naming'!$A$1:$P$58,9,FALSE)</f>
        <v>0</v>
      </c>
      <c r="AA1400" s="1">
        <f>VLOOKUP($E1400,'Product Naming'!$A$1:$P$58,10,FALSE)</f>
        <v>-2</v>
      </c>
      <c r="AB1400" s="29">
        <f>VLOOKUP($E1400,'Product Naming'!$A$1:$P$58,11,FALSE)</f>
        <v>2.5714285714285716</v>
      </c>
      <c r="AC1400" s="3">
        <f>VLOOKUP($E1400,'Product Naming'!$A$1:$P$58,12,FALSE)</f>
        <v>182.08458000000002</v>
      </c>
      <c r="AD1400" s="1">
        <f>VLOOKUP($E1400,'Product Naming'!$A$1:$P$58,13,FALSE)</f>
        <v>355.5</v>
      </c>
      <c r="AE1400" s="1" t="str">
        <f>VLOOKUP($E1400,'Product Naming'!$A$1:$P$58,14,FALSE)</f>
        <v>Dicarboxylate</v>
      </c>
      <c r="AF1400" s="1" t="str">
        <f>VLOOKUP($E1400,'Product Naming'!$A$1:$P$58,15,FALSE)</f>
        <v>Glyceraldehyde 3-P</v>
      </c>
      <c r="AG1400" s="30" t="str">
        <f>VLOOKUP($E1400,'Product Naming'!$A$1:$P$58,16,FALSE)</f>
        <v>Proton symporter</v>
      </c>
      <c r="AH1400" s="3" t="str">
        <f>VLOOKUP($E1400,'Product Naming'!$A$1:$Q$58,17,FALSE)</f>
        <v>2p46dc_c</v>
      </c>
      <c r="AI1400" s="1">
        <f>VLOOKUP($E1400,'Product Parameters'!$A$2:$D$59,2,FALSE)</f>
        <v>1</v>
      </c>
      <c r="AJ1400" s="1">
        <f>VLOOKUP($E1400,'Product Parameters'!$A$2:$D$59,3,FALSE)</f>
        <v>0</v>
      </c>
      <c r="AK1400" s="1">
        <f>VLOOKUP($E1400,'Product Parameters'!$A$2:$D$59,4,FALSE)</f>
        <v>0.12</v>
      </c>
      <c r="AL1400" s="1">
        <f>VLOOKUP($E1400,'Product Parameters'!$A$2:$E$59,5,FALSE)</f>
        <v>0</v>
      </c>
      <c r="AM1400" s="1">
        <f>VLOOKUP($E1400,'Product Parameters'!$A$2:$F$59,6,FALSE)</f>
        <v>7</v>
      </c>
      <c r="AN1400" s="1">
        <f>VLOOKUP($C1400,'Substrate Heating'!$A$2:$C$33,3,FALSE)</f>
        <v>1055.1294800000001</v>
      </c>
      <c r="AO1400" s="1">
        <f>VLOOKUP($C1400,'Substrate Heating'!$A$2:$B$33,2,FALSE)</f>
        <v>17</v>
      </c>
      <c r="AP1400" s="1">
        <f>VLOOKUP($C1400,'Substrate Heating'!$A$2:$M$33,13,FALSE)</f>
        <v>5</v>
      </c>
      <c r="AQ1400" s="1">
        <f>VLOOKUP($C1400,'Substrate Heating'!$A$2:$M$33,8,FALSE)</f>
        <v>2</v>
      </c>
      <c r="AR1400" s="1">
        <f t="shared" si="21"/>
        <v>1.0836235955056188</v>
      </c>
    </row>
    <row r="1401" spans="1:44" x14ac:dyDescent="0.2">
      <c r="A1401" s="8" t="s">
        <v>34</v>
      </c>
      <c r="B1401" s="9" t="s">
        <v>35</v>
      </c>
      <c r="C1401" s="1" t="s">
        <v>36</v>
      </c>
      <c r="D1401" s="10" t="s">
        <v>37</v>
      </c>
      <c r="E1401" s="1" t="s">
        <v>48</v>
      </c>
      <c r="F1401" s="1" t="s">
        <v>39</v>
      </c>
      <c r="G1401" s="1">
        <v>-10</v>
      </c>
      <c r="H1401" s="1">
        <v>-20</v>
      </c>
      <c r="I1401" s="1" t="s">
        <v>40</v>
      </c>
      <c r="J1401" s="1">
        <v>3.15</v>
      </c>
      <c r="K1401" s="1">
        <v>-10</v>
      </c>
      <c r="L1401" s="1">
        <v>-0.53487179487179504</v>
      </c>
      <c r="M1401" s="1" t="s">
        <v>40</v>
      </c>
      <c r="N1401" s="1">
        <v>2.2071794871794901</v>
      </c>
      <c r="O1401" s="1">
        <v>4.4482051282051298</v>
      </c>
      <c r="Q1401" s="1">
        <v>0.44482051282051299</v>
      </c>
      <c r="R1401" s="1">
        <v>0.90999471437632395</v>
      </c>
      <c r="S1401" s="1" t="str">
        <f>VLOOKUP($E1401,'Product Naming'!$A$1:$P$58,2,FALSE)</f>
        <v>1-3-butanediol-PW2</v>
      </c>
      <c r="T1401" s="1" t="str">
        <f>VLOOKUP($E1401,'Product Naming'!$A$1:$P$58,3,FALSE)</f>
        <v>1,3-Butanediol (PW2)</v>
      </c>
      <c r="U1401" s="1" t="str">
        <f>VLOOKUP($E1401,'Product Naming'!$A$1:$P$58,4,FALSE)</f>
        <v>E</v>
      </c>
      <c r="V1401" s="1" t="str">
        <f>VLOOKUP($E1401,'Product Naming'!$A$1:$P$58,5,FALSE)</f>
        <v>C4H10O2</v>
      </c>
      <c r="W1401" s="1">
        <f>VLOOKUP($E1401,'Product Naming'!$A$1:$P$58,6,FALSE)</f>
        <v>4</v>
      </c>
      <c r="X1401" s="1">
        <f>VLOOKUP($E1401,'Product Naming'!$A$1:$P$58,7,FALSE)</f>
        <v>10</v>
      </c>
      <c r="Y1401" s="1">
        <f>VLOOKUP($E1401,'Product Naming'!$A$1:$P$58,8,FALSE)</f>
        <v>2</v>
      </c>
      <c r="Z1401" s="1">
        <f>VLOOKUP($E1401,'Product Naming'!$A$1:$P$58,9,FALSE)</f>
        <v>0</v>
      </c>
      <c r="AA1401" s="1">
        <f>VLOOKUP($E1401,'Product Naming'!$A$1:$P$58,10,FALSE)</f>
        <v>0</v>
      </c>
      <c r="AB1401" s="29">
        <f>VLOOKUP($E1401,'Product Naming'!$A$1:$P$58,11,FALSE)</f>
        <v>5.5</v>
      </c>
      <c r="AC1401" s="3">
        <f>VLOOKUP($E1401,'Product Naming'!$A$1:$P$58,12,FALSE)</f>
        <v>90.119200000000006</v>
      </c>
      <c r="AD1401" s="1">
        <f>VLOOKUP($E1401,'Product Naming'!$A$1:$P$58,13,FALSE)</f>
        <v>207</v>
      </c>
      <c r="AE1401" s="1" t="str">
        <f>VLOOKUP($E1401,'Product Naming'!$A$1:$P$58,14,FALSE)</f>
        <v>Diol</v>
      </c>
      <c r="AF1401" s="1" t="str">
        <f>VLOOKUP($E1401,'Product Naming'!$A$1:$P$58,15,FALSE)</f>
        <v>Pyruvate (acetalehyde)</v>
      </c>
      <c r="AG1401" s="30" t="str">
        <f>VLOOKUP($E1401,'Product Naming'!$A$1:$P$58,16,FALSE)</f>
        <v>Proton symporter</v>
      </c>
      <c r="AH1401" s="3" t="str">
        <f>VLOOKUP($E1401,'Product Naming'!$A$1:$Q$58,17,FALSE)</f>
        <v>13bdo__R_c</v>
      </c>
      <c r="AI1401" s="1">
        <f>VLOOKUP($E1401,'Product Parameters'!$A$2:$D$59,2,FALSE)</f>
        <v>1</v>
      </c>
      <c r="AJ1401" s="1">
        <f>VLOOKUP($E1401,'Product Parameters'!$A$2:$D$59,3,FALSE)</f>
        <v>0</v>
      </c>
      <c r="AK1401" s="1">
        <f>VLOOKUP($E1401,'Product Parameters'!$A$2:$D$59,4,FALSE)</f>
        <v>0.12</v>
      </c>
      <c r="AL1401" s="1">
        <f>VLOOKUP($E1401,'Product Parameters'!$A$2:$E$59,5,FALSE)</f>
        <v>72.599999999999994</v>
      </c>
      <c r="AM1401" s="1">
        <f>VLOOKUP($E1401,'Product Parameters'!$A$2:$F$59,6,FALSE)</f>
        <v>4</v>
      </c>
      <c r="AN1401" s="1">
        <f>VLOOKUP($C1401,'Substrate Heating'!$A$2:$C$33,3,FALSE)</f>
        <v>1064.1143145599999</v>
      </c>
      <c r="AO1401" s="1">
        <f>VLOOKUP($C1401,'Substrate Heating'!$A$2:$B$33,2,FALSE)</f>
        <v>24.155999999999999</v>
      </c>
      <c r="AP1401" s="1">
        <f>VLOOKUP($C1401,'Substrate Heating'!$A$2:$M$33,13,FALSE)</f>
        <v>5</v>
      </c>
      <c r="AQ1401" s="1">
        <f>VLOOKUP($C1401,'Substrate Heating'!$A$2:$M$33,8,FALSE)</f>
        <v>2</v>
      </c>
      <c r="AR1401" s="1">
        <f t="shared" si="21"/>
        <v>0.88964102564102598</v>
      </c>
    </row>
    <row r="1402" spans="1:44" x14ac:dyDescent="0.2">
      <c r="A1402" s="8" t="s">
        <v>34</v>
      </c>
      <c r="B1402" s="9" t="s">
        <v>35</v>
      </c>
      <c r="C1402" s="1" t="s">
        <v>346</v>
      </c>
      <c r="D1402" s="23" t="s">
        <v>338</v>
      </c>
      <c r="E1402" s="1" t="s">
        <v>130</v>
      </c>
      <c r="F1402" s="1" t="s">
        <v>125</v>
      </c>
      <c r="G1402" s="1">
        <v>-10</v>
      </c>
      <c r="H1402" s="1">
        <v>-20</v>
      </c>
      <c r="I1402" s="1" t="s">
        <v>40</v>
      </c>
      <c r="J1402" s="1">
        <v>3.15</v>
      </c>
      <c r="K1402" s="1">
        <v>-10</v>
      </c>
      <c r="L1402" s="1">
        <v>-2.6729729729729699</v>
      </c>
      <c r="M1402" s="1" t="s">
        <v>40</v>
      </c>
      <c r="N1402" s="1">
        <v>-2.3270270270270301</v>
      </c>
      <c r="O1402" s="1">
        <v>4.1090090090090099</v>
      </c>
      <c r="Q1402" s="1">
        <v>0.41090090090090098</v>
      </c>
      <c r="R1402" s="1">
        <v>0.91120569888356595</v>
      </c>
      <c r="S1402" s="1" t="str">
        <f>VLOOKUP($E1402,'Product Naming'!$A$1:$P$58,2,FALSE)</f>
        <v>Acrylate-PW2</v>
      </c>
      <c r="T1402" s="1" t="str">
        <f>VLOOKUP($E1402,'Product Naming'!$A$1:$P$58,3,FALSE)</f>
        <v>Acrylate (PW2)</v>
      </c>
      <c r="U1402" s="1" t="str">
        <f>VLOOKUP($E1402,'Product Naming'!$A$1:$P$58,4,FALSE)</f>
        <v>A</v>
      </c>
      <c r="V1402" s="1" t="str">
        <f>VLOOKUP($E1402,'Product Naming'!$A$1:$P$58,5,FALSE)</f>
        <v>C3H3O2</v>
      </c>
      <c r="W1402" s="1">
        <f>VLOOKUP($E1402,'Product Naming'!$A$1:$P$58,6,FALSE)</f>
        <v>3</v>
      </c>
      <c r="X1402" s="1">
        <f>VLOOKUP($E1402,'Product Naming'!$A$1:$P$58,7,FALSE)</f>
        <v>3</v>
      </c>
      <c r="Y1402" s="1">
        <f>VLOOKUP($E1402,'Product Naming'!$A$1:$P$58,8,FALSE)</f>
        <v>2</v>
      </c>
      <c r="Z1402" s="1">
        <f>VLOOKUP($E1402,'Product Naming'!$A$1:$P$58,9,FALSE)</f>
        <v>0</v>
      </c>
      <c r="AA1402" s="1">
        <f>VLOOKUP($E1402,'Product Naming'!$A$1:$P$58,10,FALSE)</f>
        <v>-1</v>
      </c>
      <c r="AB1402" s="29">
        <f>VLOOKUP($E1402,'Product Naming'!$A$1:$P$58,11,FALSE)</f>
        <v>3.6666666666666665</v>
      </c>
      <c r="AC1402" s="3">
        <f>VLOOKUP($E1402,'Product Naming'!$A$1:$P$58,12,FALSE)</f>
        <v>71.053619999999995</v>
      </c>
      <c r="AD1402" s="1">
        <f>VLOOKUP($E1402,'Product Naming'!$A$1:$P$58,13,FALSE)</f>
        <v>80</v>
      </c>
      <c r="AE1402" s="1" t="str">
        <f>VLOOKUP($E1402,'Product Naming'!$A$1:$P$58,14,FALSE)</f>
        <v>Carboxylate</v>
      </c>
      <c r="AF1402" s="1" t="str">
        <f>VLOOKUP($E1402,'Product Naming'!$A$1:$P$58,15,FALSE)</f>
        <v>Pyruvate</v>
      </c>
      <c r="AG1402" s="30" t="str">
        <f>VLOOKUP($E1402,'Product Naming'!$A$1:$P$58,16,FALSE)</f>
        <v>Proton symporter</v>
      </c>
      <c r="AH1402" s="3" t="str">
        <f>VLOOKUP($E1402,'Product Naming'!$A$1:$Q$58,17,FALSE)</f>
        <v>acryl_c</v>
      </c>
      <c r="AI1402" s="1">
        <f>VLOOKUP($E1402,'Product Parameters'!$A$2:$D$59,2,FALSE)</f>
        <v>1</v>
      </c>
      <c r="AJ1402" s="1">
        <f>VLOOKUP($E1402,'Product Parameters'!$A$2:$D$59,3,FALSE)</f>
        <v>0</v>
      </c>
      <c r="AK1402" s="1">
        <f>VLOOKUP($E1402,'Product Parameters'!$A$2:$D$59,4,FALSE)</f>
        <v>0.12</v>
      </c>
      <c r="AL1402" s="1">
        <f>VLOOKUP($E1402,'Product Parameters'!$A$2:$E$59,5,FALSE)</f>
        <v>53.1</v>
      </c>
      <c r="AM1402" s="1">
        <f>VLOOKUP($E1402,'Product Parameters'!$A$2:$F$59,6,FALSE)</f>
        <v>3</v>
      </c>
      <c r="AN1402" s="1">
        <f>VLOOKUP($C1402,'Substrate Heating'!$A$2:$C$33,3,FALSE)</f>
        <v>638.57832580000002</v>
      </c>
      <c r="AO1402" s="1">
        <f>VLOOKUP($C1402,'Substrate Heating'!$A$2:$B$33,2,FALSE)</f>
        <v>19.93</v>
      </c>
      <c r="AP1402" s="1">
        <f>VLOOKUP($C1402,'Substrate Heating'!$A$2:$M$33,13,FALSE)</f>
        <v>6</v>
      </c>
      <c r="AQ1402" s="1">
        <f>VLOOKUP($C1402,'Substrate Heating'!$A$2:$M$33,8,FALSE)</f>
        <v>1</v>
      </c>
      <c r="AR1402" s="1">
        <f t="shared" si="21"/>
        <v>1.2327027027027029</v>
      </c>
    </row>
    <row r="1403" spans="1:44" x14ac:dyDescent="0.2">
      <c r="A1403" s="8" t="s">
        <v>34</v>
      </c>
      <c r="B1403" s="9" t="s">
        <v>35</v>
      </c>
      <c r="C1403" s="1" t="s">
        <v>347</v>
      </c>
      <c r="D1403" s="23" t="s">
        <v>338</v>
      </c>
      <c r="E1403" s="1" t="s">
        <v>130</v>
      </c>
      <c r="F1403" s="1" t="s">
        <v>125</v>
      </c>
      <c r="G1403" s="1">
        <v>-10</v>
      </c>
      <c r="H1403" s="1">
        <v>-20</v>
      </c>
      <c r="I1403" s="1" t="s">
        <v>40</v>
      </c>
      <c r="J1403" s="1">
        <v>3.15</v>
      </c>
      <c r="K1403" s="1">
        <v>-10</v>
      </c>
      <c r="L1403" s="1">
        <v>-2.6729729729729699</v>
      </c>
      <c r="M1403" s="1" t="s">
        <v>40</v>
      </c>
      <c r="N1403" s="1">
        <v>-2.3270270270270301</v>
      </c>
      <c r="O1403" s="1">
        <v>4.1090090090090099</v>
      </c>
      <c r="Q1403" s="1">
        <v>0.41090090090090098</v>
      </c>
      <c r="R1403" s="1">
        <v>0.91120569888356595</v>
      </c>
      <c r="S1403" s="1" t="str">
        <f>VLOOKUP($E1403,'Product Naming'!$A$1:$P$58,2,FALSE)</f>
        <v>Acrylate-PW2</v>
      </c>
      <c r="T1403" s="1" t="str">
        <f>VLOOKUP($E1403,'Product Naming'!$A$1:$P$58,3,FALSE)</f>
        <v>Acrylate (PW2)</v>
      </c>
      <c r="U1403" s="1" t="str">
        <f>VLOOKUP($E1403,'Product Naming'!$A$1:$P$58,4,FALSE)</f>
        <v>A</v>
      </c>
      <c r="V1403" s="1" t="str">
        <f>VLOOKUP($E1403,'Product Naming'!$A$1:$P$58,5,FALSE)</f>
        <v>C3H3O2</v>
      </c>
      <c r="W1403" s="1">
        <f>VLOOKUP($E1403,'Product Naming'!$A$1:$P$58,6,FALSE)</f>
        <v>3</v>
      </c>
      <c r="X1403" s="1">
        <f>VLOOKUP($E1403,'Product Naming'!$A$1:$P$58,7,FALSE)</f>
        <v>3</v>
      </c>
      <c r="Y1403" s="1">
        <f>VLOOKUP($E1403,'Product Naming'!$A$1:$P$58,8,FALSE)</f>
        <v>2</v>
      </c>
      <c r="Z1403" s="1">
        <f>VLOOKUP($E1403,'Product Naming'!$A$1:$P$58,9,FALSE)</f>
        <v>0</v>
      </c>
      <c r="AA1403" s="1">
        <f>VLOOKUP($E1403,'Product Naming'!$A$1:$P$58,10,FALSE)</f>
        <v>-1</v>
      </c>
      <c r="AB1403" s="29">
        <f>VLOOKUP($E1403,'Product Naming'!$A$1:$P$58,11,FALSE)</f>
        <v>3.6666666666666665</v>
      </c>
      <c r="AC1403" s="3">
        <f>VLOOKUP($E1403,'Product Naming'!$A$1:$P$58,12,FALSE)</f>
        <v>71.053619999999995</v>
      </c>
      <c r="AD1403" s="1">
        <f>VLOOKUP($E1403,'Product Naming'!$A$1:$P$58,13,FALSE)</f>
        <v>80</v>
      </c>
      <c r="AE1403" s="1" t="str">
        <f>VLOOKUP($E1403,'Product Naming'!$A$1:$P$58,14,FALSE)</f>
        <v>Carboxylate</v>
      </c>
      <c r="AF1403" s="1" t="str">
        <f>VLOOKUP($E1403,'Product Naming'!$A$1:$P$58,15,FALSE)</f>
        <v>Pyruvate</v>
      </c>
      <c r="AG1403" s="30" t="str">
        <f>VLOOKUP($E1403,'Product Naming'!$A$1:$P$58,16,FALSE)</f>
        <v>Proton symporter</v>
      </c>
      <c r="AH1403" s="3" t="str">
        <f>VLOOKUP($E1403,'Product Naming'!$A$1:$Q$58,17,FALSE)</f>
        <v>acryl_c</v>
      </c>
      <c r="AI1403" s="1">
        <f>VLOOKUP($E1403,'Product Parameters'!$A$2:$D$59,2,FALSE)</f>
        <v>1</v>
      </c>
      <c r="AJ1403" s="1">
        <f>VLOOKUP($E1403,'Product Parameters'!$A$2:$D$59,3,FALSE)</f>
        <v>0</v>
      </c>
      <c r="AK1403" s="1">
        <f>VLOOKUP($E1403,'Product Parameters'!$A$2:$D$59,4,FALSE)</f>
        <v>0.12</v>
      </c>
      <c r="AL1403" s="1">
        <f>VLOOKUP($E1403,'Product Parameters'!$A$2:$E$59,5,FALSE)</f>
        <v>53.1</v>
      </c>
      <c r="AM1403" s="1">
        <f>VLOOKUP($E1403,'Product Parameters'!$A$2:$F$59,6,FALSE)</f>
        <v>3</v>
      </c>
      <c r="AN1403" s="1">
        <f>VLOOKUP($C1403,'Substrate Heating'!$A$2:$C$33,3,FALSE)</f>
        <v>638.57832580000002</v>
      </c>
      <c r="AO1403" s="1">
        <f>VLOOKUP($C1403,'Substrate Heating'!$A$2:$B$33,2,FALSE)</f>
        <v>19.93</v>
      </c>
      <c r="AP1403" s="1">
        <f>VLOOKUP($C1403,'Substrate Heating'!$A$2:$M$33,13,FALSE)</f>
        <v>6</v>
      </c>
      <c r="AQ1403" s="1">
        <f>VLOOKUP($C1403,'Substrate Heating'!$A$2:$M$33,8,FALSE)</f>
        <v>1</v>
      </c>
      <c r="AR1403" s="1">
        <f t="shared" si="21"/>
        <v>1.2327027027027029</v>
      </c>
    </row>
    <row r="1404" spans="1:44" x14ac:dyDescent="0.2">
      <c r="A1404" s="8" t="s">
        <v>34</v>
      </c>
      <c r="B1404" s="9" t="s">
        <v>35</v>
      </c>
      <c r="C1404" s="1" t="s">
        <v>36</v>
      </c>
      <c r="D1404" s="10" t="s">
        <v>37</v>
      </c>
      <c r="E1404" s="1" t="s">
        <v>124</v>
      </c>
      <c r="F1404" s="1" t="s">
        <v>125</v>
      </c>
      <c r="G1404" s="1">
        <v>-10</v>
      </c>
      <c r="H1404" s="1">
        <v>-20</v>
      </c>
      <c r="I1404" s="1" t="s">
        <v>40</v>
      </c>
      <c r="J1404" s="1">
        <v>3.15</v>
      </c>
      <c r="K1404" s="1">
        <v>-10</v>
      </c>
      <c r="L1404" s="1">
        <v>-8.0430769230769492</v>
      </c>
      <c r="M1404" s="1" t="s">
        <v>40</v>
      </c>
      <c r="N1404" s="1">
        <v>3.0430769230769399</v>
      </c>
      <c r="O1404" s="1">
        <v>5.65230769230772</v>
      </c>
      <c r="Q1404" s="1">
        <v>0.56523076923077198</v>
      </c>
      <c r="R1404" s="1">
        <v>0.91169325105809396</v>
      </c>
      <c r="S1404" s="1" t="str">
        <f>VLOOKUP($E1404,'Product Naming'!$A$1:$P$58,2,FALSE)</f>
        <v>Acrylate-PW1</v>
      </c>
      <c r="T1404" s="1" t="str">
        <f>VLOOKUP($E1404,'Product Naming'!$A$1:$P$58,3,FALSE)</f>
        <v>Acrylate (PW1)</v>
      </c>
      <c r="U1404" s="1" t="str">
        <f>VLOOKUP($E1404,'Product Naming'!$A$1:$P$58,4,FALSE)</f>
        <v>A</v>
      </c>
      <c r="V1404" s="1" t="str">
        <f>VLOOKUP($E1404,'Product Naming'!$A$1:$P$58,5,FALSE)</f>
        <v>C3H3O2</v>
      </c>
      <c r="W1404" s="1">
        <f>VLOOKUP($E1404,'Product Naming'!$A$1:$P$58,6,FALSE)</f>
        <v>3</v>
      </c>
      <c r="X1404" s="1">
        <f>VLOOKUP($E1404,'Product Naming'!$A$1:$P$58,7,FALSE)</f>
        <v>3</v>
      </c>
      <c r="Y1404" s="1">
        <f>VLOOKUP($E1404,'Product Naming'!$A$1:$P$58,8,FALSE)</f>
        <v>2</v>
      </c>
      <c r="Z1404" s="1">
        <f>VLOOKUP($E1404,'Product Naming'!$A$1:$P$58,9,FALSE)</f>
        <v>0</v>
      </c>
      <c r="AA1404" s="1">
        <f>VLOOKUP($E1404,'Product Naming'!$A$1:$P$58,10,FALSE)</f>
        <v>-1</v>
      </c>
      <c r="AB1404" s="29">
        <f>VLOOKUP($E1404,'Product Naming'!$A$1:$P$58,11,FALSE)</f>
        <v>3.6666666666666665</v>
      </c>
      <c r="AC1404" s="3">
        <f>VLOOKUP($E1404,'Product Naming'!$A$1:$P$58,12,FALSE)</f>
        <v>71.053619999999995</v>
      </c>
      <c r="AD1404" s="1">
        <f>VLOOKUP($E1404,'Product Naming'!$A$1:$P$58,13,FALSE)</f>
        <v>80</v>
      </c>
      <c r="AE1404" s="1" t="str">
        <f>VLOOKUP($E1404,'Product Naming'!$A$1:$P$58,14,FALSE)</f>
        <v>Carboxylate</v>
      </c>
      <c r="AF1404" s="1" t="str">
        <f>VLOOKUP($E1404,'Product Naming'!$A$1:$P$58,15,FALSE)</f>
        <v>Glyceraldehyde 3-P</v>
      </c>
      <c r="AG1404" s="30" t="str">
        <f>VLOOKUP($E1404,'Product Naming'!$A$1:$P$58,16,FALSE)</f>
        <v>Proton symporter</v>
      </c>
      <c r="AH1404" s="3" t="str">
        <f>VLOOKUP($E1404,'Product Naming'!$A$1:$Q$58,17,FALSE)</f>
        <v>acryl_c</v>
      </c>
      <c r="AI1404" s="1">
        <f>VLOOKUP($E1404,'Product Parameters'!$A$2:$D$59,2,FALSE)</f>
        <v>1</v>
      </c>
      <c r="AJ1404" s="1">
        <f>VLOOKUP($E1404,'Product Parameters'!$A$2:$D$59,3,FALSE)</f>
        <v>0</v>
      </c>
      <c r="AK1404" s="1">
        <f>VLOOKUP($E1404,'Product Parameters'!$A$2:$D$59,4,FALSE)</f>
        <v>0.12</v>
      </c>
      <c r="AL1404" s="1">
        <f>VLOOKUP($E1404,'Product Parameters'!$A$2:$E$59,5,FALSE)</f>
        <v>53.1</v>
      </c>
      <c r="AM1404" s="1">
        <f>VLOOKUP($E1404,'Product Parameters'!$A$2:$F$59,6,FALSE)</f>
        <v>3</v>
      </c>
      <c r="AN1404" s="1">
        <f>VLOOKUP($C1404,'Substrate Heating'!$A$2:$C$33,3,FALSE)</f>
        <v>1064.1143145599999</v>
      </c>
      <c r="AO1404" s="1">
        <f>VLOOKUP($C1404,'Substrate Heating'!$A$2:$B$33,2,FALSE)</f>
        <v>24.155999999999999</v>
      </c>
      <c r="AP1404" s="1">
        <f>VLOOKUP($C1404,'Substrate Heating'!$A$2:$M$33,13,FALSE)</f>
        <v>5</v>
      </c>
      <c r="AQ1404" s="1">
        <f>VLOOKUP($C1404,'Substrate Heating'!$A$2:$M$33,8,FALSE)</f>
        <v>2</v>
      </c>
      <c r="AR1404" s="1">
        <f t="shared" si="21"/>
        <v>0.84784615384615791</v>
      </c>
    </row>
    <row r="1405" spans="1:44" x14ac:dyDescent="0.2">
      <c r="A1405" s="8" t="s">
        <v>812</v>
      </c>
      <c r="B1405" s="9" t="s">
        <v>35</v>
      </c>
      <c r="C1405" t="s">
        <v>813</v>
      </c>
      <c r="E1405" t="s">
        <v>114</v>
      </c>
      <c r="F1405" t="s">
        <v>115</v>
      </c>
      <c r="G1405">
        <v>-10</v>
      </c>
      <c r="H1405">
        <v>-20</v>
      </c>
      <c r="I1405">
        <v>0</v>
      </c>
      <c r="J1405">
        <v>3.15</v>
      </c>
      <c r="K1405">
        <v>-10</v>
      </c>
      <c r="L1405">
        <v>-16.936363636363598</v>
      </c>
      <c r="M1405">
        <v>0</v>
      </c>
      <c r="N1405">
        <v>6.6136363636363598</v>
      </c>
      <c r="O1405">
        <v>4.6772727272727197</v>
      </c>
      <c r="P1405"/>
      <c r="Q1405">
        <v>0.46772727272727199</v>
      </c>
      <c r="R1405">
        <v>0.91174751787769404</v>
      </c>
      <c r="S1405" s="1" t="str">
        <f>VLOOKUP($E1405,'Product Naming'!$A$1:$P$58,2,FALSE)</f>
        <v>5-Aminopentanoate</v>
      </c>
      <c r="T1405" s="1" t="str">
        <f>VLOOKUP($E1405,'Product Naming'!$A$1:$P$58,3,FALSE)</f>
        <v>5-Aminopentanoate</v>
      </c>
      <c r="U1405" s="1" t="str">
        <f>VLOOKUP($E1405,'Product Naming'!$A$1:$P$58,4,FALSE)</f>
        <v>A</v>
      </c>
      <c r="V1405" s="1" t="str">
        <f>VLOOKUP($E1405,'Product Naming'!$A$1:$P$58,5,FALSE)</f>
        <v>C5H11NO2</v>
      </c>
      <c r="W1405" s="1">
        <f>VLOOKUP($E1405,'Product Naming'!$A$1:$P$58,6,FALSE)</f>
        <v>5</v>
      </c>
      <c r="X1405" s="1">
        <f>VLOOKUP($E1405,'Product Naming'!$A$1:$P$58,7,FALSE)</f>
        <v>11</v>
      </c>
      <c r="Y1405" s="1">
        <f>VLOOKUP($E1405,'Product Naming'!$A$1:$P$58,8,FALSE)</f>
        <v>2</v>
      </c>
      <c r="Z1405" s="1">
        <f>VLOOKUP($E1405,'Product Naming'!$A$1:$P$58,9,FALSE)</f>
        <v>1</v>
      </c>
      <c r="AA1405" s="1">
        <f>VLOOKUP($E1405,'Product Naming'!$A$1:$P$58,10,FALSE)</f>
        <v>0</v>
      </c>
      <c r="AB1405" s="29">
        <f>VLOOKUP($E1405,'Product Naming'!$A$1:$P$58,11,FALSE)</f>
        <v>4.8</v>
      </c>
      <c r="AC1405" s="3">
        <f>VLOOKUP($E1405,'Product Naming'!$A$1:$P$58,12,FALSE)</f>
        <v>117.14444</v>
      </c>
      <c r="AD1405" s="1">
        <f>VLOOKUP($E1405,'Product Naming'!$A$1:$P$58,13,FALSE)</f>
        <v>247.5</v>
      </c>
      <c r="AE1405" s="1" t="str">
        <f>VLOOKUP($E1405,'Product Naming'!$A$1:$P$58,14,FALSE)</f>
        <v>D-Amino Acid</v>
      </c>
      <c r="AF1405" s="1" t="str">
        <f>VLOOKUP($E1405,'Product Naming'!$A$1:$P$58,15,FALSE)</f>
        <v>Oxaloacetate</v>
      </c>
      <c r="AG1405" s="30" t="str">
        <f>VLOOKUP($E1405,'Product Naming'!$A$1:$P$58,16,FALSE)</f>
        <v>Proton symporter</v>
      </c>
      <c r="AH1405" s="3" t="str">
        <f>VLOOKUP($E1405,'Product Naming'!$A$1:$Q$58,17,FALSE)</f>
        <v>5aptn_c</v>
      </c>
      <c r="AI1405" s="1">
        <f>VLOOKUP($E1405,'Product Parameters'!$A$2:$D$59,2,FALSE)</f>
        <v>1</v>
      </c>
      <c r="AJ1405" s="1">
        <f>VLOOKUP($E1405,'Product Parameters'!$A$2:$D$59,3,FALSE)</f>
        <v>0</v>
      </c>
      <c r="AK1405" s="1">
        <f>VLOOKUP($E1405,'Product Parameters'!$A$2:$D$59,4,FALSE)</f>
        <v>0.12</v>
      </c>
      <c r="AL1405" s="1">
        <f>VLOOKUP($E1405,'Product Parameters'!$A$2:$E$59,5,FALSE)</f>
        <v>40.65</v>
      </c>
      <c r="AM1405" s="1">
        <f>VLOOKUP($E1405,'Product Parameters'!$A$2:$F$59,6,FALSE)</f>
        <v>5</v>
      </c>
      <c r="AN1405" s="1">
        <f>VLOOKUP($C1405,'Substrate Heating'!$A$2:$C$33,3,FALSE)</f>
        <v>1843.720736</v>
      </c>
      <c r="AO1405" s="1">
        <f>VLOOKUP($C1405,'Substrate Heating'!$A$2:$B$33,2,FALSE)</f>
        <v>30.68</v>
      </c>
      <c r="AP1405" s="1">
        <f>VLOOKUP($C1405,'Substrate Heating'!$A$2:$M$33,13,FALSE)</f>
        <v>6</v>
      </c>
      <c r="AQ1405" s="1">
        <f>VLOOKUP($C1405,'Substrate Heating'!$A$2:$M$33,8,FALSE)</f>
        <v>3</v>
      </c>
      <c r="AR1405" s="1">
        <f t="shared" si="21"/>
        <v>0.77954545454545332</v>
      </c>
    </row>
    <row r="1406" spans="1:44" x14ac:dyDescent="0.2">
      <c r="A1406" s="8" t="s">
        <v>812</v>
      </c>
      <c r="B1406" s="18" t="s">
        <v>324</v>
      </c>
      <c r="C1406" t="s">
        <v>814</v>
      </c>
      <c r="E1406" t="s">
        <v>171</v>
      </c>
      <c r="F1406" t="s">
        <v>172</v>
      </c>
      <c r="G1406">
        <v>-10</v>
      </c>
      <c r="H1406">
        <v>0</v>
      </c>
      <c r="I1406">
        <v>-10</v>
      </c>
      <c r="J1406">
        <v>0.45</v>
      </c>
      <c r="K1406">
        <v>-6.6666666666666696</v>
      </c>
      <c r="L1406">
        <v>0</v>
      </c>
      <c r="M1406">
        <v>-10</v>
      </c>
      <c r="N1406">
        <v>0</v>
      </c>
      <c r="O1406">
        <v>1.6666666666666601</v>
      </c>
      <c r="P1406"/>
      <c r="Q1406">
        <v>0.249999999999999</v>
      </c>
      <c r="R1406">
        <v>0.91347351110066899</v>
      </c>
      <c r="S1406" s="1" t="str">
        <f>VLOOKUP($E1406,'Product Naming'!$A$1:$P$58,2,FALSE)</f>
        <v>Butyrate</v>
      </c>
      <c r="T1406" s="1" t="str">
        <f>VLOOKUP($E1406,'Product Naming'!$A$1:$P$58,3,FALSE)</f>
        <v>Butyrate</v>
      </c>
      <c r="U1406" s="1" t="str">
        <f>VLOOKUP($E1406,'Product Naming'!$A$1:$P$58,4,FALSE)</f>
        <v>A</v>
      </c>
      <c r="V1406" s="1" t="str">
        <f>VLOOKUP($E1406,'Product Naming'!$A$1:$P$58,5,FALSE)</f>
        <v>C4H7O2</v>
      </c>
      <c r="W1406" s="1">
        <f>VLOOKUP($E1406,'Product Naming'!$A$1:$P$58,6,FALSE)</f>
        <v>4</v>
      </c>
      <c r="X1406" s="1">
        <f>VLOOKUP($E1406,'Product Naming'!$A$1:$P$58,7,FALSE)</f>
        <v>7</v>
      </c>
      <c r="Y1406" s="1">
        <f>VLOOKUP($E1406,'Product Naming'!$A$1:$P$58,8,FALSE)</f>
        <v>2</v>
      </c>
      <c r="Z1406" s="1">
        <f>VLOOKUP($E1406,'Product Naming'!$A$1:$P$58,9,FALSE)</f>
        <v>0</v>
      </c>
      <c r="AA1406" s="1">
        <f>VLOOKUP($E1406,'Product Naming'!$A$1:$P$58,10,FALSE)</f>
        <v>-1</v>
      </c>
      <c r="AB1406" s="29">
        <f>VLOOKUP($E1406,'Product Naming'!$A$1:$P$58,11,FALSE)</f>
        <v>4.75</v>
      </c>
      <c r="AC1406" s="3">
        <f>VLOOKUP($E1406,'Product Naming'!$A$1:$P$58,12,FALSE)</f>
        <v>87.095680000000002</v>
      </c>
      <c r="AD1406" s="1">
        <f>VLOOKUP($E1406,'Product Naming'!$A$1:$P$58,13,FALSE)</f>
        <v>163.5</v>
      </c>
      <c r="AE1406" s="1" t="str">
        <f>VLOOKUP($E1406,'Product Naming'!$A$1:$P$58,14,FALSE)</f>
        <v>Carboxylate</v>
      </c>
      <c r="AF1406" s="1" t="str">
        <f>VLOOKUP($E1406,'Product Naming'!$A$1:$P$58,15,FALSE)</f>
        <v>Acetyl-CoA</v>
      </c>
      <c r="AG1406" s="30" t="str">
        <f>VLOOKUP($E1406,'Product Naming'!$A$1:$P$58,16,FALSE)</f>
        <v>Proton symporter</v>
      </c>
      <c r="AH1406" s="3" t="str">
        <f>VLOOKUP($E1406,'Product Naming'!$A$1:$Q$58,17,FALSE)</f>
        <v>but_c</v>
      </c>
      <c r="AI1406" s="1">
        <f>VLOOKUP($E1406,'Product Parameters'!$A$2:$D$59,2,FALSE)</f>
        <v>1</v>
      </c>
      <c r="AJ1406" s="1">
        <f>VLOOKUP($E1406,'Product Parameters'!$A$2:$D$59,3,FALSE)</f>
        <v>0</v>
      </c>
      <c r="AK1406" s="1">
        <f>VLOOKUP($E1406,'Product Parameters'!$A$2:$D$59,4,FALSE)</f>
        <v>0.12</v>
      </c>
      <c r="AL1406" s="1">
        <f>VLOOKUP($E1406,'Product Parameters'!$A$2:$E$59,5,FALSE)</f>
        <v>42</v>
      </c>
      <c r="AM1406" s="1">
        <f>VLOOKUP($E1406,'Product Parameters'!$A$2:$F$59,6,FALSE)</f>
        <v>4</v>
      </c>
      <c r="AN1406" s="1">
        <f>VLOOKUP($C1406,'Substrate Heating'!$A$2:$C$33,3,FALSE)</f>
        <v>209.92000000000002</v>
      </c>
      <c r="AO1406" s="1">
        <f>VLOOKUP($C1406,'Substrate Heating'!$A$2:$B$33,2,FALSE)</f>
        <v>10.086540906516333</v>
      </c>
      <c r="AP1406" s="1">
        <f>VLOOKUP($C1406,'Substrate Heating'!$A$2:$M$33,13,FALSE)</f>
        <v>0.8</v>
      </c>
      <c r="AQ1406" s="1">
        <f>VLOOKUP($C1406,'Substrate Heating'!$A$2:$M$33,8,FALSE)</f>
        <v>0.8</v>
      </c>
      <c r="AR1406" s="1">
        <f t="shared" si="21"/>
        <v>1.2499999999999949</v>
      </c>
    </row>
    <row r="1407" spans="1:44" x14ac:dyDescent="0.2">
      <c r="A1407" s="8" t="s">
        <v>812</v>
      </c>
      <c r="B1407" s="18" t="s">
        <v>324</v>
      </c>
      <c r="C1407" t="s">
        <v>814</v>
      </c>
      <c r="E1407" t="s">
        <v>244</v>
      </c>
      <c r="F1407" t="s">
        <v>245</v>
      </c>
      <c r="G1407">
        <v>-10</v>
      </c>
      <c r="H1407">
        <v>0</v>
      </c>
      <c r="I1407">
        <v>-10</v>
      </c>
      <c r="J1407">
        <v>0.45</v>
      </c>
      <c r="K1407">
        <v>-6.6666666666666599</v>
      </c>
      <c r="L1407">
        <v>0</v>
      </c>
      <c r="M1407">
        <v>-10</v>
      </c>
      <c r="N1407">
        <v>0</v>
      </c>
      <c r="O1407">
        <v>1.6666666666666601</v>
      </c>
      <c r="P1407"/>
      <c r="Q1407">
        <v>0.249999999999999</v>
      </c>
      <c r="R1407">
        <v>0.91347351110066899</v>
      </c>
      <c r="S1407" s="1" t="str">
        <f>VLOOKUP($E1407,'Product Naming'!$A$1:$P$58,2,FALSE)</f>
        <v>Isobutyrate</v>
      </c>
      <c r="T1407" s="1" t="str">
        <f>VLOOKUP($E1407,'Product Naming'!$A$1:$P$58,3,FALSE)</f>
        <v>Isobutyrate</v>
      </c>
      <c r="U1407" s="1" t="str">
        <f>VLOOKUP($E1407,'Product Naming'!$A$1:$P$58,4,FALSE)</f>
        <v>A</v>
      </c>
      <c r="V1407" s="1" t="str">
        <f>VLOOKUP($E1407,'Product Naming'!$A$1:$P$58,5,FALSE)</f>
        <v>C4H7O2</v>
      </c>
      <c r="W1407" s="1">
        <f>VLOOKUP($E1407,'Product Naming'!$A$1:$P$58,6,FALSE)</f>
        <v>4</v>
      </c>
      <c r="X1407" s="1">
        <f>VLOOKUP($E1407,'Product Naming'!$A$1:$P$58,7,FALSE)</f>
        <v>7</v>
      </c>
      <c r="Y1407" s="1">
        <f>VLOOKUP($E1407,'Product Naming'!$A$1:$P$58,8,FALSE)</f>
        <v>2</v>
      </c>
      <c r="Z1407" s="1">
        <f>VLOOKUP($E1407,'Product Naming'!$A$1:$P$58,9,FALSE)</f>
        <v>0</v>
      </c>
      <c r="AA1407" s="1">
        <f>VLOOKUP($E1407,'Product Naming'!$A$1:$P$58,10,FALSE)</f>
        <v>-1</v>
      </c>
      <c r="AB1407" s="29">
        <f>VLOOKUP($E1407,'Product Naming'!$A$1:$P$58,11,FALSE)</f>
        <v>4.75</v>
      </c>
      <c r="AC1407" s="3">
        <f>VLOOKUP($E1407,'Product Naming'!$A$1:$P$58,12,FALSE)</f>
        <v>87.095680000000002</v>
      </c>
      <c r="AD1407" s="1">
        <f>VLOOKUP($E1407,'Product Naming'!$A$1:$P$58,13,FALSE)</f>
        <v>155</v>
      </c>
      <c r="AE1407" s="1" t="str">
        <f>VLOOKUP($E1407,'Product Naming'!$A$1:$P$58,14,FALSE)</f>
        <v>Carboxylate</v>
      </c>
      <c r="AF1407" s="1" t="str">
        <f>VLOOKUP($E1407,'Product Naming'!$A$1:$P$58,15,FALSE)</f>
        <v>Pyruvate</v>
      </c>
      <c r="AG1407" s="30" t="str">
        <f>VLOOKUP($E1407,'Product Naming'!$A$1:$P$58,16,FALSE)</f>
        <v>Proton symporter</v>
      </c>
      <c r="AH1407" s="3" t="str">
        <f>VLOOKUP($E1407,'Product Naming'!$A$1:$Q$58,17,FALSE)</f>
        <v>ibt_c</v>
      </c>
      <c r="AI1407" s="1">
        <f>VLOOKUP($E1407,'Product Parameters'!$A$2:$D$59,2,FALSE)</f>
        <v>1</v>
      </c>
      <c r="AJ1407" s="1">
        <f>VLOOKUP($E1407,'Product Parameters'!$A$2:$D$59,3,FALSE)</f>
        <v>0</v>
      </c>
      <c r="AK1407" s="1">
        <f>VLOOKUP($E1407,'Product Parameters'!$A$2:$D$59,4,FALSE)</f>
        <v>0.12</v>
      </c>
      <c r="AL1407" s="1">
        <f>VLOOKUP($E1407,'Product Parameters'!$A$2:$E$59,5,FALSE)</f>
        <v>44.5</v>
      </c>
      <c r="AM1407" s="1">
        <f>VLOOKUP($E1407,'Product Parameters'!$A$2:$F$59,6,FALSE)</f>
        <v>4</v>
      </c>
      <c r="AN1407" s="1">
        <f>VLOOKUP($C1407,'Substrate Heating'!$A$2:$C$33,3,FALSE)</f>
        <v>209.92000000000002</v>
      </c>
      <c r="AO1407" s="1">
        <f>VLOOKUP($C1407,'Substrate Heating'!$A$2:$B$33,2,FALSE)</f>
        <v>10.086540906516333</v>
      </c>
      <c r="AP1407" s="1">
        <f>VLOOKUP($C1407,'Substrate Heating'!$A$2:$M$33,13,FALSE)</f>
        <v>0.8</v>
      </c>
      <c r="AQ1407" s="1">
        <f>VLOOKUP($C1407,'Substrate Heating'!$A$2:$M$33,8,FALSE)</f>
        <v>0.8</v>
      </c>
      <c r="AR1407" s="1">
        <f t="shared" si="21"/>
        <v>1.2499999999999949</v>
      </c>
    </row>
    <row r="1408" spans="1:44" x14ac:dyDescent="0.2">
      <c r="A1408" s="8" t="s">
        <v>34</v>
      </c>
      <c r="B1408" s="9" t="s">
        <v>35</v>
      </c>
      <c r="C1408" s="1" t="s">
        <v>36</v>
      </c>
      <c r="D1408" s="10" t="s">
        <v>37</v>
      </c>
      <c r="E1408" s="1" t="s">
        <v>180</v>
      </c>
      <c r="F1408" s="1" t="s">
        <v>181</v>
      </c>
      <c r="G1408" s="1">
        <v>-10</v>
      </c>
      <c r="H1408" s="1">
        <v>-20</v>
      </c>
      <c r="I1408" s="1" t="s">
        <v>40</v>
      </c>
      <c r="J1408" s="1">
        <v>3.15</v>
      </c>
      <c r="K1408" s="1">
        <v>-10</v>
      </c>
      <c r="L1408" s="1">
        <v>-9.1720626631853701</v>
      </c>
      <c r="M1408" s="1" t="s">
        <v>40</v>
      </c>
      <c r="N1408" s="1">
        <v>2.7331592689294899</v>
      </c>
      <c r="O1408" s="1">
        <v>2.87780678851174</v>
      </c>
      <c r="Q1408" s="1">
        <v>0.28778067885117398</v>
      </c>
      <c r="R1408" s="1">
        <v>0.91518804783554697</v>
      </c>
      <c r="S1408" s="1" t="str">
        <f>VLOOKUP($E1408,'Product Naming'!$A$1:$P$58,2,FALSE)</f>
        <v>ciscisMuconate</v>
      </c>
      <c r="T1408" s="1" t="str">
        <f>VLOOKUP($E1408,'Product Naming'!$A$1:$P$58,3,FALSE)</f>
        <v>cis,cis-Muconate</v>
      </c>
      <c r="U1408" s="1" t="str">
        <f>VLOOKUP($E1408,'Product Naming'!$A$1:$P$58,4,FALSE)</f>
        <v>A</v>
      </c>
      <c r="V1408" s="1" t="str">
        <f>VLOOKUP($E1408,'Product Naming'!$A$1:$P$58,5,FALSE)</f>
        <v>C6H4O4</v>
      </c>
      <c r="W1408" s="1">
        <f>VLOOKUP($E1408,'Product Naming'!$A$1:$P$58,6,FALSE)</f>
        <v>6</v>
      </c>
      <c r="X1408" s="1">
        <f>VLOOKUP($E1408,'Product Naming'!$A$1:$P$58,7,FALSE)</f>
        <v>4</v>
      </c>
      <c r="Y1408" s="1">
        <f>VLOOKUP($E1408,'Product Naming'!$A$1:$P$58,8,FALSE)</f>
        <v>4</v>
      </c>
      <c r="Z1408" s="1">
        <f>VLOOKUP($E1408,'Product Naming'!$A$1:$P$58,9,FALSE)</f>
        <v>0</v>
      </c>
      <c r="AA1408" s="1">
        <f>VLOOKUP($E1408,'Product Naming'!$A$1:$P$58,10,FALSE)</f>
        <v>-2</v>
      </c>
      <c r="AB1408" s="29">
        <f>VLOOKUP($E1408,'Product Naming'!$A$1:$P$58,11,FALSE)</f>
        <v>3.3333333333333335</v>
      </c>
      <c r="AC1408" s="3">
        <f>VLOOKUP($E1408,'Product Naming'!$A$1:$P$58,12,FALSE)</f>
        <v>140.09156000000002</v>
      </c>
      <c r="AD1408" s="1">
        <f>VLOOKUP($E1408,'Product Naming'!$A$1:$P$58,13,FALSE)</f>
        <v>345.4</v>
      </c>
      <c r="AE1408" s="1" t="str">
        <f>VLOOKUP($E1408,'Product Naming'!$A$1:$P$58,14,FALSE)</f>
        <v>Dicarboxylate</v>
      </c>
      <c r="AF1408" s="1" t="str">
        <f>VLOOKUP($E1408,'Product Naming'!$A$1:$P$58,15,FALSE)</f>
        <v>Glyceraldehyde 3-P</v>
      </c>
      <c r="AG1408" s="30" t="str">
        <f>VLOOKUP($E1408,'Product Naming'!$A$1:$P$58,16,FALSE)</f>
        <v>Proton symporter</v>
      </c>
      <c r="AH1408" s="3" t="str">
        <f>VLOOKUP($E1408,'Product Naming'!$A$1:$Q$58,17,FALSE)</f>
        <v>ccmuac_c</v>
      </c>
      <c r="AI1408" s="1">
        <f>VLOOKUP($E1408,'Product Parameters'!$A$2:$D$59,2,FALSE)</f>
        <v>1</v>
      </c>
      <c r="AJ1408" s="1">
        <f>VLOOKUP($E1408,'Product Parameters'!$A$2:$D$59,3,FALSE)</f>
        <v>0</v>
      </c>
      <c r="AK1408" s="1">
        <f>VLOOKUP($E1408,'Product Parameters'!$A$2:$D$59,4,FALSE)</f>
        <v>0.12</v>
      </c>
      <c r="AL1408" s="1">
        <f>VLOOKUP($E1408,'Product Parameters'!$A$2:$E$59,5,FALSE)</f>
        <v>40.65</v>
      </c>
      <c r="AM1408" s="1">
        <f>VLOOKUP($E1408,'Product Parameters'!$A$2:$F$59,6,FALSE)</f>
        <v>6</v>
      </c>
      <c r="AN1408" s="1">
        <f>VLOOKUP($C1408,'Substrate Heating'!$A$2:$C$33,3,FALSE)</f>
        <v>1064.1143145599999</v>
      </c>
      <c r="AO1408" s="1">
        <f>VLOOKUP($C1408,'Substrate Heating'!$A$2:$B$33,2,FALSE)</f>
        <v>24.155999999999999</v>
      </c>
      <c r="AP1408" s="1">
        <f>VLOOKUP($C1408,'Substrate Heating'!$A$2:$M$33,13,FALSE)</f>
        <v>5</v>
      </c>
      <c r="AQ1408" s="1">
        <f>VLOOKUP($C1408,'Substrate Heating'!$A$2:$M$33,8,FALSE)</f>
        <v>2</v>
      </c>
      <c r="AR1408" s="1">
        <f t="shared" si="21"/>
        <v>0.86334203655352193</v>
      </c>
    </row>
    <row r="1409" spans="1:44" x14ac:dyDescent="0.2">
      <c r="A1409" s="8" t="s">
        <v>812</v>
      </c>
      <c r="B1409" s="18" t="s">
        <v>324</v>
      </c>
      <c r="C1409" t="s">
        <v>814</v>
      </c>
      <c r="E1409" t="s">
        <v>269</v>
      </c>
      <c r="F1409" t="s">
        <v>270</v>
      </c>
      <c r="G1409">
        <v>-10</v>
      </c>
      <c r="H1409">
        <v>0</v>
      </c>
      <c r="I1409">
        <v>-10</v>
      </c>
      <c r="J1409">
        <v>0.45</v>
      </c>
      <c r="K1409">
        <v>-10</v>
      </c>
      <c r="L1409">
        <v>0</v>
      </c>
      <c r="M1409">
        <v>-10</v>
      </c>
      <c r="N1409">
        <v>-1.5826086956521701</v>
      </c>
      <c r="O1409">
        <v>1.5826086956521701</v>
      </c>
      <c r="P1409"/>
      <c r="Q1409">
        <v>0.15826086956521701</v>
      </c>
      <c r="R1409">
        <v>0.91558672987803802</v>
      </c>
      <c r="S1409" s="1" t="str">
        <f>VLOOKUP($E1409,'Product Naming'!$A$1:$P$58,2,FALSE)</f>
        <v>Malate_L</v>
      </c>
      <c r="T1409" s="1" t="str">
        <f>VLOOKUP($E1409,'Product Naming'!$A$1:$P$58,3,FALSE)</f>
        <v>L-Malate</v>
      </c>
      <c r="U1409" s="1" t="str">
        <f>VLOOKUP($E1409,'Product Naming'!$A$1:$P$58,4,FALSE)</f>
        <v>iJO1366</v>
      </c>
      <c r="V1409" s="1" t="str">
        <f>VLOOKUP($E1409,'Product Naming'!$A$1:$P$58,5,FALSE)</f>
        <v>C4H4O5</v>
      </c>
      <c r="W1409" s="1">
        <f>VLOOKUP($E1409,'Product Naming'!$A$1:$P$58,6,FALSE)</f>
        <v>4</v>
      </c>
      <c r="X1409" s="1">
        <f>VLOOKUP($E1409,'Product Naming'!$A$1:$P$58,7,FALSE)</f>
        <v>4</v>
      </c>
      <c r="Y1409" s="1">
        <f>VLOOKUP($E1409,'Product Naming'!$A$1:$P$58,8,FALSE)</f>
        <v>5</v>
      </c>
      <c r="Z1409" s="1">
        <f>VLOOKUP($E1409,'Product Naming'!$A$1:$P$58,9,FALSE)</f>
        <v>0</v>
      </c>
      <c r="AA1409" s="1">
        <f>VLOOKUP($E1409,'Product Naming'!$A$1:$P$58,10,FALSE)</f>
        <v>-2</v>
      </c>
      <c r="AB1409" s="29">
        <f>VLOOKUP($E1409,'Product Naming'!$A$1:$P$58,11,FALSE)</f>
        <v>2.5</v>
      </c>
      <c r="AC1409" s="3">
        <f>VLOOKUP($E1409,'Product Naming'!$A$1:$P$58,12,FALSE)</f>
        <v>132.06916000000001</v>
      </c>
      <c r="AD1409" s="1" t="str">
        <f>VLOOKUP($E1409,'Product Naming'!$A$1:$P$58,13,FALSE)</f>
        <v>NA</v>
      </c>
      <c r="AE1409" s="1" t="str">
        <f>VLOOKUP($E1409,'Product Naming'!$A$1:$P$58,14,FALSE)</f>
        <v>Dicarboxylate</v>
      </c>
      <c r="AF1409" s="1" t="str">
        <f>VLOOKUP($E1409,'Product Naming'!$A$1:$P$58,15,FALSE)</f>
        <v>Oxaloacetate</v>
      </c>
      <c r="AG1409" s="30" t="str">
        <f>VLOOKUP($E1409,'Product Naming'!$A$1:$P$58,16,FALSE)</f>
        <v>Proton symporter</v>
      </c>
      <c r="AH1409" s="3" t="str">
        <f>VLOOKUP($E1409,'Product Naming'!$A$1:$Q$58,17,FALSE)</f>
        <v>mal__L_e</v>
      </c>
      <c r="AI1409" s="1">
        <f>VLOOKUP($E1409,'Product Parameters'!$A$2:$D$59,2,FALSE)</f>
        <v>1</v>
      </c>
      <c r="AJ1409" s="1">
        <f>VLOOKUP($E1409,'Product Parameters'!$A$2:$D$59,3,FALSE)</f>
        <v>0</v>
      </c>
      <c r="AK1409" s="1">
        <f>VLOOKUP($E1409,'Product Parameters'!$A$2:$D$59,4,FALSE)</f>
        <v>0.12</v>
      </c>
      <c r="AL1409" s="1">
        <f>VLOOKUP($E1409,'Product Parameters'!$A$2:$E$59,5,FALSE)</f>
        <v>40.65</v>
      </c>
      <c r="AM1409" s="1">
        <f>VLOOKUP($E1409,'Product Parameters'!$A$2:$F$59,6,FALSE)</f>
        <v>4</v>
      </c>
      <c r="AN1409" s="1">
        <f>VLOOKUP($C1409,'Substrate Heating'!$A$2:$C$33,3,FALSE)</f>
        <v>209.92000000000002</v>
      </c>
      <c r="AO1409" s="1">
        <f>VLOOKUP($C1409,'Substrate Heating'!$A$2:$B$33,2,FALSE)</f>
        <v>10.086540906516333</v>
      </c>
      <c r="AP1409" s="1">
        <f>VLOOKUP($C1409,'Substrate Heating'!$A$2:$M$33,13,FALSE)</f>
        <v>0.8</v>
      </c>
      <c r="AQ1409" s="1">
        <f>VLOOKUP($C1409,'Substrate Heating'!$A$2:$M$33,8,FALSE)</f>
        <v>0.8</v>
      </c>
      <c r="AR1409" s="1">
        <f t="shared" si="21"/>
        <v>0.79130434782608505</v>
      </c>
    </row>
    <row r="1410" spans="1:44" x14ac:dyDescent="0.2">
      <c r="A1410" s="8" t="s">
        <v>812</v>
      </c>
      <c r="B1410" s="18" t="s">
        <v>324</v>
      </c>
      <c r="C1410" t="s">
        <v>814</v>
      </c>
      <c r="E1410" t="s">
        <v>198</v>
      </c>
      <c r="F1410" t="s">
        <v>199</v>
      </c>
      <c r="G1410">
        <v>-10</v>
      </c>
      <c r="H1410">
        <v>0</v>
      </c>
      <c r="I1410">
        <v>-10</v>
      </c>
      <c r="J1410">
        <v>0.45</v>
      </c>
      <c r="K1410">
        <v>-6.6666666666666599</v>
      </c>
      <c r="L1410">
        <v>0</v>
      </c>
      <c r="M1410">
        <v>-10</v>
      </c>
      <c r="N1410">
        <v>0</v>
      </c>
      <c r="O1410">
        <v>1.6666666666666601</v>
      </c>
      <c r="P1410"/>
      <c r="Q1410">
        <v>0.25</v>
      </c>
      <c r="R1410">
        <v>0.92404389924652997</v>
      </c>
      <c r="S1410" s="1" t="str">
        <f>VLOOKUP($E1410,'Product Naming'!$A$1:$P$58,2,FALSE)</f>
        <v>EthylAcetate</v>
      </c>
      <c r="T1410" s="1" t="str">
        <f>VLOOKUP($E1410,'Product Naming'!$A$1:$P$58,3,FALSE)</f>
        <v>Ethyl acetate</v>
      </c>
      <c r="U1410" s="1" t="str">
        <f>VLOOKUP($E1410,'Product Naming'!$A$1:$P$58,4,FALSE)</f>
        <v>E</v>
      </c>
      <c r="V1410" s="1" t="str">
        <f>VLOOKUP($E1410,'Product Naming'!$A$1:$P$58,5,FALSE)</f>
        <v>C4H8O2</v>
      </c>
      <c r="W1410" s="1">
        <f>VLOOKUP($E1410,'Product Naming'!$A$1:$P$58,6,FALSE)</f>
        <v>4</v>
      </c>
      <c r="X1410" s="1">
        <f>VLOOKUP($E1410,'Product Naming'!$A$1:$P$58,7,FALSE)</f>
        <v>8</v>
      </c>
      <c r="Y1410" s="1">
        <f>VLOOKUP($E1410,'Product Naming'!$A$1:$P$58,8,FALSE)</f>
        <v>2</v>
      </c>
      <c r="Z1410" s="1">
        <f>VLOOKUP($E1410,'Product Naming'!$A$1:$P$58,9,FALSE)</f>
        <v>0</v>
      </c>
      <c r="AA1410" s="1">
        <f>VLOOKUP($E1410,'Product Naming'!$A$1:$P$58,10,FALSE)</f>
        <v>0</v>
      </c>
      <c r="AB1410" s="29">
        <f>VLOOKUP($E1410,'Product Naming'!$A$1:$P$58,11,FALSE)</f>
        <v>5</v>
      </c>
      <c r="AC1410" s="3">
        <f>VLOOKUP($E1410,'Product Naming'!$A$1:$P$58,12,FALSE)</f>
        <v>88.103520000000003</v>
      </c>
      <c r="AD1410" s="1">
        <f>VLOOKUP($E1410,'Product Naming'!$A$1:$P$58,13,FALSE)</f>
        <v>77.099999999999994</v>
      </c>
      <c r="AE1410" s="1" t="str">
        <f>VLOOKUP($E1410,'Product Naming'!$A$1:$P$58,14,FALSE)</f>
        <v>Carboxylate Ester</v>
      </c>
      <c r="AF1410" s="1" t="str">
        <f>VLOOKUP($E1410,'Product Naming'!$A$1:$P$58,15,FALSE)</f>
        <v>Acetyl-CoA</v>
      </c>
      <c r="AG1410" s="30" t="str">
        <f>VLOOKUP($E1410,'Product Naming'!$A$1:$P$58,16,FALSE)</f>
        <v>Proton symporter</v>
      </c>
      <c r="AH1410" s="3" t="str">
        <f>VLOOKUP($E1410,'Product Naming'!$A$1:$Q$58,17,FALSE)</f>
        <v>aces_c</v>
      </c>
      <c r="AI1410" s="1">
        <f>VLOOKUP($E1410,'Product Parameters'!$A$2:$D$59,2,FALSE)</f>
        <v>1</v>
      </c>
      <c r="AJ1410" s="1">
        <f>VLOOKUP($E1410,'Product Parameters'!$A$2:$D$59,3,FALSE)</f>
        <v>0</v>
      </c>
      <c r="AK1410" s="1">
        <f>VLOOKUP($E1410,'Product Parameters'!$A$2:$D$59,4,FALSE)</f>
        <v>0.12</v>
      </c>
      <c r="AL1410" s="1">
        <f>VLOOKUP($E1410,'Product Parameters'!$A$2:$E$59,5,FALSE)</f>
        <v>35</v>
      </c>
      <c r="AM1410" s="1">
        <f>VLOOKUP($E1410,'Product Parameters'!$A$2:$F$59,6,FALSE)</f>
        <v>4</v>
      </c>
      <c r="AN1410" s="1">
        <f>VLOOKUP($C1410,'Substrate Heating'!$A$2:$C$33,3,FALSE)</f>
        <v>209.92000000000002</v>
      </c>
      <c r="AO1410" s="1">
        <f>VLOOKUP($C1410,'Substrate Heating'!$A$2:$B$33,2,FALSE)</f>
        <v>10.086540906516333</v>
      </c>
      <c r="AP1410" s="1">
        <f>VLOOKUP($C1410,'Substrate Heating'!$A$2:$M$33,13,FALSE)</f>
        <v>0.8</v>
      </c>
      <c r="AQ1410" s="1">
        <f>VLOOKUP($C1410,'Substrate Heating'!$A$2:$M$33,8,FALSE)</f>
        <v>0.8</v>
      </c>
      <c r="AR1410" s="1">
        <f t="shared" si="21"/>
        <v>1.25</v>
      </c>
    </row>
    <row r="1411" spans="1:44" x14ac:dyDescent="0.2">
      <c r="A1411" s="8" t="s">
        <v>812</v>
      </c>
      <c r="B1411" s="18" t="s">
        <v>324</v>
      </c>
      <c r="C1411" t="s">
        <v>814</v>
      </c>
      <c r="E1411" t="s">
        <v>38</v>
      </c>
      <c r="F1411" t="s">
        <v>39</v>
      </c>
      <c r="G1411">
        <v>-10</v>
      </c>
      <c r="H1411">
        <v>0</v>
      </c>
      <c r="I1411">
        <v>-10</v>
      </c>
      <c r="J1411">
        <v>0.45</v>
      </c>
      <c r="K1411">
        <v>-5.71428571428571</v>
      </c>
      <c r="L1411">
        <v>0</v>
      </c>
      <c r="M1411">
        <v>-10</v>
      </c>
      <c r="N1411">
        <v>0</v>
      </c>
      <c r="O1411">
        <v>1.4285714285714199</v>
      </c>
      <c r="P1411"/>
      <c r="Q1411">
        <v>0.249999999999999</v>
      </c>
      <c r="R1411">
        <v>0.92561338351054201</v>
      </c>
      <c r="S1411" s="1" t="str">
        <f>VLOOKUP($E1411,'Product Naming'!$A$1:$P$58,2,FALSE)</f>
        <v>1-3-butanediol-PW1</v>
      </c>
      <c r="T1411" s="1" t="str">
        <f>VLOOKUP($E1411,'Product Naming'!$A$1:$P$58,3,FALSE)</f>
        <v>1,3-Butanediol (PW1)</v>
      </c>
      <c r="U1411" s="1" t="str">
        <f>VLOOKUP($E1411,'Product Naming'!$A$1:$P$58,4,FALSE)</f>
        <v>E</v>
      </c>
      <c r="V1411" s="1" t="str">
        <f>VLOOKUP($E1411,'Product Naming'!$A$1:$P$58,5,FALSE)</f>
        <v>C4H10O2</v>
      </c>
      <c r="W1411" s="1">
        <f>VLOOKUP($E1411,'Product Naming'!$A$1:$P$58,6,FALSE)</f>
        <v>4</v>
      </c>
      <c r="X1411" s="1">
        <f>VLOOKUP($E1411,'Product Naming'!$A$1:$P$58,7,FALSE)</f>
        <v>10</v>
      </c>
      <c r="Y1411" s="1">
        <f>VLOOKUP($E1411,'Product Naming'!$A$1:$P$58,8,FALSE)</f>
        <v>2</v>
      </c>
      <c r="Z1411" s="1">
        <f>VLOOKUP($E1411,'Product Naming'!$A$1:$P$58,9,FALSE)</f>
        <v>0</v>
      </c>
      <c r="AA1411" s="1">
        <f>VLOOKUP($E1411,'Product Naming'!$A$1:$P$58,10,FALSE)</f>
        <v>0</v>
      </c>
      <c r="AB1411" s="29">
        <f>VLOOKUP($E1411,'Product Naming'!$A$1:$P$58,11,FALSE)</f>
        <v>5.5</v>
      </c>
      <c r="AC1411" s="3">
        <f>VLOOKUP($E1411,'Product Naming'!$A$1:$P$58,12,FALSE)</f>
        <v>90.119200000000006</v>
      </c>
      <c r="AD1411" s="1">
        <f>VLOOKUP($E1411,'Product Naming'!$A$1:$P$58,13,FALSE)</f>
        <v>207</v>
      </c>
      <c r="AE1411" s="1" t="str">
        <f>VLOOKUP($E1411,'Product Naming'!$A$1:$P$58,14,FALSE)</f>
        <v>Diol</v>
      </c>
      <c r="AF1411" s="1" t="str">
        <f>VLOOKUP($E1411,'Product Naming'!$A$1:$P$58,15,FALSE)</f>
        <v>Acetyl-CoA</v>
      </c>
      <c r="AG1411" s="30" t="str">
        <f>VLOOKUP($E1411,'Product Naming'!$A$1:$P$58,16,FALSE)</f>
        <v>Proton symporter</v>
      </c>
      <c r="AH1411" s="3" t="str">
        <f>VLOOKUP($E1411,'Product Naming'!$A$1:$Q$58,17,FALSE)</f>
        <v>13bdo__R_c</v>
      </c>
      <c r="AI1411" s="1">
        <f>VLOOKUP($E1411,'Product Parameters'!$A$2:$D$59,2,FALSE)</f>
        <v>1</v>
      </c>
      <c r="AJ1411" s="1">
        <f>VLOOKUP($E1411,'Product Parameters'!$A$2:$D$59,3,FALSE)</f>
        <v>0</v>
      </c>
      <c r="AK1411" s="1">
        <f>VLOOKUP($E1411,'Product Parameters'!$A$2:$D$59,4,FALSE)</f>
        <v>0.12</v>
      </c>
      <c r="AL1411" s="1">
        <f>VLOOKUP($E1411,'Product Parameters'!$A$2:$E$59,5,FALSE)</f>
        <v>72.599999999999994</v>
      </c>
      <c r="AM1411" s="1">
        <f>VLOOKUP($E1411,'Product Parameters'!$A$2:$F$59,6,FALSE)</f>
        <v>4</v>
      </c>
      <c r="AN1411" s="1">
        <f>VLOOKUP($C1411,'Substrate Heating'!$A$2:$C$33,3,FALSE)</f>
        <v>209.92000000000002</v>
      </c>
      <c r="AO1411" s="1">
        <f>VLOOKUP($C1411,'Substrate Heating'!$A$2:$B$33,2,FALSE)</f>
        <v>10.086540906516333</v>
      </c>
      <c r="AP1411" s="1">
        <f>VLOOKUP($C1411,'Substrate Heating'!$A$2:$M$33,13,FALSE)</f>
        <v>0.8</v>
      </c>
      <c r="AQ1411" s="1">
        <f>VLOOKUP($C1411,'Substrate Heating'!$A$2:$M$33,8,FALSE)</f>
        <v>0.8</v>
      </c>
      <c r="AR1411" s="1">
        <f t="shared" ref="AR1411:AR1474" si="22">Q1411*W1411/AQ1411</f>
        <v>1.2499999999999949</v>
      </c>
    </row>
    <row r="1412" spans="1:44" x14ac:dyDescent="0.2">
      <c r="A1412" s="8" t="s">
        <v>812</v>
      </c>
      <c r="B1412" s="18" t="s">
        <v>324</v>
      </c>
      <c r="C1412" t="s">
        <v>814</v>
      </c>
      <c r="E1412" t="s">
        <v>48</v>
      </c>
      <c r="F1412" t="s">
        <v>39</v>
      </c>
      <c r="G1412">
        <v>-10</v>
      </c>
      <c r="H1412">
        <v>0</v>
      </c>
      <c r="I1412">
        <v>-10</v>
      </c>
      <c r="J1412">
        <v>0.45</v>
      </c>
      <c r="K1412">
        <v>-5.71428571428571</v>
      </c>
      <c r="L1412">
        <v>0</v>
      </c>
      <c r="M1412">
        <v>-10</v>
      </c>
      <c r="N1412">
        <v>0</v>
      </c>
      <c r="O1412">
        <v>1.4285714285714199</v>
      </c>
      <c r="P1412"/>
      <c r="Q1412">
        <v>0.25</v>
      </c>
      <c r="R1412">
        <v>0.92561338351054201</v>
      </c>
      <c r="S1412" s="1" t="str">
        <f>VLOOKUP($E1412,'Product Naming'!$A$1:$P$58,2,FALSE)</f>
        <v>1-3-butanediol-PW2</v>
      </c>
      <c r="T1412" s="1" t="str">
        <f>VLOOKUP($E1412,'Product Naming'!$A$1:$P$58,3,FALSE)</f>
        <v>1,3-Butanediol (PW2)</v>
      </c>
      <c r="U1412" s="1" t="str">
        <f>VLOOKUP($E1412,'Product Naming'!$A$1:$P$58,4,FALSE)</f>
        <v>E</v>
      </c>
      <c r="V1412" s="1" t="str">
        <f>VLOOKUP($E1412,'Product Naming'!$A$1:$P$58,5,FALSE)</f>
        <v>C4H10O2</v>
      </c>
      <c r="W1412" s="1">
        <f>VLOOKUP($E1412,'Product Naming'!$A$1:$P$58,6,FALSE)</f>
        <v>4</v>
      </c>
      <c r="X1412" s="1">
        <f>VLOOKUP($E1412,'Product Naming'!$A$1:$P$58,7,FALSE)</f>
        <v>10</v>
      </c>
      <c r="Y1412" s="1">
        <f>VLOOKUP($E1412,'Product Naming'!$A$1:$P$58,8,FALSE)</f>
        <v>2</v>
      </c>
      <c r="Z1412" s="1">
        <f>VLOOKUP($E1412,'Product Naming'!$A$1:$P$58,9,FALSE)</f>
        <v>0</v>
      </c>
      <c r="AA1412" s="1">
        <f>VLOOKUP($E1412,'Product Naming'!$A$1:$P$58,10,FALSE)</f>
        <v>0</v>
      </c>
      <c r="AB1412" s="29">
        <f>VLOOKUP($E1412,'Product Naming'!$A$1:$P$58,11,FALSE)</f>
        <v>5.5</v>
      </c>
      <c r="AC1412" s="3">
        <f>VLOOKUP($E1412,'Product Naming'!$A$1:$P$58,12,FALSE)</f>
        <v>90.119200000000006</v>
      </c>
      <c r="AD1412" s="1">
        <f>VLOOKUP($E1412,'Product Naming'!$A$1:$P$58,13,FALSE)</f>
        <v>207</v>
      </c>
      <c r="AE1412" s="1" t="str">
        <f>VLOOKUP($E1412,'Product Naming'!$A$1:$P$58,14,FALSE)</f>
        <v>Diol</v>
      </c>
      <c r="AF1412" s="1" t="str">
        <f>VLOOKUP($E1412,'Product Naming'!$A$1:$P$58,15,FALSE)</f>
        <v>Pyruvate (acetalehyde)</v>
      </c>
      <c r="AG1412" s="30" t="str">
        <f>VLOOKUP($E1412,'Product Naming'!$A$1:$P$58,16,FALSE)</f>
        <v>Proton symporter</v>
      </c>
      <c r="AH1412" s="3" t="str">
        <f>VLOOKUP($E1412,'Product Naming'!$A$1:$Q$58,17,FALSE)</f>
        <v>13bdo__R_c</v>
      </c>
      <c r="AI1412" s="1">
        <f>VLOOKUP($E1412,'Product Parameters'!$A$2:$D$59,2,FALSE)</f>
        <v>1</v>
      </c>
      <c r="AJ1412" s="1">
        <f>VLOOKUP($E1412,'Product Parameters'!$A$2:$D$59,3,FALSE)</f>
        <v>0</v>
      </c>
      <c r="AK1412" s="1">
        <f>VLOOKUP($E1412,'Product Parameters'!$A$2:$D$59,4,FALSE)</f>
        <v>0.12</v>
      </c>
      <c r="AL1412" s="1">
        <f>VLOOKUP($E1412,'Product Parameters'!$A$2:$E$59,5,FALSE)</f>
        <v>72.599999999999994</v>
      </c>
      <c r="AM1412" s="1">
        <f>VLOOKUP($E1412,'Product Parameters'!$A$2:$F$59,6,FALSE)</f>
        <v>4</v>
      </c>
      <c r="AN1412" s="1">
        <f>VLOOKUP($C1412,'Substrate Heating'!$A$2:$C$33,3,FALSE)</f>
        <v>209.92000000000002</v>
      </c>
      <c r="AO1412" s="1">
        <f>VLOOKUP($C1412,'Substrate Heating'!$A$2:$B$33,2,FALSE)</f>
        <v>10.086540906516333</v>
      </c>
      <c r="AP1412" s="1">
        <f>VLOOKUP($C1412,'Substrate Heating'!$A$2:$M$33,13,FALSE)</f>
        <v>0.8</v>
      </c>
      <c r="AQ1412" s="1">
        <f>VLOOKUP($C1412,'Substrate Heating'!$A$2:$M$33,8,FALSE)</f>
        <v>0.8</v>
      </c>
      <c r="AR1412" s="1">
        <f t="shared" si="22"/>
        <v>1.25</v>
      </c>
    </row>
    <row r="1413" spans="1:44" x14ac:dyDescent="0.2">
      <c r="A1413" s="8" t="s">
        <v>812</v>
      </c>
      <c r="B1413" s="18" t="s">
        <v>324</v>
      </c>
      <c r="C1413" t="s">
        <v>814</v>
      </c>
      <c r="E1413" t="s">
        <v>85</v>
      </c>
      <c r="F1413" t="s">
        <v>86</v>
      </c>
      <c r="G1413">
        <v>-10</v>
      </c>
      <c r="H1413">
        <v>0</v>
      </c>
      <c r="I1413">
        <v>-10</v>
      </c>
      <c r="J1413">
        <v>0.45</v>
      </c>
      <c r="K1413">
        <v>-5.71428571428571</v>
      </c>
      <c r="L1413">
        <v>0</v>
      </c>
      <c r="M1413">
        <v>-10</v>
      </c>
      <c r="N1413">
        <v>0</v>
      </c>
      <c r="O1413">
        <v>1.4285714285714199</v>
      </c>
      <c r="P1413"/>
      <c r="Q1413">
        <v>0.25</v>
      </c>
      <c r="R1413">
        <v>0.92561338351054201</v>
      </c>
      <c r="S1413" s="1" t="str">
        <f>VLOOKUP($E1413,'Product Naming'!$A$1:$P$58,2,FALSE)</f>
        <v>2-3-butanediol</v>
      </c>
      <c r="T1413" s="1" t="str">
        <f>VLOOKUP($E1413,'Product Naming'!$A$1:$P$58,3,FALSE)</f>
        <v>2,3-Butanediol</v>
      </c>
      <c r="U1413" s="1" t="str">
        <f>VLOOKUP($E1413,'Product Naming'!$A$1:$P$58,4,FALSE)</f>
        <v>E</v>
      </c>
      <c r="V1413" s="1" t="str">
        <f>VLOOKUP($E1413,'Product Naming'!$A$1:$P$58,5,FALSE)</f>
        <v>C4H10O2</v>
      </c>
      <c r="W1413" s="1">
        <f>VLOOKUP($E1413,'Product Naming'!$A$1:$P$58,6,FALSE)</f>
        <v>4</v>
      </c>
      <c r="X1413" s="1">
        <f>VLOOKUP($E1413,'Product Naming'!$A$1:$P$58,7,FALSE)</f>
        <v>10</v>
      </c>
      <c r="Y1413" s="1">
        <f>VLOOKUP($E1413,'Product Naming'!$A$1:$P$58,8,FALSE)</f>
        <v>2</v>
      </c>
      <c r="Z1413" s="1">
        <f>VLOOKUP($E1413,'Product Naming'!$A$1:$P$58,9,FALSE)</f>
        <v>0</v>
      </c>
      <c r="AA1413" s="1">
        <f>VLOOKUP($E1413,'Product Naming'!$A$1:$P$58,10,FALSE)</f>
        <v>0</v>
      </c>
      <c r="AB1413" s="29">
        <f>VLOOKUP($E1413,'Product Naming'!$A$1:$P$58,11,FALSE)</f>
        <v>5.5</v>
      </c>
      <c r="AC1413" s="3">
        <f>VLOOKUP($E1413,'Product Naming'!$A$1:$P$58,12,FALSE)</f>
        <v>90.119200000000006</v>
      </c>
      <c r="AD1413" s="1">
        <f>VLOOKUP($E1413,'Product Naming'!$A$1:$P$58,13,FALSE)</f>
        <v>177</v>
      </c>
      <c r="AE1413" s="1" t="str">
        <f>VLOOKUP($E1413,'Product Naming'!$A$1:$P$58,14,FALSE)</f>
        <v>Diol</v>
      </c>
      <c r="AF1413" s="1" t="str">
        <f>VLOOKUP($E1413,'Product Naming'!$A$1:$P$58,15,FALSE)</f>
        <v>Pyruvate</v>
      </c>
      <c r="AG1413" s="30" t="str">
        <f>VLOOKUP($E1413,'Product Naming'!$A$1:$P$58,16,FALSE)</f>
        <v>Proton symporter</v>
      </c>
      <c r="AH1413" s="3" t="str">
        <f>VLOOKUP($E1413,'Product Naming'!$A$1:$Q$58,17,FALSE)</f>
        <v>btd_RR_c</v>
      </c>
      <c r="AI1413" s="1">
        <f>VLOOKUP($E1413,'Product Parameters'!$A$2:$D$59,2,FALSE)</f>
        <v>1</v>
      </c>
      <c r="AJ1413" s="1">
        <f>VLOOKUP($E1413,'Product Parameters'!$A$2:$D$59,3,FALSE)</f>
        <v>0</v>
      </c>
      <c r="AK1413" s="1">
        <f>VLOOKUP($E1413,'Product Parameters'!$A$2:$D$59,4,FALSE)</f>
        <v>0.12</v>
      </c>
      <c r="AL1413" s="1">
        <f>VLOOKUP($E1413,'Product Parameters'!$A$2:$E$59,5,FALSE)</f>
        <v>63</v>
      </c>
      <c r="AM1413" s="1">
        <f>VLOOKUP($E1413,'Product Parameters'!$A$2:$F$59,6,FALSE)</f>
        <v>4</v>
      </c>
      <c r="AN1413" s="1">
        <f>VLOOKUP($C1413,'Substrate Heating'!$A$2:$C$33,3,FALSE)</f>
        <v>209.92000000000002</v>
      </c>
      <c r="AO1413" s="1">
        <f>VLOOKUP($C1413,'Substrate Heating'!$A$2:$B$33,2,FALSE)</f>
        <v>10.086540906516333</v>
      </c>
      <c r="AP1413" s="1">
        <f>VLOOKUP($C1413,'Substrate Heating'!$A$2:$M$33,13,FALSE)</f>
        <v>0.8</v>
      </c>
      <c r="AQ1413" s="1">
        <f>VLOOKUP($C1413,'Substrate Heating'!$A$2:$M$33,8,FALSE)</f>
        <v>0.8</v>
      </c>
      <c r="AR1413" s="1">
        <f t="shared" si="22"/>
        <v>1.25</v>
      </c>
    </row>
    <row r="1414" spans="1:44" x14ac:dyDescent="0.2">
      <c r="A1414" s="8" t="s">
        <v>34</v>
      </c>
      <c r="B1414" s="9" t="s">
        <v>35</v>
      </c>
      <c r="C1414" s="1" t="s">
        <v>343</v>
      </c>
      <c r="D1414" s="24" t="s">
        <v>342</v>
      </c>
      <c r="E1414" s="1" t="s">
        <v>254</v>
      </c>
      <c r="F1414" s="1" t="s">
        <v>255</v>
      </c>
      <c r="G1414" s="1">
        <v>-10</v>
      </c>
      <c r="H1414" s="1">
        <v>-20</v>
      </c>
      <c r="I1414" s="1" t="s">
        <v>40</v>
      </c>
      <c r="J1414" s="1">
        <v>3.15</v>
      </c>
      <c r="K1414" s="1">
        <v>-10</v>
      </c>
      <c r="L1414" s="1">
        <v>-4.8634328358208796</v>
      </c>
      <c r="M1414" s="1" t="s">
        <v>40</v>
      </c>
      <c r="N1414" s="1">
        <v>-3.48507462686567</v>
      </c>
      <c r="O1414" s="1">
        <v>6.6970149253731304</v>
      </c>
      <c r="Q1414" s="1">
        <v>0.66970149253731304</v>
      </c>
      <c r="R1414" s="1">
        <v>0.93139738483497203</v>
      </c>
      <c r="S1414" s="1" t="str">
        <f>VLOOKUP($E1414,'Product Naming'!$A$1:$P$58,2,FALSE)</f>
        <v>Itaconate</v>
      </c>
      <c r="T1414" s="1" t="str">
        <f>VLOOKUP($E1414,'Product Naming'!$A$1:$P$58,3,FALSE)</f>
        <v>Itaconate</v>
      </c>
      <c r="U1414" s="1" t="str">
        <f>VLOOKUP($E1414,'Product Naming'!$A$1:$P$58,4,FALSE)</f>
        <v>E</v>
      </c>
      <c r="V1414" s="1" t="str">
        <f>VLOOKUP($E1414,'Product Naming'!$A$1:$P$58,5,FALSE)</f>
        <v>C5H4O4</v>
      </c>
      <c r="W1414" s="1">
        <f>VLOOKUP($E1414,'Product Naming'!$A$1:$P$58,6,FALSE)</f>
        <v>5</v>
      </c>
      <c r="X1414" s="1">
        <f>VLOOKUP($E1414,'Product Naming'!$A$1:$P$58,7,FALSE)</f>
        <v>4</v>
      </c>
      <c r="Y1414" s="1">
        <f>VLOOKUP($E1414,'Product Naming'!$A$1:$P$58,8,FALSE)</f>
        <v>4</v>
      </c>
      <c r="Z1414" s="1">
        <f>VLOOKUP($E1414,'Product Naming'!$A$1:$P$58,9,FALSE)</f>
        <v>0</v>
      </c>
      <c r="AA1414" s="1">
        <f>VLOOKUP($E1414,'Product Naming'!$A$1:$P$58,10,FALSE)</f>
        <v>-2</v>
      </c>
      <c r="AB1414" s="29">
        <f>VLOOKUP($E1414,'Product Naming'!$A$1:$P$58,11,FALSE)</f>
        <v>3.2</v>
      </c>
      <c r="AC1414" s="3">
        <f>VLOOKUP($E1414,'Product Naming'!$A$1:$P$58,12,FALSE)</f>
        <v>128.08086</v>
      </c>
      <c r="AD1414" s="1">
        <f>VLOOKUP($E1414,'Product Naming'!$A$1:$P$58,13,FALSE)</f>
        <v>381</v>
      </c>
      <c r="AE1414" s="1" t="str">
        <f>VLOOKUP($E1414,'Product Naming'!$A$1:$P$58,14,FALSE)</f>
        <v>Dicarboxylate</v>
      </c>
      <c r="AF1414" s="1" t="str">
        <f>VLOOKUP($E1414,'Product Naming'!$A$1:$P$58,15,FALSE)</f>
        <v>Acetyl-CoA + Oxaloacetate</v>
      </c>
      <c r="AG1414" s="30" t="str">
        <f>VLOOKUP($E1414,'Product Naming'!$A$1:$P$58,16,FALSE)</f>
        <v>Proton symporter</v>
      </c>
      <c r="AH1414" s="3" t="str">
        <f>VLOOKUP($E1414,'Product Naming'!$A$1:$Q$58,17,FALSE)</f>
        <v>itacon_c</v>
      </c>
      <c r="AI1414" s="1">
        <f>VLOOKUP($E1414,'Product Parameters'!$A$2:$D$59,2,FALSE)</f>
        <v>1</v>
      </c>
      <c r="AJ1414" s="1">
        <f>VLOOKUP($E1414,'Product Parameters'!$A$2:$D$59,3,FALSE)</f>
        <v>0</v>
      </c>
      <c r="AK1414" s="1">
        <f>VLOOKUP($E1414,'Product Parameters'!$A$2:$D$59,4,FALSE)</f>
        <v>0.12</v>
      </c>
      <c r="AL1414" s="1">
        <f>VLOOKUP($E1414,'Product Parameters'!$A$2:$E$59,5,FALSE)</f>
        <v>40.65</v>
      </c>
      <c r="AM1414" s="1">
        <f>VLOOKUP($E1414,'Product Parameters'!$A$2:$F$59,6,FALSE)</f>
        <v>5</v>
      </c>
      <c r="AN1414" s="1">
        <f>VLOOKUP($C1414,'Substrate Heating'!$A$2:$C$33,3,FALSE)</f>
        <v>1648.4793779999998</v>
      </c>
      <c r="AO1414" s="1">
        <f>VLOOKUP($C1414,'Substrate Heating'!$A$2:$B$33,2,FALSE)</f>
        <v>17.899999999999999</v>
      </c>
      <c r="AP1414" s="1">
        <f>VLOOKUP($C1414,'Substrate Heating'!$A$2:$M$33,13,FALSE)</f>
        <v>4.666666666666667</v>
      </c>
      <c r="AQ1414" s="1">
        <f>VLOOKUP($C1414,'Substrate Heating'!$A$2:$M$33,8,FALSE)</f>
        <v>3</v>
      </c>
      <c r="AR1414" s="1">
        <f t="shared" si="22"/>
        <v>1.116169154228855</v>
      </c>
    </row>
    <row r="1415" spans="1:44" x14ac:dyDescent="0.2">
      <c r="A1415" s="17" t="s">
        <v>185</v>
      </c>
      <c r="B1415" s="9" t="s">
        <v>35</v>
      </c>
      <c r="C1415" t="s">
        <v>345</v>
      </c>
      <c r="D1415" s="10" t="s">
        <v>37</v>
      </c>
      <c r="E1415" t="s">
        <v>215</v>
      </c>
      <c r="F1415" t="s">
        <v>216</v>
      </c>
      <c r="G1415">
        <v>-10</v>
      </c>
      <c r="H1415">
        <v>-20</v>
      </c>
      <c r="I1415" s="1" t="s">
        <v>40</v>
      </c>
      <c r="J1415">
        <v>3.15</v>
      </c>
      <c r="K1415">
        <v>-10</v>
      </c>
      <c r="L1415">
        <v>-4.6636363636363702</v>
      </c>
      <c r="M1415" s="1" t="s">
        <v>40</v>
      </c>
      <c r="N1415">
        <v>0.82954545454545403</v>
      </c>
      <c r="O1415">
        <v>3.8340909090909099</v>
      </c>
      <c r="P1415"/>
      <c r="Q1415">
        <v>0.38340909090909098</v>
      </c>
      <c r="R1415">
        <v>0.93291351298571601</v>
      </c>
      <c r="S1415" s="1" t="str">
        <f>VLOOKUP($E1415,'Product Naming'!$A$1:$P$58,2,FALSE)</f>
        <v>Glutamate_L</v>
      </c>
      <c r="T1415" s="1" t="str">
        <f>VLOOKUP($E1415,'Product Naming'!$A$1:$P$58,3,FALSE)</f>
        <v>L-Glutamate</v>
      </c>
      <c r="U1415" s="1" t="str">
        <f>VLOOKUP($E1415,'Product Naming'!$A$1:$P$58,4,FALSE)</f>
        <v>iJO1366</v>
      </c>
      <c r="V1415" s="1" t="str">
        <f>VLOOKUP($E1415,'Product Naming'!$A$1:$P$58,5,FALSE)</f>
        <v>C5H8NO4</v>
      </c>
      <c r="W1415" s="1">
        <f>VLOOKUP($E1415,'Product Naming'!$A$1:$P$58,6,FALSE)</f>
        <v>5</v>
      </c>
      <c r="X1415" s="1">
        <f>VLOOKUP($E1415,'Product Naming'!$A$1:$P$58,7,FALSE)</f>
        <v>8</v>
      </c>
      <c r="Y1415" s="1">
        <f>VLOOKUP($E1415,'Product Naming'!$A$1:$P$58,8,FALSE)</f>
        <v>4</v>
      </c>
      <c r="Z1415" s="1">
        <f>VLOOKUP($E1415,'Product Naming'!$A$1:$P$58,9,FALSE)</f>
        <v>1</v>
      </c>
      <c r="AA1415" s="1">
        <f>VLOOKUP($E1415,'Product Naming'!$A$1:$P$58,10,FALSE)</f>
        <v>-1</v>
      </c>
      <c r="AB1415" s="29">
        <f>VLOOKUP($E1415,'Product Naming'!$A$1:$P$58,11,FALSE)</f>
        <v>3.4</v>
      </c>
      <c r="AC1415" s="3">
        <f>VLOOKUP($E1415,'Product Naming'!$A$1:$P$58,12,FALSE)</f>
        <v>146.11892</v>
      </c>
      <c r="AD1415" s="1">
        <f>VLOOKUP($E1415,'Product Naming'!$A$1:$P$58,13,FALSE)</f>
        <v>333.8</v>
      </c>
      <c r="AE1415" s="1" t="str">
        <f>VLOOKUP($E1415,'Product Naming'!$A$1:$P$58,14,FALSE)</f>
        <v>Amino acid</v>
      </c>
      <c r="AF1415" s="1" t="str">
        <f>VLOOKUP($E1415,'Product Naming'!$A$1:$P$58,15,FALSE)</f>
        <v>aKG</v>
      </c>
      <c r="AG1415" s="30" t="str">
        <f>VLOOKUP($E1415,'Product Naming'!$A$1:$P$58,16,FALSE)</f>
        <v>Proton symporter</v>
      </c>
      <c r="AH1415" s="3" t="str">
        <f>VLOOKUP($E1415,'Product Naming'!$A$1:$Q$58,17,FALSE)</f>
        <v>glu__L_c</v>
      </c>
      <c r="AI1415" s="1">
        <f>VLOOKUP($E1415,'Product Parameters'!$A$2:$D$59,2,FALSE)</f>
        <v>1</v>
      </c>
      <c r="AJ1415" s="1">
        <f>VLOOKUP($E1415,'Product Parameters'!$A$2:$D$59,3,FALSE)</f>
        <v>0</v>
      </c>
      <c r="AK1415" s="1">
        <f>VLOOKUP($E1415,'Product Parameters'!$A$2:$D$59,4,FALSE)</f>
        <v>0.12</v>
      </c>
      <c r="AL1415" s="1">
        <f>VLOOKUP($E1415,'Product Parameters'!$A$2:$E$59,5,FALSE)</f>
        <v>40.65</v>
      </c>
      <c r="AM1415" s="1">
        <f>VLOOKUP($E1415,'Product Parameters'!$A$2:$F$59,6,FALSE)</f>
        <v>5</v>
      </c>
      <c r="AN1415" s="1">
        <f>VLOOKUP($C1415,'Substrate Heating'!$A$2:$C$33,3,FALSE)</f>
        <v>1020.8629199999999</v>
      </c>
      <c r="AO1415" s="1">
        <f>VLOOKUP($C1415,'Substrate Heating'!$A$2:$B$33,2,FALSE)</f>
        <v>17</v>
      </c>
      <c r="AP1415" s="1">
        <f>VLOOKUP($C1415,'Substrate Heating'!$A$2:$M$33,13,FALSE)</f>
        <v>4</v>
      </c>
      <c r="AQ1415" s="1">
        <f>VLOOKUP($C1415,'Substrate Heating'!$A$2:$M$33,8,FALSE)</f>
        <v>2</v>
      </c>
      <c r="AR1415" s="1">
        <f t="shared" si="22"/>
        <v>0.95852272727272747</v>
      </c>
    </row>
    <row r="1416" spans="1:44" x14ac:dyDescent="0.2">
      <c r="A1416" s="8" t="s">
        <v>812</v>
      </c>
      <c r="B1416" s="9" t="s">
        <v>35</v>
      </c>
      <c r="C1416" t="s">
        <v>813</v>
      </c>
      <c r="E1416" t="s">
        <v>209</v>
      </c>
      <c r="F1416" t="s">
        <v>210</v>
      </c>
      <c r="G1416">
        <v>-10</v>
      </c>
      <c r="H1416">
        <v>-20</v>
      </c>
      <c r="I1416">
        <v>0</v>
      </c>
      <c r="J1416">
        <v>3.15</v>
      </c>
      <c r="K1416">
        <v>-10</v>
      </c>
      <c r="L1416">
        <v>-15.497368421052601</v>
      </c>
      <c r="M1416">
        <v>0</v>
      </c>
      <c r="N1416">
        <v>3.77543859649123</v>
      </c>
      <c r="O1416">
        <v>6.5561403508771896</v>
      </c>
      <c r="P1416"/>
      <c r="Q1416">
        <v>0.65561403508771898</v>
      </c>
      <c r="R1416">
        <v>0.939183098723125</v>
      </c>
      <c r="S1416" s="1" t="str">
        <f>VLOOKUP($E1416,'Product Naming'!$A$1:$P$58,2,FALSE)</f>
        <v>GammaButyrolactone</v>
      </c>
      <c r="T1416" s="1" t="str">
        <f>VLOOKUP($E1416,'Product Naming'!$A$1:$P$58,3,FALSE)</f>
        <v>Gamma butyrolactone</v>
      </c>
      <c r="U1416" s="1" t="str">
        <f>VLOOKUP($E1416,'Product Naming'!$A$1:$P$58,4,FALSE)</f>
        <v>A</v>
      </c>
      <c r="V1416" s="1" t="str">
        <f>VLOOKUP($E1416,'Product Naming'!$A$1:$P$58,5,FALSE)</f>
        <v>C4H6O2</v>
      </c>
      <c r="W1416" s="1">
        <f>VLOOKUP($E1416,'Product Naming'!$A$1:$P$58,6,FALSE)</f>
        <v>4</v>
      </c>
      <c r="X1416" s="1">
        <f>VLOOKUP($E1416,'Product Naming'!$A$1:$P$58,7,FALSE)</f>
        <v>6</v>
      </c>
      <c r="Y1416" s="1">
        <f>VLOOKUP($E1416,'Product Naming'!$A$1:$P$58,8,FALSE)</f>
        <v>2</v>
      </c>
      <c r="Z1416" s="1">
        <f>VLOOKUP($E1416,'Product Naming'!$A$1:$P$58,9,FALSE)</f>
        <v>0</v>
      </c>
      <c r="AA1416" s="1">
        <f>VLOOKUP($E1416,'Product Naming'!$A$1:$P$58,10,FALSE)</f>
        <v>0</v>
      </c>
      <c r="AB1416" s="29">
        <f>VLOOKUP($E1416,'Product Naming'!$A$1:$P$58,11,FALSE)</f>
        <v>4.5</v>
      </c>
      <c r="AC1416" s="3">
        <f>VLOOKUP($E1416,'Product Naming'!$A$1:$P$58,12,FALSE)</f>
        <v>86.08784</v>
      </c>
      <c r="AD1416" s="1">
        <f>VLOOKUP($E1416,'Product Naming'!$A$1:$P$58,13,FALSE)</f>
        <v>204</v>
      </c>
      <c r="AE1416" s="1" t="str">
        <f>VLOOKUP($E1416,'Product Naming'!$A$1:$P$58,14,FALSE)</f>
        <v>Lactone (cyclic ester)</v>
      </c>
      <c r="AF1416" s="1" t="str">
        <f>VLOOKUP($E1416,'Product Naming'!$A$1:$P$58,15,FALSE)</f>
        <v>aKG</v>
      </c>
      <c r="AG1416" s="30" t="str">
        <f>VLOOKUP($E1416,'Product Naming'!$A$1:$P$58,16,FALSE)</f>
        <v>Proton symporter</v>
      </c>
      <c r="AH1416" s="3" t="str">
        <f>VLOOKUP($E1416,'Product Naming'!$A$1:$Q$58,17,FALSE)</f>
        <v>gblt_c</v>
      </c>
      <c r="AI1416" s="1">
        <f>VLOOKUP($E1416,'Product Parameters'!$A$2:$D$59,2,FALSE)</f>
        <v>1</v>
      </c>
      <c r="AJ1416" s="1">
        <f>VLOOKUP($E1416,'Product Parameters'!$A$2:$D$59,3,FALSE)</f>
        <v>0</v>
      </c>
      <c r="AK1416" s="1">
        <f>VLOOKUP($E1416,'Product Parameters'!$A$2:$D$59,4,FALSE)</f>
        <v>0.12</v>
      </c>
      <c r="AL1416" s="1">
        <f>VLOOKUP($E1416,'Product Parameters'!$A$2:$E$59,5,FALSE)</f>
        <v>0</v>
      </c>
      <c r="AM1416" s="1">
        <f>VLOOKUP($E1416,'Product Parameters'!$A$2:$F$59,6,FALSE)</f>
        <v>4</v>
      </c>
      <c r="AN1416" s="1">
        <f>VLOOKUP($C1416,'Substrate Heating'!$A$2:$C$33,3,FALSE)</f>
        <v>1843.720736</v>
      </c>
      <c r="AO1416" s="1">
        <f>VLOOKUP($C1416,'Substrate Heating'!$A$2:$B$33,2,FALSE)</f>
        <v>30.68</v>
      </c>
      <c r="AP1416" s="1">
        <f>VLOOKUP($C1416,'Substrate Heating'!$A$2:$M$33,13,FALSE)</f>
        <v>6</v>
      </c>
      <c r="AQ1416" s="1">
        <f>VLOOKUP($C1416,'Substrate Heating'!$A$2:$M$33,8,FALSE)</f>
        <v>3</v>
      </c>
      <c r="AR1416" s="1">
        <f t="shared" si="22"/>
        <v>0.87415204678362535</v>
      </c>
    </row>
    <row r="1417" spans="1:44" x14ac:dyDescent="0.2">
      <c r="A1417" s="17" t="s">
        <v>185</v>
      </c>
      <c r="B1417" s="9" t="s">
        <v>35</v>
      </c>
      <c r="C1417" t="s">
        <v>36</v>
      </c>
      <c r="D1417" s="10" t="s">
        <v>37</v>
      </c>
      <c r="E1417" t="s">
        <v>264</v>
      </c>
      <c r="F1417" t="s">
        <v>265</v>
      </c>
      <c r="G1417">
        <v>-10</v>
      </c>
      <c r="H1417">
        <v>-20</v>
      </c>
      <c r="I1417" s="1" t="s">
        <v>40</v>
      </c>
      <c r="J1417">
        <v>3.15</v>
      </c>
      <c r="K1417">
        <v>-10</v>
      </c>
      <c r="L1417">
        <v>-5.2169230769230799</v>
      </c>
      <c r="M1417" s="1" t="s">
        <v>40</v>
      </c>
      <c r="N1417">
        <v>3.0430769230769199</v>
      </c>
      <c r="O1417">
        <v>2.8261538461538498</v>
      </c>
      <c r="P1417"/>
      <c r="Q1417">
        <v>0.28261538461538499</v>
      </c>
      <c r="R1417">
        <v>0.94432237964542598</v>
      </c>
      <c r="S1417" s="1" t="str">
        <f>VLOOKUP($E1417,'Product Naming'!$A$1:$P$58,2,FALSE)</f>
        <v>Lysine_L</v>
      </c>
      <c r="T1417" s="1" t="str">
        <f>VLOOKUP($E1417,'Product Naming'!$A$1:$P$58,3,FALSE)</f>
        <v>L-Lysine</v>
      </c>
      <c r="U1417" s="1" t="str">
        <f>VLOOKUP($E1417,'Product Naming'!$A$1:$P$58,4,FALSE)</f>
        <v>iJO1366</v>
      </c>
      <c r="V1417" s="1" t="str">
        <f>VLOOKUP($E1417,'Product Naming'!$A$1:$P$58,5,FALSE)</f>
        <v>C6H15N2O2</v>
      </c>
      <c r="W1417" s="1">
        <f>VLOOKUP($E1417,'Product Naming'!$A$1:$P$58,6,FALSE)</f>
        <v>6</v>
      </c>
      <c r="X1417" s="1">
        <f>VLOOKUP($E1417,'Product Naming'!$A$1:$P$58,7,FALSE)</f>
        <v>15</v>
      </c>
      <c r="Y1417" s="1">
        <f>VLOOKUP($E1417,'Product Naming'!$A$1:$P$58,8,FALSE)</f>
        <v>2</v>
      </c>
      <c r="Z1417" s="1">
        <f>VLOOKUP($E1417,'Product Naming'!$A$1:$P$58,9,FALSE)</f>
        <v>2</v>
      </c>
      <c r="AA1417" s="1">
        <f>VLOOKUP($E1417,'Product Naming'!$A$1:$P$58,10,FALSE)</f>
        <v>1</v>
      </c>
      <c r="AB1417" s="29">
        <f>VLOOKUP($E1417,'Product Naming'!$A$1:$P$58,11,FALSE)</f>
        <v>4.833333333333333</v>
      </c>
      <c r="AC1417" s="3">
        <f>VLOOKUP($E1417,'Product Naming'!$A$1:$P$58,12,FALSE)</f>
        <v>147.19319999999999</v>
      </c>
      <c r="AD1417" s="1" t="str">
        <f>VLOOKUP($E1417,'Product Naming'!$A$1:$P$58,13,FALSE)</f>
        <v>NA</v>
      </c>
      <c r="AE1417" s="1" t="str">
        <f>VLOOKUP($E1417,'Product Naming'!$A$1:$P$58,14,FALSE)</f>
        <v>Amino acid</v>
      </c>
      <c r="AF1417" s="1" t="str">
        <f>VLOOKUP($E1417,'Product Naming'!$A$1:$P$58,15,FALSE)</f>
        <v>Oxaloacetate</v>
      </c>
      <c r="AG1417" s="30" t="str">
        <f>VLOOKUP($E1417,'Product Naming'!$A$1:$P$58,16,FALSE)</f>
        <v>Proton antiport</v>
      </c>
      <c r="AH1417" s="3" t="str">
        <f>VLOOKUP($E1417,'Product Naming'!$A$1:$Q$58,17,FALSE)</f>
        <v>lys__L_</v>
      </c>
      <c r="AI1417" s="1">
        <f>VLOOKUP($E1417,'Product Parameters'!$A$2:$D$59,2,FALSE)</f>
        <v>1</v>
      </c>
      <c r="AJ1417" s="1">
        <f>VLOOKUP($E1417,'Product Parameters'!$A$2:$D$59,3,FALSE)</f>
        <v>0</v>
      </c>
      <c r="AK1417" s="1">
        <f>VLOOKUP($E1417,'Product Parameters'!$A$2:$D$59,4,FALSE)</f>
        <v>0.12</v>
      </c>
      <c r="AL1417" s="1">
        <f>VLOOKUP($E1417,'Product Parameters'!$A$2:$E$59,5,FALSE)</f>
        <v>40.65</v>
      </c>
      <c r="AM1417" s="1">
        <f>VLOOKUP($E1417,'Product Parameters'!$A$2:$F$59,6,FALSE)</f>
        <v>6</v>
      </c>
      <c r="AN1417" s="1">
        <f>VLOOKUP($C1417,'Substrate Heating'!$A$2:$C$33,3,FALSE)</f>
        <v>1064.1143145599999</v>
      </c>
      <c r="AO1417" s="1">
        <f>VLOOKUP($C1417,'Substrate Heating'!$A$2:$B$33,2,FALSE)</f>
        <v>24.155999999999999</v>
      </c>
      <c r="AP1417" s="1">
        <f>VLOOKUP($C1417,'Substrate Heating'!$A$2:$M$33,13,FALSE)</f>
        <v>5</v>
      </c>
      <c r="AQ1417" s="1">
        <f>VLOOKUP($C1417,'Substrate Heating'!$A$2:$M$33,8,FALSE)</f>
        <v>2</v>
      </c>
      <c r="AR1417" s="1">
        <f t="shared" si="22"/>
        <v>0.84784615384615503</v>
      </c>
    </row>
    <row r="1418" spans="1:44" x14ac:dyDescent="0.2">
      <c r="A1418" s="17" t="s">
        <v>185</v>
      </c>
      <c r="B1418" s="9" t="s">
        <v>35</v>
      </c>
      <c r="C1418" t="s">
        <v>344</v>
      </c>
      <c r="D1418" s="10" t="s">
        <v>37</v>
      </c>
      <c r="E1418" t="s">
        <v>186</v>
      </c>
      <c r="F1418" t="s">
        <v>187</v>
      </c>
      <c r="G1418">
        <v>-10</v>
      </c>
      <c r="H1418">
        <v>-20</v>
      </c>
      <c r="I1418" s="1" t="s">
        <v>40</v>
      </c>
      <c r="J1418">
        <v>3.15</v>
      </c>
      <c r="K1418">
        <v>-10</v>
      </c>
      <c r="L1418">
        <v>-6.4848739495798302</v>
      </c>
      <c r="M1418" s="1" t="s">
        <v>40</v>
      </c>
      <c r="N1418">
        <v>1.97983193277311</v>
      </c>
      <c r="O1418">
        <v>3.0033613445378098</v>
      </c>
      <c r="P1418"/>
      <c r="Q1418">
        <v>0.30033613445378099</v>
      </c>
      <c r="R1418">
        <v>0.94572173807909898</v>
      </c>
      <c r="S1418" s="1" t="str">
        <f>VLOOKUP($E1418,'Product Naming'!$A$1:$P$58,2,FALSE)</f>
        <v>Citrate</v>
      </c>
      <c r="T1418" s="1" t="str">
        <f>VLOOKUP($E1418,'Product Naming'!$A$1:$P$58,3,FALSE)</f>
        <v>Citrate</v>
      </c>
      <c r="U1418" s="1" t="str">
        <f>VLOOKUP($E1418,'Product Naming'!$A$1:$P$58,4,FALSE)</f>
        <v>iJO1366</v>
      </c>
      <c r="V1418" s="1" t="str">
        <f>VLOOKUP($E1418,'Product Naming'!$A$1:$P$58,5,FALSE)</f>
        <v>C6H5O7</v>
      </c>
      <c r="W1418" s="1">
        <f>VLOOKUP($E1418,'Product Naming'!$A$1:$P$58,6,FALSE)</f>
        <v>6</v>
      </c>
      <c r="X1418" s="1">
        <f>VLOOKUP($E1418,'Product Naming'!$A$1:$P$58,7,FALSE)</f>
        <v>5</v>
      </c>
      <c r="Y1418" s="1">
        <f>VLOOKUP($E1418,'Product Naming'!$A$1:$P$58,8,FALSE)</f>
        <v>7</v>
      </c>
      <c r="Z1418" s="1">
        <f>VLOOKUP($E1418,'Product Naming'!$A$1:$P$58,9,FALSE)</f>
        <v>0</v>
      </c>
      <c r="AA1418" s="1">
        <f>VLOOKUP($E1418,'Product Naming'!$A$1:$P$58,10,FALSE)</f>
        <v>-3</v>
      </c>
      <c r="AB1418" s="29">
        <f>VLOOKUP($E1418,'Product Naming'!$A$1:$P$58,11,FALSE)</f>
        <v>2.5</v>
      </c>
      <c r="AC1418" s="3">
        <f>VLOOKUP($E1418,'Product Naming'!$A$1:$P$58,12,FALSE)</f>
        <v>189.09640000000002</v>
      </c>
      <c r="AD1418" s="1" t="str">
        <f>VLOOKUP($E1418,'Product Naming'!$A$1:$P$58,13,FALSE)</f>
        <v>NA</v>
      </c>
      <c r="AE1418" s="1" t="str">
        <f>VLOOKUP($E1418,'Product Naming'!$A$1:$P$58,14,FALSE)</f>
        <v>Tricarboxylate + Alcohol</v>
      </c>
      <c r="AF1418" s="1" t="str">
        <f>VLOOKUP($E1418,'Product Naming'!$A$1:$P$58,15,FALSE)</f>
        <v>Acetyl-CoA</v>
      </c>
      <c r="AG1418" s="30" t="str">
        <f>VLOOKUP($E1418,'Product Naming'!$A$1:$P$58,16,FALSE)</f>
        <v>Proton antiport</v>
      </c>
      <c r="AH1418" s="3" t="str">
        <f>VLOOKUP($E1418,'Product Naming'!$A$1:$Q$58,17,FALSE)</f>
        <v>cit_c</v>
      </c>
      <c r="AI1418" s="1">
        <f>VLOOKUP($E1418,'Product Parameters'!$A$2:$D$59,2,FALSE)</f>
        <v>1</v>
      </c>
      <c r="AJ1418" s="1">
        <f>VLOOKUP($E1418,'Product Parameters'!$A$2:$D$59,3,FALSE)</f>
        <v>0</v>
      </c>
      <c r="AK1418" s="1">
        <f>VLOOKUP($E1418,'Product Parameters'!$A$2:$D$59,4,FALSE)</f>
        <v>0.12</v>
      </c>
      <c r="AL1418" s="1">
        <f>VLOOKUP($E1418,'Product Parameters'!$A$2:$E$59,5,FALSE)</f>
        <v>40.65</v>
      </c>
      <c r="AM1418" s="1">
        <f>VLOOKUP($E1418,'Product Parameters'!$A$2:$F$59,6,FALSE)</f>
        <v>6</v>
      </c>
      <c r="AN1418" s="1">
        <f>VLOOKUP($C1418,'Substrate Heating'!$A$2:$C$33,3,FALSE)</f>
        <v>1020.8629199999999</v>
      </c>
      <c r="AO1418" s="1">
        <f>VLOOKUP($C1418,'Substrate Heating'!$A$2:$B$33,2,FALSE)</f>
        <v>17</v>
      </c>
      <c r="AP1418" s="1">
        <f>VLOOKUP($C1418,'Substrate Heating'!$A$2:$M$33,13,FALSE)</f>
        <v>4</v>
      </c>
      <c r="AQ1418" s="1">
        <f>VLOOKUP($C1418,'Substrate Heating'!$A$2:$M$33,8,FALSE)</f>
        <v>2</v>
      </c>
      <c r="AR1418" s="1">
        <f t="shared" si="22"/>
        <v>0.90100840336134302</v>
      </c>
    </row>
    <row r="1419" spans="1:44" x14ac:dyDescent="0.2">
      <c r="A1419" s="8" t="s">
        <v>812</v>
      </c>
      <c r="B1419" s="9" t="s">
        <v>35</v>
      </c>
      <c r="C1419" t="s">
        <v>813</v>
      </c>
      <c r="E1419" t="s">
        <v>38</v>
      </c>
      <c r="F1419" t="s">
        <v>39</v>
      </c>
      <c r="G1419">
        <v>-10</v>
      </c>
      <c r="H1419">
        <v>-20</v>
      </c>
      <c r="I1419">
        <v>0</v>
      </c>
      <c r="J1419">
        <v>3.15</v>
      </c>
      <c r="K1419">
        <v>-10</v>
      </c>
      <c r="L1419">
        <v>-10.2186567164179</v>
      </c>
      <c r="M1419">
        <v>0</v>
      </c>
      <c r="N1419">
        <v>4.7044776119402902</v>
      </c>
      <c r="O1419">
        <v>6.3238805970149201</v>
      </c>
      <c r="P1419"/>
      <c r="Q1419">
        <v>0.63238805970149203</v>
      </c>
      <c r="R1419">
        <v>0.94833374428990602</v>
      </c>
      <c r="S1419" s="1" t="str">
        <f>VLOOKUP($E1419,'Product Naming'!$A$1:$P$58,2,FALSE)</f>
        <v>1-3-butanediol-PW1</v>
      </c>
      <c r="T1419" s="1" t="str">
        <f>VLOOKUP($E1419,'Product Naming'!$A$1:$P$58,3,FALSE)</f>
        <v>1,3-Butanediol (PW1)</v>
      </c>
      <c r="U1419" s="1" t="str">
        <f>VLOOKUP($E1419,'Product Naming'!$A$1:$P$58,4,FALSE)</f>
        <v>E</v>
      </c>
      <c r="V1419" s="1" t="str">
        <f>VLOOKUP($E1419,'Product Naming'!$A$1:$P$58,5,FALSE)</f>
        <v>C4H10O2</v>
      </c>
      <c r="W1419" s="1">
        <f>VLOOKUP($E1419,'Product Naming'!$A$1:$P$58,6,FALSE)</f>
        <v>4</v>
      </c>
      <c r="X1419" s="1">
        <f>VLOOKUP($E1419,'Product Naming'!$A$1:$P$58,7,FALSE)</f>
        <v>10</v>
      </c>
      <c r="Y1419" s="1">
        <f>VLOOKUP($E1419,'Product Naming'!$A$1:$P$58,8,FALSE)</f>
        <v>2</v>
      </c>
      <c r="Z1419" s="1">
        <f>VLOOKUP($E1419,'Product Naming'!$A$1:$P$58,9,FALSE)</f>
        <v>0</v>
      </c>
      <c r="AA1419" s="1">
        <f>VLOOKUP($E1419,'Product Naming'!$A$1:$P$58,10,FALSE)</f>
        <v>0</v>
      </c>
      <c r="AB1419" s="29">
        <f>VLOOKUP($E1419,'Product Naming'!$A$1:$P$58,11,FALSE)</f>
        <v>5.5</v>
      </c>
      <c r="AC1419" s="3">
        <f>VLOOKUP($E1419,'Product Naming'!$A$1:$P$58,12,FALSE)</f>
        <v>90.119200000000006</v>
      </c>
      <c r="AD1419" s="1">
        <f>VLOOKUP($E1419,'Product Naming'!$A$1:$P$58,13,FALSE)</f>
        <v>207</v>
      </c>
      <c r="AE1419" s="1" t="str">
        <f>VLOOKUP($E1419,'Product Naming'!$A$1:$P$58,14,FALSE)</f>
        <v>Diol</v>
      </c>
      <c r="AF1419" s="1" t="str">
        <f>VLOOKUP($E1419,'Product Naming'!$A$1:$P$58,15,FALSE)</f>
        <v>Acetyl-CoA</v>
      </c>
      <c r="AG1419" s="30" t="str">
        <f>VLOOKUP($E1419,'Product Naming'!$A$1:$P$58,16,FALSE)</f>
        <v>Proton symporter</v>
      </c>
      <c r="AH1419" s="3" t="str">
        <f>VLOOKUP($E1419,'Product Naming'!$A$1:$Q$58,17,FALSE)</f>
        <v>13bdo__R_c</v>
      </c>
      <c r="AI1419" s="1">
        <f>VLOOKUP($E1419,'Product Parameters'!$A$2:$D$59,2,FALSE)</f>
        <v>1</v>
      </c>
      <c r="AJ1419" s="1">
        <f>VLOOKUP($E1419,'Product Parameters'!$A$2:$D$59,3,FALSE)</f>
        <v>0</v>
      </c>
      <c r="AK1419" s="1">
        <f>VLOOKUP($E1419,'Product Parameters'!$A$2:$D$59,4,FALSE)</f>
        <v>0.12</v>
      </c>
      <c r="AL1419" s="1">
        <f>VLOOKUP($E1419,'Product Parameters'!$A$2:$E$59,5,FALSE)</f>
        <v>72.599999999999994</v>
      </c>
      <c r="AM1419" s="1">
        <f>VLOOKUP($E1419,'Product Parameters'!$A$2:$F$59,6,FALSE)</f>
        <v>4</v>
      </c>
      <c r="AN1419" s="1">
        <f>VLOOKUP($C1419,'Substrate Heating'!$A$2:$C$33,3,FALSE)</f>
        <v>1843.720736</v>
      </c>
      <c r="AO1419" s="1">
        <f>VLOOKUP($C1419,'Substrate Heating'!$A$2:$B$33,2,FALSE)</f>
        <v>30.68</v>
      </c>
      <c r="AP1419" s="1">
        <f>VLOOKUP($C1419,'Substrate Heating'!$A$2:$M$33,13,FALSE)</f>
        <v>6</v>
      </c>
      <c r="AQ1419" s="1">
        <f>VLOOKUP($C1419,'Substrate Heating'!$A$2:$M$33,8,FALSE)</f>
        <v>3</v>
      </c>
      <c r="AR1419" s="1">
        <f t="shared" si="22"/>
        <v>0.84318407960198938</v>
      </c>
    </row>
    <row r="1420" spans="1:44" x14ac:dyDescent="0.2">
      <c r="A1420" s="8" t="s">
        <v>34</v>
      </c>
      <c r="B1420" s="9" t="s">
        <v>35</v>
      </c>
      <c r="C1420" s="1" t="s">
        <v>332</v>
      </c>
      <c r="D1420" s="10" t="s">
        <v>37</v>
      </c>
      <c r="E1420" s="1" t="s">
        <v>66</v>
      </c>
      <c r="F1420" s="1" t="s">
        <v>67</v>
      </c>
      <c r="G1420" s="1">
        <v>-10</v>
      </c>
      <c r="H1420" s="1">
        <v>-20</v>
      </c>
      <c r="I1420" s="1" t="s">
        <v>40</v>
      </c>
      <c r="J1420" s="1">
        <v>3.15</v>
      </c>
      <c r="K1420" s="1">
        <v>-10</v>
      </c>
      <c r="L1420" s="1">
        <v>-3.3058139534883701</v>
      </c>
      <c r="M1420" s="1" t="s">
        <v>40</v>
      </c>
      <c r="N1420" s="1">
        <v>0.58604651162792298</v>
      </c>
      <c r="O1420" s="1">
        <v>4.8534883720930297</v>
      </c>
      <c r="Q1420" s="1">
        <v>0.485348837209303</v>
      </c>
      <c r="R1420" s="1">
        <v>0.94946124486692995</v>
      </c>
      <c r="S1420" s="1" t="str">
        <f>VLOOKUP($E1420,'Product Naming'!$A$1:$P$58,2,FALSE)</f>
        <v>1-4-butanediol</v>
      </c>
      <c r="T1420" s="1" t="str">
        <f>VLOOKUP($E1420,'Product Naming'!$A$1:$P$58,3,FALSE)</f>
        <v>1,4-Butanediol</v>
      </c>
      <c r="U1420" s="1" t="str">
        <f>VLOOKUP($E1420,'Product Naming'!$A$1:$P$58,4,FALSE)</f>
        <v>E</v>
      </c>
      <c r="V1420" s="1" t="str">
        <f>VLOOKUP($E1420,'Product Naming'!$A$1:$P$58,5,FALSE)</f>
        <v>C4H10O2</v>
      </c>
      <c r="W1420" s="1">
        <f>VLOOKUP($E1420,'Product Naming'!$A$1:$P$58,6,FALSE)</f>
        <v>4</v>
      </c>
      <c r="X1420" s="1">
        <f>VLOOKUP($E1420,'Product Naming'!$A$1:$P$58,7,FALSE)</f>
        <v>10</v>
      </c>
      <c r="Y1420" s="1">
        <f>VLOOKUP($E1420,'Product Naming'!$A$1:$P$58,8,FALSE)</f>
        <v>2</v>
      </c>
      <c r="Z1420" s="1">
        <f>VLOOKUP($E1420,'Product Naming'!$A$1:$P$58,9,FALSE)</f>
        <v>0</v>
      </c>
      <c r="AA1420" s="1">
        <f>VLOOKUP($E1420,'Product Naming'!$A$1:$P$58,10,FALSE)</f>
        <v>0</v>
      </c>
      <c r="AB1420" s="29">
        <f>VLOOKUP($E1420,'Product Naming'!$A$1:$P$58,11,FALSE)</f>
        <v>5.5</v>
      </c>
      <c r="AC1420" s="3">
        <f>VLOOKUP($E1420,'Product Naming'!$A$1:$P$58,12,FALSE)</f>
        <v>90.119200000000006</v>
      </c>
      <c r="AD1420" s="1">
        <f>VLOOKUP($E1420,'Product Naming'!$A$1:$P$58,13,FALSE)</f>
        <v>230</v>
      </c>
      <c r="AE1420" s="1" t="str">
        <f>VLOOKUP($E1420,'Product Naming'!$A$1:$P$58,14,FALSE)</f>
        <v>Diol</v>
      </c>
      <c r="AF1420" s="1" t="str">
        <f>VLOOKUP($E1420,'Product Naming'!$A$1:$P$58,15,FALSE)</f>
        <v>aKG</v>
      </c>
      <c r="AG1420" s="30" t="str">
        <f>VLOOKUP($E1420,'Product Naming'!$A$1:$P$58,16,FALSE)</f>
        <v>Proton symporter</v>
      </c>
      <c r="AH1420" s="3" t="str">
        <f>VLOOKUP($E1420,'Product Naming'!$A$1:$Q$58,17,FALSE)</f>
        <v>14bdo_c</v>
      </c>
      <c r="AI1420" s="1">
        <f>VLOOKUP($E1420,'Product Parameters'!$A$2:$D$59,2,FALSE)</f>
        <v>1</v>
      </c>
      <c r="AJ1420" s="1">
        <f>VLOOKUP($E1420,'Product Parameters'!$A$2:$D$59,3,FALSE)</f>
        <v>0</v>
      </c>
      <c r="AK1420" s="1">
        <f>VLOOKUP($E1420,'Product Parameters'!$A$2:$D$59,4,FALSE)</f>
        <v>0.12</v>
      </c>
      <c r="AL1420" s="1">
        <f>VLOOKUP($E1420,'Product Parameters'!$A$2:$E$59,5,FALSE)</f>
        <v>78</v>
      </c>
      <c r="AM1420" s="1">
        <f>VLOOKUP($E1420,'Product Parameters'!$A$2:$F$59,6,FALSE)</f>
        <v>4</v>
      </c>
      <c r="AN1420" s="1">
        <f>VLOOKUP($C1420,'Substrate Heating'!$A$2:$C$33,3,FALSE)</f>
        <v>1230.0006480000002</v>
      </c>
      <c r="AO1420" s="1">
        <f>VLOOKUP($C1420,'Substrate Heating'!$A$2:$B$33,2,FALSE)</f>
        <v>26.7</v>
      </c>
      <c r="AP1420" s="1">
        <f>VLOOKUP($C1420,'Substrate Heating'!$A$2:$M$33,13,FALSE)</f>
        <v>6</v>
      </c>
      <c r="AQ1420" s="1">
        <f>VLOOKUP($C1420,'Substrate Heating'!$A$2:$M$33,8,FALSE)</f>
        <v>2</v>
      </c>
      <c r="AR1420" s="1">
        <f t="shared" si="22"/>
        <v>0.97069767441860599</v>
      </c>
    </row>
    <row r="1421" spans="1:44" x14ac:dyDescent="0.2">
      <c r="A1421" s="8" t="s">
        <v>812</v>
      </c>
      <c r="B1421" s="9" t="s">
        <v>35</v>
      </c>
      <c r="C1421" t="s">
        <v>813</v>
      </c>
      <c r="E1421" t="s">
        <v>85</v>
      </c>
      <c r="F1421" t="s">
        <v>86</v>
      </c>
      <c r="G1421">
        <v>-10</v>
      </c>
      <c r="H1421">
        <v>-20</v>
      </c>
      <c r="I1421">
        <v>0</v>
      </c>
      <c r="J1421">
        <v>3.15</v>
      </c>
      <c r="K1421">
        <v>-10</v>
      </c>
      <c r="L1421">
        <v>-10.137857142857101</v>
      </c>
      <c r="M1421">
        <v>0</v>
      </c>
      <c r="N1421">
        <v>4.6457142857142797</v>
      </c>
      <c r="O1421">
        <v>6.3385714285714201</v>
      </c>
      <c r="P1421"/>
      <c r="Q1421">
        <v>0.63385714285714201</v>
      </c>
      <c r="R1421">
        <v>0.95053679209939201</v>
      </c>
      <c r="S1421" s="1" t="str">
        <f>VLOOKUP($E1421,'Product Naming'!$A$1:$P$58,2,FALSE)</f>
        <v>2-3-butanediol</v>
      </c>
      <c r="T1421" s="1" t="str">
        <f>VLOOKUP($E1421,'Product Naming'!$A$1:$P$58,3,FALSE)</f>
        <v>2,3-Butanediol</v>
      </c>
      <c r="U1421" s="1" t="str">
        <f>VLOOKUP($E1421,'Product Naming'!$A$1:$P$58,4,FALSE)</f>
        <v>E</v>
      </c>
      <c r="V1421" s="1" t="str">
        <f>VLOOKUP($E1421,'Product Naming'!$A$1:$P$58,5,FALSE)</f>
        <v>C4H10O2</v>
      </c>
      <c r="W1421" s="1">
        <f>VLOOKUP($E1421,'Product Naming'!$A$1:$P$58,6,FALSE)</f>
        <v>4</v>
      </c>
      <c r="X1421" s="1">
        <f>VLOOKUP($E1421,'Product Naming'!$A$1:$P$58,7,FALSE)</f>
        <v>10</v>
      </c>
      <c r="Y1421" s="1">
        <f>VLOOKUP($E1421,'Product Naming'!$A$1:$P$58,8,FALSE)</f>
        <v>2</v>
      </c>
      <c r="Z1421" s="1">
        <f>VLOOKUP($E1421,'Product Naming'!$A$1:$P$58,9,FALSE)</f>
        <v>0</v>
      </c>
      <c r="AA1421" s="1">
        <f>VLOOKUP($E1421,'Product Naming'!$A$1:$P$58,10,FALSE)</f>
        <v>0</v>
      </c>
      <c r="AB1421" s="29">
        <f>VLOOKUP($E1421,'Product Naming'!$A$1:$P$58,11,FALSE)</f>
        <v>5.5</v>
      </c>
      <c r="AC1421" s="3">
        <f>VLOOKUP($E1421,'Product Naming'!$A$1:$P$58,12,FALSE)</f>
        <v>90.119200000000006</v>
      </c>
      <c r="AD1421" s="1">
        <f>VLOOKUP($E1421,'Product Naming'!$A$1:$P$58,13,FALSE)</f>
        <v>177</v>
      </c>
      <c r="AE1421" s="1" t="str">
        <f>VLOOKUP($E1421,'Product Naming'!$A$1:$P$58,14,FALSE)</f>
        <v>Diol</v>
      </c>
      <c r="AF1421" s="1" t="str">
        <f>VLOOKUP($E1421,'Product Naming'!$A$1:$P$58,15,FALSE)</f>
        <v>Pyruvate</v>
      </c>
      <c r="AG1421" s="30" t="str">
        <f>VLOOKUP($E1421,'Product Naming'!$A$1:$P$58,16,FALSE)</f>
        <v>Proton symporter</v>
      </c>
      <c r="AH1421" s="3" t="str">
        <f>VLOOKUP($E1421,'Product Naming'!$A$1:$Q$58,17,FALSE)</f>
        <v>btd_RR_c</v>
      </c>
      <c r="AI1421" s="1">
        <f>VLOOKUP($E1421,'Product Parameters'!$A$2:$D$59,2,FALSE)</f>
        <v>1</v>
      </c>
      <c r="AJ1421" s="1">
        <f>VLOOKUP($E1421,'Product Parameters'!$A$2:$D$59,3,FALSE)</f>
        <v>0</v>
      </c>
      <c r="AK1421" s="1">
        <f>VLOOKUP($E1421,'Product Parameters'!$A$2:$D$59,4,FALSE)</f>
        <v>0.12</v>
      </c>
      <c r="AL1421" s="1">
        <f>VLOOKUP($E1421,'Product Parameters'!$A$2:$E$59,5,FALSE)</f>
        <v>63</v>
      </c>
      <c r="AM1421" s="1">
        <f>VLOOKUP($E1421,'Product Parameters'!$A$2:$F$59,6,FALSE)</f>
        <v>4</v>
      </c>
      <c r="AN1421" s="1">
        <f>VLOOKUP($C1421,'Substrate Heating'!$A$2:$C$33,3,FALSE)</f>
        <v>1843.720736</v>
      </c>
      <c r="AO1421" s="1">
        <f>VLOOKUP($C1421,'Substrate Heating'!$A$2:$B$33,2,FALSE)</f>
        <v>30.68</v>
      </c>
      <c r="AP1421" s="1">
        <f>VLOOKUP($C1421,'Substrate Heating'!$A$2:$M$33,13,FALSE)</f>
        <v>6</v>
      </c>
      <c r="AQ1421" s="1">
        <f>VLOOKUP($C1421,'Substrate Heating'!$A$2:$M$33,8,FALSE)</f>
        <v>3</v>
      </c>
      <c r="AR1421" s="1">
        <f t="shared" si="22"/>
        <v>0.84514285714285597</v>
      </c>
    </row>
    <row r="1422" spans="1:44" x14ac:dyDescent="0.2">
      <c r="A1422" s="8" t="s">
        <v>34</v>
      </c>
      <c r="B1422" s="9" t="s">
        <v>35</v>
      </c>
      <c r="C1422" s="1" t="s">
        <v>36</v>
      </c>
      <c r="D1422" s="10" t="s">
        <v>37</v>
      </c>
      <c r="E1422" s="1" t="s">
        <v>221</v>
      </c>
      <c r="F1422" s="1" t="s">
        <v>222</v>
      </c>
      <c r="G1422" s="1">
        <v>-10</v>
      </c>
      <c r="H1422" s="1">
        <v>-20</v>
      </c>
      <c r="I1422" s="1" t="s">
        <v>40</v>
      </c>
      <c r="J1422" s="1">
        <v>3.15</v>
      </c>
      <c r="K1422" s="1">
        <v>-10</v>
      </c>
      <c r="L1422" s="1">
        <v>-8.8859649122807092</v>
      </c>
      <c r="M1422" s="1" t="s">
        <v>40</v>
      </c>
      <c r="N1422" s="1">
        <v>3.8859649122807101</v>
      </c>
      <c r="O1422" s="1">
        <v>3.2228070175438601</v>
      </c>
      <c r="Q1422" s="1">
        <v>0.322280701754386</v>
      </c>
      <c r="R1422" s="1">
        <v>0.95178045569615299</v>
      </c>
      <c r="S1422" s="1" t="str">
        <f>VLOOKUP($E1422,'Product Naming'!$A$1:$P$58,2,FALSE)</f>
        <v>Glutarate</v>
      </c>
      <c r="T1422" s="1" t="str">
        <f>VLOOKUP($E1422,'Product Naming'!$A$1:$P$58,3,FALSE)</f>
        <v>Glutarate</v>
      </c>
      <c r="U1422" s="1" t="str">
        <f>VLOOKUP($E1422,'Product Naming'!$A$1:$P$58,4,FALSE)</f>
        <v>A</v>
      </c>
      <c r="V1422" s="1" t="str">
        <f>VLOOKUP($E1422,'Product Naming'!$A$1:$P$58,5,FALSE)</f>
        <v>C5H6O4</v>
      </c>
      <c r="W1422" s="1">
        <f>VLOOKUP($E1422,'Product Naming'!$A$1:$P$58,6,FALSE)</f>
        <v>5</v>
      </c>
      <c r="X1422" s="1">
        <f>VLOOKUP($E1422,'Product Naming'!$A$1:$P$58,7,FALSE)</f>
        <v>6</v>
      </c>
      <c r="Y1422" s="1">
        <f>VLOOKUP($E1422,'Product Naming'!$A$1:$P$58,8,FALSE)</f>
        <v>4</v>
      </c>
      <c r="Z1422" s="1">
        <f>VLOOKUP($E1422,'Product Naming'!$A$1:$P$58,9,FALSE)</f>
        <v>0</v>
      </c>
      <c r="AA1422" s="1">
        <f>VLOOKUP($E1422,'Product Naming'!$A$1:$P$58,10,FALSE)</f>
        <v>-2</v>
      </c>
      <c r="AB1422" s="29">
        <f>VLOOKUP($E1422,'Product Naming'!$A$1:$P$58,11,FALSE)</f>
        <v>3.6</v>
      </c>
      <c r="AC1422" s="3">
        <f>VLOOKUP($E1422,'Product Naming'!$A$1:$P$58,12,FALSE)</f>
        <v>130.09654</v>
      </c>
      <c r="AD1422" s="1">
        <f>VLOOKUP($E1422,'Product Naming'!$A$1:$P$58,13,FALSE)</f>
        <v>200</v>
      </c>
      <c r="AE1422" s="1" t="str">
        <f>VLOOKUP($E1422,'Product Naming'!$A$1:$P$58,14,FALSE)</f>
        <v>Dicarboxylate</v>
      </c>
      <c r="AF1422" s="1" t="str">
        <f>VLOOKUP($E1422,'Product Naming'!$A$1:$P$58,15,FALSE)</f>
        <v>Oxaloacetate + aKG</v>
      </c>
      <c r="AG1422" s="30" t="str">
        <f>VLOOKUP($E1422,'Product Naming'!$A$1:$P$58,16,FALSE)</f>
        <v>Proton symporter</v>
      </c>
      <c r="AH1422" s="3" t="str">
        <f>VLOOKUP($E1422,'Product Naming'!$A$1:$Q$58,17,FALSE)</f>
        <v>glutar_c</v>
      </c>
      <c r="AI1422" s="1">
        <f>VLOOKUP($E1422,'Product Parameters'!$A$2:$D$59,2,FALSE)</f>
        <v>1</v>
      </c>
      <c r="AJ1422" s="1">
        <f>VLOOKUP($E1422,'Product Parameters'!$A$2:$D$59,3,FALSE)</f>
        <v>0</v>
      </c>
      <c r="AK1422" s="1">
        <f>VLOOKUP($E1422,'Product Parameters'!$A$2:$D$59,4,FALSE)</f>
        <v>0.12</v>
      </c>
      <c r="AL1422" s="1">
        <f>VLOOKUP($E1422,'Product Parameters'!$A$2:$E$59,5,FALSE)</f>
        <v>40.65</v>
      </c>
      <c r="AM1422" s="1">
        <f>VLOOKUP($E1422,'Product Parameters'!$A$2:$F$59,6,FALSE)</f>
        <v>5</v>
      </c>
      <c r="AN1422" s="1">
        <f>VLOOKUP($C1422,'Substrate Heating'!$A$2:$C$33,3,FALSE)</f>
        <v>1064.1143145599999</v>
      </c>
      <c r="AO1422" s="1">
        <f>VLOOKUP($C1422,'Substrate Heating'!$A$2:$B$33,2,FALSE)</f>
        <v>24.155999999999999</v>
      </c>
      <c r="AP1422" s="1">
        <f>VLOOKUP($C1422,'Substrate Heating'!$A$2:$M$33,13,FALSE)</f>
        <v>5</v>
      </c>
      <c r="AQ1422" s="1">
        <f>VLOOKUP($C1422,'Substrate Heating'!$A$2:$M$33,8,FALSE)</f>
        <v>2</v>
      </c>
      <c r="AR1422" s="1">
        <f t="shared" si="22"/>
        <v>0.80570175438596503</v>
      </c>
    </row>
    <row r="1423" spans="1:44" x14ac:dyDescent="0.2">
      <c r="A1423" s="8" t="s">
        <v>812</v>
      </c>
      <c r="B1423" s="9" t="s">
        <v>35</v>
      </c>
      <c r="C1423" t="s">
        <v>813</v>
      </c>
      <c r="E1423" t="s">
        <v>66</v>
      </c>
      <c r="F1423" t="s">
        <v>67</v>
      </c>
      <c r="G1423">
        <v>-10</v>
      </c>
      <c r="H1423">
        <v>-20</v>
      </c>
      <c r="I1423">
        <v>0</v>
      </c>
      <c r="J1423">
        <v>3.15</v>
      </c>
      <c r="K1423">
        <v>-10</v>
      </c>
      <c r="L1423">
        <v>-10.045744680851</v>
      </c>
      <c r="M1423">
        <v>0</v>
      </c>
      <c r="N1423">
        <v>4.5787234042552898</v>
      </c>
      <c r="O1423">
        <v>6.3553191489361698</v>
      </c>
      <c r="P1423"/>
      <c r="Q1423">
        <v>0.63553191489361704</v>
      </c>
      <c r="R1423">
        <v>0.95304829245398803</v>
      </c>
      <c r="S1423" s="1" t="str">
        <f>VLOOKUP($E1423,'Product Naming'!$A$1:$P$58,2,FALSE)</f>
        <v>1-4-butanediol</v>
      </c>
      <c r="T1423" s="1" t="str">
        <f>VLOOKUP($E1423,'Product Naming'!$A$1:$P$58,3,FALSE)</f>
        <v>1,4-Butanediol</v>
      </c>
      <c r="U1423" s="1" t="str">
        <f>VLOOKUP($E1423,'Product Naming'!$A$1:$P$58,4,FALSE)</f>
        <v>E</v>
      </c>
      <c r="V1423" s="1" t="str">
        <f>VLOOKUP($E1423,'Product Naming'!$A$1:$P$58,5,FALSE)</f>
        <v>C4H10O2</v>
      </c>
      <c r="W1423" s="1">
        <f>VLOOKUP($E1423,'Product Naming'!$A$1:$P$58,6,FALSE)</f>
        <v>4</v>
      </c>
      <c r="X1423" s="1">
        <f>VLOOKUP($E1423,'Product Naming'!$A$1:$P$58,7,FALSE)</f>
        <v>10</v>
      </c>
      <c r="Y1423" s="1">
        <f>VLOOKUP($E1423,'Product Naming'!$A$1:$P$58,8,FALSE)</f>
        <v>2</v>
      </c>
      <c r="Z1423" s="1">
        <f>VLOOKUP($E1423,'Product Naming'!$A$1:$P$58,9,FALSE)</f>
        <v>0</v>
      </c>
      <c r="AA1423" s="1">
        <f>VLOOKUP($E1423,'Product Naming'!$A$1:$P$58,10,FALSE)</f>
        <v>0</v>
      </c>
      <c r="AB1423" s="29">
        <f>VLOOKUP($E1423,'Product Naming'!$A$1:$P$58,11,FALSE)</f>
        <v>5.5</v>
      </c>
      <c r="AC1423" s="3">
        <f>VLOOKUP($E1423,'Product Naming'!$A$1:$P$58,12,FALSE)</f>
        <v>90.119200000000006</v>
      </c>
      <c r="AD1423" s="1">
        <f>VLOOKUP($E1423,'Product Naming'!$A$1:$P$58,13,FALSE)</f>
        <v>230</v>
      </c>
      <c r="AE1423" s="1" t="str">
        <f>VLOOKUP($E1423,'Product Naming'!$A$1:$P$58,14,FALSE)</f>
        <v>Diol</v>
      </c>
      <c r="AF1423" s="1" t="str">
        <f>VLOOKUP($E1423,'Product Naming'!$A$1:$P$58,15,FALSE)</f>
        <v>aKG</v>
      </c>
      <c r="AG1423" s="30" t="str">
        <f>VLOOKUP($E1423,'Product Naming'!$A$1:$P$58,16,FALSE)</f>
        <v>Proton symporter</v>
      </c>
      <c r="AH1423" s="3" t="str">
        <f>VLOOKUP($E1423,'Product Naming'!$A$1:$Q$58,17,FALSE)</f>
        <v>14bdo_c</v>
      </c>
      <c r="AI1423" s="1">
        <f>VLOOKUP($E1423,'Product Parameters'!$A$2:$D$59,2,FALSE)</f>
        <v>1</v>
      </c>
      <c r="AJ1423" s="1">
        <f>VLOOKUP($E1423,'Product Parameters'!$A$2:$D$59,3,FALSE)</f>
        <v>0</v>
      </c>
      <c r="AK1423" s="1">
        <f>VLOOKUP($E1423,'Product Parameters'!$A$2:$D$59,4,FALSE)</f>
        <v>0.12</v>
      </c>
      <c r="AL1423" s="1">
        <f>VLOOKUP($E1423,'Product Parameters'!$A$2:$E$59,5,FALSE)</f>
        <v>78</v>
      </c>
      <c r="AM1423" s="1">
        <f>VLOOKUP($E1423,'Product Parameters'!$A$2:$F$59,6,FALSE)</f>
        <v>4</v>
      </c>
      <c r="AN1423" s="1">
        <f>VLOOKUP($C1423,'Substrate Heating'!$A$2:$C$33,3,FALSE)</f>
        <v>1843.720736</v>
      </c>
      <c r="AO1423" s="1">
        <f>VLOOKUP($C1423,'Substrate Heating'!$A$2:$B$33,2,FALSE)</f>
        <v>30.68</v>
      </c>
      <c r="AP1423" s="1">
        <f>VLOOKUP($C1423,'Substrate Heating'!$A$2:$M$33,13,FALSE)</f>
        <v>6</v>
      </c>
      <c r="AQ1423" s="1">
        <f>VLOOKUP($C1423,'Substrate Heating'!$A$2:$M$33,8,FALSE)</f>
        <v>3</v>
      </c>
      <c r="AR1423" s="1">
        <f t="shared" si="22"/>
        <v>0.84737588652482276</v>
      </c>
    </row>
    <row r="1424" spans="1:44" x14ac:dyDescent="0.2">
      <c r="A1424" s="8" t="s">
        <v>34</v>
      </c>
      <c r="B1424" s="9" t="s">
        <v>35</v>
      </c>
      <c r="C1424" s="1" t="s">
        <v>331</v>
      </c>
      <c r="D1424" s="10" t="s">
        <v>37</v>
      </c>
      <c r="E1424" s="1" t="s">
        <v>254</v>
      </c>
      <c r="F1424" s="1" t="s">
        <v>255</v>
      </c>
      <c r="G1424" s="1">
        <v>-10</v>
      </c>
      <c r="H1424" s="1">
        <v>-20</v>
      </c>
      <c r="I1424" s="1" t="s">
        <v>40</v>
      </c>
      <c r="J1424" s="1">
        <v>3.15</v>
      </c>
      <c r="K1424" s="1">
        <v>-10</v>
      </c>
      <c r="L1424" s="1">
        <v>-6.4818181818181904</v>
      </c>
      <c r="M1424" s="1" t="s">
        <v>40</v>
      </c>
      <c r="N1424" s="1">
        <v>-3.1477272727272698</v>
      </c>
      <c r="O1424" s="1">
        <v>4.6295454545454602</v>
      </c>
      <c r="Q1424" s="1">
        <v>0.46295454545454601</v>
      </c>
      <c r="R1424" s="1">
        <v>0.95535775109765197</v>
      </c>
      <c r="S1424" s="1" t="str">
        <f>VLOOKUP($E1424,'Product Naming'!$A$1:$P$58,2,FALSE)</f>
        <v>Itaconate</v>
      </c>
      <c r="T1424" s="1" t="str">
        <f>VLOOKUP($E1424,'Product Naming'!$A$1:$P$58,3,FALSE)</f>
        <v>Itaconate</v>
      </c>
      <c r="U1424" s="1" t="str">
        <f>VLOOKUP($E1424,'Product Naming'!$A$1:$P$58,4,FALSE)</f>
        <v>E</v>
      </c>
      <c r="V1424" s="1" t="str">
        <f>VLOOKUP($E1424,'Product Naming'!$A$1:$P$58,5,FALSE)</f>
        <v>C5H4O4</v>
      </c>
      <c r="W1424" s="1">
        <f>VLOOKUP($E1424,'Product Naming'!$A$1:$P$58,6,FALSE)</f>
        <v>5</v>
      </c>
      <c r="X1424" s="1">
        <f>VLOOKUP($E1424,'Product Naming'!$A$1:$P$58,7,FALSE)</f>
        <v>4</v>
      </c>
      <c r="Y1424" s="1">
        <f>VLOOKUP($E1424,'Product Naming'!$A$1:$P$58,8,FALSE)</f>
        <v>4</v>
      </c>
      <c r="Z1424" s="1">
        <f>VLOOKUP($E1424,'Product Naming'!$A$1:$P$58,9,FALSE)</f>
        <v>0</v>
      </c>
      <c r="AA1424" s="1">
        <f>VLOOKUP($E1424,'Product Naming'!$A$1:$P$58,10,FALSE)</f>
        <v>-2</v>
      </c>
      <c r="AB1424" s="29">
        <f>VLOOKUP($E1424,'Product Naming'!$A$1:$P$58,11,FALSE)</f>
        <v>3.2</v>
      </c>
      <c r="AC1424" s="3">
        <f>VLOOKUP($E1424,'Product Naming'!$A$1:$P$58,12,FALSE)</f>
        <v>128.08086</v>
      </c>
      <c r="AD1424" s="1">
        <f>VLOOKUP($E1424,'Product Naming'!$A$1:$P$58,13,FALSE)</f>
        <v>381</v>
      </c>
      <c r="AE1424" s="1" t="str">
        <f>VLOOKUP($E1424,'Product Naming'!$A$1:$P$58,14,FALSE)</f>
        <v>Dicarboxylate</v>
      </c>
      <c r="AF1424" s="1" t="str">
        <f>VLOOKUP($E1424,'Product Naming'!$A$1:$P$58,15,FALSE)</f>
        <v>Acetyl-CoA + Oxaloacetate</v>
      </c>
      <c r="AG1424" s="30" t="str">
        <f>VLOOKUP($E1424,'Product Naming'!$A$1:$P$58,16,FALSE)</f>
        <v>Proton symporter</v>
      </c>
      <c r="AH1424" s="3" t="str">
        <f>VLOOKUP($E1424,'Product Naming'!$A$1:$Q$58,17,FALSE)</f>
        <v>itacon_c</v>
      </c>
      <c r="AI1424" s="1">
        <f>VLOOKUP($E1424,'Product Parameters'!$A$2:$D$59,2,FALSE)</f>
        <v>1</v>
      </c>
      <c r="AJ1424" s="1">
        <f>VLOOKUP($E1424,'Product Parameters'!$A$2:$D$59,3,FALSE)</f>
        <v>0</v>
      </c>
      <c r="AK1424" s="1">
        <f>VLOOKUP($E1424,'Product Parameters'!$A$2:$D$59,4,FALSE)</f>
        <v>0.12</v>
      </c>
      <c r="AL1424" s="1">
        <f>VLOOKUP($E1424,'Product Parameters'!$A$2:$E$59,5,FALSE)</f>
        <v>40.65</v>
      </c>
      <c r="AM1424" s="1">
        <f>VLOOKUP($E1424,'Product Parameters'!$A$2:$F$59,6,FALSE)</f>
        <v>5</v>
      </c>
      <c r="AN1424" s="1">
        <f>VLOOKUP($C1424,'Substrate Heating'!$A$2:$C$33,3,FALSE)</f>
        <v>1055.1294800000001</v>
      </c>
      <c r="AO1424" s="1">
        <f>VLOOKUP($C1424,'Substrate Heating'!$A$2:$B$33,2,FALSE)</f>
        <v>17</v>
      </c>
      <c r="AP1424" s="1">
        <f>VLOOKUP($C1424,'Substrate Heating'!$A$2:$M$33,13,FALSE)</f>
        <v>5</v>
      </c>
      <c r="AQ1424" s="1">
        <f>VLOOKUP($C1424,'Substrate Heating'!$A$2:$M$33,8,FALSE)</f>
        <v>2</v>
      </c>
      <c r="AR1424" s="1">
        <f t="shared" si="22"/>
        <v>1.157386363636365</v>
      </c>
    </row>
    <row r="1425" spans="1:44" x14ac:dyDescent="0.2">
      <c r="A1425" s="8" t="s">
        <v>812</v>
      </c>
      <c r="B1425" s="9" t="s">
        <v>35</v>
      </c>
      <c r="C1425" t="s">
        <v>813</v>
      </c>
      <c r="E1425" t="s">
        <v>244</v>
      </c>
      <c r="F1425" t="s">
        <v>245</v>
      </c>
      <c r="G1425">
        <v>-10</v>
      </c>
      <c r="H1425">
        <v>-20</v>
      </c>
      <c r="I1425">
        <v>0</v>
      </c>
      <c r="J1425">
        <v>3.15</v>
      </c>
      <c r="K1425">
        <v>-10</v>
      </c>
      <c r="L1425">
        <v>-11.8880597014925</v>
      </c>
      <c r="M1425">
        <v>0</v>
      </c>
      <c r="N1425">
        <v>3.5104477611940199</v>
      </c>
      <c r="O1425">
        <v>6.6223880597014899</v>
      </c>
      <c r="P1425"/>
      <c r="Q1425">
        <v>0.66223880597014895</v>
      </c>
      <c r="R1425">
        <v>0.95977946871560804</v>
      </c>
      <c r="S1425" s="1" t="str">
        <f>VLOOKUP($E1425,'Product Naming'!$A$1:$P$58,2,FALSE)</f>
        <v>Isobutyrate</v>
      </c>
      <c r="T1425" s="1" t="str">
        <f>VLOOKUP($E1425,'Product Naming'!$A$1:$P$58,3,FALSE)</f>
        <v>Isobutyrate</v>
      </c>
      <c r="U1425" s="1" t="str">
        <f>VLOOKUP($E1425,'Product Naming'!$A$1:$P$58,4,FALSE)</f>
        <v>A</v>
      </c>
      <c r="V1425" s="1" t="str">
        <f>VLOOKUP($E1425,'Product Naming'!$A$1:$P$58,5,FALSE)</f>
        <v>C4H7O2</v>
      </c>
      <c r="W1425" s="1">
        <f>VLOOKUP($E1425,'Product Naming'!$A$1:$P$58,6,FALSE)</f>
        <v>4</v>
      </c>
      <c r="X1425" s="1">
        <f>VLOOKUP($E1425,'Product Naming'!$A$1:$P$58,7,FALSE)</f>
        <v>7</v>
      </c>
      <c r="Y1425" s="1">
        <f>VLOOKUP($E1425,'Product Naming'!$A$1:$P$58,8,FALSE)</f>
        <v>2</v>
      </c>
      <c r="Z1425" s="1">
        <f>VLOOKUP($E1425,'Product Naming'!$A$1:$P$58,9,FALSE)</f>
        <v>0</v>
      </c>
      <c r="AA1425" s="1">
        <f>VLOOKUP($E1425,'Product Naming'!$A$1:$P$58,10,FALSE)</f>
        <v>-1</v>
      </c>
      <c r="AB1425" s="29">
        <f>VLOOKUP($E1425,'Product Naming'!$A$1:$P$58,11,FALSE)</f>
        <v>4.75</v>
      </c>
      <c r="AC1425" s="3">
        <f>VLOOKUP($E1425,'Product Naming'!$A$1:$P$58,12,FALSE)</f>
        <v>87.095680000000002</v>
      </c>
      <c r="AD1425" s="1">
        <f>VLOOKUP($E1425,'Product Naming'!$A$1:$P$58,13,FALSE)</f>
        <v>155</v>
      </c>
      <c r="AE1425" s="1" t="str">
        <f>VLOOKUP($E1425,'Product Naming'!$A$1:$P$58,14,FALSE)</f>
        <v>Carboxylate</v>
      </c>
      <c r="AF1425" s="1" t="str">
        <f>VLOOKUP($E1425,'Product Naming'!$A$1:$P$58,15,FALSE)</f>
        <v>Pyruvate</v>
      </c>
      <c r="AG1425" s="30" t="str">
        <f>VLOOKUP($E1425,'Product Naming'!$A$1:$P$58,16,FALSE)</f>
        <v>Proton symporter</v>
      </c>
      <c r="AH1425" s="3" t="str">
        <f>VLOOKUP($E1425,'Product Naming'!$A$1:$Q$58,17,FALSE)</f>
        <v>ibt_c</v>
      </c>
      <c r="AI1425" s="1">
        <f>VLOOKUP($E1425,'Product Parameters'!$A$2:$D$59,2,FALSE)</f>
        <v>1</v>
      </c>
      <c r="AJ1425" s="1">
        <f>VLOOKUP($E1425,'Product Parameters'!$A$2:$D$59,3,FALSE)</f>
        <v>0</v>
      </c>
      <c r="AK1425" s="1">
        <f>VLOOKUP($E1425,'Product Parameters'!$A$2:$D$59,4,FALSE)</f>
        <v>0.12</v>
      </c>
      <c r="AL1425" s="1">
        <f>VLOOKUP($E1425,'Product Parameters'!$A$2:$E$59,5,FALSE)</f>
        <v>44.5</v>
      </c>
      <c r="AM1425" s="1">
        <f>VLOOKUP($E1425,'Product Parameters'!$A$2:$F$59,6,FALSE)</f>
        <v>4</v>
      </c>
      <c r="AN1425" s="1">
        <f>VLOOKUP($C1425,'Substrate Heating'!$A$2:$C$33,3,FALSE)</f>
        <v>1843.720736</v>
      </c>
      <c r="AO1425" s="1">
        <f>VLOOKUP($C1425,'Substrate Heating'!$A$2:$B$33,2,FALSE)</f>
        <v>30.68</v>
      </c>
      <c r="AP1425" s="1">
        <f>VLOOKUP($C1425,'Substrate Heating'!$A$2:$M$33,13,FALSE)</f>
        <v>6</v>
      </c>
      <c r="AQ1425" s="1">
        <f>VLOOKUP($C1425,'Substrate Heating'!$A$2:$M$33,8,FALSE)</f>
        <v>3</v>
      </c>
      <c r="AR1425" s="1">
        <f t="shared" si="22"/>
        <v>0.88298507462686526</v>
      </c>
    </row>
    <row r="1426" spans="1:44" x14ac:dyDescent="0.2">
      <c r="A1426" s="8" t="s">
        <v>34</v>
      </c>
      <c r="B1426" s="9" t="s">
        <v>35</v>
      </c>
      <c r="C1426" s="1" t="s">
        <v>332</v>
      </c>
      <c r="D1426" s="10" t="s">
        <v>37</v>
      </c>
      <c r="E1426" s="1" t="s">
        <v>52</v>
      </c>
      <c r="F1426" s="1" t="s">
        <v>53</v>
      </c>
      <c r="G1426" s="1">
        <v>-10</v>
      </c>
      <c r="H1426" s="1">
        <v>-20</v>
      </c>
      <c r="I1426" s="1" t="s">
        <v>40</v>
      </c>
      <c r="J1426" s="1">
        <v>3.15</v>
      </c>
      <c r="K1426" s="1">
        <v>-10</v>
      </c>
      <c r="L1426" s="1">
        <v>-6.7121951219511997</v>
      </c>
      <c r="M1426" s="1" t="s">
        <v>40</v>
      </c>
      <c r="N1426" s="1">
        <v>2.53414634146344</v>
      </c>
      <c r="O1426" s="1">
        <v>5.8219512195122096</v>
      </c>
      <c r="Q1426" s="1">
        <v>0.58219512195122103</v>
      </c>
      <c r="R1426" s="1">
        <v>0.96224344273123896</v>
      </c>
      <c r="S1426" s="1" t="str">
        <f>VLOOKUP($E1426,'Product Naming'!$A$1:$P$58,2,FALSE)</f>
        <v>1-3-Diaminopropane</v>
      </c>
      <c r="T1426" s="1" t="str">
        <f>VLOOKUP($E1426,'Product Naming'!$A$1:$P$58,3,FALSE)</f>
        <v>1,3-Diaminopropane</v>
      </c>
      <c r="U1426" s="1" t="str">
        <f>VLOOKUP($E1426,'Product Naming'!$A$1:$P$58,4,FALSE)</f>
        <v>A</v>
      </c>
      <c r="V1426" s="1" t="str">
        <f>VLOOKUP($E1426,'Product Naming'!$A$1:$P$58,5,FALSE)</f>
        <v>C3H12N2</v>
      </c>
      <c r="W1426" s="1">
        <f>VLOOKUP($E1426,'Product Naming'!$A$1:$P$58,6,FALSE)</f>
        <v>3</v>
      </c>
      <c r="X1426" s="1">
        <f>VLOOKUP($E1426,'Product Naming'!$A$1:$P$58,7,FALSE)</f>
        <v>12</v>
      </c>
      <c r="Y1426" s="1">
        <f>VLOOKUP($E1426,'Product Naming'!$A$1:$P$58,8,FALSE)</f>
        <v>0</v>
      </c>
      <c r="Z1426" s="1">
        <f>VLOOKUP($E1426,'Product Naming'!$A$1:$P$58,9,FALSE)</f>
        <v>2</v>
      </c>
      <c r="AA1426" s="1">
        <f>VLOOKUP($E1426,'Product Naming'!$A$1:$P$58,10,FALSE)</f>
        <v>2</v>
      </c>
      <c r="AB1426" s="29">
        <f>VLOOKUP($E1426,'Product Naming'!$A$1:$P$58,11,FALSE)</f>
        <v>6</v>
      </c>
      <c r="AC1426" s="3">
        <f>VLOOKUP($E1426,'Product Naming'!$A$1:$P$58,12,FALSE)</f>
        <v>76.139580000000009</v>
      </c>
      <c r="AD1426" s="1">
        <f>VLOOKUP($E1426,'Product Naming'!$A$1:$P$58,13,FALSE)</f>
        <v>139.30000000000001</v>
      </c>
      <c r="AE1426" s="1" t="str">
        <f>VLOOKUP($E1426,'Product Naming'!$A$1:$P$58,14,FALSE)</f>
        <v>Diamine</v>
      </c>
      <c r="AF1426" s="1" t="str">
        <f>VLOOKUP($E1426,'Product Naming'!$A$1:$P$58,15,FALSE)</f>
        <v>Oxaloacetate + aKG</v>
      </c>
      <c r="AG1426" s="30" t="str">
        <f>VLOOKUP($E1426,'Product Naming'!$A$1:$P$58,16,FALSE)</f>
        <v>Proton symporter</v>
      </c>
      <c r="AH1426" s="3" t="str">
        <f>VLOOKUP($E1426,'Product Naming'!$A$1:$Q$58,17,FALSE)</f>
        <v>13dampp_c</v>
      </c>
      <c r="AI1426" s="1">
        <f>VLOOKUP($E1426,'Product Parameters'!$A$2:$D$59,2,FALSE)</f>
        <v>1</v>
      </c>
      <c r="AJ1426" s="1">
        <f>VLOOKUP($E1426,'Product Parameters'!$A$2:$D$59,3,FALSE)</f>
        <v>0</v>
      </c>
      <c r="AK1426" s="1">
        <f>VLOOKUP($E1426,'Product Parameters'!$A$2:$D$59,4,FALSE)</f>
        <v>0.12</v>
      </c>
      <c r="AL1426" s="1">
        <f>VLOOKUP($E1426,'Product Parameters'!$A$2:$E$59,5,FALSE)</f>
        <v>50.18</v>
      </c>
      <c r="AM1426" s="1">
        <f>VLOOKUP($E1426,'Product Parameters'!$A$2:$F$59,6,FALSE)</f>
        <v>3</v>
      </c>
      <c r="AN1426" s="1">
        <f>VLOOKUP($C1426,'Substrate Heating'!$A$2:$C$33,3,FALSE)</f>
        <v>1230.0006480000002</v>
      </c>
      <c r="AO1426" s="1">
        <f>VLOOKUP($C1426,'Substrate Heating'!$A$2:$B$33,2,FALSE)</f>
        <v>26.7</v>
      </c>
      <c r="AP1426" s="1">
        <f>VLOOKUP($C1426,'Substrate Heating'!$A$2:$M$33,13,FALSE)</f>
        <v>6</v>
      </c>
      <c r="AQ1426" s="1">
        <f>VLOOKUP($C1426,'Substrate Heating'!$A$2:$M$33,8,FALSE)</f>
        <v>2</v>
      </c>
      <c r="AR1426" s="1">
        <f t="shared" si="22"/>
        <v>0.87329268292683149</v>
      </c>
    </row>
    <row r="1427" spans="1:44" x14ac:dyDescent="0.2">
      <c r="A1427" s="8" t="s">
        <v>812</v>
      </c>
      <c r="B1427" s="9" t="s">
        <v>35</v>
      </c>
      <c r="C1427" t="s">
        <v>813</v>
      </c>
      <c r="E1427" t="s">
        <v>48</v>
      </c>
      <c r="F1427" t="s">
        <v>39</v>
      </c>
      <c r="G1427">
        <v>-10</v>
      </c>
      <c r="H1427">
        <v>-20</v>
      </c>
      <c r="I1427">
        <v>0</v>
      </c>
      <c r="J1427">
        <v>3.15</v>
      </c>
      <c r="K1427">
        <v>-10</v>
      </c>
      <c r="L1427">
        <v>-9.6916666666666593</v>
      </c>
      <c r="M1427">
        <v>0</v>
      </c>
      <c r="N1427">
        <v>4.3212121212121204</v>
      </c>
      <c r="O1427">
        <v>6.4196969696969699</v>
      </c>
      <c r="P1427"/>
      <c r="Q1427">
        <v>0.64196969696969697</v>
      </c>
      <c r="R1427">
        <v>0.962702437385207</v>
      </c>
      <c r="S1427" s="1" t="str">
        <f>VLOOKUP($E1427,'Product Naming'!$A$1:$P$58,2,FALSE)</f>
        <v>1-3-butanediol-PW2</v>
      </c>
      <c r="T1427" s="1" t="str">
        <f>VLOOKUP($E1427,'Product Naming'!$A$1:$P$58,3,FALSE)</f>
        <v>1,3-Butanediol (PW2)</v>
      </c>
      <c r="U1427" s="1" t="str">
        <f>VLOOKUP($E1427,'Product Naming'!$A$1:$P$58,4,FALSE)</f>
        <v>E</v>
      </c>
      <c r="V1427" s="1" t="str">
        <f>VLOOKUP($E1427,'Product Naming'!$A$1:$P$58,5,FALSE)</f>
        <v>C4H10O2</v>
      </c>
      <c r="W1427" s="1">
        <f>VLOOKUP($E1427,'Product Naming'!$A$1:$P$58,6,FALSE)</f>
        <v>4</v>
      </c>
      <c r="X1427" s="1">
        <f>VLOOKUP($E1427,'Product Naming'!$A$1:$P$58,7,FALSE)</f>
        <v>10</v>
      </c>
      <c r="Y1427" s="1">
        <f>VLOOKUP($E1427,'Product Naming'!$A$1:$P$58,8,FALSE)</f>
        <v>2</v>
      </c>
      <c r="Z1427" s="1">
        <f>VLOOKUP($E1427,'Product Naming'!$A$1:$P$58,9,FALSE)</f>
        <v>0</v>
      </c>
      <c r="AA1427" s="1">
        <f>VLOOKUP($E1427,'Product Naming'!$A$1:$P$58,10,FALSE)</f>
        <v>0</v>
      </c>
      <c r="AB1427" s="29">
        <f>VLOOKUP($E1427,'Product Naming'!$A$1:$P$58,11,FALSE)</f>
        <v>5.5</v>
      </c>
      <c r="AC1427" s="3">
        <f>VLOOKUP($E1427,'Product Naming'!$A$1:$P$58,12,FALSE)</f>
        <v>90.119200000000006</v>
      </c>
      <c r="AD1427" s="1">
        <f>VLOOKUP($E1427,'Product Naming'!$A$1:$P$58,13,FALSE)</f>
        <v>207</v>
      </c>
      <c r="AE1427" s="1" t="str">
        <f>VLOOKUP($E1427,'Product Naming'!$A$1:$P$58,14,FALSE)</f>
        <v>Diol</v>
      </c>
      <c r="AF1427" s="1" t="str">
        <f>VLOOKUP($E1427,'Product Naming'!$A$1:$P$58,15,FALSE)</f>
        <v>Pyruvate (acetalehyde)</v>
      </c>
      <c r="AG1427" s="30" t="str">
        <f>VLOOKUP($E1427,'Product Naming'!$A$1:$P$58,16,FALSE)</f>
        <v>Proton symporter</v>
      </c>
      <c r="AH1427" s="3" t="str">
        <f>VLOOKUP($E1427,'Product Naming'!$A$1:$Q$58,17,FALSE)</f>
        <v>13bdo__R_c</v>
      </c>
      <c r="AI1427" s="1">
        <f>VLOOKUP($E1427,'Product Parameters'!$A$2:$D$59,2,FALSE)</f>
        <v>1</v>
      </c>
      <c r="AJ1427" s="1">
        <f>VLOOKUP($E1427,'Product Parameters'!$A$2:$D$59,3,FALSE)</f>
        <v>0</v>
      </c>
      <c r="AK1427" s="1">
        <f>VLOOKUP($E1427,'Product Parameters'!$A$2:$D$59,4,FALSE)</f>
        <v>0.12</v>
      </c>
      <c r="AL1427" s="1">
        <f>VLOOKUP($E1427,'Product Parameters'!$A$2:$E$59,5,FALSE)</f>
        <v>72.599999999999994</v>
      </c>
      <c r="AM1427" s="1">
        <f>VLOOKUP($E1427,'Product Parameters'!$A$2:$F$59,6,FALSE)</f>
        <v>4</v>
      </c>
      <c r="AN1427" s="1">
        <f>VLOOKUP($C1427,'Substrate Heating'!$A$2:$C$33,3,FALSE)</f>
        <v>1843.720736</v>
      </c>
      <c r="AO1427" s="1">
        <f>VLOOKUP($C1427,'Substrate Heating'!$A$2:$B$33,2,FALSE)</f>
        <v>30.68</v>
      </c>
      <c r="AP1427" s="1">
        <f>VLOOKUP($C1427,'Substrate Heating'!$A$2:$M$33,13,FALSE)</f>
        <v>6</v>
      </c>
      <c r="AQ1427" s="1">
        <f>VLOOKUP($C1427,'Substrate Heating'!$A$2:$M$33,8,FALSE)</f>
        <v>3</v>
      </c>
      <c r="AR1427" s="1">
        <f t="shared" si="22"/>
        <v>0.85595959595959592</v>
      </c>
    </row>
    <row r="1428" spans="1:44" x14ac:dyDescent="0.2">
      <c r="A1428" s="17" t="s">
        <v>185</v>
      </c>
      <c r="B1428" s="9" t="s">
        <v>35</v>
      </c>
      <c r="C1428" t="s">
        <v>349</v>
      </c>
      <c r="D1428" s="25" t="s">
        <v>342</v>
      </c>
      <c r="E1428" t="s">
        <v>215</v>
      </c>
      <c r="F1428" t="s">
        <v>216</v>
      </c>
      <c r="G1428">
        <v>-10</v>
      </c>
      <c r="H1428">
        <v>-20</v>
      </c>
      <c r="I1428" s="1" t="s">
        <v>40</v>
      </c>
      <c r="J1428">
        <v>3.15</v>
      </c>
      <c r="K1428">
        <v>-10</v>
      </c>
      <c r="L1428">
        <v>-5.4764705882352898</v>
      </c>
      <c r="M1428" s="1" t="s">
        <v>40</v>
      </c>
      <c r="N1428">
        <v>0.52941176470588502</v>
      </c>
      <c r="O1428">
        <v>9.8941176470588204</v>
      </c>
      <c r="P1428"/>
      <c r="Q1428">
        <v>0.98941176470588199</v>
      </c>
      <c r="R1428">
        <v>0.96297727632130603</v>
      </c>
      <c r="S1428" s="1" t="str">
        <f>VLOOKUP($E1428,'Product Naming'!$A$1:$P$58,2,FALSE)</f>
        <v>Glutamate_L</v>
      </c>
      <c r="T1428" s="1" t="str">
        <f>VLOOKUP($E1428,'Product Naming'!$A$1:$P$58,3,FALSE)</f>
        <v>L-Glutamate</v>
      </c>
      <c r="U1428" s="1" t="str">
        <f>VLOOKUP($E1428,'Product Naming'!$A$1:$P$58,4,FALSE)</f>
        <v>iJO1366</v>
      </c>
      <c r="V1428" s="1" t="str">
        <f>VLOOKUP($E1428,'Product Naming'!$A$1:$P$58,5,FALSE)</f>
        <v>C5H8NO4</v>
      </c>
      <c r="W1428" s="1">
        <f>VLOOKUP($E1428,'Product Naming'!$A$1:$P$58,6,FALSE)</f>
        <v>5</v>
      </c>
      <c r="X1428" s="1">
        <f>VLOOKUP($E1428,'Product Naming'!$A$1:$P$58,7,FALSE)</f>
        <v>8</v>
      </c>
      <c r="Y1428" s="1">
        <f>VLOOKUP($E1428,'Product Naming'!$A$1:$P$58,8,FALSE)</f>
        <v>4</v>
      </c>
      <c r="Z1428" s="1">
        <f>VLOOKUP($E1428,'Product Naming'!$A$1:$P$58,9,FALSE)</f>
        <v>1</v>
      </c>
      <c r="AA1428" s="1">
        <f>VLOOKUP($E1428,'Product Naming'!$A$1:$P$58,10,FALSE)</f>
        <v>-1</v>
      </c>
      <c r="AB1428" s="29">
        <f>VLOOKUP($E1428,'Product Naming'!$A$1:$P$58,11,FALSE)</f>
        <v>3.4</v>
      </c>
      <c r="AC1428" s="3">
        <f>VLOOKUP($E1428,'Product Naming'!$A$1:$P$58,12,FALSE)</f>
        <v>146.11892</v>
      </c>
      <c r="AD1428" s="1">
        <f>VLOOKUP($E1428,'Product Naming'!$A$1:$P$58,13,FALSE)</f>
        <v>333.8</v>
      </c>
      <c r="AE1428" s="1" t="str">
        <f>VLOOKUP($E1428,'Product Naming'!$A$1:$P$58,14,FALSE)</f>
        <v>Amino acid</v>
      </c>
      <c r="AF1428" s="1" t="str">
        <f>VLOOKUP($E1428,'Product Naming'!$A$1:$P$58,15,FALSE)</f>
        <v>aKG</v>
      </c>
      <c r="AG1428" s="30" t="str">
        <f>VLOOKUP($E1428,'Product Naming'!$A$1:$P$58,16,FALSE)</f>
        <v>Proton symporter</v>
      </c>
      <c r="AH1428" s="3" t="str">
        <f>VLOOKUP($E1428,'Product Naming'!$A$1:$Q$58,17,FALSE)</f>
        <v>glu__L_c</v>
      </c>
      <c r="AI1428" s="1">
        <f>VLOOKUP($E1428,'Product Parameters'!$A$2:$D$59,2,FALSE)</f>
        <v>1</v>
      </c>
      <c r="AJ1428" s="1">
        <f>VLOOKUP($E1428,'Product Parameters'!$A$2:$D$59,3,FALSE)</f>
        <v>0</v>
      </c>
      <c r="AK1428" s="1">
        <f>VLOOKUP($E1428,'Product Parameters'!$A$2:$D$59,4,FALSE)</f>
        <v>0.12</v>
      </c>
      <c r="AL1428" s="1">
        <f>VLOOKUP($E1428,'Product Parameters'!$A$2:$E$59,5,FALSE)</f>
        <v>40.65</v>
      </c>
      <c r="AM1428" s="1">
        <f>VLOOKUP($E1428,'Product Parameters'!$A$2:$F$59,6,FALSE)</f>
        <v>5</v>
      </c>
      <c r="AN1428" s="1">
        <f>VLOOKUP($C1428,'Substrate Heating'!$A$2:$C$33,3,FALSE)</f>
        <v>2342.0279999999998</v>
      </c>
      <c r="AO1428" s="1">
        <f>VLOOKUP($C1428,'Substrate Heating'!$A$2:$B$33,2,FALSE)</f>
        <v>15.6</v>
      </c>
      <c r="AP1428" s="1">
        <f>VLOOKUP($C1428,'Substrate Heating'!$A$2:$M$33,13,FALSE)</f>
        <v>4</v>
      </c>
      <c r="AQ1428" s="1">
        <f>VLOOKUP($C1428,'Substrate Heating'!$A$2:$M$33,8,FALSE)</f>
        <v>5</v>
      </c>
      <c r="AR1428" s="1">
        <f t="shared" si="22"/>
        <v>0.98941176470588199</v>
      </c>
    </row>
    <row r="1429" spans="1:44" x14ac:dyDescent="0.2">
      <c r="A1429" s="8" t="s">
        <v>34</v>
      </c>
      <c r="B1429" s="9" t="s">
        <v>35</v>
      </c>
      <c r="C1429" s="1" t="s">
        <v>332</v>
      </c>
      <c r="D1429" s="10" t="s">
        <v>37</v>
      </c>
      <c r="E1429" s="1" t="s">
        <v>132</v>
      </c>
      <c r="F1429" s="1" t="s">
        <v>133</v>
      </c>
      <c r="G1429" s="1">
        <v>-10</v>
      </c>
      <c r="H1429" s="1">
        <v>-20</v>
      </c>
      <c r="I1429" s="1" t="s">
        <v>40</v>
      </c>
      <c r="J1429" s="1">
        <v>3.15</v>
      </c>
      <c r="K1429" s="1">
        <v>-10</v>
      </c>
      <c r="L1429" s="1">
        <v>-9.9310588235294102</v>
      </c>
      <c r="M1429" s="1" t="s">
        <v>40</v>
      </c>
      <c r="N1429" s="1">
        <v>1.47482352941176</v>
      </c>
      <c r="O1429" s="1">
        <v>3.0875294117647099</v>
      </c>
      <c r="Q1429" s="1">
        <v>0.30875294117647101</v>
      </c>
      <c r="R1429" s="1">
        <v>0.96593983605212697</v>
      </c>
      <c r="S1429" s="1" t="str">
        <f>VLOOKUP($E1429,'Product Naming'!$A$1:$P$58,2,FALSE)</f>
        <v>Adipate</v>
      </c>
      <c r="T1429" s="1" t="str">
        <f>VLOOKUP($E1429,'Product Naming'!$A$1:$P$58,3,FALSE)</f>
        <v>Adipate</v>
      </c>
      <c r="U1429" s="1" t="str">
        <f>VLOOKUP($E1429,'Product Naming'!$A$1:$P$58,4,FALSE)</f>
        <v>E</v>
      </c>
      <c r="V1429" s="1" t="str">
        <f>VLOOKUP($E1429,'Product Naming'!$A$1:$P$58,5,FALSE)</f>
        <v>C6H8O4</v>
      </c>
      <c r="W1429" s="1">
        <f>VLOOKUP($E1429,'Product Naming'!$A$1:$P$58,6,FALSE)</f>
        <v>6</v>
      </c>
      <c r="X1429" s="1">
        <f>VLOOKUP($E1429,'Product Naming'!$A$1:$P$58,7,FALSE)</f>
        <v>8</v>
      </c>
      <c r="Y1429" s="1">
        <f>VLOOKUP($E1429,'Product Naming'!$A$1:$P$58,8,FALSE)</f>
        <v>4</v>
      </c>
      <c r="Z1429" s="1">
        <f>VLOOKUP($E1429,'Product Naming'!$A$1:$P$58,9,FALSE)</f>
        <v>0</v>
      </c>
      <c r="AA1429" s="1">
        <f>VLOOKUP($E1429,'Product Naming'!$A$1:$P$58,10,FALSE)</f>
        <v>-2</v>
      </c>
      <c r="AB1429" s="29">
        <f>VLOOKUP($E1429,'Product Naming'!$A$1:$P$58,11,FALSE)</f>
        <v>4</v>
      </c>
      <c r="AC1429" s="3">
        <f>VLOOKUP($E1429,'Product Naming'!$A$1:$P$58,12,FALSE)</f>
        <v>144.12291999999999</v>
      </c>
      <c r="AD1429" s="1">
        <f>VLOOKUP($E1429,'Product Naming'!$A$1:$P$58,13,FALSE)</f>
        <v>337.5</v>
      </c>
      <c r="AE1429" s="1" t="str">
        <f>VLOOKUP($E1429,'Product Naming'!$A$1:$P$58,14,FALSE)</f>
        <v>Dicarboxylate</v>
      </c>
      <c r="AF1429" s="1" t="str">
        <f>VLOOKUP($E1429,'Product Naming'!$A$1:$P$58,15,FALSE)</f>
        <v>Glyceraldehyde 3-P</v>
      </c>
      <c r="AG1429" s="30" t="str">
        <f>VLOOKUP($E1429,'Product Naming'!$A$1:$P$58,16,FALSE)</f>
        <v>Proton symporter</v>
      </c>
      <c r="AH1429" s="3" t="str">
        <f>VLOOKUP($E1429,'Product Naming'!$A$1:$Q$58,17,FALSE)</f>
        <v>adpac_c</v>
      </c>
      <c r="AI1429" s="1">
        <f>VLOOKUP($E1429,'Product Parameters'!$A$2:$D$59,2,FALSE)</f>
        <v>1</v>
      </c>
      <c r="AJ1429" s="1">
        <f>VLOOKUP($E1429,'Product Parameters'!$A$2:$D$59,3,FALSE)</f>
        <v>0</v>
      </c>
      <c r="AK1429" s="1">
        <f>VLOOKUP($E1429,'Product Parameters'!$A$2:$D$59,4,FALSE)</f>
        <v>0.12</v>
      </c>
      <c r="AL1429" s="1">
        <f>VLOOKUP($E1429,'Product Parameters'!$A$2:$E$59,5,FALSE)</f>
        <v>40.65</v>
      </c>
      <c r="AM1429" s="1">
        <f>VLOOKUP($E1429,'Product Parameters'!$A$2:$F$59,6,FALSE)</f>
        <v>6</v>
      </c>
      <c r="AN1429" s="1">
        <f>VLOOKUP($C1429,'Substrate Heating'!$A$2:$C$33,3,FALSE)</f>
        <v>1230.0006480000002</v>
      </c>
      <c r="AO1429" s="1">
        <f>VLOOKUP($C1429,'Substrate Heating'!$A$2:$B$33,2,FALSE)</f>
        <v>26.7</v>
      </c>
      <c r="AP1429" s="1">
        <f>VLOOKUP($C1429,'Substrate Heating'!$A$2:$M$33,13,FALSE)</f>
        <v>6</v>
      </c>
      <c r="AQ1429" s="1">
        <f>VLOOKUP($C1429,'Substrate Heating'!$A$2:$M$33,8,FALSE)</f>
        <v>2</v>
      </c>
      <c r="AR1429" s="1">
        <f t="shared" si="22"/>
        <v>0.92625882352941302</v>
      </c>
    </row>
    <row r="1430" spans="1:44" x14ac:dyDescent="0.2">
      <c r="A1430" s="17" t="s">
        <v>185</v>
      </c>
      <c r="B1430" s="9" t="s">
        <v>35</v>
      </c>
      <c r="C1430" t="s">
        <v>341</v>
      </c>
      <c r="D1430" s="24" t="s">
        <v>342</v>
      </c>
      <c r="E1430" t="s">
        <v>215</v>
      </c>
      <c r="F1430" t="s">
        <v>216</v>
      </c>
      <c r="G1430">
        <v>-10</v>
      </c>
      <c r="H1430">
        <v>-20</v>
      </c>
      <c r="I1430" s="1" t="s">
        <v>40</v>
      </c>
      <c r="J1430">
        <v>3.15</v>
      </c>
      <c r="K1430">
        <v>-10</v>
      </c>
      <c r="L1430">
        <v>-6.2820618556700998</v>
      </c>
      <c r="M1430" s="1" t="s">
        <v>40</v>
      </c>
      <c r="N1430">
        <v>0.31340206185567399</v>
      </c>
      <c r="O1430">
        <v>11.937319587628901</v>
      </c>
      <c r="P1430"/>
      <c r="Q1430">
        <v>1.1937319587628901</v>
      </c>
      <c r="R1430">
        <v>0.96821880124923998</v>
      </c>
      <c r="S1430" s="1" t="str">
        <f>VLOOKUP($E1430,'Product Naming'!$A$1:$P$58,2,FALSE)</f>
        <v>Glutamate_L</v>
      </c>
      <c r="T1430" s="1" t="str">
        <f>VLOOKUP($E1430,'Product Naming'!$A$1:$P$58,3,FALSE)</f>
        <v>L-Glutamate</v>
      </c>
      <c r="U1430" s="1" t="str">
        <f>VLOOKUP($E1430,'Product Naming'!$A$1:$P$58,4,FALSE)</f>
        <v>iJO1366</v>
      </c>
      <c r="V1430" s="1" t="str">
        <f>VLOOKUP($E1430,'Product Naming'!$A$1:$P$58,5,FALSE)</f>
        <v>C5H8NO4</v>
      </c>
      <c r="W1430" s="1">
        <f>VLOOKUP($E1430,'Product Naming'!$A$1:$P$58,6,FALSE)</f>
        <v>5</v>
      </c>
      <c r="X1430" s="1">
        <f>VLOOKUP($E1430,'Product Naming'!$A$1:$P$58,7,FALSE)</f>
        <v>8</v>
      </c>
      <c r="Y1430" s="1">
        <f>VLOOKUP($E1430,'Product Naming'!$A$1:$P$58,8,FALSE)</f>
        <v>4</v>
      </c>
      <c r="Z1430" s="1">
        <f>VLOOKUP($E1430,'Product Naming'!$A$1:$P$58,9,FALSE)</f>
        <v>1</v>
      </c>
      <c r="AA1430" s="1">
        <f>VLOOKUP($E1430,'Product Naming'!$A$1:$P$58,10,FALSE)</f>
        <v>-1</v>
      </c>
      <c r="AB1430" s="29">
        <f>VLOOKUP($E1430,'Product Naming'!$A$1:$P$58,11,FALSE)</f>
        <v>3.4</v>
      </c>
      <c r="AC1430" s="3">
        <f>VLOOKUP($E1430,'Product Naming'!$A$1:$P$58,12,FALSE)</f>
        <v>146.11892</v>
      </c>
      <c r="AD1430" s="1">
        <f>VLOOKUP($E1430,'Product Naming'!$A$1:$P$58,13,FALSE)</f>
        <v>333.8</v>
      </c>
      <c r="AE1430" s="1" t="str">
        <f>VLOOKUP($E1430,'Product Naming'!$A$1:$P$58,14,FALSE)</f>
        <v>Amino acid</v>
      </c>
      <c r="AF1430" s="1" t="str">
        <f>VLOOKUP($E1430,'Product Naming'!$A$1:$P$58,15,FALSE)</f>
        <v>aKG</v>
      </c>
      <c r="AG1430" s="30" t="str">
        <f>VLOOKUP($E1430,'Product Naming'!$A$1:$P$58,16,FALSE)</f>
        <v>Proton symporter</v>
      </c>
      <c r="AH1430" s="3" t="str">
        <f>VLOOKUP($E1430,'Product Naming'!$A$1:$Q$58,17,FALSE)</f>
        <v>glu__L_c</v>
      </c>
      <c r="AI1430" s="1">
        <f>VLOOKUP($E1430,'Product Parameters'!$A$2:$D$59,2,FALSE)</f>
        <v>1</v>
      </c>
      <c r="AJ1430" s="1">
        <f>VLOOKUP($E1430,'Product Parameters'!$A$2:$D$59,3,FALSE)</f>
        <v>0</v>
      </c>
      <c r="AK1430" s="1">
        <f>VLOOKUP($E1430,'Product Parameters'!$A$2:$D$59,4,FALSE)</f>
        <v>0.12</v>
      </c>
      <c r="AL1430" s="1">
        <f>VLOOKUP($E1430,'Product Parameters'!$A$2:$E$59,5,FALSE)</f>
        <v>40.65</v>
      </c>
      <c r="AM1430" s="1">
        <f>VLOOKUP($E1430,'Product Parameters'!$A$2:$F$59,6,FALSE)</f>
        <v>5</v>
      </c>
      <c r="AN1430" s="1">
        <f>VLOOKUP($C1430,'Substrate Heating'!$A$2:$C$33,3,FALSE)</f>
        <v>2828.4492</v>
      </c>
      <c r="AO1430" s="1">
        <f>VLOOKUP($C1430,'Substrate Heating'!$A$2:$B$33,2,FALSE)</f>
        <v>15.7</v>
      </c>
      <c r="AP1430" s="1">
        <f>VLOOKUP($C1430,'Substrate Heating'!$A$2:$M$33,13,FALSE)</f>
        <v>4</v>
      </c>
      <c r="AQ1430" s="1">
        <f>VLOOKUP($C1430,'Substrate Heating'!$A$2:$M$33,8,FALSE)</f>
        <v>6</v>
      </c>
      <c r="AR1430" s="1">
        <f t="shared" si="22"/>
        <v>0.99477663230240843</v>
      </c>
    </row>
    <row r="1431" spans="1:44" x14ac:dyDescent="0.2">
      <c r="A1431" s="8" t="s">
        <v>34</v>
      </c>
      <c r="B1431" s="9" t="s">
        <v>35</v>
      </c>
      <c r="C1431" s="1" t="s">
        <v>343</v>
      </c>
      <c r="D1431" s="24" t="s">
        <v>342</v>
      </c>
      <c r="E1431" s="1" t="s">
        <v>97</v>
      </c>
      <c r="F1431" s="1" t="s">
        <v>98</v>
      </c>
      <c r="G1431" s="1">
        <v>-10</v>
      </c>
      <c r="H1431" s="1">
        <v>-20</v>
      </c>
      <c r="I1431" s="1" t="s">
        <v>40</v>
      </c>
      <c r="J1431" s="1">
        <v>3.15</v>
      </c>
      <c r="K1431" s="1">
        <v>-10</v>
      </c>
      <c r="L1431" s="1">
        <v>-10.4622030237581</v>
      </c>
      <c r="M1431" s="1" t="s">
        <v>40</v>
      </c>
      <c r="N1431" s="1">
        <v>-4.3529157667386604</v>
      </c>
      <c r="O1431" s="1">
        <v>4.9075593952483798</v>
      </c>
      <c r="Q1431" s="1">
        <v>0.49075593952483798</v>
      </c>
      <c r="R1431" s="1">
        <v>0.97030494696479597</v>
      </c>
      <c r="S1431" s="1" t="str">
        <f>VLOOKUP($E1431,'Product Naming'!$A$1:$P$58,2,FALSE)</f>
        <v>2-Pyrone-4-6-Dicarboxylate</v>
      </c>
      <c r="T1431" s="1" t="str">
        <f>VLOOKUP($E1431,'Product Naming'!$A$1:$P$58,3,FALSE)</f>
        <v>2-Pyrone 4,6-dicarboxylate</v>
      </c>
      <c r="U1431" s="1" t="str">
        <f>VLOOKUP($E1431,'Product Naming'!$A$1:$P$58,4,FALSE)</f>
        <v>A</v>
      </c>
      <c r="V1431" s="1" t="str">
        <f>VLOOKUP($E1431,'Product Naming'!$A$1:$P$58,5,FALSE)</f>
        <v>C7H2O6</v>
      </c>
      <c r="W1431" s="1">
        <f>VLOOKUP($E1431,'Product Naming'!$A$1:$P$58,6,FALSE)</f>
        <v>7</v>
      </c>
      <c r="X1431" s="1">
        <f>VLOOKUP($E1431,'Product Naming'!$A$1:$P$58,7,FALSE)</f>
        <v>2</v>
      </c>
      <c r="Y1431" s="1">
        <f>VLOOKUP($E1431,'Product Naming'!$A$1:$P$58,8,FALSE)</f>
        <v>6</v>
      </c>
      <c r="Z1431" s="1">
        <f>VLOOKUP($E1431,'Product Naming'!$A$1:$P$58,9,FALSE)</f>
        <v>0</v>
      </c>
      <c r="AA1431" s="1">
        <f>VLOOKUP($E1431,'Product Naming'!$A$1:$P$58,10,FALSE)</f>
        <v>-2</v>
      </c>
      <c r="AB1431" s="29">
        <f>VLOOKUP($E1431,'Product Naming'!$A$1:$P$58,11,FALSE)</f>
        <v>2.5714285714285716</v>
      </c>
      <c r="AC1431" s="3">
        <f>VLOOKUP($E1431,'Product Naming'!$A$1:$P$58,12,FALSE)</f>
        <v>182.08458000000002</v>
      </c>
      <c r="AD1431" s="1">
        <f>VLOOKUP($E1431,'Product Naming'!$A$1:$P$58,13,FALSE)</f>
        <v>355.5</v>
      </c>
      <c r="AE1431" s="1" t="str">
        <f>VLOOKUP($E1431,'Product Naming'!$A$1:$P$58,14,FALSE)</f>
        <v>Dicarboxylate</v>
      </c>
      <c r="AF1431" s="1" t="str">
        <f>VLOOKUP($E1431,'Product Naming'!$A$1:$P$58,15,FALSE)</f>
        <v>Glyceraldehyde 3-P</v>
      </c>
      <c r="AG1431" s="30" t="str">
        <f>VLOOKUP($E1431,'Product Naming'!$A$1:$P$58,16,FALSE)</f>
        <v>Proton symporter</v>
      </c>
      <c r="AH1431" s="3" t="str">
        <f>VLOOKUP($E1431,'Product Naming'!$A$1:$Q$58,17,FALSE)</f>
        <v>2p46dc_c</v>
      </c>
      <c r="AI1431" s="1">
        <f>VLOOKUP($E1431,'Product Parameters'!$A$2:$D$59,2,FALSE)</f>
        <v>1</v>
      </c>
      <c r="AJ1431" s="1">
        <f>VLOOKUP($E1431,'Product Parameters'!$A$2:$D$59,3,FALSE)</f>
        <v>0</v>
      </c>
      <c r="AK1431" s="1">
        <f>VLOOKUP($E1431,'Product Parameters'!$A$2:$D$59,4,FALSE)</f>
        <v>0.12</v>
      </c>
      <c r="AL1431" s="1">
        <f>VLOOKUP($E1431,'Product Parameters'!$A$2:$E$59,5,FALSE)</f>
        <v>0</v>
      </c>
      <c r="AM1431" s="1">
        <f>VLOOKUP($E1431,'Product Parameters'!$A$2:$F$59,6,FALSE)</f>
        <v>7</v>
      </c>
      <c r="AN1431" s="1">
        <f>VLOOKUP($C1431,'Substrate Heating'!$A$2:$C$33,3,FALSE)</f>
        <v>1648.4793779999998</v>
      </c>
      <c r="AO1431" s="1">
        <f>VLOOKUP($C1431,'Substrate Heating'!$A$2:$B$33,2,FALSE)</f>
        <v>17.899999999999999</v>
      </c>
      <c r="AP1431" s="1">
        <f>VLOOKUP($C1431,'Substrate Heating'!$A$2:$M$33,13,FALSE)</f>
        <v>4.666666666666667</v>
      </c>
      <c r="AQ1431" s="1">
        <f>VLOOKUP($C1431,'Substrate Heating'!$A$2:$M$33,8,FALSE)</f>
        <v>3</v>
      </c>
      <c r="AR1431" s="1">
        <f t="shared" si="22"/>
        <v>1.145097192224622</v>
      </c>
    </row>
    <row r="1432" spans="1:44" x14ac:dyDescent="0.2">
      <c r="A1432" s="8" t="s">
        <v>34</v>
      </c>
      <c r="B1432" s="9" t="s">
        <v>35</v>
      </c>
      <c r="C1432" s="1" t="s">
        <v>36</v>
      </c>
      <c r="D1432" s="10" t="s">
        <v>37</v>
      </c>
      <c r="E1432" s="1" t="s">
        <v>198</v>
      </c>
      <c r="F1432" s="1" t="s">
        <v>199</v>
      </c>
      <c r="G1432" s="1">
        <v>-10</v>
      </c>
      <c r="H1432" s="1">
        <v>-20</v>
      </c>
      <c r="I1432" s="1" t="s">
        <v>40</v>
      </c>
      <c r="J1432" s="1">
        <v>3.15</v>
      </c>
      <c r="K1432" s="1">
        <v>-10</v>
      </c>
      <c r="L1432" s="1">
        <v>-0.53521126760563398</v>
      </c>
      <c r="M1432" s="1" t="s">
        <v>40</v>
      </c>
      <c r="N1432" s="1">
        <v>0.42816901408450397</v>
      </c>
      <c r="O1432" s="1">
        <v>4.8929577464788698</v>
      </c>
      <c r="Q1432" s="1">
        <v>0.48929577464788698</v>
      </c>
      <c r="R1432" s="1">
        <v>0.97859154929577397</v>
      </c>
      <c r="S1432" s="1" t="str">
        <f>VLOOKUP($E1432,'Product Naming'!$A$1:$P$58,2,FALSE)</f>
        <v>EthylAcetate</v>
      </c>
      <c r="T1432" s="1" t="str">
        <f>VLOOKUP($E1432,'Product Naming'!$A$1:$P$58,3,FALSE)</f>
        <v>Ethyl acetate</v>
      </c>
      <c r="U1432" s="1" t="str">
        <f>VLOOKUP($E1432,'Product Naming'!$A$1:$P$58,4,FALSE)</f>
        <v>E</v>
      </c>
      <c r="V1432" s="1" t="str">
        <f>VLOOKUP($E1432,'Product Naming'!$A$1:$P$58,5,FALSE)</f>
        <v>C4H8O2</v>
      </c>
      <c r="W1432" s="1">
        <f>VLOOKUP($E1432,'Product Naming'!$A$1:$P$58,6,FALSE)</f>
        <v>4</v>
      </c>
      <c r="X1432" s="1">
        <f>VLOOKUP($E1432,'Product Naming'!$A$1:$P$58,7,FALSE)</f>
        <v>8</v>
      </c>
      <c r="Y1432" s="1">
        <f>VLOOKUP($E1432,'Product Naming'!$A$1:$P$58,8,FALSE)</f>
        <v>2</v>
      </c>
      <c r="Z1432" s="1">
        <f>VLOOKUP($E1432,'Product Naming'!$A$1:$P$58,9,FALSE)</f>
        <v>0</v>
      </c>
      <c r="AA1432" s="1">
        <f>VLOOKUP($E1432,'Product Naming'!$A$1:$P$58,10,FALSE)</f>
        <v>0</v>
      </c>
      <c r="AB1432" s="29">
        <f>VLOOKUP($E1432,'Product Naming'!$A$1:$P$58,11,FALSE)</f>
        <v>5</v>
      </c>
      <c r="AC1432" s="3">
        <f>VLOOKUP($E1432,'Product Naming'!$A$1:$P$58,12,FALSE)</f>
        <v>88.103520000000003</v>
      </c>
      <c r="AD1432" s="1">
        <f>VLOOKUP($E1432,'Product Naming'!$A$1:$P$58,13,FALSE)</f>
        <v>77.099999999999994</v>
      </c>
      <c r="AE1432" s="1" t="str">
        <f>VLOOKUP($E1432,'Product Naming'!$A$1:$P$58,14,FALSE)</f>
        <v>Carboxylate Ester</v>
      </c>
      <c r="AF1432" s="1" t="str">
        <f>VLOOKUP($E1432,'Product Naming'!$A$1:$P$58,15,FALSE)</f>
        <v>Acetyl-CoA</v>
      </c>
      <c r="AG1432" s="30" t="str">
        <f>VLOOKUP($E1432,'Product Naming'!$A$1:$P$58,16,FALSE)</f>
        <v>Proton symporter</v>
      </c>
      <c r="AH1432" s="3" t="str">
        <f>VLOOKUP($E1432,'Product Naming'!$A$1:$Q$58,17,FALSE)</f>
        <v>aces_c</v>
      </c>
      <c r="AI1432" s="1">
        <f>VLOOKUP($E1432,'Product Parameters'!$A$2:$D$59,2,FALSE)</f>
        <v>1</v>
      </c>
      <c r="AJ1432" s="1">
        <f>VLOOKUP($E1432,'Product Parameters'!$A$2:$D$59,3,FALSE)</f>
        <v>0</v>
      </c>
      <c r="AK1432" s="1">
        <f>VLOOKUP($E1432,'Product Parameters'!$A$2:$D$59,4,FALSE)</f>
        <v>0.12</v>
      </c>
      <c r="AL1432" s="1">
        <f>VLOOKUP($E1432,'Product Parameters'!$A$2:$E$59,5,FALSE)</f>
        <v>35</v>
      </c>
      <c r="AM1432" s="1">
        <f>VLOOKUP($E1432,'Product Parameters'!$A$2:$F$59,6,FALSE)</f>
        <v>4</v>
      </c>
      <c r="AN1432" s="1">
        <f>VLOOKUP($C1432,'Substrate Heating'!$A$2:$C$33,3,FALSE)</f>
        <v>1064.1143145599999</v>
      </c>
      <c r="AO1432" s="1">
        <f>VLOOKUP($C1432,'Substrate Heating'!$A$2:$B$33,2,FALSE)</f>
        <v>24.155999999999999</v>
      </c>
      <c r="AP1432" s="1">
        <f>VLOOKUP($C1432,'Substrate Heating'!$A$2:$M$33,13,FALSE)</f>
        <v>5</v>
      </c>
      <c r="AQ1432" s="1">
        <f>VLOOKUP($C1432,'Substrate Heating'!$A$2:$M$33,8,FALSE)</f>
        <v>2</v>
      </c>
      <c r="AR1432" s="1">
        <f t="shared" si="22"/>
        <v>0.97859154929577397</v>
      </c>
    </row>
    <row r="1433" spans="1:44" x14ac:dyDescent="0.2">
      <c r="A1433" s="8" t="s">
        <v>34</v>
      </c>
      <c r="B1433" s="9" t="s">
        <v>35</v>
      </c>
      <c r="C1433" s="1" t="s">
        <v>332</v>
      </c>
      <c r="D1433" s="10" t="s">
        <v>37</v>
      </c>
      <c r="E1433" s="1" t="s">
        <v>209</v>
      </c>
      <c r="F1433" s="1" t="s">
        <v>210</v>
      </c>
      <c r="G1433" s="1">
        <v>-10</v>
      </c>
      <c r="H1433" s="1">
        <v>-20</v>
      </c>
      <c r="I1433" s="1" t="s">
        <v>40</v>
      </c>
      <c r="J1433" s="1">
        <v>3.15</v>
      </c>
      <c r="K1433" s="1">
        <v>-10</v>
      </c>
      <c r="L1433" s="1">
        <v>-6.2440298507462701</v>
      </c>
      <c r="M1433" s="1" t="s">
        <v>40</v>
      </c>
      <c r="N1433" s="1">
        <v>-1.1164179104477601</v>
      </c>
      <c r="O1433" s="1">
        <v>5.2791044776119396</v>
      </c>
      <c r="Q1433" s="1">
        <v>0.527910447761194</v>
      </c>
      <c r="R1433" s="1">
        <v>0.98652475937872897</v>
      </c>
      <c r="S1433" s="1" t="str">
        <f>VLOOKUP($E1433,'Product Naming'!$A$1:$P$58,2,FALSE)</f>
        <v>GammaButyrolactone</v>
      </c>
      <c r="T1433" s="1" t="str">
        <f>VLOOKUP($E1433,'Product Naming'!$A$1:$P$58,3,FALSE)</f>
        <v>Gamma butyrolactone</v>
      </c>
      <c r="U1433" s="1" t="str">
        <f>VLOOKUP($E1433,'Product Naming'!$A$1:$P$58,4,FALSE)</f>
        <v>A</v>
      </c>
      <c r="V1433" s="1" t="str">
        <f>VLOOKUP($E1433,'Product Naming'!$A$1:$P$58,5,FALSE)</f>
        <v>C4H6O2</v>
      </c>
      <c r="W1433" s="1">
        <f>VLOOKUP($E1433,'Product Naming'!$A$1:$P$58,6,FALSE)</f>
        <v>4</v>
      </c>
      <c r="X1433" s="1">
        <f>VLOOKUP($E1433,'Product Naming'!$A$1:$P$58,7,FALSE)</f>
        <v>6</v>
      </c>
      <c r="Y1433" s="1">
        <f>VLOOKUP($E1433,'Product Naming'!$A$1:$P$58,8,FALSE)</f>
        <v>2</v>
      </c>
      <c r="Z1433" s="1">
        <f>VLOOKUP($E1433,'Product Naming'!$A$1:$P$58,9,FALSE)</f>
        <v>0</v>
      </c>
      <c r="AA1433" s="1">
        <f>VLOOKUP($E1433,'Product Naming'!$A$1:$P$58,10,FALSE)</f>
        <v>0</v>
      </c>
      <c r="AB1433" s="29">
        <f>VLOOKUP($E1433,'Product Naming'!$A$1:$P$58,11,FALSE)</f>
        <v>4.5</v>
      </c>
      <c r="AC1433" s="3">
        <f>VLOOKUP($E1433,'Product Naming'!$A$1:$P$58,12,FALSE)</f>
        <v>86.08784</v>
      </c>
      <c r="AD1433" s="1">
        <f>VLOOKUP($E1433,'Product Naming'!$A$1:$P$58,13,FALSE)</f>
        <v>204</v>
      </c>
      <c r="AE1433" s="1" t="str">
        <f>VLOOKUP($E1433,'Product Naming'!$A$1:$P$58,14,FALSE)</f>
        <v>Lactone (cyclic ester)</v>
      </c>
      <c r="AF1433" s="1" t="str">
        <f>VLOOKUP($E1433,'Product Naming'!$A$1:$P$58,15,FALSE)</f>
        <v>aKG</v>
      </c>
      <c r="AG1433" s="30" t="str">
        <f>VLOOKUP($E1433,'Product Naming'!$A$1:$P$58,16,FALSE)</f>
        <v>Proton symporter</v>
      </c>
      <c r="AH1433" s="3" t="str">
        <f>VLOOKUP($E1433,'Product Naming'!$A$1:$Q$58,17,FALSE)</f>
        <v>gblt_c</v>
      </c>
      <c r="AI1433" s="1">
        <f>VLOOKUP($E1433,'Product Parameters'!$A$2:$D$59,2,FALSE)</f>
        <v>1</v>
      </c>
      <c r="AJ1433" s="1">
        <f>VLOOKUP($E1433,'Product Parameters'!$A$2:$D$59,3,FALSE)</f>
        <v>0</v>
      </c>
      <c r="AK1433" s="1">
        <f>VLOOKUP($E1433,'Product Parameters'!$A$2:$D$59,4,FALSE)</f>
        <v>0.12</v>
      </c>
      <c r="AL1433" s="1">
        <f>VLOOKUP($E1433,'Product Parameters'!$A$2:$E$59,5,FALSE)</f>
        <v>0</v>
      </c>
      <c r="AM1433" s="1">
        <f>VLOOKUP($E1433,'Product Parameters'!$A$2:$F$59,6,FALSE)</f>
        <v>4</v>
      </c>
      <c r="AN1433" s="1">
        <f>VLOOKUP($C1433,'Substrate Heating'!$A$2:$C$33,3,FALSE)</f>
        <v>1230.0006480000002</v>
      </c>
      <c r="AO1433" s="1">
        <f>VLOOKUP($C1433,'Substrate Heating'!$A$2:$B$33,2,FALSE)</f>
        <v>26.7</v>
      </c>
      <c r="AP1433" s="1">
        <f>VLOOKUP($C1433,'Substrate Heating'!$A$2:$M$33,13,FALSE)</f>
        <v>6</v>
      </c>
      <c r="AQ1433" s="1">
        <f>VLOOKUP($C1433,'Substrate Heating'!$A$2:$M$33,8,FALSE)</f>
        <v>2</v>
      </c>
      <c r="AR1433" s="1">
        <f t="shared" si="22"/>
        <v>1.055820895522388</v>
      </c>
    </row>
    <row r="1434" spans="1:44" x14ac:dyDescent="0.2">
      <c r="A1434" s="8" t="s">
        <v>807</v>
      </c>
      <c r="B1434" s="18" t="s">
        <v>324</v>
      </c>
      <c r="C1434" t="s">
        <v>369</v>
      </c>
      <c r="D1434" s="23" t="s">
        <v>338</v>
      </c>
      <c r="E1434" t="s">
        <v>215</v>
      </c>
      <c r="F1434" t="s">
        <v>216</v>
      </c>
      <c r="G1434">
        <v>-10</v>
      </c>
      <c r="H1434">
        <v>0</v>
      </c>
      <c r="I1434">
        <v>0</v>
      </c>
      <c r="J1434">
        <v>0.45</v>
      </c>
      <c r="K1434">
        <v>-10</v>
      </c>
      <c r="L1434">
        <v>0</v>
      </c>
      <c r="M1434">
        <v>12</v>
      </c>
      <c r="N1434">
        <v>0</v>
      </c>
      <c r="O1434">
        <v>1.99999999999999</v>
      </c>
      <c r="P1434"/>
      <c r="Q1434">
        <v>0.19999999999999901</v>
      </c>
      <c r="R1434">
        <v>0.98656141106601503</v>
      </c>
      <c r="S1434" s="1" t="str">
        <f>VLOOKUP($E1434,'Product Naming'!$A$1:$P$58,2,FALSE)</f>
        <v>Glutamate_L</v>
      </c>
      <c r="T1434" s="1" t="str">
        <f>VLOOKUP($E1434,'Product Naming'!$A$1:$P$58,3,FALSE)</f>
        <v>L-Glutamate</v>
      </c>
      <c r="U1434" s="1" t="str">
        <f>VLOOKUP($E1434,'Product Naming'!$A$1:$P$58,4,FALSE)</f>
        <v>iJO1366</v>
      </c>
      <c r="V1434" s="1" t="str">
        <f>VLOOKUP($E1434,'Product Naming'!$A$1:$P$58,5,FALSE)</f>
        <v>C5H8NO4</v>
      </c>
      <c r="W1434" s="1">
        <f>VLOOKUP($E1434,'Product Naming'!$A$1:$P$58,6,FALSE)</f>
        <v>5</v>
      </c>
      <c r="X1434" s="1">
        <f>VLOOKUP($E1434,'Product Naming'!$A$1:$P$58,7,FALSE)</f>
        <v>8</v>
      </c>
      <c r="Y1434" s="1">
        <f>VLOOKUP($E1434,'Product Naming'!$A$1:$P$58,8,FALSE)</f>
        <v>4</v>
      </c>
      <c r="Z1434" s="1">
        <f>VLOOKUP($E1434,'Product Naming'!$A$1:$P$58,9,FALSE)</f>
        <v>1</v>
      </c>
      <c r="AA1434" s="1">
        <f>VLOOKUP($E1434,'Product Naming'!$A$1:$P$58,10,FALSE)</f>
        <v>-1</v>
      </c>
      <c r="AB1434" s="29">
        <f>VLOOKUP($E1434,'Product Naming'!$A$1:$P$58,11,FALSE)</f>
        <v>3.4</v>
      </c>
      <c r="AC1434" s="3">
        <f>VLOOKUP($E1434,'Product Naming'!$A$1:$P$58,12,FALSE)</f>
        <v>146.11892</v>
      </c>
      <c r="AD1434" s="1">
        <f>VLOOKUP($E1434,'Product Naming'!$A$1:$P$58,13,FALSE)</f>
        <v>333.8</v>
      </c>
      <c r="AE1434" s="1" t="str">
        <f>VLOOKUP($E1434,'Product Naming'!$A$1:$P$58,14,FALSE)</f>
        <v>Amino acid</v>
      </c>
      <c r="AF1434" s="1" t="str">
        <f>VLOOKUP($E1434,'Product Naming'!$A$1:$P$58,15,FALSE)</f>
        <v>aKG</v>
      </c>
      <c r="AG1434" s="30" t="str">
        <f>VLOOKUP($E1434,'Product Naming'!$A$1:$P$58,16,FALSE)</f>
        <v>Proton symporter</v>
      </c>
      <c r="AH1434" s="3" t="str">
        <f>VLOOKUP($E1434,'Product Naming'!$A$1:$Q$58,17,FALSE)</f>
        <v>glu__L_c</v>
      </c>
      <c r="AI1434" s="1">
        <f>VLOOKUP($E1434,'Product Parameters'!$A$2:$D$59,2,FALSE)</f>
        <v>1</v>
      </c>
      <c r="AJ1434" s="1">
        <f>VLOOKUP($E1434,'Product Parameters'!$A$2:$D$59,3,FALSE)</f>
        <v>0</v>
      </c>
      <c r="AK1434" s="1">
        <f>VLOOKUP($E1434,'Product Parameters'!$A$2:$D$59,4,FALSE)</f>
        <v>0.12</v>
      </c>
      <c r="AL1434" s="1">
        <f>VLOOKUP($E1434,'Product Parameters'!$A$2:$E$59,5,FALSE)</f>
        <v>40.65</v>
      </c>
      <c r="AM1434" s="1">
        <f>VLOOKUP($E1434,'Product Parameters'!$A$2:$F$59,6,FALSE)</f>
        <v>5</v>
      </c>
      <c r="AN1434" s="1">
        <f>VLOOKUP($C1434,'Substrate Heating'!$A$2:$C$33,3,FALSE)</f>
        <v>638.57832580000002</v>
      </c>
      <c r="AO1434" s="1">
        <f>VLOOKUP($C1434,'Substrate Heating'!$A$2:$B$33,2,FALSE)</f>
        <v>19.93</v>
      </c>
      <c r="AP1434" s="1">
        <f>VLOOKUP($C1434,'Substrate Heating'!$A$2:$M$33,13,FALSE)</f>
        <v>6</v>
      </c>
      <c r="AQ1434" s="1">
        <f>VLOOKUP($C1434,'Substrate Heating'!$A$2:$M$33,8,FALSE)</f>
        <v>1</v>
      </c>
      <c r="AR1434" s="1">
        <f t="shared" si="22"/>
        <v>0.99999999999999512</v>
      </c>
    </row>
    <row r="1435" spans="1:44" x14ac:dyDescent="0.2">
      <c r="A1435" s="8" t="s">
        <v>807</v>
      </c>
      <c r="B1435" s="18" t="s">
        <v>324</v>
      </c>
      <c r="C1435" t="s">
        <v>371</v>
      </c>
      <c r="D1435" s="23" t="s">
        <v>338</v>
      </c>
      <c r="E1435" t="s">
        <v>215</v>
      </c>
      <c r="F1435" t="s">
        <v>216</v>
      </c>
      <c r="G1435">
        <v>-10</v>
      </c>
      <c r="H1435">
        <v>0</v>
      </c>
      <c r="I1435">
        <v>0</v>
      </c>
      <c r="J1435">
        <v>0.45</v>
      </c>
      <c r="K1435">
        <v>-10</v>
      </c>
      <c r="L1435">
        <v>0</v>
      </c>
      <c r="M1435">
        <v>12</v>
      </c>
      <c r="N1435">
        <v>0</v>
      </c>
      <c r="O1435">
        <v>1.99999999999999</v>
      </c>
      <c r="P1435"/>
      <c r="Q1435">
        <v>0.19999999999999901</v>
      </c>
      <c r="R1435">
        <v>0.98656141106601503</v>
      </c>
      <c r="S1435" s="1" t="str">
        <f>VLOOKUP($E1435,'Product Naming'!$A$1:$P$58,2,FALSE)</f>
        <v>Glutamate_L</v>
      </c>
      <c r="T1435" s="1" t="str">
        <f>VLOOKUP($E1435,'Product Naming'!$A$1:$P$58,3,FALSE)</f>
        <v>L-Glutamate</v>
      </c>
      <c r="U1435" s="1" t="str">
        <f>VLOOKUP($E1435,'Product Naming'!$A$1:$P$58,4,FALSE)</f>
        <v>iJO1366</v>
      </c>
      <c r="V1435" s="1" t="str">
        <f>VLOOKUP($E1435,'Product Naming'!$A$1:$P$58,5,FALSE)</f>
        <v>C5H8NO4</v>
      </c>
      <c r="W1435" s="1">
        <f>VLOOKUP($E1435,'Product Naming'!$A$1:$P$58,6,FALSE)</f>
        <v>5</v>
      </c>
      <c r="X1435" s="1">
        <f>VLOOKUP($E1435,'Product Naming'!$A$1:$P$58,7,FALSE)</f>
        <v>8</v>
      </c>
      <c r="Y1435" s="1">
        <f>VLOOKUP($E1435,'Product Naming'!$A$1:$P$58,8,FALSE)</f>
        <v>4</v>
      </c>
      <c r="Z1435" s="1">
        <f>VLOOKUP($E1435,'Product Naming'!$A$1:$P$58,9,FALSE)</f>
        <v>1</v>
      </c>
      <c r="AA1435" s="1">
        <f>VLOOKUP($E1435,'Product Naming'!$A$1:$P$58,10,FALSE)</f>
        <v>-1</v>
      </c>
      <c r="AB1435" s="29">
        <f>VLOOKUP($E1435,'Product Naming'!$A$1:$P$58,11,FALSE)</f>
        <v>3.4</v>
      </c>
      <c r="AC1435" s="3">
        <f>VLOOKUP($E1435,'Product Naming'!$A$1:$P$58,12,FALSE)</f>
        <v>146.11892</v>
      </c>
      <c r="AD1435" s="1">
        <f>VLOOKUP($E1435,'Product Naming'!$A$1:$P$58,13,FALSE)</f>
        <v>333.8</v>
      </c>
      <c r="AE1435" s="1" t="str">
        <f>VLOOKUP($E1435,'Product Naming'!$A$1:$P$58,14,FALSE)</f>
        <v>Amino acid</v>
      </c>
      <c r="AF1435" s="1" t="str">
        <f>VLOOKUP($E1435,'Product Naming'!$A$1:$P$58,15,FALSE)</f>
        <v>aKG</v>
      </c>
      <c r="AG1435" s="30" t="str">
        <f>VLOOKUP($E1435,'Product Naming'!$A$1:$P$58,16,FALSE)</f>
        <v>Proton symporter</v>
      </c>
      <c r="AH1435" s="3" t="str">
        <f>VLOOKUP($E1435,'Product Naming'!$A$1:$Q$58,17,FALSE)</f>
        <v>glu__L_c</v>
      </c>
      <c r="AI1435" s="1">
        <f>VLOOKUP($E1435,'Product Parameters'!$A$2:$D$59,2,FALSE)</f>
        <v>1</v>
      </c>
      <c r="AJ1435" s="1">
        <f>VLOOKUP($E1435,'Product Parameters'!$A$2:$D$59,3,FALSE)</f>
        <v>0</v>
      </c>
      <c r="AK1435" s="1">
        <f>VLOOKUP($E1435,'Product Parameters'!$A$2:$D$59,4,FALSE)</f>
        <v>0.12</v>
      </c>
      <c r="AL1435" s="1">
        <f>VLOOKUP($E1435,'Product Parameters'!$A$2:$E$59,5,FALSE)</f>
        <v>40.65</v>
      </c>
      <c r="AM1435" s="1">
        <f>VLOOKUP($E1435,'Product Parameters'!$A$2:$F$59,6,FALSE)</f>
        <v>5</v>
      </c>
      <c r="AN1435" s="1">
        <f>VLOOKUP($C1435,'Substrate Heating'!$A$2:$C$33,3,FALSE)</f>
        <v>638.57832580000002</v>
      </c>
      <c r="AO1435" s="1">
        <f>VLOOKUP($C1435,'Substrate Heating'!$A$2:$B$33,2,FALSE)</f>
        <v>19.93</v>
      </c>
      <c r="AP1435" s="1">
        <f>VLOOKUP($C1435,'Substrate Heating'!$A$2:$M$33,13,FALSE)</f>
        <v>6</v>
      </c>
      <c r="AQ1435" s="1">
        <f>VLOOKUP($C1435,'Substrate Heating'!$A$2:$M$33,8,FALSE)</f>
        <v>1</v>
      </c>
      <c r="AR1435" s="1">
        <f t="shared" si="22"/>
        <v>0.99999999999999512</v>
      </c>
    </row>
    <row r="1436" spans="1:44" x14ac:dyDescent="0.2">
      <c r="A1436" s="8" t="s">
        <v>807</v>
      </c>
      <c r="B1436" s="18" t="s">
        <v>324</v>
      </c>
      <c r="C1436" t="s">
        <v>372</v>
      </c>
      <c r="D1436" s="23" t="s">
        <v>338</v>
      </c>
      <c r="E1436" t="s">
        <v>215</v>
      </c>
      <c r="F1436" t="s">
        <v>216</v>
      </c>
      <c r="G1436">
        <v>-10</v>
      </c>
      <c r="H1436">
        <v>0</v>
      </c>
      <c r="I1436">
        <v>0</v>
      </c>
      <c r="J1436">
        <v>0.45</v>
      </c>
      <c r="K1436">
        <v>-10</v>
      </c>
      <c r="L1436">
        <v>0</v>
      </c>
      <c r="M1436">
        <v>12</v>
      </c>
      <c r="N1436">
        <v>0</v>
      </c>
      <c r="O1436">
        <v>1.99999999999999</v>
      </c>
      <c r="P1436"/>
      <c r="Q1436">
        <v>0.19999999999999901</v>
      </c>
      <c r="R1436">
        <v>0.98656141106601603</v>
      </c>
      <c r="S1436" s="1" t="str">
        <f>VLOOKUP($E1436,'Product Naming'!$A$1:$P$58,2,FALSE)</f>
        <v>Glutamate_L</v>
      </c>
      <c r="T1436" s="1" t="str">
        <f>VLOOKUP($E1436,'Product Naming'!$A$1:$P$58,3,FALSE)</f>
        <v>L-Glutamate</v>
      </c>
      <c r="U1436" s="1" t="str">
        <f>VLOOKUP($E1436,'Product Naming'!$A$1:$P$58,4,FALSE)</f>
        <v>iJO1366</v>
      </c>
      <c r="V1436" s="1" t="str">
        <f>VLOOKUP($E1436,'Product Naming'!$A$1:$P$58,5,FALSE)</f>
        <v>C5H8NO4</v>
      </c>
      <c r="W1436" s="1">
        <f>VLOOKUP($E1436,'Product Naming'!$A$1:$P$58,6,FALSE)</f>
        <v>5</v>
      </c>
      <c r="X1436" s="1">
        <f>VLOOKUP($E1436,'Product Naming'!$A$1:$P$58,7,FALSE)</f>
        <v>8</v>
      </c>
      <c r="Y1436" s="1">
        <f>VLOOKUP($E1436,'Product Naming'!$A$1:$P$58,8,FALSE)</f>
        <v>4</v>
      </c>
      <c r="Z1436" s="1">
        <f>VLOOKUP($E1436,'Product Naming'!$A$1:$P$58,9,FALSE)</f>
        <v>1</v>
      </c>
      <c r="AA1436" s="1">
        <f>VLOOKUP($E1436,'Product Naming'!$A$1:$P$58,10,FALSE)</f>
        <v>-1</v>
      </c>
      <c r="AB1436" s="29">
        <f>VLOOKUP($E1436,'Product Naming'!$A$1:$P$58,11,FALSE)</f>
        <v>3.4</v>
      </c>
      <c r="AC1436" s="3">
        <f>VLOOKUP($E1436,'Product Naming'!$A$1:$P$58,12,FALSE)</f>
        <v>146.11892</v>
      </c>
      <c r="AD1436" s="1">
        <f>VLOOKUP($E1436,'Product Naming'!$A$1:$P$58,13,FALSE)</f>
        <v>333.8</v>
      </c>
      <c r="AE1436" s="1" t="str">
        <f>VLOOKUP($E1436,'Product Naming'!$A$1:$P$58,14,FALSE)</f>
        <v>Amino acid</v>
      </c>
      <c r="AF1436" s="1" t="str">
        <f>VLOOKUP($E1436,'Product Naming'!$A$1:$P$58,15,FALSE)</f>
        <v>aKG</v>
      </c>
      <c r="AG1436" s="30" t="str">
        <f>VLOOKUP($E1436,'Product Naming'!$A$1:$P$58,16,FALSE)</f>
        <v>Proton symporter</v>
      </c>
      <c r="AH1436" s="3" t="str">
        <f>VLOOKUP($E1436,'Product Naming'!$A$1:$Q$58,17,FALSE)</f>
        <v>glu__L_c</v>
      </c>
      <c r="AI1436" s="1">
        <f>VLOOKUP($E1436,'Product Parameters'!$A$2:$D$59,2,FALSE)</f>
        <v>1</v>
      </c>
      <c r="AJ1436" s="1">
        <f>VLOOKUP($E1436,'Product Parameters'!$A$2:$D$59,3,FALSE)</f>
        <v>0</v>
      </c>
      <c r="AK1436" s="1">
        <f>VLOOKUP($E1436,'Product Parameters'!$A$2:$D$59,4,FALSE)</f>
        <v>0.12</v>
      </c>
      <c r="AL1436" s="1">
        <f>VLOOKUP($E1436,'Product Parameters'!$A$2:$E$59,5,FALSE)</f>
        <v>40.65</v>
      </c>
      <c r="AM1436" s="1">
        <f>VLOOKUP($E1436,'Product Parameters'!$A$2:$F$59,6,FALSE)</f>
        <v>5</v>
      </c>
      <c r="AN1436" s="1">
        <f>VLOOKUP($C1436,'Substrate Heating'!$A$2:$C$33,3,FALSE)</f>
        <v>638.57832580000002</v>
      </c>
      <c r="AO1436" s="1">
        <f>VLOOKUP($C1436,'Substrate Heating'!$A$2:$B$33,2,FALSE)</f>
        <v>19.93</v>
      </c>
      <c r="AP1436" s="1">
        <f>VLOOKUP($C1436,'Substrate Heating'!$A$2:$M$33,13,FALSE)</f>
        <v>6</v>
      </c>
      <c r="AQ1436" s="1">
        <f>VLOOKUP($C1436,'Substrate Heating'!$A$2:$M$33,8,FALSE)</f>
        <v>1</v>
      </c>
      <c r="AR1436" s="1">
        <f t="shared" si="22"/>
        <v>0.99999999999999512</v>
      </c>
    </row>
    <row r="1437" spans="1:44" x14ac:dyDescent="0.2">
      <c r="A1437" s="8" t="s">
        <v>807</v>
      </c>
      <c r="B1437" s="18" t="s">
        <v>324</v>
      </c>
      <c r="C1437" t="s">
        <v>365</v>
      </c>
      <c r="D1437" s="23" t="s">
        <v>338</v>
      </c>
      <c r="E1437" t="s">
        <v>215</v>
      </c>
      <c r="F1437" t="s">
        <v>216</v>
      </c>
      <c r="G1437">
        <v>-10</v>
      </c>
      <c r="H1437">
        <v>0</v>
      </c>
      <c r="I1437">
        <v>0</v>
      </c>
      <c r="J1437">
        <v>0.45</v>
      </c>
      <c r="K1437">
        <v>-10</v>
      </c>
      <c r="L1437">
        <v>0</v>
      </c>
      <c r="M1437">
        <v>12</v>
      </c>
      <c r="N1437">
        <v>0</v>
      </c>
      <c r="O1437">
        <v>2</v>
      </c>
      <c r="P1437"/>
      <c r="Q1437">
        <v>0.2</v>
      </c>
      <c r="R1437">
        <v>0.98656141106601802</v>
      </c>
      <c r="S1437" s="1" t="str">
        <f>VLOOKUP($E1437,'Product Naming'!$A$1:$P$58,2,FALSE)</f>
        <v>Glutamate_L</v>
      </c>
      <c r="T1437" s="1" t="str">
        <f>VLOOKUP($E1437,'Product Naming'!$A$1:$P$58,3,FALSE)</f>
        <v>L-Glutamate</v>
      </c>
      <c r="U1437" s="1" t="str">
        <f>VLOOKUP($E1437,'Product Naming'!$A$1:$P$58,4,FALSE)</f>
        <v>iJO1366</v>
      </c>
      <c r="V1437" s="1" t="str">
        <f>VLOOKUP($E1437,'Product Naming'!$A$1:$P$58,5,FALSE)</f>
        <v>C5H8NO4</v>
      </c>
      <c r="W1437" s="1">
        <f>VLOOKUP($E1437,'Product Naming'!$A$1:$P$58,6,FALSE)</f>
        <v>5</v>
      </c>
      <c r="X1437" s="1">
        <f>VLOOKUP($E1437,'Product Naming'!$A$1:$P$58,7,FALSE)</f>
        <v>8</v>
      </c>
      <c r="Y1437" s="1">
        <f>VLOOKUP($E1437,'Product Naming'!$A$1:$P$58,8,FALSE)</f>
        <v>4</v>
      </c>
      <c r="Z1437" s="1">
        <f>VLOOKUP($E1437,'Product Naming'!$A$1:$P$58,9,FALSE)</f>
        <v>1</v>
      </c>
      <c r="AA1437" s="1">
        <f>VLOOKUP($E1437,'Product Naming'!$A$1:$P$58,10,FALSE)</f>
        <v>-1</v>
      </c>
      <c r="AB1437" s="29">
        <f>VLOOKUP($E1437,'Product Naming'!$A$1:$P$58,11,FALSE)</f>
        <v>3.4</v>
      </c>
      <c r="AC1437" s="3">
        <f>VLOOKUP($E1437,'Product Naming'!$A$1:$P$58,12,FALSE)</f>
        <v>146.11892</v>
      </c>
      <c r="AD1437" s="1">
        <f>VLOOKUP($E1437,'Product Naming'!$A$1:$P$58,13,FALSE)</f>
        <v>333.8</v>
      </c>
      <c r="AE1437" s="1" t="str">
        <f>VLOOKUP($E1437,'Product Naming'!$A$1:$P$58,14,FALSE)</f>
        <v>Amino acid</v>
      </c>
      <c r="AF1437" s="1" t="str">
        <f>VLOOKUP($E1437,'Product Naming'!$A$1:$P$58,15,FALSE)</f>
        <v>aKG</v>
      </c>
      <c r="AG1437" s="30" t="str">
        <f>VLOOKUP($E1437,'Product Naming'!$A$1:$P$58,16,FALSE)</f>
        <v>Proton symporter</v>
      </c>
      <c r="AH1437" s="3" t="str">
        <f>VLOOKUP($E1437,'Product Naming'!$A$1:$Q$58,17,FALSE)</f>
        <v>glu__L_c</v>
      </c>
      <c r="AI1437" s="1">
        <f>VLOOKUP($E1437,'Product Parameters'!$A$2:$D$59,2,FALSE)</f>
        <v>1</v>
      </c>
      <c r="AJ1437" s="1">
        <f>VLOOKUP($E1437,'Product Parameters'!$A$2:$D$59,3,FALSE)</f>
        <v>0</v>
      </c>
      <c r="AK1437" s="1">
        <f>VLOOKUP($E1437,'Product Parameters'!$A$2:$D$59,4,FALSE)</f>
        <v>0.12</v>
      </c>
      <c r="AL1437" s="1">
        <f>VLOOKUP($E1437,'Product Parameters'!$A$2:$E$59,5,FALSE)</f>
        <v>40.65</v>
      </c>
      <c r="AM1437" s="1">
        <f>VLOOKUP($E1437,'Product Parameters'!$A$2:$F$59,6,FALSE)</f>
        <v>5</v>
      </c>
      <c r="AN1437" s="1">
        <f>VLOOKUP($C1437,'Substrate Heating'!$A$2:$C$33,3,FALSE)</f>
        <v>638.57832580000002</v>
      </c>
      <c r="AO1437" s="1">
        <f>VLOOKUP($C1437,'Substrate Heating'!$A$2:$B$33,2,FALSE)</f>
        <v>19.93</v>
      </c>
      <c r="AP1437" s="1">
        <f>VLOOKUP($C1437,'Substrate Heating'!$A$2:$M$33,13,FALSE)</f>
        <v>6</v>
      </c>
      <c r="AQ1437" s="1">
        <f>VLOOKUP($C1437,'Substrate Heating'!$A$2:$M$33,8,FALSE)</f>
        <v>1</v>
      </c>
      <c r="AR1437" s="1">
        <f t="shared" si="22"/>
        <v>1</v>
      </c>
    </row>
    <row r="1438" spans="1:44" x14ac:dyDescent="0.2">
      <c r="A1438" s="8" t="s">
        <v>34</v>
      </c>
      <c r="B1438" s="9" t="s">
        <v>35</v>
      </c>
      <c r="C1438" s="1" t="s">
        <v>346</v>
      </c>
      <c r="D1438" s="23" t="s">
        <v>338</v>
      </c>
      <c r="E1438" s="1" t="s">
        <v>254</v>
      </c>
      <c r="F1438" s="1" t="s">
        <v>255</v>
      </c>
      <c r="G1438" s="1">
        <v>-10</v>
      </c>
      <c r="H1438" s="1">
        <v>-20</v>
      </c>
      <c r="I1438" s="1" t="s">
        <v>40</v>
      </c>
      <c r="J1438" s="1">
        <v>3.15</v>
      </c>
      <c r="K1438" s="1">
        <v>-10</v>
      </c>
      <c r="L1438" s="1">
        <v>-3.8932835820895502</v>
      </c>
      <c r="M1438" s="1" t="s">
        <v>40</v>
      </c>
      <c r="N1438" s="1">
        <v>-2.3407960199005</v>
      </c>
      <c r="O1438" s="1">
        <v>2.4681592039800999</v>
      </c>
      <c r="Q1438" s="1">
        <v>0.24681592039801001</v>
      </c>
      <c r="R1438" s="1">
        <v>0.98662139599216303</v>
      </c>
      <c r="S1438" s="1" t="str">
        <f>VLOOKUP($E1438,'Product Naming'!$A$1:$P$58,2,FALSE)</f>
        <v>Itaconate</v>
      </c>
      <c r="T1438" s="1" t="str">
        <f>VLOOKUP($E1438,'Product Naming'!$A$1:$P$58,3,FALSE)</f>
        <v>Itaconate</v>
      </c>
      <c r="U1438" s="1" t="str">
        <f>VLOOKUP($E1438,'Product Naming'!$A$1:$P$58,4,FALSE)</f>
        <v>E</v>
      </c>
      <c r="V1438" s="1" t="str">
        <f>VLOOKUP($E1438,'Product Naming'!$A$1:$P$58,5,FALSE)</f>
        <v>C5H4O4</v>
      </c>
      <c r="W1438" s="1">
        <f>VLOOKUP($E1438,'Product Naming'!$A$1:$P$58,6,FALSE)</f>
        <v>5</v>
      </c>
      <c r="X1438" s="1">
        <f>VLOOKUP($E1438,'Product Naming'!$A$1:$P$58,7,FALSE)</f>
        <v>4</v>
      </c>
      <c r="Y1438" s="1">
        <f>VLOOKUP($E1438,'Product Naming'!$A$1:$P$58,8,FALSE)</f>
        <v>4</v>
      </c>
      <c r="Z1438" s="1">
        <f>VLOOKUP($E1438,'Product Naming'!$A$1:$P$58,9,FALSE)</f>
        <v>0</v>
      </c>
      <c r="AA1438" s="1">
        <f>VLOOKUP($E1438,'Product Naming'!$A$1:$P$58,10,FALSE)</f>
        <v>-2</v>
      </c>
      <c r="AB1438" s="29">
        <f>VLOOKUP($E1438,'Product Naming'!$A$1:$P$58,11,FALSE)</f>
        <v>3.2</v>
      </c>
      <c r="AC1438" s="3">
        <f>VLOOKUP($E1438,'Product Naming'!$A$1:$P$58,12,FALSE)</f>
        <v>128.08086</v>
      </c>
      <c r="AD1438" s="1">
        <f>VLOOKUP($E1438,'Product Naming'!$A$1:$P$58,13,FALSE)</f>
        <v>381</v>
      </c>
      <c r="AE1438" s="1" t="str">
        <f>VLOOKUP($E1438,'Product Naming'!$A$1:$P$58,14,FALSE)</f>
        <v>Dicarboxylate</v>
      </c>
      <c r="AF1438" s="1" t="str">
        <f>VLOOKUP($E1438,'Product Naming'!$A$1:$P$58,15,FALSE)</f>
        <v>Acetyl-CoA + Oxaloacetate</v>
      </c>
      <c r="AG1438" s="30" t="str">
        <f>VLOOKUP($E1438,'Product Naming'!$A$1:$P$58,16,FALSE)</f>
        <v>Proton symporter</v>
      </c>
      <c r="AH1438" s="3" t="str">
        <f>VLOOKUP($E1438,'Product Naming'!$A$1:$Q$58,17,FALSE)</f>
        <v>itacon_c</v>
      </c>
      <c r="AI1438" s="1">
        <f>VLOOKUP($E1438,'Product Parameters'!$A$2:$D$59,2,FALSE)</f>
        <v>1</v>
      </c>
      <c r="AJ1438" s="1">
        <f>VLOOKUP($E1438,'Product Parameters'!$A$2:$D$59,3,FALSE)</f>
        <v>0</v>
      </c>
      <c r="AK1438" s="1">
        <f>VLOOKUP($E1438,'Product Parameters'!$A$2:$D$59,4,FALSE)</f>
        <v>0.12</v>
      </c>
      <c r="AL1438" s="1">
        <f>VLOOKUP($E1438,'Product Parameters'!$A$2:$E$59,5,FALSE)</f>
        <v>40.65</v>
      </c>
      <c r="AM1438" s="1">
        <f>VLOOKUP($E1438,'Product Parameters'!$A$2:$F$59,6,FALSE)</f>
        <v>5</v>
      </c>
      <c r="AN1438" s="1">
        <f>VLOOKUP($C1438,'Substrate Heating'!$A$2:$C$33,3,FALSE)</f>
        <v>638.57832580000002</v>
      </c>
      <c r="AO1438" s="1">
        <f>VLOOKUP($C1438,'Substrate Heating'!$A$2:$B$33,2,FALSE)</f>
        <v>19.93</v>
      </c>
      <c r="AP1438" s="1">
        <f>VLOOKUP($C1438,'Substrate Heating'!$A$2:$M$33,13,FALSE)</f>
        <v>6</v>
      </c>
      <c r="AQ1438" s="1">
        <f>VLOOKUP($C1438,'Substrate Heating'!$A$2:$M$33,8,FALSE)</f>
        <v>1</v>
      </c>
      <c r="AR1438" s="1">
        <f t="shared" si="22"/>
        <v>1.23407960199005</v>
      </c>
    </row>
    <row r="1439" spans="1:44" x14ac:dyDescent="0.2">
      <c r="A1439" s="8" t="s">
        <v>34</v>
      </c>
      <c r="B1439" s="9" t="s">
        <v>35</v>
      </c>
      <c r="C1439" s="1" t="s">
        <v>347</v>
      </c>
      <c r="D1439" s="23" t="s">
        <v>338</v>
      </c>
      <c r="E1439" s="1" t="s">
        <v>254</v>
      </c>
      <c r="F1439" s="1" t="s">
        <v>255</v>
      </c>
      <c r="G1439" s="1">
        <v>-10</v>
      </c>
      <c r="H1439" s="1">
        <v>-20</v>
      </c>
      <c r="I1439" s="1" t="s">
        <v>40</v>
      </c>
      <c r="J1439" s="1">
        <v>3.15</v>
      </c>
      <c r="K1439" s="1">
        <v>-10</v>
      </c>
      <c r="L1439" s="1">
        <v>-3.8932835820895502</v>
      </c>
      <c r="M1439" s="1" t="s">
        <v>40</v>
      </c>
      <c r="N1439" s="1">
        <v>-2.3407960199005</v>
      </c>
      <c r="O1439" s="1">
        <v>2.4681592039800999</v>
      </c>
      <c r="Q1439" s="1">
        <v>0.24681592039801001</v>
      </c>
      <c r="R1439" s="1">
        <v>0.98662139599216403</v>
      </c>
      <c r="S1439" s="1" t="str">
        <f>VLOOKUP($E1439,'Product Naming'!$A$1:$P$58,2,FALSE)</f>
        <v>Itaconate</v>
      </c>
      <c r="T1439" s="1" t="str">
        <f>VLOOKUP($E1439,'Product Naming'!$A$1:$P$58,3,FALSE)</f>
        <v>Itaconate</v>
      </c>
      <c r="U1439" s="1" t="str">
        <f>VLOOKUP($E1439,'Product Naming'!$A$1:$P$58,4,FALSE)</f>
        <v>E</v>
      </c>
      <c r="V1439" s="1" t="str">
        <f>VLOOKUP($E1439,'Product Naming'!$A$1:$P$58,5,FALSE)</f>
        <v>C5H4O4</v>
      </c>
      <c r="W1439" s="1">
        <f>VLOOKUP($E1439,'Product Naming'!$A$1:$P$58,6,FALSE)</f>
        <v>5</v>
      </c>
      <c r="X1439" s="1">
        <f>VLOOKUP($E1439,'Product Naming'!$A$1:$P$58,7,FALSE)</f>
        <v>4</v>
      </c>
      <c r="Y1439" s="1">
        <f>VLOOKUP($E1439,'Product Naming'!$A$1:$P$58,8,FALSE)</f>
        <v>4</v>
      </c>
      <c r="Z1439" s="1">
        <f>VLOOKUP($E1439,'Product Naming'!$A$1:$P$58,9,FALSE)</f>
        <v>0</v>
      </c>
      <c r="AA1439" s="1">
        <f>VLOOKUP($E1439,'Product Naming'!$A$1:$P$58,10,FALSE)</f>
        <v>-2</v>
      </c>
      <c r="AB1439" s="29">
        <f>VLOOKUP($E1439,'Product Naming'!$A$1:$P$58,11,FALSE)</f>
        <v>3.2</v>
      </c>
      <c r="AC1439" s="3">
        <f>VLOOKUP($E1439,'Product Naming'!$A$1:$P$58,12,FALSE)</f>
        <v>128.08086</v>
      </c>
      <c r="AD1439" s="1">
        <f>VLOOKUP($E1439,'Product Naming'!$A$1:$P$58,13,FALSE)</f>
        <v>381</v>
      </c>
      <c r="AE1439" s="1" t="str">
        <f>VLOOKUP($E1439,'Product Naming'!$A$1:$P$58,14,FALSE)</f>
        <v>Dicarboxylate</v>
      </c>
      <c r="AF1439" s="1" t="str">
        <f>VLOOKUP($E1439,'Product Naming'!$A$1:$P$58,15,FALSE)</f>
        <v>Acetyl-CoA + Oxaloacetate</v>
      </c>
      <c r="AG1439" s="30" t="str">
        <f>VLOOKUP($E1439,'Product Naming'!$A$1:$P$58,16,FALSE)</f>
        <v>Proton symporter</v>
      </c>
      <c r="AH1439" s="3" t="str">
        <f>VLOOKUP($E1439,'Product Naming'!$A$1:$Q$58,17,FALSE)</f>
        <v>itacon_c</v>
      </c>
      <c r="AI1439" s="1">
        <f>VLOOKUP($E1439,'Product Parameters'!$A$2:$D$59,2,FALSE)</f>
        <v>1</v>
      </c>
      <c r="AJ1439" s="1">
        <f>VLOOKUP($E1439,'Product Parameters'!$A$2:$D$59,3,FALSE)</f>
        <v>0</v>
      </c>
      <c r="AK1439" s="1">
        <f>VLOOKUP($E1439,'Product Parameters'!$A$2:$D$59,4,FALSE)</f>
        <v>0.12</v>
      </c>
      <c r="AL1439" s="1">
        <f>VLOOKUP($E1439,'Product Parameters'!$A$2:$E$59,5,FALSE)</f>
        <v>40.65</v>
      </c>
      <c r="AM1439" s="1">
        <f>VLOOKUP($E1439,'Product Parameters'!$A$2:$F$59,6,FALSE)</f>
        <v>5</v>
      </c>
      <c r="AN1439" s="1">
        <f>VLOOKUP($C1439,'Substrate Heating'!$A$2:$C$33,3,FALSE)</f>
        <v>638.57832580000002</v>
      </c>
      <c r="AO1439" s="1">
        <f>VLOOKUP($C1439,'Substrate Heating'!$A$2:$B$33,2,FALSE)</f>
        <v>19.93</v>
      </c>
      <c r="AP1439" s="1">
        <f>VLOOKUP($C1439,'Substrate Heating'!$A$2:$M$33,13,FALSE)</f>
        <v>6</v>
      </c>
      <c r="AQ1439" s="1">
        <f>VLOOKUP($C1439,'Substrate Heating'!$A$2:$M$33,8,FALSE)</f>
        <v>1</v>
      </c>
      <c r="AR1439" s="1">
        <f t="shared" si="22"/>
        <v>1.23407960199005</v>
      </c>
    </row>
    <row r="1440" spans="1:44" x14ac:dyDescent="0.2">
      <c r="A1440" s="17" t="s">
        <v>185</v>
      </c>
      <c r="B1440" s="9" t="s">
        <v>35</v>
      </c>
      <c r="C1440" t="s">
        <v>345</v>
      </c>
      <c r="D1440" s="10" t="s">
        <v>37</v>
      </c>
      <c r="E1440" t="s">
        <v>318</v>
      </c>
      <c r="F1440" t="s">
        <v>319</v>
      </c>
      <c r="G1440">
        <v>-10</v>
      </c>
      <c r="H1440">
        <v>-20</v>
      </c>
      <c r="I1440" s="1" t="s">
        <v>40</v>
      </c>
      <c r="J1440">
        <v>3.15</v>
      </c>
      <c r="K1440">
        <v>-10</v>
      </c>
      <c r="L1440">
        <v>-2.1075757575757601</v>
      </c>
      <c r="M1440" s="1" t="s">
        <v>40</v>
      </c>
      <c r="N1440">
        <v>-0.44848484848484799</v>
      </c>
      <c r="O1440">
        <v>5.1121212121212096</v>
      </c>
      <c r="P1440"/>
      <c r="Q1440">
        <v>0.51121212121212101</v>
      </c>
      <c r="R1440">
        <v>0.98808487149520896</v>
      </c>
      <c r="S1440" s="1" t="str">
        <f>VLOOKUP($E1440,'Product Naming'!$A$1:$P$58,2,FALSE)</f>
        <v>Succinate</v>
      </c>
      <c r="T1440" s="1" t="str">
        <f>VLOOKUP($E1440,'Product Naming'!$A$1:$P$58,3,FALSE)</f>
        <v>Succinate</v>
      </c>
      <c r="U1440" s="1" t="str">
        <f>VLOOKUP($E1440,'Product Naming'!$A$1:$P$58,4,FALSE)</f>
        <v>iJO1366</v>
      </c>
      <c r="V1440" s="1" t="str">
        <f>VLOOKUP($E1440,'Product Naming'!$A$1:$P$58,5,FALSE)</f>
        <v>C4H4O4</v>
      </c>
      <c r="W1440" s="1">
        <f>VLOOKUP($E1440,'Product Naming'!$A$1:$P$58,6,FALSE)</f>
        <v>4</v>
      </c>
      <c r="X1440" s="1">
        <f>VLOOKUP($E1440,'Product Naming'!$A$1:$P$58,7,FALSE)</f>
        <v>4</v>
      </c>
      <c r="Y1440" s="1">
        <f>VLOOKUP($E1440,'Product Naming'!$A$1:$P$58,8,FALSE)</f>
        <v>4</v>
      </c>
      <c r="Z1440" s="1">
        <f>VLOOKUP($E1440,'Product Naming'!$A$1:$P$58,9,FALSE)</f>
        <v>0</v>
      </c>
      <c r="AA1440" s="1">
        <f>VLOOKUP($E1440,'Product Naming'!$A$1:$P$58,10,FALSE)</f>
        <v>-2</v>
      </c>
      <c r="AB1440" s="29">
        <f>VLOOKUP($E1440,'Product Naming'!$A$1:$P$58,11,FALSE)</f>
        <v>3</v>
      </c>
      <c r="AC1440" s="3">
        <f>VLOOKUP($E1440,'Product Naming'!$A$1:$P$58,12,FALSE)</f>
        <v>116.07016</v>
      </c>
      <c r="AD1440" s="1">
        <f>VLOOKUP($E1440,'Product Naming'!$A$1:$P$58,13,FALSE)</f>
        <v>235</v>
      </c>
      <c r="AE1440" s="1" t="str">
        <f>VLOOKUP($E1440,'Product Naming'!$A$1:$P$58,14,FALSE)</f>
        <v>Dicarboxylate</v>
      </c>
      <c r="AF1440" s="1" t="str">
        <f>VLOOKUP($E1440,'Product Naming'!$A$1:$P$58,15,FALSE)</f>
        <v>Oxaloacetate</v>
      </c>
      <c r="AG1440" s="30" t="str">
        <f>VLOOKUP($E1440,'Product Naming'!$A$1:$P$58,16,FALSE)</f>
        <v>Proton symporter</v>
      </c>
      <c r="AH1440" s="3" t="str">
        <f>VLOOKUP($E1440,'Product Naming'!$A$1:$Q$58,17,FALSE)</f>
        <v>succ_c</v>
      </c>
      <c r="AI1440" s="1">
        <f>VLOOKUP($E1440,'Product Parameters'!$A$2:$D$59,2,FALSE)</f>
        <v>1</v>
      </c>
      <c r="AJ1440" s="1">
        <f>VLOOKUP($E1440,'Product Parameters'!$A$2:$D$59,3,FALSE)</f>
        <v>0</v>
      </c>
      <c r="AK1440" s="1">
        <f>VLOOKUP($E1440,'Product Parameters'!$A$2:$D$59,4,FALSE)</f>
        <v>0.12</v>
      </c>
      <c r="AL1440" s="1">
        <f>VLOOKUP($E1440,'Product Parameters'!$A$2:$E$59,5,FALSE)</f>
        <v>40.65</v>
      </c>
      <c r="AM1440" s="1">
        <f>VLOOKUP($E1440,'Product Parameters'!$A$2:$F$59,6,FALSE)</f>
        <v>4</v>
      </c>
      <c r="AN1440" s="1">
        <f>VLOOKUP($C1440,'Substrate Heating'!$A$2:$C$33,3,FALSE)</f>
        <v>1020.8629199999999</v>
      </c>
      <c r="AO1440" s="1">
        <f>VLOOKUP($C1440,'Substrate Heating'!$A$2:$B$33,2,FALSE)</f>
        <v>17</v>
      </c>
      <c r="AP1440" s="1">
        <f>VLOOKUP($C1440,'Substrate Heating'!$A$2:$M$33,13,FALSE)</f>
        <v>4</v>
      </c>
      <c r="AQ1440" s="1">
        <f>VLOOKUP($C1440,'Substrate Heating'!$A$2:$M$33,8,FALSE)</f>
        <v>2</v>
      </c>
      <c r="AR1440" s="1">
        <f t="shared" si="22"/>
        <v>1.022424242424242</v>
      </c>
    </row>
    <row r="1441" spans="1:44" x14ac:dyDescent="0.2">
      <c r="A1441" s="8" t="s">
        <v>34</v>
      </c>
      <c r="B1441" s="9" t="s">
        <v>35</v>
      </c>
      <c r="C1441" s="1" t="s">
        <v>332</v>
      </c>
      <c r="D1441" s="10" t="s">
        <v>37</v>
      </c>
      <c r="E1441" s="1" t="s">
        <v>85</v>
      </c>
      <c r="F1441" s="1" t="s">
        <v>86</v>
      </c>
      <c r="G1441" s="1">
        <v>-10</v>
      </c>
      <c r="H1441" s="1">
        <v>-20</v>
      </c>
      <c r="I1441" s="1" t="s">
        <v>40</v>
      </c>
      <c r="J1441" s="1">
        <v>3.15</v>
      </c>
      <c r="K1441" s="1">
        <v>-10</v>
      </c>
      <c r="L1441" s="1">
        <v>-2.2092857142857101</v>
      </c>
      <c r="M1441" s="1" t="s">
        <v>40</v>
      </c>
      <c r="N1441" s="1">
        <v>-0.211428571428526</v>
      </c>
      <c r="O1441" s="1">
        <v>5.0528571428571603</v>
      </c>
      <c r="Q1441" s="1">
        <v>0.505285714285716</v>
      </c>
      <c r="R1441" s="1">
        <v>0.98846266132559801</v>
      </c>
      <c r="S1441" s="1" t="str">
        <f>VLOOKUP($E1441,'Product Naming'!$A$1:$P$58,2,FALSE)</f>
        <v>2-3-butanediol</v>
      </c>
      <c r="T1441" s="1" t="str">
        <f>VLOOKUP($E1441,'Product Naming'!$A$1:$P$58,3,FALSE)</f>
        <v>2,3-Butanediol</v>
      </c>
      <c r="U1441" s="1" t="str">
        <f>VLOOKUP($E1441,'Product Naming'!$A$1:$P$58,4,FALSE)</f>
        <v>E</v>
      </c>
      <c r="V1441" s="1" t="str">
        <f>VLOOKUP($E1441,'Product Naming'!$A$1:$P$58,5,FALSE)</f>
        <v>C4H10O2</v>
      </c>
      <c r="W1441" s="1">
        <f>VLOOKUP($E1441,'Product Naming'!$A$1:$P$58,6,FALSE)</f>
        <v>4</v>
      </c>
      <c r="X1441" s="1">
        <f>VLOOKUP($E1441,'Product Naming'!$A$1:$P$58,7,FALSE)</f>
        <v>10</v>
      </c>
      <c r="Y1441" s="1">
        <f>VLOOKUP($E1441,'Product Naming'!$A$1:$P$58,8,FALSE)</f>
        <v>2</v>
      </c>
      <c r="Z1441" s="1">
        <f>VLOOKUP($E1441,'Product Naming'!$A$1:$P$58,9,FALSE)</f>
        <v>0</v>
      </c>
      <c r="AA1441" s="1">
        <f>VLOOKUP($E1441,'Product Naming'!$A$1:$P$58,10,FALSE)</f>
        <v>0</v>
      </c>
      <c r="AB1441" s="29">
        <f>VLOOKUP($E1441,'Product Naming'!$A$1:$P$58,11,FALSE)</f>
        <v>5.5</v>
      </c>
      <c r="AC1441" s="3">
        <f>VLOOKUP($E1441,'Product Naming'!$A$1:$P$58,12,FALSE)</f>
        <v>90.119200000000006</v>
      </c>
      <c r="AD1441" s="1">
        <f>VLOOKUP($E1441,'Product Naming'!$A$1:$P$58,13,FALSE)</f>
        <v>177</v>
      </c>
      <c r="AE1441" s="1" t="str">
        <f>VLOOKUP($E1441,'Product Naming'!$A$1:$P$58,14,FALSE)</f>
        <v>Diol</v>
      </c>
      <c r="AF1441" s="1" t="str">
        <f>VLOOKUP($E1441,'Product Naming'!$A$1:$P$58,15,FALSE)</f>
        <v>Pyruvate</v>
      </c>
      <c r="AG1441" s="30" t="str">
        <f>VLOOKUP($E1441,'Product Naming'!$A$1:$P$58,16,FALSE)</f>
        <v>Proton symporter</v>
      </c>
      <c r="AH1441" s="3" t="str">
        <f>VLOOKUP($E1441,'Product Naming'!$A$1:$Q$58,17,FALSE)</f>
        <v>btd_RR_c</v>
      </c>
      <c r="AI1441" s="1">
        <f>VLOOKUP($E1441,'Product Parameters'!$A$2:$D$59,2,FALSE)</f>
        <v>1</v>
      </c>
      <c r="AJ1441" s="1">
        <f>VLOOKUP($E1441,'Product Parameters'!$A$2:$D$59,3,FALSE)</f>
        <v>0</v>
      </c>
      <c r="AK1441" s="1">
        <f>VLOOKUP($E1441,'Product Parameters'!$A$2:$D$59,4,FALSE)</f>
        <v>0.12</v>
      </c>
      <c r="AL1441" s="1">
        <f>VLOOKUP($E1441,'Product Parameters'!$A$2:$E$59,5,FALSE)</f>
        <v>63</v>
      </c>
      <c r="AM1441" s="1">
        <f>VLOOKUP($E1441,'Product Parameters'!$A$2:$F$59,6,FALSE)</f>
        <v>4</v>
      </c>
      <c r="AN1441" s="1">
        <f>VLOOKUP($C1441,'Substrate Heating'!$A$2:$C$33,3,FALSE)</f>
        <v>1230.0006480000002</v>
      </c>
      <c r="AO1441" s="1">
        <f>VLOOKUP($C1441,'Substrate Heating'!$A$2:$B$33,2,FALSE)</f>
        <v>26.7</v>
      </c>
      <c r="AP1441" s="1">
        <f>VLOOKUP($C1441,'Substrate Heating'!$A$2:$M$33,13,FALSE)</f>
        <v>6</v>
      </c>
      <c r="AQ1441" s="1">
        <f>VLOOKUP($C1441,'Substrate Heating'!$A$2:$M$33,8,FALSE)</f>
        <v>2</v>
      </c>
      <c r="AR1441" s="1">
        <f t="shared" si="22"/>
        <v>1.010571428571432</v>
      </c>
    </row>
    <row r="1442" spans="1:44" x14ac:dyDescent="0.2">
      <c r="A1442" s="8" t="s">
        <v>34</v>
      </c>
      <c r="B1442" s="9" t="s">
        <v>35</v>
      </c>
      <c r="C1442" s="1" t="s">
        <v>36</v>
      </c>
      <c r="D1442" s="10" t="s">
        <v>37</v>
      </c>
      <c r="E1442" s="1" t="s">
        <v>171</v>
      </c>
      <c r="F1442" s="1" t="s">
        <v>172</v>
      </c>
      <c r="G1442" s="1">
        <v>-10</v>
      </c>
      <c r="H1442" s="1">
        <v>-20</v>
      </c>
      <c r="I1442" s="1" t="s">
        <v>40</v>
      </c>
      <c r="J1442" s="1">
        <v>3.15</v>
      </c>
      <c r="K1442" s="1">
        <v>-10</v>
      </c>
      <c r="L1442" s="1">
        <v>-3.0972904131273903E-32</v>
      </c>
      <c r="M1442" s="1" t="s">
        <v>40</v>
      </c>
      <c r="N1442" s="1">
        <v>5.11168517932136E-17</v>
      </c>
      <c r="O1442" s="1">
        <v>5</v>
      </c>
      <c r="Q1442" s="1">
        <v>0.5</v>
      </c>
      <c r="R1442" s="1">
        <v>0.98856072946915197</v>
      </c>
      <c r="S1442" s="1" t="str">
        <f>VLOOKUP($E1442,'Product Naming'!$A$1:$P$58,2,FALSE)</f>
        <v>Butyrate</v>
      </c>
      <c r="T1442" s="1" t="str">
        <f>VLOOKUP($E1442,'Product Naming'!$A$1:$P$58,3,FALSE)</f>
        <v>Butyrate</v>
      </c>
      <c r="U1442" s="1" t="str">
        <f>VLOOKUP($E1442,'Product Naming'!$A$1:$P$58,4,FALSE)</f>
        <v>A</v>
      </c>
      <c r="V1442" s="1" t="str">
        <f>VLOOKUP($E1442,'Product Naming'!$A$1:$P$58,5,FALSE)</f>
        <v>C4H7O2</v>
      </c>
      <c r="W1442" s="1">
        <f>VLOOKUP($E1442,'Product Naming'!$A$1:$P$58,6,FALSE)</f>
        <v>4</v>
      </c>
      <c r="X1442" s="1">
        <f>VLOOKUP($E1442,'Product Naming'!$A$1:$P$58,7,FALSE)</f>
        <v>7</v>
      </c>
      <c r="Y1442" s="1">
        <f>VLOOKUP($E1442,'Product Naming'!$A$1:$P$58,8,FALSE)</f>
        <v>2</v>
      </c>
      <c r="Z1442" s="1">
        <f>VLOOKUP($E1442,'Product Naming'!$A$1:$P$58,9,FALSE)</f>
        <v>0</v>
      </c>
      <c r="AA1442" s="1">
        <f>VLOOKUP($E1442,'Product Naming'!$A$1:$P$58,10,FALSE)</f>
        <v>-1</v>
      </c>
      <c r="AB1442" s="29">
        <f>VLOOKUP($E1442,'Product Naming'!$A$1:$P$58,11,FALSE)</f>
        <v>4.75</v>
      </c>
      <c r="AC1442" s="3">
        <f>VLOOKUP($E1442,'Product Naming'!$A$1:$P$58,12,FALSE)</f>
        <v>87.095680000000002</v>
      </c>
      <c r="AD1442" s="1">
        <f>VLOOKUP($E1442,'Product Naming'!$A$1:$P$58,13,FALSE)</f>
        <v>163.5</v>
      </c>
      <c r="AE1442" s="1" t="str">
        <f>VLOOKUP($E1442,'Product Naming'!$A$1:$P$58,14,FALSE)</f>
        <v>Carboxylate</v>
      </c>
      <c r="AF1442" s="1" t="str">
        <f>VLOOKUP($E1442,'Product Naming'!$A$1:$P$58,15,FALSE)</f>
        <v>Acetyl-CoA</v>
      </c>
      <c r="AG1442" s="30" t="str">
        <f>VLOOKUP($E1442,'Product Naming'!$A$1:$P$58,16,FALSE)</f>
        <v>Proton symporter</v>
      </c>
      <c r="AH1442" s="3" t="str">
        <f>VLOOKUP($E1442,'Product Naming'!$A$1:$Q$58,17,FALSE)</f>
        <v>but_c</v>
      </c>
      <c r="AI1442" s="1">
        <f>VLOOKUP($E1442,'Product Parameters'!$A$2:$D$59,2,FALSE)</f>
        <v>1</v>
      </c>
      <c r="AJ1442" s="1">
        <f>VLOOKUP($E1442,'Product Parameters'!$A$2:$D$59,3,FALSE)</f>
        <v>0</v>
      </c>
      <c r="AK1442" s="1">
        <f>VLOOKUP($E1442,'Product Parameters'!$A$2:$D$59,4,FALSE)</f>
        <v>0.12</v>
      </c>
      <c r="AL1442" s="1">
        <f>VLOOKUP($E1442,'Product Parameters'!$A$2:$E$59,5,FALSE)</f>
        <v>42</v>
      </c>
      <c r="AM1442" s="1">
        <f>VLOOKUP($E1442,'Product Parameters'!$A$2:$F$59,6,FALSE)</f>
        <v>4</v>
      </c>
      <c r="AN1442" s="1">
        <f>VLOOKUP($C1442,'Substrate Heating'!$A$2:$C$33,3,FALSE)</f>
        <v>1064.1143145599999</v>
      </c>
      <c r="AO1442" s="1">
        <f>VLOOKUP($C1442,'Substrate Heating'!$A$2:$B$33,2,FALSE)</f>
        <v>24.155999999999999</v>
      </c>
      <c r="AP1442" s="1">
        <f>VLOOKUP($C1442,'Substrate Heating'!$A$2:$M$33,13,FALSE)</f>
        <v>5</v>
      </c>
      <c r="AQ1442" s="1">
        <f>VLOOKUP($C1442,'Substrate Heating'!$A$2:$M$33,8,FALSE)</f>
        <v>2</v>
      </c>
      <c r="AR1442" s="1">
        <f t="shared" si="22"/>
        <v>1</v>
      </c>
    </row>
    <row r="1443" spans="1:44" x14ac:dyDescent="0.2">
      <c r="A1443" s="8" t="s">
        <v>816</v>
      </c>
      <c r="B1443" s="18" t="s">
        <v>324</v>
      </c>
      <c r="C1443" t="s">
        <v>815</v>
      </c>
      <c r="D1443" s="19" t="s">
        <v>326</v>
      </c>
      <c r="E1443" t="s">
        <v>318</v>
      </c>
      <c r="F1443" t="s">
        <v>319</v>
      </c>
      <c r="G1443">
        <v>-10</v>
      </c>
      <c r="H1443">
        <v>0</v>
      </c>
      <c r="I1443">
        <v>0</v>
      </c>
      <c r="J1443">
        <v>0.45</v>
      </c>
      <c r="K1443">
        <v>17.64878049</v>
      </c>
      <c r="L1443">
        <v>0</v>
      </c>
      <c r="M1443">
        <v>0</v>
      </c>
      <c r="N1443">
        <v>17.64878049</v>
      </c>
      <c r="O1443">
        <v>4.7024390240000002</v>
      </c>
      <c r="P1443"/>
      <c r="Q1443">
        <v>0.26644554999999998</v>
      </c>
      <c r="R1443">
        <v>0.990912452</v>
      </c>
      <c r="S1443" s="1" t="str">
        <f>VLOOKUP($E1443,'Product Naming'!$A$1:$P$58,2,FALSE)</f>
        <v>Succinate</v>
      </c>
      <c r="T1443" s="1" t="str">
        <f>VLOOKUP($E1443,'Product Naming'!$A$1:$P$58,3,FALSE)</f>
        <v>Succinate</v>
      </c>
      <c r="U1443" s="1" t="str">
        <f>VLOOKUP($E1443,'Product Naming'!$A$1:$P$58,4,FALSE)</f>
        <v>iJO1366</v>
      </c>
      <c r="V1443" s="1" t="str">
        <f>VLOOKUP($E1443,'Product Naming'!$A$1:$P$58,5,FALSE)</f>
        <v>C4H4O4</v>
      </c>
      <c r="W1443" s="1">
        <f>VLOOKUP($E1443,'Product Naming'!$A$1:$P$58,6,FALSE)</f>
        <v>4</v>
      </c>
      <c r="X1443" s="1">
        <f>VLOOKUP($E1443,'Product Naming'!$A$1:$P$58,7,FALSE)</f>
        <v>4</v>
      </c>
      <c r="Y1443" s="1">
        <f>VLOOKUP($E1443,'Product Naming'!$A$1:$P$58,8,FALSE)</f>
        <v>4</v>
      </c>
      <c r="Z1443" s="1">
        <f>VLOOKUP($E1443,'Product Naming'!$A$1:$P$58,9,FALSE)</f>
        <v>0</v>
      </c>
      <c r="AA1443" s="1">
        <f>VLOOKUP($E1443,'Product Naming'!$A$1:$P$58,10,FALSE)</f>
        <v>-2</v>
      </c>
      <c r="AB1443" s="29">
        <f>VLOOKUP($E1443,'Product Naming'!$A$1:$P$58,11,FALSE)</f>
        <v>3</v>
      </c>
      <c r="AC1443" s="3">
        <f>VLOOKUP($E1443,'Product Naming'!$A$1:$P$58,12,FALSE)</f>
        <v>116.07016</v>
      </c>
      <c r="AD1443" s="1">
        <f>VLOOKUP($E1443,'Product Naming'!$A$1:$P$58,13,FALSE)</f>
        <v>235</v>
      </c>
      <c r="AE1443" s="1" t="str">
        <f>VLOOKUP($E1443,'Product Naming'!$A$1:$P$58,14,FALSE)</f>
        <v>Dicarboxylate</v>
      </c>
      <c r="AF1443" s="1" t="str">
        <f>VLOOKUP($E1443,'Product Naming'!$A$1:$P$58,15,FALSE)</f>
        <v>Oxaloacetate</v>
      </c>
      <c r="AG1443" s="30" t="str">
        <f>VLOOKUP($E1443,'Product Naming'!$A$1:$P$58,16,FALSE)</f>
        <v>Proton symporter</v>
      </c>
      <c r="AH1443" s="3" t="str">
        <f>VLOOKUP($E1443,'Product Naming'!$A$1:$Q$58,17,FALSE)</f>
        <v>succ_c</v>
      </c>
      <c r="AI1443" s="1">
        <f>VLOOKUP($E1443,'Product Parameters'!$A$2:$D$59,2,FALSE)</f>
        <v>1</v>
      </c>
      <c r="AJ1443" s="1">
        <f>VLOOKUP($E1443,'Product Parameters'!$A$2:$D$59,3,FALSE)</f>
        <v>0</v>
      </c>
      <c r="AK1443" s="1">
        <f>VLOOKUP($E1443,'Product Parameters'!$A$2:$D$59,4,FALSE)</f>
        <v>0.12</v>
      </c>
      <c r="AL1443" s="1">
        <f>VLOOKUP($E1443,'Product Parameters'!$A$2:$E$59,5,FALSE)</f>
        <v>40.65</v>
      </c>
      <c r="AM1443" s="1">
        <f>VLOOKUP($E1443,'Product Parameters'!$A$2:$F$59,6,FALSE)</f>
        <v>4</v>
      </c>
      <c r="AN1443" s="1">
        <f>VLOOKUP($C1443,'Substrate Heating'!$A$2:$C$33,3,FALSE)</f>
        <v>226.4</v>
      </c>
      <c r="AO1443" s="1">
        <f>VLOOKUP($C1443,'Substrate Heating'!$A$2:$B$33,2,FALSE)</f>
        <v>7.2542014450728134</v>
      </c>
      <c r="AP1443" s="1">
        <f>VLOOKUP($C1443,'Substrate Heating'!$A$2:$M$33,13,FALSE)</f>
        <v>1.6</v>
      </c>
      <c r="AQ1443" s="1">
        <f>VLOOKUP($C1443,'Substrate Heating'!$A$2:$M$33,8,FALSE)</f>
        <v>1</v>
      </c>
      <c r="AR1443" s="1">
        <f t="shared" si="22"/>
        <v>1.0657821999999999</v>
      </c>
    </row>
    <row r="1444" spans="1:44" x14ac:dyDescent="0.2">
      <c r="A1444" s="8" t="s">
        <v>812</v>
      </c>
      <c r="B1444" s="9" t="s">
        <v>35</v>
      </c>
      <c r="C1444" t="s">
        <v>813</v>
      </c>
      <c r="E1444" t="s">
        <v>198</v>
      </c>
      <c r="F1444" t="s">
        <v>199</v>
      </c>
      <c r="G1444">
        <v>-10</v>
      </c>
      <c r="H1444">
        <v>-20</v>
      </c>
      <c r="I1444">
        <v>0</v>
      </c>
      <c r="J1444">
        <v>3.15</v>
      </c>
      <c r="K1444">
        <v>-10</v>
      </c>
      <c r="L1444">
        <v>-11.103999999999999</v>
      </c>
      <c r="M1444">
        <v>0</v>
      </c>
      <c r="N1444">
        <v>2.8831999999999902</v>
      </c>
      <c r="O1444">
        <v>6.7791999999999897</v>
      </c>
      <c r="P1444"/>
      <c r="Q1444">
        <v>0.67791999999999997</v>
      </c>
      <c r="R1444">
        <v>0.99387535574222197</v>
      </c>
      <c r="S1444" s="1" t="str">
        <f>VLOOKUP($E1444,'Product Naming'!$A$1:$P$58,2,FALSE)</f>
        <v>EthylAcetate</v>
      </c>
      <c r="T1444" s="1" t="str">
        <f>VLOOKUP($E1444,'Product Naming'!$A$1:$P$58,3,FALSE)</f>
        <v>Ethyl acetate</v>
      </c>
      <c r="U1444" s="1" t="str">
        <f>VLOOKUP($E1444,'Product Naming'!$A$1:$P$58,4,FALSE)</f>
        <v>E</v>
      </c>
      <c r="V1444" s="1" t="str">
        <f>VLOOKUP($E1444,'Product Naming'!$A$1:$P$58,5,FALSE)</f>
        <v>C4H8O2</v>
      </c>
      <c r="W1444" s="1">
        <f>VLOOKUP($E1444,'Product Naming'!$A$1:$P$58,6,FALSE)</f>
        <v>4</v>
      </c>
      <c r="X1444" s="1">
        <f>VLOOKUP($E1444,'Product Naming'!$A$1:$P$58,7,FALSE)</f>
        <v>8</v>
      </c>
      <c r="Y1444" s="1">
        <f>VLOOKUP($E1444,'Product Naming'!$A$1:$P$58,8,FALSE)</f>
        <v>2</v>
      </c>
      <c r="Z1444" s="1">
        <f>VLOOKUP($E1444,'Product Naming'!$A$1:$P$58,9,FALSE)</f>
        <v>0</v>
      </c>
      <c r="AA1444" s="1">
        <f>VLOOKUP($E1444,'Product Naming'!$A$1:$P$58,10,FALSE)</f>
        <v>0</v>
      </c>
      <c r="AB1444" s="29">
        <f>VLOOKUP($E1444,'Product Naming'!$A$1:$P$58,11,FALSE)</f>
        <v>5</v>
      </c>
      <c r="AC1444" s="3">
        <f>VLOOKUP($E1444,'Product Naming'!$A$1:$P$58,12,FALSE)</f>
        <v>88.103520000000003</v>
      </c>
      <c r="AD1444" s="1">
        <f>VLOOKUP($E1444,'Product Naming'!$A$1:$P$58,13,FALSE)</f>
        <v>77.099999999999994</v>
      </c>
      <c r="AE1444" s="1" t="str">
        <f>VLOOKUP($E1444,'Product Naming'!$A$1:$P$58,14,FALSE)</f>
        <v>Carboxylate Ester</v>
      </c>
      <c r="AF1444" s="1" t="str">
        <f>VLOOKUP($E1444,'Product Naming'!$A$1:$P$58,15,FALSE)</f>
        <v>Acetyl-CoA</v>
      </c>
      <c r="AG1444" s="30" t="str">
        <f>VLOOKUP($E1444,'Product Naming'!$A$1:$P$58,16,FALSE)</f>
        <v>Proton symporter</v>
      </c>
      <c r="AH1444" s="3" t="str">
        <f>VLOOKUP($E1444,'Product Naming'!$A$1:$Q$58,17,FALSE)</f>
        <v>aces_c</v>
      </c>
      <c r="AI1444" s="1">
        <f>VLOOKUP($E1444,'Product Parameters'!$A$2:$D$59,2,FALSE)</f>
        <v>1</v>
      </c>
      <c r="AJ1444" s="1">
        <f>VLOOKUP($E1444,'Product Parameters'!$A$2:$D$59,3,FALSE)</f>
        <v>0</v>
      </c>
      <c r="AK1444" s="1">
        <f>VLOOKUP($E1444,'Product Parameters'!$A$2:$D$59,4,FALSE)</f>
        <v>0.12</v>
      </c>
      <c r="AL1444" s="1">
        <f>VLOOKUP($E1444,'Product Parameters'!$A$2:$E$59,5,FALSE)</f>
        <v>35</v>
      </c>
      <c r="AM1444" s="1">
        <f>VLOOKUP($E1444,'Product Parameters'!$A$2:$F$59,6,FALSE)</f>
        <v>4</v>
      </c>
      <c r="AN1444" s="1">
        <f>VLOOKUP($C1444,'Substrate Heating'!$A$2:$C$33,3,FALSE)</f>
        <v>1843.720736</v>
      </c>
      <c r="AO1444" s="1">
        <f>VLOOKUP($C1444,'Substrate Heating'!$A$2:$B$33,2,FALSE)</f>
        <v>30.68</v>
      </c>
      <c r="AP1444" s="1">
        <f>VLOOKUP($C1444,'Substrate Heating'!$A$2:$M$33,13,FALSE)</f>
        <v>6</v>
      </c>
      <c r="AQ1444" s="1">
        <f>VLOOKUP($C1444,'Substrate Heating'!$A$2:$M$33,8,FALSE)</f>
        <v>3</v>
      </c>
      <c r="AR1444" s="1">
        <f t="shared" si="22"/>
        <v>0.90389333333333333</v>
      </c>
    </row>
    <row r="1445" spans="1:44" x14ac:dyDescent="0.2">
      <c r="A1445" s="8" t="s">
        <v>34</v>
      </c>
      <c r="B1445" s="9" t="s">
        <v>35</v>
      </c>
      <c r="C1445" s="1" t="s">
        <v>332</v>
      </c>
      <c r="D1445" s="10" t="s">
        <v>37</v>
      </c>
      <c r="E1445" s="1" t="s">
        <v>244</v>
      </c>
      <c r="F1445" s="1" t="s">
        <v>245</v>
      </c>
      <c r="G1445" s="1">
        <v>-10</v>
      </c>
      <c r="H1445" s="1">
        <v>-20</v>
      </c>
      <c r="I1445" s="1" t="s">
        <v>40</v>
      </c>
      <c r="J1445" s="1">
        <v>3.15</v>
      </c>
      <c r="K1445" s="1">
        <v>-10</v>
      </c>
      <c r="L1445" s="1">
        <v>-3.6044776119402999</v>
      </c>
      <c r="M1445" s="1" t="s">
        <v>40</v>
      </c>
      <c r="N1445" s="1">
        <v>-1.1164179104477601</v>
      </c>
      <c r="O1445" s="1">
        <v>5.2791044776119396</v>
      </c>
      <c r="Q1445" s="1">
        <v>0.527910447761194</v>
      </c>
      <c r="R1445" s="1">
        <v>0.99807411540267299</v>
      </c>
      <c r="S1445" s="1" t="str">
        <f>VLOOKUP($E1445,'Product Naming'!$A$1:$P$58,2,FALSE)</f>
        <v>Isobutyrate</v>
      </c>
      <c r="T1445" s="1" t="str">
        <f>VLOOKUP($E1445,'Product Naming'!$A$1:$P$58,3,FALSE)</f>
        <v>Isobutyrate</v>
      </c>
      <c r="U1445" s="1" t="str">
        <f>VLOOKUP($E1445,'Product Naming'!$A$1:$P$58,4,FALSE)</f>
        <v>A</v>
      </c>
      <c r="V1445" s="1" t="str">
        <f>VLOOKUP($E1445,'Product Naming'!$A$1:$P$58,5,FALSE)</f>
        <v>C4H7O2</v>
      </c>
      <c r="W1445" s="1">
        <f>VLOOKUP($E1445,'Product Naming'!$A$1:$P$58,6,FALSE)</f>
        <v>4</v>
      </c>
      <c r="X1445" s="1">
        <f>VLOOKUP($E1445,'Product Naming'!$A$1:$P$58,7,FALSE)</f>
        <v>7</v>
      </c>
      <c r="Y1445" s="1">
        <f>VLOOKUP($E1445,'Product Naming'!$A$1:$P$58,8,FALSE)</f>
        <v>2</v>
      </c>
      <c r="Z1445" s="1">
        <f>VLOOKUP($E1445,'Product Naming'!$A$1:$P$58,9,FALSE)</f>
        <v>0</v>
      </c>
      <c r="AA1445" s="1">
        <f>VLOOKUP($E1445,'Product Naming'!$A$1:$P$58,10,FALSE)</f>
        <v>-1</v>
      </c>
      <c r="AB1445" s="29">
        <f>VLOOKUP($E1445,'Product Naming'!$A$1:$P$58,11,FALSE)</f>
        <v>4.75</v>
      </c>
      <c r="AC1445" s="3">
        <f>VLOOKUP($E1445,'Product Naming'!$A$1:$P$58,12,FALSE)</f>
        <v>87.095680000000002</v>
      </c>
      <c r="AD1445" s="1">
        <f>VLOOKUP($E1445,'Product Naming'!$A$1:$P$58,13,FALSE)</f>
        <v>155</v>
      </c>
      <c r="AE1445" s="1" t="str">
        <f>VLOOKUP($E1445,'Product Naming'!$A$1:$P$58,14,FALSE)</f>
        <v>Carboxylate</v>
      </c>
      <c r="AF1445" s="1" t="str">
        <f>VLOOKUP($E1445,'Product Naming'!$A$1:$P$58,15,FALSE)</f>
        <v>Pyruvate</v>
      </c>
      <c r="AG1445" s="30" t="str">
        <f>VLOOKUP($E1445,'Product Naming'!$A$1:$P$58,16,FALSE)</f>
        <v>Proton symporter</v>
      </c>
      <c r="AH1445" s="3" t="str">
        <f>VLOOKUP($E1445,'Product Naming'!$A$1:$Q$58,17,FALSE)</f>
        <v>ibt_c</v>
      </c>
      <c r="AI1445" s="1">
        <f>VLOOKUP($E1445,'Product Parameters'!$A$2:$D$59,2,FALSE)</f>
        <v>1</v>
      </c>
      <c r="AJ1445" s="1">
        <f>VLOOKUP($E1445,'Product Parameters'!$A$2:$D$59,3,FALSE)</f>
        <v>0</v>
      </c>
      <c r="AK1445" s="1">
        <f>VLOOKUP($E1445,'Product Parameters'!$A$2:$D$59,4,FALSE)</f>
        <v>0.12</v>
      </c>
      <c r="AL1445" s="1">
        <f>VLOOKUP($E1445,'Product Parameters'!$A$2:$E$59,5,FALSE)</f>
        <v>44.5</v>
      </c>
      <c r="AM1445" s="1">
        <f>VLOOKUP($E1445,'Product Parameters'!$A$2:$F$59,6,FALSE)</f>
        <v>4</v>
      </c>
      <c r="AN1445" s="1">
        <f>VLOOKUP($C1445,'Substrate Heating'!$A$2:$C$33,3,FALSE)</f>
        <v>1230.0006480000002</v>
      </c>
      <c r="AO1445" s="1">
        <f>VLOOKUP($C1445,'Substrate Heating'!$A$2:$B$33,2,FALSE)</f>
        <v>26.7</v>
      </c>
      <c r="AP1445" s="1">
        <f>VLOOKUP($C1445,'Substrate Heating'!$A$2:$M$33,13,FALSE)</f>
        <v>6</v>
      </c>
      <c r="AQ1445" s="1">
        <f>VLOOKUP($C1445,'Substrate Heating'!$A$2:$M$33,8,FALSE)</f>
        <v>2</v>
      </c>
      <c r="AR1445" s="1">
        <f t="shared" si="22"/>
        <v>1.055820895522388</v>
      </c>
    </row>
    <row r="1446" spans="1:44" x14ac:dyDescent="0.2">
      <c r="A1446" s="8" t="s">
        <v>34</v>
      </c>
      <c r="B1446" s="9" t="s">
        <v>35</v>
      </c>
      <c r="C1446" s="1" t="s">
        <v>332</v>
      </c>
      <c r="D1446" s="10" t="s">
        <v>37</v>
      </c>
      <c r="E1446" s="1" t="s">
        <v>38</v>
      </c>
      <c r="F1446" s="1" t="s">
        <v>39</v>
      </c>
      <c r="G1446" s="1">
        <v>-10</v>
      </c>
      <c r="H1446" s="1">
        <v>-20</v>
      </c>
      <c r="I1446" s="1" t="s">
        <v>40</v>
      </c>
      <c r="J1446" s="1">
        <v>3.15</v>
      </c>
      <c r="K1446" s="1">
        <v>-10</v>
      </c>
      <c r="L1446" s="1">
        <v>-1.80652173913043</v>
      </c>
      <c r="M1446" s="1" t="s">
        <v>40</v>
      </c>
      <c r="N1446" s="1">
        <v>-0.50434782608695705</v>
      </c>
      <c r="O1446" s="1">
        <v>5.12608695652174</v>
      </c>
      <c r="Q1446" s="1">
        <v>0.51260869565217404</v>
      </c>
      <c r="R1446" s="1">
        <v>1.0027882071419101</v>
      </c>
      <c r="S1446" s="1" t="str">
        <f>VLOOKUP($E1446,'Product Naming'!$A$1:$P$58,2,FALSE)</f>
        <v>1-3-butanediol-PW1</v>
      </c>
      <c r="T1446" s="1" t="str">
        <f>VLOOKUP($E1446,'Product Naming'!$A$1:$P$58,3,FALSE)</f>
        <v>1,3-Butanediol (PW1)</v>
      </c>
      <c r="U1446" s="1" t="str">
        <f>VLOOKUP($E1446,'Product Naming'!$A$1:$P$58,4,FALSE)</f>
        <v>E</v>
      </c>
      <c r="V1446" s="1" t="str">
        <f>VLOOKUP($E1446,'Product Naming'!$A$1:$P$58,5,FALSE)</f>
        <v>C4H10O2</v>
      </c>
      <c r="W1446" s="1">
        <f>VLOOKUP($E1446,'Product Naming'!$A$1:$P$58,6,FALSE)</f>
        <v>4</v>
      </c>
      <c r="X1446" s="1">
        <f>VLOOKUP($E1446,'Product Naming'!$A$1:$P$58,7,FALSE)</f>
        <v>10</v>
      </c>
      <c r="Y1446" s="1">
        <f>VLOOKUP($E1446,'Product Naming'!$A$1:$P$58,8,FALSE)</f>
        <v>2</v>
      </c>
      <c r="Z1446" s="1">
        <f>VLOOKUP($E1446,'Product Naming'!$A$1:$P$58,9,FALSE)</f>
        <v>0</v>
      </c>
      <c r="AA1446" s="1">
        <f>VLOOKUP($E1446,'Product Naming'!$A$1:$P$58,10,FALSE)</f>
        <v>0</v>
      </c>
      <c r="AB1446" s="29">
        <f>VLOOKUP($E1446,'Product Naming'!$A$1:$P$58,11,FALSE)</f>
        <v>5.5</v>
      </c>
      <c r="AC1446" s="3">
        <f>VLOOKUP($E1446,'Product Naming'!$A$1:$P$58,12,FALSE)</f>
        <v>90.119200000000006</v>
      </c>
      <c r="AD1446" s="1">
        <f>VLOOKUP($E1446,'Product Naming'!$A$1:$P$58,13,FALSE)</f>
        <v>207</v>
      </c>
      <c r="AE1446" s="1" t="str">
        <f>VLOOKUP($E1446,'Product Naming'!$A$1:$P$58,14,FALSE)</f>
        <v>Diol</v>
      </c>
      <c r="AF1446" s="1" t="str">
        <f>VLOOKUP($E1446,'Product Naming'!$A$1:$P$58,15,FALSE)</f>
        <v>Acetyl-CoA</v>
      </c>
      <c r="AG1446" s="30" t="str">
        <f>VLOOKUP($E1446,'Product Naming'!$A$1:$P$58,16,FALSE)</f>
        <v>Proton symporter</v>
      </c>
      <c r="AH1446" s="3" t="str">
        <f>VLOOKUP($E1446,'Product Naming'!$A$1:$Q$58,17,FALSE)</f>
        <v>13bdo__R_c</v>
      </c>
      <c r="AI1446" s="1">
        <f>VLOOKUP($E1446,'Product Parameters'!$A$2:$D$59,2,FALSE)</f>
        <v>1</v>
      </c>
      <c r="AJ1446" s="1">
        <f>VLOOKUP($E1446,'Product Parameters'!$A$2:$D$59,3,FALSE)</f>
        <v>0</v>
      </c>
      <c r="AK1446" s="1">
        <f>VLOOKUP($E1446,'Product Parameters'!$A$2:$D$59,4,FALSE)</f>
        <v>0.12</v>
      </c>
      <c r="AL1446" s="1">
        <f>VLOOKUP($E1446,'Product Parameters'!$A$2:$E$59,5,FALSE)</f>
        <v>72.599999999999994</v>
      </c>
      <c r="AM1446" s="1">
        <f>VLOOKUP($E1446,'Product Parameters'!$A$2:$F$59,6,FALSE)</f>
        <v>4</v>
      </c>
      <c r="AN1446" s="1">
        <f>VLOOKUP($C1446,'Substrate Heating'!$A$2:$C$33,3,FALSE)</f>
        <v>1230.0006480000002</v>
      </c>
      <c r="AO1446" s="1">
        <f>VLOOKUP($C1446,'Substrate Heating'!$A$2:$B$33,2,FALSE)</f>
        <v>26.7</v>
      </c>
      <c r="AP1446" s="1">
        <f>VLOOKUP($C1446,'Substrate Heating'!$A$2:$M$33,13,FALSE)</f>
        <v>6</v>
      </c>
      <c r="AQ1446" s="1">
        <f>VLOOKUP($C1446,'Substrate Heating'!$A$2:$M$33,8,FALSE)</f>
        <v>2</v>
      </c>
      <c r="AR1446" s="1">
        <f t="shared" si="22"/>
        <v>1.0252173913043481</v>
      </c>
    </row>
    <row r="1447" spans="1:44" x14ac:dyDescent="0.2">
      <c r="A1447" s="8" t="s">
        <v>812</v>
      </c>
      <c r="B1447" s="9" t="s">
        <v>35</v>
      </c>
      <c r="C1447" t="s">
        <v>813</v>
      </c>
      <c r="E1447" t="s">
        <v>52</v>
      </c>
      <c r="F1447" t="s">
        <v>53</v>
      </c>
      <c r="G1447">
        <v>-10</v>
      </c>
      <c r="H1447">
        <v>-20</v>
      </c>
      <c r="I1447">
        <v>0</v>
      </c>
      <c r="J1447">
        <v>3.15</v>
      </c>
      <c r="K1447">
        <v>-10</v>
      </c>
      <c r="L1447">
        <v>-13.3384615384615</v>
      </c>
      <c r="M1447">
        <v>0</v>
      </c>
      <c r="N1447">
        <v>6.2538461538461503</v>
      </c>
      <c r="O1447">
        <v>7.9153846153846104</v>
      </c>
      <c r="P1447"/>
      <c r="Q1447">
        <v>0.79153846153846097</v>
      </c>
      <c r="R1447">
        <v>1.00286555357806</v>
      </c>
      <c r="S1447" s="1" t="str">
        <f>VLOOKUP($E1447,'Product Naming'!$A$1:$P$58,2,FALSE)</f>
        <v>1-3-Diaminopropane</v>
      </c>
      <c r="T1447" s="1" t="str">
        <f>VLOOKUP($E1447,'Product Naming'!$A$1:$P$58,3,FALSE)</f>
        <v>1,3-Diaminopropane</v>
      </c>
      <c r="U1447" s="1" t="str">
        <f>VLOOKUP($E1447,'Product Naming'!$A$1:$P$58,4,FALSE)</f>
        <v>A</v>
      </c>
      <c r="V1447" s="1" t="str">
        <f>VLOOKUP($E1447,'Product Naming'!$A$1:$P$58,5,FALSE)</f>
        <v>C3H12N2</v>
      </c>
      <c r="W1447" s="1">
        <f>VLOOKUP($E1447,'Product Naming'!$A$1:$P$58,6,FALSE)</f>
        <v>3</v>
      </c>
      <c r="X1447" s="1">
        <f>VLOOKUP($E1447,'Product Naming'!$A$1:$P$58,7,FALSE)</f>
        <v>12</v>
      </c>
      <c r="Y1447" s="1">
        <f>VLOOKUP($E1447,'Product Naming'!$A$1:$P$58,8,FALSE)</f>
        <v>0</v>
      </c>
      <c r="Z1447" s="1">
        <f>VLOOKUP($E1447,'Product Naming'!$A$1:$P$58,9,FALSE)</f>
        <v>2</v>
      </c>
      <c r="AA1447" s="1">
        <f>VLOOKUP($E1447,'Product Naming'!$A$1:$P$58,10,FALSE)</f>
        <v>2</v>
      </c>
      <c r="AB1447" s="29">
        <f>VLOOKUP($E1447,'Product Naming'!$A$1:$P$58,11,FALSE)</f>
        <v>6</v>
      </c>
      <c r="AC1447" s="3">
        <f>VLOOKUP($E1447,'Product Naming'!$A$1:$P$58,12,FALSE)</f>
        <v>76.139580000000009</v>
      </c>
      <c r="AD1447" s="1">
        <f>VLOOKUP($E1447,'Product Naming'!$A$1:$P$58,13,FALSE)</f>
        <v>139.30000000000001</v>
      </c>
      <c r="AE1447" s="1" t="str">
        <f>VLOOKUP($E1447,'Product Naming'!$A$1:$P$58,14,FALSE)</f>
        <v>Diamine</v>
      </c>
      <c r="AF1447" s="1" t="str">
        <f>VLOOKUP($E1447,'Product Naming'!$A$1:$P$58,15,FALSE)</f>
        <v>Oxaloacetate + aKG</v>
      </c>
      <c r="AG1447" s="30" t="str">
        <f>VLOOKUP($E1447,'Product Naming'!$A$1:$P$58,16,FALSE)</f>
        <v>Proton symporter</v>
      </c>
      <c r="AH1447" s="3" t="str">
        <f>VLOOKUP($E1447,'Product Naming'!$A$1:$Q$58,17,FALSE)</f>
        <v>13dampp_c</v>
      </c>
      <c r="AI1447" s="1">
        <f>VLOOKUP($E1447,'Product Parameters'!$A$2:$D$59,2,FALSE)</f>
        <v>1</v>
      </c>
      <c r="AJ1447" s="1">
        <f>VLOOKUP($E1447,'Product Parameters'!$A$2:$D$59,3,FALSE)</f>
        <v>0</v>
      </c>
      <c r="AK1447" s="1">
        <f>VLOOKUP($E1447,'Product Parameters'!$A$2:$D$59,4,FALSE)</f>
        <v>0.12</v>
      </c>
      <c r="AL1447" s="1">
        <f>VLOOKUP($E1447,'Product Parameters'!$A$2:$E$59,5,FALSE)</f>
        <v>50.18</v>
      </c>
      <c r="AM1447" s="1">
        <f>VLOOKUP($E1447,'Product Parameters'!$A$2:$F$59,6,FALSE)</f>
        <v>3</v>
      </c>
      <c r="AN1447" s="1">
        <f>VLOOKUP($C1447,'Substrate Heating'!$A$2:$C$33,3,FALSE)</f>
        <v>1843.720736</v>
      </c>
      <c r="AO1447" s="1">
        <f>VLOOKUP($C1447,'Substrate Heating'!$A$2:$B$33,2,FALSE)</f>
        <v>30.68</v>
      </c>
      <c r="AP1447" s="1">
        <f>VLOOKUP($C1447,'Substrate Heating'!$A$2:$M$33,13,FALSE)</f>
        <v>6</v>
      </c>
      <c r="AQ1447" s="1">
        <f>VLOOKUP($C1447,'Substrate Heating'!$A$2:$M$33,8,FALSE)</f>
        <v>3</v>
      </c>
      <c r="AR1447" s="1">
        <f t="shared" si="22"/>
        <v>0.79153846153846097</v>
      </c>
    </row>
    <row r="1448" spans="1:44" x14ac:dyDescent="0.2">
      <c r="A1448" s="8" t="s">
        <v>812</v>
      </c>
      <c r="B1448" s="9" t="s">
        <v>35</v>
      </c>
      <c r="C1448" t="s">
        <v>813</v>
      </c>
      <c r="E1448" t="s">
        <v>171</v>
      </c>
      <c r="F1448" t="s">
        <v>172</v>
      </c>
      <c r="G1448">
        <v>-10</v>
      </c>
      <c r="H1448">
        <v>-20</v>
      </c>
      <c r="I1448">
        <v>0</v>
      </c>
      <c r="J1448">
        <v>3.15</v>
      </c>
      <c r="K1448">
        <v>-10</v>
      </c>
      <c r="L1448">
        <v>-10.270491803278601</v>
      </c>
      <c r="M1448">
        <v>0</v>
      </c>
      <c r="N1448">
        <v>2.2163934426229601</v>
      </c>
      <c r="O1448">
        <v>6.9459016393442603</v>
      </c>
      <c r="P1448"/>
      <c r="Q1448">
        <v>0.69459016393442596</v>
      </c>
      <c r="R1448">
        <v>1.00666613388723</v>
      </c>
      <c r="S1448" s="1" t="str">
        <f>VLOOKUP($E1448,'Product Naming'!$A$1:$P$58,2,FALSE)</f>
        <v>Butyrate</v>
      </c>
      <c r="T1448" s="1" t="str">
        <f>VLOOKUP($E1448,'Product Naming'!$A$1:$P$58,3,FALSE)</f>
        <v>Butyrate</v>
      </c>
      <c r="U1448" s="1" t="str">
        <f>VLOOKUP($E1448,'Product Naming'!$A$1:$P$58,4,FALSE)</f>
        <v>A</v>
      </c>
      <c r="V1448" s="1" t="str">
        <f>VLOOKUP($E1448,'Product Naming'!$A$1:$P$58,5,FALSE)</f>
        <v>C4H7O2</v>
      </c>
      <c r="W1448" s="1">
        <f>VLOOKUP($E1448,'Product Naming'!$A$1:$P$58,6,FALSE)</f>
        <v>4</v>
      </c>
      <c r="X1448" s="1">
        <f>VLOOKUP($E1448,'Product Naming'!$A$1:$P$58,7,FALSE)</f>
        <v>7</v>
      </c>
      <c r="Y1448" s="1">
        <f>VLOOKUP($E1448,'Product Naming'!$A$1:$P$58,8,FALSE)</f>
        <v>2</v>
      </c>
      <c r="Z1448" s="1">
        <f>VLOOKUP($E1448,'Product Naming'!$A$1:$P$58,9,FALSE)</f>
        <v>0</v>
      </c>
      <c r="AA1448" s="1">
        <f>VLOOKUP($E1448,'Product Naming'!$A$1:$P$58,10,FALSE)</f>
        <v>-1</v>
      </c>
      <c r="AB1448" s="29">
        <f>VLOOKUP($E1448,'Product Naming'!$A$1:$P$58,11,FALSE)</f>
        <v>4.75</v>
      </c>
      <c r="AC1448" s="3">
        <f>VLOOKUP($E1448,'Product Naming'!$A$1:$P$58,12,FALSE)</f>
        <v>87.095680000000002</v>
      </c>
      <c r="AD1448" s="1">
        <f>VLOOKUP($E1448,'Product Naming'!$A$1:$P$58,13,FALSE)</f>
        <v>163.5</v>
      </c>
      <c r="AE1448" s="1" t="str">
        <f>VLOOKUP($E1448,'Product Naming'!$A$1:$P$58,14,FALSE)</f>
        <v>Carboxylate</v>
      </c>
      <c r="AF1448" s="1" t="str">
        <f>VLOOKUP($E1448,'Product Naming'!$A$1:$P$58,15,FALSE)</f>
        <v>Acetyl-CoA</v>
      </c>
      <c r="AG1448" s="30" t="str">
        <f>VLOOKUP($E1448,'Product Naming'!$A$1:$P$58,16,FALSE)</f>
        <v>Proton symporter</v>
      </c>
      <c r="AH1448" s="3" t="str">
        <f>VLOOKUP($E1448,'Product Naming'!$A$1:$Q$58,17,FALSE)</f>
        <v>but_c</v>
      </c>
      <c r="AI1448" s="1">
        <f>VLOOKUP($E1448,'Product Parameters'!$A$2:$D$59,2,FALSE)</f>
        <v>1</v>
      </c>
      <c r="AJ1448" s="1">
        <f>VLOOKUP($E1448,'Product Parameters'!$A$2:$D$59,3,FALSE)</f>
        <v>0</v>
      </c>
      <c r="AK1448" s="1">
        <f>VLOOKUP($E1448,'Product Parameters'!$A$2:$D$59,4,FALSE)</f>
        <v>0.12</v>
      </c>
      <c r="AL1448" s="1">
        <f>VLOOKUP($E1448,'Product Parameters'!$A$2:$E$59,5,FALSE)</f>
        <v>42</v>
      </c>
      <c r="AM1448" s="1">
        <f>VLOOKUP($E1448,'Product Parameters'!$A$2:$F$59,6,FALSE)</f>
        <v>4</v>
      </c>
      <c r="AN1448" s="1">
        <f>VLOOKUP($C1448,'Substrate Heating'!$A$2:$C$33,3,FALSE)</f>
        <v>1843.720736</v>
      </c>
      <c r="AO1448" s="1">
        <f>VLOOKUP($C1448,'Substrate Heating'!$A$2:$B$33,2,FALSE)</f>
        <v>30.68</v>
      </c>
      <c r="AP1448" s="1">
        <f>VLOOKUP($C1448,'Substrate Heating'!$A$2:$M$33,13,FALSE)</f>
        <v>6</v>
      </c>
      <c r="AQ1448" s="1">
        <f>VLOOKUP($C1448,'Substrate Heating'!$A$2:$M$33,8,FALSE)</f>
        <v>3</v>
      </c>
      <c r="AR1448" s="1">
        <f t="shared" si="22"/>
        <v>0.92612021857923466</v>
      </c>
    </row>
    <row r="1449" spans="1:44" x14ac:dyDescent="0.2">
      <c r="A1449" s="8" t="s">
        <v>812</v>
      </c>
      <c r="B1449" s="9" t="s">
        <v>35</v>
      </c>
      <c r="C1449" t="s">
        <v>813</v>
      </c>
      <c r="E1449" t="s">
        <v>132</v>
      </c>
      <c r="F1449" t="s">
        <v>133</v>
      </c>
      <c r="G1449">
        <v>-10</v>
      </c>
      <c r="H1449">
        <v>-20</v>
      </c>
      <c r="I1449">
        <v>0</v>
      </c>
      <c r="J1449">
        <v>3.15</v>
      </c>
      <c r="K1449">
        <v>-10</v>
      </c>
      <c r="L1449">
        <v>-17.621410579345</v>
      </c>
      <c r="M1449">
        <v>0</v>
      </c>
      <c r="N1449">
        <v>4.7274559193954602</v>
      </c>
      <c r="O1449">
        <v>4.2120906801007498</v>
      </c>
      <c r="P1449"/>
      <c r="Q1449">
        <v>0.42120906801007502</v>
      </c>
      <c r="R1449">
        <v>1.0101618900027001</v>
      </c>
      <c r="S1449" s="1" t="str">
        <f>VLOOKUP($E1449,'Product Naming'!$A$1:$P$58,2,FALSE)</f>
        <v>Adipate</v>
      </c>
      <c r="T1449" s="1" t="str">
        <f>VLOOKUP($E1449,'Product Naming'!$A$1:$P$58,3,FALSE)</f>
        <v>Adipate</v>
      </c>
      <c r="U1449" s="1" t="str">
        <f>VLOOKUP($E1449,'Product Naming'!$A$1:$P$58,4,FALSE)</f>
        <v>E</v>
      </c>
      <c r="V1449" s="1" t="str">
        <f>VLOOKUP($E1449,'Product Naming'!$A$1:$P$58,5,FALSE)</f>
        <v>C6H8O4</v>
      </c>
      <c r="W1449" s="1">
        <f>VLOOKUP($E1449,'Product Naming'!$A$1:$P$58,6,FALSE)</f>
        <v>6</v>
      </c>
      <c r="X1449" s="1">
        <f>VLOOKUP($E1449,'Product Naming'!$A$1:$P$58,7,FALSE)</f>
        <v>8</v>
      </c>
      <c r="Y1449" s="1">
        <f>VLOOKUP($E1449,'Product Naming'!$A$1:$P$58,8,FALSE)</f>
        <v>4</v>
      </c>
      <c r="Z1449" s="1">
        <f>VLOOKUP($E1449,'Product Naming'!$A$1:$P$58,9,FALSE)</f>
        <v>0</v>
      </c>
      <c r="AA1449" s="1">
        <f>VLOOKUP($E1449,'Product Naming'!$A$1:$P$58,10,FALSE)</f>
        <v>-2</v>
      </c>
      <c r="AB1449" s="29">
        <f>VLOOKUP($E1449,'Product Naming'!$A$1:$P$58,11,FALSE)</f>
        <v>4</v>
      </c>
      <c r="AC1449" s="3">
        <f>VLOOKUP($E1449,'Product Naming'!$A$1:$P$58,12,FALSE)</f>
        <v>144.12291999999999</v>
      </c>
      <c r="AD1449" s="1">
        <f>VLOOKUP($E1449,'Product Naming'!$A$1:$P$58,13,FALSE)</f>
        <v>337.5</v>
      </c>
      <c r="AE1449" s="1" t="str">
        <f>VLOOKUP($E1449,'Product Naming'!$A$1:$P$58,14,FALSE)</f>
        <v>Dicarboxylate</v>
      </c>
      <c r="AF1449" s="1" t="str">
        <f>VLOOKUP($E1449,'Product Naming'!$A$1:$P$58,15,FALSE)</f>
        <v>Glyceraldehyde 3-P</v>
      </c>
      <c r="AG1449" s="30" t="str">
        <f>VLOOKUP($E1449,'Product Naming'!$A$1:$P$58,16,FALSE)</f>
        <v>Proton symporter</v>
      </c>
      <c r="AH1449" s="3" t="str">
        <f>VLOOKUP($E1449,'Product Naming'!$A$1:$Q$58,17,FALSE)</f>
        <v>adpac_c</v>
      </c>
      <c r="AI1449" s="1">
        <f>VLOOKUP($E1449,'Product Parameters'!$A$2:$D$59,2,FALSE)</f>
        <v>1</v>
      </c>
      <c r="AJ1449" s="1">
        <f>VLOOKUP($E1449,'Product Parameters'!$A$2:$D$59,3,FALSE)</f>
        <v>0</v>
      </c>
      <c r="AK1449" s="1">
        <f>VLOOKUP($E1449,'Product Parameters'!$A$2:$D$59,4,FALSE)</f>
        <v>0.12</v>
      </c>
      <c r="AL1449" s="1">
        <f>VLOOKUP($E1449,'Product Parameters'!$A$2:$E$59,5,FALSE)</f>
        <v>40.65</v>
      </c>
      <c r="AM1449" s="1">
        <f>VLOOKUP($E1449,'Product Parameters'!$A$2:$F$59,6,FALSE)</f>
        <v>6</v>
      </c>
      <c r="AN1449" s="1">
        <f>VLOOKUP($C1449,'Substrate Heating'!$A$2:$C$33,3,FALSE)</f>
        <v>1843.720736</v>
      </c>
      <c r="AO1449" s="1">
        <f>VLOOKUP($C1449,'Substrate Heating'!$A$2:$B$33,2,FALSE)</f>
        <v>30.68</v>
      </c>
      <c r="AP1449" s="1">
        <f>VLOOKUP($C1449,'Substrate Heating'!$A$2:$M$33,13,FALSE)</f>
        <v>6</v>
      </c>
      <c r="AQ1449" s="1">
        <f>VLOOKUP($C1449,'Substrate Heating'!$A$2:$M$33,8,FALSE)</f>
        <v>3</v>
      </c>
      <c r="AR1449" s="1">
        <f t="shared" si="22"/>
        <v>0.84241813602015003</v>
      </c>
    </row>
    <row r="1450" spans="1:44" x14ac:dyDescent="0.2">
      <c r="A1450" s="8" t="s">
        <v>34</v>
      </c>
      <c r="B1450" s="9" t="s">
        <v>35</v>
      </c>
      <c r="C1450" s="1" t="s">
        <v>332</v>
      </c>
      <c r="D1450" s="10" t="s">
        <v>37</v>
      </c>
      <c r="E1450" s="1" t="s">
        <v>60</v>
      </c>
      <c r="F1450" s="1" t="s">
        <v>61</v>
      </c>
      <c r="G1450" s="1">
        <v>-10</v>
      </c>
      <c r="H1450" s="1">
        <v>-20</v>
      </c>
      <c r="I1450" s="1" t="s">
        <v>40</v>
      </c>
      <c r="J1450" s="1">
        <v>3.15</v>
      </c>
      <c r="K1450" s="1">
        <v>-10</v>
      </c>
      <c r="L1450" s="1">
        <v>-5.4470588235294199</v>
      </c>
      <c r="M1450" s="1" t="s">
        <v>40</v>
      </c>
      <c r="N1450" s="1">
        <v>1.5852941176470501</v>
      </c>
      <c r="O1450" s="1">
        <v>6.1382352941176404</v>
      </c>
      <c r="Q1450" s="1">
        <v>0.61382352941176399</v>
      </c>
      <c r="R1450" s="1">
        <v>1.0138953528846899</v>
      </c>
      <c r="S1450" s="1" t="str">
        <f>VLOOKUP($E1450,'Product Naming'!$A$1:$P$58,2,FALSE)</f>
        <v>1-3-Propanediol</v>
      </c>
      <c r="T1450" s="1" t="str">
        <f>VLOOKUP($E1450,'Product Naming'!$A$1:$P$58,3,FALSE)</f>
        <v>1,3-Propanediol</v>
      </c>
      <c r="U1450" s="1" t="str">
        <f>VLOOKUP($E1450,'Product Naming'!$A$1:$P$58,4,FALSE)</f>
        <v>A</v>
      </c>
      <c r="V1450" s="1" t="str">
        <f>VLOOKUP($E1450,'Product Naming'!$A$1:$P$58,5,FALSE)</f>
        <v>C3H8O2</v>
      </c>
      <c r="W1450" s="1">
        <f>VLOOKUP($E1450,'Product Naming'!$A$1:$P$58,6,FALSE)</f>
        <v>3</v>
      </c>
      <c r="X1450" s="1">
        <f>VLOOKUP($E1450,'Product Naming'!$A$1:$P$58,7,FALSE)</f>
        <v>8</v>
      </c>
      <c r="Y1450" s="1">
        <f>VLOOKUP($E1450,'Product Naming'!$A$1:$P$58,8,FALSE)</f>
        <v>2</v>
      </c>
      <c r="Z1450" s="1">
        <f>VLOOKUP($E1450,'Product Naming'!$A$1:$P$58,9,FALSE)</f>
        <v>0</v>
      </c>
      <c r="AA1450" s="1">
        <f>VLOOKUP($E1450,'Product Naming'!$A$1:$P$58,10,FALSE)</f>
        <v>0</v>
      </c>
      <c r="AB1450" s="29">
        <f>VLOOKUP($E1450,'Product Naming'!$A$1:$P$58,11,FALSE)</f>
        <v>5.333333333333333</v>
      </c>
      <c r="AC1450" s="3">
        <f>VLOOKUP($E1450,'Product Naming'!$A$1:$P$58,12,FALSE)</f>
        <v>76.092820000000003</v>
      </c>
      <c r="AD1450" s="1">
        <f>VLOOKUP($E1450,'Product Naming'!$A$1:$P$58,13,FALSE)</f>
        <v>213</v>
      </c>
      <c r="AE1450" s="1" t="str">
        <f>VLOOKUP($E1450,'Product Naming'!$A$1:$P$58,14,FALSE)</f>
        <v>Diol</v>
      </c>
      <c r="AF1450" s="1" t="str">
        <f>VLOOKUP($E1450,'Product Naming'!$A$1:$P$58,15,FALSE)</f>
        <v>Glyceraldehyde 3-P</v>
      </c>
      <c r="AG1450" s="30" t="str">
        <f>VLOOKUP($E1450,'Product Naming'!$A$1:$P$58,16,FALSE)</f>
        <v>Proton symporter</v>
      </c>
      <c r="AH1450" s="3" t="str">
        <f>VLOOKUP($E1450,'Product Naming'!$A$1:$Q$58,17,FALSE)</f>
        <v>13ppd_c</v>
      </c>
      <c r="AI1450" s="1">
        <f>VLOOKUP($E1450,'Product Parameters'!$A$2:$D$59,2,FALSE)</f>
        <v>1</v>
      </c>
      <c r="AJ1450" s="1">
        <f>VLOOKUP($E1450,'Product Parameters'!$A$2:$D$59,3,FALSE)</f>
        <v>0</v>
      </c>
      <c r="AK1450" s="1">
        <f>VLOOKUP($E1450,'Product Parameters'!$A$2:$D$59,4,FALSE)</f>
        <v>0.12</v>
      </c>
      <c r="AL1450" s="1">
        <f>VLOOKUP($E1450,'Product Parameters'!$A$2:$E$59,5,FALSE)</f>
        <v>70</v>
      </c>
      <c r="AM1450" s="1">
        <f>VLOOKUP($E1450,'Product Parameters'!$A$2:$F$59,6,FALSE)</f>
        <v>3</v>
      </c>
      <c r="AN1450" s="1">
        <f>VLOOKUP($C1450,'Substrate Heating'!$A$2:$C$33,3,FALSE)</f>
        <v>1230.0006480000002</v>
      </c>
      <c r="AO1450" s="1">
        <f>VLOOKUP($C1450,'Substrate Heating'!$A$2:$B$33,2,FALSE)</f>
        <v>26.7</v>
      </c>
      <c r="AP1450" s="1">
        <f>VLOOKUP($C1450,'Substrate Heating'!$A$2:$M$33,13,FALSE)</f>
        <v>6</v>
      </c>
      <c r="AQ1450" s="1">
        <f>VLOOKUP($C1450,'Substrate Heating'!$A$2:$M$33,8,FALSE)</f>
        <v>2</v>
      </c>
      <c r="AR1450" s="1">
        <f t="shared" si="22"/>
        <v>0.92073529411764599</v>
      </c>
    </row>
    <row r="1451" spans="1:44" x14ac:dyDescent="0.2">
      <c r="A1451" s="8" t="s">
        <v>34</v>
      </c>
      <c r="B1451" s="9" t="s">
        <v>35</v>
      </c>
      <c r="C1451" s="1" t="s">
        <v>332</v>
      </c>
      <c r="D1451" s="10" t="s">
        <v>37</v>
      </c>
      <c r="E1451" s="1" t="s">
        <v>48</v>
      </c>
      <c r="F1451" s="1" t="s">
        <v>39</v>
      </c>
      <c r="G1451" s="1">
        <v>-10</v>
      </c>
      <c r="H1451" s="1">
        <v>-20</v>
      </c>
      <c r="I1451" s="1" t="s">
        <v>40</v>
      </c>
      <c r="J1451" s="1">
        <v>3.15</v>
      </c>
      <c r="K1451" s="1">
        <v>-10</v>
      </c>
      <c r="L1451" s="1">
        <v>-1.3919117647058801</v>
      </c>
      <c r="M1451" s="1" t="s">
        <v>40</v>
      </c>
      <c r="N1451" s="1">
        <v>-0.80588235294117905</v>
      </c>
      <c r="O1451" s="1">
        <v>5.2014705882352903</v>
      </c>
      <c r="Q1451" s="1">
        <v>0.52014705882352896</v>
      </c>
      <c r="R1451" s="1">
        <v>1.01753509254105</v>
      </c>
      <c r="S1451" s="1" t="str">
        <f>VLOOKUP($E1451,'Product Naming'!$A$1:$P$58,2,FALSE)</f>
        <v>1-3-butanediol-PW2</v>
      </c>
      <c r="T1451" s="1" t="str">
        <f>VLOOKUP($E1451,'Product Naming'!$A$1:$P$58,3,FALSE)</f>
        <v>1,3-Butanediol (PW2)</v>
      </c>
      <c r="U1451" s="1" t="str">
        <f>VLOOKUP($E1451,'Product Naming'!$A$1:$P$58,4,FALSE)</f>
        <v>E</v>
      </c>
      <c r="V1451" s="1" t="str">
        <f>VLOOKUP($E1451,'Product Naming'!$A$1:$P$58,5,FALSE)</f>
        <v>C4H10O2</v>
      </c>
      <c r="W1451" s="1">
        <f>VLOOKUP($E1451,'Product Naming'!$A$1:$P$58,6,FALSE)</f>
        <v>4</v>
      </c>
      <c r="X1451" s="1">
        <f>VLOOKUP($E1451,'Product Naming'!$A$1:$P$58,7,FALSE)</f>
        <v>10</v>
      </c>
      <c r="Y1451" s="1">
        <f>VLOOKUP($E1451,'Product Naming'!$A$1:$P$58,8,FALSE)</f>
        <v>2</v>
      </c>
      <c r="Z1451" s="1">
        <f>VLOOKUP($E1451,'Product Naming'!$A$1:$P$58,9,FALSE)</f>
        <v>0</v>
      </c>
      <c r="AA1451" s="1">
        <f>VLOOKUP($E1451,'Product Naming'!$A$1:$P$58,10,FALSE)</f>
        <v>0</v>
      </c>
      <c r="AB1451" s="29">
        <f>VLOOKUP($E1451,'Product Naming'!$A$1:$P$58,11,FALSE)</f>
        <v>5.5</v>
      </c>
      <c r="AC1451" s="3">
        <f>VLOOKUP($E1451,'Product Naming'!$A$1:$P$58,12,FALSE)</f>
        <v>90.119200000000006</v>
      </c>
      <c r="AD1451" s="1">
        <f>VLOOKUP($E1451,'Product Naming'!$A$1:$P$58,13,FALSE)</f>
        <v>207</v>
      </c>
      <c r="AE1451" s="1" t="str">
        <f>VLOOKUP($E1451,'Product Naming'!$A$1:$P$58,14,FALSE)</f>
        <v>Diol</v>
      </c>
      <c r="AF1451" s="1" t="str">
        <f>VLOOKUP($E1451,'Product Naming'!$A$1:$P$58,15,FALSE)</f>
        <v>Pyruvate (acetalehyde)</v>
      </c>
      <c r="AG1451" s="30" t="str">
        <f>VLOOKUP($E1451,'Product Naming'!$A$1:$P$58,16,FALSE)</f>
        <v>Proton symporter</v>
      </c>
      <c r="AH1451" s="3" t="str">
        <f>VLOOKUP($E1451,'Product Naming'!$A$1:$Q$58,17,FALSE)</f>
        <v>13bdo__R_c</v>
      </c>
      <c r="AI1451" s="1">
        <f>VLOOKUP($E1451,'Product Parameters'!$A$2:$D$59,2,FALSE)</f>
        <v>1</v>
      </c>
      <c r="AJ1451" s="1">
        <f>VLOOKUP($E1451,'Product Parameters'!$A$2:$D$59,3,FALSE)</f>
        <v>0</v>
      </c>
      <c r="AK1451" s="1">
        <f>VLOOKUP($E1451,'Product Parameters'!$A$2:$D$59,4,FALSE)</f>
        <v>0.12</v>
      </c>
      <c r="AL1451" s="1">
        <f>VLOOKUP($E1451,'Product Parameters'!$A$2:$E$59,5,FALSE)</f>
        <v>72.599999999999994</v>
      </c>
      <c r="AM1451" s="1">
        <f>VLOOKUP($E1451,'Product Parameters'!$A$2:$F$59,6,FALSE)</f>
        <v>4</v>
      </c>
      <c r="AN1451" s="1">
        <f>VLOOKUP($C1451,'Substrate Heating'!$A$2:$C$33,3,FALSE)</f>
        <v>1230.0006480000002</v>
      </c>
      <c r="AO1451" s="1">
        <f>VLOOKUP($C1451,'Substrate Heating'!$A$2:$B$33,2,FALSE)</f>
        <v>26.7</v>
      </c>
      <c r="AP1451" s="1">
        <f>VLOOKUP($C1451,'Substrate Heating'!$A$2:$M$33,13,FALSE)</f>
        <v>6</v>
      </c>
      <c r="AQ1451" s="1">
        <f>VLOOKUP($C1451,'Substrate Heating'!$A$2:$M$33,8,FALSE)</f>
        <v>2</v>
      </c>
      <c r="AR1451" s="1">
        <f t="shared" si="22"/>
        <v>1.0402941176470579</v>
      </c>
    </row>
    <row r="1452" spans="1:44" x14ac:dyDescent="0.2">
      <c r="A1452" s="17" t="s">
        <v>185</v>
      </c>
      <c r="B1452" s="9" t="s">
        <v>35</v>
      </c>
      <c r="C1452" t="s">
        <v>330</v>
      </c>
      <c r="D1452" s="10" t="s">
        <v>37</v>
      </c>
      <c r="E1452" t="s">
        <v>318</v>
      </c>
      <c r="F1452" t="s">
        <v>319</v>
      </c>
      <c r="G1452">
        <v>-10</v>
      </c>
      <c r="H1452">
        <v>-20</v>
      </c>
      <c r="I1452" s="1" t="s">
        <v>40</v>
      </c>
      <c r="J1452">
        <v>3.15</v>
      </c>
      <c r="K1452">
        <v>-10</v>
      </c>
      <c r="L1452">
        <v>-8.5707865168539392</v>
      </c>
      <c r="M1452" s="1" t="s">
        <v>40</v>
      </c>
      <c r="N1452">
        <v>-1.9056179775280899</v>
      </c>
      <c r="O1452">
        <v>5.4764044943819998</v>
      </c>
      <c r="P1452"/>
      <c r="Q1452">
        <v>0.54764044943820001</v>
      </c>
      <c r="R1452">
        <v>1.0241405106267401</v>
      </c>
      <c r="S1452" s="1" t="str">
        <f>VLOOKUP($E1452,'Product Naming'!$A$1:$P$58,2,FALSE)</f>
        <v>Succinate</v>
      </c>
      <c r="T1452" s="1" t="str">
        <f>VLOOKUP($E1452,'Product Naming'!$A$1:$P$58,3,FALSE)</f>
        <v>Succinate</v>
      </c>
      <c r="U1452" s="1" t="str">
        <f>VLOOKUP($E1452,'Product Naming'!$A$1:$P$58,4,FALSE)</f>
        <v>iJO1366</v>
      </c>
      <c r="V1452" s="1" t="str">
        <f>VLOOKUP($E1452,'Product Naming'!$A$1:$P$58,5,FALSE)</f>
        <v>C4H4O4</v>
      </c>
      <c r="W1452" s="1">
        <f>VLOOKUP($E1452,'Product Naming'!$A$1:$P$58,6,FALSE)</f>
        <v>4</v>
      </c>
      <c r="X1452" s="1">
        <f>VLOOKUP($E1452,'Product Naming'!$A$1:$P$58,7,FALSE)</f>
        <v>4</v>
      </c>
      <c r="Y1452" s="1">
        <f>VLOOKUP($E1452,'Product Naming'!$A$1:$P$58,8,FALSE)</f>
        <v>4</v>
      </c>
      <c r="Z1452" s="1">
        <f>VLOOKUP($E1452,'Product Naming'!$A$1:$P$58,9,FALSE)</f>
        <v>0</v>
      </c>
      <c r="AA1452" s="1">
        <f>VLOOKUP($E1452,'Product Naming'!$A$1:$P$58,10,FALSE)</f>
        <v>-2</v>
      </c>
      <c r="AB1452" s="29">
        <f>VLOOKUP($E1452,'Product Naming'!$A$1:$P$58,11,FALSE)</f>
        <v>3</v>
      </c>
      <c r="AC1452" s="3">
        <f>VLOOKUP($E1452,'Product Naming'!$A$1:$P$58,12,FALSE)</f>
        <v>116.07016</v>
      </c>
      <c r="AD1452" s="1">
        <f>VLOOKUP($E1452,'Product Naming'!$A$1:$P$58,13,FALSE)</f>
        <v>235</v>
      </c>
      <c r="AE1452" s="1" t="str">
        <f>VLOOKUP($E1452,'Product Naming'!$A$1:$P$58,14,FALSE)</f>
        <v>Dicarboxylate</v>
      </c>
      <c r="AF1452" s="1" t="str">
        <f>VLOOKUP($E1452,'Product Naming'!$A$1:$P$58,15,FALSE)</f>
        <v>Oxaloacetate</v>
      </c>
      <c r="AG1452" s="30" t="str">
        <f>VLOOKUP($E1452,'Product Naming'!$A$1:$P$58,16,FALSE)</f>
        <v>Proton symporter</v>
      </c>
      <c r="AH1452" s="3" t="str">
        <f>VLOOKUP($E1452,'Product Naming'!$A$1:$Q$58,17,FALSE)</f>
        <v>succ_c</v>
      </c>
      <c r="AI1452" s="1">
        <f>VLOOKUP($E1452,'Product Parameters'!$A$2:$D$59,2,FALSE)</f>
        <v>1</v>
      </c>
      <c r="AJ1452" s="1">
        <f>VLOOKUP($E1452,'Product Parameters'!$A$2:$D$59,3,FALSE)</f>
        <v>0</v>
      </c>
      <c r="AK1452" s="1">
        <f>VLOOKUP($E1452,'Product Parameters'!$A$2:$D$59,4,FALSE)</f>
        <v>0.12</v>
      </c>
      <c r="AL1452" s="1">
        <f>VLOOKUP($E1452,'Product Parameters'!$A$2:$E$59,5,FALSE)</f>
        <v>40.65</v>
      </c>
      <c r="AM1452" s="1">
        <f>VLOOKUP($E1452,'Product Parameters'!$A$2:$F$59,6,FALSE)</f>
        <v>4</v>
      </c>
      <c r="AN1452" s="1">
        <f>VLOOKUP($C1452,'Substrate Heating'!$A$2:$C$33,3,FALSE)</f>
        <v>1055.1294800000001</v>
      </c>
      <c r="AO1452" s="1">
        <f>VLOOKUP($C1452,'Substrate Heating'!$A$2:$B$33,2,FALSE)</f>
        <v>17</v>
      </c>
      <c r="AP1452" s="1">
        <f>VLOOKUP($C1452,'Substrate Heating'!$A$2:$M$33,13,FALSE)</f>
        <v>5</v>
      </c>
      <c r="AQ1452" s="1">
        <f>VLOOKUP($C1452,'Substrate Heating'!$A$2:$M$33,8,FALSE)</f>
        <v>2</v>
      </c>
      <c r="AR1452" s="1">
        <f t="shared" si="22"/>
        <v>1.0952808988764</v>
      </c>
    </row>
    <row r="1453" spans="1:44" x14ac:dyDescent="0.2">
      <c r="A1453" s="17" t="s">
        <v>185</v>
      </c>
      <c r="B1453" s="9" t="s">
        <v>35</v>
      </c>
      <c r="C1453" t="s">
        <v>348</v>
      </c>
      <c r="D1453" s="23" t="s">
        <v>338</v>
      </c>
      <c r="E1453" t="s">
        <v>186</v>
      </c>
      <c r="F1453" t="s">
        <v>187</v>
      </c>
      <c r="G1453">
        <v>-10</v>
      </c>
      <c r="H1453">
        <v>-20</v>
      </c>
      <c r="I1453" s="1" t="s">
        <v>40</v>
      </c>
      <c r="J1453">
        <v>3.15</v>
      </c>
      <c r="K1453">
        <v>-10</v>
      </c>
      <c r="L1453">
        <v>-7.0960396039604001</v>
      </c>
      <c r="M1453" s="1" t="s">
        <v>40</v>
      </c>
      <c r="N1453">
        <v>-0.53861386138613898</v>
      </c>
      <c r="O1453">
        <v>1.75643564356436</v>
      </c>
      <c r="P1453"/>
      <c r="Q1453">
        <v>0.17564356435643599</v>
      </c>
      <c r="R1453">
        <v>1.0365938487356701</v>
      </c>
      <c r="S1453" s="1" t="str">
        <f>VLOOKUP($E1453,'Product Naming'!$A$1:$P$58,2,FALSE)</f>
        <v>Citrate</v>
      </c>
      <c r="T1453" s="1" t="str">
        <f>VLOOKUP($E1453,'Product Naming'!$A$1:$P$58,3,FALSE)</f>
        <v>Citrate</v>
      </c>
      <c r="U1453" s="1" t="str">
        <f>VLOOKUP($E1453,'Product Naming'!$A$1:$P$58,4,FALSE)</f>
        <v>iJO1366</v>
      </c>
      <c r="V1453" s="1" t="str">
        <f>VLOOKUP($E1453,'Product Naming'!$A$1:$P$58,5,FALSE)</f>
        <v>C6H5O7</v>
      </c>
      <c r="W1453" s="1">
        <f>VLOOKUP($E1453,'Product Naming'!$A$1:$P$58,6,FALSE)</f>
        <v>6</v>
      </c>
      <c r="X1453" s="1">
        <f>VLOOKUP($E1453,'Product Naming'!$A$1:$P$58,7,FALSE)</f>
        <v>5</v>
      </c>
      <c r="Y1453" s="1">
        <f>VLOOKUP($E1453,'Product Naming'!$A$1:$P$58,8,FALSE)</f>
        <v>7</v>
      </c>
      <c r="Z1453" s="1">
        <f>VLOOKUP($E1453,'Product Naming'!$A$1:$P$58,9,FALSE)</f>
        <v>0</v>
      </c>
      <c r="AA1453" s="1">
        <f>VLOOKUP($E1453,'Product Naming'!$A$1:$P$58,10,FALSE)</f>
        <v>-3</v>
      </c>
      <c r="AB1453" s="29">
        <f>VLOOKUP($E1453,'Product Naming'!$A$1:$P$58,11,FALSE)</f>
        <v>2.5</v>
      </c>
      <c r="AC1453" s="3">
        <f>VLOOKUP($E1453,'Product Naming'!$A$1:$P$58,12,FALSE)</f>
        <v>189.09640000000002</v>
      </c>
      <c r="AD1453" s="1" t="str">
        <f>VLOOKUP($E1453,'Product Naming'!$A$1:$P$58,13,FALSE)</f>
        <v>NA</v>
      </c>
      <c r="AE1453" s="1" t="str">
        <f>VLOOKUP($E1453,'Product Naming'!$A$1:$P$58,14,FALSE)</f>
        <v>Tricarboxylate + Alcohol</v>
      </c>
      <c r="AF1453" s="1" t="str">
        <f>VLOOKUP($E1453,'Product Naming'!$A$1:$P$58,15,FALSE)</f>
        <v>Acetyl-CoA</v>
      </c>
      <c r="AG1453" s="30" t="str">
        <f>VLOOKUP($E1453,'Product Naming'!$A$1:$P$58,16,FALSE)</f>
        <v>Proton antiport</v>
      </c>
      <c r="AH1453" s="3" t="str">
        <f>VLOOKUP($E1453,'Product Naming'!$A$1:$Q$58,17,FALSE)</f>
        <v>cit_c</v>
      </c>
      <c r="AI1453" s="1">
        <f>VLOOKUP($E1453,'Product Parameters'!$A$2:$D$59,2,FALSE)</f>
        <v>1</v>
      </c>
      <c r="AJ1453" s="1">
        <f>VLOOKUP($E1453,'Product Parameters'!$A$2:$D$59,3,FALSE)</f>
        <v>0</v>
      </c>
      <c r="AK1453" s="1">
        <f>VLOOKUP($E1453,'Product Parameters'!$A$2:$D$59,4,FALSE)</f>
        <v>0.12</v>
      </c>
      <c r="AL1453" s="1">
        <f>VLOOKUP($E1453,'Product Parameters'!$A$2:$E$59,5,FALSE)</f>
        <v>40.65</v>
      </c>
      <c r="AM1453" s="1">
        <f>VLOOKUP($E1453,'Product Parameters'!$A$2:$F$59,6,FALSE)</f>
        <v>6</v>
      </c>
      <c r="AN1453" s="1">
        <f>VLOOKUP($C1453,'Substrate Heating'!$A$2:$C$33,3,FALSE)</f>
        <v>638.57832580000002</v>
      </c>
      <c r="AO1453" s="1">
        <f>VLOOKUP($C1453,'Substrate Heating'!$A$2:$B$33,2,FALSE)</f>
        <v>19.93</v>
      </c>
      <c r="AP1453" s="1">
        <f>VLOOKUP($C1453,'Substrate Heating'!$A$2:$M$33,13,FALSE)</f>
        <v>6</v>
      </c>
      <c r="AQ1453" s="1">
        <f>VLOOKUP($C1453,'Substrate Heating'!$A$2:$M$33,8,FALSE)</f>
        <v>1</v>
      </c>
      <c r="AR1453" s="1">
        <f t="shared" si="22"/>
        <v>1.0538613861386159</v>
      </c>
    </row>
    <row r="1454" spans="1:44" x14ac:dyDescent="0.2">
      <c r="A1454" s="8" t="s">
        <v>34</v>
      </c>
      <c r="B1454" s="9" t="s">
        <v>35</v>
      </c>
      <c r="C1454" s="1" t="s">
        <v>332</v>
      </c>
      <c r="D1454" s="10" t="s">
        <v>37</v>
      </c>
      <c r="E1454" s="1" t="s">
        <v>124</v>
      </c>
      <c r="F1454" s="1" t="s">
        <v>125</v>
      </c>
      <c r="G1454" s="1">
        <v>-10</v>
      </c>
      <c r="H1454" s="1">
        <v>-20</v>
      </c>
      <c r="I1454" s="1" t="s">
        <v>40</v>
      </c>
      <c r="J1454" s="1">
        <v>3.15</v>
      </c>
      <c r="K1454" s="1">
        <v>-10</v>
      </c>
      <c r="L1454" s="1">
        <v>-9.8123076923076908</v>
      </c>
      <c r="M1454" s="1" t="s">
        <v>40</v>
      </c>
      <c r="N1454" s="1">
        <v>-0.18769230769230999</v>
      </c>
      <c r="O1454" s="1">
        <v>6.72923076923077</v>
      </c>
      <c r="Q1454" s="1">
        <v>0.67292307692307696</v>
      </c>
      <c r="R1454" s="1">
        <v>1.03790487591503</v>
      </c>
      <c r="S1454" s="1" t="str">
        <f>VLOOKUP($E1454,'Product Naming'!$A$1:$P$58,2,FALSE)</f>
        <v>Acrylate-PW1</v>
      </c>
      <c r="T1454" s="1" t="str">
        <f>VLOOKUP($E1454,'Product Naming'!$A$1:$P$58,3,FALSE)</f>
        <v>Acrylate (PW1)</v>
      </c>
      <c r="U1454" s="1" t="str">
        <f>VLOOKUP($E1454,'Product Naming'!$A$1:$P$58,4,FALSE)</f>
        <v>A</v>
      </c>
      <c r="V1454" s="1" t="str">
        <f>VLOOKUP($E1454,'Product Naming'!$A$1:$P$58,5,FALSE)</f>
        <v>C3H3O2</v>
      </c>
      <c r="W1454" s="1">
        <f>VLOOKUP($E1454,'Product Naming'!$A$1:$P$58,6,FALSE)</f>
        <v>3</v>
      </c>
      <c r="X1454" s="1">
        <f>VLOOKUP($E1454,'Product Naming'!$A$1:$P$58,7,FALSE)</f>
        <v>3</v>
      </c>
      <c r="Y1454" s="1">
        <f>VLOOKUP($E1454,'Product Naming'!$A$1:$P$58,8,FALSE)</f>
        <v>2</v>
      </c>
      <c r="Z1454" s="1">
        <f>VLOOKUP($E1454,'Product Naming'!$A$1:$P$58,9,FALSE)</f>
        <v>0</v>
      </c>
      <c r="AA1454" s="1">
        <f>VLOOKUP($E1454,'Product Naming'!$A$1:$P$58,10,FALSE)</f>
        <v>-1</v>
      </c>
      <c r="AB1454" s="29">
        <f>VLOOKUP($E1454,'Product Naming'!$A$1:$P$58,11,FALSE)</f>
        <v>3.6666666666666665</v>
      </c>
      <c r="AC1454" s="3">
        <f>VLOOKUP($E1454,'Product Naming'!$A$1:$P$58,12,FALSE)</f>
        <v>71.053619999999995</v>
      </c>
      <c r="AD1454" s="1">
        <f>VLOOKUP($E1454,'Product Naming'!$A$1:$P$58,13,FALSE)</f>
        <v>80</v>
      </c>
      <c r="AE1454" s="1" t="str">
        <f>VLOOKUP($E1454,'Product Naming'!$A$1:$P$58,14,FALSE)</f>
        <v>Carboxylate</v>
      </c>
      <c r="AF1454" s="1" t="str">
        <f>VLOOKUP($E1454,'Product Naming'!$A$1:$P$58,15,FALSE)</f>
        <v>Glyceraldehyde 3-P</v>
      </c>
      <c r="AG1454" s="30" t="str">
        <f>VLOOKUP($E1454,'Product Naming'!$A$1:$P$58,16,FALSE)</f>
        <v>Proton symporter</v>
      </c>
      <c r="AH1454" s="3" t="str">
        <f>VLOOKUP($E1454,'Product Naming'!$A$1:$Q$58,17,FALSE)</f>
        <v>acryl_c</v>
      </c>
      <c r="AI1454" s="1">
        <f>VLOOKUP($E1454,'Product Parameters'!$A$2:$D$59,2,FALSE)</f>
        <v>1</v>
      </c>
      <c r="AJ1454" s="1">
        <f>VLOOKUP($E1454,'Product Parameters'!$A$2:$D$59,3,FALSE)</f>
        <v>0</v>
      </c>
      <c r="AK1454" s="1">
        <f>VLOOKUP($E1454,'Product Parameters'!$A$2:$D$59,4,FALSE)</f>
        <v>0.12</v>
      </c>
      <c r="AL1454" s="1">
        <f>VLOOKUP($E1454,'Product Parameters'!$A$2:$E$59,5,FALSE)</f>
        <v>53.1</v>
      </c>
      <c r="AM1454" s="1">
        <f>VLOOKUP($E1454,'Product Parameters'!$A$2:$F$59,6,FALSE)</f>
        <v>3</v>
      </c>
      <c r="AN1454" s="1">
        <f>VLOOKUP($C1454,'Substrate Heating'!$A$2:$C$33,3,FALSE)</f>
        <v>1230.0006480000002</v>
      </c>
      <c r="AO1454" s="1">
        <f>VLOOKUP($C1454,'Substrate Heating'!$A$2:$B$33,2,FALSE)</f>
        <v>26.7</v>
      </c>
      <c r="AP1454" s="1">
        <f>VLOOKUP($C1454,'Substrate Heating'!$A$2:$M$33,13,FALSE)</f>
        <v>6</v>
      </c>
      <c r="AQ1454" s="1">
        <f>VLOOKUP($C1454,'Substrate Heating'!$A$2:$M$33,8,FALSE)</f>
        <v>2</v>
      </c>
      <c r="AR1454" s="1">
        <f t="shared" si="22"/>
        <v>1.0093846153846155</v>
      </c>
    </row>
    <row r="1455" spans="1:44" x14ac:dyDescent="0.2">
      <c r="A1455" s="8" t="s">
        <v>812</v>
      </c>
      <c r="B1455" s="9" t="s">
        <v>35</v>
      </c>
      <c r="C1455" t="s">
        <v>813</v>
      </c>
      <c r="E1455" t="s">
        <v>60</v>
      </c>
      <c r="F1455" t="s">
        <v>61</v>
      </c>
      <c r="G1455">
        <v>-10</v>
      </c>
      <c r="H1455">
        <v>-20</v>
      </c>
      <c r="I1455">
        <v>0</v>
      </c>
      <c r="J1455">
        <v>3.15</v>
      </c>
      <c r="K1455">
        <v>-10</v>
      </c>
      <c r="L1455">
        <v>-12.211764705882301</v>
      </c>
      <c r="M1455">
        <v>0</v>
      </c>
      <c r="N1455">
        <v>5.4088235294117597</v>
      </c>
      <c r="O1455">
        <v>8.1970588235294102</v>
      </c>
      <c r="P1455"/>
      <c r="Q1455">
        <v>0.81970588235294095</v>
      </c>
      <c r="R1455">
        <v>1.0379153769156799</v>
      </c>
      <c r="S1455" s="1" t="str">
        <f>VLOOKUP($E1455,'Product Naming'!$A$1:$P$58,2,FALSE)</f>
        <v>1-3-Propanediol</v>
      </c>
      <c r="T1455" s="1" t="str">
        <f>VLOOKUP($E1455,'Product Naming'!$A$1:$P$58,3,FALSE)</f>
        <v>1,3-Propanediol</v>
      </c>
      <c r="U1455" s="1" t="str">
        <f>VLOOKUP($E1455,'Product Naming'!$A$1:$P$58,4,FALSE)</f>
        <v>A</v>
      </c>
      <c r="V1455" s="1" t="str">
        <f>VLOOKUP($E1455,'Product Naming'!$A$1:$P$58,5,FALSE)</f>
        <v>C3H8O2</v>
      </c>
      <c r="W1455" s="1">
        <f>VLOOKUP($E1455,'Product Naming'!$A$1:$P$58,6,FALSE)</f>
        <v>3</v>
      </c>
      <c r="X1455" s="1">
        <f>VLOOKUP($E1455,'Product Naming'!$A$1:$P$58,7,FALSE)</f>
        <v>8</v>
      </c>
      <c r="Y1455" s="1">
        <f>VLOOKUP($E1455,'Product Naming'!$A$1:$P$58,8,FALSE)</f>
        <v>2</v>
      </c>
      <c r="Z1455" s="1">
        <f>VLOOKUP($E1455,'Product Naming'!$A$1:$P$58,9,FALSE)</f>
        <v>0</v>
      </c>
      <c r="AA1455" s="1">
        <f>VLOOKUP($E1455,'Product Naming'!$A$1:$P$58,10,FALSE)</f>
        <v>0</v>
      </c>
      <c r="AB1455" s="29">
        <f>VLOOKUP($E1455,'Product Naming'!$A$1:$P$58,11,FALSE)</f>
        <v>5.333333333333333</v>
      </c>
      <c r="AC1455" s="3">
        <f>VLOOKUP($E1455,'Product Naming'!$A$1:$P$58,12,FALSE)</f>
        <v>76.092820000000003</v>
      </c>
      <c r="AD1455" s="1">
        <f>VLOOKUP($E1455,'Product Naming'!$A$1:$P$58,13,FALSE)</f>
        <v>213</v>
      </c>
      <c r="AE1455" s="1" t="str">
        <f>VLOOKUP($E1455,'Product Naming'!$A$1:$P$58,14,FALSE)</f>
        <v>Diol</v>
      </c>
      <c r="AF1455" s="1" t="str">
        <f>VLOOKUP($E1455,'Product Naming'!$A$1:$P$58,15,FALSE)</f>
        <v>Glyceraldehyde 3-P</v>
      </c>
      <c r="AG1455" s="30" t="str">
        <f>VLOOKUP($E1455,'Product Naming'!$A$1:$P$58,16,FALSE)</f>
        <v>Proton symporter</v>
      </c>
      <c r="AH1455" s="3" t="str">
        <f>VLOOKUP($E1455,'Product Naming'!$A$1:$Q$58,17,FALSE)</f>
        <v>13ppd_c</v>
      </c>
      <c r="AI1455" s="1">
        <f>VLOOKUP($E1455,'Product Parameters'!$A$2:$D$59,2,FALSE)</f>
        <v>1</v>
      </c>
      <c r="AJ1455" s="1">
        <f>VLOOKUP($E1455,'Product Parameters'!$A$2:$D$59,3,FALSE)</f>
        <v>0</v>
      </c>
      <c r="AK1455" s="1">
        <f>VLOOKUP($E1455,'Product Parameters'!$A$2:$D$59,4,FALSE)</f>
        <v>0.12</v>
      </c>
      <c r="AL1455" s="1">
        <f>VLOOKUP($E1455,'Product Parameters'!$A$2:$E$59,5,FALSE)</f>
        <v>70</v>
      </c>
      <c r="AM1455" s="1">
        <f>VLOOKUP($E1455,'Product Parameters'!$A$2:$F$59,6,FALSE)</f>
        <v>3</v>
      </c>
      <c r="AN1455" s="1">
        <f>VLOOKUP($C1455,'Substrate Heating'!$A$2:$C$33,3,FALSE)</f>
        <v>1843.720736</v>
      </c>
      <c r="AO1455" s="1">
        <f>VLOOKUP($C1455,'Substrate Heating'!$A$2:$B$33,2,FALSE)</f>
        <v>30.68</v>
      </c>
      <c r="AP1455" s="1">
        <f>VLOOKUP($C1455,'Substrate Heating'!$A$2:$M$33,13,FALSE)</f>
        <v>6</v>
      </c>
      <c r="AQ1455" s="1">
        <f>VLOOKUP($C1455,'Substrate Heating'!$A$2:$M$33,8,FALSE)</f>
        <v>3</v>
      </c>
      <c r="AR1455" s="1">
        <f t="shared" si="22"/>
        <v>0.81970588235294095</v>
      </c>
    </row>
    <row r="1456" spans="1:44" x14ac:dyDescent="0.2">
      <c r="A1456" s="8" t="s">
        <v>816</v>
      </c>
      <c r="B1456" s="18" t="s">
        <v>324</v>
      </c>
      <c r="C1456" t="s">
        <v>815</v>
      </c>
      <c r="D1456" s="19" t="s">
        <v>326</v>
      </c>
      <c r="E1456" t="s">
        <v>275</v>
      </c>
      <c r="F1456" t="s">
        <v>276</v>
      </c>
      <c r="G1456">
        <v>-10</v>
      </c>
      <c r="H1456">
        <v>0</v>
      </c>
      <c r="I1456">
        <v>0</v>
      </c>
      <c r="J1456">
        <v>0.45</v>
      </c>
      <c r="K1456">
        <v>15.18</v>
      </c>
      <c r="L1456">
        <v>0</v>
      </c>
      <c r="M1456">
        <v>0</v>
      </c>
      <c r="N1456">
        <v>15.18</v>
      </c>
      <c r="O1456">
        <v>4.82</v>
      </c>
      <c r="P1456"/>
      <c r="Q1456">
        <v>0.317523057</v>
      </c>
      <c r="R1456">
        <v>1.03816895</v>
      </c>
      <c r="S1456" s="1" t="str">
        <f>VLOOKUP($E1456,'Product Naming'!$A$1:$P$58,2,FALSE)</f>
        <v>Malonate</v>
      </c>
      <c r="T1456" s="1" t="str">
        <f>VLOOKUP($E1456,'Product Naming'!$A$1:$P$58,3,FALSE)</f>
        <v>Malonate</v>
      </c>
      <c r="U1456" s="1" t="str">
        <f>VLOOKUP($E1456,'Product Naming'!$A$1:$P$58,4,FALSE)</f>
        <v>A</v>
      </c>
      <c r="V1456" s="1" t="str">
        <f>VLOOKUP($E1456,'Product Naming'!$A$1:$P$58,5,FALSE)</f>
        <v>C3H2O4</v>
      </c>
      <c r="W1456" s="1">
        <f>VLOOKUP($E1456,'Product Naming'!$A$1:$P$58,6,FALSE)</f>
        <v>3</v>
      </c>
      <c r="X1456" s="1">
        <f>VLOOKUP($E1456,'Product Naming'!$A$1:$P$58,7,FALSE)</f>
        <v>2</v>
      </c>
      <c r="Y1456" s="1">
        <f>VLOOKUP($E1456,'Product Naming'!$A$1:$P$58,8,FALSE)</f>
        <v>4</v>
      </c>
      <c r="Z1456" s="1">
        <f>VLOOKUP($E1456,'Product Naming'!$A$1:$P$58,9,FALSE)</f>
        <v>0</v>
      </c>
      <c r="AA1456" s="1">
        <f>VLOOKUP($E1456,'Product Naming'!$A$1:$P$58,10,FALSE)</f>
        <v>-2</v>
      </c>
      <c r="AB1456" s="29">
        <f>VLOOKUP($E1456,'Product Naming'!$A$1:$P$58,11,FALSE)</f>
        <v>2</v>
      </c>
      <c r="AC1456" s="3">
        <f>VLOOKUP($E1456,'Product Naming'!$A$1:$P$58,12,FALSE)</f>
        <v>102.04378</v>
      </c>
      <c r="AD1456" s="1">
        <f>VLOOKUP($E1456,'Product Naming'!$A$1:$P$58,13,FALSE)</f>
        <v>199</v>
      </c>
      <c r="AE1456" s="1" t="str">
        <f>VLOOKUP($E1456,'Product Naming'!$A$1:$P$58,14,FALSE)</f>
        <v>Dicarboxylate</v>
      </c>
      <c r="AF1456" s="1" t="str">
        <f>VLOOKUP($E1456,'Product Naming'!$A$1:$P$58,15,FALSE)</f>
        <v>Oxaloacetate</v>
      </c>
      <c r="AG1456" s="30" t="str">
        <f>VLOOKUP($E1456,'Product Naming'!$A$1:$P$58,16,FALSE)</f>
        <v>Proton symporter</v>
      </c>
      <c r="AH1456" s="3" t="str">
        <f>VLOOKUP($E1456,'Product Naming'!$A$1:$Q$58,17,FALSE)</f>
        <v>malon_c</v>
      </c>
      <c r="AI1456" s="1">
        <f>VLOOKUP($E1456,'Product Parameters'!$A$2:$D$59,2,FALSE)</f>
        <v>1</v>
      </c>
      <c r="AJ1456" s="1">
        <f>VLOOKUP($E1456,'Product Parameters'!$A$2:$D$59,3,FALSE)</f>
        <v>0</v>
      </c>
      <c r="AK1456" s="1">
        <f>VLOOKUP($E1456,'Product Parameters'!$A$2:$D$59,4,FALSE)</f>
        <v>0.12</v>
      </c>
      <c r="AL1456" s="1">
        <f>VLOOKUP($E1456,'Product Parameters'!$A$2:$E$59,5,FALSE)</f>
        <v>40.65</v>
      </c>
      <c r="AM1456" s="1">
        <f>VLOOKUP($E1456,'Product Parameters'!$A$2:$F$59,6,FALSE)</f>
        <v>3</v>
      </c>
      <c r="AN1456" s="1">
        <f>VLOOKUP($C1456,'Substrate Heating'!$A$2:$C$33,3,FALSE)</f>
        <v>226.4</v>
      </c>
      <c r="AO1456" s="1">
        <f>VLOOKUP($C1456,'Substrate Heating'!$A$2:$B$33,2,FALSE)</f>
        <v>7.2542014450728134</v>
      </c>
      <c r="AP1456" s="1">
        <f>VLOOKUP($C1456,'Substrate Heating'!$A$2:$M$33,13,FALSE)</f>
        <v>1.6</v>
      </c>
      <c r="AQ1456" s="1">
        <f>VLOOKUP($C1456,'Substrate Heating'!$A$2:$M$33,8,FALSE)</f>
        <v>1</v>
      </c>
      <c r="AR1456" s="1">
        <f t="shared" si="22"/>
        <v>0.95256917099999994</v>
      </c>
    </row>
    <row r="1457" spans="1:44" x14ac:dyDescent="0.2">
      <c r="A1457" s="17" t="s">
        <v>185</v>
      </c>
      <c r="B1457" s="9" t="s">
        <v>35</v>
      </c>
      <c r="C1457" t="s">
        <v>322</v>
      </c>
      <c r="D1457" s="10" t="s">
        <v>37</v>
      </c>
      <c r="E1457" t="s">
        <v>186</v>
      </c>
      <c r="F1457" t="s">
        <v>187</v>
      </c>
      <c r="G1457">
        <v>-10</v>
      </c>
      <c r="H1457">
        <v>-20</v>
      </c>
      <c r="I1457" s="1" t="s">
        <v>40</v>
      </c>
      <c r="J1457">
        <v>3.15</v>
      </c>
      <c r="K1457">
        <v>-10</v>
      </c>
      <c r="L1457">
        <v>-5.36575342465754</v>
      </c>
      <c r="M1457" s="1" t="s">
        <v>40</v>
      </c>
      <c r="N1457">
        <v>0.48767123287671499</v>
      </c>
      <c r="O1457">
        <v>3.25205479452055</v>
      </c>
      <c r="P1457"/>
      <c r="Q1457">
        <v>0.32520547945205402</v>
      </c>
      <c r="R1457">
        <v>1.04153360681785</v>
      </c>
      <c r="S1457" s="1" t="str">
        <f>VLOOKUP($E1457,'Product Naming'!$A$1:$P$58,2,FALSE)</f>
        <v>Citrate</v>
      </c>
      <c r="T1457" s="1" t="str">
        <f>VLOOKUP($E1457,'Product Naming'!$A$1:$P$58,3,FALSE)</f>
        <v>Citrate</v>
      </c>
      <c r="U1457" s="1" t="str">
        <f>VLOOKUP($E1457,'Product Naming'!$A$1:$P$58,4,FALSE)</f>
        <v>iJO1366</v>
      </c>
      <c r="V1457" s="1" t="str">
        <f>VLOOKUP($E1457,'Product Naming'!$A$1:$P$58,5,FALSE)</f>
        <v>C6H5O7</v>
      </c>
      <c r="W1457" s="1">
        <f>VLOOKUP($E1457,'Product Naming'!$A$1:$P$58,6,FALSE)</f>
        <v>6</v>
      </c>
      <c r="X1457" s="1">
        <f>VLOOKUP($E1457,'Product Naming'!$A$1:$P$58,7,FALSE)</f>
        <v>5</v>
      </c>
      <c r="Y1457" s="1">
        <f>VLOOKUP($E1457,'Product Naming'!$A$1:$P$58,8,FALSE)</f>
        <v>7</v>
      </c>
      <c r="Z1457" s="1">
        <f>VLOOKUP($E1457,'Product Naming'!$A$1:$P$58,9,FALSE)</f>
        <v>0</v>
      </c>
      <c r="AA1457" s="1">
        <f>VLOOKUP($E1457,'Product Naming'!$A$1:$P$58,10,FALSE)</f>
        <v>-3</v>
      </c>
      <c r="AB1457" s="29">
        <f>VLOOKUP($E1457,'Product Naming'!$A$1:$P$58,11,FALSE)</f>
        <v>2.5</v>
      </c>
      <c r="AC1457" s="3">
        <f>VLOOKUP($E1457,'Product Naming'!$A$1:$P$58,12,FALSE)</f>
        <v>189.09640000000002</v>
      </c>
      <c r="AD1457" s="1" t="str">
        <f>VLOOKUP($E1457,'Product Naming'!$A$1:$P$58,13,FALSE)</f>
        <v>NA</v>
      </c>
      <c r="AE1457" s="1" t="str">
        <f>VLOOKUP($E1457,'Product Naming'!$A$1:$P$58,14,FALSE)</f>
        <v>Tricarboxylate + Alcohol</v>
      </c>
      <c r="AF1457" s="1" t="str">
        <f>VLOOKUP($E1457,'Product Naming'!$A$1:$P$58,15,FALSE)</f>
        <v>Acetyl-CoA</v>
      </c>
      <c r="AG1457" s="30" t="str">
        <f>VLOOKUP($E1457,'Product Naming'!$A$1:$P$58,16,FALSE)</f>
        <v>Proton antiport</v>
      </c>
      <c r="AH1457" s="3" t="str">
        <f>VLOOKUP($E1457,'Product Naming'!$A$1:$Q$58,17,FALSE)</f>
        <v>cit_c</v>
      </c>
      <c r="AI1457" s="1">
        <f>VLOOKUP($E1457,'Product Parameters'!$A$2:$D$59,2,FALSE)</f>
        <v>1</v>
      </c>
      <c r="AJ1457" s="1">
        <f>VLOOKUP($E1457,'Product Parameters'!$A$2:$D$59,3,FALSE)</f>
        <v>0</v>
      </c>
      <c r="AK1457" s="1">
        <f>VLOOKUP($E1457,'Product Parameters'!$A$2:$D$59,4,FALSE)</f>
        <v>0.12</v>
      </c>
      <c r="AL1457" s="1">
        <f>VLOOKUP($E1457,'Product Parameters'!$A$2:$E$59,5,FALSE)</f>
        <v>40.65</v>
      </c>
      <c r="AM1457" s="1">
        <f>VLOOKUP($E1457,'Product Parameters'!$A$2:$F$59,6,FALSE)</f>
        <v>6</v>
      </c>
      <c r="AN1457" s="1">
        <f>VLOOKUP($C1457,'Substrate Heating'!$A$2:$C$33,3,FALSE)</f>
        <v>876.74109599999997</v>
      </c>
      <c r="AO1457" s="1">
        <f>VLOOKUP($C1457,'Substrate Heating'!$A$2:$B$33,2,FALSE)</f>
        <v>14.6</v>
      </c>
      <c r="AP1457" s="1">
        <f>VLOOKUP($C1457,'Substrate Heating'!$A$2:$M$33,13,FALSE)</f>
        <v>3.5</v>
      </c>
      <c r="AQ1457" s="1">
        <f>VLOOKUP($C1457,'Substrate Heating'!$A$2:$M$33,8,FALSE)</f>
        <v>2</v>
      </c>
      <c r="AR1457" s="1">
        <f t="shared" si="22"/>
        <v>0.97561643835616207</v>
      </c>
    </row>
    <row r="1458" spans="1:44" x14ac:dyDescent="0.2">
      <c r="A1458" s="8" t="s">
        <v>34</v>
      </c>
      <c r="B1458" s="9" t="s">
        <v>35</v>
      </c>
      <c r="C1458" s="1" t="s">
        <v>332</v>
      </c>
      <c r="D1458" s="10" t="s">
        <v>37</v>
      </c>
      <c r="E1458" s="1" t="s">
        <v>180</v>
      </c>
      <c r="F1458" s="1" t="s">
        <v>181</v>
      </c>
      <c r="G1458" s="1">
        <v>-10</v>
      </c>
      <c r="H1458" s="1">
        <v>-20</v>
      </c>
      <c r="I1458" s="1" t="s">
        <v>40</v>
      </c>
      <c r="J1458" s="1">
        <v>3.15</v>
      </c>
      <c r="K1458" s="1">
        <v>-10</v>
      </c>
      <c r="L1458" s="1">
        <v>-11.1563968668407</v>
      </c>
      <c r="M1458" s="1" t="s">
        <v>40</v>
      </c>
      <c r="N1458" s="1">
        <v>-0.55665796344646001</v>
      </c>
      <c r="O1458" s="1">
        <v>3.4261096605744199</v>
      </c>
      <c r="Q1458" s="1">
        <v>0.34261096605744201</v>
      </c>
      <c r="R1458" s="1">
        <v>1.0418834801346499</v>
      </c>
      <c r="S1458" s="1" t="str">
        <f>VLOOKUP($E1458,'Product Naming'!$A$1:$P$58,2,FALSE)</f>
        <v>ciscisMuconate</v>
      </c>
      <c r="T1458" s="1" t="str">
        <f>VLOOKUP($E1458,'Product Naming'!$A$1:$P$58,3,FALSE)</f>
        <v>cis,cis-Muconate</v>
      </c>
      <c r="U1458" s="1" t="str">
        <f>VLOOKUP($E1458,'Product Naming'!$A$1:$P$58,4,FALSE)</f>
        <v>A</v>
      </c>
      <c r="V1458" s="1" t="str">
        <f>VLOOKUP($E1458,'Product Naming'!$A$1:$P$58,5,FALSE)</f>
        <v>C6H4O4</v>
      </c>
      <c r="W1458" s="1">
        <f>VLOOKUP($E1458,'Product Naming'!$A$1:$P$58,6,FALSE)</f>
        <v>6</v>
      </c>
      <c r="X1458" s="1">
        <f>VLOOKUP($E1458,'Product Naming'!$A$1:$P$58,7,FALSE)</f>
        <v>4</v>
      </c>
      <c r="Y1458" s="1">
        <f>VLOOKUP($E1458,'Product Naming'!$A$1:$P$58,8,FALSE)</f>
        <v>4</v>
      </c>
      <c r="Z1458" s="1">
        <f>VLOOKUP($E1458,'Product Naming'!$A$1:$P$58,9,FALSE)</f>
        <v>0</v>
      </c>
      <c r="AA1458" s="1">
        <f>VLOOKUP($E1458,'Product Naming'!$A$1:$P$58,10,FALSE)</f>
        <v>-2</v>
      </c>
      <c r="AB1458" s="29">
        <f>VLOOKUP($E1458,'Product Naming'!$A$1:$P$58,11,FALSE)</f>
        <v>3.3333333333333335</v>
      </c>
      <c r="AC1458" s="3">
        <f>VLOOKUP($E1458,'Product Naming'!$A$1:$P$58,12,FALSE)</f>
        <v>140.09156000000002</v>
      </c>
      <c r="AD1458" s="1">
        <f>VLOOKUP($E1458,'Product Naming'!$A$1:$P$58,13,FALSE)</f>
        <v>345.4</v>
      </c>
      <c r="AE1458" s="1" t="str">
        <f>VLOOKUP($E1458,'Product Naming'!$A$1:$P$58,14,FALSE)</f>
        <v>Dicarboxylate</v>
      </c>
      <c r="AF1458" s="1" t="str">
        <f>VLOOKUP($E1458,'Product Naming'!$A$1:$P$58,15,FALSE)</f>
        <v>Glyceraldehyde 3-P</v>
      </c>
      <c r="AG1458" s="30" t="str">
        <f>VLOOKUP($E1458,'Product Naming'!$A$1:$P$58,16,FALSE)</f>
        <v>Proton symporter</v>
      </c>
      <c r="AH1458" s="3" t="str">
        <f>VLOOKUP($E1458,'Product Naming'!$A$1:$Q$58,17,FALSE)</f>
        <v>ccmuac_c</v>
      </c>
      <c r="AI1458" s="1">
        <f>VLOOKUP($E1458,'Product Parameters'!$A$2:$D$59,2,FALSE)</f>
        <v>1</v>
      </c>
      <c r="AJ1458" s="1">
        <f>VLOOKUP($E1458,'Product Parameters'!$A$2:$D$59,3,FALSE)</f>
        <v>0</v>
      </c>
      <c r="AK1458" s="1">
        <f>VLOOKUP($E1458,'Product Parameters'!$A$2:$D$59,4,FALSE)</f>
        <v>0.12</v>
      </c>
      <c r="AL1458" s="1">
        <f>VLOOKUP($E1458,'Product Parameters'!$A$2:$E$59,5,FALSE)</f>
        <v>40.65</v>
      </c>
      <c r="AM1458" s="1">
        <f>VLOOKUP($E1458,'Product Parameters'!$A$2:$F$59,6,FALSE)</f>
        <v>6</v>
      </c>
      <c r="AN1458" s="1">
        <f>VLOOKUP($C1458,'Substrate Heating'!$A$2:$C$33,3,FALSE)</f>
        <v>1230.0006480000002</v>
      </c>
      <c r="AO1458" s="1">
        <f>VLOOKUP($C1458,'Substrate Heating'!$A$2:$B$33,2,FALSE)</f>
        <v>26.7</v>
      </c>
      <c r="AP1458" s="1">
        <f>VLOOKUP($C1458,'Substrate Heating'!$A$2:$M$33,13,FALSE)</f>
        <v>6</v>
      </c>
      <c r="AQ1458" s="1">
        <f>VLOOKUP($C1458,'Substrate Heating'!$A$2:$M$33,8,FALSE)</f>
        <v>2</v>
      </c>
      <c r="AR1458" s="1">
        <f t="shared" si="22"/>
        <v>1.0278328981723259</v>
      </c>
    </row>
    <row r="1459" spans="1:44" x14ac:dyDescent="0.2">
      <c r="A1459" s="8" t="s">
        <v>34</v>
      </c>
      <c r="B1459" s="9" t="s">
        <v>35</v>
      </c>
      <c r="C1459" s="1" t="s">
        <v>346</v>
      </c>
      <c r="D1459" s="23" t="s">
        <v>338</v>
      </c>
      <c r="E1459" s="1" t="s">
        <v>97</v>
      </c>
      <c r="F1459" s="1" t="s">
        <v>98</v>
      </c>
      <c r="G1459" s="1">
        <v>-10</v>
      </c>
      <c r="H1459" s="1">
        <v>-20</v>
      </c>
      <c r="I1459" s="1" t="s">
        <v>40</v>
      </c>
      <c r="J1459" s="1">
        <v>3.15</v>
      </c>
      <c r="K1459" s="1">
        <v>-10</v>
      </c>
      <c r="L1459" s="1">
        <v>-5.8299445471349403</v>
      </c>
      <c r="M1459" s="1" t="s">
        <v>40</v>
      </c>
      <c r="N1459" s="1">
        <v>-2.83807763401109</v>
      </c>
      <c r="O1459" s="1">
        <v>1.83401109057302</v>
      </c>
      <c r="Q1459" s="1">
        <v>0.183401109057301</v>
      </c>
      <c r="R1459" s="1">
        <v>1.04224123403636</v>
      </c>
      <c r="S1459" s="1" t="str">
        <f>VLOOKUP($E1459,'Product Naming'!$A$1:$P$58,2,FALSE)</f>
        <v>2-Pyrone-4-6-Dicarboxylate</v>
      </c>
      <c r="T1459" s="1" t="str">
        <f>VLOOKUP($E1459,'Product Naming'!$A$1:$P$58,3,FALSE)</f>
        <v>2-Pyrone 4,6-dicarboxylate</v>
      </c>
      <c r="U1459" s="1" t="str">
        <f>VLOOKUP($E1459,'Product Naming'!$A$1:$P$58,4,FALSE)</f>
        <v>A</v>
      </c>
      <c r="V1459" s="1" t="str">
        <f>VLOOKUP($E1459,'Product Naming'!$A$1:$P$58,5,FALSE)</f>
        <v>C7H2O6</v>
      </c>
      <c r="W1459" s="1">
        <f>VLOOKUP($E1459,'Product Naming'!$A$1:$P$58,6,FALSE)</f>
        <v>7</v>
      </c>
      <c r="X1459" s="1">
        <f>VLOOKUP($E1459,'Product Naming'!$A$1:$P$58,7,FALSE)</f>
        <v>2</v>
      </c>
      <c r="Y1459" s="1">
        <f>VLOOKUP($E1459,'Product Naming'!$A$1:$P$58,8,FALSE)</f>
        <v>6</v>
      </c>
      <c r="Z1459" s="1">
        <f>VLOOKUP($E1459,'Product Naming'!$A$1:$P$58,9,FALSE)</f>
        <v>0</v>
      </c>
      <c r="AA1459" s="1">
        <f>VLOOKUP($E1459,'Product Naming'!$A$1:$P$58,10,FALSE)</f>
        <v>-2</v>
      </c>
      <c r="AB1459" s="29">
        <f>VLOOKUP($E1459,'Product Naming'!$A$1:$P$58,11,FALSE)</f>
        <v>2.5714285714285716</v>
      </c>
      <c r="AC1459" s="3">
        <f>VLOOKUP($E1459,'Product Naming'!$A$1:$P$58,12,FALSE)</f>
        <v>182.08458000000002</v>
      </c>
      <c r="AD1459" s="1">
        <f>VLOOKUP($E1459,'Product Naming'!$A$1:$P$58,13,FALSE)</f>
        <v>355.5</v>
      </c>
      <c r="AE1459" s="1" t="str">
        <f>VLOOKUP($E1459,'Product Naming'!$A$1:$P$58,14,FALSE)</f>
        <v>Dicarboxylate</v>
      </c>
      <c r="AF1459" s="1" t="str">
        <f>VLOOKUP($E1459,'Product Naming'!$A$1:$P$58,15,FALSE)</f>
        <v>Glyceraldehyde 3-P</v>
      </c>
      <c r="AG1459" s="30" t="str">
        <f>VLOOKUP($E1459,'Product Naming'!$A$1:$P$58,16,FALSE)</f>
        <v>Proton symporter</v>
      </c>
      <c r="AH1459" s="3" t="str">
        <f>VLOOKUP($E1459,'Product Naming'!$A$1:$Q$58,17,FALSE)</f>
        <v>2p46dc_c</v>
      </c>
      <c r="AI1459" s="1">
        <f>VLOOKUP($E1459,'Product Parameters'!$A$2:$D$59,2,FALSE)</f>
        <v>1</v>
      </c>
      <c r="AJ1459" s="1">
        <f>VLOOKUP($E1459,'Product Parameters'!$A$2:$D$59,3,FALSE)</f>
        <v>0</v>
      </c>
      <c r="AK1459" s="1">
        <f>VLOOKUP($E1459,'Product Parameters'!$A$2:$D$59,4,FALSE)</f>
        <v>0.12</v>
      </c>
      <c r="AL1459" s="1">
        <f>VLOOKUP($E1459,'Product Parameters'!$A$2:$E$59,5,FALSE)</f>
        <v>0</v>
      </c>
      <c r="AM1459" s="1">
        <f>VLOOKUP($E1459,'Product Parameters'!$A$2:$F$59,6,FALSE)</f>
        <v>7</v>
      </c>
      <c r="AN1459" s="1">
        <f>VLOOKUP($C1459,'Substrate Heating'!$A$2:$C$33,3,FALSE)</f>
        <v>638.57832580000002</v>
      </c>
      <c r="AO1459" s="1">
        <f>VLOOKUP($C1459,'Substrate Heating'!$A$2:$B$33,2,FALSE)</f>
        <v>19.93</v>
      </c>
      <c r="AP1459" s="1">
        <f>VLOOKUP($C1459,'Substrate Heating'!$A$2:$M$33,13,FALSE)</f>
        <v>6</v>
      </c>
      <c r="AQ1459" s="1">
        <f>VLOOKUP($C1459,'Substrate Heating'!$A$2:$M$33,8,FALSE)</f>
        <v>1</v>
      </c>
      <c r="AR1459" s="1">
        <f t="shared" si="22"/>
        <v>1.2838077634011071</v>
      </c>
    </row>
    <row r="1460" spans="1:44" x14ac:dyDescent="0.2">
      <c r="A1460" s="8" t="s">
        <v>34</v>
      </c>
      <c r="B1460" s="9" t="s">
        <v>35</v>
      </c>
      <c r="C1460" s="1" t="s">
        <v>347</v>
      </c>
      <c r="D1460" s="23" t="s">
        <v>338</v>
      </c>
      <c r="E1460" s="1" t="s">
        <v>97</v>
      </c>
      <c r="F1460" s="1" t="s">
        <v>98</v>
      </c>
      <c r="G1460" s="1">
        <v>-10</v>
      </c>
      <c r="H1460" s="1">
        <v>-20</v>
      </c>
      <c r="I1460" s="1" t="s">
        <v>40</v>
      </c>
      <c r="J1460" s="1">
        <v>3.15</v>
      </c>
      <c r="K1460" s="1">
        <v>-10</v>
      </c>
      <c r="L1460" s="1">
        <v>-5.8299445471349403</v>
      </c>
      <c r="M1460" s="1" t="s">
        <v>40</v>
      </c>
      <c r="N1460" s="1">
        <v>-2.83807763401109</v>
      </c>
      <c r="O1460" s="1">
        <v>1.83401109057301</v>
      </c>
      <c r="Q1460" s="1">
        <v>0.183401109057301</v>
      </c>
      <c r="R1460" s="1">
        <v>1.04224123403636</v>
      </c>
      <c r="S1460" s="1" t="str">
        <f>VLOOKUP($E1460,'Product Naming'!$A$1:$P$58,2,FALSE)</f>
        <v>2-Pyrone-4-6-Dicarboxylate</v>
      </c>
      <c r="T1460" s="1" t="str">
        <f>VLOOKUP($E1460,'Product Naming'!$A$1:$P$58,3,FALSE)</f>
        <v>2-Pyrone 4,6-dicarboxylate</v>
      </c>
      <c r="U1460" s="1" t="str">
        <f>VLOOKUP($E1460,'Product Naming'!$A$1:$P$58,4,FALSE)</f>
        <v>A</v>
      </c>
      <c r="V1460" s="1" t="str">
        <f>VLOOKUP($E1460,'Product Naming'!$A$1:$P$58,5,FALSE)</f>
        <v>C7H2O6</v>
      </c>
      <c r="W1460" s="1">
        <f>VLOOKUP($E1460,'Product Naming'!$A$1:$P$58,6,FALSE)</f>
        <v>7</v>
      </c>
      <c r="X1460" s="1">
        <f>VLOOKUP($E1460,'Product Naming'!$A$1:$P$58,7,FALSE)</f>
        <v>2</v>
      </c>
      <c r="Y1460" s="1">
        <f>VLOOKUP($E1460,'Product Naming'!$A$1:$P$58,8,FALSE)</f>
        <v>6</v>
      </c>
      <c r="Z1460" s="1">
        <f>VLOOKUP($E1460,'Product Naming'!$A$1:$P$58,9,FALSE)</f>
        <v>0</v>
      </c>
      <c r="AA1460" s="1">
        <f>VLOOKUP($E1460,'Product Naming'!$A$1:$P$58,10,FALSE)</f>
        <v>-2</v>
      </c>
      <c r="AB1460" s="29">
        <f>VLOOKUP($E1460,'Product Naming'!$A$1:$P$58,11,FALSE)</f>
        <v>2.5714285714285716</v>
      </c>
      <c r="AC1460" s="3">
        <f>VLOOKUP($E1460,'Product Naming'!$A$1:$P$58,12,FALSE)</f>
        <v>182.08458000000002</v>
      </c>
      <c r="AD1460" s="1">
        <f>VLOOKUP($E1460,'Product Naming'!$A$1:$P$58,13,FALSE)</f>
        <v>355.5</v>
      </c>
      <c r="AE1460" s="1" t="str">
        <f>VLOOKUP($E1460,'Product Naming'!$A$1:$P$58,14,FALSE)</f>
        <v>Dicarboxylate</v>
      </c>
      <c r="AF1460" s="1" t="str">
        <f>VLOOKUP($E1460,'Product Naming'!$A$1:$P$58,15,FALSE)</f>
        <v>Glyceraldehyde 3-P</v>
      </c>
      <c r="AG1460" s="30" t="str">
        <f>VLOOKUP($E1460,'Product Naming'!$A$1:$P$58,16,FALSE)</f>
        <v>Proton symporter</v>
      </c>
      <c r="AH1460" s="3" t="str">
        <f>VLOOKUP($E1460,'Product Naming'!$A$1:$Q$58,17,FALSE)</f>
        <v>2p46dc_c</v>
      </c>
      <c r="AI1460" s="1">
        <f>VLOOKUP($E1460,'Product Parameters'!$A$2:$D$59,2,FALSE)</f>
        <v>1</v>
      </c>
      <c r="AJ1460" s="1">
        <f>VLOOKUP($E1460,'Product Parameters'!$A$2:$D$59,3,FALSE)</f>
        <v>0</v>
      </c>
      <c r="AK1460" s="1">
        <f>VLOOKUP($E1460,'Product Parameters'!$A$2:$D$59,4,FALSE)</f>
        <v>0.12</v>
      </c>
      <c r="AL1460" s="1">
        <f>VLOOKUP($E1460,'Product Parameters'!$A$2:$E$59,5,FALSE)</f>
        <v>0</v>
      </c>
      <c r="AM1460" s="1">
        <f>VLOOKUP($E1460,'Product Parameters'!$A$2:$F$59,6,FALSE)</f>
        <v>7</v>
      </c>
      <c r="AN1460" s="1">
        <f>VLOOKUP($C1460,'Substrate Heating'!$A$2:$C$33,3,FALSE)</f>
        <v>638.57832580000002</v>
      </c>
      <c r="AO1460" s="1">
        <f>VLOOKUP($C1460,'Substrate Heating'!$A$2:$B$33,2,FALSE)</f>
        <v>19.93</v>
      </c>
      <c r="AP1460" s="1">
        <f>VLOOKUP($C1460,'Substrate Heating'!$A$2:$M$33,13,FALSE)</f>
        <v>6</v>
      </c>
      <c r="AQ1460" s="1">
        <f>VLOOKUP($C1460,'Substrate Heating'!$A$2:$M$33,8,FALSE)</f>
        <v>1</v>
      </c>
      <c r="AR1460" s="1">
        <f t="shared" si="22"/>
        <v>1.2838077634011071</v>
      </c>
    </row>
    <row r="1461" spans="1:44" x14ac:dyDescent="0.2">
      <c r="A1461" s="8" t="s">
        <v>34</v>
      </c>
      <c r="B1461" s="9" t="s">
        <v>35</v>
      </c>
      <c r="C1461" s="1" t="s">
        <v>332</v>
      </c>
      <c r="D1461" s="10" t="s">
        <v>37</v>
      </c>
      <c r="E1461" s="1" t="s">
        <v>198</v>
      </c>
      <c r="F1461" s="1" t="s">
        <v>199</v>
      </c>
      <c r="G1461" s="1">
        <v>-10</v>
      </c>
      <c r="H1461" s="1">
        <v>-20</v>
      </c>
      <c r="I1461" s="1" t="s">
        <v>40</v>
      </c>
      <c r="J1461" s="1">
        <v>3.15</v>
      </c>
      <c r="K1461" s="1">
        <v>-10</v>
      </c>
      <c r="L1461" s="1">
        <v>-2.5813953488372099</v>
      </c>
      <c r="M1461" s="1" t="s">
        <v>40</v>
      </c>
      <c r="N1461" s="1">
        <v>-1.9348837209302401</v>
      </c>
      <c r="O1461" s="1">
        <v>5.48372093023257</v>
      </c>
      <c r="Q1461" s="1">
        <v>0.54837209302325696</v>
      </c>
      <c r="R1461" s="1">
        <v>1.04875616411757</v>
      </c>
      <c r="S1461" s="1" t="str">
        <f>VLOOKUP($E1461,'Product Naming'!$A$1:$P$58,2,FALSE)</f>
        <v>EthylAcetate</v>
      </c>
      <c r="T1461" s="1" t="str">
        <f>VLOOKUP($E1461,'Product Naming'!$A$1:$P$58,3,FALSE)</f>
        <v>Ethyl acetate</v>
      </c>
      <c r="U1461" s="1" t="str">
        <f>VLOOKUP($E1461,'Product Naming'!$A$1:$P$58,4,FALSE)</f>
        <v>E</v>
      </c>
      <c r="V1461" s="1" t="str">
        <f>VLOOKUP($E1461,'Product Naming'!$A$1:$P$58,5,FALSE)</f>
        <v>C4H8O2</v>
      </c>
      <c r="W1461" s="1">
        <f>VLOOKUP($E1461,'Product Naming'!$A$1:$P$58,6,FALSE)</f>
        <v>4</v>
      </c>
      <c r="X1461" s="1">
        <f>VLOOKUP($E1461,'Product Naming'!$A$1:$P$58,7,FALSE)</f>
        <v>8</v>
      </c>
      <c r="Y1461" s="1">
        <f>VLOOKUP($E1461,'Product Naming'!$A$1:$P$58,8,FALSE)</f>
        <v>2</v>
      </c>
      <c r="Z1461" s="1">
        <f>VLOOKUP($E1461,'Product Naming'!$A$1:$P$58,9,FALSE)</f>
        <v>0</v>
      </c>
      <c r="AA1461" s="1">
        <f>VLOOKUP($E1461,'Product Naming'!$A$1:$P$58,10,FALSE)</f>
        <v>0</v>
      </c>
      <c r="AB1461" s="29">
        <f>VLOOKUP($E1461,'Product Naming'!$A$1:$P$58,11,FALSE)</f>
        <v>5</v>
      </c>
      <c r="AC1461" s="3">
        <f>VLOOKUP($E1461,'Product Naming'!$A$1:$P$58,12,FALSE)</f>
        <v>88.103520000000003</v>
      </c>
      <c r="AD1461" s="1">
        <f>VLOOKUP($E1461,'Product Naming'!$A$1:$P$58,13,FALSE)</f>
        <v>77.099999999999994</v>
      </c>
      <c r="AE1461" s="1" t="str">
        <f>VLOOKUP($E1461,'Product Naming'!$A$1:$P$58,14,FALSE)</f>
        <v>Carboxylate Ester</v>
      </c>
      <c r="AF1461" s="1" t="str">
        <f>VLOOKUP($E1461,'Product Naming'!$A$1:$P$58,15,FALSE)</f>
        <v>Acetyl-CoA</v>
      </c>
      <c r="AG1461" s="30" t="str">
        <f>VLOOKUP($E1461,'Product Naming'!$A$1:$P$58,16,FALSE)</f>
        <v>Proton symporter</v>
      </c>
      <c r="AH1461" s="3" t="str">
        <f>VLOOKUP($E1461,'Product Naming'!$A$1:$Q$58,17,FALSE)</f>
        <v>aces_c</v>
      </c>
      <c r="AI1461" s="1">
        <f>VLOOKUP($E1461,'Product Parameters'!$A$2:$D$59,2,FALSE)</f>
        <v>1</v>
      </c>
      <c r="AJ1461" s="1">
        <f>VLOOKUP($E1461,'Product Parameters'!$A$2:$D$59,3,FALSE)</f>
        <v>0</v>
      </c>
      <c r="AK1461" s="1">
        <f>VLOOKUP($E1461,'Product Parameters'!$A$2:$D$59,4,FALSE)</f>
        <v>0.12</v>
      </c>
      <c r="AL1461" s="1">
        <f>VLOOKUP($E1461,'Product Parameters'!$A$2:$E$59,5,FALSE)</f>
        <v>35</v>
      </c>
      <c r="AM1461" s="1">
        <f>VLOOKUP($E1461,'Product Parameters'!$A$2:$F$59,6,FALSE)</f>
        <v>4</v>
      </c>
      <c r="AN1461" s="1">
        <f>VLOOKUP($C1461,'Substrate Heating'!$A$2:$C$33,3,FALSE)</f>
        <v>1230.0006480000002</v>
      </c>
      <c r="AO1461" s="1">
        <f>VLOOKUP($C1461,'Substrate Heating'!$A$2:$B$33,2,FALSE)</f>
        <v>26.7</v>
      </c>
      <c r="AP1461" s="1">
        <f>VLOOKUP($C1461,'Substrate Heating'!$A$2:$M$33,13,FALSE)</f>
        <v>6</v>
      </c>
      <c r="AQ1461" s="1">
        <f>VLOOKUP($C1461,'Substrate Heating'!$A$2:$M$33,8,FALSE)</f>
        <v>2</v>
      </c>
      <c r="AR1461" s="1">
        <f t="shared" si="22"/>
        <v>1.0967441860465139</v>
      </c>
    </row>
    <row r="1462" spans="1:44" x14ac:dyDescent="0.2">
      <c r="A1462" s="8" t="s">
        <v>812</v>
      </c>
      <c r="B1462" s="18" t="s">
        <v>324</v>
      </c>
      <c r="C1462" t="s">
        <v>814</v>
      </c>
      <c r="E1462" t="s">
        <v>60</v>
      </c>
      <c r="F1462" t="s">
        <v>61</v>
      </c>
      <c r="G1462">
        <v>-10</v>
      </c>
      <c r="H1462">
        <v>0</v>
      </c>
      <c r="I1462">
        <v>-10</v>
      </c>
      <c r="J1462">
        <v>0.45</v>
      </c>
      <c r="K1462">
        <v>-6</v>
      </c>
      <c r="L1462">
        <v>0</v>
      </c>
      <c r="M1462">
        <v>-10</v>
      </c>
      <c r="N1462">
        <v>0</v>
      </c>
      <c r="O1462">
        <v>2</v>
      </c>
      <c r="P1462"/>
      <c r="Q1462">
        <v>0.33333333333333298</v>
      </c>
      <c r="R1462">
        <v>1.04930719884386</v>
      </c>
      <c r="S1462" s="1" t="str">
        <f>VLOOKUP($E1462,'Product Naming'!$A$1:$P$58,2,FALSE)</f>
        <v>1-3-Propanediol</v>
      </c>
      <c r="T1462" s="1" t="str">
        <f>VLOOKUP($E1462,'Product Naming'!$A$1:$P$58,3,FALSE)</f>
        <v>1,3-Propanediol</v>
      </c>
      <c r="U1462" s="1" t="str">
        <f>VLOOKUP($E1462,'Product Naming'!$A$1:$P$58,4,FALSE)</f>
        <v>A</v>
      </c>
      <c r="V1462" s="1" t="str">
        <f>VLOOKUP($E1462,'Product Naming'!$A$1:$P$58,5,FALSE)</f>
        <v>C3H8O2</v>
      </c>
      <c r="W1462" s="1">
        <f>VLOOKUP($E1462,'Product Naming'!$A$1:$P$58,6,FALSE)</f>
        <v>3</v>
      </c>
      <c r="X1462" s="1">
        <f>VLOOKUP($E1462,'Product Naming'!$A$1:$P$58,7,FALSE)</f>
        <v>8</v>
      </c>
      <c r="Y1462" s="1">
        <f>VLOOKUP($E1462,'Product Naming'!$A$1:$P$58,8,FALSE)</f>
        <v>2</v>
      </c>
      <c r="Z1462" s="1">
        <f>VLOOKUP($E1462,'Product Naming'!$A$1:$P$58,9,FALSE)</f>
        <v>0</v>
      </c>
      <c r="AA1462" s="1">
        <f>VLOOKUP($E1462,'Product Naming'!$A$1:$P$58,10,FALSE)</f>
        <v>0</v>
      </c>
      <c r="AB1462" s="29">
        <f>VLOOKUP($E1462,'Product Naming'!$A$1:$P$58,11,FALSE)</f>
        <v>5.333333333333333</v>
      </c>
      <c r="AC1462" s="3">
        <f>VLOOKUP($E1462,'Product Naming'!$A$1:$P$58,12,FALSE)</f>
        <v>76.092820000000003</v>
      </c>
      <c r="AD1462" s="1">
        <f>VLOOKUP($E1462,'Product Naming'!$A$1:$P$58,13,FALSE)</f>
        <v>213</v>
      </c>
      <c r="AE1462" s="1" t="str">
        <f>VLOOKUP($E1462,'Product Naming'!$A$1:$P$58,14,FALSE)</f>
        <v>Diol</v>
      </c>
      <c r="AF1462" s="1" t="str">
        <f>VLOOKUP($E1462,'Product Naming'!$A$1:$P$58,15,FALSE)</f>
        <v>Glyceraldehyde 3-P</v>
      </c>
      <c r="AG1462" s="30" t="str">
        <f>VLOOKUP($E1462,'Product Naming'!$A$1:$P$58,16,FALSE)</f>
        <v>Proton symporter</v>
      </c>
      <c r="AH1462" s="3" t="str">
        <f>VLOOKUP($E1462,'Product Naming'!$A$1:$Q$58,17,FALSE)</f>
        <v>13ppd_c</v>
      </c>
      <c r="AI1462" s="1">
        <f>VLOOKUP($E1462,'Product Parameters'!$A$2:$D$59,2,FALSE)</f>
        <v>1</v>
      </c>
      <c r="AJ1462" s="1">
        <f>VLOOKUP($E1462,'Product Parameters'!$A$2:$D$59,3,FALSE)</f>
        <v>0</v>
      </c>
      <c r="AK1462" s="1">
        <f>VLOOKUP($E1462,'Product Parameters'!$A$2:$D$59,4,FALSE)</f>
        <v>0.12</v>
      </c>
      <c r="AL1462" s="1">
        <f>VLOOKUP($E1462,'Product Parameters'!$A$2:$E$59,5,FALSE)</f>
        <v>70</v>
      </c>
      <c r="AM1462" s="1">
        <f>VLOOKUP($E1462,'Product Parameters'!$A$2:$F$59,6,FALSE)</f>
        <v>3</v>
      </c>
      <c r="AN1462" s="1">
        <f>VLOOKUP($C1462,'Substrate Heating'!$A$2:$C$33,3,FALSE)</f>
        <v>209.92000000000002</v>
      </c>
      <c r="AO1462" s="1">
        <f>VLOOKUP($C1462,'Substrate Heating'!$A$2:$B$33,2,FALSE)</f>
        <v>10.086540906516333</v>
      </c>
      <c r="AP1462" s="1">
        <f>VLOOKUP($C1462,'Substrate Heating'!$A$2:$M$33,13,FALSE)</f>
        <v>0.8</v>
      </c>
      <c r="AQ1462" s="1">
        <f>VLOOKUP($C1462,'Substrate Heating'!$A$2:$M$33,8,FALSE)</f>
        <v>0.8</v>
      </c>
      <c r="AR1462" s="1">
        <f t="shared" si="22"/>
        <v>1.2499999999999984</v>
      </c>
    </row>
    <row r="1463" spans="1:44" x14ac:dyDescent="0.2">
      <c r="A1463" s="8" t="s">
        <v>34</v>
      </c>
      <c r="B1463" s="9" t="s">
        <v>35</v>
      </c>
      <c r="C1463" s="1" t="s">
        <v>344</v>
      </c>
      <c r="D1463" s="10" t="s">
        <v>37</v>
      </c>
      <c r="E1463" s="1" t="s">
        <v>275</v>
      </c>
      <c r="F1463" s="1" t="s">
        <v>276</v>
      </c>
      <c r="G1463" s="1">
        <v>-10</v>
      </c>
      <c r="H1463" s="1">
        <v>-20</v>
      </c>
      <c r="I1463" s="1" t="s">
        <v>40</v>
      </c>
      <c r="J1463" s="1">
        <v>3.15</v>
      </c>
      <c r="K1463" s="1">
        <v>-10</v>
      </c>
      <c r="L1463" s="1">
        <v>-7.5402985074626896</v>
      </c>
      <c r="M1463" s="1" t="s">
        <v>40</v>
      </c>
      <c r="N1463" s="1">
        <v>1.3104477611940299</v>
      </c>
      <c r="O1463" s="1">
        <v>6.2298507462686601</v>
      </c>
      <c r="Q1463" s="1">
        <v>0.62298507462686603</v>
      </c>
      <c r="R1463" s="1">
        <v>1.05861173480496</v>
      </c>
      <c r="S1463" s="1" t="str">
        <f>VLOOKUP($E1463,'Product Naming'!$A$1:$P$58,2,FALSE)</f>
        <v>Malonate</v>
      </c>
      <c r="T1463" s="1" t="str">
        <f>VLOOKUP($E1463,'Product Naming'!$A$1:$P$58,3,FALSE)</f>
        <v>Malonate</v>
      </c>
      <c r="U1463" s="1" t="str">
        <f>VLOOKUP($E1463,'Product Naming'!$A$1:$P$58,4,FALSE)</f>
        <v>A</v>
      </c>
      <c r="V1463" s="1" t="str">
        <f>VLOOKUP($E1463,'Product Naming'!$A$1:$P$58,5,FALSE)</f>
        <v>C3H2O4</v>
      </c>
      <c r="W1463" s="1">
        <f>VLOOKUP($E1463,'Product Naming'!$A$1:$P$58,6,FALSE)</f>
        <v>3</v>
      </c>
      <c r="X1463" s="1">
        <f>VLOOKUP($E1463,'Product Naming'!$A$1:$P$58,7,FALSE)</f>
        <v>2</v>
      </c>
      <c r="Y1463" s="1">
        <f>VLOOKUP($E1463,'Product Naming'!$A$1:$P$58,8,FALSE)</f>
        <v>4</v>
      </c>
      <c r="Z1463" s="1">
        <f>VLOOKUP($E1463,'Product Naming'!$A$1:$P$58,9,FALSE)</f>
        <v>0</v>
      </c>
      <c r="AA1463" s="1">
        <f>VLOOKUP($E1463,'Product Naming'!$A$1:$P$58,10,FALSE)</f>
        <v>-2</v>
      </c>
      <c r="AB1463" s="29">
        <f>VLOOKUP($E1463,'Product Naming'!$A$1:$P$58,11,FALSE)</f>
        <v>2</v>
      </c>
      <c r="AC1463" s="3">
        <f>VLOOKUP($E1463,'Product Naming'!$A$1:$P$58,12,FALSE)</f>
        <v>102.04378</v>
      </c>
      <c r="AD1463" s="1">
        <f>VLOOKUP($E1463,'Product Naming'!$A$1:$P$58,13,FALSE)</f>
        <v>199</v>
      </c>
      <c r="AE1463" s="1" t="str">
        <f>VLOOKUP($E1463,'Product Naming'!$A$1:$P$58,14,FALSE)</f>
        <v>Dicarboxylate</v>
      </c>
      <c r="AF1463" s="1" t="str">
        <f>VLOOKUP($E1463,'Product Naming'!$A$1:$P$58,15,FALSE)</f>
        <v>Oxaloacetate</v>
      </c>
      <c r="AG1463" s="30" t="str">
        <f>VLOOKUP($E1463,'Product Naming'!$A$1:$P$58,16,FALSE)</f>
        <v>Proton symporter</v>
      </c>
      <c r="AH1463" s="3" t="str">
        <f>VLOOKUP($E1463,'Product Naming'!$A$1:$Q$58,17,FALSE)</f>
        <v>malon_c</v>
      </c>
      <c r="AI1463" s="1">
        <f>VLOOKUP($E1463,'Product Parameters'!$A$2:$D$59,2,FALSE)</f>
        <v>1</v>
      </c>
      <c r="AJ1463" s="1">
        <f>VLOOKUP($E1463,'Product Parameters'!$A$2:$D$59,3,FALSE)</f>
        <v>0</v>
      </c>
      <c r="AK1463" s="1">
        <f>VLOOKUP($E1463,'Product Parameters'!$A$2:$D$59,4,FALSE)</f>
        <v>0.12</v>
      </c>
      <c r="AL1463" s="1">
        <f>VLOOKUP($E1463,'Product Parameters'!$A$2:$E$59,5,FALSE)</f>
        <v>40.65</v>
      </c>
      <c r="AM1463" s="1">
        <f>VLOOKUP($E1463,'Product Parameters'!$A$2:$F$59,6,FALSE)</f>
        <v>3</v>
      </c>
      <c r="AN1463" s="1">
        <f>VLOOKUP($C1463,'Substrate Heating'!$A$2:$C$33,3,FALSE)</f>
        <v>1020.8629199999999</v>
      </c>
      <c r="AO1463" s="1">
        <f>VLOOKUP($C1463,'Substrate Heating'!$A$2:$B$33,2,FALSE)</f>
        <v>17</v>
      </c>
      <c r="AP1463" s="1">
        <f>VLOOKUP($C1463,'Substrate Heating'!$A$2:$M$33,13,FALSE)</f>
        <v>4</v>
      </c>
      <c r="AQ1463" s="1">
        <f>VLOOKUP($C1463,'Substrate Heating'!$A$2:$M$33,8,FALSE)</f>
        <v>2</v>
      </c>
      <c r="AR1463" s="1">
        <f t="shared" si="22"/>
        <v>0.9344776119402991</v>
      </c>
    </row>
    <row r="1464" spans="1:44" x14ac:dyDescent="0.2">
      <c r="A1464" s="8" t="s">
        <v>34</v>
      </c>
      <c r="B1464" s="9" t="s">
        <v>35</v>
      </c>
      <c r="C1464" s="1" t="s">
        <v>332</v>
      </c>
      <c r="D1464" s="10" t="s">
        <v>37</v>
      </c>
      <c r="E1464" s="1" t="s">
        <v>171</v>
      </c>
      <c r="F1464" s="1" t="s">
        <v>172</v>
      </c>
      <c r="G1464" s="1">
        <v>-10</v>
      </c>
      <c r="H1464" s="1">
        <v>-20</v>
      </c>
      <c r="I1464" s="1" t="s">
        <v>40</v>
      </c>
      <c r="J1464" s="1">
        <v>3.15</v>
      </c>
      <c r="K1464" s="1">
        <v>-10</v>
      </c>
      <c r="L1464" s="1">
        <v>-1.9285714285714399</v>
      </c>
      <c r="M1464" s="1" t="s">
        <v>40</v>
      </c>
      <c r="N1464" s="1">
        <v>-2.4571428571428999</v>
      </c>
      <c r="O1464" s="1">
        <v>5.6142857142856899</v>
      </c>
      <c r="Q1464" s="1">
        <v>0.56142857142856895</v>
      </c>
      <c r="R1464" s="1">
        <v>1.0614439005076</v>
      </c>
      <c r="S1464" s="1" t="str">
        <f>VLOOKUP($E1464,'Product Naming'!$A$1:$P$58,2,FALSE)</f>
        <v>Butyrate</v>
      </c>
      <c r="T1464" s="1" t="str">
        <f>VLOOKUP($E1464,'Product Naming'!$A$1:$P$58,3,FALSE)</f>
        <v>Butyrate</v>
      </c>
      <c r="U1464" s="1" t="str">
        <f>VLOOKUP($E1464,'Product Naming'!$A$1:$P$58,4,FALSE)</f>
        <v>A</v>
      </c>
      <c r="V1464" s="1" t="str">
        <f>VLOOKUP($E1464,'Product Naming'!$A$1:$P$58,5,FALSE)</f>
        <v>C4H7O2</v>
      </c>
      <c r="W1464" s="1">
        <f>VLOOKUP($E1464,'Product Naming'!$A$1:$P$58,6,FALSE)</f>
        <v>4</v>
      </c>
      <c r="X1464" s="1">
        <f>VLOOKUP($E1464,'Product Naming'!$A$1:$P$58,7,FALSE)</f>
        <v>7</v>
      </c>
      <c r="Y1464" s="1">
        <f>VLOOKUP($E1464,'Product Naming'!$A$1:$P$58,8,FALSE)</f>
        <v>2</v>
      </c>
      <c r="Z1464" s="1">
        <f>VLOOKUP($E1464,'Product Naming'!$A$1:$P$58,9,FALSE)</f>
        <v>0</v>
      </c>
      <c r="AA1464" s="1">
        <f>VLOOKUP($E1464,'Product Naming'!$A$1:$P$58,10,FALSE)</f>
        <v>-1</v>
      </c>
      <c r="AB1464" s="29">
        <f>VLOOKUP($E1464,'Product Naming'!$A$1:$P$58,11,FALSE)</f>
        <v>4.75</v>
      </c>
      <c r="AC1464" s="3">
        <f>VLOOKUP($E1464,'Product Naming'!$A$1:$P$58,12,FALSE)</f>
        <v>87.095680000000002</v>
      </c>
      <c r="AD1464" s="1">
        <f>VLOOKUP($E1464,'Product Naming'!$A$1:$P$58,13,FALSE)</f>
        <v>163.5</v>
      </c>
      <c r="AE1464" s="1" t="str">
        <f>VLOOKUP($E1464,'Product Naming'!$A$1:$P$58,14,FALSE)</f>
        <v>Carboxylate</v>
      </c>
      <c r="AF1464" s="1" t="str">
        <f>VLOOKUP($E1464,'Product Naming'!$A$1:$P$58,15,FALSE)</f>
        <v>Acetyl-CoA</v>
      </c>
      <c r="AG1464" s="30" t="str">
        <f>VLOOKUP($E1464,'Product Naming'!$A$1:$P$58,16,FALSE)</f>
        <v>Proton symporter</v>
      </c>
      <c r="AH1464" s="3" t="str">
        <f>VLOOKUP($E1464,'Product Naming'!$A$1:$Q$58,17,FALSE)</f>
        <v>but_c</v>
      </c>
      <c r="AI1464" s="1">
        <f>VLOOKUP($E1464,'Product Parameters'!$A$2:$D$59,2,FALSE)</f>
        <v>1</v>
      </c>
      <c r="AJ1464" s="1">
        <f>VLOOKUP($E1464,'Product Parameters'!$A$2:$D$59,3,FALSE)</f>
        <v>0</v>
      </c>
      <c r="AK1464" s="1">
        <f>VLOOKUP($E1464,'Product Parameters'!$A$2:$D$59,4,FALSE)</f>
        <v>0.12</v>
      </c>
      <c r="AL1464" s="1">
        <f>VLOOKUP($E1464,'Product Parameters'!$A$2:$E$59,5,FALSE)</f>
        <v>42</v>
      </c>
      <c r="AM1464" s="1">
        <f>VLOOKUP($E1464,'Product Parameters'!$A$2:$F$59,6,FALSE)</f>
        <v>4</v>
      </c>
      <c r="AN1464" s="1">
        <f>VLOOKUP($C1464,'Substrate Heating'!$A$2:$C$33,3,FALSE)</f>
        <v>1230.0006480000002</v>
      </c>
      <c r="AO1464" s="1">
        <f>VLOOKUP($C1464,'Substrate Heating'!$A$2:$B$33,2,FALSE)</f>
        <v>26.7</v>
      </c>
      <c r="AP1464" s="1">
        <f>VLOOKUP($C1464,'Substrate Heating'!$A$2:$M$33,13,FALSE)</f>
        <v>6</v>
      </c>
      <c r="AQ1464" s="1">
        <f>VLOOKUP($C1464,'Substrate Heating'!$A$2:$M$33,8,FALSE)</f>
        <v>2</v>
      </c>
      <c r="AR1464" s="1">
        <f t="shared" si="22"/>
        <v>1.1228571428571379</v>
      </c>
    </row>
    <row r="1465" spans="1:44" x14ac:dyDescent="0.2">
      <c r="A1465" s="17" t="s">
        <v>185</v>
      </c>
      <c r="B1465" s="9" t="s">
        <v>35</v>
      </c>
      <c r="C1465" t="s">
        <v>322</v>
      </c>
      <c r="D1465" s="10" t="s">
        <v>37</v>
      </c>
      <c r="E1465" t="s">
        <v>269</v>
      </c>
      <c r="F1465" t="s">
        <v>270</v>
      </c>
      <c r="G1465">
        <v>-10</v>
      </c>
      <c r="H1465">
        <v>-20</v>
      </c>
      <c r="I1465" s="1" t="s">
        <v>40</v>
      </c>
      <c r="J1465">
        <v>3.15</v>
      </c>
      <c r="K1465">
        <v>-10</v>
      </c>
      <c r="L1465">
        <v>-5.7560000000000002</v>
      </c>
      <c r="M1465" s="1" t="s">
        <v>40</v>
      </c>
      <c r="N1465">
        <v>1.008</v>
      </c>
      <c r="O1465">
        <v>4.7480000000000002</v>
      </c>
      <c r="P1465"/>
      <c r="Q1465">
        <v>0.4748</v>
      </c>
      <c r="R1465">
        <v>1.0620483737592901</v>
      </c>
      <c r="S1465" s="1" t="str">
        <f>VLOOKUP($E1465,'Product Naming'!$A$1:$P$58,2,FALSE)</f>
        <v>Malate_L</v>
      </c>
      <c r="T1465" s="1" t="str">
        <f>VLOOKUP($E1465,'Product Naming'!$A$1:$P$58,3,FALSE)</f>
        <v>L-Malate</v>
      </c>
      <c r="U1465" s="1" t="str">
        <f>VLOOKUP($E1465,'Product Naming'!$A$1:$P$58,4,FALSE)</f>
        <v>iJO1366</v>
      </c>
      <c r="V1465" s="1" t="str">
        <f>VLOOKUP($E1465,'Product Naming'!$A$1:$P$58,5,FALSE)</f>
        <v>C4H4O5</v>
      </c>
      <c r="W1465" s="1">
        <f>VLOOKUP($E1465,'Product Naming'!$A$1:$P$58,6,FALSE)</f>
        <v>4</v>
      </c>
      <c r="X1465" s="1">
        <f>VLOOKUP($E1465,'Product Naming'!$A$1:$P$58,7,FALSE)</f>
        <v>4</v>
      </c>
      <c r="Y1465" s="1">
        <f>VLOOKUP($E1465,'Product Naming'!$A$1:$P$58,8,FALSE)</f>
        <v>5</v>
      </c>
      <c r="Z1465" s="1">
        <f>VLOOKUP($E1465,'Product Naming'!$A$1:$P$58,9,FALSE)</f>
        <v>0</v>
      </c>
      <c r="AA1465" s="1">
        <f>VLOOKUP($E1465,'Product Naming'!$A$1:$P$58,10,FALSE)</f>
        <v>-2</v>
      </c>
      <c r="AB1465" s="29">
        <f>VLOOKUP($E1465,'Product Naming'!$A$1:$P$58,11,FALSE)</f>
        <v>2.5</v>
      </c>
      <c r="AC1465" s="3">
        <f>VLOOKUP($E1465,'Product Naming'!$A$1:$P$58,12,FALSE)</f>
        <v>132.06916000000001</v>
      </c>
      <c r="AD1465" s="1" t="str">
        <f>VLOOKUP($E1465,'Product Naming'!$A$1:$P$58,13,FALSE)</f>
        <v>NA</v>
      </c>
      <c r="AE1465" s="1" t="str">
        <f>VLOOKUP($E1465,'Product Naming'!$A$1:$P$58,14,FALSE)</f>
        <v>Dicarboxylate</v>
      </c>
      <c r="AF1465" s="1" t="str">
        <f>VLOOKUP($E1465,'Product Naming'!$A$1:$P$58,15,FALSE)</f>
        <v>Oxaloacetate</v>
      </c>
      <c r="AG1465" s="30" t="str">
        <f>VLOOKUP($E1465,'Product Naming'!$A$1:$P$58,16,FALSE)</f>
        <v>Proton symporter</v>
      </c>
      <c r="AH1465" s="3" t="str">
        <f>VLOOKUP($E1465,'Product Naming'!$A$1:$Q$58,17,FALSE)</f>
        <v>mal__L_e</v>
      </c>
      <c r="AI1465" s="1">
        <f>VLOOKUP($E1465,'Product Parameters'!$A$2:$D$59,2,FALSE)</f>
        <v>1</v>
      </c>
      <c r="AJ1465" s="1">
        <f>VLOOKUP($E1465,'Product Parameters'!$A$2:$D$59,3,FALSE)</f>
        <v>0</v>
      </c>
      <c r="AK1465" s="1">
        <f>VLOOKUP($E1465,'Product Parameters'!$A$2:$D$59,4,FALSE)</f>
        <v>0.12</v>
      </c>
      <c r="AL1465" s="1">
        <f>VLOOKUP($E1465,'Product Parameters'!$A$2:$E$59,5,FALSE)</f>
        <v>40.65</v>
      </c>
      <c r="AM1465" s="1">
        <f>VLOOKUP($E1465,'Product Parameters'!$A$2:$F$59,6,FALSE)</f>
        <v>4</v>
      </c>
      <c r="AN1465" s="1">
        <f>VLOOKUP($C1465,'Substrate Heating'!$A$2:$C$33,3,FALSE)</f>
        <v>876.74109599999997</v>
      </c>
      <c r="AO1465" s="1">
        <f>VLOOKUP($C1465,'Substrate Heating'!$A$2:$B$33,2,FALSE)</f>
        <v>14.6</v>
      </c>
      <c r="AP1465" s="1">
        <f>VLOOKUP($C1465,'Substrate Heating'!$A$2:$M$33,13,FALSE)</f>
        <v>3.5</v>
      </c>
      <c r="AQ1465" s="1">
        <f>VLOOKUP($C1465,'Substrate Heating'!$A$2:$M$33,8,FALSE)</f>
        <v>2</v>
      </c>
      <c r="AR1465" s="1">
        <f t="shared" si="22"/>
        <v>0.9496</v>
      </c>
    </row>
    <row r="1466" spans="1:44" x14ac:dyDescent="0.2">
      <c r="A1466" s="17" t="s">
        <v>185</v>
      </c>
      <c r="B1466" s="9" t="s">
        <v>35</v>
      </c>
      <c r="C1466" t="s">
        <v>343</v>
      </c>
      <c r="D1466" s="24" t="s">
        <v>342</v>
      </c>
      <c r="E1466" t="s">
        <v>215</v>
      </c>
      <c r="F1466" t="s">
        <v>216</v>
      </c>
      <c r="G1466">
        <v>-10</v>
      </c>
      <c r="H1466">
        <v>-20</v>
      </c>
      <c r="I1466" s="1" t="s">
        <v>40</v>
      </c>
      <c r="J1466">
        <v>3.15</v>
      </c>
      <c r="K1466">
        <v>-10</v>
      </c>
      <c r="L1466">
        <v>-4.8634328358209</v>
      </c>
      <c r="M1466" s="1" t="s">
        <v>40</v>
      </c>
      <c r="N1466">
        <v>-3.48507462686567</v>
      </c>
      <c r="O1466">
        <v>6.6970149253731304</v>
      </c>
      <c r="P1466"/>
      <c r="Q1466">
        <v>0.66970149253731304</v>
      </c>
      <c r="R1466">
        <v>1.06256922355854</v>
      </c>
      <c r="S1466" s="1" t="str">
        <f>VLOOKUP($E1466,'Product Naming'!$A$1:$P$58,2,FALSE)</f>
        <v>Glutamate_L</v>
      </c>
      <c r="T1466" s="1" t="str">
        <f>VLOOKUP($E1466,'Product Naming'!$A$1:$P$58,3,FALSE)</f>
        <v>L-Glutamate</v>
      </c>
      <c r="U1466" s="1" t="str">
        <f>VLOOKUP($E1466,'Product Naming'!$A$1:$P$58,4,FALSE)</f>
        <v>iJO1366</v>
      </c>
      <c r="V1466" s="1" t="str">
        <f>VLOOKUP($E1466,'Product Naming'!$A$1:$P$58,5,FALSE)</f>
        <v>C5H8NO4</v>
      </c>
      <c r="W1466" s="1">
        <f>VLOOKUP($E1466,'Product Naming'!$A$1:$P$58,6,FALSE)</f>
        <v>5</v>
      </c>
      <c r="X1466" s="1">
        <f>VLOOKUP($E1466,'Product Naming'!$A$1:$P$58,7,FALSE)</f>
        <v>8</v>
      </c>
      <c r="Y1466" s="1">
        <f>VLOOKUP($E1466,'Product Naming'!$A$1:$P$58,8,FALSE)</f>
        <v>4</v>
      </c>
      <c r="Z1466" s="1">
        <f>VLOOKUP($E1466,'Product Naming'!$A$1:$P$58,9,FALSE)</f>
        <v>1</v>
      </c>
      <c r="AA1466" s="1">
        <f>VLOOKUP($E1466,'Product Naming'!$A$1:$P$58,10,FALSE)</f>
        <v>-1</v>
      </c>
      <c r="AB1466" s="29">
        <f>VLOOKUP($E1466,'Product Naming'!$A$1:$P$58,11,FALSE)</f>
        <v>3.4</v>
      </c>
      <c r="AC1466" s="3">
        <f>VLOOKUP($E1466,'Product Naming'!$A$1:$P$58,12,FALSE)</f>
        <v>146.11892</v>
      </c>
      <c r="AD1466" s="1">
        <f>VLOOKUP($E1466,'Product Naming'!$A$1:$P$58,13,FALSE)</f>
        <v>333.8</v>
      </c>
      <c r="AE1466" s="1" t="str">
        <f>VLOOKUP($E1466,'Product Naming'!$A$1:$P$58,14,FALSE)</f>
        <v>Amino acid</v>
      </c>
      <c r="AF1466" s="1" t="str">
        <f>VLOOKUP($E1466,'Product Naming'!$A$1:$P$58,15,FALSE)</f>
        <v>aKG</v>
      </c>
      <c r="AG1466" s="30" t="str">
        <f>VLOOKUP($E1466,'Product Naming'!$A$1:$P$58,16,FALSE)</f>
        <v>Proton symporter</v>
      </c>
      <c r="AH1466" s="3" t="str">
        <f>VLOOKUP($E1466,'Product Naming'!$A$1:$Q$58,17,FALSE)</f>
        <v>glu__L_c</v>
      </c>
      <c r="AI1466" s="1">
        <f>VLOOKUP($E1466,'Product Parameters'!$A$2:$D$59,2,FALSE)</f>
        <v>1</v>
      </c>
      <c r="AJ1466" s="1">
        <f>VLOOKUP($E1466,'Product Parameters'!$A$2:$D$59,3,FALSE)</f>
        <v>0</v>
      </c>
      <c r="AK1466" s="1">
        <f>VLOOKUP($E1466,'Product Parameters'!$A$2:$D$59,4,FALSE)</f>
        <v>0.12</v>
      </c>
      <c r="AL1466" s="1">
        <f>VLOOKUP($E1466,'Product Parameters'!$A$2:$E$59,5,FALSE)</f>
        <v>40.65</v>
      </c>
      <c r="AM1466" s="1">
        <f>VLOOKUP($E1466,'Product Parameters'!$A$2:$F$59,6,FALSE)</f>
        <v>5</v>
      </c>
      <c r="AN1466" s="1">
        <f>VLOOKUP($C1466,'Substrate Heating'!$A$2:$C$33,3,FALSE)</f>
        <v>1648.4793779999998</v>
      </c>
      <c r="AO1466" s="1">
        <f>VLOOKUP($C1466,'Substrate Heating'!$A$2:$B$33,2,FALSE)</f>
        <v>17.899999999999999</v>
      </c>
      <c r="AP1466" s="1">
        <f>VLOOKUP($C1466,'Substrate Heating'!$A$2:$M$33,13,FALSE)</f>
        <v>4.666666666666667</v>
      </c>
      <c r="AQ1466" s="1">
        <f>VLOOKUP($C1466,'Substrate Heating'!$A$2:$M$33,8,FALSE)</f>
        <v>3</v>
      </c>
      <c r="AR1466" s="1">
        <f t="shared" si="22"/>
        <v>1.116169154228855</v>
      </c>
    </row>
    <row r="1467" spans="1:44" x14ac:dyDescent="0.2">
      <c r="A1467" s="8" t="s">
        <v>34</v>
      </c>
      <c r="B1467" s="9" t="s">
        <v>35</v>
      </c>
      <c r="C1467" s="1" t="s">
        <v>36</v>
      </c>
      <c r="D1467" s="10" t="s">
        <v>37</v>
      </c>
      <c r="E1467" s="1" t="s">
        <v>308</v>
      </c>
      <c r="F1467" s="1" t="s">
        <v>309</v>
      </c>
      <c r="G1467" s="1">
        <v>-10</v>
      </c>
      <c r="H1467" s="1">
        <v>-20</v>
      </c>
      <c r="I1467" s="1" t="s">
        <v>40</v>
      </c>
      <c r="J1467" s="1">
        <v>3.15</v>
      </c>
      <c r="K1467" s="1">
        <v>-10</v>
      </c>
      <c r="L1467" s="1">
        <v>-6.0432432432432401</v>
      </c>
      <c r="M1467" s="1" t="s">
        <v>40</v>
      </c>
      <c r="N1467" s="1">
        <v>1.0432432432432499</v>
      </c>
      <c r="O1467" s="1">
        <v>2.7081081081081102</v>
      </c>
      <c r="Q1467" s="1">
        <v>0.27081081081081099</v>
      </c>
      <c r="R1467" s="1">
        <v>1.06439126057068</v>
      </c>
      <c r="S1467" s="1" t="str">
        <f>VLOOKUP($E1467,'Product Naming'!$A$1:$P$58,2,FALSE)</f>
        <v>Shikimate</v>
      </c>
      <c r="T1467" s="1" t="str">
        <f>VLOOKUP($E1467,'Product Naming'!$A$1:$P$58,3,FALSE)</f>
        <v>Shikimate</v>
      </c>
      <c r="U1467" s="1" t="str">
        <f>VLOOKUP($E1467,'Product Naming'!$A$1:$P$58,4,FALSE)</f>
        <v>E</v>
      </c>
      <c r="V1467" s="1" t="str">
        <f>VLOOKUP($E1467,'Product Naming'!$A$1:$P$58,5,FALSE)</f>
        <v>C7H9O5</v>
      </c>
      <c r="W1467" s="1">
        <f>VLOOKUP($E1467,'Product Naming'!$A$1:$P$58,6,FALSE)</f>
        <v>7</v>
      </c>
      <c r="X1467" s="1">
        <f>VLOOKUP($E1467,'Product Naming'!$A$1:$P$58,7,FALSE)</f>
        <v>9</v>
      </c>
      <c r="Y1467" s="1">
        <f>VLOOKUP($E1467,'Product Naming'!$A$1:$P$58,8,FALSE)</f>
        <v>5</v>
      </c>
      <c r="Z1467" s="1">
        <f>VLOOKUP($E1467,'Product Naming'!$A$1:$P$58,9,FALSE)</f>
        <v>0</v>
      </c>
      <c r="AA1467" s="1">
        <f>VLOOKUP($E1467,'Product Naming'!$A$1:$P$58,10,FALSE)</f>
        <v>-1</v>
      </c>
      <c r="AB1467" s="29">
        <f>VLOOKUP($E1467,'Product Naming'!$A$1:$P$58,11,FALSE)</f>
        <v>3.8571428571428572</v>
      </c>
      <c r="AC1467" s="3">
        <f>VLOOKUP($E1467,'Product Naming'!$A$1:$P$58,12,FALSE)</f>
        <v>173.14046000000002</v>
      </c>
      <c r="AD1467" s="1">
        <f>VLOOKUP($E1467,'Product Naming'!$A$1:$P$58,13,FALSE)</f>
        <v>400.5</v>
      </c>
      <c r="AE1467" s="1" t="str">
        <f>VLOOKUP($E1467,'Product Naming'!$A$1:$P$58,14,FALSE)</f>
        <v>Aromatic + Alcohol + Carboxylate</v>
      </c>
      <c r="AF1467" s="1" t="str">
        <f>VLOOKUP($E1467,'Product Naming'!$A$1:$P$58,15,FALSE)</f>
        <v>PEP + E4P (Glyceraldehyde 3-P)</v>
      </c>
      <c r="AG1467" s="30" t="str">
        <f>VLOOKUP($E1467,'Product Naming'!$A$1:$P$58,16,FALSE)</f>
        <v>Proton symporter</v>
      </c>
      <c r="AH1467" s="3" t="str">
        <f>VLOOKUP($E1467,'Product Naming'!$A$1:$Q$58,17,FALSE)</f>
        <v>skm_c</v>
      </c>
      <c r="AI1467" s="1">
        <f>VLOOKUP($E1467,'Product Parameters'!$A$2:$D$59,2,FALSE)</f>
        <v>1</v>
      </c>
      <c r="AJ1467" s="1">
        <f>VLOOKUP($E1467,'Product Parameters'!$A$2:$D$59,3,FALSE)</f>
        <v>0</v>
      </c>
      <c r="AK1467" s="1">
        <f>VLOOKUP($E1467,'Product Parameters'!$A$2:$D$59,4,FALSE)</f>
        <v>0.12</v>
      </c>
      <c r="AL1467" s="1">
        <f>VLOOKUP($E1467,'Product Parameters'!$A$2:$E$59,5,FALSE)</f>
        <v>40.65</v>
      </c>
      <c r="AM1467" s="1">
        <f>VLOOKUP($E1467,'Product Parameters'!$A$2:$F$59,6,FALSE)</f>
        <v>7</v>
      </c>
      <c r="AN1467" s="1">
        <f>VLOOKUP($C1467,'Substrate Heating'!$A$2:$C$33,3,FALSE)</f>
        <v>1064.1143145599999</v>
      </c>
      <c r="AO1467" s="1">
        <f>VLOOKUP($C1467,'Substrate Heating'!$A$2:$B$33,2,FALSE)</f>
        <v>24.155999999999999</v>
      </c>
      <c r="AP1467" s="1">
        <f>VLOOKUP($C1467,'Substrate Heating'!$A$2:$M$33,13,FALSE)</f>
        <v>5</v>
      </c>
      <c r="AQ1467" s="1">
        <f>VLOOKUP($C1467,'Substrate Heating'!$A$2:$M$33,8,FALSE)</f>
        <v>2</v>
      </c>
      <c r="AR1467" s="1">
        <f t="shared" si="22"/>
        <v>0.94783783783783848</v>
      </c>
    </row>
    <row r="1468" spans="1:44" x14ac:dyDescent="0.2">
      <c r="A1468" s="8" t="s">
        <v>34</v>
      </c>
      <c r="B1468" s="9" t="s">
        <v>35</v>
      </c>
      <c r="C1468" s="1" t="s">
        <v>332</v>
      </c>
      <c r="D1468" s="10" t="s">
        <v>37</v>
      </c>
      <c r="E1468" s="1" t="s">
        <v>221</v>
      </c>
      <c r="F1468" s="1" t="s">
        <v>222</v>
      </c>
      <c r="G1468" s="1">
        <v>-10</v>
      </c>
      <c r="H1468" s="1">
        <v>-20</v>
      </c>
      <c r="I1468" s="1" t="s">
        <v>40</v>
      </c>
      <c r="J1468" s="1">
        <v>3.15</v>
      </c>
      <c r="K1468" s="1">
        <v>-10</v>
      </c>
      <c r="L1468" s="1">
        <v>-11.0555555555556</v>
      </c>
      <c r="M1468" s="1" t="s">
        <v>40</v>
      </c>
      <c r="N1468" s="1">
        <v>1.05555555555557</v>
      </c>
      <c r="O1468" s="1">
        <v>3.7888888888888901</v>
      </c>
      <c r="Q1468" s="1">
        <v>0.378888888888889</v>
      </c>
      <c r="R1468" s="1">
        <v>1.0699994071493599</v>
      </c>
      <c r="S1468" s="1" t="str">
        <f>VLOOKUP($E1468,'Product Naming'!$A$1:$P$58,2,FALSE)</f>
        <v>Glutarate</v>
      </c>
      <c r="T1468" s="1" t="str">
        <f>VLOOKUP($E1468,'Product Naming'!$A$1:$P$58,3,FALSE)</f>
        <v>Glutarate</v>
      </c>
      <c r="U1468" s="1" t="str">
        <f>VLOOKUP($E1468,'Product Naming'!$A$1:$P$58,4,FALSE)</f>
        <v>A</v>
      </c>
      <c r="V1468" s="1" t="str">
        <f>VLOOKUP($E1468,'Product Naming'!$A$1:$P$58,5,FALSE)</f>
        <v>C5H6O4</v>
      </c>
      <c r="W1468" s="1">
        <f>VLOOKUP($E1468,'Product Naming'!$A$1:$P$58,6,FALSE)</f>
        <v>5</v>
      </c>
      <c r="X1468" s="1">
        <f>VLOOKUP($E1468,'Product Naming'!$A$1:$P$58,7,FALSE)</f>
        <v>6</v>
      </c>
      <c r="Y1468" s="1">
        <f>VLOOKUP($E1468,'Product Naming'!$A$1:$P$58,8,FALSE)</f>
        <v>4</v>
      </c>
      <c r="Z1468" s="1">
        <f>VLOOKUP($E1468,'Product Naming'!$A$1:$P$58,9,FALSE)</f>
        <v>0</v>
      </c>
      <c r="AA1468" s="1">
        <f>VLOOKUP($E1468,'Product Naming'!$A$1:$P$58,10,FALSE)</f>
        <v>-2</v>
      </c>
      <c r="AB1468" s="29">
        <f>VLOOKUP($E1468,'Product Naming'!$A$1:$P$58,11,FALSE)</f>
        <v>3.6</v>
      </c>
      <c r="AC1468" s="3">
        <f>VLOOKUP($E1468,'Product Naming'!$A$1:$P$58,12,FALSE)</f>
        <v>130.09654</v>
      </c>
      <c r="AD1468" s="1">
        <f>VLOOKUP($E1468,'Product Naming'!$A$1:$P$58,13,FALSE)</f>
        <v>200</v>
      </c>
      <c r="AE1468" s="1" t="str">
        <f>VLOOKUP($E1468,'Product Naming'!$A$1:$P$58,14,FALSE)</f>
        <v>Dicarboxylate</v>
      </c>
      <c r="AF1468" s="1" t="str">
        <f>VLOOKUP($E1468,'Product Naming'!$A$1:$P$58,15,FALSE)</f>
        <v>Oxaloacetate + aKG</v>
      </c>
      <c r="AG1468" s="30" t="str">
        <f>VLOOKUP($E1468,'Product Naming'!$A$1:$P$58,16,FALSE)</f>
        <v>Proton symporter</v>
      </c>
      <c r="AH1468" s="3" t="str">
        <f>VLOOKUP($E1468,'Product Naming'!$A$1:$Q$58,17,FALSE)</f>
        <v>glutar_c</v>
      </c>
      <c r="AI1468" s="1">
        <f>VLOOKUP($E1468,'Product Parameters'!$A$2:$D$59,2,FALSE)</f>
        <v>1</v>
      </c>
      <c r="AJ1468" s="1">
        <f>VLOOKUP($E1468,'Product Parameters'!$A$2:$D$59,3,FALSE)</f>
        <v>0</v>
      </c>
      <c r="AK1468" s="1">
        <f>VLOOKUP($E1468,'Product Parameters'!$A$2:$D$59,4,FALSE)</f>
        <v>0.12</v>
      </c>
      <c r="AL1468" s="1">
        <f>VLOOKUP($E1468,'Product Parameters'!$A$2:$E$59,5,FALSE)</f>
        <v>40.65</v>
      </c>
      <c r="AM1468" s="1">
        <f>VLOOKUP($E1468,'Product Parameters'!$A$2:$F$59,6,FALSE)</f>
        <v>5</v>
      </c>
      <c r="AN1468" s="1">
        <f>VLOOKUP($C1468,'Substrate Heating'!$A$2:$C$33,3,FALSE)</f>
        <v>1230.0006480000002</v>
      </c>
      <c r="AO1468" s="1">
        <f>VLOOKUP($C1468,'Substrate Heating'!$A$2:$B$33,2,FALSE)</f>
        <v>26.7</v>
      </c>
      <c r="AP1468" s="1">
        <f>VLOOKUP($C1468,'Substrate Heating'!$A$2:$M$33,13,FALSE)</f>
        <v>6</v>
      </c>
      <c r="AQ1468" s="1">
        <f>VLOOKUP($C1468,'Substrate Heating'!$A$2:$M$33,8,FALSE)</f>
        <v>2</v>
      </c>
      <c r="AR1468" s="1">
        <f t="shared" si="22"/>
        <v>0.94722222222222252</v>
      </c>
    </row>
    <row r="1469" spans="1:44" x14ac:dyDescent="0.2">
      <c r="A1469" s="17" t="s">
        <v>185</v>
      </c>
      <c r="B1469" s="9" t="s">
        <v>35</v>
      </c>
      <c r="C1469" t="s">
        <v>344</v>
      </c>
      <c r="D1469" s="10" t="s">
        <v>37</v>
      </c>
      <c r="E1469" t="s">
        <v>269</v>
      </c>
      <c r="F1469" t="s">
        <v>270</v>
      </c>
      <c r="G1469">
        <v>-10</v>
      </c>
      <c r="H1469">
        <v>-20</v>
      </c>
      <c r="I1469" s="1" t="s">
        <v>40</v>
      </c>
      <c r="J1469">
        <v>3.15</v>
      </c>
      <c r="K1469">
        <v>-10</v>
      </c>
      <c r="L1469">
        <v>-5.4</v>
      </c>
      <c r="M1469" s="1" t="s">
        <v>40</v>
      </c>
      <c r="N1469">
        <v>0.53333333333333799</v>
      </c>
      <c r="O1469">
        <v>4.8666666666666698</v>
      </c>
      <c r="P1469"/>
      <c r="Q1469">
        <v>0.48666666666666702</v>
      </c>
      <c r="R1469">
        <v>1.07030003774507</v>
      </c>
      <c r="S1469" s="1" t="str">
        <f>VLOOKUP($E1469,'Product Naming'!$A$1:$P$58,2,FALSE)</f>
        <v>Malate_L</v>
      </c>
      <c r="T1469" s="1" t="str">
        <f>VLOOKUP($E1469,'Product Naming'!$A$1:$P$58,3,FALSE)</f>
        <v>L-Malate</v>
      </c>
      <c r="U1469" s="1" t="str">
        <f>VLOOKUP($E1469,'Product Naming'!$A$1:$P$58,4,FALSE)</f>
        <v>iJO1366</v>
      </c>
      <c r="V1469" s="1" t="str">
        <f>VLOOKUP($E1469,'Product Naming'!$A$1:$P$58,5,FALSE)</f>
        <v>C4H4O5</v>
      </c>
      <c r="W1469" s="1">
        <f>VLOOKUP($E1469,'Product Naming'!$A$1:$P$58,6,FALSE)</f>
        <v>4</v>
      </c>
      <c r="X1469" s="1">
        <f>VLOOKUP($E1469,'Product Naming'!$A$1:$P$58,7,FALSE)</f>
        <v>4</v>
      </c>
      <c r="Y1469" s="1">
        <f>VLOOKUP($E1469,'Product Naming'!$A$1:$P$58,8,FALSE)</f>
        <v>5</v>
      </c>
      <c r="Z1469" s="1">
        <f>VLOOKUP($E1469,'Product Naming'!$A$1:$P$58,9,FALSE)</f>
        <v>0</v>
      </c>
      <c r="AA1469" s="1">
        <f>VLOOKUP($E1469,'Product Naming'!$A$1:$P$58,10,FALSE)</f>
        <v>-2</v>
      </c>
      <c r="AB1469" s="29">
        <f>VLOOKUP($E1469,'Product Naming'!$A$1:$P$58,11,FALSE)</f>
        <v>2.5</v>
      </c>
      <c r="AC1469" s="3">
        <f>VLOOKUP($E1469,'Product Naming'!$A$1:$P$58,12,FALSE)</f>
        <v>132.06916000000001</v>
      </c>
      <c r="AD1469" s="1" t="str">
        <f>VLOOKUP($E1469,'Product Naming'!$A$1:$P$58,13,FALSE)</f>
        <v>NA</v>
      </c>
      <c r="AE1469" s="1" t="str">
        <f>VLOOKUP($E1469,'Product Naming'!$A$1:$P$58,14,FALSE)</f>
        <v>Dicarboxylate</v>
      </c>
      <c r="AF1469" s="1" t="str">
        <f>VLOOKUP($E1469,'Product Naming'!$A$1:$P$58,15,FALSE)</f>
        <v>Oxaloacetate</v>
      </c>
      <c r="AG1469" s="30" t="str">
        <f>VLOOKUP($E1469,'Product Naming'!$A$1:$P$58,16,FALSE)</f>
        <v>Proton symporter</v>
      </c>
      <c r="AH1469" s="3" t="str">
        <f>VLOOKUP($E1469,'Product Naming'!$A$1:$Q$58,17,FALSE)</f>
        <v>mal__L_e</v>
      </c>
      <c r="AI1469" s="1">
        <f>VLOOKUP($E1469,'Product Parameters'!$A$2:$D$59,2,FALSE)</f>
        <v>1</v>
      </c>
      <c r="AJ1469" s="1">
        <f>VLOOKUP($E1469,'Product Parameters'!$A$2:$D$59,3,FALSE)</f>
        <v>0</v>
      </c>
      <c r="AK1469" s="1">
        <f>VLOOKUP($E1469,'Product Parameters'!$A$2:$D$59,4,FALSE)</f>
        <v>0.12</v>
      </c>
      <c r="AL1469" s="1">
        <f>VLOOKUP($E1469,'Product Parameters'!$A$2:$E$59,5,FALSE)</f>
        <v>40.65</v>
      </c>
      <c r="AM1469" s="1">
        <f>VLOOKUP($E1469,'Product Parameters'!$A$2:$F$59,6,FALSE)</f>
        <v>4</v>
      </c>
      <c r="AN1469" s="1">
        <f>VLOOKUP($C1469,'Substrate Heating'!$A$2:$C$33,3,FALSE)</f>
        <v>1020.8629199999999</v>
      </c>
      <c r="AO1469" s="1">
        <f>VLOOKUP($C1469,'Substrate Heating'!$A$2:$B$33,2,FALSE)</f>
        <v>17</v>
      </c>
      <c r="AP1469" s="1">
        <f>VLOOKUP($C1469,'Substrate Heating'!$A$2:$M$33,13,FALSE)</f>
        <v>4</v>
      </c>
      <c r="AQ1469" s="1">
        <f>VLOOKUP($C1469,'Substrate Heating'!$A$2:$M$33,8,FALSE)</f>
        <v>2</v>
      </c>
      <c r="AR1469" s="1">
        <f t="shared" si="22"/>
        <v>0.97333333333333405</v>
      </c>
    </row>
    <row r="1470" spans="1:44" x14ac:dyDescent="0.2">
      <c r="A1470" s="8" t="s">
        <v>816</v>
      </c>
      <c r="B1470" s="18" t="s">
        <v>324</v>
      </c>
      <c r="C1470" t="s">
        <v>815</v>
      </c>
      <c r="D1470" s="19" t="s">
        <v>326</v>
      </c>
      <c r="E1470" t="s">
        <v>186</v>
      </c>
      <c r="F1470" t="s">
        <v>187</v>
      </c>
      <c r="G1470">
        <v>-10</v>
      </c>
      <c r="H1470">
        <v>0</v>
      </c>
      <c r="I1470">
        <v>0</v>
      </c>
      <c r="J1470">
        <v>0.45</v>
      </c>
      <c r="K1470">
        <v>15.808695650000001</v>
      </c>
      <c r="L1470">
        <v>0</v>
      </c>
      <c r="M1470">
        <v>0</v>
      </c>
      <c r="N1470">
        <v>15.808695650000001</v>
      </c>
      <c r="O1470">
        <v>2.7942028990000001</v>
      </c>
      <c r="P1470"/>
      <c r="Q1470">
        <v>0.17675100799999999</v>
      </c>
      <c r="R1470">
        <v>1.0709061</v>
      </c>
      <c r="S1470" s="1" t="str">
        <f>VLOOKUP($E1470,'Product Naming'!$A$1:$P$58,2,FALSE)</f>
        <v>Citrate</v>
      </c>
      <c r="T1470" s="1" t="str">
        <f>VLOOKUP($E1470,'Product Naming'!$A$1:$P$58,3,FALSE)</f>
        <v>Citrate</v>
      </c>
      <c r="U1470" s="1" t="str">
        <f>VLOOKUP($E1470,'Product Naming'!$A$1:$P$58,4,FALSE)</f>
        <v>iJO1366</v>
      </c>
      <c r="V1470" s="1" t="str">
        <f>VLOOKUP($E1470,'Product Naming'!$A$1:$P$58,5,FALSE)</f>
        <v>C6H5O7</v>
      </c>
      <c r="W1470" s="1">
        <f>VLOOKUP($E1470,'Product Naming'!$A$1:$P$58,6,FALSE)</f>
        <v>6</v>
      </c>
      <c r="X1470" s="1">
        <f>VLOOKUP($E1470,'Product Naming'!$A$1:$P$58,7,FALSE)</f>
        <v>5</v>
      </c>
      <c r="Y1470" s="1">
        <f>VLOOKUP($E1470,'Product Naming'!$A$1:$P$58,8,FALSE)</f>
        <v>7</v>
      </c>
      <c r="Z1470" s="1">
        <f>VLOOKUP($E1470,'Product Naming'!$A$1:$P$58,9,FALSE)</f>
        <v>0</v>
      </c>
      <c r="AA1470" s="1">
        <f>VLOOKUP($E1470,'Product Naming'!$A$1:$P$58,10,FALSE)</f>
        <v>-3</v>
      </c>
      <c r="AB1470" s="29">
        <f>VLOOKUP($E1470,'Product Naming'!$A$1:$P$58,11,FALSE)</f>
        <v>2.5</v>
      </c>
      <c r="AC1470" s="3">
        <f>VLOOKUP($E1470,'Product Naming'!$A$1:$P$58,12,FALSE)</f>
        <v>189.09640000000002</v>
      </c>
      <c r="AD1470" s="1" t="str">
        <f>VLOOKUP($E1470,'Product Naming'!$A$1:$P$58,13,FALSE)</f>
        <v>NA</v>
      </c>
      <c r="AE1470" s="1" t="str">
        <f>VLOOKUP($E1470,'Product Naming'!$A$1:$P$58,14,FALSE)</f>
        <v>Tricarboxylate + Alcohol</v>
      </c>
      <c r="AF1470" s="1" t="str">
        <f>VLOOKUP($E1470,'Product Naming'!$A$1:$P$58,15,FALSE)</f>
        <v>Acetyl-CoA</v>
      </c>
      <c r="AG1470" s="30" t="str">
        <f>VLOOKUP($E1470,'Product Naming'!$A$1:$P$58,16,FALSE)</f>
        <v>Proton antiport</v>
      </c>
      <c r="AH1470" s="3" t="str">
        <f>VLOOKUP($E1470,'Product Naming'!$A$1:$Q$58,17,FALSE)</f>
        <v>cit_c</v>
      </c>
      <c r="AI1470" s="1">
        <f>VLOOKUP($E1470,'Product Parameters'!$A$2:$D$59,2,FALSE)</f>
        <v>1</v>
      </c>
      <c r="AJ1470" s="1">
        <f>VLOOKUP($E1470,'Product Parameters'!$A$2:$D$59,3,FALSE)</f>
        <v>0</v>
      </c>
      <c r="AK1470" s="1">
        <f>VLOOKUP($E1470,'Product Parameters'!$A$2:$D$59,4,FALSE)</f>
        <v>0.12</v>
      </c>
      <c r="AL1470" s="1">
        <f>VLOOKUP($E1470,'Product Parameters'!$A$2:$E$59,5,FALSE)</f>
        <v>40.65</v>
      </c>
      <c r="AM1470" s="1">
        <f>VLOOKUP($E1470,'Product Parameters'!$A$2:$F$59,6,FALSE)</f>
        <v>6</v>
      </c>
      <c r="AN1470" s="1">
        <f>VLOOKUP($C1470,'Substrate Heating'!$A$2:$C$33,3,FALSE)</f>
        <v>226.4</v>
      </c>
      <c r="AO1470" s="1">
        <f>VLOOKUP($C1470,'Substrate Heating'!$A$2:$B$33,2,FALSE)</f>
        <v>7.2542014450728134</v>
      </c>
      <c r="AP1470" s="1">
        <f>VLOOKUP($C1470,'Substrate Heating'!$A$2:$M$33,13,FALSE)</f>
        <v>1.6</v>
      </c>
      <c r="AQ1470" s="1">
        <f>VLOOKUP($C1470,'Substrate Heating'!$A$2:$M$33,8,FALSE)</f>
        <v>1</v>
      </c>
      <c r="AR1470" s="1">
        <f t="shared" si="22"/>
        <v>1.0605060479999999</v>
      </c>
    </row>
    <row r="1471" spans="1:44" x14ac:dyDescent="0.2">
      <c r="A1471" s="8" t="s">
        <v>812</v>
      </c>
      <c r="B1471" s="9" t="s">
        <v>35</v>
      </c>
      <c r="C1471" t="s">
        <v>813</v>
      </c>
      <c r="E1471" t="s">
        <v>180</v>
      </c>
      <c r="F1471" t="s">
        <v>181</v>
      </c>
      <c r="G1471">
        <v>-10</v>
      </c>
      <c r="H1471">
        <v>-20</v>
      </c>
      <c r="I1471">
        <v>0</v>
      </c>
      <c r="J1471">
        <v>3.15</v>
      </c>
      <c r="K1471">
        <v>-10</v>
      </c>
      <c r="L1471">
        <v>-19.729303278688501</v>
      </c>
      <c r="M1471">
        <v>0</v>
      </c>
      <c r="N1471">
        <v>2.4319672131147501</v>
      </c>
      <c r="O1471">
        <v>4.59467213114754</v>
      </c>
      <c r="P1471"/>
      <c r="Q1471">
        <v>0.45946721311475403</v>
      </c>
      <c r="R1471">
        <v>1.0710918451739599</v>
      </c>
      <c r="S1471" s="1" t="str">
        <f>VLOOKUP($E1471,'Product Naming'!$A$1:$P$58,2,FALSE)</f>
        <v>ciscisMuconate</v>
      </c>
      <c r="T1471" s="1" t="str">
        <f>VLOOKUP($E1471,'Product Naming'!$A$1:$P$58,3,FALSE)</f>
        <v>cis,cis-Muconate</v>
      </c>
      <c r="U1471" s="1" t="str">
        <f>VLOOKUP($E1471,'Product Naming'!$A$1:$P$58,4,FALSE)</f>
        <v>A</v>
      </c>
      <c r="V1471" s="1" t="str">
        <f>VLOOKUP($E1471,'Product Naming'!$A$1:$P$58,5,FALSE)</f>
        <v>C6H4O4</v>
      </c>
      <c r="W1471" s="1">
        <f>VLOOKUP($E1471,'Product Naming'!$A$1:$P$58,6,FALSE)</f>
        <v>6</v>
      </c>
      <c r="X1471" s="1">
        <f>VLOOKUP($E1471,'Product Naming'!$A$1:$P$58,7,FALSE)</f>
        <v>4</v>
      </c>
      <c r="Y1471" s="1">
        <f>VLOOKUP($E1471,'Product Naming'!$A$1:$P$58,8,FALSE)</f>
        <v>4</v>
      </c>
      <c r="Z1471" s="1">
        <f>VLOOKUP($E1471,'Product Naming'!$A$1:$P$58,9,FALSE)</f>
        <v>0</v>
      </c>
      <c r="AA1471" s="1">
        <f>VLOOKUP($E1471,'Product Naming'!$A$1:$P$58,10,FALSE)</f>
        <v>-2</v>
      </c>
      <c r="AB1471" s="29">
        <f>VLOOKUP($E1471,'Product Naming'!$A$1:$P$58,11,FALSE)</f>
        <v>3.3333333333333335</v>
      </c>
      <c r="AC1471" s="3">
        <f>VLOOKUP($E1471,'Product Naming'!$A$1:$P$58,12,FALSE)</f>
        <v>140.09156000000002</v>
      </c>
      <c r="AD1471" s="1">
        <f>VLOOKUP($E1471,'Product Naming'!$A$1:$P$58,13,FALSE)</f>
        <v>345.4</v>
      </c>
      <c r="AE1471" s="1" t="str">
        <f>VLOOKUP($E1471,'Product Naming'!$A$1:$P$58,14,FALSE)</f>
        <v>Dicarboxylate</v>
      </c>
      <c r="AF1471" s="1" t="str">
        <f>VLOOKUP($E1471,'Product Naming'!$A$1:$P$58,15,FALSE)</f>
        <v>Glyceraldehyde 3-P</v>
      </c>
      <c r="AG1471" s="30" t="str">
        <f>VLOOKUP($E1471,'Product Naming'!$A$1:$P$58,16,FALSE)</f>
        <v>Proton symporter</v>
      </c>
      <c r="AH1471" s="3" t="str">
        <f>VLOOKUP($E1471,'Product Naming'!$A$1:$Q$58,17,FALSE)</f>
        <v>ccmuac_c</v>
      </c>
      <c r="AI1471" s="1">
        <f>VLOOKUP($E1471,'Product Parameters'!$A$2:$D$59,2,FALSE)</f>
        <v>1</v>
      </c>
      <c r="AJ1471" s="1">
        <f>VLOOKUP($E1471,'Product Parameters'!$A$2:$D$59,3,FALSE)</f>
        <v>0</v>
      </c>
      <c r="AK1471" s="1">
        <f>VLOOKUP($E1471,'Product Parameters'!$A$2:$D$59,4,FALSE)</f>
        <v>0.12</v>
      </c>
      <c r="AL1471" s="1">
        <f>VLOOKUP($E1471,'Product Parameters'!$A$2:$E$59,5,FALSE)</f>
        <v>40.65</v>
      </c>
      <c r="AM1471" s="1">
        <f>VLOOKUP($E1471,'Product Parameters'!$A$2:$F$59,6,FALSE)</f>
        <v>6</v>
      </c>
      <c r="AN1471" s="1">
        <f>VLOOKUP($C1471,'Substrate Heating'!$A$2:$C$33,3,FALSE)</f>
        <v>1843.720736</v>
      </c>
      <c r="AO1471" s="1">
        <f>VLOOKUP($C1471,'Substrate Heating'!$A$2:$B$33,2,FALSE)</f>
        <v>30.68</v>
      </c>
      <c r="AP1471" s="1">
        <f>VLOOKUP($C1471,'Substrate Heating'!$A$2:$M$33,13,FALSE)</f>
        <v>6</v>
      </c>
      <c r="AQ1471" s="1">
        <f>VLOOKUP($C1471,'Substrate Heating'!$A$2:$M$33,8,FALSE)</f>
        <v>3</v>
      </c>
      <c r="AR1471" s="1">
        <f t="shared" si="22"/>
        <v>0.91893442622950816</v>
      </c>
    </row>
    <row r="1472" spans="1:44" x14ac:dyDescent="0.2">
      <c r="A1472" s="17" t="s">
        <v>185</v>
      </c>
      <c r="B1472" s="9" t="s">
        <v>35</v>
      </c>
      <c r="C1472" t="s">
        <v>332</v>
      </c>
      <c r="D1472" s="10" t="s">
        <v>37</v>
      </c>
      <c r="E1472" t="s">
        <v>264</v>
      </c>
      <c r="F1472" t="s">
        <v>265</v>
      </c>
      <c r="G1472">
        <v>-10</v>
      </c>
      <c r="H1472">
        <v>-20</v>
      </c>
      <c r="I1472" s="1" t="s">
        <v>40</v>
      </c>
      <c r="J1472">
        <v>3.15</v>
      </c>
      <c r="K1472">
        <v>-10</v>
      </c>
      <c r="L1472">
        <v>-6.4661971830985898</v>
      </c>
      <c r="M1472" s="1" t="s">
        <v>40</v>
      </c>
      <c r="N1472">
        <v>-0.171830985915495</v>
      </c>
      <c r="O1472">
        <v>3.3619718309859099</v>
      </c>
      <c r="P1472"/>
      <c r="Q1472">
        <v>0.33619718309859098</v>
      </c>
      <c r="R1472">
        <v>1.0742064071992601</v>
      </c>
      <c r="S1472" s="1" t="str">
        <f>VLOOKUP($E1472,'Product Naming'!$A$1:$P$58,2,FALSE)</f>
        <v>Lysine_L</v>
      </c>
      <c r="T1472" s="1" t="str">
        <f>VLOOKUP($E1472,'Product Naming'!$A$1:$P$58,3,FALSE)</f>
        <v>L-Lysine</v>
      </c>
      <c r="U1472" s="1" t="str">
        <f>VLOOKUP($E1472,'Product Naming'!$A$1:$P$58,4,FALSE)</f>
        <v>iJO1366</v>
      </c>
      <c r="V1472" s="1" t="str">
        <f>VLOOKUP($E1472,'Product Naming'!$A$1:$P$58,5,FALSE)</f>
        <v>C6H15N2O2</v>
      </c>
      <c r="W1472" s="1">
        <f>VLOOKUP($E1472,'Product Naming'!$A$1:$P$58,6,FALSE)</f>
        <v>6</v>
      </c>
      <c r="X1472" s="1">
        <f>VLOOKUP($E1472,'Product Naming'!$A$1:$P$58,7,FALSE)</f>
        <v>15</v>
      </c>
      <c r="Y1472" s="1">
        <f>VLOOKUP($E1472,'Product Naming'!$A$1:$P$58,8,FALSE)</f>
        <v>2</v>
      </c>
      <c r="Z1472" s="1">
        <f>VLOOKUP($E1472,'Product Naming'!$A$1:$P$58,9,FALSE)</f>
        <v>2</v>
      </c>
      <c r="AA1472" s="1">
        <f>VLOOKUP($E1472,'Product Naming'!$A$1:$P$58,10,FALSE)</f>
        <v>1</v>
      </c>
      <c r="AB1472" s="29">
        <f>VLOOKUP($E1472,'Product Naming'!$A$1:$P$58,11,FALSE)</f>
        <v>4.833333333333333</v>
      </c>
      <c r="AC1472" s="3">
        <f>VLOOKUP($E1472,'Product Naming'!$A$1:$P$58,12,FALSE)</f>
        <v>147.19319999999999</v>
      </c>
      <c r="AD1472" s="1" t="str">
        <f>VLOOKUP($E1472,'Product Naming'!$A$1:$P$58,13,FALSE)</f>
        <v>NA</v>
      </c>
      <c r="AE1472" s="1" t="str">
        <f>VLOOKUP($E1472,'Product Naming'!$A$1:$P$58,14,FALSE)</f>
        <v>Amino acid</v>
      </c>
      <c r="AF1472" s="1" t="str">
        <f>VLOOKUP($E1472,'Product Naming'!$A$1:$P$58,15,FALSE)</f>
        <v>Oxaloacetate</v>
      </c>
      <c r="AG1472" s="30" t="str">
        <f>VLOOKUP($E1472,'Product Naming'!$A$1:$P$58,16,FALSE)</f>
        <v>Proton antiport</v>
      </c>
      <c r="AH1472" s="3" t="str">
        <f>VLOOKUP($E1472,'Product Naming'!$A$1:$Q$58,17,FALSE)</f>
        <v>lys__L_</v>
      </c>
      <c r="AI1472" s="1">
        <f>VLOOKUP($E1472,'Product Parameters'!$A$2:$D$59,2,FALSE)</f>
        <v>1</v>
      </c>
      <c r="AJ1472" s="1">
        <f>VLOOKUP($E1472,'Product Parameters'!$A$2:$D$59,3,FALSE)</f>
        <v>0</v>
      </c>
      <c r="AK1472" s="1">
        <f>VLOOKUP($E1472,'Product Parameters'!$A$2:$D$59,4,FALSE)</f>
        <v>0.12</v>
      </c>
      <c r="AL1472" s="1">
        <f>VLOOKUP($E1472,'Product Parameters'!$A$2:$E$59,5,FALSE)</f>
        <v>40.65</v>
      </c>
      <c r="AM1472" s="1">
        <f>VLOOKUP($E1472,'Product Parameters'!$A$2:$F$59,6,FALSE)</f>
        <v>6</v>
      </c>
      <c r="AN1472" s="1">
        <f>VLOOKUP($C1472,'Substrate Heating'!$A$2:$C$33,3,FALSE)</f>
        <v>1230.0006480000002</v>
      </c>
      <c r="AO1472" s="1">
        <f>VLOOKUP($C1472,'Substrate Heating'!$A$2:$B$33,2,FALSE)</f>
        <v>26.7</v>
      </c>
      <c r="AP1472" s="1">
        <f>VLOOKUP($C1472,'Substrate Heating'!$A$2:$M$33,13,FALSE)</f>
        <v>6</v>
      </c>
      <c r="AQ1472" s="1">
        <f>VLOOKUP($C1472,'Substrate Heating'!$A$2:$M$33,8,FALSE)</f>
        <v>2</v>
      </c>
      <c r="AR1472" s="1">
        <f t="shared" si="22"/>
        <v>1.0085915492957729</v>
      </c>
    </row>
    <row r="1473" spans="1:44" x14ac:dyDescent="0.2">
      <c r="A1473" s="17" t="s">
        <v>185</v>
      </c>
      <c r="B1473" s="9" t="s">
        <v>35</v>
      </c>
      <c r="C1473" t="s">
        <v>330</v>
      </c>
      <c r="D1473" s="10" t="s">
        <v>37</v>
      </c>
      <c r="E1473" t="s">
        <v>186</v>
      </c>
      <c r="F1473" t="s">
        <v>187</v>
      </c>
      <c r="G1473">
        <v>-10</v>
      </c>
      <c r="H1473">
        <v>-20</v>
      </c>
      <c r="I1473" s="1" t="s">
        <v>40</v>
      </c>
      <c r="J1473">
        <v>3.15</v>
      </c>
      <c r="K1473">
        <v>-10</v>
      </c>
      <c r="L1473">
        <v>-11.658759124087601</v>
      </c>
      <c r="M1473" s="1" t="s">
        <v>40</v>
      </c>
      <c r="N1473">
        <v>-1.34598540145986</v>
      </c>
      <c r="O1473">
        <v>3.5576642335766402</v>
      </c>
      <c r="P1473"/>
      <c r="Q1473">
        <v>0.35576642335766401</v>
      </c>
      <c r="R1473">
        <v>1.08390610536152</v>
      </c>
      <c r="S1473" s="1" t="str">
        <f>VLOOKUP($E1473,'Product Naming'!$A$1:$P$58,2,FALSE)</f>
        <v>Citrate</v>
      </c>
      <c r="T1473" s="1" t="str">
        <f>VLOOKUP($E1473,'Product Naming'!$A$1:$P$58,3,FALSE)</f>
        <v>Citrate</v>
      </c>
      <c r="U1473" s="1" t="str">
        <f>VLOOKUP($E1473,'Product Naming'!$A$1:$P$58,4,FALSE)</f>
        <v>iJO1366</v>
      </c>
      <c r="V1473" s="1" t="str">
        <f>VLOOKUP($E1473,'Product Naming'!$A$1:$P$58,5,FALSE)</f>
        <v>C6H5O7</v>
      </c>
      <c r="W1473" s="1">
        <f>VLOOKUP($E1473,'Product Naming'!$A$1:$P$58,6,FALSE)</f>
        <v>6</v>
      </c>
      <c r="X1473" s="1">
        <f>VLOOKUP($E1473,'Product Naming'!$A$1:$P$58,7,FALSE)</f>
        <v>5</v>
      </c>
      <c r="Y1473" s="1">
        <f>VLOOKUP($E1473,'Product Naming'!$A$1:$P$58,8,FALSE)</f>
        <v>7</v>
      </c>
      <c r="Z1473" s="1">
        <f>VLOOKUP($E1473,'Product Naming'!$A$1:$P$58,9,FALSE)</f>
        <v>0</v>
      </c>
      <c r="AA1473" s="1">
        <f>VLOOKUP($E1473,'Product Naming'!$A$1:$P$58,10,FALSE)</f>
        <v>-3</v>
      </c>
      <c r="AB1473" s="29">
        <f>VLOOKUP($E1473,'Product Naming'!$A$1:$P$58,11,FALSE)</f>
        <v>2.5</v>
      </c>
      <c r="AC1473" s="3">
        <f>VLOOKUP($E1473,'Product Naming'!$A$1:$P$58,12,FALSE)</f>
        <v>189.09640000000002</v>
      </c>
      <c r="AD1473" s="1" t="str">
        <f>VLOOKUP($E1473,'Product Naming'!$A$1:$P$58,13,FALSE)</f>
        <v>NA</v>
      </c>
      <c r="AE1473" s="1" t="str">
        <f>VLOOKUP($E1473,'Product Naming'!$A$1:$P$58,14,FALSE)</f>
        <v>Tricarboxylate + Alcohol</v>
      </c>
      <c r="AF1473" s="1" t="str">
        <f>VLOOKUP($E1473,'Product Naming'!$A$1:$P$58,15,FALSE)</f>
        <v>Acetyl-CoA</v>
      </c>
      <c r="AG1473" s="30" t="str">
        <f>VLOOKUP($E1473,'Product Naming'!$A$1:$P$58,16,FALSE)</f>
        <v>Proton antiport</v>
      </c>
      <c r="AH1473" s="3" t="str">
        <f>VLOOKUP($E1473,'Product Naming'!$A$1:$Q$58,17,FALSE)</f>
        <v>cit_c</v>
      </c>
      <c r="AI1473" s="1">
        <f>VLOOKUP($E1473,'Product Parameters'!$A$2:$D$59,2,FALSE)</f>
        <v>1</v>
      </c>
      <c r="AJ1473" s="1">
        <f>VLOOKUP($E1473,'Product Parameters'!$A$2:$D$59,3,FALSE)</f>
        <v>0</v>
      </c>
      <c r="AK1473" s="1">
        <f>VLOOKUP($E1473,'Product Parameters'!$A$2:$D$59,4,FALSE)</f>
        <v>0.12</v>
      </c>
      <c r="AL1473" s="1">
        <f>VLOOKUP($E1473,'Product Parameters'!$A$2:$E$59,5,FALSE)</f>
        <v>40.65</v>
      </c>
      <c r="AM1473" s="1">
        <f>VLOOKUP($E1473,'Product Parameters'!$A$2:$F$59,6,FALSE)</f>
        <v>6</v>
      </c>
      <c r="AN1473" s="1">
        <f>VLOOKUP($C1473,'Substrate Heating'!$A$2:$C$33,3,FALSE)</f>
        <v>1055.1294800000001</v>
      </c>
      <c r="AO1473" s="1">
        <f>VLOOKUP($C1473,'Substrate Heating'!$A$2:$B$33,2,FALSE)</f>
        <v>17</v>
      </c>
      <c r="AP1473" s="1">
        <f>VLOOKUP($C1473,'Substrate Heating'!$A$2:$M$33,13,FALSE)</f>
        <v>5</v>
      </c>
      <c r="AQ1473" s="1">
        <f>VLOOKUP($C1473,'Substrate Heating'!$A$2:$M$33,8,FALSE)</f>
        <v>2</v>
      </c>
      <c r="AR1473" s="1">
        <f t="shared" si="22"/>
        <v>1.067299270072992</v>
      </c>
    </row>
    <row r="1474" spans="1:44" x14ac:dyDescent="0.2">
      <c r="A1474" s="17" t="s">
        <v>185</v>
      </c>
      <c r="B1474" s="9" t="s">
        <v>35</v>
      </c>
      <c r="C1474" t="s">
        <v>349</v>
      </c>
      <c r="D1474" s="25" t="s">
        <v>342</v>
      </c>
      <c r="E1474" t="s">
        <v>318</v>
      </c>
      <c r="F1474" t="s">
        <v>319</v>
      </c>
      <c r="G1474">
        <v>-10</v>
      </c>
      <c r="H1474">
        <v>-20</v>
      </c>
      <c r="I1474" s="1" t="s">
        <v>40</v>
      </c>
      <c r="J1474">
        <v>3.15</v>
      </c>
      <c r="K1474">
        <v>-10</v>
      </c>
      <c r="L1474">
        <v>-0.69320987654320698</v>
      </c>
      <c r="M1474" s="1" t="s">
        <v>40</v>
      </c>
      <c r="N1474">
        <v>-6.3506172839506201</v>
      </c>
      <c r="O1474">
        <v>14.087654320987699</v>
      </c>
      <c r="P1474"/>
      <c r="Q1474">
        <v>1.4087654320987699</v>
      </c>
      <c r="R1474">
        <v>1.0891602551533499</v>
      </c>
      <c r="S1474" s="1" t="str">
        <f>VLOOKUP($E1474,'Product Naming'!$A$1:$P$58,2,FALSE)</f>
        <v>Succinate</v>
      </c>
      <c r="T1474" s="1" t="str">
        <f>VLOOKUP($E1474,'Product Naming'!$A$1:$P$58,3,FALSE)</f>
        <v>Succinate</v>
      </c>
      <c r="U1474" s="1" t="str">
        <f>VLOOKUP($E1474,'Product Naming'!$A$1:$P$58,4,FALSE)</f>
        <v>iJO1366</v>
      </c>
      <c r="V1474" s="1" t="str">
        <f>VLOOKUP($E1474,'Product Naming'!$A$1:$P$58,5,FALSE)</f>
        <v>C4H4O4</v>
      </c>
      <c r="W1474" s="1">
        <f>VLOOKUP($E1474,'Product Naming'!$A$1:$P$58,6,FALSE)</f>
        <v>4</v>
      </c>
      <c r="X1474" s="1">
        <f>VLOOKUP($E1474,'Product Naming'!$A$1:$P$58,7,FALSE)</f>
        <v>4</v>
      </c>
      <c r="Y1474" s="1">
        <f>VLOOKUP($E1474,'Product Naming'!$A$1:$P$58,8,FALSE)</f>
        <v>4</v>
      </c>
      <c r="Z1474" s="1">
        <f>VLOOKUP($E1474,'Product Naming'!$A$1:$P$58,9,FALSE)</f>
        <v>0</v>
      </c>
      <c r="AA1474" s="1">
        <f>VLOOKUP($E1474,'Product Naming'!$A$1:$P$58,10,FALSE)</f>
        <v>-2</v>
      </c>
      <c r="AB1474" s="29">
        <f>VLOOKUP($E1474,'Product Naming'!$A$1:$P$58,11,FALSE)</f>
        <v>3</v>
      </c>
      <c r="AC1474" s="3">
        <f>VLOOKUP($E1474,'Product Naming'!$A$1:$P$58,12,FALSE)</f>
        <v>116.07016</v>
      </c>
      <c r="AD1474" s="1">
        <f>VLOOKUP($E1474,'Product Naming'!$A$1:$P$58,13,FALSE)</f>
        <v>235</v>
      </c>
      <c r="AE1474" s="1" t="str">
        <f>VLOOKUP($E1474,'Product Naming'!$A$1:$P$58,14,FALSE)</f>
        <v>Dicarboxylate</v>
      </c>
      <c r="AF1474" s="1" t="str">
        <f>VLOOKUP($E1474,'Product Naming'!$A$1:$P$58,15,FALSE)</f>
        <v>Oxaloacetate</v>
      </c>
      <c r="AG1474" s="30" t="str">
        <f>VLOOKUP($E1474,'Product Naming'!$A$1:$P$58,16,FALSE)</f>
        <v>Proton symporter</v>
      </c>
      <c r="AH1474" s="3" t="str">
        <f>VLOOKUP($E1474,'Product Naming'!$A$1:$Q$58,17,FALSE)</f>
        <v>succ_c</v>
      </c>
      <c r="AI1474" s="1">
        <f>VLOOKUP($E1474,'Product Parameters'!$A$2:$D$59,2,FALSE)</f>
        <v>1</v>
      </c>
      <c r="AJ1474" s="1">
        <f>VLOOKUP($E1474,'Product Parameters'!$A$2:$D$59,3,FALSE)</f>
        <v>0</v>
      </c>
      <c r="AK1474" s="1">
        <f>VLOOKUP($E1474,'Product Parameters'!$A$2:$D$59,4,FALSE)</f>
        <v>0.12</v>
      </c>
      <c r="AL1474" s="1">
        <f>VLOOKUP($E1474,'Product Parameters'!$A$2:$E$59,5,FALSE)</f>
        <v>40.65</v>
      </c>
      <c r="AM1474" s="1">
        <f>VLOOKUP($E1474,'Product Parameters'!$A$2:$F$59,6,FALSE)</f>
        <v>4</v>
      </c>
      <c r="AN1474" s="1">
        <f>VLOOKUP($C1474,'Substrate Heating'!$A$2:$C$33,3,FALSE)</f>
        <v>2342.0279999999998</v>
      </c>
      <c r="AO1474" s="1">
        <f>VLOOKUP($C1474,'Substrate Heating'!$A$2:$B$33,2,FALSE)</f>
        <v>15.6</v>
      </c>
      <c r="AP1474" s="1">
        <f>VLOOKUP($C1474,'Substrate Heating'!$A$2:$M$33,13,FALSE)</f>
        <v>4</v>
      </c>
      <c r="AQ1474" s="1">
        <f>VLOOKUP($C1474,'Substrate Heating'!$A$2:$M$33,8,FALSE)</f>
        <v>5</v>
      </c>
      <c r="AR1474" s="1">
        <f t="shared" si="22"/>
        <v>1.127012345679016</v>
      </c>
    </row>
    <row r="1475" spans="1:44" x14ac:dyDescent="0.2">
      <c r="A1475" s="17" t="s">
        <v>185</v>
      </c>
      <c r="B1475" s="9" t="s">
        <v>35</v>
      </c>
      <c r="C1475" t="s">
        <v>331</v>
      </c>
      <c r="D1475" s="10" t="s">
        <v>37</v>
      </c>
      <c r="E1475" t="s">
        <v>215</v>
      </c>
      <c r="F1475" t="s">
        <v>216</v>
      </c>
      <c r="G1475">
        <v>-10</v>
      </c>
      <c r="H1475">
        <v>-20</v>
      </c>
      <c r="I1475" s="1" t="s">
        <v>40</v>
      </c>
      <c r="J1475">
        <v>3.15</v>
      </c>
      <c r="K1475">
        <v>-10</v>
      </c>
      <c r="L1475">
        <v>-4.1670454545454501</v>
      </c>
      <c r="M1475" s="1" t="s">
        <v>40</v>
      </c>
      <c r="N1475">
        <v>-3.1477272727272698</v>
      </c>
      <c r="O1475">
        <v>4.6295454545454602</v>
      </c>
      <c r="P1475"/>
      <c r="Q1475">
        <v>0.46295454545454601</v>
      </c>
      <c r="R1475">
        <v>1.08990400910813</v>
      </c>
      <c r="S1475" s="1" t="str">
        <f>VLOOKUP($E1475,'Product Naming'!$A$1:$P$58,2,FALSE)</f>
        <v>Glutamate_L</v>
      </c>
      <c r="T1475" s="1" t="str">
        <f>VLOOKUP($E1475,'Product Naming'!$A$1:$P$58,3,FALSE)</f>
        <v>L-Glutamate</v>
      </c>
      <c r="U1475" s="1" t="str">
        <f>VLOOKUP($E1475,'Product Naming'!$A$1:$P$58,4,FALSE)</f>
        <v>iJO1366</v>
      </c>
      <c r="V1475" s="1" t="str">
        <f>VLOOKUP($E1475,'Product Naming'!$A$1:$P$58,5,FALSE)</f>
        <v>C5H8NO4</v>
      </c>
      <c r="W1475" s="1">
        <f>VLOOKUP($E1475,'Product Naming'!$A$1:$P$58,6,FALSE)</f>
        <v>5</v>
      </c>
      <c r="X1475" s="1">
        <f>VLOOKUP($E1475,'Product Naming'!$A$1:$P$58,7,FALSE)</f>
        <v>8</v>
      </c>
      <c r="Y1475" s="1">
        <f>VLOOKUP($E1475,'Product Naming'!$A$1:$P$58,8,FALSE)</f>
        <v>4</v>
      </c>
      <c r="Z1475" s="1">
        <f>VLOOKUP($E1475,'Product Naming'!$A$1:$P$58,9,FALSE)</f>
        <v>1</v>
      </c>
      <c r="AA1475" s="1">
        <f>VLOOKUP($E1475,'Product Naming'!$A$1:$P$58,10,FALSE)</f>
        <v>-1</v>
      </c>
      <c r="AB1475" s="29">
        <f>VLOOKUP($E1475,'Product Naming'!$A$1:$P$58,11,FALSE)</f>
        <v>3.4</v>
      </c>
      <c r="AC1475" s="3">
        <f>VLOOKUP($E1475,'Product Naming'!$A$1:$P$58,12,FALSE)</f>
        <v>146.11892</v>
      </c>
      <c r="AD1475" s="1">
        <f>VLOOKUP($E1475,'Product Naming'!$A$1:$P$58,13,FALSE)</f>
        <v>333.8</v>
      </c>
      <c r="AE1475" s="1" t="str">
        <f>VLOOKUP($E1475,'Product Naming'!$A$1:$P$58,14,FALSE)</f>
        <v>Amino acid</v>
      </c>
      <c r="AF1475" s="1" t="str">
        <f>VLOOKUP($E1475,'Product Naming'!$A$1:$P$58,15,FALSE)</f>
        <v>aKG</v>
      </c>
      <c r="AG1475" s="30" t="str">
        <f>VLOOKUP($E1475,'Product Naming'!$A$1:$P$58,16,FALSE)</f>
        <v>Proton symporter</v>
      </c>
      <c r="AH1475" s="3" t="str">
        <f>VLOOKUP($E1475,'Product Naming'!$A$1:$Q$58,17,FALSE)</f>
        <v>glu__L_c</v>
      </c>
      <c r="AI1475" s="1">
        <f>VLOOKUP($E1475,'Product Parameters'!$A$2:$D$59,2,FALSE)</f>
        <v>1</v>
      </c>
      <c r="AJ1475" s="1">
        <f>VLOOKUP($E1475,'Product Parameters'!$A$2:$D$59,3,FALSE)</f>
        <v>0</v>
      </c>
      <c r="AK1475" s="1">
        <f>VLOOKUP($E1475,'Product Parameters'!$A$2:$D$59,4,FALSE)</f>
        <v>0.12</v>
      </c>
      <c r="AL1475" s="1">
        <f>VLOOKUP($E1475,'Product Parameters'!$A$2:$E$59,5,FALSE)</f>
        <v>40.65</v>
      </c>
      <c r="AM1475" s="1">
        <f>VLOOKUP($E1475,'Product Parameters'!$A$2:$F$59,6,FALSE)</f>
        <v>5</v>
      </c>
      <c r="AN1475" s="1">
        <f>VLOOKUP($C1475,'Substrate Heating'!$A$2:$C$33,3,FALSE)</f>
        <v>1055.1294800000001</v>
      </c>
      <c r="AO1475" s="1">
        <f>VLOOKUP($C1475,'Substrate Heating'!$A$2:$B$33,2,FALSE)</f>
        <v>17</v>
      </c>
      <c r="AP1475" s="1">
        <f>VLOOKUP($C1475,'Substrate Heating'!$A$2:$M$33,13,FALSE)</f>
        <v>5</v>
      </c>
      <c r="AQ1475" s="1">
        <f>VLOOKUP($C1475,'Substrate Heating'!$A$2:$M$33,8,FALSE)</f>
        <v>2</v>
      </c>
      <c r="AR1475" s="1">
        <f t="shared" ref="AR1475:AR1538" si="23">Q1475*W1475/AQ1475</f>
        <v>1.157386363636365</v>
      </c>
    </row>
    <row r="1476" spans="1:44" x14ac:dyDescent="0.2">
      <c r="A1476" s="17" t="s">
        <v>185</v>
      </c>
      <c r="B1476" s="9" t="s">
        <v>35</v>
      </c>
      <c r="C1476" t="s">
        <v>348</v>
      </c>
      <c r="D1476" s="23" t="s">
        <v>338</v>
      </c>
      <c r="E1476" t="s">
        <v>269</v>
      </c>
      <c r="F1476" t="s">
        <v>270</v>
      </c>
      <c r="G1476">
        <v>-10</v>
      </c>
      <c r="H1476">
        <v>-20</v>
      </c>
      <c r="I1476" s="1" t="s">
        <v>40</v>
      </c>
      <c r="J1476">
        <v>3.15</v>
      </c>
      <c r="K1476">
        <v>-10</v>
      </c>
      <c r="L1476">
        <v>-7.05671641791045</v>
      </c>
      <c r="M1476" s="1" t="s">
        <v>40</v>
      </c>
      <c r="N1476">
        <v>-0.59104477611940198</v>
      </c>
      <c r="O1476">
        <v>2.64776119402985</v>
      </c>
      <c r="P1476"/>
      <c r="Q1476">
        <v>0.26477611940298501</v>
      </c>
      <c r="R1476">
        <v>1.09137337146811</v>
      </c>
      <c r="S1476" s="1" t="str">
        <f>VLOOKUP($E1476,'Product Naming'!$A$1:$P$58,2,FALSE)</f>
        <v>Malate_L</v>
      </c>
      <c r="T1476" s="1" t="str">
        <f>VLOOKUP($E1476,'Product Naming'!$A$1:$P$58,3,FALSE)</f>
        <v>L-Malate</v>
      </c>
      <c r="U1476" s="1" t="str">
        <f>VLOOKUP($E1476,'Product Naming'!$A$1:$P$58,4,FALSE)</f>
        <v>iJO1366</v>
      </c>
      <c r="V1476" s="1" t="str">
        <f>VLOOKUP($E1476,'Product Naming'!$A$1:$P$58,5,FALSE)</f>
        <v>C4H4O5</v>
      </c>
      <c r="W1476" s="1">
        <f>VLOOKUP($E1476,'Product Naming'!$A$1:$P$58,6,FALSE)</f>
        <v>4</v>
      </c>
      <c r="X1476" s="1">
        <f>VLOOKUP($E1476,'Product Naming'!$A$1:$P$58,7,FALSE)</f>
        <v>4</v>
      </c>
      <c r="Y1476" s="1">
        <f>VLOOKUP($E1476,'Product Naming'!$A$1:$P$58,8,FALSE)</f>
        <v>5</v>
      </c>
      <c r="Z1476" s="1">
        <f>VLOOKUP($E1476,'Product Naming'!$A$1:$P$58,9,FALSE)</f>
        <v>0</v>
      </c>
      <c r="AA1476" s="1">
        <f>VLOOKUP($E1476,'Product Naming'!$A$1:$P$58,10,FALSE)</f>
        <v>-2</v>
      </c>
      <c r="AB1476" s="29">
        <f>VLOOKUP($E1476,'Product Naming'!$A$1:$P$58,11,FALSE)</f>
        <v>2.5</v>
      </c>
      <c r="AC1476" s="3">
        <f>VLOOKUP($E1476,'Product Naming'!$A$1:$P$58,12,FALSE)</f>
        <v>132.06916000000001</v>
      </c>
      <c r="AD1476" s="1" t="str">
        <f>VLOOKUP($E1476,'Product Naming'!$A$1:$P$58,13,FALSE)</f>
        <v>NA</v>
      </c>
      <c r="AE1476" s="1" t="str">
        <f>VLOOKUP($E1476,'Product Naming'!$A$1:$P$58,14,FALSE)</f>
        <v>Dicarboxylate</v>
      </c>
      <c r="AF1476" s="1" t="str">
        <f>VLOOKUP($E1476,'Product Naming'!$A$1:$P$58,15,FALSE)</f>
        <v>Oxaloacetate</v>
      </c>
      <c r="AG1476" s="30" t="str">
        <f>VLOOKUP($E1476,'Product Naming'!$A$1:$P$58,16,FALSE)</f>
        <v>Proton symporter</v>
      </c>
      <c r="AH1476" s="3" t="str">
        <f>VLOOKUP($E1476,'Product Naming'!$A$1:$Q$58,17,FALSE)</f>
        <v>mal__L_e</v>
      </c>
      <c r="AI1476" s="1">
        <f>VLOOKUP($E1476,'Product Parameters'!$A$2:$D$59,2,FALSE)</f>
        <v>1</v>
      </c>
      <c r="AJ1476" s="1">
        <f>VLOOKUP($E1476,'Product Parameters'!$A$2:$D$59,3,FALSE)</f>
        <v>0</v>
      </c>
      <c r="AK1476" s="1">
        <f>VLOOKUP($E1476,'Product Parameters'!$A$2:$D$59,4,FALSE)</f>
        <v>0.12</v>
      </c>
      <c r="AL1476" s="1">
        <f>VLOOKUP($E1476,'Product Parameters'!$A$2:$E$59,5,FALSE)</f>
        <v>40.65</v>
      </c>
      <c r="AM1476" s="1">
        <f>VLOOKUP($E1476,'Product Parameters'!$A$2:$F$59,6,FALSE)</f>
        <v>4</v>
      </c>
      <c r="AN1476" s="1">
        <f>VLOOKUP($C1476,'Substrate Heating'!$A$2:$C$33,3,FALSE)</f>
        <v>638.57832580000002</v>
      </c>
      <c r="AO1476" s="1">
        <f>VLOOKUP($C1476,'Substrate Heating'!$A$2:$B$33,2,FALSE)</f>
        <v>19.93</v>
      </c>
      <c r="AP1476" s="1">
        <f>VLOOKUP($C1476,'Substrate Heating'!$A$2:$M$33,13,FALSE)</f>
        <v>6</v>
      </c>
      <c r="AQ1476" s="1">
        <f>VLOOKUP($C1476,'Substrate Heating'!$A$2:$M$33,8,FALSE)</f>
        <v>1</v>
      </c>
      <c r="AR1476" s="1">
        <f t="shared" si="23"/>
        <v>1.05910447761194</v>
      </c>
    </row>
    <row r="1477" spans="1:44" x14ac:dyDescent="0.2">
      <c r="A1477" s="17" t="s">
        <v>185</v>
      </c>
      <c r="B1477" s="9" t="s">
        <v>35</v>
      </c>
      <c r="C1477" t="s">
        <v>341</v>
      </c>
      <c r="D1477" s="24" t="s">
        <v>342</v>
      </c>
      <c r="E1477" t="s">
        <v>318</v>
      </c>
      <c r="F1477" t="s">
        <v>319</v>
      </c>
      <c r="G1477">
        <v>-10</v>
      </c>
      <c r="H1477">
        <v>-20</v>
      </c>
      <c r="I1477" s="1" t="s">
        <v>40</v>
      </c>
      <c r="J1477">
        <v>3.15</v>
      </c>
      <c r="K1477">
        <v>-10</v>
      </c>
      <c r="L1477">
        <v>-0.16250000000000001</v>
      </c>
      <c r="M1477" s="1" t="s">
        <v>40</v>
      </c>
      <c r="N1477">
        <v>-8.3857142857142808</v>
      </c>
      <c r="O1477">
        <v>17.0964285714286</v>
      </c>
      <c r="P1477"/>
      <c r="Q1477">
        <v>1.7096428571428599</v>
      </c>
      <c r="R1477">
        <v>1.1015043493839101</v>
      </c>
      <c r="S1477" s="1" t="str">
        <f>VLOOKUP($E1477,'Product Naming'!$A$1:$P$58,2,FALSE)</f>
        <v>Succinate</v>
      </c>
      <c r="T1477" s="1" t="str">
        <f>VLOOKUP($E1477,'Product Naming'!$A$1:$P$58,3,FALSE)</f>
        <v>Succinate</v>
      </c>
      <c r="U1477" s="1" t="str">
        <f>VLOOKUP($E1477,'Product Naming'!$A$1:$P$58,4,FALSE)</f>
        <v>iJO1366</v>
      </c>
      <c r="V1477" s="1" t="str">
        <f>VLOOKUP($E1477,'Product Naming'!$A$1:$P$58,5,FALSE)</f>
        <v>C4H4O4</v>
      </c>
      <c r="W1477" s="1">
        <f>VLOOKUP($E1477,'Product Naming'!$A$1:$P$58,6,FALSE)</f>
        <v>4</v>
      </c>
      <c r="X1477" s="1">
        <f>VLOOKUP($E1477,'Product Naming'!$A$1:$P$58,7,FALSE)</f>
        <v>4</v>
      </c>
      <c r="Y1477" s="1">
        <f>VLOOKUP($E1477,'Product Naming'!$A$1:$P$58,8,FALSE)</f>
        <v>4</v>
      </c>
      <c r="Z1477" s="1">
        <f>VLOOKUP($E1477,'Product Naming'!$A$1:$P$58,9,FALSE)</f>
        <v>0</v>
      </c>
      <c r="AA1477" s="1">
        <f>VLOOKUP($E1477,'Product Naming'!$A$1:$P$58,10,FALSE)</f>
        <v>-2</v>
      </c>
      <c r="AB1477" s="29">
        <f>VLOOKUP($E1477,'Product Naming'!$A$1:$P$58,11,FALSE)</f>
        <v>3</v>
      </c>
      <c r="AC1477" s="3">
        <f>VLOOKUP($E1477,'Product Naming'!$A$1:$P$58,12,FALSE)</f>
        <v>116.07016</v>
      </c>
      <c r="AD1477" s="1">
        <f>VLOOKUP($E1477,'Product Naming'!$A$1:$P$58,13,FALSE)</f>
        <v>235</v>
      </c>
      <c r="AE1477" s="1" t="str">
        <f>VLOOKUP($E1477,'Product Naming'!$A$1:$P$58,14,FALSE)</f>
        <v>Dicarboxylate</v>
      </c>
      <c r="AF1477" s="1" t="str">
        <f>VLOOKUP($E1477,'Product Naming'!$A$1:$P$58,15,FALSE)</f>
        <v>Oxaloacetate</v>
      </c>
      <c r="AG1477" s="30" t="str">
        <f>VLOOKUP($E1477,'Product Naming'!$A$1:$P$58,16,FALSE)</f>
        <v>Proton symporter</v>
      </c>
      <c r="AH1477" s="3" t="str">
        <f>VLOOKUP($E1477,'Product Naming'!$A$1:$Q$58,17,FALSE)</f>
        <v>succ_c</v>
      </c>
      <c r="AI1477" s="1">
        <f>VLOOKUP($E1477,'Product Parameters'!$A$2:$D$59,2,FALSE)</f>
        <v>1</v>
      </c>
      <c r="AJ1477" s="1">
        <f>VLOOKUP($E1477,'Product Parameters'!$A$2:$D$59,3,FALSE)</f>
        <v>0</v>
      </c>
      <c r="AK1477" s="1">
        <f>VLOOKUP($E1477,'Product Parameters'!$A$2:$D$59,4,FALSE)</f>
        <v>0.12</v>
      </c>
      <c r="AL1477" s="1">
        <f>VLOOKUP($E1477,'Product Parameters'!$A$2:$E$59,5,FALSE)</f>
        <v>40.65</v>
      </c>
      <c r="AM1477" s="1">
        <f>VLOOKUP($E1477,'Product Parameters'!$A$2:$F$59,6,FALSE)</f>
        <v>4</v>
      </c>
      <c r="AN1477" s="1">
        <f>VLOOKUP($C1477,'Substrate Heating'!$A$2:$C$33,3,FALSE)</f>
        <v>2828.4492</v>
      </c>
      <c r="AO1477" s="1">
        <f>VLOOKUP($C1477,'Substrate Heating'!$A$2:$B$33,2,FALSE)</f>
        <v>15.7</v>
      </c>
      <c r="AP1477" s="1">
        <f>VLOOKUP($C1477,'Substrate Heating'!$A$2:$M$33,13,FALSE)</f>
        <v>4</v>
      </c>
      <c r="AQ1477" s="1">
        <f>VLOOKUP($C1477,'Substrate Heating'!$A$2:$M$33,8,FALSE)</f>
        <v>6</v>
      </c>
      <c r="AR1477" s="1">
        <f t="shared" si="23"/>
        <v>1.1397619047619065</v>
      </c>
    </row>
    <row r="1478" spans="1:44" x14ac:dyDescent="0.2">
      <c r="A1478" s="8" t="s">
        <v>816</v>
      </c>
      <c r="B1478" s="18" t="s">
        <v>324</v>
      </c>
      <c r="C1478" t="s">
        <v>815</v>
      </c>
      <c r="D1478" s="19" t="s">
        <v>326</v>
      </c>
      <c r="E1478" t="s">
        <v>269</v>
      </c>
      <c r="F1478" t="s">
        <v>270</v>
      </c>
      <c r="G1478">
        <v>-10</v>
      </c>
      <c r="H1478">
        <v>0</v>
      </c>
      <c r="I1478">
        <v>0</v>
      </c>
      <c r="J1478">
        <v>0.45</v>
      </c>
      <c r="K1478">
        <v>15.808695650000001</v>
      </c>
      <c r="L1478">
        <v>0</v>
      </c>
      <c r="M1478">
        <v>0</v>
      </c>
      <c r="N1478">
        <v>15.808695650000001</v>
      </c>
      <c r="O1478">
        <v>4.1913043480000001</v>
      </c>
      <c r="P1478"/>
      <c r="Q1478">
        <v>0.26512651300000001</v>
      </c>
      <c r="R1478">
        <v>1.1219171999999999</v>
      </c>
      <c r="S1478" s="1" t="str">
        <f>VLOOKUP($E1478,'Product Naming'!$A$1:$P$58,2,FALSE)</f>
        <v>Malate_L</v>
      </c>
      <c r="T1478" s="1" t="str">
        <f>VLOOKUP($E1478,'Product Naming'!$A$1:$P$58,3,FALSE)</f>
        <v>L-Malate</v>
      </c>
      <c r="U1478" s="1" t="str">
        <f>VLOOKUP($E1478,'Product Naming'!$A$1:$P$58,4,FALSE)</f>
        <v>iJO1366</v>
      </c>
      <c r="V1478" s="1" t="str">
        <f>VLOOKUP($E1478,'Product Naming'!$A$1:$P$58,5,FALSE)</f>
        <v>C4H4O5</v>
      </c>
      <c r="W1478" s="1">
        <f>VLOOKUP($E1478,'Product Naming'!$A$1:$P$58,6,FALSE)</f>
        <v>4</v>
      </c>
      <c r="X1478" s="1">
        <f>VLOOKUP($E1478,'Product Naming'!$A$1:$P$58,7,FALSE)</f>
        <v>4</v>
      </c>
      <c r="Y1478" s="1">
        <f>VLOOKUP($E1478,'Product Naming'!$A$1:$P$58,8,FALSE)</f>
        <v>5</v>
      </c>
      <c r="Z1478" s="1">
        <f>VLOOKUP($E1478,'Product Naming'!$A$1:$P$58,9,FALSE)</f>
        <v>0</v>
      </c>
      <c r="AA1478" s="1">
        <f>VLOOKUP($E1478,'Product Naming'!$A$1:$P$58,10,FALSE)</f>
        <v>-2</v>
      </c>
      <c r="AB1478" s="29">
        <f>VLOOKUP($E1478,'Product Naming'!$A$1:$P$58,11,FALSE)</f>
        <v>2.5</v>
      </c>
      <c r="AC1478" s="3">
        <f>VLOOKUP($E1478,'Product Naming'!$A$1:$P$58,12,FALSE)</f>
        <v>132.06916000000001</v>
      </c>
      <c r="AD1478" s="1" t="str">
        <f>VLOOKUP($E1478,'Product Naming'!$A$1:$P$58,13,FALSE)</f>
        <v>NA</v>
      </c>
      <c r="AE1478" s="1" t="str">
        <f>VLOOKUP($E1478,'Product Naming'!$A$1:$P$58,14,FALSE)</f>
        <v>Dicarboxylate</v>
      </c>
      <c r="AF1478" s="1" t="str">
        <f>VLOOKUP($E1478,'Product Naming'!$A$1:$P$58,15,FALSE)</f>
        <v>Oxaloacetate</v>
      </c>
      <c r="AG1478" s="30" t="str">
        <f>VLOOKUP($E1478,'Product Naming'!$A$1:$P$58,16,FALSE)</f>
        <v>Proton symporter</v>
      </c>
      <c r="AH1478" s="3" t="str">
        <f>VLOOKUP($E1478,'Product Naming'!$A$1:$Q$58,17,FALSE)</f>
        <v>mal__L_e</v>
      </c>
      <c r="AI1478" s="1">
        <f>VLOOKUP($E1478,'Product Parameters'!$A$2:$D$59,2,FALSE)</f>
        <v>1</v>
      </c>
      <c r="AJ1478" s="1">
        <f>VLOOKUP($E1478,'Product Parameters'!$A$2:$D$59,3,FALSE)</f>
        <v>0</v>
      </c>
      <c r="AK1478" s="1">
        <f>VLOOKUP($E1478,'Product Parameters'!$A$2:$D$59,4,FALSE)</f>
        <v>0.12</v>
      </c>
      <c r="AL1478" s="1">
        <f>VLOOKUP($E1478,'Product Parameters'!$A$2:$E$59,5,FALSE)</f>
        <v>40.65</v>
      </c>
      <c r="AM1478" s="1">
        <f>VLOOKUP($E1478,'Product Parameters'!$A$2:$F$59,6,FALSE)</f>
        <v>4</v>
      </c>
      <c r="AN1478" s="1">
        <f>VLOOKUP($C1478,'Substrate Heating'!$A$2:$C$33,3,FALSE)</f>
        <v>226.4</v>
      </c>
      <c r="AO1478" s="1">
        <f>VLOOKUP($C1478,'Substrate Heating'!$A$2:$B$33,2,FALSE)</f>
        <v>7.2542014450728134</v>
      </c>
      <c r="AP1478" s="1">
        <f>VLOOKUP($C1478,'Substrate Heating'!$A$2:$M$33,13,FALSE)</f>
        <v>1.6</v>
      </c>
      <c r="AQ1478" s="1">
        <f>VLOOKUP($C1478,'Substrate Heating'!$A$2:$M$33,8,FALSE)</f>
        <v>1</v>
      </c>
      <c r="AR1478" s="1">
        <f t="shared" si="23"/>
        <v>1.060506052</v>
      </c>
    </row>
    <row r="1479" spans="1:44" x14ac:dyDescent="0.2">
      <c r="A1479" s="8" t="s">
        <v>812</v>
      </c>
      <c r="B1479" s="9" t="s">
        <v>35</v>
      </c>
      <c r="C1479" t="s">
        <v>813</v>
      </c>
      <c r="E1479" t="s">
        <v>221</v>
      </c>
      <c r="F1479" t="s">
        <v>222</v>
      </c>
      <c r="G1479">
        <v>-10</v>
      </c>
      <c r="H1479">
        <v>-20</v>
      </c>
      <c r="I1479">
        <v>0</v>
      </c>
      <c r="J1479">
        <v>3.15</v>
      </c>
      <c r="K1479">
        <v>-10</v>
      </c>
      <c r="L1479">
        <v>-19.052631578947299</v>
      </c>
      <c r="M1479">
        <v>0</v>
      </c>
      <c r="N1479">
        <v>4.0526315789473601</v>
      </c>
      <c r="O1479">
        <v>5.1894736842105198</v>
      </c>
      <c r="P1479"/>
      <c r="Q1479">
        <v>0.51894736842105205</v>
      </c>
      <c r="R1479">
        <v>1.1234384289208399</v>
      </c>
      <c r="S1479" s="1" t="str">
        <f>VLOOKUP($E1479,'Product Naming'!$A$1:$P$58,2,FALSE)</f>
        <v>Glutarate</v>
      </c>
      <c r="T1479" s="1" t="str">
        <f>VLOOKUP($E1479,'Product Naming'!$A$1:$P$58,3,FALSE)</f>
        <v>Glutarate</v>
      </c>
      <c r="U1479" s="1" t="str">
        <f>VLOOKUP($E1479,'Product Naming'!$A$1:$P$58,4,FALSE)</f>
        <v>A</v>
      </c>
      <c r="V1479" s="1" t="str">
        <f>VLOOKUP($E1479,'Product Naming'!$A$1:$P$58,5,FALSE)</f>
        <v>C5H6O4</v>
      </c>
      <c r="W1479" s="1">
        <f>VLOOKUP($E1479,'Product Naming'!$A$1:$P$58,6,FALSE)</f>
        <v>5</v>
      </c>
      <c r="X1479" s="1">
        <f>VLOOKUP($E1479,'Product Naming'!$A$1:$P$58,7,FALSE)</f>
        <v>6</v>
      </c>
      <c r="Y1479" s="1">
        <f>VLOOKUP($E1479,'Product Naming'!$A$1:$P$58,8,FALSE)</f>
        <v>4</v>
      </c>
      <c r="Z1479" s="1">
        <f>VLOOKUP($E1479,'Product Naming'!$A$1:$P$58,9,FALSE)</f>
        <v>0</v>
      </c>
      <c r="AA1479" s="1">
        <f>VLOOKUP($E1479,'Product Naming'!$A$1:$P$58,10,FALSE)</f>
        <v>-2</v>
      </c>
      <c r="AB1479" s="29">
        <f>VLOOKUP($E1479,'Product Naming'!$A$1:$P$58,11,FALSE)</f>
        <v>3.6</v>
      </c>
      <c r="AC1479" s="3">
        <f>VLOOKUP($E1479,'Product Naming'!$A$1:$P$58,12,FALSE)</f>
        <v>130.09654</v>
      </c>
      <c r="AD1479" s="1">
        <f>VLOOKUP($E1479,'Product Naming'!$A$1:$P$58,13,FALSE)</f>
        <v>200</v>
      </c>
      <c r="AE1479" s="1" t="str">
        <f>VLOOKUP($E1479,'Product Naming'!$A$1:$P$58,14,FALSE)</f>
        <v>Dicarboxylate</v>
      </c>
      <c r="AF1479" s="1" t="str">
        <f>VLOOKUP($E1479,'Product Naming'!$A$1:$P$58,15,FALSE)</f>
        <v>Oxaloacetate + aKG</v>
      </c>
      <c r="AG1479" s="30" t="str">
        <f>VLOOKUP($E1479,'Product Naming'!$A$1:$P$58,16,FALSE)</f>
        <v>Proton symporter</v>
      </c>
      <c r="AH1479" s="3" t="str">
        <f>VLOOKUP($E1479,'Product Naming'!$A$1:$Q$58,17,FALSE)</f>
        <v>glutar_c</v>
      </c>
      <c r="AI1479" s="1">
        <f>VLOOKUP($E1479,'Product Parameters'!$A$2:$D$59,2,FALSE)</f>
        <v>1</v>
      </c>
      <c r="AJ1479" s="1">
        <f>VLOOKUP($E1479,'Product Parameters'!$A$2:$D$59,3,FALSE)</f>
        <v>0</v>
      </c>
      <c r="AK1479" s="1">
        <f>VLOOKUP($E1479,'Product Parameters'!$A$2:$D$59,4,FALSE)</f>
        <v>0.12</v>
      </c>
      <c r="AL1479" s="1">
        <f>VLOOKUP($E1479,'Product Parameters'!$A$2:$E$59,5,FALSE)</f>
        <v>40.65</v>
      </c>
      <c r="AM1479" s="1">
        <f>VLOOKUP($E1479,'Product Parameters'!$A$2:$F$59,6,FALSE)</f>
        <v>5</v>
      </c>
      <c r="AN1479" s="1">
        <f>VLOOKUP($C1479,'Substrate Heating'!$A$2:$C$33,3,FALSE)</f>
        <v>1843.720736</v>
      </c>
      <c r="AO1479" s="1">
        <f>VLOOKUP($C1479,'Substrate Heating'!$A$2:$B$33,2,FALSE)</f>
        <v>30.68</v>
      </c>
      <c r="AP1479" s="1">
        <f>VLOOKUP($C1479,'Substrate Heating'!$A$2:$M$33,13,FALSE)</f>
        <v>6</v>
      </c>
      <c r="AQ1479" s="1">
        <f>VLOOKUP($C1479,'Substrate Heating'!$A$2:$M$33,8,FALSE)</f>
        <v>3</v>
      </c>
      <c r="AR1479" s="1">
        <f t="shared" si="23"/>
        <v>0.86491228070175341</v>
      </c>
    </row>
    <row r="1480" spans="1:44" x14ac:dyDescent="0.2">
      <c r="A1480" s="17" t="s">
        <v>185</v>
      </c>
      <c r="B1480" s="9" t="s">
        <v>35</v>
      </c>
      <c r="C1480" t="s">
        <v>347</v>
      </c>
      <c r="D1480" s="23" t="s">
        <v>338</v>
      </c>
      <c r="E1480" t="s">
        <v>215</v>
      </c>
      <c r="F1480" t="s">
        <v>216</v>
      </c>
      <c r="G1480">
        <v>-10</v>
      </c>
      <c r="H1480">
        <v>-20</v>
      </c>
      <c r="I1480" s="1" t="s">
        <v>40</v>
      </c>
      <c r="J1480">
        <v>3.15</v>
      </c>
      <c r="K1480">
        <v>-10</v>
      </c>
      <c r="L1480">
        <v>-3.8932835820895502</v>
      </c>
      <c r="M1480" s="1" t="s">
        <v>40</v>
      </c>
      <c r="N1480">
        <v>-2.3407960199005</v>
      </c>
      <c r="O1480">
        <v>2.4681592039800999</v>
      </c>
      <c r="P1480"/>
      <c r="Q1480">
        <v>0.24681592039801001</v>
      </c>
      <c r="R1480">
        <v>1.1255706186800001</v>
      </c>
      <c r="S1480" s="1" t="str">
        <f>VLOOKUP($E1480,'Product Naming'!$A$1:$P$58,2,FALSE)</f>
        <v>Glutamate_L</v>
      </c>
      <c r="T1480" s="1" t="str">
        <f>VLOOKUP($E1480,'Product Naming'!$A$1:$P$58,3,FALSE)</f>
        <v>L-Glutamate</v>
      </c>
      <c r="U1480" s="1" t="str">
        <f>VLOOKUP($E1480,'Product Naming'!$A$1:$P$58,4,FALSE)</f>
        <v>iJO1366</v>
      </c>
      <c r="V1480" s="1" t="str">
        <f>VLOOKUP($E1480,'Product Naming'!$A$1:$P$58,5,FALSE)</f>
        <v>C5H8NO4</v>
      </c>
      <c r="W1480" s="1">
        <f>VLOOKUP($E1480,'Product Naming'!$A$1:$P$58,6,FALSE)</f>
        <v>5</v>
      </c>
      <c r="X1480" s="1">
        <f>VLOOKUP($E1480,'Product Naming'!$A$1:$P$58,7,FALSE)</f>
        <v>8</v>
      </c>
      <c r="Y1480" s="1">
        <f>VLOOKUP($E1480,'Product Naming'!$A$1:$P$58,8,FALSE)</f>
        <v>4</v>
      </c>
      <c r="Z1480" s="1">
        <f>VLOOKUP($E1480,'Product Naming'!$A$1:$P$58,9,FALSE)</f>
        <v>1</v>
      </c>
      <c r="AA1480" s="1">
        <f>VLOOKUP($E1480,'Product Naming'!$A$1:$P$58,10,FALSE)</f>
        <v>-1</v>
      </c>
      <c r="AB1480" s="29">
        <f>VLOOKUP($E1480,'Product Naming'!$A$1:$P$58,11,FALSE)</f>
        <v>3.4</v>
      </c>
      <c r="AC1480" s="3">
        <f>VLOOKUP($E1480,'Product Naming'!$A$1:$P$58,12,FALSE)</f>
        <v>146.11892</v>
      </c>
      <c r="AD1480" s="1">
        <f>VLOOKUP($E1480,'Product Naming'!$A$1:$P$58,13,FALSE)</f>
        <v>333.8</v>
      </c>
      <c r="AE1480" s="1" t="str">
        <f>VLOOKUP($E1480,'Product Naming'!$A$1:$P$58,14,FALSE)</f>
        <v>Amino acid</v>
      </c>
      <c r="AF1480" s="1" t="str">
        <f>VLOOKUP($E1480,'Product Naming'!$A$1:$P$58,15,FALSE)</f>
        <v>aKG</v>
      </c>
      <c r="AG1480" s="30" t="str">
        <f>VLOOKUP($E1480,'Product Naming'!$A$1:$P$58,16,FALSE)</f>
        <v>Proton symporter</v>
      </c>
      <c r="AH1480" s="3" t="str">
        <f>VLOOKUP($E1480,'Product Naming'!$A$1:$Q$58,17,FALSE)</f>
        <v>glu__L_c</v>
      </c>
      <c r="AI1480" s="1">
        <f>VLOOKUP($E1480,'Product Parameters'!$A$2:$D$59,2,FALSE)</f>
        <v>1</v>
      </c>
      <c r="AJ1480" s="1">
        <f>VLOOKUP($E1480,'Product Parameters'!$A$2:$D$59,3,FALSE)</f>
        <v>0</v>
      </c>
      <c r="AK1480" s="1">
        <f>VLOOKUP($E1480,'Product Parameters'!$A$2:$D$59,4,FALSE)</f>
        <v>0.12</v>
      </c>
      <c r="AL1480" s="1">
        <f>VLOOKUP($E1480,'Product Parameters'!$A$2:$E$59,5,FALSE)</f>
        <v>40.65</v>
      </c>
      <c r="AM1480" s="1">
        <f>VLOOKUP($E1480,'Product Parameters'!$A$2:$F$59,6,FALSE)</f>
        <v>5</v>
      </c>
      <c r="AN1480" s="1">
        <f>VLOOKUP($C1480,'Substrate Heating'!$A$2:$C$33,3,FALSE)</f>
        <v>638.57832580000002</v>
      </c>
      <c r="AO1480" s="1">
        <f>VLOOKUP($C1480,'Substrate Heating'!$A$2:$B$33,2,FALSE)</f>
        <v>19.93</v>
      </c>
      <c r="AP1480" s="1">
        <f>VLOOKUP($C1480,'Substrate Heating'!$A$2:$M$33,13,FALSE)</f>
        <v>6</v>
      </c>
      <c r="AQ1480" s="1">
        <f>VLOOKUP($C1480,'Substrate Heating'!$A$2:$M$33,8,FALSE)</f>
        <v>1</v>
      </c>
      <c r="AR1480" s="1">
        <f t="shared" si="23"/>
        <v>1.23407960199005</v>
      </c>
    </row>
    <row r="1481" spans="1:44" x14ac:dyDescent="0.2">
      <c r="A1481" s="17" t="s">
        <v>185</v>
      </c>
      <c r="B1481" s="9" t="s">
        <v>35</v>
      </c>
      <c r="C1481" t="s">
        <v>346</v>
      </c>
      <c r="D1481" s="23" t="s">
        <v>338</v>
      </c>
      <c r="E1481" t="s">
        <v>215</v>
      </c>
      <c r="F1481" t="s">
        <v>216</v>
      </c>
      <c r="G1481">
        <v>-10</v>
      </c>
      <c r="H1481">
        <v>-20</v>
      </c>
      <c r="I1481" s="1" t="s">
        <v>40</v>
      </c>
      <c r="J1481">
        <v>3.15</v>
      </c>
      <c r="K1481">
        <v>-10</v>
      </c>
      <c r="L1481">
        <v>-3.8932835820895502</v>
      </c>
      <c r="M1481" s="1" t="s">
        <v>40</v>
      </c>
      <c r="N1481">
        <v>-2.3407960199005</v>
      </c>
      <c r="O1481">
        <v>2.4681592039800999</v>
      </c>
      <c r="P1481"/>
      <c r="Q1481">
        <v>0.24681592039801001</v>
      </c>
      <c r="R1481">
        <v>1.1255706186800101</v>
      </c>
      <c r="S1481" s="1" t="str">
        <f>VLOOKUP($E1481,'Product Naming'!$A$1:$P$58,2,FALSE)</f>
        <v>Glutamate_L</v>
      </c>
      <c r="T1481" s="1" t="str">
        <f>VLOOKUP($E1481,'Product Naming'!$A$1:$P$58,3,FALSE)</f>
        <v>L-Glutamate</v>
      </c>
      <c r="U1481" s="1" t="str">
        <f>VLOOKUP($E1481,'Product Naming'!$A$1:$P$58,4,FALSE)</f>
        <v>iJO1366</v>
      </c>
      <c r="V1481" s="1" t="str">
        <f>VLOOKUP($E1481,'Product Naming'!$A$1:$P$58,5,FALSE)</f>
        <v>C5H8NO4</v>
      </c>
      <c r="W1481" s="1">
        <f>VLOOKUP($E1481,'Product Naming'!$A$1:$P$58,6,FALSE)</f>
        <v>5</v>
      </c>
      <c r="X1481" s="1">
        <f>VLOOKUP($E1481,'Product Naming'!$A$1:$P$58,7,FALSE)</f>
        <v>8</v>
      </c>
      <c r="Y1481" s="1">
        <f>VLOOKUP($E1481,'Product Naming'!$A$1:$P$58,8,FALSE)</f>
        <v>4</v>
      </c>
      <c r="Z1481" s="1">
        <f>VLOOKUP($E1481,'Product Naming'!$A$1:$P$58,9,FALSE)</f>
        <v>1</v>
      </c>
      <c r="AA1481" s="1">
        <f>VLOOKUP($E1481,'Product Naming'!$A$1:$P$58,10,FALSE)</f>
        <v>-1</v>
      </c>
      <c r="AB1481" s="29">
        <f>VLOOKUP($E1481,'Product Naming'!$A$1:$P$58,11,FALSE)</f>
        <v>3.4</v>
      </c>
      <c r="AC1481" s="3">
        <f>VLOOKUP($E1481,'Product Naming'!$A$1:$P$58,12,FALSE)</f>
        <v>146.11892</v>
      </c>
      <c r="AD1481" s="1">
        <f>VLOOKUP($E1481,'Product Naming'!$A$1:$P$58,13,FALSE)</f>
        <v>333.8</v>
      </c>
      <c r="AE1481" s="1" t="str">
        <f>VLOOKUP($E1481,'Product Naming'!$A$1:$P$58,14,FALSE)</f>
        <v>Amino acid</v>
      </c>
      <c r="AF1481" s="1" t="str">
        <f>VLOOKUP($E1481,'Product Naming'!$A$1:$P$58,15,FALSE)</f>
        <v>aKG</v>
      </c>
      <c r="AG1481" s="30" t="str">
        <f>VLOOKUP($E1481,'Product Naming'!$A$1:$P$58,16,FALSE)</f>
        <v>Proton symporter</v>
      </c>
      <c r="AH1481" s="3" t="str">
        <f>VLOOKUP($E1481,'Product Naming'!$A$1:$Q$58,17,FALSE)</f>
        <v>glu__L_c</v>
      </c>
      <c r="AI1481" s="1">
        <f>VLOOKUP($E1481,'Product Parameters'!$A$2:$D$59,2,FALSE)</f>
        <v>1</v>
      </c>
      <c r="AJ1481" s="1">
        <f>VLOOKUP($E1481,'Product Parameters'!$A$2:$D$59,3,FALSE)</f>
        <v>0</v>
      </c>
      <c r="AK1481" s="1">
        <f>VLOOKUP($E1481,'Product Parameters'!$A$2:$D$59,4,FALSE)</f>
        <v>0.12</v>
      </c>
      <c r="AL1481" s="1">
        <f>VLOOKUP($E1481,'Product Parameters'!$A$2:$E$59,5,FALSE)</f>
        <v>40.65</v>
      </c>
      <c r="AM1481" s="1">
        <f>VLOOKUP($E1481,'Product Parameters'!$A$2:$F$59,6,FALSE)</f>
        <v>5</v>
      </c>
      <c r="AN1481" s="1">
        <f>VLOOKUP($C1481,'Substrate Heating'!$A$2:$C$33,3,FALSE)</f>
        <v>638.57832580000002</v>
      </c>
      <c r="AO1481" s="1">
        <f>VLOOKUP($C1481,'Substrate Heating'!$A$2:$B$33,2,FALSE)</f>
        <v>19.93</v>
      </c>
      <c r="AP1481" s="1">
        <f>VLOOKUP($C1481,'Substrate Heating'!$A$2:$M$33,13,FALSE)</f>
        <v>6</v>
      </c>
      <c r="AQ1481" s="1">
        <f>VLOOKUP($C1481,'Substrate Heating'!$A$2:$M$33,8,FALSE)</f>
        <v>1</v>
      </c>
      <c r="AR1481" s="1">
        <f t="shared" si="23"/>
        <v>1.23407960199005</v>
      </c>
    </row>
    <row r="1482" spans="1:44" x14ac:dyDescent="0.2">
      <c r="A1482" s="8" t="s">
        <v>34</v>
      </c>
      <c r="B1482" s="9" t="s">
        <v>35</v>
      </c>
      <c r="C1482" s="1" t="s">
        <v>322</v>
      </c>
      <c r="D1482" s="10" t="s">
        <v>37</v>
      </c>
      <c r="E1482" s="1" t="s">
        <v>275</v>
      </c>
      <c r="F1482" s="1" t="s">
        <v>276</v>
      </c>
      <c r="G1482" s="1">
        <v>-10</v>
      </c>
      <c r="H1482" s="1">
        <v>-20</v>
      </c>
      <c r="I1482" s="1" t="s">
        <v>40</v>
      </c>
      <c r="J1482" s="1">
        <v>3.15</v>
      </c>
      <c r="K1482" s="1">
        <v>-10</v>
      </c>
      <c r="L1482" s="1">
        <v>-6.7904761904761903</v>
      </c>
      <c r="M1482" s="1" t="s">
        <v>40</v>
      </c>
      <c r="N1482" s="1">
        <v>0.18571428571429499</v>
      </c>
      <c r="O1482" s="1">
        <v>6.6047619047618999</v>
      </c>
      <c r="Q1482" s="1">
        <v>0.66047619047618999</v>
      </c>
      <c r="R1482" s="1">
        <v>1.1414998966208101</v>
      </c>
      <c r="S1482" s="1" t="str">
        <f>VLOOKUP($E1482,'Product Naming'!$A$1:$P$58,2,FALSE)</f>
        <v>Malonate</v>
      </c>
      <c r="T1482" s="1" t="str">
        <f>VLOOKUP($E1482,'Product Naming'!$A$1:$P$58,3,FALSE)</f>
        <v>Malonate</v>
      </c>
      <c r="U1482" s="1" t="str">
        <f>VLOOKUP($E1482,'Product Naming'!$A$1:$P$58,4,FALSE)</f>
        <v>A</v>
      </c>
      <c r="V1482" s="1" t="str">
        <f>VLOOKUP($E1482,'Product Naming'!$A$1:$P$58,5,FALSE)</f>
        <v>C3H2O4</v>
      </c>
      <c r="W1482" s="1">
        <f>VLOOKUP($E1482,'Product Naming'!$A$1:$P$58,6,FALSE)</f>
        <v>3</v>
      </c>
      <c r="X1482" s="1">
        <f>VLOOKUP($E1482,'Product Naming'!$A$1:$P$58,7,FALSE)</f>
        <v>2</v>
      </c>
      <c r="Y1482" s="1">
        <f>VLOOKUP($E1482,'Product Naming'!$A$1:$P$58,8,FALSE)</f>
        <v>4</v>
      </c>
      <c r="Z1482" s="1">
        <f>VLOOKUP($E1482,'Product Naming'!$A$1:$P$58,9,FALSE)</f>
        <v>0</v>
      </c>
      <c r="AA1482" s="1">
        <f>VLOOKUP($E1482,'Product Naming'!$A$1:$P$58,10,FALSE)</f>
        <v>-2</v>
      </c>
      <c r="AB1482" s="29">
        <f>VLOOKUP($E1482,'Product Naming'!$A$1:$P$58,11,FALSE)</f>
        <v>2</v>
      </c>
      <c r="AC1482" s="3">
        <f>VLOOKUP($E1482,'Product Naming'!$A$1:$P$58,12,FALSE)</f>
        <v>102.04378</v>
      </c>
      <c r="AD1482" s="1">
        <f>VLOOKUP($E1482,'Product Naming'!$A$1:$P$58,13,FALSE)</f>
        <v>199</v>
      </c>
      <c r="AE1482" s="1" t="str">
        <f>VLOOKUP($E1482,'Product Naming'!$A$1:$P$58,14,FALSE)</f>
        <v>Dicarboxylate</v>
      </c>
      <c r="AF1482" s="1" t="str">
        <f>VLOOKUP($E1482,'Product Naming'!$A$1:$P$58,15,FALSE)</f>
        <v>Oxaloacetate</v>
      </c>
      <c r="AG1482" s="30" t="str">
        <f>VLOOKUP($E1482,'Product Naming'!$A$1:$P$58,16,FALSE)</f>
        <v>Proton symporter</v>
      </c>
      <c r="AH1482" s="3" t="str">
        <f>VLOOKUP($E1482,'Product Naming'!$A$1:$Q$58,17,FALSE)</f>
        <v>malon_c</v>
      </c>
      <c r="AI1482" s="1">
        <f>VLOOKUP($E1482,'Product Parameters'!$A$2:$D$59,2,FALSE)</f>
        <v>1</v>
      </c>
      <c r="AJ1482" s="1">
        <f>VLOOKUP($E1482,'Product Parameters'!$A$2:$D$59,3,FALSE)</f>
        <v>0</v>
      </c>
      <c r="AK1482" s="1">
        <f>VLOOKUP($E1482,'Product Parameters'!$A$2:$D$59,4,FALSE)</f>
        <v>0.12</v>
      </c>
      <c r="AL1482" s="1">
        <f>VLOOKUP($E1482,'Product Parameters'!$A$2:$E$59,5,FALSE)</f>
        <v>40.65</v>
      </c>
      <c r="AM1482" s="1">
        <f>VLOOKUP($E1482,'Product Parameters'!$A$2:$F$59,6,FALSE)</f>
        <v>3</v>
      </c>
      <c r="AN1482" s="1">
        <f>VLOOKUP($C1482,'Substrate Heating'!$A$2:$C$33,3,FALSE)</f>
        <v>876.74109599999997</v>
      </c>
      <c r="AO1482" s="1">
        <f>VLOOKUP($C1482,'Substrate Heating'!$A$2:$B$33,2,FALSE)</f>
        <v>14.6</v>
      </c>
      <c r="AP1482" s="1">
        <f>VLOOKUP($C1482,'Substrate Heating'!$A$2:$M$33,13,FALSE)</f>
        <v>3.5</v>
      </c>
      <c r="AQ1482" s="1">
        <f>VLOOKUP($C1482,'Substrate Heating'!$A$2:$M$33,8,FALSE)</f>
        <v>2</v>
      </c>
      <c r="AR1482" s="1">
        <f t="shared" si="23"/>
        <v>0.99071428571428499</v>
      </c>
    </row>
    <row r="1483" spans="1:44" x14ac:dyDescent="0.2">
      <c r="A1483" s="8" t="s">
        <v>812</v>
      </c>
      <c r="B1483" s="9" t="s">
        <v>35</v>
      </c>
      <c r="C1483" t="s">
        <v>813</v>
      </c>
      <c r="E1483" t="s">
        <v>264</v>
      </c>
      <c r="F1483" t="s">
        <v>265</v>
      </c>
      <c r="G1483">
        <v>-10</v>
      </c>
      <c r="H1483">
        <v>-20</v>
      </c>
      <c r="I1483">
        <v>0</v>
      </c>
      <c r="J1483">
        <v>3.15</v>
      </c>
      <c r="K1483">
        <v>-10</v>
      </c>
      <c r="L1483">
        <v>-12.259090909090901</v>
      </c>
      <c r="M1483">
        <v>0</v>
      </c>
      <c r="N1483">
        <v>1.9363636363636301</v>
      </c>
      <c r="O1483">
        <v>4.6772727272727197</v>
      </c>
      <c r="P1483"/>
      <c r="Q1483">
        <v>0.46772727272727199</v>
      </c>
      <c r="R1483">
        <v>1.1456201826435299</v>
      </c>
      <c r="S1483" s="1" t="str">
        <f>VLOOKUP($E1483,'Product Naming'!$A$1:$P$58,2,FALSE)</f>
        <v>Lysine_L</v>
      </c>
      <c r="T1483" s="1" t="str">
        <f>VLOOKUP($E1483,'Product Naming'!$A$1:$P$58,3,FALSE)</f>
        <v>L-Lysine</v>
      </c>
      <c r="U1483" s="1" t="str">
        <f>VLOOKUP($E1483,'Product Naming'!$A$1:$P$58,4,FALSE)</f>
        <v>iJO1366</v>
      </c>
      <c r="V1483" s="1" t="str">
        <f>VLOOKUP($E1483,'Product Naming'!$A$1:$P$58,5,FALSE)</f>
        <v>C6H15N2O2</v>
      </c>
      <c r="W1483" s="1">
        <f>VLOOKUP($E1483,'Product Naming'!$A$1:$P$58,6,FALSE)</f>
        <v>6</v>
      </c>
      <c r="X1483" s="1">
        <f>VLOOKUP($E1483,'Product Naming'!$A$1:$P$58,7,FALSE)</f>
        <v>15</v>
      </c>
      <c r="Y1483" s="1">
        <f>VLOOKUP($E1483,'Product Naming'!$A$1:$P$58,8,FALSE)</f>
        <v>2</v>
      </c>
      <c r="Z1483" s="1">
        <f>VLOOKUP($E1483,'Product Naming'!$A$1:$P$58,9,FALSE)</f>
        <v>2</v>
      </c>
      <c r="AA1483" s="1">
        <f>VLOOKUP($E1483,'Product Naming'!$A$1:$P$58,10,FALSE)</f>
        <v>1</v>
      </c>
      <c r="AB1483" s="29">
        <f>VLOOKUP($E1483,'Product Naming'!$A$1:$P$58,11,FALSE)</f>
        <v>4.833333333333333</v>
      </c>
      <c r="AC1483" s="3">
        <f>VLOOKUP($E1483,'Product Naming'!$A$1:$P$58,12,FALSE)</f>
        <v>147.19319999999999</v>
      </c>
      <c r="AD1483" s="1" t="str">
        <f>VLOOKUP($E1483,'Product Naming'!$A$1:$P$58,13,FALSE)</f>
        <v>NA</v>
      </c>
      <c r="AE1483" s="1" t="str">
        <f>VLOOKUP($E1483,'Product Naming'!$A$1:$P$58,14,FALSE)</f>
        <v>Amino acid</v>
      </c>
      <c r="AF1483" s="1" t="str">
        <f>VLOOKUP($E1483,'Product Naming'!$A$1:$P$58,15,FALSE)</f>
        <v>Oxaloacetate</v>
      </c>
      <c r="AG1483" s="30" t="str">
        <f>VLOOKUP($E1483,'Product Naming'!$A$1:$P$58,16,FALSE)</f>
        <v>Proton antiport</v>
      </c>
      <c r="AH1483" s="3" t="str">
        <f>VLOOKUP($E1483,'Product Naming'!$A$1:$Q$58,17,FALSE)</f>
        <v>lys__L_</v>
      </c>
      <c r="AI1483" s="1">
        <f>VLOOKUP($E1483,'Product Parameters'!$A$2:$D$59,2,FALSE)</f>
        <v>1</v>
      </c>
      <c r="AJ1483" s="1">
        <f>VLOOKUP($E1483,'Product Parameters'!$A$2:$D$59,3,FALSE)</f>
        <v>0</v>
      </c>
      <c r="AK1483" s="1">
        <f>VLOOKUP($E1483,'Product Parameters'!$A$2:$D$59,4,FALSE)</f>
        <v>0.12</v>
      </c>
      <c r="AL1483" s="1">
        <f>VLOOKUP($E1483,'Product Parameters'!$A$2:$E$59,5,FALSE)</f>
        <v>40.65</v>
      </c>
      <c r="AM1483" s="1">
        <f>VLOOKUP($E1483,'Product Parameters'!$A$2:$F$59,6,FALSE)</f>
        <v>6</v>
      </c>
      <c r="AN1483" s="1">
        <f>VLOOKUP($C1483,'Substrate Heating'!$A$2:$C$33,3,FALSE)</f>
        <v>1843.720736</v>
      </c>
      <c r="AO1483" s="1">
        <f>VLOOKUP($C1483,'Substrate Heating'!$A$2:$B$33,2,FALSE)</f>
        <v>30.68</v>
      </c>
      <c r="AP1483" s="1">
        <f>VLOOKUP($C1483,'Substrate Heating'!$A$2:$M$33,13,FALSE)</f>
        <v>6</v>
      </c>
      <c r="AQ1483" s="1">
        <f>VLOOKUP($C1483,'Substrate Heating'!$A$2:$M$33,8,FALSE)</f>
        <v>3</v>
      </c>
      <c r="AR1483" s="1">
        <f t="shared" si="23"/>
        <v>0.9354545454545441</v>
      </c>
    </row>
    <row r="1484" spans="1:44" x14ac:dyDescent="0.2">
      <c r="A1484" s="8" t="s">
        <v>34</v>
      </c>
      <c r="B1484" s="9" t="s">
        <v>35</v>
      </c>
      <c r="C1484" s="1" t="s">
        <v>348</v>
      </c>
      <c r="D1484" s="23" t="s">
        <v>338</v>
      </c>
      <c r="E1484" s="1" t="s">
        <v>275</v>
      </c>
      <c r="F1484" s="1" t="s">
        <v>276</v>
      </c>
      <c r="G1484" s="1">
        <v>-10</v>
      </c>
      <c r="H1484" s="1">
        <v>-20</v>
      </c>
      <c r="I1484" s="1" t="s">
        <v>40</v>
      </c>
      <c r="J1484" s="1">
        <v>3.15</v>
      </c>
      <c r="K1484" s="1">
        <v>-10</v>
      </c>
      <c r="L1484" s="1">
        <v>-7.7591836734693898</v>
      </c>
      <c r="M1484" s="1" t="s">
        <v>40</v>
      </c>
      <c r="N1484" s="1">
        <v>-0.86122448979591304</v>
      </c>
      <c r="O1484" s="1">
        <v>3.6204081632652998</v>
      </c>
      <c r="Q1484" s="1">
        <v>0.36204081632653001</v>
      </c>
      <c r="R1484" s="1">
        <v>1.1530209491273</v>
      </c>
      <c r="S1484" s="1" t="str">
        <f>VLOOKUP($E1484,'Product Naming'!$A$1:$P$58,2,FALSE)</f>
        <v>Malonate</v>
      </c>
      <c r="T1484" s="1" t="str">
        <f>VLOOKUP($E1484,'Product Naming'!$A$1:$P$58,3,FALSE)</f>
        <v>Malonate</v>
      </c>
      <c r="U1484" s="1" t="str">
        <f>VLOOKUP($E1484,'Product Naming'!$A$1:$P$58,4,FALSE)</f>
        <v>A</v>
      </c>
      <c r="V1484" s="1" t="str">
        <f>VLOOKUP($E1484,'Product Naming'!$A$1:$P$58,5,FALSE)</f>
        <v>C3H2O4</v>
      </c>
      <c r="W1484" s="1">
        <f>VLOOKUP($E1484,'Product Naming'!$A$1:$P$58,6,FALSE)</f>
        <v>3</v>
      </c>
      <c r="X1484" s="1">
        <f>VLOOKUP($E1484,'Product Naming'!$A$1:$P$58,7,FALSE)</f>
        <v>2</v>
      </c>
      <c r="Y1484" s="1">
        <f>VLOOKUP($E1484,'Product Naming'!$A$1:$P$58,8,FALSE)</f>
        <v>4</v>
      </c>
      <c r="Z1484" s="1">
        <f>VLOOKUP($E1484,'Product Naming'!$A$1:$P$58,9,FALSE)</f>
        <v>0</v>
      </c>
      <c r="AA1484" s="1">
        <f>VLOOKUP($E1484,'Product Naming'!$A$1:$P$58,10,FALSE)</f>
        <v>-2</v>
      </c>
      <c r="AB1484" s="29">
        <f>VLOOKUP($E1484,'Product Naming'!$A$1:$P$58,11,FALSE)</f>
        <v>2</v>
      </c>
      <c r="AC1484" s="3">
        <f>VLOOKUP($E1484,'Product Naming'!$A$1:$P$58,12,FALSE)</f>
        <v>102.04378</v>
      </c>
      <c r="AD1484" s="1">
        <f>VLOOKUP($E1484,'Product Naming'!$A$1:$P$58,13,FALSE)</f>
        <v>199</v>
      </c>
      <c r="AE1484" s="1" t="str">
        <f>VLOOKUP($E1484,'Product Naming'!$A$1:$P$58,14,FALSE)</f>
        <v>Dicarboxylate</v>
      </c>
      <c r="AF1484" s="1" t="str">
        <f>VLOOKUP($E1484,'Product Naming'!$A$1:$P$58,15,FALSE)</f>
        <v>Oxaloacetate</v>
      </c>
      <c r="AG1484" s="30" t="str">
        <f>VLOOKUP($E1484,'Product Naming'!$A$1:$P$58,16,FALSE)</f>
        <v>Proton symporter</v>
      </c>
      <c r="AH1484" s="3" t="str">
        <f>VLOOKUP($E1484,'Product Naming'!$A$1:$Q$58,17,FALSE)</f>
        <v>malon_c</v>
      </c>
      <c r="AI1484" s="1">
        <f>VLOOKUP($E1484,'Product Parameters'!$A$2:$D$59,2,FALSE)</f>
        <v>1</v>
      </c>
      <c r="AJ1484" s="1">
        <f>VLOOKUP($E1484,'Product Parameters'!$A$2:$D$59,3,FALSE)</f>
        <v>0</v>
      </c>
      <c r="AK1484" s="1">
        <f>VLOOKUP($E1484,'Product Parameters'!$A$2:$D$59,4,FALSE)</f>
        <v>0.12</v>
      </c>
      <c r="AL1484" s="1">
        <f>VLOOKUP($E1484,'Product Parameters'!$A$2:$E$59,5,FALSE)</f>
        <v>40.65</v>
      </c>
      <c r="AM1484" s="1">
        <f>VLOOKUP($E1484,'Product Parameters'!$A$2:$F$59,6,FALSE)</f>
        <v>3</v>
      </c>
      <c r="AN1484" s="1">
        <f>VLOOKUP($C1484,'Substrate Heating'!$A$2:$C$33,3,FALSE)</f>
        <v>638.57832580000002</v>
      </c>
      <c r="AO1484" s="1">
        <f>VLOOKUP($C1484,'Substrate Heating'!$A$2:$B$33,2,FALSE)</f>
        <v>19.93</v>
      </c>
      <c r="AP1484" s="1">
        <f>VLOOKUP($C1484,'Substrate Heating'!$A$2:$M$33,13,FALSE)</f>
        <v>6</v>
      </c>
      <c r="AQ1484" s="1">
        <f>VLOOKUP($C1484,'Substrate Heating'!$A$2:$M$33,8,FALSE)</f>
        <v>1</v>
      </c>
      <c r="AR1484" s="1">
        <f t="shared" si="23"/>
        <v>1.08612244897959</v>
      </c>
    </row>
    <row r="1485" spans="1:44" x14ac:dyDescent="0.2">
      <c r="A1485" s="17" t="s">
        <v>185</v>
      </c>
      <c r="B1485" s="9" t="s">
        <v>35</v>
      </c>
      <c r="C1485" t="s">
        <v>331</v>
      </c>
      <c r="D1485" s="10" t="s">
        <v>37</v>
      </c>
      <c r="E1485" t="s">
        <v>318</v>
      </c>
      <c r="F1485" t="s">
        <v>319</v>
      </c>
      <c r="G1485">
        <v>-10</v>
      </c>
      <c r="H1485">
        <v>-20</v>
      </c>
      <c r="I1485" s="1" t="s">
        <v>40</v>
      </c>
      <c r="J1485">
        <v>3.15</v>
      </c>
      <c r="K1485">
        <v>-10</v>
      </c>
      <c r="L1485">
        <v>-6.4818181818181797</v>
      </c>
      <c r="M1485" s="1" t="s">
        <v>40</v>
      </c>
      <c r="N1485">
        <v>-4.6909090909090896</v>
      </c>
      <c r="O1485">
        <v>6.1727272727272702</v>
      </c>
      <c r="P1485"/>
      <c r="Q1485">
        <v>0.61727272727272697</v>
      </c>
      <c r="R1485">
        <v>1.1543595926005299</v>
      </c>
      <c r="S1485" s="1" t="str">
        <f>VLOOKUP($E1485,'Product Naming'!$A$1:$P$58,2,FALSE)</f>
        <v>Succinate</v>
      </c>
      <c r="T1485" s="1" t="str">
        <f>VLOOKUP($E1485,'Product Naming'!$A$1:$P$58,3,FALSE)</f>
        <v>Succinate</v>
      </c>
      <c r="U1485" s="1" t="str">
        <f>VLOOKUP($E1485,'Product Naming'!$A$1:$P$58,4,FALSE)</f>
        <v>iJO1366</v>
      </c>
      <c r="V1485" s="1" t="str">
        <f>VLOOKUP($E1485,'Product Naming'!$A$1:$P$58,5,FALSE)</f>
        <v>C4H4O4</v>
      </c>
      <c r="W1485" s="1">
        <f>VLOOKUP($E1485,'Product Naming'!$A$1:$P$58,6,FALSE)</f>
        <v>4</v>
      </c>
      <c r="X1485" s="1">
        <f>VLOOKUP($E1485,'Product Naming'!$A$1:$P$58,7,FALSE)</f>
        <v>4</v>
      </c>
      <c r="Y1485" s="1">
        <f>VLOOKUP($E1485,'Product Naming'!$A$1:$P$58,8,FALSE)</f>
        <v>4</v>
      </c>
      <c r="Z1485" s="1">
        <f>VLOOKUP($E1485,'Product Naming'!$A$1:$P$58,9,FALSE)</f>
        <v>0</v>
      </c>
      <c r="AA1485" s="1">
        <f>VLOOKUP($E1485,'Product Naming'!$A$1:$P$58,10,FALSE)</f>
        <v>-2</v>
      </c>
      <c r="AB1485" s="29">
        <f>VLOOKUP($E1485,'Product Naming'!$A$1:$P$58,11,FALSE)</f>
        <v>3</v>
      </c>
      <c r="AC1485" s="3">
        <f>VLOOKUP($E1485,'Product Naming'!$A$1:$P$58,12,FALSE)</f>
        <v>116.07016</v>
      </c>
      <c r="AD1485" s="1">
        <f>VLOOKUP($E1485,'Product Naming'!$A$1:$P$58,13,FALSE)</f>
        <v>235</v>
      </c>
      <c r="AE1485" s="1" t="str">
        <f>VLOOKUP($E1485,'Product Naming'!$A$1:$P$58,14,FALSE)</f>
        <v>Dicarboxylate</v>
      </c>
      <c r="AF1485" s="1" t="str">
        <f>VLOOKUP($E1485,'Product Naming'!$A$1:$P$58,15,FALSE)</f>
        <v>Oxaloacetate</v>
      </c>
      <c r="AG1485" s="30" t="str">
        <f>VLOOKUP($E1485,'Product Naming'!$A$1:$P$58,16,FALSE)</f>
        <v>Proton symporter</v>
      </c>
      <c r="AH1485" s="3" t="str">
        <f>VLOOKUP($E1485,'Product Naming'!$A$1:$Q$58,17,FALSE)</f>
        <v>succ_c</v>
      </c>
      <c r="AI1485" s="1">
        <f>VLOOKUP($E1485,'Product Parameters'!$A$2:$D$59,2,FALSE)</f>
        <v>1</v>
      </c>
      <c r="AJ1485" s="1">
        <f>VLOOKUP($E1485,'Product Parameters'!$A$2:$D$59,3,FALSE)</f>
        <v>0</v>
      </c>
      <c r="AK1485" s="1">
        <f>VLOOKUP($E1485,'Product Parameters'!$A$2:$D$59,4,FALSE)</f>
        <v>0.12</v>
      </c>
      <c r="AL1485" s="1">
        <f>VLOOKUP($E1485,'Product Parameters'!$A$2:$E$59,5,FALSE)</f>
        <v>40.65</v>
      </c>
      <c r="AM1485" s="1">
        <f>VLOOKUP($E1485,'Product Parameters'!$A$2:$F$59,6,FALSE)</f>
        <v>4</v>
      </c>
      <c r="AN1485" s="1">
        <f>VLOOKUP($C1485,'Substrate Heating'!$A$2:$C$33,3,FALSE)</f>
        <v>1055.1294800000001</v>
      </c>
      <c r="AO1485" s="1">
        <f>VLOOKUP($C1485,'Substrate Heating'!$A$2:$B$33,2,FALSE)</f>
        <v>17</v>
      </c>
      <c r="AP1485" s="1">
        <f>VLOOKUP($C1485,'Substrate Heating'!$A$2:$M$33,13,FALSE)</f>
        <v>5</v>
      </c>
      <c r="AQ1485" s="1">
        <f>VLOOKUP($C1485,'Substrate Heating'!$A$2:$M$33,8,FALSE)</f>
        <v>2</v>
      </c>
      <c r="AR1485" s="1">
        <f t="shared" si="23"/>
        <v>1.2345454545454539</v>
      </c>
    </row>
    <row r="1486" spans="1:44" x14ac:dyDescent="0.2">
      <c r="A1486" s="8" t="s">
        <v>34</v>
      </c>
      <c r="B1486" s="9" t="s">
        <v>35</v>
      </c>
      <c r="C1486" s="1" t="s">
        <v>36</v>
      </c>
      <c r="D1486" s="10" t="s">
        <v>37</v>
      </c>
      <c r="E1486" s="1" t="s">
        <v>130</v>
      </c>
      <c r="F1486" s="1" t="s">
        <v>125</v>
      </c>
      <c r="G1486" s="1">
        <v>-10</v>
      </c>
      <c r="H1486" s="1">
        <v>-20</v>
      </c>
      <c r="I1486" s="1" t="s">
        <v>40</v>
      </c>
      <c r="J1486" s="1">
        <v>3.15</v>
      </c>
      <c r="K1486" s="1">
        <v>-10</v>
      </c>
      <c r="L1486" s="1">
        <v>-3.3882352941176501</v>
      </c>
      <c r="M1486" s="1" t="s">
        <v>40</v>
      </c>
      <c r="N1486" s="1">
        <v>-1.6117647058823501</v>
      </c>
      <c r="O1486" s="1">
        <v>7.2039215686274503</v>
      </c>
      <c r="Q1486" s="1">
        <v>0.72039215686274505</v>
      </c>
      <c r="R1486" s="1">
        <v>1.16196198664267</v>
      </c>
      <c r="S1486" s="1" t="str">
        <f>VLOOKUP($E1486,'Product Naming'!$A$1:$P$58,2,FALSE)</f>
        <v>Acrylate-PW2</v>
      </c>
      <c r="T1486" s="1" t="str">
        <f>VLOOKUP($E1486,'Product Naming'!$A$1:$P$58,3,FALSE)</f>
        <v>Acrylate (PW2)</v>
      </c>
      <c r="U1486" s="1" t="str">
        <f>VLOOKUP($E1486,'Product Naming'!$A$1:$P$58,4,FALSE)</f>
        <v>A</v>
      </c>
      <c r="V1486" s="1" t="str">
        <f>VLOOKUP($E1486,'Product Naming'!$A$1:$P$58,5,FALSE)</f>
        <v>C3H3O2</v>
      </c>
      <c r="W1486" s="1">
        <f>VLOOKUP($E1486,'Product Naming'!$A$1:$P$58,6,FALSE)</f>
        <v>3</v>
      </c>
      <c r="X1486" s="1">
        <f>VLOOKUP($E1486,'Product Naming'!$A$1:$P$58,7,FALSE)</f>
        <v>3</v>
      </c>
      <c r="Y1486" s="1">
        <f>VLOOKUP($E1486,'Product Naming'!$A$1:$P$58,8,FALSE)</f>
        <v>2</v>
      </c>
      <c r="Z1486" s="1">
        <f>VLOOKUP($E1486,'Product Naming'!$A$1:$P$58,9,FALSE)</f>
        <v>0</v>
      </c>
      <c r="AA1486" s="1">
        <f>VLOOKUP($E1486,'Product Naming'!$A$1:$P$58,10,FALSE)</f>
        <v>-1</v>
      </c>
      <c r="AB1486" s="29">
        <f>VLOOKUP($E1486,'Product Naming'!$A$1:$P$58,11,FALSE)</f>
        <v>3.6666666666666665</v>
      </c>
      <c r="AC1486" s="3">
        <f>VLOOKUP($E1486,'Product Naming'!$A$1:$P$58,12,FALSE)</f>
        <v>71.053619999999995</v>
      </c>
      <c r="AD1486" s="1">
        <f>VLOOKUP($E1486,'Product Naming'!$A$1:$P$58,13,FALSE)</f>
        <v>80</v>
      </c>
      <c r="AE1486" s="1" t="str">
        <f>VLOOKUP($E1486,'Product Naming'!$A$1:$P$58,14,FALSE)</f>
        <v>Carboxylate</v>
      </c>
      <c r="AF1486" s="1" t="str">
        <f>VLOOKUP($E1486,'Product Naming'!$A$1:$P$58,15,FALSE)</f>
        <v>Pyruvate</v>
      </c>
      <c r="AG1486" s="30" t="str">
        <f>VLOOKUP($E1486,'Product Naming'!$A$1:$P$58,16,FALSE)</f>
        <v>Proton symporter</v>
      </c>
      <c r="AH1486" s="3" t="str">
        <f>VLOOKUP($E1486,'Product Naming'!$A$1:$Q$58,17,FALSE)</f>
        <v>acryl_c</v>
      </c>
      <c r="AI1486" s="1">
        <f>VLOOKUP($E1486,'Product Parameters'!$A$2:$D$59,2,FALSE)</f>
        <v>1</v>
      </c>
      <c r="AJ1486" s="1">
        <f>VLOOKUP($E1486,'Product Parameters'!$A$2:$D$59,3,FALSE)</f>
        <v>0</v>
      </c>
      <c r="AK1486" s="1">
        <f>VLOOKUP($E1486,'Product Parameters'!$A$2:$D$59,4,FALSE)</f>
        <v>0.12</v>
      </c>
      <c r="AL1486" s="1">
        <f>VLOOKUP($E1486,'Product Parameters'!$A$2:$E$59,5,FALSE)</f>
        <v>53.1</v>
      </c>
      <c r="AM1486" s="1">
        <f>VLOOKUP($E1486,'Product Parameters'!$A$2:$F$59,6,FALSE)</f>
        <v>3</v>
      </c>
      <c r="AN1486" s="1">
        <f>VLOOKUP($C1486,'Substrate Heating'!$A$2:$C$33,3,FALSE)</f>
        <v>1064.1143145599999</v>
      </c>
      <c r="AO1486" s="1">
        <f>VLOOKUP($C1486,'Substrate Heating'!$A$2:$B$33,2,FALSE)</f>
        <v>24.155999999999999</v>
      </c>
      <c r="AP1486" s="1">
        <f>VLOOKUP($C1486,'Substrate Heating'!$A$2:$M$33,13,FALSE)</f>
        <v>5</v>
      </c>
      <c r="AQ1486" s="1">
        <f>VLOOKUP($C1486,'Substrate Heating'!$A$2:$M$33,8,FALSE)</f>
        <v>2</v>
      </c>
      <c r="AR1486" s="1">
        <f t="shared" si="23"/>
        <v>1.0805882352941176</v>
      </c>
    </row>
    <row r="1487" spans="1:44" x14ac:dyDescent="0.2">
      <c r="A1487" s="17" t="s">
        <v>185</v>
      </c>
      <c r="B1487" s="9" t="s">
        <v>35</v>
      </c>
      <c r="C1487" t="s">
        <v>345</v>
      </c>
      <c r="D1487" s="10" t="s">
        <v>37</v>
      </c>
      <c r="E1487" t="s">
        <v>186</v>
      </c>
      <c r="F1487" t="s">
        <v>187</v>
      </c>
      <c r="G1487">
        <v>-10</v>
      </c>
      <c r="H1487">
        <v>-20</v>
      </c>
      <c r="I1487" s="1" t="s">
        <v>40</v>
      </c>
      <c r="J1487">
        <v>3.15</v>
      </c>
      <c r="K1487">
        <v>-10</v>
      </c>
      <c r="L1487">
        <v>-3.31538461538462</v>
      </c>
      <c r="M1487" s="1" t="s">
        <v>40</v>
      </c>
      <c r="N1487">
        <v>-2.2461538461538502</v>
      </c>
      <c r="O1487">
        <v>3.7076923076923101</v>
      </c>
      <c r="P1487"/>
      <c r="Q1487">
        <v>0.37076923076923102</v>
      </c>
      <c r="R1487">
        <v>1.1675069401390601</v>
      </c>
      <c r="S1487" s="1" t="str">
        <f>VLOOKUP($E1487,'Product Naming'!$A$1:$P$58,2,FALSE)</f>
        <v>Citrate</v>
      </c>
      <c r="T1487" s="1" t="str">
        <f>VLOOKUP($E1487,'Product Naming'!$A$1:$P$58,3,FALSE)</f>
        <v>Citrate</v>
      </c>
      <c r="U1487" s="1" t="str">
        <f>VLOOKUP($E1487,'Product Naming'!$A$1:$P$58,4,FALSE)</f>
        <v>iJO1366</v>
      </c>
      <c r="V1487" s="1" t="str">
        <f>VLOOKUP($E1487,'Product Naming'!$A$1:$P$58,5,FALSE)</f>
        <v>C6H5O7</v>
      </c>
      <c r="W1487" s="1">
        <f>VLOOKUP($E1487,'Product Naming'!$A$1:$P$58,6,FALSE)</f>
        <v>6</v>
      </c>
      <c r="X1487" s="1">
        <f>VLOOKUP($E1487,'Product Naming'!$A$1:$P$58,7,FALSE)</f>
        <v>5</v>
      </c>
      <c r="Y1487" s="1">
        <f>VLOOKUP($E1487,'Product Naming'!$A$1:$P$58,8,FALSE)</f>
        <v>7</v>
      </c>
      <c r="Z1487" s="1">
        <f>VLOOKUP($E1487,'Product Naming'!$A$1:$P$58,9,FALSE)</f>
        <v>0</v>
      </c>
      <c r="AA1487" s="1">
        <f>VLOOKUP($E1487,'Product Naming'!$A$1:$P$58,10,FALSE)</f>
        <v>-3</v>
      </c>
      <c r="AB1487" s="29">
        <f>VLOOKUP($E1487,'Product Naming'!$A$1:$P$58,11,FALSE)</f>
        <v>2.5</v>
      </c>
      <c r="AC1487" s="3">
        <f>VLOOKUP($E1487,'Product Naming'!$A$1:$P$58,12,FALSE)</f>
        <v>189.09640000000002</v>
      </c>
      <c r="AD1487" s="1" t="str">
        <f>VLOOKUP($E1487,'Product Naming'!$A$1:$P$58,13,FALSE)</f>
        <v>NA</v>
      </c>
      <c r="AE1487" s="1" t="str">
        <f>VLOOKUP($E1487,'Product Naming'!$A$1:$P$58,14,FALSE)</f>
        <v>Tricarboxylate + Alcohol</v>
      </c>
      <c r="AF1487" s="1" t="str">
        <f>VLOOKUP($E1487,'Product Naming'!$A$1:$P$58,15,FALSE)</f>
        <v>Acetyl-CoA</v>
      </c>
      <c r="AG1487" s="30" t="str">
        <f>VLOOKUP($E1487,'Product Naming'!$A$1:$P$58,16,FALSE)</f>
        <v>Proton antiport</v>
      </c>
      <c r="AH1487" s="3" t="str">
        <f>VLOOKUP($E1487,'Product Naming'!$A$1:$Q$58,17,FALSE)</f>
        <v>cit_c</v>
      </c>
      <c r="AI1487" s="1">
        <f>VLOOKUP($E1487,'Product Parameters'!$A$2:$D$59,2,FALSE)</f>
        <v>1</v>
      </c>
      <c r="AJ1487" s="1">
        <f>VLOOKUP($E1487,'Product Parameters'!$A$2:$D$59,3,FALSE)</f>
        <v>0</v>
      </c>
      <c r="AK1487" s="1">
        <f>VLOOKUP($E1487,'Product Parameters'!$A$2:$D$59,4,FALSE)</f>
        <v>0.12</v>
      </c>
      <c r="AL1487" s="1">
        <f>VLOOKUP($E1487,'Product Parameters'!$A$2:$E$59,5,FALSE)</f>
        <v>40.65</v>
      </c>
      <c r="AM1487" s="1">
        <f>VLOOKUP($E1487,'Product Parameters'!$A$2:$F$59,6,FALSE)</f>
        <v>6</v>
      </c>
      <c r="AN1487" s="1">
        <f>VLOOKUP($C1487,'Substrate Heating'!$A$2:$C$33,3,FALSE)</f>
        <v>1020.8629199999999</v>
      </c>
      <c r="AO1487" s="1">
        <f>VLOOKUP($C1487,'Substrate Heating'!$A$2:$B$33,2,FALSE)</f>
        <v>17</v>
      </c>
      <c r="AP1487" s="1">
        <f>VLOOKUP($C1487,'Substrate Heating'!$A$2:$M$33,13,FALSE)</f>
        <v>4</v>
      </c>
      <c r="AQ1487" s="1">
        <f>VLOOKUP($C1487,'Substrate Heating'!$A$2:$M$33,8,FALSE)</f>
        <v>2</v>
      </c>
      <c r="AR1487" s="1">
        <f t="shared" si="23"/>
        <v>1.1123076923076931</v>
      </c>
    </row>
    <row r="1488" spans="1:44" x14ac:dyDescent="0.2">
      <c r="A1488" s="17" t="s">
        <v>185</v>
      </c>
      <c r="B1488" s="9" t="s">
        <v>35</v>
      </c>
      <c r="C1488" t="s">
        <v>348</v>
      </c>
      <c r="D1488" s="23" t="s">
        <v>338</v>
      </c>
      <c r="E1488" t="s">
        <v>225</v>
      </c>
      <c r="F1488" t="s">
        <v>226</v>
      </c>
      <c r="G1488">
        <v>-10</v>
      </c>
      <c r="H1488">
        <v>-20</v>
      </c>
      <c r="I1488" s="1" t="s">
        <v>40</v>
      </c>
      <c r="J1488">
        <v>3.15</v>
      </c>
      <c r="K1488">
        <v>-10</v>
      </c>
      <c r="L1488">
        <v>-7.3971428571428604</v>
      </c>
      <c r="M1488" s="1" t="s">
        <v>40</v>
      </c>
      <c r="N1488">
        <v>-0.13714285714286101</v>
      </c>
      <c r="O1488">
        <v>5.0685714285714303</v>
      </c>
      <c r="P1488"/>
      <c r="Q1488">
        <v>0.50685714285714301</v>
      </c>
      <c r="R1488">
        <v>1.1870872301264199</v>
      </c>
      <c r="S1488" s="1" t="str">
        <f>VLOOKUP($E1488,'Product Naming'!$A$1:$P$58,2,FALSE)</f>
        <v>Glycolate</v>
      </c>
      <c r="T1488" s="1" t="str">
        <f>VLOOKUP($E1488,'Product Naming'!$A$1:$P$58,3,FALSE)</f>
        <v>Glycolate</v>
      </c>
      <c r="U1488" s="1" t="str">
        <f>VLOOKUP($E1488,'Product Naming'!$A$1:$P$58,4,FALSE)</f>
        <v>iJO1366</v>
      </c>
      <c r="V1488" s="1" t="str">
        <f>VLOOKUP($E1488,'Product Naming'!$A$1:$P$58,5,FALSE)</f>
        <v>C2H3O3</v>
      </c>
      <c r="W1488" s="1">
        <f>VLOOKUP($E1488,'Product Naming'!$A$1:$P$58,6,FALSE)</f>
        <v>2</v>
      </c>
      <c r="X1488" s="1">
        <f>VLOOKUP($E1488,'Product Naming'!$A$1:$P$58,7,FALSE)</f>
        <v>3</v>
      </c>
      <c r="Y1488" s="1">
        <f>VLOOKUP($E1488,'Product Naming'!$A$1:$P$58,8,FALSE)</f>
        <v>3</v>
      </c>
      <c r="Z1488" s="1">
        <f>VLOOKUP($E1488,'Product Naming'!$A$1:$P$58,9,FALSE)</f>
        <v>0</v>
      </c>
      <c r="AA1488" s="1">
        <f>VLOOKUP($E1488,'Product Naming'!$A$1:$P$58,10,FALSE)</f>
        <v>-1</v>
      </c>
      <c r="AB1488" s="29">
        <f>VLOOKUP($E1488,'Product Naming'!$A$1:$P$58,11,FALSE)</f>
        <v>2.5</v>
      </c>
      <c r="AC1488" s="3">
        <f>VLOOKUP($E1488,'Product Naming'!$A$1:$P$58,12,FALSE)</f>
        <v>75.041920000000005</v>
      </c>
      <c r="AD1488" s="1">
        <f>VLOOKUP($E1488,'Product Naming'!$A$1:$P$58,13,FALSE)</f>
        <v>112</v>
      </c>
      <c r="AE1488" s="1" t="str">
        <f>VLOOKUP($E1488,'Product Naming'!$A$1:$P$58,14,FALSE)</f>
        <v>Carboxylate + Alcohol (hydroxy carboxylate)</v>
      </c>
      <c r="AF1488" s="1" t="str">
        <f>VLOOKUP($E1488,'Product Naming'!$A$1:$P$58,15,FALSE)</f>
        <v>Glyoxylate (*isocitrate)</v>
      </c>
      <c r="AG1488" s="30" t="str">
        <f>VLOOKUP($E1488,'Product Naming'!$A$1:$P$58,16,FALSE)</f>
        <v>Proton symporter</v>
      </c>
      <c r="AH1488" s="3" t="str">
        <f>VLOOKUP($E1488,'Product Naming'!$A$1:$Q$58,17,FALSE)</f>
        <v>glyclt_c</v>
      </c>
      <c r="AI1488" s="1">
        <f>VLOOKUP($E1488,'Product Parameters'!$A$2:$D$59,2,FALSE)</f>
        <v>1</v>
      </c>
      <c r="AJ1488" s="1">
        <f>VLOOKUP($E1488,'Product Parameters'!$A$2:$D$59,3,FALSE)</f>
        <v>0</v>
      </c>
      <c r="AK1488" s="1">
        <f>VLOOKUP($E1488,'Product Parameters'!$A$2:$D$59,4,FALSE)</f>
        <v>0.12</v>
      </c>
      <c r="AL1488" s="1">
        <f>VLOOKUP($E1488,'Product Parameters'!$A$2:$E$59,5,FALSE)</f>
        <v>40.65</v>
      </c>
      <c r="AM1488" s="1">
        <f>VLOOKUP($E1488,'Product Parameters'!$A$2:$F$59,6,FALSE)</f>
        <v>2</v>
      </c>
      <c r="AN1488" s="1">
        <f>VLOOKUP($C1488,'Substrate Heating'!$A$2:$C$33,3,FALSE)</f>
        <v>638.57832580000002</v>
      </c>
      <c r="AO1488" s="1">
        <f>VLOOKUP($C1488,'Substrate Heating'!$A$2:$B$33,2,FALSE)</f>
        <v>19.93</v>
      </c>
      <c r="AP1488" s="1">
        <f>VLOOKUP($C1488,'Substrate Heating'!$A$2:$M$33,13,FALSE)</f>
        <v>6</v>
      </c>
      <c r="AQ1488" s="1">
        <f>VLOOKUP($C1488,'Substrate Heating'!$A$2:$M$33,8,FALSE)</f>
        <v>1</v>
      </c>
      <c r="AR1488" s="1">
        <f t="shared" si="23"/>
        <v>1.013714285714286</v>
      </c>
    </row>
    <row r="1489" spans="1:44" x14ac:dyDescent="0.2">
      <c r="A1489" s="8" t="s">
        <v>34</v>
      </c>
      <c r="B1489" s="9" t="s">
        <v>35</v>
      </c>
      <c r="C1489" s="1" t="s">
        <v>330</v>
      </c>
      <c r="D1489" s="10" t="s">
        <v>37</v>
      </c>
      <c r="E1489" s="1" t="s">
        <v>275</v>
      </c>
      <c r="F1489" s="1" t="s">
        <v>276</v>
      </c>
      <c r="G1489" s="1">
        <v>-10</v>
      </c>
      <c r="H1489" s="1">
        <v>-20</v>
      </c>
      <c r="I1489" s="1" t="s">
        <v>40</v>
      </c>
      <c r="J1489" s="1">
        <v>3.15</v>
      </c>
      <c r="K1489" s="1">
        <v>-10</v>
      </c>
      <c r="L1489" s="1">
        <v>-14.088059701492501</v>
      </c>
      <c r="M1489" s="1" t="s">
        <v>40</v>
      </c>
      <c r="N1489" s="1">
        <v>-1.8238805970149199</v>
      </c>
      <c r="O1489" s="1">
        <v>7.2746268656716504</v>
      </c>
      <c r="Q1489" s="1">
        <v>0.72746268656716495</v>
      </c>
      <c r="R1489" s="1">
        <v>1.19602622910735</v>
      </c>
      <c r="S1489" s="1" t="str">
        <f>VLOOKUP($E1489,'Product Naming'!$A$1:$P$58,2,FALSE)</f>
        <v>Malonate</v>
      </c>
      <c r="T1489" s="1" t="str">
        <f>VLOOKUP($E1489,'Product Naming'!$A$1:$P$58,3,FALSE)</f>
        <v>Malonate</v>
      </c>
      <c r="U1489" s="1" t="str">
        <f>VLOOKUP($E1489,'Product Naming'!$A$1:$P$58,4,FALSE)</f>
        <v>A</v>
      </c>
      <c r="V1489" s="1" t="str">
        <f>VLOOKUP($E1489,'Product Naming'!$A$1:$P$58,5,FALSE)</f>
        <v>C3H2O4</v>
      </c>
      <c r="W1489" s="1">
        <f>VLOOKUP($E1489,'Product Naming'!$A$1:$P$58,6,FALSE)</f>
        <v>3</v>
      </c>
      <c r="X1489" s="1">
        <f>VLOOKUP($E1489,'Product Naming'!$A$1:$P$58,7,FALSE)</f>
        <v>2</v>
      </c>
      <c r="Y1489" s="1">
        <f>VLOOKUP($E1489,'Product Naming'!$A$1:$P$58,8,FALSE)</f>
        <v>4</v>
      </c>
      <c r="Z1489" s="1">
        <f>VLOOKUP($E1489,'Product Naming'!$A$1:$P$58,9,FALSE)</f>
        <v>0</v>
      </c>
      <c r="AA1489" s="1">
        <f>VLOOKUP($E1489,'Product Naming'!$A$1:$P$58,10,FALSE)</f>
        <v>-2</v>
      </c>
      <c r="AB1489" s="29">
        <f>VLOOKUP($E1489,'Product Naming'!$A$1:$P$58,11,FALSE)</f>
        <v>2</v>
      </c>
      <c r="AC1489" s="3">
        <f>VLOOKUP($E1489,'Product Naming'!$A$1:$P$58,12,FALSE)</f>
        <v>102.04378</v>
      </c>
      <c r="AD1489" s="1">
        <f>VLOOKUP($E1489,'Product Naming'!$A$1:$P$58,13,FALSE)</f>
        <v>199</v>
      </c>
      <c r="AE1489" s="1" t="str">
        <f>VLOOKUP($E1489,'Product Naming'!$A$1:$P$58,14,FALSE)</f>
        <v>Dicarboxylate</v>
      </c>
      <c r="AF1489" s="1" t="str">
        <f>VLOOKUP($E1489,'Product Naming'!$A$1:$P$58,15,FALSE)</f>
        <v>Oxaloacetate</v>
      </c>
      <c r="AG1489" s="30" t="str">
        <f>VLOOKUP($E1489,'Product Naming'!$A$1:$P$58,16,FALSE)</f>
        <v>Proton symporter</v>
      </c>
      <c r="AH1489" s="3" t="str">
        <f>VLOOKUP($E1489,'Product Naming'!$A$1:$Q$58,17,FALSE)</f>
        <v>malon_c</v>
      </c>
      <c r="AI1489" s="1">
        <f>VLOOKUP($E1489,'Product Parameters'!$A$2:$D$59,2,FALSE)</f>
        <v>1</v>
      </c>
      <c r="AJ1489" s="1">
        <f>VLOOKUP($E1489,'Product Parameters'!$A$2:$D$59,3,FALSE)</f>
        <v>0</v>
      </c>
      <c r="AK1489" s="1">
        <f>VLOOKUP($E1489,'Product Parameters'!$A$2:$D$59,4,FALSE)</f>
        <v>0.12</v>
      </c>
      <c r="AL1489" s="1">
        <f>VLOOKUP($E1489,'Product Parameters'!$A$2:$E$59,5,FALSE)</f>
        <v>40.65</v>
      </c>
      <c r="AM1489" s="1">
        <f>VLOOKUP($E1489,'Product Parameters'!$A$2:$F$59,6,FALSE)</f>
        <v>3</v>
      </c>
      <c r="AN1489" s="1">
        <f>VLOOKUP($C1489,'Substrate Heating'!$A$2:$C$33,3,FALSE)</f>
        <v>1055.1294800000001</v>
      </c>
      <c r="AO1489" s="1">
        <f>VLOOKUP($C1489,'Substrate Heating'!$A$2:$B$33,2,FALSE)</f>
        <v>17</v>
      </c>
      <c r="AP1489" s="1">
        <f>VLOOKUP($C1489,'Substrate Heating'!$A$2:$M$33,13,FALSE)</f>
        <v>5</v>
      </c>
      <c r="AQ1489" s="1">
        <f>VLOOKUP($C1489,'Substrate Heating'!$A$2:$M$33,8,FALSE)</f>
        <v>2</v>
      </c>
      <c r="AR1489" s="1">
        <f t="shared" si="23"/>
        <v>1.0911940298507474</v>
      </c>
    </row>
    <row r="1490" spans="1:44" x14ac:dyDescent="0.2">
      <c r="A1490" s="17" t="s">
        <v>185</v>
      </c>
      <c r="B1490" s="9" t="s">
        <v>35</v>
      </c>
      <c r="C1490" t="s">
        <v>345</v>
      </c>
      <c r="D1490" s="10" t="s">
        <v>37</v>
      </c>
      <c r="E1490" t="s">
        <v>269</v>
      </c>
      <c r="F1490" t="s">
        <v>270</v>
      </c>
      <c r="G1490">
        <v>-10</v>
      </c>
      <c r="H1490">
        <v>-20</v>
      </c>
      <c r="I1490" s="1" t="s">
        <v>40</v>
      </c>
      <c r="J1490">
        <v>3.15</v>
      </c>
      <c r="K1490">
        <v>-10</v>
      </c>
      <c r="L1490">
        <v>-3.6741935483871</v>
      </c>
      <c r="M1490" s="1" t="s">
        <v>40</v>
      </c>
      <c r="N1490">
        <v>-1.7677419354838699</v>
      </c>
      <c r="O1490">
        <v>5.4419354838709699</v>
      </c>
      <c r="P1490"/>
      <c r="Q1490">
        <v>0.54419354838709699</v>
      </c>
      <c r="R1490">
        <v>1.19681583982054</v>
      </c>
      <c r="S1490" s="1" t="str">
        <f>VLOOKUP($E1490,'Product Naming'!$A$1:$P$58,2,FALSE)</f>
        <v>Malate_L</v>
      </c>
      <c r="T1490" s="1" t="str">
        <f>VLOOKUP($E1490,'Product Naming'!$A$1:$P$58,3,FALSE)</f>
        <v>L-Malate</v>
      </c>
      <c r="U1490" s="1" t="str">
        <f>VLOOKUP($E1490,'Product Naming'!$A$1:$P$58,4,FALSE)</f>
        <v>iJO1366</v>
      </c>
      <c r="V1490" s="1" t="str">
        <f>VLOOKUP($E1490,'Product Naming'!$A$1:$P$58,5,FALSE)</f>
        <v>C4H4O5</v>
      </c>
      <c r="W1490" s="1">
        <f>VLOOKUP($E1490,'Product Naming'!$A$1:$P$58,6,FALSE)</f>
        <v>4</v>
      </c>
      <c r="X1490" s="1">
        <f>VLOOKUP($E1490,'Product Naming'!$A$1:$P$58,7,FALSE)</f>
        <v>4</v>
      </c>
      <c r="Y1490" s="1">
        <f>VLOOKUP($E1490,'Product Naming'!$A$1:$P$58,8,FALSE)</f>
        <v>5</v>
      </c>
      <c r="Z1490" s="1">
        <f>VLOOKUP($E1490,'Product Naming'!$A$1:$P$58,9,FALSE)</f>
        <v>0</v>
      </c>
      <c r="AA1490" s="1">
        <f>VLOOKUP($E1490,'Product Naming'!$A$1:$P$58,10,FALSE)</f>
        <v>-2</v>
      </c>
      <c r="AB1490" s="29">
        <f>VLOOKUP($E1490,'Product Naming'!$A$1:$P$58,11,FALSE)</f>
        <v>2.5</v>
      </c>
      <c r="AC1490" s="3">
        <f>VLOOKUP($E1490,'Product Naming'!$A$1:$P$58,12,FALSE)</f>
        <v>132.06916000000001</v>
      </c>
      <c r="AD1490" s="1" t="str">
        <f>VLOOKUP($E1490,'Product Naming'!$A$1:$P$58,13,FALSE)</f>
        <v>NA</v>
      </c>
      <c r="AE1490" s="1" t="str">
        <f>VLOOKUP($E1490,'Product Naming'!$A$1:$P$58,14,FALSE)</f>
        <v>Dicarboxylate</v>
      </c>
      <c r="AF1490" s="1" t="str">
        <f>VLOOKUP($E1490,'Product Naming'!$A$1:$P$58,15,FALSE)</f>
        <v>Oxaloacetate</v>
      </c>
      <c r="AG1490" s="30" t="str">
        <f>VLOOKUP($E1490,'Product Naming'!$A$1:$P$58,16,FALSE)</f>
        <v>Proton symporter</v>
      </c>
      <c r="AH1490" s="3" t="str">
        <f>VLOOKUP($E1490,'Product Naming'!$A$1:$Q$58,17,FALSE)</f>
        <v>mal__L_e</v>
      </c>
      <c r="AI1490" s="1">
        <f>VLOOKUP($E1490,'Product Parameters'!$A$2:$D$59,2,FALSE)</f>
        <v>1</v>
      </c>
      <c r="AJ1490" s="1">
        <f>VLOOKUP($E1490,'Product Parameters'!$A$2:$D$59,3,FALSE)</f>
        <v>0</v>
      </c>
      <c r="AK1490" s="1">
        <f>VLOOKUP($E1490,'Product Parameters'!$A$2:$D$59,4,FALSE)</f>
        <v>0.12</v>
      </c>
      <c r="AL1490" s="1">
        <f>VLOOKUP($E1490,'Product Parameters'!$A$2:$E$59,5,FALSE)</f>
        <v>40.65</v>
      </c>
      <c r="AM1490" s="1">
        <f>VLOOKUP($E1490,'Product Parameters'!$A$2:$F$59,6,FALSE)</f>
        <v>4</v>
      </c>
      <c r="AN1490" s="1">
        <f>VLOOKUP($C1490,'Substrate Heating'!$A$2:$C$33,3,FALSE)</f>
        <v>1020.8629199999999</v>
      </c>
      <c r="AO1490" s="1">
        <f>VLOOKUP($C1490,'Substrate Heating'!$A$2:$B$33,2,FALSE)</f>
        <v>17</v>
      </c>
      <c r="AP1490" s="1">
        <f>VLOOKUP($C1490,'Substrate Heating'!$A$2:$M$33,13,FALSE)</f>
        <v>4</v>
      </c>
      <c r="AQ1490" s="1">
        <f>VLOOKUP($C1490,'Substrate Heating'!$A$2:$M$33,8,FALSE)</f>
        <v>2</v>
      </c>
      <c r="AR1490" s="1">
        <f t="shared" si="23"/>
        <v>1.088387096774194</v>
      </c>
    </row>
    <row r="1491" spans="1:44" x14ac:dyDescent="0.2">
      <c r="A1491" s="17" t="s">
        <v>185</v>
      </c>
      <c r="B1491" s="9" t="s">
        <v>35</v>
      </c>
      <c r="C1491" t="s">
        <v>349</v>
      </c>
      <c r="D1491" s="25" t="s">
        <v>342</v>
      </c>
      <c r="E1491" t="s">
        <v>225</v>
      </c>
      <c r="F1491" t="s">
        <v>226</v>
      </c>
      <c r="G1491">
        <v>-10</v>
      </c>
      <c r="H1491">
        <v>-20</v>
      </c>
      <c r="I1491" s="1" t="s">
        <v>40</v>
      </c>
      <c r="J1491">
        <v>3.15</v>
      </c>
      <c r="K1491">
        <v>-10</v>
      </c>
      <c r="L1491">
        <v>-13.9571428571429</v>
      </c>
      <c r="M1491" s="1" t="s">
        <v>40</v>
      </c>
      <c r="N1491">
        <v>1.9428571428571499</v>
      </c>
      <c r="O1491">
        <v>24.0285714285714</v>
      </c>
      <c r="P1491"/>
      <c r="Q1491">
        <v>2.4028571428571399</v>
      </c>
      <c r="R1491">
        <v>1.20105917195573</v>
      </c>
      <c r="S1491" s="1" t="str">
        <f>VLOOKUP($E1491,'Product Naming'!$A$1:$P$58,2,FALSE)</f>
        <v>Glycolate</v>
      </c>
      <c r="T1491" s="1" t="str">
        <f>VLOOKUP($E1491,'Product Naming'!$A$1:$P$58,3,FALSE)</f>
        <v>Glycolate</v>
      </c>
      <c r="U1491" s="1" t="str">
        <f>VLOOKUP($E1491,'Product Naming'!$A$1:$P$58,4,FALSE)</f>
        <v>iJO1366</v>
      </c>
      <c r="V1491" s="1" t="str">
        <f>VLOOKUP($E1491,'Product Naming'!$A$1:$P$58,5,FALSE)</f>
        <v>C2H3O3</v>
      </c>
      <c r="W1491" s="1">
        <f>VLOOKUP($E1491,'Product Naming'!$A$1:$P$58,6,FALSE)</f>
        <v>2</v>
      </c>
      <c r="X1491" s="1">
        <f>VLOOKUP($E1491,'Product Naming'!$A$1:$P$58,7,FALSE)</f>
        <v>3</v>
      </c>
      <c r="Y1491" s="1">
        <f>VLOOKUP($E1491,'Product Naming'!$A$1:$P$58,8,FALSE)</f>
        <v>3</v>
      </c>
      <c r="Z1491" s="1">
        <f>VLOOKUP($E1491,'Product Naming'!$A$1:$P$58,9,FALSE)</f>
        <v>0</v>
      </c>
      <c r="AA1491" s="1">
        <f>VLOOKUP($E1491,'Product Naming'!$A$1:$P$58,10,FALSE)</f>
        <v>-1</v>
      </c>
      <c r="AB1491" s="29">
        <f>VLOOKUP($E1491,'Product Naming'!$A$1:$P$58,11,FALSE)</f>
        <v>2.5</v>
      </c>
      <c r="AC1491" s="3">
        <f>VLOOKUP($E1491,'Product Naming'!$A$1:$P$58,12,FALSE)</f>
        <v>75.041920000000005</v>
      </c>
      <c r="AD1491" s="1">
        <f>VLOOKUP($E1491,'Product Naming'!$A$1:$P$58,13,FALSE)</f>
        <v>112</v>
      </c>
      <c r="AE1491" s="1" t="str">
        <f>VLOOKUP($E1491,'Product Naming'!$A$1:$P$58,14,FALSE)</f>
        <v>Carboxylate + Alcohol (hydroxy carboxylate)</v>
      </c>
      <c r="AF1491" s="1" t="str">
        <f>VLOOKUP($E1491,'Product Naming'!$A$1:$P$58,15,FALSE)</f>
        <v>Glyoxylate (*isocitrate)</v>
      </c>
      <c r="AG1491" s="30" t="str">
        <f>VLOOKUP($E1491,'Product Naming'!$A$1:$P$58,16,FALSE)</f>
        <v>Proton symporter</v>
      </c>
      <c r="AH1491" s="3" t="str">
        <f>VLOOKUP($E1491,'Product Naming'!$A$1:$Q$58,17,FALSE)</f>
        <v>glyclt_c</v>
      </c>
      <c r="AI1491" s="1">
        <f>VLOOKUP($E1491,'Product Parameters'!$A$2:$D$59,2,FALSE)</f>
        <v>1</v>
      </c>
      <c r="AJ1491" s="1">
        <f>VLOOKUP($E1491,'Product Parameters'!$A$2:$D$59,3,FALSE)</f>
        <v>0</v>
      </c>
      <c r="AK1491" s="1">
        <f>VLOOKUP($E1491,'Product Parameters'!$A$2:$D$59,4,FALSE)</f>
        <v>0.12</v>
      </c>
      <c r="AL1491" s="1">
        <f>VLOOKUP($E1491,'Product Parameters'!$A$2:$E$59,5,FALSE)</f>
        <v>40.65</v>
      </c>
      <c r="AM1491" s="1">
        <f>VLOOKUP($E1491,'Product Parameters'!$A$2:$F$59,6,FALSE)</f>
        <v>2</v>
      </c>
      <c r="AN1491" s="1">
        <f>VLOOKUP($C1491,'Substrate Heating'!$A$2:$C$33,3,FALSE)</f>
        <v>2342.0279999999998</v>
      </c>
      <c r="AO1491" s="1">
        <f>VLOOKUP($C1491,'Substrate Heating'!$A$2:$B$33,2,FALSE)</f>
        <v>15.6</v>
      </c>
      <c r="AP1491" s="1">
        <f>VLOOKUP($C1491,'Substrate Heating'!$A$2:$M$33,13,FALSE)</f>
        <v>4</v>
      </c>
      <c r="AQ1491" s="1">
        <f>VLOOKUP($C1491,'Substrate Heating'!$A$2:$M$33,8,FALSE)</f>
        <v>5</v>
      </c>
      <c r="AR1491" s="1">
        <f t="shared" si="23"/>
        <v>0.96114285714285597</v>
      </c>
    </row>
    <row r="1492" spans="1:44" x14ac:dyDescent="0.2">
      <c r="A1492" s="17" t="s">
        <v>185</v>
      </c>
      <c r="B1492" s="9" t="s">
        <v>35</v>
      </c>
      <c r="C1492" t="s">
        <v>322</v>
      </c>
      <c r="D1492" s="10" t="s">
        <v>37</v>
      </c>
      <c r="E1492" t="s">
        <v>225</v>
      </c>
      <c r="F1492" t="s">
        <v>226</v>
      </c>
      <c r="G1492">
        <v>-10</v>
      </c>
      <c r="H1492">
        <v>-20</v>
      </c>
      <c r="I1492" s="1" t="s">
        <v>40</v>
      </c>
      <c r="J1492">
        <v>3.15</v>
      </c>
      <c r="K1492">
        <v>-10</v>
      </c>
      <c r="L1492">
        <v>-5.7560000000000002</v>
      </c>
      <c r="M1492" s="1" t="s">
        <v>40</v>
      </c>
      <c r="N1492">
        <v>1.008</v>
      </c>
      <c r="O1492">
        <v>9.4960000000000004</v>
      </c>
      <c r="P1492"/>
      <c r="Q1492">
        <v>0.9496</v>
      </c>
      <c r="R1492">
        <v>1.2069153631290599</v>
      </c>
      <c r="S1492" s="1" t="str">
        <f>VLOOKUP($E1492,'Product Naming'!$A$1:$P$58,2,FALSE)</f>
        <v>Glycolate</v>
      </c>
      <c r="T1492" s="1" t="str">
        <f>VLOOKUP($E1492,'Product Naming'!$A$1:$P$58,3,FALSE)</f>
        <v>Glycolate</v>
      </c>
      <c r="U1492" s="1" t="str">
        <f>VLOOKUP($E1492,'Product Naming'!$A$1:$P$58,4,FALSE)</f>
        <v>iJO1366</v>
      </c>
      <c r="V1492" s="1" t="str">
        <f>VLOOKUP($E1492,'Product Naming'!$A$1:$P$58,5,FALSE)</f>
        <v>C2H3O3</v>
      </c>
      <c r="W1492" s="1">
        <f>VLOOKUP($E1492,'Product Naming'!$A$1:$P$58,6,FALSE)</f>
        <v>2</v>
      </c>
      <c r="X1492" s="1">
        <f>VLOOKUP($E1492,'Product Naming'!$A$1:$P$58,7,FALSE)</f>
        <v>3</v>
      </c>
      <c r="Y1492" s="1">
        <f>VLOOKUP($E1492,'Product Naming'!$A$1:$P$58,8,FALSE)</f>
        <v>3</v>
      </c>
      <c r="Z1492" s="1">
        <f>VLOOKUP($E1492,'Product Naming'!$A$1:$P$58,9,FALSE)</f>
        <v>0</v>
      </c>
      <c r="AA1492" s="1">
        <f>VLOOKUP($E1492,'Product Naming'!$A$1:$P$58,10,FALSE)</f>
        <v>-1</v>
      </c>
      <c r="AB1492" s="29">
        <f>VLOOKUP($E1492,'Product Naming'!$A$1:$P$58,11,FALSE)</f>
        <v>2.5</v>
      </c>
      <c r="AC1492" s="3">
        <f>VLOOKUP($E1492,'Product Naming'!$A$1:$P$58,12,FALSE)</f>
        <v>75.041920000000005</v>
      </c>
      <c r="AD1492" s="1">
        <f>VLOOKUP($E1492,'Product Naming'!$A$1:$P$58,13,FALSE)</f>
        <v>112</v>
      </c>
      <c r="AE1492" s="1" t="str">
        <f>VLOOKUP($E1492,'Product Naming'!$A$1:$P$58,14,FALSE)</f>
        <v>Carboxylate + Alcohol (hydroxy carboxylate)</v>
      </c>
      <c r="AF1492" s="1" t="str">
        <f>VLOOKUP($E1492,'Product Naming'!$A$1:$P$58,15,FALSE)</f>
        <v>Glyoxylate (*isocitrate)</v>
      </c>
      <c r="AG1492" s="30" t="str">
        <f>VLOOKUP($E1492,'Product Naming'!$A$1:$P$58,16,FALSE)</f>
        <v>Proton symporter</v>
      </c>
      <c r="AH1492" s="3" t="str">
        <f>VLOOKUP($E1492,'Product Naming'!$A$1:$Q$58,17,FALSE)</f>
        <v>glyclt_c</v>
      </c>
      <c r="AI1492" s="1">
        <f>VLOOKUP($E1492,'Product Parameters'!$A$2:$D$59,2,FALSE)</f>
        <v>1</v>
      </c>
      <c r="AJ1492" s="1">
        <f>VLOOKUP($E1492,'Product Parameters'!$A$2:$D$59,3,FALSE)</f>
        <v>0</v>
      </c>
      <c r="AK1492" s="1">
        <f>VLOOKUP($E1492,'Product Parameters'!$A$2:$D$59,4,FALSE)</f>
        <v>0.12</v>
      </c>
      <c r="AL1492" s="1">
        <f>VLOOKUP($E1492,'Product Parameters'!$A$2:$E$59,5,FALSE)</f>
        <v>40.65</v>
      </c>
      <c r="AM1492" s="1">
        <f>VLOOKUP($E1492,'Product Parameters'!$A$2:$F$59,6,FALSE)</f>
        <v>2</v>
      </c>
      <c r="AN1492" s="1">
        <f>VLOOKUP($C1492,'Substrate Heating'!$A$2:$C$33,3,FALSE)</f>
        <v>876.74109599999997</v>
      </c>
      <c r="AO1492" s="1">
        <f>VLOOKUP($C1492,'Substrate Heating'!$A$2:$B$33,2,FALSE)</f>
        <v>14.6</v>
      </c>
      <c r="AP1492" s="1">
        <f>VLOOKUP($C1492,'Substrate Heating'!$A$2:$M$33,13,FALSE)</f>
        <v>3.5</v>
      </c>
      <c r="AQ1492" s="1">
        <f>VLOOKUP($C1492,'Substrate Heating'!$A$2:$M$33,8,FALSE)</f>
        <v>2</v>
      </c>
      <c r="AR1492" s="1">
        <f t="shared" si="23"/>
        <v>0.9496</v>
      </c>
    </row>
    <row r="1493" spans="1:44" x14ac:dyDescent="0.2">
      <c r="A1493" s="8" t="s">
        <v>34</v>
      </c>
      <c r="B1493" s="9" t="s">
        <v>35</v>
      </c>
      <c r="C1493" s="1" t="s">
        <v>332</v>
      </c>
      <c r="D1493" s="10" t="s">
        <v>37</v>
      </c>
      <c r="E1493" s="1" t="s">
        <v>308</v>
      </c>
      <c r="F1493" s="1" t="s">
        <v>309</v>
      </c>
      <c r="G1493" s="1">
        <v>-10</v>
      </c>
      <c r="H1493" s="1">
        <v>-20</v>
      </c>
      <c r="I1493" s="1" t="s">
        <v>40</v>
      </c>
      <c r="J1493" s="1">
        <v>3.15</v>
      </c>
      <c r="K1493" s="1">
        <v>-10</v>
      </c>
      <c r="L1493" s="1">
        <v>-7.4314496314496301</v>
      </c>
      <c r="M1493" s="1" t="s">
        <v>40</v>
      </c>
      <c r="N1493" s="1">
        <v>-2.5685503685503499</v>
      </c>
      <c r="O1493" s="1">
        <v>3.2240786240786301</v>
      </c>
      <c r="Q1493" s="1">
        <v>0.32240786240786301</v>
      </c>
      <c r="R1493" s="1">
        <v>1.21174186377437</v>
      </c>
      <c r="S1493" s="1" t="str">
        <f>VLOOKUP($E1493,'Product Naming'!$A$1:$P$58,2,FALSE)</f>
        <v>Shikimate</v>
      </c>
      <c r="T1493" s="1" t="str">
        <f>VLOOKUP($E1493,'Product Naming'!$A$1:$P$58,3,FALSE)</f>
        <v>Shikimate</v>
      </c>
      <c r="U1493" s="1" t="str">
        <f>VLOOKUP($E1493,'Product Naming'!$A$1:$P$58,4,FALSE)</f>
        <v>E</v>
      </c>
      <c r="V1493" s="1" t="str">
        <f>VLOOKUP($E1493,'Product Naming'!$A$1:$P$58,5,FALSE)</f>
        <v>C7H9O5</v>
      </c>
      <c r="W1493" s="1">
        <f>VLOOKUP($E1493,'Product Naming'!$A$1:$P$58,6,FALSE)</f>
        <v>7</v>
      </c>
      <c r="X1493" s="1">
        <f>VLOOKUP($E1493,'Product Naming'!$A$1:$P$58,7,FALSE)</f>
        <v>9</v>
      </c>
      <c r="Y1493" s="1">
        <f>VLOOKUP($E1493,'Product Naming'!$A$1:$P$58,8,FALSE)</f>
        <v>5</v>
      </c>
      <c r="Z1493" s="1">
        <f>VLOOKUP($E1493,'Product Naming'!$A$1:$P$58,9,FALSE)</f>
        <v>0</v>
      </c>
      <c r="AA1493" s="1">
        <f>VLOOKUP($E1493,'Product Naming'!$A$1:$P$58,10,FALSE)</f>
        <v>-1</v>
      </c>
      <c r="AB1493" s="29">
        <f>VLOOKUP($E1493,'Product Naming'!$A$1:$P$58,11,FALSE)</f>
        <v>3.8571428571428572</v>
      </c>
      <c r="AC1493" s="3">
        <f>VLOOKUP($E1493,'Product Naming'!$A$1:$P$58,12,FALSE)</f>
        <v>173.14046000000002</v>
      </c>
      <c r="AD1493" s="1">
        <f>VLOOKUP($E1493,'Product Naming'!$A$1:$P$58,13,FALSE)</f>
        <v>400.5</v>
      </c>
      <c r="AE1493" s="1" t="str">
        <f>VLOOKUP($E1493,'Product Naming'!$A$1:$P$58,14,FALSE)</f>
        <v>Aromatic + Alcohol + Carboxylate</v>
      </c>
      <c r="AF1493" s="1" t="str">
        <f>VLOOKUP($E1493,'Product Naming'!$A$1:$P$58,15,FALSE)</f>
        <v>PEP + E4P (Glyceraldehyde 3-P)</v>
      </c>
      <c r="AG1493" s="30" t="str">
        <f>VLOOKUP($E1493,'Product Naming'!$A$1:$P$58,16,FALSE)</f>
        <v>Proton symporter</v>
      </c>
      <c r="AH1493" s="3" t="str">
        <f>VLOOKUP($E1493,'Product Naming'!$A$1:$Q$58,17,FALSE)</f>
        <v>skm_c</v>
      </c>
      <c r="AI1493" s="1">
        <f>VLOOKUP($E1493,'Product Parameters'!$A$2:$D$59,2,FALSE)</f>
        <v>1</v>
      </c>
      <c r="AJ1493" s="1">
        <f>VLOOKUP($E1493,'Product Parameters'!$A$2:$D$59,3,FALSE)</f>
        <v>0</v>
      </c>
      <c r="AK1493" s="1">
        <f>VLOOKUP($E1493,'Product Parameters'!$A$2:$D$59,4,FALSE)</f>
        <v>0.12</v>
      </c>
      <c r="AL1493" s="1">
        <f>VLOOKUP($E1493,'Product Parameters'!$A$2:$E$59,5,FALSE)</f>
        <v>40.65</v>
      </c>
      <c r="AM1493" s="1">
        <f>VLOOKUP($E1493,'Product Parameters'!$A$2:$F$59,6,FALSE)</f>
        <v>7</v>
      </c>
      <c r="AN1493" s="1">
        <f>VLOOKUP($C1493,'Substrate Heating'!$A$2:$C$33,3,FALSE)</f>
        <v>1230.0006480000002</v>
      </c>
      <c r="AO1493" s="1">
        <f>VLOOKUP($C1493,'Substrate Heating'!$A$2:$B$33,2,FALSE)</f>
        <v>26.7</v>
      </c>
      <c r="AP1493" s="1">
        <f>VLOOKUP($C1493,'Substrate Heating'!$A$2:$M$33,13,FALSE)</f>
        <v>6</v>
      </c>
      <c r="AQ1493" s="1">
        <f>VLOOKUP($C1493,'Substrate Heating'!$A$2:$M$33,8,FALSE)</f>
        <v>2</v>
      </c>
      <c r="AR1493" s="1">
        <f t="shared" si="23"/>
        <v>1.1284275184275205</v>
      </c>
    </row>
    <row r="1494" spans="1:44" x14ac:dyDescent="0.2">
      <c r="A1494" s="17" t="s">
        <v>185</v>
      </c>
      <c r="B1494" s="9" t="s">
        <v>35</v>
      </c>
      <c r="C1494" t="s">
        <v>341</v>
      </c>
      <c r="D1494" s="24" t="s">
        <v>342</v>
      </c>
      <c r="E1494" t="s">
        <v>225</v>
      </c>
      <c r="F1494" t="s">
        <v>226</v>
      </c>
      <c r="G1494">
        <v>-10</v>
      </c>
      <c r="H1494">
        <v>-20</v>
      </c>
      <c r="I1494" s="1" t="s">
        <v>40</v>
      </c>
      <c r="J1494">
        <v>3.15</v>
      </c>
      <c r="K1494">
        <v>-10</v>
      </c>
      <c r="L1494">
        <v>-16.359798994974899</v>
      </c>
      <c r="M1494" s="1" t="s">
        <v>40</v>
      </c>
      <c r="N1494">
        <v>1.8130653266331</v>
      </c>
      <c r="O1494">
        <v>29.093467336683499</v>
      </c>
      <c r="P1494"/>
      <c r="Q1494">
        <v>2.9093467336683498</v>
      </c>
      <c r="R1494">
        <v>1.21188010965058</v>
      </c>
      <c r="S1494" s="1" t="str">
        <f>VLOOKUP($E1494,'Product Naming'!$A$1:$P$58,2,FALSE)</f>
        <v>Glycolate</v>
      </c>
      <c r="T1494" s="1" t="str">
        <f>VLOOKUP($E1494,'Product Naming'!$A$1:$P$58,3,FALSE)</f>
        <v>Glycolate</v>
      </c>
      <c r="U1494" s="1" t="str">
        <f>VLOOKUP($E1494,'Product Naming'!$A$1:$P$58,4,FALSE)</f>
        <v>iJO1366</v>
      </c>
      <c r="V1494" s="1" t="str">
        <f>VLOOKUP($E1494,'Product Naming'!$A$1:$P$58,5,FALSE)</f>
        <v>C2H3O3</v>
      </c>
      <c r="W1494" s="1">
        <f>VLOOKUP($E1494,'Product Naming'!$A$1:$P$58,6,FALSE)</f>
        <v>2</v>
      </c>
      <c r="X1494" s="1">
        <f>VLOOKUP($E1494,'Product Naming'!$A$1:$P$58,7,FALSE)</f>
        <v>3</v>
      </c>
      <c r="Y1494" s="1">
        <f>VLOOKUP($E1494,'Product Naming'!$A$1:$P$58,8,FALSE)</f>
        <v>3</v>
      </c>
      <c r="Z1494" s="1">
        <f>VLOOKUP($E1494,'Product Naming'!$A$1:$P$58,9,FALSE)</f>
        <v>0</v>
      </c>
      <c r="AA1494" s="1">
        <f>VLOOKUP($E1494,'Product Naming'!$A$1:$P$58,10,FALSE)</f>
        <v>-1</v>
      </c>
      <c r="AB1494" s="29">
        <f>VLOOKUP($E1494,'Product Naming'!$A$1:$P$58,11,FALSE)</f>
        <v>2.5</v>
      </c>
      <c r="AC1494" s="3">
        <f>VLOOKUP($E1494,'Product Naming'!$A$1:$P$58,12,FALSE)</f>
        <v>75.041920000000005</v>
      </c>
      <c r="AD1494" s="1">
        <f>VLOOKUP($E1494,'Product Naming'!$A$1:$P$58,13,FALSE)</f>
        <v>112</v>
      </c>
      <c r="AE1494" s="1" t="str">
        <f>VLOOKUP($E1494,'Product Naming'!$A$1:$P$58,14,FALSE)</f>
        <v>Carboxylate + Alcohol (hydroxy carboxylate)</v>
      </c>
      <c r="AF1494" s="1" t="str">
        <f>VLOOKUP($E1494,'Product Naming'!$A$1:$P$58,15,FALSE)</f>
        <v>Glyoxylate (*isocitrate)</v>
      </c>
      <c r="AG1494" s="30" t="str">
        <f>VLOOKUP($E1494,'Product Naming'!$A$1:$P$58,16,FALSE)</f>
        <v>Proton symporter</v>
      </c>
      <c r="AH1494" s="3" t="str">
        <f>VLOOKUP($E1494,'Product Naming'!$A$1:$Q$58,17,FALSE)</f>
        <v>glyclt_c</v>
      </c>
      <c r="AI1494" s="1">
        <f>VLOOKUP($E1494,'Product Parameters'!$A$2:$D$59,2,FALSE)</f>
        <v>1</v>
      </c>
      <c r="AJ1494" s="1">
        <f>VLOOKUP($E1494,'Product Parameters'!$A$2:$D$59,3,FALSE)</f>
        <v>0</v>
      </c>
      <c r="AK1494" s="1">
        <f>VLOOKUP($E1494,'Product Parameters'!$A$2:$D$59,4,FALSE)</f>
        <v>0.12</v>
      </c>
      <c r="AL1494" s="1">
        <f>VLOOKUP($E1494,'Product Parameters'!$A$2:$E$59,5,FALSE)</f>
        <v>40.65</v>
      </c>
      <c r="AM1494" s="1">
        <f>VLOOKUP($E1494,'Product Parameters'!$A$2:$F$59,6,FALSE)</f>
        <v>2</v>
      </c>
      <c r="AN1494" s="1">
        <f>VLOOKUP($C1494,'Substrate Heating'!$A$2:$C$33,3,FALSE)</f>
        <v>2828.4492</v>
      </c>
      <c r="AO1494" s="1">
        <f>VLOOKUP($C1494,'Substrate Heating'!$A$2:$B$33,2,FALSE)</f>
        <v>15.7</v>
      </c>
      <c r="AP1494" s="1">
        <f>VLOOKUP($C1494,'Substrate Heating'!$A$2:$M$33,13,FALSE)</f>
        <v>4</v>
      </c>
      <c r="AQ1494" s="1">
        <f>VLOOKUP($C1494,'Substrate Heating'!$A$2:$M$33,8,FALSE)</f>
        <v>6</v>
      </c>
      <c r="AR1494" s="1">
        <f t="shared" si="23"/>
        <v>0.96978224455611661</v>
      </c>
    </row>
    <row r="1495" spans="1:44" x14ac:dyDescent="0.2">
      <c r="A1495" s="17" t="s">
        <v>185</v>
      </c>
      <c r="B1495" s="9" t="s">
        <v>35</v>
      </c>
      <c r="C1495" t="s">
        <v>349</v>
      </c>
      <c r="D1495" s="25" t="s">
        <v>342</v>
      </c>
      <c r="E1495" t="s">
        <v>186</v>
      </c>
      <c r="F1495" t="s">
        <v>187</v>
      </c>
      <c r="G1495">
        <v>-10</v>
      </c>
      <c r="H1495">
        <v>-20</v>
      </c>
      <c r="I1495" s="1" t="s">
        <v>40</v>
      </c>
      <c r="J1495">
        <v>3.15</v>
      </c>
      <c r="K1495">
        <v>-10</v>
      </c>
      <c r="L1495">
        <v>-6.5713114754098303</v>
      </c>
      <c r="M1495" s="1" t="s">
        <v>40</v>
      </c>
      <c r="N1495">
        <v>-7.9049180327868802</v>
      </c>
      <c r="O1495">
        <v>9.6508196721311492</v>
      </c>
      <c r="P1495"/>
      <c r="Q1495">
        <v>0.96508196721311501</v>
      </c>
      <c r="R1495">
        <v>1.2155700106901901</v>
      </c>
      <c r="S1495" s="1" t="str">
        <f>VLOOKUP($E1495,'Product Naming'!$A$1:$P$58,2,FALSE)</f>
        <v>Citrate</v>
      </c>
      <c r="T1495" s="1" t="str">
        <f>VLOOKUP($E1495,'Product Naming'!$A$1:$P$58,3,FALSE)</f>
        <v>Citrate</v>
      </c>
      <c r="U1495" s="1" t="str">
        <f>VLOOKUP($E1495,'Product Naming'!$A$1:$P$58,4,FALSE)</f>
        <v>iJO1366</v>
      </c>
      <c r="V1495" s="1" t="str">
        <f>VLOOKUP($E1495,'Product Naming'!$A$1:$P$58,5,FALSE)</f>
        <v>C6H5O7</v>
      </c>
      <c r="W1495" s="1">
        <f>VLOOKUP($E1495,'Product Naming'!$A$1:$P$58,6,FALSE)</f>
        <v>6</v>
      </c>
      <c r="X1495" s="1">
        <f>VLOOKUP($E1495,'Product Naming'!$A$1:$P$58,7,FALSE)</f>
        <v>5</v>
      </c>
      <c r="Y1495" s="1">
        <f>VLOOKUP($E1495,'Product Naming'!$A$1:$P$58,8,FALSE)</f>
        <v>7</v>
      </c>
      <c r="Z1495" s="1">
        <f>VLOOKUP($E1495,'Product Naming'!$A$1:$P$58,9,FALSE)</f>
        <v>0</v>
      </c>
      <c r="AA1495" s="1">
        <f>VLOOKUP($E1495,'Product Naming'!$A$1:$P$58,10,FALSE)</f>
        <v>-3</v>
      </c>
      <c r="AB1495" s="29">
        <f>VLOOKUP($E1495,'Product Naming'!$A$1:$P$58,11,FALSE)</f>
        <v>2.5</v>
      </c>
      <c r="AC1495" s="3">
        <f>VLOOKUP($E1495,'Product Naming'!$A$1:$P$58,12,FALSE)</f>
        <v>189.09640000000002</v>
      </c>
      <c r="AD1495" s="1" t="str">
        <f>VLOOKUP($E1495,'Product Naming'!$A$1:$P$58,13,FALSE)</f>
        <v>NA</v>
      </c>
      <c r="AE1495" s="1" t="str">
        <f>VLOOKUP($E1495,'Product Naming'!$A$1:$P$58,14,FALSE)</f>
        <v>Tricarboxylate + Alcohol</v>
      </c>
      <c r="AF1495" s="1" t="str">
        <f>VLOOKUP($E1495,'Product Naming'!$A$1:$P$58,15,FALSE)</f>
        <v>Acetyl-CoA</v>
      </c>
      <c r="AG1495" s="30" t="str">
        <f>VLOOKUP($E1495,'Product Naming'!$A$1:$P$58,16,FALSE)</f>
        <v>Proton antiport</v>
      </c>
      <c r="AH1495" s="3" t="str">
        <f>VLOOKUP($E1495,'Product Naming'!$A$1:$Q$58,17,FALSE)</f>
        <v>cit_c</v>
      </c>
      <c r="AI1495" s="1">
        <f>VLOOKUP($E1495,'Product Parameters'!$A$2:$D$59,2,FALSE)</f>
        <v>1</v>
      </c>
      <c r="AJ1495" s="1">
        <f>VLOOKUP($E1495,'Product Parameters'!$A$2:$D$59,3,FALSE)</f>
        <v>0</v>
      </c>
      <c r="AK1495" s="1">
        <f>VLOOKUP($E1495,'Product Parameters'!$A$2:$D$59,4,FALSE)</f>
        <v>0.12</v>
      </c>
      <c r="AL1495" s="1">
        <f>VLOOKUP($E1495,'Product Parameters'!$A$2:$E$59,5,FALSE)</f>
        <v>40.65</v>
      </c>
      <c r="AM1495" s="1">
        <f>VLOOKUP($E1495,'Product Parameters'!$A$2:$F$59,6,FALSE)</f>
        <v>6</v>
      </c>
      <c r="AN1495" s="1">
        <f>VLOOKUP($C1495,'Substrate Heating'!$A$2:$C$33,3,FALSE)</f>
        <v>2342.0279999999998</v>
      </c>
      <c r="AO1495" s="1">
        <f>VLOOKUP($C1495,'Substrate Heating'!$A$2:$B$33,2,FALSE)</f>
        <v>15.6</v>
      </c>
      <c r="AP1495" s="1">
        <f>VLOOKUP($C1495,'Substrate Heating'!$A$2:$M$33,13,FALSE)</f>
        <v>4</v>
      </c>
      <c r="AQ1495" s="1">
        <f>VLOOKUP($C1495,'Substrate Heating'!$A$2:$M$33,8,FALSE)</f>
        <v>5</v>
      </c>
      <c r="AR1495" s="1">
        <f t="shared" si="23"/>
        <v>1.158098360655738</v>
      </c>
    </row>
    <row r="1496" spans="1:44" x14ac:dyDescent="0.2">
      <c r="A1496" s="17" t="s">
        <v>185</v>
      </c>
      <c r="B1496" s="9" t="s">
        <v>35</v>
      </c>
      <c r="C1496" t="s">
        <v>330</v>
      </c>
      <c r="D1496" s="10" t="s">
        <v>37</v>
      </c>
      <c r="E1496" t="s">
        <v>269</v>
      </c>
      <c r="F1496" t="s">
        <v>270</v>
      </c>
      <c r="G1496">
        <v>-10</v>
      </c>
      <c r="H1496">
        <v>-20</v>
      </c>
      <c r="I1496" s="1" t="s">
        <v>40</v>
      </c>
      <c r="J1496">
        <v>3.15</v>
      </c>
      <c r="K1496">
        <v>-10</v>
      </c>
      <c r="L1496">
        <v>-7.7976470588235296</v>
      </c>
      <c r="M1496" s="1" t="s">
        <v>40</v>
      </c>
      <c r="N1496">
        <v>-2.9364705882352902</v>
      </c>
      <c r="O1496">
        <v>5.7341176470588202</v>
      </c>
      <c r="P1496"/>
      <c r="Q1496">
        <v>0.57341176470588195</v>
      </c>
      <c r="R1496">
        <v>1.2201450398093601</v>
      </c>
      <c r="S1496" s="1" t="str">
        <f>VLOOKUP($E1496,'Product Naming'!$A$1:$P$58,2,FALSE)</f>
        <v>Malate_L</v>
      </c>
      <c r="T1496" s="1" t="str">
        <f>VLOOKUP($E1496,'Product Naming'!$A$1:$P$58,3,FALSE)</f>
        <v>L-Malate</v>
      </c>
      <c r="U1496" s="1" t="str">
        <f>VLOOKUP($E1496,'Product Naming'!$A$1:$P$58,4,FALSE)</f>
        <v>iJO1366</v>
      </c>
      <c r="V1496" s="1" t="str">
        <f>VLOOKUP($E1496,'Product Naming'!$A$1:$P$58,5,FALSE)</f>
        <v>C4H4O5</v>
      </c>
      <c r="W1496" s="1">
        <f>VLOOKUP($E1496,'Product Naming'!$A$1:$P$58,6,FALSE)</f>
        <v>4</v>
      </c>
      <c r="X1496" s="1">
        <f>VLOOKUP($E1496,'Product Naming'!$A$1:$P$58,7,FALSE)</f>
        <v>4</v>
      </c>
      <c r="Y1496" s="1">
        <f>VLOOKUP($E1496,'Product Naming'!$A$1:$P$58,8,FALSE)</f>
        <v>5</v>
      </c>
      <c r="Z1496" s="1">
        <f>VLOOKUP($E1496,'Product Naming'!$A$1:$P$58,9,FALSE)</f>
        <v>0</v>
      </c>
      <c r="AA1496" s="1">
        <f>VLOOKUP($E1496,'Product Naming'!$A$1:$P$58,10,FALSE)</f>
        <v>-2</v>
      </c>
      <c r="AB1496" s="29">
        <f>VLOOKUP($E1496,'Product Naming'!$A$1:$P$58,11,FALSE)</f>
        <v>2.5</v>
      </c>
      <c r="AC1496" s="3">
        <f>VLOOKUP($E1496,'Product Naming'!$A$1:$P$58,12,FALSE)</f>
        <v>132.06916000000001</v>
      </c>
      <c r="AD1496" s="1" t="str">
        <f>VLOOKUP($E1496,'Product Naming'!$A$1:$P$58,13,FALSE)</f>
        <v>NA</v>
      </c>
      <c r="AE1496" s="1" t="str">
        <f>VLOOKUP($E1496,'Product Naming'!$A$1:$P$58,14,FALSE)</f>
        <v>Dicarboxylate</v>
      </c>
      <c r="AF1496" s="1" t="str">
        <f>VLOOKUP($E1496,'Product Naming'!$A$1:$P$58,15,FALSE)</f>
        <v>Oxaloacetate</v>
      </c>
      <c r="AG1496" s="30" t="str">
        <f>VLOOKUP($E1496,'Product Naming'!$A$1:$P$58,16,FALSE)</f>
        <v>Proton symporter</v>
      </c>
      <c r="AH1496" s="3" t="str">
        <f>VLOOKUP($E1496,'Product Naming'!$A$1:$Q$58,17,FALSE)</f>
        <v>mal__L_e</v>
      </c>
      <c r="AI1496" s="1">
        <f>VLOOKUP($E1496,'Product Parameters'!$A$2:$D$59,2,FALSE)</f>
        <v>1</v>
      </c>
      <c r="AJ1496" s="1">
        <f>VLOOKUP($E1496,'Product Parameters'!$A$2:$D$59,3,FALSE)</f>
        <v>0</v>
      </c>
      <c r="AK1496" s="1">
        <f>VLOOKUP($E1496,'Product Parameters'!$A$2:$D$59,4,FALSE)</f>
        <v>0.12</v>
      </c>
      <c r="AL1496" s="1">
        <f>VLOOKUP($E1496,'Product Parameters'!$A$2:$E$59,5,FALSE)</f>
        <v>40.65</v>
      </c>
      <c r="AM1496" s="1">
        <f>VLOOKUP($E1496,'Product Parameters'!$A$2:$F$59,6,FALSE)</f>
        <v>4</v>
      </c>
      <c r="AN1496" s="1">
        <f>VLOOKUP($C1496,'Substrate Heating'!$A$2:$C$33,3,FALSE)</f>
        <v>1055.1294800000001</v>
      </c>
      <c r="AO1496" s="1">
        <f>VLOOKUP($C1496,'Substrate Heating'!$A$2:$B$33,2,FALSE)</f>
        <v>17</v>
      </c>
      <c r="AP1496" s="1">
        <f>VLOOKUP($C1496,'Substrate Heating'!$A$2:$M$33,13,FALSE)</f>
        <v>5</v>
      </c>
      <c r="AQ1496" s="1">
        <f>VLOOKUP($C1496,'Substrate Heating'!$A$2:$M$33,8,FALSE)</f>
        <v>2</v>
      </c>
      <c r="AR1496" s="1">
        <f t="shared" si="23"/>
        <v>1.1468235294117639</v>
      </c>
    </row>
    <row r="1497" spans="1:44" x14ac:dyDescent="0.2">
      <c r="A1497" s="17" t="s">
        <v>185</v>
      </c>
      <c r="B1497" s="9" t="s">
        <v>35</v>
      </c>
      <c r="C1497" t="s">
        <v>341</v>
      </c>
      <c r="D1497" s="24" t="s">
        <v>342</v>
      </c>
      <c r="E1497" t="s">
        <v>186</v>
      </c>
      <c r="F1497" t="s">
        <v>187</v>
      </c>
      <c r="G1497">
        <v>-10</v>
      </c>
      <c r="H1497">
        <v>-20</v>
      </c>
      <c r="I1497" s="1" t="s">
        <v>40</v>
      </c>
      <c r="J1497">
        <v>3.15</v>
      </c>
      <c r="K1497">
        <v>-10</v>
      </c>
      <c r="L1497">
        <v>-7.5790744466800701</v>
      </c>
      <c r="M1497" s="1" t="s">
        <v>40</v>
      </c>
      <c r="N1497">
        <v>-9.8945674044265495</v>
      </c>
      <c r="O1497">
        <v>11.649094567404401</v>
      </c>
      <c r="P1497"/>
      <c r="Q1497">
        <v>1.1649094567404401</v>
      </c>
      <c r="R1497">
        <v>1.22274436157885</v>
      </c>
      <c r="S1497" s="1" t="str">
        <f>VLOOKUP($E1497,'Product Naming'!$A$1:$P$58,2,FALSE)</f>
        <v>Citrate</v>
      </c>
      <c r="T1497" s="1" t="str">
        <f>VLOOKUP($E1497,'Product Naming'!$A$1:$P$58,3,FALSE)</f>
        <v>Citrate</v>
      </c>
      <c r="U1497" s="1" t="str">
        <f>VLOOKUP($E1497,'Product Naming'!$A$1:$P$58,4,FALSE)</f>
        <v>iJO1366</v>
      </c>
      <c r="V1497" s="1" t="str">
        <f>VLOOKUP($E1497,'Product Naming'!$A$1:$P$58,5,FALSE)</f>
        <v>C6H5O7</v>
      </c>
      <c r="W1497" s="1">
        <f>VLOOKUP($E1497,'Product Naming'!$A$1:$P$58,6,FALSE)</f>
        <v>6</v>
      </c>
      <c r="X1497" s="1">
        <f>VLOOKUP($E1497,'Product Naming'!$A$1:$P$58,7,FALSE)</f>
        <v>5</v>
      </c>
      <c r="Y1497" s="1">
        <f>VLOOKUP($E1497,'Product Naming'!$A$1:$P$58,8,FALSE)</f>
        <v>7</v>
      </c>
      <c r="Z1497" s="1">
        <f>VLOOKUP($E1497,'Product Naming'!$A$1:$P$58,9,FALSE)</f>
        <v>0</v>
      </c>
      <c r="AA1497" s="1">
        <f>VLOOKUP($E1497,'Product Naming'!$A$1:$P$58,10,FALSE)</f>
        <v>-3</v>
      </c>
      <c r="AB1497" s="29">
        <f>VLOOKUP($E1497,'Product Naming'!$A$1:$P$58,11,FALSE)</f>
        <v>2.5</v>
      </c>
      <c r="AC1497" s="3">
        <f>VLOOKUP($E1497,'Product Naming'!$A$1:$P$58,12,FALSE)</f>
        <v>189.09640000000002</v>
      </c>
      <c r="AD1497" s="1" t="str">
        <f>VLOOKUP($E1497,'Product Naming'!$A$1:$P$58,13,FALSE)</f>
        <v>NA</v>
      </c>
      <c r="AE1497" s="1" t="str">
        <f>VLOOKUP($E1497,'Product Naming'!$A$1:$P$58,14,FALSE)</f>
        <v>Tricarboxylate + Alcohol</v>
      </c>
      <c r="AF1497" s="1" t="str">
        <f>VLOOKUP($E1497,'Product Naming'!$A$1:$P$58,15,FALSE)</f>
        <v>Acetyl-CoA</v>
      </c>
      <c r="AG1497" s="30" t="str">
        <f>VLOOKUP($E1497,'Product Naming'!$A$1:$P$58,16,FALSE)</f>
        <v>Proton antiport</v>
      </c>
      <c r="AH1497" s="3" t="str">
        <f>VLOOKUP($E1497,'Product Naming'!$A$1:$Q$58,17,FALSE)</f>
        <v>cit_c</v>
      </c>
      <c r="AI1497" s="1">
        <f>VLOOKUP($E1497,'Product Parameters'!$A$2:$D$59,2,FALSE)</f>
        <v>1</v>
      </c>
      <c r="AJ1497" s="1">
        <f>VLOOKUP($E1497,'Product Parameters'!$A$2:$D$59,3,FALSE)</f>
        <v>0</v>
      </c>
      <c r="AK1497" s="1">
        <f>VLOOKUP($E1497,'Product Parameters'!$A$2:$D$59,4,FALSE)</f>
        <v>0.12</v>
      </c>
      <c r="AL1497" s="1">
        <f>VLOOKUP($E1497,'Product Parameters'!$A$2:$E$59,5,FALSE)</f>
        <v>40.65</v>
      </c>
      <c r="AM1497" s="1">
        <f>VLOOKUP($E1497,'Product Parameters'!$A$2:$F$59,6,FALSE)</f>
        <v>6</v>
      </c>
      <c r="AN1497" s="1">
        <f>VLOOKUP($C1497,'Substrate Heating'!$A$2:$C$33,3,FALSE)</f>
        <v>2828.4492</v>
      </c>
      <c r="AO1497" s="1">
        <f>VLOOKUP($C1497,'Substrate Heating'!$A$2:$B$33,2,FALSE)</f>
        <v>15.7</v>
      </c>
      <c r="AP1497" s="1">
        <f>VLOOKUP($C1497,'Substrate Heating'!$A$2:$M$33,13,FALSE)</f>
        <v>4</v>
      </c>
      <c r="AQ1497" s="1">
        <f>VLOOKUP($C1497,'Substrate Heating'!$A$2:$M$33,8,FALSE)</f>
        <v>6</v>
      </c>
      <c r="AR1497" s="1">
        <f t="shared" si="23"/>
        <v>1.1649094567404401</v>
      </c>
    </row>
    <row r="1498" spans="1:44" x14ac:dyDescent="0.2">
      <c r="A1498" s="17" t="s">
        <v>185</v>
      </c>
      <c r="B1498" s="9" t="s">
        <v>35</v>
      </c>
      <c r="C1498" t="s">
        <v>343</v>
      </c>
      <c r="D1498" s="24" t="s">
        <v>342</v>
      </c>
      <c r="E1498" t="s">
        <v>318</v>
      </c>
      <c r="F1498" t="s">
        <v>319</v>
      </c>
      <c r="G1498">
        <v>-10</v>
      </c>
      <c r="H1498">
        <v>-20</v>
      </c>
      <c r="I1498" s="1" t="s">
        <v>40</v>
      </c>
      <c r="J1498">
        <v>3.15</v>
      </c>
      <c r="K1498">
        <v>-10</v>
      </c>
      <c r="L1498">
        <v>-0.81666666666668097</v>
      </c>
      <c r="M1498" s="1" t="s">
        <v>40</v>
      </c>
      <c r="N1498">
        <v>-9.06666666666667</v>
      </c>
      <c r="O1498">
        <v>9.7666666666666302</v>
      </c>
      <c r="P1498"/>
      <c r="Q1498">
        <v>0.97666666666666302</v>
      </c>
      <c r="R1498">
        <v>1.23093879987459</v>
      </c>
      <c r="S1498" s="1" t="str">
        <f>VLOOKUP($E1498,'Product Naming'!$A$1:$P$58,2,FALSE)</f>
        <v>Succinate</v>
      </c>
      <c r="T1498" s="1" t="str">
        <f>VLOOKUP($E1498,'Product Naming'!$A$1:$P$58,3,FALSE)</f>
        <v>Succinate</v>
      </c>
      <c r="U1498" s="1" t="str">
        <f>VLOOKUP($E1498,'Product Naming'!$A$1:$P$58,4,FALSE)</f>
        <v>iJO1366</v>
      </c>
      <c r="V1498" s="1" t="str">
        <f>VLOOKUP($E1498,'Product Naming'!$A$1:$P$58,5,FALSE)</f>
        <v>C4H4O4</v>
      </c>
      <c r="W1498" s="1">
        <f>VLOOKUP($E1498,'Product Naming'!$A$1:$P$58,6,FALSE)</f>
        <v>4</v>
      </c>
      <c r="X1498" s="1">
        <f>VLOOKUP($E1498,'Product Naming'!$A$1:$P$58,7,FALSE)</f>
        <v>4</v>
      </c>
      <c r="Y1498" s="1">
        <f>VLOOKUP($E1498,'Product Naming'!$A$1:$P$58,8,FALSE)</f>
        <v>4</v>
      </c>
      <c r="Z1498" s="1">
        <f>VLOOKUP($E1498,'Product Naming'!$A$1:$P$58,9,FALSE)</f>
        <v>0</v>
      </c>
      <c r="AA1498" s="1">
        <f>VLOOKUP($E1498,'Product Naming'!$A$1:$P$58,10,FALSE)</f>
        <v>-2</v>
      </c>
      <c r="AB1498" s="29">
        <f>VLOOKUP($E1498,'Product Naming'!$A$1:$P$58,11,FALSE)</f>
        <v>3</v>
      </c>
      <c r="AC1498" s="3">
        <f>VLOOKUP($E1498,'Product Naming'!$A$1:$P$58,12,FALSE)</f>
        <v>116.07016</v>
      </c>
      <c r="AD1498" s="1">
        <f>VLOOKUP($E1498,'Product Naming'!$A$1:$P$58,13,FALSE)</f>
        <v>235</v>
      </c>
      <c r="AE1498" s="1" t="str">
        <f>VLOOKUP($E1498,'Product Naming'!$A$1:$P$58,14,FALSE)</f>
        <v>Dicarboxylate</v>
      </c>
      <c r="AF1498" s="1" t="str">
        <f>VLOOKUP($E1498,'Product Naming'!$A$1:$P$58,15,FALSE)</f>
        <v>Oxaloacetate</v>
      </c>
      <c r="AG1498" s="30" t="str">
        <f>VLOOKUP($E1498,'Product Naming'!$A$1:$P$58,16,FALSE)</f>
        <v>Proton symporter</v>
      </c>
      <c r="AH1498" s="3" t="str">
        <f>VLOOKUP($E1498,'Product Naming'!$A$1:$Q$58,17,FALSE)</f>
        <v>succ_c</v>
      </c>
      <c r="AI1498" s="1">
        <f>VLOOKUP($E1498,'Product Parameters'!$A$2:$D$59,2,FALSE)</f>
        <v>1</v>
      </c>
      <c r="AJ1498" s="1">
        <f>VLOOKUP($E1498,'Product Parameters'!$A$2:$D$59,3,FALSE)</f>
        <v>0</v>
      </c>
      <c r="AK1498" s="1">
        <f>VLOOKUP($E1498,'Product Parameters'!$A$2:$D$59,4,FALSE)</f>
        <v>0.12</v>
      </c>
      <c r="AL1498" s="1">
        <f>VLOOKUP($E1498,'Product Parameters'!$A$2:$E$59,5,FALSE)</f>
        <v>40.65</v>
      </c>
      <c r="AM1498" s="1">
        <f>VLOOKUP($E1498,'Product Parameters'!$A$2:$F$59,6,FALSE)</f>
        <v>4</v>
      </c>
      <c r="AN1498" s="1">
        <f>VLOOKUP($C1498,'Substrate Heating'!$A$2:$C$33,3,FALSE)</f>
        <v>1648.4793779999998</v>
      </c>
      <c r="AO1498" s="1">
        <f>VLOOKUP($C1498,'Substrate Heating'!$A$2:$B$33,2,FALSE)</f>
        <v>17.899999999999999</v>
      </c>
      <c r="AP1498" s="1">
        <f>VLOOKUP($C1498,'Substrate Heating'!$A$2:$M$33,13,FALSE)</f>
        <v>4.666666666666667</v>
      </c>
      <c r="AQ1498" s="1">
        <f>VLOOKUP($C1498,'Substrate Heating'!$A$2:$M$33,8,FALSE)</f>
        <v>3</v>
      </c>
      <c r="AR1498" s="1">
        <f t="shared" si="23"/>
        <v>1.3022222222222173</v>
      </c>
    </row>
    <row r="1499" spans="1:44" x14ac:dyDescent="0.2">
      <c r="A1499" s="8" t="s">
        <v>812</v>
      </c>
      <c r="B1499" s="9" t="s">
        <v>35</v>
      </c>
      <c r="C1499" t="s">
        <v>813</v>
      </c>
      <c r="E1499" t="s">
        <v>308</v>
      </c>
      <c r="F1499" t="s">
        <v>309</v>
      </c>
      <c r="G1499">
        <v>-10</v>
      </c>
      <c r="H1499">
        <v>-20</v>
      </c>
      <c r="I1499">
        <v>0</v>
      </c>
      <c r="J1499">
        <v>3.15</v>
      </c>
      <c r="K1499">
        <v>-10</v>
      </c>
      <c r="L1499">
        <v>-13.9814229249011</v>
      </c>
      <c r="M1499">
        <v>0</v>
      </c>
      <c r="N1499">
        <v>-1.0185770750988099</v>
      </c>
      <c r="O1499">
        <v>4.4312252964426797</v>
      </c>
      <c r="P1499"/>
      <c r="Q1499">
        <v>0.44312252964426802</v>
      </c>
      <c r="R1499">
        <v>1.2766816421107201</v>
      </c>
      <c r="S1499" s="1" t="str">
        <f>VLOOKUP($E1499,'Product Naming'!$A$1:$P$58,2,FALSE)</f>
        <v>Shikimate</v>
      </c>
      <c r="T1499" s="1" t="str">
        <f>VLOOKUP($E1499,'Product Naming'!$A$1:$P$58,3,FALSE)</f>
        <v>Shikimate</v>
      </c>
      <c r="U1499" s="1" t="str">
        <f>VLOOKUP($E1499,'Product Naming'!$A$1:$P$58,4,FALSE)</f>
        <v>E</v>
      </c>
      <c r="V1499" s="1" t="str">
        <f>VLOOKUP($E1499,'Product Naming'!$A$1:$P$58,5,FALSE)</f>
        <v>C7H9O5</v>
      </c>
      <c r="W1499" s="1">
        <f>VLOOKUP($E1499,'Product Naming'!$A$1:$P$58,6,FALSE)</f>
        <v>7</v>
      </c>
      <c r="X1499" s="1">
        <f>VLOOKUP($E1499,'Product Naming'!$A$1:$P$58,7,FALSE)</f>
        <v>9</v>
      </c>
      <c r="Y1499" s="1">
        <f>VLOOKUP($E1499,'Product Naming'!$A$1:$P$58,8,FALSE)</f>
        <v>5</v>
      </c>
      <c r="Z1499" s="1">
        <f>VLOOKUP($E1499,'Product Naming'!$A$1:$P$58,9,FALSE)</f>
        <v>0</v>
      </c>
      <c r="AA1499" s="1">
        <f>VLOOKUP($E1499,'Product Naming'!$A$1:$P$58,10,FALSE)</f>
        <v>-1</v>
      </c>
      <c r="AB1499" s="29">
        <f>VLOOKUP($E1499,'Product Naming'!$A$1:$P$58,11,FALSE)</f>
        <v>3.8571428571428572</v>
      </c>
      <c r="AC1499" s="3">
        <f>VLOOKUP($E1499,'Product Naming'!$A$1:$P$58,12,FALSE)</f>
        <v>173.14046000000002</v>
      </c>
      <c r="AD1499" s="1">
        <f>VLOOKUP($E1499,'Product Naming'!$A$1:$P$58,13,FALSE)</f>
        <v>400.5</v>
      </c>
      <c r="AE1499" s="1" t="str">
        <f>VLOOKUP($E1499,'Product Naming'!$A$1:$P$58,14,FALSE)</f>
        <v>Aromatic + Alcohol + Carboxylate</v>
      </c>
      <c r="AF1499" s="1" t="str">
        <f>VLOOKUP($E1499,'Product Naming'!$A$1:$P$58,15,FALSE)</f>
        <v>PEP + E4P (Glyceraldehyde 3-P)</v>
      </c>
      <c r="AG1499" s="30" t="str">
        <f>VLOOKUP($E1499,'Product Naming'!$A$1:$P$58,16,FALSE)</f>
        <v>Proton symporter</v>
      </c>
      <c r="AH1499" s="3" t="str">
        <f>VLOOKUP($E1499,'Product Naming'!$A$1:$Q$58,17,FALSE)</f>
        <v>skm_c</v>
      </c>
      <c r="AI1499" s="1">
        <f>VLOOKUP($E1499,'Product Parameters'!$A$2:$D$59,2,FALSE)</f>
        <v>1</v>
      </c>
      <c r="AJ1499" s="1">
        <f>VLOOKUP($E1499,'Product Parameters'!$A$2:$D$59,3,FALSE)</f>
        <v>0</v>
      </c>
      <c r="AK1499" s="1">
        <f>VLOOKUP($E1499,'Product Parameters'!$A$2:$D$59,4,FALSE)</f>
        <v>0.12</v>
      </c>
      <c r="AL1499" s="1">
        <f>VLOOKUP($E1499,'Product Parameters'!$A$2:$E$59,5,FALSE)</f>
        <v>40.65</v>
      </c>
      <c r="AM1499" s="1">
        <f>VLOOKUP($E1499,'Product Parameters'!$A$2:$F$59,6,FALSE)</f>
        <v>7</v>
      </c>
      <c r="AN1499" s="1">
        <f>VLOOKUP($C1499,'Substrate Heating'!$A$2:$C$33,3,FALSE)</f>
        <v>1843.720736</v>
      </c>
      <c r="AO1499" s="1">
        <f>VLOOKUP($C1499,'Substrate Heating'!$A$2:$B$33,2,FALSE)</f>
        <v>30.68</v>
      </c>
      <c r="AP1499" s="1">
        <f>VLOOKUP($C1499,'Substrate Heating'!$A$2:$M$33,13,FALSE)</f>
        <v>6</v>
      </c>
      <c r="AQ1499" s="1">
        <f>VLOOKUP($C1499,'Substrate Heating'!$A$2:$M$33,8,FALSE)</f>
        <v>3</v>
      </c>
      <c r="AR1499" s="1">
        <f t="shared" si="23"/>
        <v>1.0339525691699587</v>
      </c>
    </row>
    <row r="1500" spans="1:44" x14ac:dyDescent="0.2">
      <c r="A1500" s="8" t="s">
        <v>34</v>
      </c>
      <c r="B1500" s="9" t="s">
        <v>35</v>
      </c>
      <c r="C1500" s="1" t="s">
        <v>36</v>
      </c>
      <c r="D1500" s="10" t="s">
        <v>37</v>
      </c>
      <c r="E1500" s="1" t="s">
        <v>97</v>
      </c>
      <c r="F1500" s="1" t="s">
        <v>98</v>
      </c>
      <c r="G1500" s="1">
        <v>-10</v>
      </c>
      <c r="H1500" s="1">
        <v>-20</v>
      </c>
      <c r="I1500" s="1" t="s">
        <v>40</v>
      </c>
      <c r="J1500" s="1">
        <v>3.15</v>
      </c>
      <c r="K1500" s="1">
        <v>-10</v>
      </c>
      <c r="L1500" s="1">
        <v>-9.5196629213483206</v>
      </c>
      <c r="M1500" s="1" t="s">
        <v>40</v>
      </c>
      <c r="N1500" s="1">
        <v>-1.67247191011236</v>
      </c>
      <c r="O1500" s="1">
        <v>3.0960674157303401</v>
      </c>
      <c r="Q1500" s="1">
        <v>0.30960674157303397</v>
      </c>
      <c r="R1500" s="1">
        <v>1.2797357813738699</v>
      </c>
      <c r="S1500" s="1" t="str">
        <f>VLOOKUP($E1500,'Product Naming'!$A$1:$P$58,2,FALSE)</f>
        <v>2-Pyrone-4-6-Dicarboxylate</v>
      </c>
      <c r="T1500" s="1" t="str">
        <f>VLOOKUP($E1500,'Product Naming'!$A$1:$P$58,3,FALSE)</f>
        <v>2-Pyrone 4,6-dicarboxylate</v>
      </c>
      <c r="U1500" s="1" t="str">
        <f>VLOOKUP($E1500,'Product Naming'!$A$1:$P$58,4,FALSE)</f>
        <v>A</v>
      </c>
      <c r="V1500" s="1" t="str">
        <f>VLOOKUP($E1500,'Product Naming'!$A$1:$P$58,5,FALSE)</f>
        <v>C7H2O6</v>
      </c>
      <c r="W1500" s="1">
        <f>VLOOKUP($E1500,'Product Naming'!$A$1:$P$58,6,FALSE)</f>
        <v>7</v>
      </c>
      <c r="X1500" s="1">
        <f>VLOOKUP($E1500,'Product Naming'!$A$1:$P$58,7,FALSE)</f>
        <v>2</v>
      </c>
      <c r="Y1500" s="1">
        <f>VLOOKUP($E1500,'Product Naming'!$A$1:$P$58,8,FALSE)</f>
        <v>6</v>
      </c>
      <c r="Z1500" s="1">
        <f>VLOOKUP($E1500,'Product Naming'!$A$1:$P$58,9,FALSE)</f>
        <v>0</v>
      </c>
      <c r="AA1500" s="1">
        <f>VLOOKUP($E1500,'Product Naming'!$A$1:$P$58,10,FALSE)</f>
        <v>-2</v>
      </c>
      <c r="AB1500" s="29">
        <f>VLOOKUP($E1500,'Product Naming'!$A$1:$P$58,11,FALSE)</f>
        <v>2.5714285714285716</v>
      </c>
      <c r="AC1500" s="3">
        <f>VLOOKUP($E1500,'Product Naming'!$A$1:$P$58,12,FALSE)</f>
        <v>182.08458000000002</v>
      </c>
      <c r="AD1500" s="1">
        <f>VLOOKUP($E1500,'Product Naming'!$A$1:$P$58,13,FALSE)</f>
        <v>355.5</v>
      </c>
      <c r="AE1500" s="1" t="str">
        <f>VLOOKUP($E1500,'Product Naming'!$A$1:$P$58,14,FALSE)</f>
        <v>Dicarboxylate</v>
      </c>
      <c r="AF1500" s="1" t="str">
        <f>VLOOKUP($E1500,'Product Naming'!$A$1:$P$58,15,FALSE)</f>
        <v>Glyceraldehyde 3-P</v>
      </c>
      <c r="AG1500" s="30" t="str">
        <f>VLOOKUP($E1500,'Product Naming'!$A$1:$P$58,16,FALSE)</f>
        <v>Proton symporter</v>
      </c>
      <c r="AH1500" s="3" t="str">
        <f>VLOOKUP($E1500,'Product Naming'!$A$1:$Q$58,17,FALSE)</f>
        <v>2p46dc_c</v>
      </c>
      <c r="AI1500" s="1">
        <f>VLOOKUP($E1500,'Product Parameters'!$A$2:$D$59,2,FALSE)</f>
        <v>1</v>
      </c>
      <c r="AJ1500" s="1">
        <f>VLOOKUP($E1500,'Product Parameters'!$A$2:$D$59,3,FALSE)</f>
        <v>0</v>
      </c>
      <c r="AK1500" s="1">
        <f>VLOOKUP($E1500,'Product Parameters'!$A$2:$D$59,4,FALSE)</f>
        <v>0.12</v>
      </c>
      <c r="AL1500" s="1">
        <f>VLOOKUP($E1500,'Product Parameters'!$A$2:$E$59,5,FALSE)</f>
        <v>0</v>
      </c>
      <c r="AM1500" s="1">
        <f>VLOOKUP($E1500,'Product Parameters'!$A$2:$F$59,6,FALSE)</f>
        <v>7</v>
      </c>
      <c r="AN1500" s="1">
        <f>VLOOKUP($C1500,'Substrate Heating'!$A$2:$C$33,3,FALSE)</f>
        <v>1064.1143145599999</v>
      </c>
      <c r="AO1500" s="1">
        <f>VLOOKUP($C1500,'Substrate Heating'!$A$2:$B$33,2,FALSE)</f>
        <v>24.155999999999999</v>
      </c>
      <c r="AP1500" s="1">
        <f>VLOOKUP($C1500,'Substrate Heating'!$A$2:$M$33,13,FALSE)</f>
        <v>5</v>
      </c>
      <c r="AQ1500" s="1">
        <f>VLOOKUP($C1500,'Substrate Heating'!$A$2:$M$33,8,FALSE)</f>
        <v>2</v>
      </c>
      <c r="AR1500" s="1">
        <f t="shared" si="23"/>
        <v>1.0836235955056188</v>
      </c>
    </row>
    <row r="1501" spans="1:44" x14ac:dyDescent="0.2">
      <c r="A1501" s="8" t="s">
        <v>34</v>
      </c>
      <c r="B1501" s="9" t="s">
        <v>35</v>
      </c>
      <c r="C1501" s="1" t="s">
        <v>345</v>
      </c>
      <c r="D1501" s="10" t="s">
        <v>37</v>
      </c>
      <c r="E1501" s="1" t="s">
        <v>275</v>
      </c>
      <c r="F1501" s="1" t="s">
        <v>276</v>
      </c>
      <c r="G1501" s="1">
        <v>-10</v>
      </c>
      <c r="H1501" s="1">
        <v>-20</v>
      </c>
      <c r="I1501" s="1" t="s">
        <v>40</v>
      </c>
      <c r="J1501" s="1">
        <v>3.15</v>
      </c>
      <c r="K1501" s="1">
        <v>-10</v>
      </c>
      <c r="L1501" s="1">
        <v>-4.8857142857142897</v>
      </c>
      <c r="M1501" s="1" t="s">
        <v>40</v>
      </c>
      <c r="N1501" s="1">
        <v>-2.6714285714285699</v>
      </c>
      <c r="O1501" s="1">
        <v>7.5571428571428401</v>
      </c>
      <c r="Q1501" s="1">
        <v>0.75571428571428401</v>
      </c>
      <c r="R1501" s="1">
        <v>1.28415277283497</v>
      </c>
      <c r="S1501" s="1" t="str">
        <f>VLOOKUP($E1501,'Product Naming'!$A$1:$P$58,2,FALSE)</f>
        <v>Malonate</v>
      </c>
      <c r="T1501" s="1" t="str">
        <f>VLOOKUP($E1501,'Product Naming'!$A$1:$P$58,3,FALSE)</f>
        <v>Malonate</v>
      </c>
      <c r="U1501" s="1" t="str">
        <f>VLOOKUP($E1501,'Product Naming'!$A$1:$P$58,4,FALSE)</f>
        <v>A</v>
      </c>
      <c r="V1501" s="1" t="str">
        <f>VLOOKUP($E1501,'Product Naming'!$A$1:$P$58,5,FALSE)</f>
        <v>C3H2O4</v>
      </c>
      <c r="W1501" s="1">
        <f>VLOOKUP($E1501,'Product Naming'!$A$1:$P$58,6,FALSE)</f>
        <v>3</v>
      </c>
      <c r="X1501" s="1">
        <f>VLOOKUP($E1501,'Product Naming'!$A$1:$P$58,7,FALSE)</f>
        <v>2</v>
      </c>
      <c r="Y1501" s="1">
        <f>VLOOKUP($E1501,'Product Naming'!$A$1:$P$58,8,FALSE)</f>
        <v>4</v>
      </c>
      <c r="Z1501" s="1">
        <f>VLOOKUP($E1501,'Product Naming'!$A$1:$P$58,9,FALSE)</f>
        <v>0</v>
      </c>
      <c r="AA1501" s="1">
        <f>VLOOKUP($E1501,'Product Naming'!$A$1:$P$58,10,FALSE)</f>
        <v>-2</v>
      </c>
      <c r="AB1501" s="29">
        <f>VLOOKUP($E1501,'Product Naming'!$A$1:$P$58,11,FALSE)</f>
        <v>2</v>
      </c>
      <c r="AC1501" s="3">
        <f>VLOOKUP($E1501,'Product Naming'!$A$1:$P$58,12,FALSE)</f>
        <v>102.04378</v>
      </c>
      <c r="AD1501" s="1">
        <f>VLOOKUP($E1501,'Product Naming'!$A$1:$P$58,13,FALSE)</f>
        <v>199</v>
      </c>
      <c r="AE1501" s="1" t="str">
        <f>VLOOKUP($E1501,'Product Naming'!$A$1:$P$58,14,FALSE)</f>
        <v>Dicarboxylate</v>
      </c>
      <c r="AF1501" s="1" t="str">
        <f>VLOOKUP($E1501,'Product Naming'!$A$1:$P$58,15,FALSE)</f>
        <v>Oxaloacetate</v>
      </c>
      <c r="AG1501" s="30" t="str">
        <f>VLOOKUP($E1501,'Product Naming'!$A$1:$P$58,16,FALSE)</f>
        <v>Proton symporter</v>
      </c>
      <c r="AH1501" s="3" t="str">
        <f>VLOOKUP($E1501,'Product Naming'!$A$1:$Q$58,17,FALSE)</f>
        <v>malon_c</v>
      </c>
      <c r="AI1501" s="1">
        <f>VLOOKUP($E1501,'Product Parameters'!$A$2:$D$59,2,FALSE)</f>
        <v>1</v>
      </c>
      <c r="AJ1501" s="1">
        <f>VLOOKUP($E1501,'Product Parameters'!$A$2:$D$59,3,FALSE)</f>
        <v>0</v>
      </c>
      <c r="AK1501" s="1">
        <f>VLOOKUP($E1501,'Product Parameters'!$A$2:$D$59,4,FALSE)</f>
        <v>0.12</v>
      </c>
      <c r="AL1501" s="1">
        <f>VLOOKUP($E1501,'Product Parameters'!$A$2:$E$59,5,FALSE)</f>
        <v>40.65</v>
      </c>
      <c r="AM1501" s="1">
        <f>VLOOKUP($E1501,'Product Parameters'!$A$2:$F$59,6,FALSE)</f>
        <v>3</v>
      </c>
      <c r="AN1501" s="1">
        <f>VLOOKUP($C1501,'Substrate Heating'!$A$2:$C$33,3,FALSE)</f>
        <v>1020.8629199999999</v>
      </c>
      <c r="AO1501" s="1">
        <f>VLOOKUP($C1501,'Substrate Heating'!$A$2:$B$33,2,FALSE)</f>
        <v>17</v>
      </c>
      <c r="AP1501" s="1">
        <f>VLOOKUP($C1501,'Substrate Heating'!$A$2:$M$33,13,FALSE)</f>
        <v>4</v>
      </c>
      <c r="AQ1501" s="1">
        <f>VLOOKUP($C1501,'Substrate Heating'!$A$2:$M$33,8,FALSE)</f>
        <v>2</v>
      </c>
      <c r="AR1501" s="1">
        <f t="shared" si="23"/>
        <v>1.133571428571426</v>
      </c>
    </row>
    <row r="1502" spans="1:44" x14ac:dyDescent="0.2">
      <c r="A1502" s="17" t="s">
        <v>185</v>
      </c>
      <c r="B1502" s="9" t="s">
        <v>35</v>
      </c>
      <c r="C1502" t="s">
        <v>343</v>
      </c>
      <c r="D1502" s="24" t="s">
        <v>342</v>
      </c>
      <c r="E1502" t="s">
        <v>225</v>
      </c>
      <c r="F1502" t="s">
        <v>226</v>
      </c>
      <c r="G1502">
        <v>-10</v>
      </c>
      <c r="H1502">
        <v>-20</v>
      </c>
      <c r="I1502" s="1" t="s">
        <v>40</v>
      </c>
      <c r="J1502">
        <v>3.15</v>
      </c>
      <c r="K1502">
        <v>-10</v>
      </c>
      <c r="L1502">
        <v>-10.706250000000001</v>
      </c>
      <c r="M1502" s="1" t="s">
        <v>40</v>
      </c>
      <c r="N1502">
        <v>-2.3916666666666599</v>
      </c>
      <c r="O1502">
        <v>16.195833333333301</v>
      </c>
      <c r="P1502"/>
      <c r="Q1502">
        <v>1.61958333333333</v>
      </c>
      <c r="R1502">
        <v>1.31970465481108</v>
      </c>
      <c r="S1502" s="1" t="str">
        <f>VLOOKUP($E1502,'Product Naming'!$A$1:$P$58,2,FALSE)</f>
        <v>Glycolate</v>
      </c>
      <c r="T1502" s="1" t="str">
        <f>VLOOKUP($E1502,'Product Naming'!$A$1:$P$58,3,FALSE)</f>
        <v>Glycolate</v>
      </c>
      <c r="U1502" s="1" t="str">
        <f>VLOOKUP($E1502,'Product Naming'!$A$1:$P$58,4,FALSE)</f>
        <v>iJO1366</v>
      </c>
      <c r="V1502" s="1" t="str">
        <f>VLOOKUP($E1502,'Product Naming'!$A$1:$P$58,5,FALSE)</f>
        <v>C2H3O3</v>
      </c>
      <c r="W1502" s="1">
        <f>VLOOKUP($E1502,'Product Naming'!$A$1:$P$58,6,FALSE)</f>
        <v>2</v>
      </c>
      <c r="X1502" s="1">
        <f>VLOOKUP($E1502,'Product Naming'!$A$1:$P$58,7,FALSE)</f>
        <v>3</v>
      </c>
      <c r="Y1502" s="1">
        <f>VLOOKUP($E1502,'Product Naming'!$A$1:$P$58,8,FALSE)</f>
        <v>3</v>
      </c>
      <c r="Z1502" s="1">
        <f>VLOOKUP($E1502,'Product Naming'!$A$1:$P$58,9,FALSE)</f>
        <v>0</v>
      </c>
      <c r="AA1502" s="1">
        <f>VLOOKUP($E1502,'Product Naming'!$A$1:$P$58,10,FALSE)</f>
        <v>-1</v>
      </c>
      <c r="AB1502" s="29">
        <f>VLOOKUP($E1502,'Product Naming'!$A$1:$P$58,11,FALSE)</f>
        <v>2.5</v>
      </c>
      <c r="AC1502" s="3">
        <f>VLOOKUP($E1502,'Product Naming'!$A$1:$P$58,12,FALSE)</f>
        <v>75.041920000000005</v>
      </c>
      <c r="AD1502" s="1">
        <f>VLOOKUP($E1502,'Product Naming'!$A$1:$P$58,13,FALSE)</f>
        <v>112</v>
      </c>
      <c r="AE1502" s="1" t="str">
        <f>VLOOKUP($E1502,'Product Naming'!$A$1:$P$58,14,FALSE)</f>
        <v>Carboxylate + Alcohol (hydroxy carboxylate)</v>
      </c>
      <c r="AF1502" s="1" t="str">
        <f>VLOOKUP($E1502,'Product Naming'!$A$1:$P$58,15,FALSE)</f>
        <v>Glyoxylate (*isocitrate)</v>
      </c>
      <c r="AG1502" s="30" t="str">
        <f>VLOOKUP($E1502,'Product Naming'!$A$1:$P$58,16,FALSE)</f>
        <v>Proton symporter</v>
      </c>
      <c r="AH1502" s="3" t="str">
        <f>VLOOKUP($E1502,'Product Naming'!$A$1:$Q$58,17,FALSE)</f>
        <v>glyclt_c</v>
      </c>
      <c r="AI1502" s="1">
        <f>VLOOKUP($E1502,'Product Parameters'!$A$2:$D$59,2,FALSE)</f>
        <v>1</v>
      </c>
      <c r="AJ1502" s="1">
        <f>VLOOKUP($E1502,'Product Parameters'!$A$2:$D$59,3,FALSE)</f>
        <v>0</v>
      </c>
      <c r="AK1502" s="1">
        <f>VLOOKUP($E1502,'Product Parameters'!$A$2:$D$59,4,FALSE)</f>
        <v>0.12</v>
      </c>
      <c r="AL1502" s="1">
        <f>VLOOKUP($E1502,'Product Parameters'!$A$2:$E$59,5,FALSE)</f>
        <v>40.65</v>
      </c>
      <c r="AM1502" s="1">
        <f>VLOOKUP($E1502,'Product Parameters'!$A$2:$F$59,6,FALSE)</f>
        <v>2</v>
      </c>
      <c r="AN1502" s="1">
        <f>VLOOKUP($C1502,'Substrate Heating'!$A$2:$C$33,3,FALSE)</f>
        <v>1648.4793779999998</v>
      </c>
      <c r="AO1502" s="1">
        <f>VLOOKUP($C1502,'Substrate Heating'!$A$2:$B$33,2,FALSE)</f>
        <v>17.899999999999999</v>
      </c>
      <c r="AP1502" s="1">
        <f>VLOOKUP($C1502,'Substrate Heating'!$A$2:$M$33,13,FALSE)</f>
        <v>4.666666666666667</v>
      </c>
      <c r="AQ1502" s="1">
        <f>VLOOKUP($C1502,'Substrate Heating'!$A$2:$M$33,8,FALSE)</f>
        <v>3</v>
      </c>
      <c r="AR1502" s="1">
        <f t="shared" si="23"/>
        <v>1.07972222222222</v>
      </c>
    </row>
    <row r="1503" spans="1:44" x14ac:dyDescent="0.2">
      <c r="A1503" s="8" t="s">
        <v>34</v>
      </c>
      <c r="B1503" s="9" t="s">
        <v>35</v>
      </c>
      <c r="C1503" s="1" t="s">
        <v>332</v>
      </c>
      <c r="D1503" s="10" t="s">
        <v>37</v>
      </c>
      <c r="E1503" s="1" t="s">
        <v>130</v>
      </c>
      <c r="F1503" s="1" t="s">
        <v>125</v>
      </c>
      <c r="G1503" s="1">
        <v>-10</v>
      </c>
      <c r="H1503" s="1">
        <v>-20</v>
      </c>
      <c r="I1503" s="1" t="s">
        <v>40</v>
      </c>
      <c r="J1503" s="1">
        <v>3.15</v>
      </c>
      <c r="K1503" s="1">
        <v>-10</v>
      </c>
      <c r="L1503" s="1">
        <v>-4.2705882352941202</v>
      </c>
      <c r="M1503" s="1" t="s">
        <v>40</v>
      </c>
      <c r="N1503" s="1">
        <v>-5.7294117647058904</v>
      </c>
      <c r="O1503" s="1">
        <v>8.5764705882352903</v>
      </c>
      <c r="Q1503" s="1">
        <v>0.85764705882352898</v>
      </c>
      <c r="R1503" s="1">
        <v>1.3228199398917</v>
      </c>
      <c r="S1503" s="1" t="str">
        <f>VLOOKUP($E1503,'Product Naming'!$A$1:$P$58,2,FALSE)</f>
        <v>Acrylate-PW2</v>
      </c>
      <c r="T1503" s="1" t="str">
        <f>VLOOKUP($E1503,'Product Naming'!$A$1:$P$58,3,FALSE)</f>
        <v>Acrylate (PW2)</v>
      </c>
      <c r="U1503" s="1" t="str">
        <f>VLOOKUP($E1503,'Product Naming'!$A$1:$P$58,4,FALSE)</f>
        <v>A</v>
      </c>
      <c r="V1503" s="1" t="str">
        <f>VLOOKUP($E1503,'Product Naming'!$A$1:$P$58,5,FALSE)</f>
        <v>C3H3O2</v>
      </c>
      <c r="W1503" s="1">
        <f>VLOOKUP($E1503,'Product Naming'!$A$1:$P$58,6,FALSE)</f>
        <v>3</v>
      </c>
      <c r="X1503" s="1">
        <f>VLOOKUP($E1503,'Product Naming'!$A$1:$P$58,7,FALSE)</f>
        <v>3</v>
      </c>
      <c r="Y1503" s="1">
        <f>VLOOKUP($E1503,'Product Naming'!$A$1:$P$58,8,FALSE)</f>
        <v>2</v>
      </c>
      <c r="Z1503" s="1">
        <f>VLOOKUP($E1503,'Product Naming'!$A$1:$P$58,9,FALSE)</f>
        <v>0</v>
      </c>
      <c r="AA1503" s="1">
        <f>VLOOKUP($E1503,'Product Naming'!$A$1:$P$58,10,FALSE)</f>
        <v>-1</v>
      </c>
      <c r="AB1503" s="29">
        <f>VLOOKUP($E1503,'Product Naming'!$A$1:$P$58,11,FALSE)</f>
        <v>3.6666666666666665</v>
      </c>
      <c r="AC1503" s="3">
        <f>VLOOKUP($E1503,'Product Naming'!$A$1:$P$58,12,FALSE)</f>
        <v>71.053619999999995</v>
      </c>
      <c r="AD1503" s="1">
        <f>VLOOKUP($E1503,'Product Naming'!$A$1:$P$58,13,FALSE)</f>
        <v>80</v>
      </c>
      <c r="AE1503" s="1" t="str">
        <f>VLOOKUP($E1503,'Product Naming'!$A$1:$P$58,14,FALSE)</f>
        <v>Carboxylate</v>
      </c>
      <c r="AF1503" s="1" t="str">
        <f>VLOOKUP($E1503,'Product Naming'!$A$1:$P$58,15,FALSE)</f>
        <v>Pyruvate</v>
      </c>
      <c r="AG1503" s="30" t="str">
        <f>VLOOKUP($E1503,'Product Naming'!$A$1:$P$58,16,FALSE)</f>
        <v>Proton symporter</v>
      </c>
      <c r="AH1503" s="3" t="str">
        <f>VLOOKUP($E1503,'Product Naming'!$A$1:$Q$58,17,FALSE)</f>
        <v>acryl_c</v>
      </c>
      <c r="AI1503" s="1">
        <f>VLOOKUP($E1503,'Product Parameters'!$A$2:$D$59,2,FALSE)</f>
        <v>1</v>
      </c>
      <c r="AJ1503" s="1">
        <f>VLOOKUP($E1503,'Product Parameters'!$A$2:$D$59,3,FALSE)</f>
        <v>0</v>
      </c>
      <c r="AK1503" s="1">
        <f>VLOOKUP($E1503,'Product Parameters'!$A$2:$D$59,4,FALSE)</f>
        <v>0.12</v>
      </c>
      <c r="AL1503" s="1">
        <f>VLOOKUP($E1503,'Product Parameters'!$A$2:$E$59,5,FALSE)</f>
        <v>53.1</v>
      </c>
      <c r="AM1503" s="1">
        <f>VLOOKUP($E1503,'Product Parameters'!$A$2:$F$59,6,FALSE)</f>
        <v>3</v>
      </c>
      <c r="AN1503" s="1">
        <f>VLOOKUP($C1503,'Substrate Heating'!$A$2:$C$33,3,FALSE)</f>
        <v>1230.0006480000002</v>
      </c>
      <c r="AO1503" s="1">
        <f>VLOOKUP($C1503,'Substrate Heating'!$A$2:$B$33,2,FALSE)</f>
        <v>26.7</v>
      </c>
      <c r="AP1503" s="1">
        <f>VLOOKUP($C1503,'Substrate Heating'!$A$2:$M$33,13,FALSE)</f>
        <v>6</v>
      </c>
      <c r="AQ1503" s="1">
        <f>VLOOKUP($C1503,'Substrate Heating'!$A$2:$M$33,8,FALSE)</f>
        <v>2</v>
      </c>
      <c r="AR1503" s="1">
        <f t="shared" si="23"/>
        <v>1.2864705882352934</v>
      </c>
    </row>
    <row r="1504" spans="1:44" x14ac:dyDescent="0.2">
      <c r="A1504" s="17" t="s">
        <v>185</v>
      </c>
      <c r="B1504" s="9" t="s">
        <v>35</v>
      </c>
      <c r="C1504" t="s">
        <v>349</v>
      </c>
      <c r="D1504" s="25" t="s">
        <v>342</v>
      </c>
      <c r="E1504" t="s">
        <v>269</v>
      </c>
      <c r="F1504" t="s">
        <v>270</v>
      </c>
      <c r="G1504">
        <v>-10</v>
      </c>
      <c r="H1504">
        <v>-20</v>
      </c>
      <c r="I1504" s="1" t="s">
        <v>40</v>
      </c>
      <c r="J1504">
        <v>3.15</v>
      </c>
      <c r="K1504">
        <v>-10</v>
      </c>
      <c r="L1504">
        <v>-4.3559999999999999</v>
      </c>
      <c r="M1504" s="1" t="s">
        <v>40</v>
      </c>
      <c r="N1504">
        <v>-10.8586666666667</v>
      </c>
      <c r="O1504">
        <v>15.2146666666667</v>
      </c>
      <c r="P1504"/>
      <c r="Q1504">
        <v>1.5214666666666701</v>
      </c>
      <c r="R1504">
        <v>1.3384321896667299</v>
      </c>
      <c r="S1504" s="1" t="str">
        <f>VLOOKUP($E1504,'Product Naming'!$A$1:$P$58,2,FALSE)</f>
        <v>Malate_L</v>
      </c>
      <c r="T1504" s="1" t="str">
        <f>VLOOKUP($E1504,'Product Naming'!$A$1:$P$58,3,FALSE)</f>
        <v>L-Malate</v>
      </c>
      <c r="U1504" s="1" t="str">
        <f>VLOOKUP($E1504,'Product Naming'!$A$1:$P$58,4,FALSE)</f>
        <v>iJO1366</v>
      </c>
      <c r="V1504" s="1" t="str">
        <f>VLOOKUP($E1504,'Product Naming'!$A$1:$P$58,5,FALSE)</f>
        <v>C4H4O5</v>
      </c>
      <c r="W1504" s="1">
        <f>VLOOKUP($E1504,'Product Naming'!$A$1:$P$58,6,FALSE)</f>
        <v>4</v>
      </c>
      <c r="X1504" s="1">
        <f>VLOOKUP($E1504,'Product Naming'!$A$1:$P$58,7,FALSE)</f>
        <v>4</v>
      </c>
      <c r="Y1504" s="1">
        <f>VLOOKUP($E1504,'Product Naming'!$A$1:$P$58,8,FALSE)</f>
        <v>5</v>
      </c>
      <c r="Z1504" s="1">
        <f>VLOOKUP($E1504,'Product Naming'!$A$1:$P$58,9,FALSE)</f>
        <v>0</v>
      </c>
      <c r="AA1504" s="1">
        <f>VLOOKUP($E1504,'Product Naming'!$A$1:$P$58,10,FALSE)</f>
        <v>-2</v>
      </c>
      <c r="AB1504" s="29">
        <f>VLOOKUP($E1504,'Product Naming'!$A$1:$P$58,11,FALSE)</f>
        <v>2.5</v>
      </c>
      <c r="AC1504" s="3">
        <f>VLOOKUP($E1504,'Product Naming'!$A$1:$P$58,12,FALSE)</f>
        <v>132.06916000000001</v>
      </c>
      <c r="AD1504" s="1" t="str">
        <f>VLOOKUP($E1504,'Product Naming'!$A$1:$P$58,13,FALSE)</f>
        <v>NA</v>
      </c>
      <c r="AE1504" s="1" t="str">
        <f>VLOOKUP($E1504,'Product Naming'!$A$1:$P$58,14,FALSE)</f>
        <v>Dicarboxylate</v>
      </c>
      <c r="AF1504" s="1" t="str">
        <f>VLOOKUP($E1504,'Product Naming'!$A$1:$P$58,15,FALSE)</f>
        <v>Oxaloacetate</v>
      </c>
      <c r="AG1504" s="30" t="str">
        <f>VLOOKUP($E1504,'Product Naming'!$A$1:$P$58,16,FALSE)</f>
        <v>Proton symporter</v>
      </c>
      <c r="AH1504" s="3" t="str">
        <f>VLOOKUP($E1504,'Product Naming'!$A$1:$Q$58,17,FALSE)</f>
        <v>mal__L_e</v>
      </c>
      <c r="AI1504" s="1">
        <f>VLOOKUP($E1504,'Product Parameters'!$A$2:$D$59,2,FALSE)</f>
        <v>1</v>
      </c>
      <c r="AJ1504" s="1">
        <f>VLOOKUP($E1504,'Product Parameters'!$A$2:$D$59,3,FALSE)</f>
        <v>0</v>
      </c>
      <c r="AK1504" s="1">
        <f>VLOOKUP($E1504,'Product Parameters'!$A$2:$D$59,4,FALSE)</f>
        <v>0.12</v>
      </c>
      <c r="AL1504" s="1">
        <f>VLOOKUP($E1504,'Product Parameters'!$A$2:$E$59,5,FALSE)</f>
        <v>40.65</v>
      </c>
      <c r="AM1504" s="1">
        <f>VLOOKUP($E1504,'Product Parameters'!$A$2:$F$59,6,FALSE)</f>
        <v>4</v>
      </c>
      <c r="AN1504" s="1">
        <f>VLOOKUP($C1504,'Substrate Heating'!$A$2:$C$33,3,FALSE)</f>
        <v>2342.0279999999998</v>
      </c>
      <c r="AO1504" s="1">
        <f>VLOOKUP($C1504,'Substrate Heating'!$A$2:$B$33,2,FALSE)</f>
        <v>15.6</v>
      </c>
      <c r="AP1504" s="1">
        <f>VLOOKUP($C1504,'Substrate Heating'!$A$2:$M$33,13,FALSE)</f>
        <v>4</v>
      </c>
      <c r="AQ1504" s="1">
        <f>VLOOKUP($C1504,'Substrate Heating'!$A$2:$M$33,8,FALSE)</f>
        <v>5</v>
      </c>
      <c r="AR1504" s="1">
        <f t="shared" si="23"/>
        <v>1.2171733333333361</v>
      </c>
    </row>
    <row r="1505" spans="1:44" x14ac:dyDescent="0.2">
      <c r="A1505" s="8" t="s">
        <v>812</v>
      </c>
      <c r="B1505" s="9" t="s">
        <v>35</v>
      </c>
      <c r="C1505" t="s">
        <v>813</v>
      </c>
      <c r="E1505" t="s">
        <v>130</v>
      </c>
      <c r="F1505" t="s">
        <v>125</v>
      </c>
      <c r="G1505">
        <v>-10</v>
      </c>
      <c r="H1505">
        <v>-20</v>
      </c>
      <c r="I1505">
        <v>0</v>
      </c>
      <c r="J1505">
        <v>3.15</v>
      </c>
      <c r="K1505">
        <v>-10</v>
      </c>
      <c r="L1505">
        <v>-11.027272727272701</v>
      </c>
      <c r="M1505">
        <v>0</v>
      </c>
      <c r="N1505">
        <v>-3.97272727272727</v>
      </c>
      <c r="O1505">
        <v>11.324242424242399</v>
      </c>
      <c r="P1505"/>
      <c r="Q1505">
        <v>1.1324242424242399</v>
      </c>
      <c r="R1505">
        <v>1.33892293893688</v>
      </c>
      <c r="S1505" s="1" t="str">
        <f>VLOOKUP($E1505,'Product Naming'!$A$1:$P$58,2,FALSE)</f>
        <v>Acrylate-PW2</v>
      </c>
      <c r="T1505" s="1" t="str">
        <f>VLOOKUP($E1505,'Product Naming'!$A$1:$P$58,3,FALSE)</f>
        <v>Acrylate (PW2)</v>
      </c>
      <c r="U1505" s="1" t="str">
        <f>VLOOKUP($E1505,'Product Naming'!$A$1:$P$58,4,FALSE)</f>
        <v>A</v>
      </c>
      <c r="V1505" s="1" t="str">
        <f>VLOOKUP($E1505,'Product Naming'!$A$1:$P$58,5,FALSE)</f>
        <v>C3H3O2</v>
      </c>
      <c r="W1505" s="1">
        <f>VLOOKUP($E1505,'Product Naming'!$A$1:$P$58,6,FALSE)</f>
        <v>3</v>
      </c>
      <c r="X1505" s="1">
        <f>VLOOKUP($E1505,'Product Naming'!$A$1:$P$58,7,FALSE)</f>
        <v>3</v>
      </c>
      <c r="Y1505" s="1">
        <f>VLOOKUP($E1505,'Product Naming'!$A$1:$P$58,8,FALSE)</f>
        <v>2</v>
      </c>
      <c r="Z1505" s="1">
        <f>VLOOKUP($E1505,'Product Naming'!$A$1:$P$58,9,FALSE)</f>
        <v>0</v>
      </c>
      <c r="AA1505" s="1">
        <f>VLOOKUP($E1505,'Product Naming'!$A$1:$P$58,10,FALSE)</f>
        <v>-1</v>
      </c>
      <c r="AB1505" s="29">
        <f>VLOOKUP($E1505,'Product Naming'!$A$1:$P$58,11,FALSE)</f>
        <v>3.6666666666666665</v>
      </c>
      <c r="AC1505" s="3">
        <f>VLOOKUP($E1505,'Product Naming'!$A$1:$P$58,12,FALSE)</f>
        <v>71.053619999999995</v>
      </c>
      <c r="AD1505" s="1">
        <f>VLOOKUP($E1505,'Product Naming'!$A$1:$P$58,13,FALSE)</f>
        <v>80</v>
      </c>
      <c r="AE1505" s="1" t="str">
        <f>VLOOKUP($E1505,'Product Naming'!$A$1:$P$58,14,FALSE)</f>
        <v>Carboxylate</v>
      </c>
      <c r="AF1505" s="1" t="str">
        <f>VLOOKUP($E1505,'Product Naming'!$A$1:$P$58,15,FALSE)</f>
        <v>Pyruvate</v>
      </c>
      <c r="AG1505" s="30" t="str">
        <f>VLOOKUP($E1505,'Product Naming'!$A$1:$P$58,16,FALSE)</f>
        <v>Proton symporter</v>
      </c>
      <c r="AH1505" s="3" t="str">
        <f>VLOOKUP($E1505,'Product Naming'!$A$1:$Q$58,17,FALSE)</f>
        <v>acryl_c</v>
      </c>
      <c r="AI1505" s="1">
        <f>VLOOKUP($E1505,'Product Parameters'!$A$2:$D$59,2,FALSE)</f>
        <v>1</v>
      </c>
      <c r="AJ1505" s="1">
        <f>VLOOKUP($E1505,'Product Parameters'!$A$2:$D$59,3,FALSE)</f>
        <v>0</v>
      </c>
      <c r="AK1505" s="1">
        <f>VLOOKUP($E1505,'Product Parameters'!$A$2:$D$59,4,FALSE)</f>
        <v>0.12</v>
      </c>
      <c r="AL1505" s="1">
        <f>VLOOKUP($E1505,'Product Parameters'!$A$2:$E$59,5,FALSE)</f>
        <v>53.1</v>
      </c>
      <c r="AM1505" s="1">
        <f>VLOOKUP($E1505,'Product Parameters'!$A$2:$F$59,6,FALSE)</f>
        <v>3</v>
      </c>
      <c r="AN1505" s="1">
        <f>VLOOKUP($C1505,'Substrate Heating'!$A$2:$C$33,3,FALSE)</f>
        <v>1843.720736</v>
      </c>
      <c r="AO1505" s="1">
        <f>VLOOKUP($C1505,'Substrate Heating'!$A$2:$B$33,2,FALSE)</f>
        <v>30.68</v>
      </c>
      <c r="AP1505" s="1">
        <f>VLOOKUP($C1505,'Substrate Heating'!$A$2:$M$33,13,FALSE)</f>
        <v>6</v>
      </c>
      <c r="AQ1505" s="1">
        <f>VLOOKUP($C1505,'Substrate Heating'!$A$2:$M$33,8,FALSE)</f>
        <v>3</v>
      </c>
      <c r="AR1505" s="1">
        <f t="shared" si="23"/>
        <v>1.1324242424242399</v>
      </c>
    </row>
    <row r="1506" spans="1:44" x14ac:dyDescent="0.2">
      <c r="A1506" s="17" t="s">
        <v>185</v>
      </c>
      <c r="B1506" s="9" t="s">
        <v>35</v>
      </c>
      <c r="C1506" t="s">
        <v>343</v>
      </c>
      <c r="D1506" s="24" t="s">
        <v>342</v>
      </c>
      <c r="E1506" t="s">
        <v>186</v>
      </c>
      <c r="F1506" t="s">
        <v>187</v>
      </c>
      <c r="G1506">
        <v>-10</v>
      </c>
      <c r="H1506">
        <v>-20</v>
      </c>
      <c r="I1506" s="1" t="s">
        <v>40</v>
      </c>
      <c r="J1506">
        <v>3.15</v>
      </c>
      <c r="K1506">
        <v>-10</v>
      </c>
      <c r="L1506">
        <v>-5.6025210084033601</v>
      </c>
      <c r="M1506" s="1" t="s">
        <v>40</v>
      </c>
      <c r="N1506">
        <v>-9.1966386554622002</v>
      </c>
      <c r="O1506">
        <v>6.5327731092436903</v>
      </c>
      <c r="P1506"/>
      <c r="Q1506">
        <v>0.65327731092436903</v>
      </c>
      <c r="R1506">
        <v>1.34137543319931</v>
      </c>
      <c r="S1506" s="1" t="str">
        <f>VLOOKUP($E1506,'Product Naming'!$A$1:$P$58,2,FALSE)</f>
        <v>Citrate</v>
      </c>
      <c r="T1506" s="1" t="str">
        <f>VLOOKUP($E1506,'Product Naming'!$A$1:$P$58,3,FALSE)</f>
        <v>Citrate</v>
      </c>
      <c r="U1506" s="1" t="str">
        <f>VLOOKUP($E1506,'Product Naming'!$A$1:$P$58,4,FALSE)</f>
        <v>iJO1366</v>
      </c>
      <c r="V1506" s="1" t="str">
        <f>VLOOKUP($E1506,'Product Naming'!$A$1:$P$58,5,FALSE)</f>
        <v>C6H5O7</v>
      </c>
      <c r="W1506" s="1">
        <f>VLOOKUP($E1506,'Product Naming'!$A$1:$P$58,6,FALSE)</f>
        <v>6</v>
      </c>
      <c r="X1506" s="1">
        <f>VLOOKUP($E1506,'Product Naming'!$A$1:$P$58,7,FALSE)</f>
        <v>5</v>
      </c>
      <c r="Y1506" s="1">
        <f>VLOOKUP($E1506,'Product Naming'!$A$1:$P$58,8,FALSE)</f>
        <v>7</v>
      </c>
      <c r="Z1506" s="1">
        <f>VLOOKUP($E1506,'Product Naming'!$A$1:$P$58,9,FALSE)</f>
        <v>0</v>
      </c>
      <c r="AA1506" s="1">
        <f>VLOOKUP($E1506,'Product Naming'!$A$1:$P$58,10,FALSE)</f>
        <v>-3</v>
      </c>
      <c r="AB1506" s="29">
        <f>VLOOKUP($E1506,'Product Naming'!$A$1:$P$58,11,FALSE)</f>
        <v>2.5</v>
      </c>
      <c r="AC1506" s="3">
        <f>VLOOKUP($E1506,'Product Naming'!$A$1:$P$58,12,FALSE)</f>
        <v>189.09640000000002</v>
      </c>
      <c r="AD1506" s="1" t="str">
        <f>VLOOKUP($E1506,'Product Naming'!$A$1:$P$58,13,FALSE)</f>
        <v>NA</v>
      </c>
      <c r="AE1506" s="1" t="str">
        <f>VLOOKUP($E1506,'Product Naming'!$A$1:$P$58,14,FALSE)</f>
        <v>Tricarboxylate + Alcohol</v>
      </c>
      <c r="AF1506" s="1" t="str">
        <f>VLOOKUP($E1506,'Product Naming'!$A$1:$P$58,15,FALSE)</f>
        <v>Acetyl-CoA</v>
      </c>
      <c r="AG1506" s="30" t="str">
        <f>VLOOKUP($E1506,'Product Naming'!$A$1:$P$58,16,FALSE)</f>
        <v>Proton antiport</v>
      </c>
      <c r="AH1506" s="3" t="str">
        <f>VLOOKUP($E1506,'Product Naming'!$A$1:$Q$58,17,FALSE)</f>
        <v>cit_c</v>
      </c>
      <c r="AI1506" s="1">
        <f>VLOOKUP($E1506,'Product Parameters'!$A$2:$D$59,2,FALSE)</f>
        <v>1</v>
      </c>
      <c r="AJ1506" s="1">
        <f>VLOOKUP($E1506,'Product Parameters'!$A$2:$D$59,3,FALSE)</f>
        <v>0</v>
      </c>
      <c r="AK1506" s="1">
        <f>VLOOKUP($E1506,'Product Parameters'!$A$2:$D$59,4,FALSE)</f>
        <v>0.12</v>
      </c>
      <c r="AL1506" s="1">
        <f>VLOOKUP($E1506,'Product Parameters'!$A$2:$E$59,5,FALSE)</f>
        <v>40.65</v>
      </c>
      <c r="AM1506" s="1">
        <f>VLOOKUP($E1506,'Product Parameters'!$A$2:$F$59,6,FALSE)</f>
        <v>6</v>
      </c>
      <c r="AN1506" s="1">
        <f>VLOOKUP($C1506,'Substrate Heating'!$A$2:$C$33,3,FALSE)</f>
        <v>1648.4793779999998</v>
      </c>
      <c r="AO1506" s="1">
        <f>VLOOKUP($C1506,'Substrate Heating'!$A$2:$B$33,2,FALSE)</f>
        <v>17.899999999999999</v>
      </c>
      <c r="AP1506" s="1">
        <f>VLOOKUP($C1506,'Substrate Heating'!$A$2:$M$33,13,FALSE)</f>
        <v>4.666666666666667</v>
      </c>
      <c r="AQ1506" s="1">
        <f>VLOOKUP($C1506,'Substrate Heating'!$A$2:$M$33,8,FALSE)</f>
        <v>3</v>
      </c>
      <c r="AR1506" s="1">
        <f t="shared" si="23"/>
        <v>1.3065546218487381</v>
      </c>
    </row>
    <row r="1507" spans="1:44" x14ac:dyDescent="0.2">
      <c r="A1507" s="8" t="s">
        <v>34</v>
      </c>
      <c r="B1507" s="9" t="s">
        <v>35</v>
      </c>
      <c r="C1507" s="1" t="s">
        <v>36</v>
      </c>
      <c r="D1507" s="10" t="s">
        <v>37</v>
      </c>
      <c r="E1507" s="1" t="s">
        <v>254</v>
      </c>
      <c r="F1507" s="1" t="s">
        <v>255</v>
      </c>
      <c r="G1507" s="1">
        <v>-10</v>
      </c>
      <c r="H1507" s="1">
        <v>-20</v>
      </c>
      <c r="I1507" s="1" t="s">
        <v>40</v>
      </c>
      <c r="J1507" s="1">
        <v>3.15</v>
      </c>
      <c r="K1507" s="1">
        <v>-10</v>
      </c>
      <c r="L1507" s="1">
        <v>-4.1670454545454501</v>
      </c>
      <c r="M1507" s="1" t="s">
        <v>40</v>
      </c>
      <c r="N1507" s="1">
        <v>-3.1477272727272601</v>
      </c>
      <c r="O1507" s="1">
        <v>4.6295454545454504</v>
      </c>
      <c r="Q1507" s="1">
        <v>0.46295454545454501</v>
      </c>
      <c r="R1507" s="1">
        <v>1.3460442062411899</v>
      </c>
      <c r="S1507" s="1" t="str">
        <f>VLOOKUP($E1507,'Product Naming'!$A$1:$P$58,2,FALSE)</f>
        <v>Itaconate</v>
      </c>
      <c r="T1507" s="1" t="str">
        <f>VLOOKUP($E1507,'Product Naming'!$A$1:$P$58,3,FALSE)</f>
        <v>Itaconate</v>
      </c>
      <c r="U1507" s="1" t="str">
        <f>VLOOKUP($E1507,'Product Naming'!$A$1:$P$58,4,FALSE)</f>
        <v>E</v>
      </c>
      <c r="V1507" s="1" t="str">
        <f>VLOOKUP($E1507,'Product Naming'!$A$1:$P$58,5,FALSE)</f>
        <v>C5H4O4</v>
      </c>
      <c r="W1507" s="1">
        <f>VLOOKUP($E1507,'Product Naming'!$A$1:$P$58,6,FALSE)</f>
        <v>5</v>
      </c>
      <c r="X1507" s="1">
        <f>VLOOKUP($E1507,'Product Naming'!$A$1:$P$58,7,FALSE)</f>
        <v>4</v>
      </c>
      <c r="Y1507" s="1">
        <f>VLOOKUP($E1507,'Product Naming'!$A$1:$P$58,8,FALSE)</f>
        <v>4</v>
      </c>
      <c r="Z1507" s="1">
        <f>VLOOKUP($E1507,'Product Naming'!$A$1:$P$58,9,FALSE)</f>
        <v>0</v>
      </c>
      <c r="AA1507" s="1">
        <f>VLOOKUP($E1507,'Product Naming'!$A$1:$P$58,10,FALSE)</f>
        <v>-2</v>
      </c>
      <c r="AB1507" s="29">
        <f>VLOOKUP($E1507,'Product Naming'!$A$1:$P$58,11,FALSE)</f>
        <v>3.2</v>
      </c>
      <c r="AC1507" s="3">
        <f>VLOOKUP($E1507,'Product Naming'!$A$1:$P$58,12,FALSE)</f>
        <v>128.08086</v>
      </c>
      <c r="AD1507" s="1">
        <f>VLOOKUP($E1507,'Product Naming'!$A$1:$P$58,13,FALSE)</f>
        <v>381</v>
      </c>
      <c r="AE1507" s="1" t="str">
        <f>VLOOKUP($E1507,'Product Naming'!$A$1:$P$58,14,FALSE)</f>
        <v>Dicarboxylate</v>
      </c>
      <c r="AF1507" s="1" t="str">
        <f>VLOOKUP($E1507,'Product Naming'!$A$1:$P$58,15,FALSE)</f>
        <v>Acetyl-CoA + Oxaloacetate</v>
      </c>
      <c r="AG1507" s="30" t="str">
        <f>VLOOKUP($E1507,'Product Naming'!$A$1:$P$58,16,FALSE)</f>
        <v>Proton symporter</v>
      </c>
      <c r="AH1507" s="3" t="str">
        <f>VLOOKUP($E1507,'Product Naming'!$A$1:$Q$58,17,FALSE)</f>
        <v>itacon_c</v>
      </c>
      <c r="AI1507" s="1">
        <f>VLOOKUP($E1507,'Product Parameters'!$A$2:$D$59,2,FALSE)</f>
        <v>1</v>
      </c>
      <c r="AJ1507" s="1">
        <f>VLOOKUP($E1507,'Product Parameters'!$A$2:$D$59,3,FALSE)</f>
        <v>0</v>
      </c>
      <c r="AK1507" s="1">
        <f>VLOOKUP($E1507,'Product Parameters'!$A$2:$D$59,4,FALSE)</f>
        <v>0.12</v>
      </c>
      <c r="AL1507" s="1">
        <f>VLOOKUP($E1507,'Product Parameters'!$A$2:$E$59,5,FALSE)</f>
        <v>40.65</v>
      </c>
      <c r="AM1507" s="1">
        <f>VLOOKUP($E1507,'Product Parameters'!$A$2:$F$59,6,FALSE)</f>
        <v>5</v>
      </c>
      <c r="AN1507" s="1">
        <f>VLOOKUP($C1507,'Substrate Heating'!$A$2:$C$33,3,FALSE)</f>
        <v>1064.1143145599999</v>
      </c>
      <c r="AO1507" s="1">
        <f>VLOOKUP($C1507,'Substrate Heating'!$A$2:$B$33,2,FALSE)</f>
        <v>24.155999999999999</v>
      </c>
      <c r="AP1507" s="1">
        <f>VLOOKUP($C1507,'Substrate Heating'!$A$2:$M$33,13,FALSE)</f>
        <v>5</v>
      </c>
      <c r="AQ1507" s="1">
        <f>VLOOKUP($C1507,'Substrate Heating'!$A$2:$M$33,8,FALSE)</f>
        <v>2</v>
      </c>
      <c r="AR1507" s="1">
        <f t="shared" si="23"/>
        <v>1.1573863636363626</v>
      </c>
    </row>
    <row r="1508" spans="1:44" x14ac:dyDescent="0.2">
      <c r="A1508" s="17" t="s">
        <v>185</v>
      </c>
      <c r="B1508" s="9" t="s">
        <v>35</v>
      </c>
      <c r="C1508" t="s">
        <v>346</v>
      </c>
      <c r="D1508" s="23" t="s">
        <v>338</v>
      </c>
      <c r="E1508" t="s">
        <v>318</v>
      </c>
      <c r="F1508" t="s">
        <v>319</v>
      </c>
      <c r="G1508">
        <v>-10</v>
      </c>
      <c r="H1508">
        <v>-20</v>
      </c>
      <c r="I1508" s="1" t="s">
        <v>40</v>
      </c>
      <c r="J1508">
        <v>3.15</v>
      </c>
      <c r="K1508">
        <v>-10</v>
      </c>
      <c r="L1508">
        <v>-1.9936329588015</v>
      </c>
      <c r="M1508" s="1" t="s">
        <v>40</v>
      </c>
      <c r="N1508">
        <v>-4.8644194756554304</v>
      </c>
      <c r="O1508">
        <v>3.71610486891386</v>
      </c>
      <c r="P1508"/>
      <c r="Q1508">
        <v>0.37161048689138598</v>
      </c>
      <c r="R1508">
        <v>1.3461754595872</v>
      </c>
      <c r="S1508" s="1" t="str">
        <f>VLOOKUP($E1508,'Product Naming'!$A$1:$P$58,2,FALSE)</f>
        <v>Succinate</v>
      </c>
      <c r="T1508" s="1" t="str">
        <f>VLOOKUP($E1508,'Product Naming'!$A$1:$P$58,3,FALSE)</f>
        <v>Succinate</v>
      </c>
      <c r="U1508" s="1" t="str">
        <f>VLOOKUP($E1508,'Product Naming'!$A$1:$P$58,4,FALSE)</f>
        <v>iJO1366</v>
      </c>
      <c r="V1508" s="1" t="str">
        <f>VLOOKUP($E1508,'Product Naming'!$A$1:$P$58,5,FALSE)</f>
        <v>C4H4O4</v>
      </c>
      <c r="W1508" s="1">
        <f>VLOOKUP($E1508,'Product Naming'!$A$1:$P$58,6,FALSE)</f>
        <v>4</v>
      </c>
      <c r="X1508" s="1">
        <f>VLOOKUP($E1508,'Product Naming'!$A$1:$P$58,7,FALSE)</f>
        <v>4</v>
      </c>
      <c r="Y1508" s="1">
        <f>VLOOKUP($E1508,'Product Naming'!$A$1:$P$58,8,FALSE)</f>
        <v>4</v>
      </c>
      <c r="Z1508" s="1">
        <f>VLOOKUP($E1508,'Product Naming'!$A$1:$P$58,9,FALSE)</f>
        <v>0</v>
      </c>
      <c r="AA1508" s="1">
        <f>VLOOKUP($E1508,'Product Naming'!$A$1:$P$58,10,FALSE)</f>
        <v>-2</v>
      </c>
      <c r="AB1508" s="29">
        <f>VLOOKUP($E1508,'Product Naming'!$A$1:$P$58,11,FALSE)</f>
        <v>3</v>
      </c>
      <c r="AC1508" s="3">
        <f>VLOOKUP($E1508,'Product Naming'!$A$1:$P$58,12,FALSE)</f>
        <v>116.07016</v>
      </c>
      <c r="AD1508" s="1">
        <f>VLOOKUP($E1508,'Product Naming'!$A$1:$P$58,13,FALSE)</f>
        <v>235</v>
      </c>
      <c r="AE1508" s="1" t="str">
        <f>VLOOKUP($E1508,'Product Naming'!$A$1:$P$58,14,FALSE)</f>
        <v>Dicarboxylate</v>
      </c>
      <c r="AF1508" s="1" t="str">
        <f>VLOOKUP($E1508,'Product Naming'!$A$1:$P$58,15,FALSE)</f>
        <v>Oxaloacetate</v>
      </c>
      <c r="AG1508" s="30" t="str">
        <f>VLOOKUP($E1508,'Product Naming'!$A$1:$P$58,16,FALSE)</f>
        <v>Proton symporter</v>
      </c>
      <c r="AH1508" s="3" t="str">
        <f>VLOOKUP($E1508,'Product Naming'!$A$1:$Q$58,17,FALSE)</f>
        <v>succ_c</v>
      </c>
      <c r="AI1508" s="1">
        <f>VLOOKUP($E1508,'Product Parameters'!$A$2:$D$59,2,FALSE)</f>
        <v>1</v>
      </c>
      <c r="AJ1508" s="1">
        <f>VLOOKUP($E1508,'Product Parameters'!$A$2:$D$59,3,FALSE)</f>
        <v>0</v>
      </c>
      <c r="AK1508" s="1">
        <f>VLOOKUP($E1508,'Product Parameters'!$A$2:$D$59,4,FALSE)</f>
        <v>0.12</v>
      </c>
      <c r="AL1508" s="1">
        <f>VLOOKUP($E1508,'Product Parameters'!$A$2:$E$59,5,FALSE)</f>
        <v>40.65</v>
      </c>
      <c r="AM1508" s="1">
        <f>VLOOKUP($E1508,'Product Parameters'!$A$2:$F$59,6,FALSE)</f>
        <v>4</v>
      </c>
      <c r="AN1508" s="1">
        <f>VLOOKUP($C1508,'Substrate Heating'!$A$2:$C$33,3,FALSE)</f>
        <v>638.57832580000002</v>
      </c>
      <c r="AO1508" s="1">
        <f>VLOOKUP($C1508,'Substrate Heating'!$A$2:$B$33,2,FALSE)</f>
        <v>19.93</v>
      </c>
      <c r="AP1508" s="1">
        <f>VLOOKUP($C1508,'Substrate Heating'!$A$2:$M$33,13,FALSE)</f>
        <v>6</v>
      </c>
      <c r="AQ1508" s="1">
        <f>VLOOKUP($C1508,'Substrate Heating'!$A$2:$M$33,8,FALSE)</f>
        <v>1</v>
      </c>
      <c r="AR1508" s="1">
        <f t="shared" si="23"/>
        <v>1.4864419475655439</v>
      </c>
    </row>
    <row r="1509" spans="1:44" x14ac:dyDescent="0.2">
      <c r="A1509" s="17" t="s">
        <v>185</v>
      </c>
      <c r="B1509" s="9" t="s">
        <v>35</v>
      </c>
      <c r="C1509" t="s">
        <v>347</v>
      </c>
      <c r="D1509" s="23" t="s">
        <v>338</v>
      </c>
      <c r="E1509" t="s">
        <v>318</v>
      </c>
      <c r="F1509" t="s">
        <v>319</v>
      </c>
      <c r="G1509">
        <v>-10</v>
      </c>
      <c r="H1509">
        <v>-20</v>
      </c>
      <c r="I1509" s="1" t="s">
        <v>40</v>
      </c>
      <c r="J1509">
        <v>3.15</v>
      </c>
      <c r="K1509">
        <v>-10</v>
      </c>
      <c r="L1509">
        <v>-1.9936329588015</v>
      </c>
      <c r="M1509" s="1" t="s">
        <v>40</v>
      </c>
      <c r="N1509">
        <v>-4.8644194756554304</v>
      </c>
      <c r="O1509">
        <v>3.71610486891386</v>
      </c>
      <c r="P1509"/>
      <c r="Q1509">
        <v>0.37161048689138598</v>
      </c>
      <c r="R1509">
        <v>1.3461754595872</v>
      </c>
      <c r="S1509" s="1" t="str">
        <f>VLOOKUP($E1509,'Product Naming'!$A$1:$P$58,2,FALSE)</f>
        <v>Succinate</v>
      </c>
      <c r="T1509" s="1" t="str">
        <f>VLOOKUP($E1509,'Product Naming'!$A$1:$P$58,3,FALSE)</f>
        <v>Succinate</v>
      </c>
      <c r="U1509" s="1" t="str">
        <f>VLOOKUP($E1509,'Product Naming'!$A$1:$P$58,4,FALSE)</f>
        <v>iJO1366</v>
      </c>
      <c r="V1509" s="1" t="str">
        <f>VLOOKUP($E1509,'Product Naming'!$A$1:$P$58,5,FALSE)</f>
        <v>C4H4O4</v>
      </c>
      <c r="W1509" s="1">
        <f>VLOOKUP($E1509,'Product Naming'!$A$1:$P$58,6,FALSE)</f>
        <v>4</v>
      </c>
      <c r="X1509" s="1">
        <f>VLOOKUP($E1509,'Product Naming'!$A$1:$P$58,7,FALSE)</f>
        <v>4</v>
      </c>
      <c r="Y1509" s="1">
        <f>VLOOKUP($E1509,'Product Naming'!$A$1:$P$58,8,FALSE)</f>
        <v>4</v>
      </c>
      <c r="Z1509" s="1">
        <f>VLOOKUP($E1509,'Product Naming'!$A$1:$P$58,9,FALSE)</f>
        <v>0</v>
      </c>
      <c r="AA1509" s="1">
        <f>VLOOKUP($E1509,'Product Naming'!$A$1:$P$58,10,FALSE)</f>
        <v>-2</v>
      </c>
      <c r="AB1509" s="29">
        <f>VLOOKUP($E1509,'Product Naming'!$A$1:$P$58,11,FALSE)</f>
        <v>3</v>
      </c>
      <c r="AC1509" s="3">
        <f>VLOOKUP($E1509,'Product Naming'!$A$1:$P$58,12,FALSE)</f>
        <v>116.07016</v>
      </c>
      <c r="AD1509" s="1">
        <f>VLOOKUP($E1509,'Product Naming'!$A$1:$P$58,13,FALSE)</f>
        <v>235</v>
      </c>
      <c r="AE1509" s="1" t="str">
        <f>VLOOKUP($E1509,'Product Naming'!$A$1:$P$58,14,FALSE)</f>
        <v>Dicarboxylate</v>
      </c>
      <c r="AF1509" s="1" t="str">
        <f>VLOOKUP($E1509,'Product Naming'!$A$1:$P$58,15,FALSE)</f>
        <v>Oxaloacetate</v>
      </c>
      <c r="AG1509" s="30" t="str">
        <f>VLOOKUP($E1509,'Product Naming'!$A$1:$P$58,16,FALSE)</f>
        <v>Proton symporter</v>
      </c>
      <c r="AH1509" s="3" t="str">
        <f>VLOOKUP($E1509,'Product Naming'!$A$1:$Q$58,17,FALSE)</f>
        <v>succ_c</v>
      </c>
      <c r="AI1509" s="1">
        <f>VLOOKUP($E1509,'Product Parameters'!$A$2:$D$59,2,FALSE)</f>
        <v>1</v>
      </c>
      <c r="AJ1509" s="1">
        <f>VLOOKUP($E1509,'Product Parameters'!$A$2:$D$59,3,FALSE)</f>
        <v>0</v>
      </c>
      <c r="AK1509" s="1">
        <f>VLOOKUP($E1509,'Product Parameters'!$A$2:$D$59,4,FALSE)</f>
        <v>0.12</v>
      </c>
      <c r="AL1509" s="1">
        <f>VLOOKUP($E1509,'Product Parameters'!$A$2:$E$59,5,FALSE)</f>
        <v>40.65</v>
      </c>
      <c r="AM1509" s="1">
        <f>VLOOKUP($E1509,'Product Parameters'!$A$2:$F$59,6,FALSE)</f>
        <v>4</v>
      </c>
      <c r="AN1509" s="1">
        <f>VLOOKUP($C1509,'Substrate Heating'!$A$2:$C$33,3,FALSE)</f>
        <v>638.57832580000002</v>
      </c>
      <c r="AO1509" s="1">
        <f>VLOOKUP($C1509,'Substrate Heating'!$A$2:$B$33,2,FALSE)</f>
        <v>19.93</v>
      </c>
      <c r="AP1509" s="1">
        <f>VLOOKUP($C1509,'Substrate Heating'!$A$2:$M$33,13,FALSE)</f>
        <v>6</v>
      </c>
      <c r="AQ1509" s="1">
        <f>VLOOKUP($C1509,'Substrate Heating'!$A$2:$M$33,8,FALSE)</f>
        <v>1</v>
      </c>
      <c r="AR1509" s="1">
        <f t="shared" si="23"/>
        <v>1.4864419475655439</v>
      </c>
    </row>
    <row r="1510" spans="1:44" x14ac:dyDescent="0.2">
      <c r="A1510" s="17" t="s">
        <v>185</v>
      </c>
      <c r="B1510" s="9" t="s">
        <v>35</v>
      </c>
      <c r="C1510" t="s">
        <v>341</v>
      </c>
      <c r="D1510" s="24" t="s">
        <v>342</v>
      </c>
      <c r="E1510" t="s">
        <v>269</v>
      </c>
      <c r="F1510" t="s">
        <v>270</v>
      </c>
      <c r="G1510">
        <v>-10</v>
      </c>
      <c r="H1510">
        <v>-20</v>
      </c>
      <c r="I1510" s="1" t="s">
        <v>40</v>
      </c>
      <c r="J1510">
        <v>3.15</v>
      </c>
      <c r="K1510">
        <v>-10</v>
      </c>
      <c r="L1510">
        <v>-4.76538461538461</v>
      </c>
      <c r="M1510" s="1" t="s">
        <v>40</v>
      </c>
      <c r="N1510">
        <v>-13.646153846153799</v>
      </c>
      <c r="O1510">
        <v>18.411538461538498</v>
      </c>
      <c r="P1510"/>
      <c r="Q1510">
        <v>1.8411538461538499</v>
      </c>
      <c r="R1510">
        <v>1.3497450151189201</v>
      </c>
      <c r="S1510" s="1" t="str">
        <f>VLOOKUP($E1510,'Product Naming'!$A$1:$P$58,2,FALSE)</f>
        <v>Malate_L</v>
      </c>
      <c r="T1510" s="1" t="str">
        <f>VLOOKUP($E1510,'Product Naming'!$A$1:$P$58,3,FALSE)</f>
        <v>L-Malate</v>
      </c>
      <c r="U1510" s="1" t="str">
        <f>VLOOKUP($E1510,'Product Naming'!$A$1:$P$58,4,FALSE)</f>
        <v>iJO1366</v>
      </c>
      <c r="V1510" s="1" t="str">
        <f>VLOOKUP($E1510,'Product Naming'!$A$1:$P$58,5,FALSE)</f>
        <v>C4H4O5</v>
      </c>
      <c r="W1510" s="1">
        <f>VLOOKUP($E1510,'Product Naming'!$A$1:$P$58,6,FALSE)</f>
        <v>4</v>
      </c>
      <c r="X1510" s="1">
        <f>VLOOKUP($E1510,'Product Naming'!$A$1:$P$58,7,FALSE)</f>
        <v>4</v>
      </c>
      <c r="Y1510" s="1">
        <f>VLOOKUP($E1510,'Product Naming'!$A$1:$P$58,8,FALSE)</f>
        <v>5</v>
      </c>
      <c r="Z1510" s="1">
        <f>VLOOKUP($E1510,'Product Naming'!$A$1:$P$58,9,FALSE)</f>
        <v>0</v>
      </c>
      <c r="AA1510" s="1">
        <f>VLOOKUP($E1510,'Product Naming'!$A$1:$P$58,10,FALSE)</f>
        <v>-2</v>
      </c>
      <c r="AB1510" s="29">
        <f>VLOOKUP($E1510,'Product Naming'!$A$1:$P$58,11,FALSE)</f>
        <v>2.5</v>
      </c>
      <c r="AC1510" s="3">
        <f>VLOOKUP($E1510,'Product Naming'!$A$1:$P$58,12,FALSE)</f>
        <v>132.06916000000001</v>
      </c>
      <c r="AD1510" s="1" t="str">
        <f>VLOOKUP($E1510,'Product Naming'!$A$1:$P$58,13,FALSE)</f>
        <v>NA</v>
      </c>
      <c r="AE1510" s="1" t="str">
        <f>VLOOKUP($E1510,'Product Naming'!$A$1:$P$58,14,FALSE)</f>
        <v>Dicarboxylate</v>
      </c>
      <c r="AF1510" s="1" t="str">
        <f>VLOOKUP($E1510,'Product Naming'!$A$1:$P$58,15,FALSE)</f>
        <v>Oxaloacetate</v>
      </c>
      <c r="AG1510" s="30" t="str">
        <f>VLOOKUP($E1510,'Product Naming'!$A$1:$P$58,16,FALSE)</f>
        <v>Proton symporter</v>
      </c>
      <c r="AH1510" s="3" t="str">
        <f>VLOOKUP($E1510,'Product Naming'!$A$1:$Q$58,17,FALSE)</f>
        <v>mal__L_e</v>
      </c>
      <c r="AI1510" s="1">
        <f>VLOOKUP($E1510,'Product Parameters'!$A$2:$D$59,2,FALSE)</f>
        <v>1</v>
      </c>
      <c r="AJ1510" s="1">
        <f>VLOOKUP($E1510,'Product Parameters'!$A$2:$D$59,3,FALSE)</f>
        <v>0</v>
      </c>
      <c r="AK1510" s="1">
        <f>VLOOKUP($E1510,'Product Parameters'!$A$2:$D$59,4,FALSE)</f>
        <v>0.12</v>
      </c>
      <c r="AL1510" s="1">
        <f>VLOOKUP($E1510,'Product Parameters'!$A$2:$E$59,5,FALSE)</f>
        <v>40.65</v>
      </c>
      <c r="AM1510" s="1">
        <f>VLOOKUP($E1510,'Product Parameters'!$A$2:$F$59,6,FALSE)</f>
        <v>4</v>
      </c>
      <c r="AN1510" s="1">
        <f>VLOOKUP($C1510,'Substrate Heating'!$A$2:$C$33,3,FALSE)</f>
        <v>2828.4492</v>
      </c>
      <c r="AO1510" s="1">
        <f>VLOOKUP($C1510,'Substrate Heating'!$A$2:$B$33,2,FALSE)</f>
        <v>15.7</v>
      </c>
      <c r="AP1510" s="1">
        <f>VLOOKUP($C1510,'Substrate Heating'!$A$2:$M$33,13,FALSE)</f>
        <v>4</v>
      </c>
      <c r="AQ1510" s="1">
        <f>VLOOKUP($C1510,'Substrate Heating'!$A$2:$M$33,8,FALSE)</f>
        <v>6</v>
      </c>
      <c r="AR1510" s="1">
        <f t="shared" si="23"/>
        <v>1.2274358974358999</v>
      </c>
    </row>
    <row r="1511" spans="1:44" x14ac:dyDescent="0.2">
      <c r="A1511" s="8" t="s">
        <v>34</v>
      </c>
      <c r="B1511" s="9" t="s">
        <v>35</v>
      </c>
      <c r="C1511" s="1" t="s">
        <v>349</v>
      </c>
      <c r="D1511" s="25" t="s">
        <v>342</v>
      </c>
      <c r="E1511" s="1" t="s">
        <v>275</v>
      </c>
      <c r="F1511" s="1" t="s">
        <v>276</v>
      </c>
      <c r="G1511" s="1">
        <v>-10</v>
      </c>
      <c r="H1511" s="1">
        <v>-20</v>
      </c>
      <c r="I1511" s="1" t="s">
        <v>40</v>
      </c>
      <c r="J1511" s="1">
        <v>3.15</v>
      </c>
      <c r="K1511" s="1">
        <v>-10</v>
      </c>
      <c r="L1511" s="1">
        <v>-9.8786069651741304</v>
      </c>
      <c r="M1511" s="1" t="s">
        <v>40</v>
      </c>
      <c r="N1511" s="1">
        <v>-10.1820895522388</v>
      </c>
      <c r="O1511" s="1">
        <v>20.0606965174129</v>
      </c>
      <c r="Q1511" s="1">
        <v>2.0060696517412899</v>
      </c>
      <c r="R1511" s="1">
        <v>1.3635311410575199</v>
      </c>
      <c r="S1511" s="1" t="str">
        <f>VLOOKUP($E1511,'Product Naming'!$A$1:$P$58,2,FALSE)</f>
        <v>Malonate</v>
      </c>
      <c r="T1511" s="1" t="str">
        <f>VLOOKUP($E1511,'Product Naming'!$A$1:$P$58,3,FALSE)</f>
        <v>Malonate</v>
      </c>
      <c r="U1511" s="1" t="str">
        <f>VLOOKUP($E1511,'Product Naming'!$A$1:$P$58,4,FALSE)</f>
        <v>A</v>
      </c>
      <c r="V1511" s="1" t="str">
        <f>VLOOKUP($E1511,'Product Naming'!$A$1:$P$58,5,FALSE)</f>
        <v>C3H2O4</v>
      </c>
      <c r="W1511" s="1">
        <f>VLOOKUP($E1511,'Product Naming'!$A$1:$P$58,6,FALSE)</f>
        <v>3</v>
      </c>
      <c r="X1511" s="1">
        <f>VLOOKUP($E1511,'Product Naming'!$A$1:$P$58,7,FALSE)</f>
        <v>2</v>
      </c>
      <c r="Y1511" s="1">
        <f>VLOOKUP($E1511,'Product Naming'!$A$1:$P$58,8,FALSE)</f>
        <v>4</v>
      </c>
      <c r="Z1511" s="1">
        <f>VLOOKUP($E1511,'Product Naming'!$A$1:$P$58,9,FALSE)</f>
        <v>0</v>
      </c>
      <c r="AA1511" s="1">
        <f>VLOOKUP($E1511,'Product Naming'!$A$1:$P$58,10,FALSE)</f>
        <v>-2</v>
      </c>
      <c r="AB1511" s="29">
        <f>VLOOKUP($E1511,'Product Naming'!$A$1:$P$58,11,FALSE)</f>
        <v>2</v>
      </c>
      <c r="AC1511" s="3">
        <f>VLOOKUP($E1511,'Product Naming'!$A$1:$P$58,12,FALSE)</f>
        <v>102.04378</v>
      </c>
      <c r="AD1511" s="1">
        <f>VLOOKUP($E1511,'Product Naming'!$A$1:$P$58,13,FALSE)</f>
        <v>199</v>
      </c>
      <c r="AE1511" s="1" t="str">
        <f>VLOOKUP($E1511,'Product Naming'!$A$1:$P$58,14,FALSE)</f>
        <v>Dicarboxylate</v>
      </c>
      <c r="AF1511" s="1" t="str">
        <f>VLOOKUP($E1511,'Product Naming'!$A$1:$P$58,15,FALSE)</f>
        <v>Oxaloacetate</v>
      </c>
      <c r="AG1511" s="30" t="str">
        <f>VLOOKUP($E1511,'Product Naming'!$A$1:$P$58,16,FALSE)</f>
        <v>Proton symporter</v>
      </c>
      <c r="AH1511" s="3" t="str">
        <f>VLOOKUP($E1511,'Product Naming'!$A$1:$Q$58,17,FALSE)</f>
        <v>malon_c</v>
      </c>
      <c r="AI1511" s="1">
        <f>VLOOKUP($E1511,'Product Parameters'!$A$2:$D$59,2,FALSE)</f>
        <v>1</v>
      </c>
      <c r="AJ1511" s="1">
        <f>VLOOKUP($E1511,'Product Parameters'!$A$2:$D$59,3,FALSE)</f>
        <v>0</v>
      </c>
      <c r="AK1511" s="1">
        <f>VLOOKUP($E1511,'Product Parameters'!$A$2:$D$59,4,FALSE)</f>
        <v>0.12</v>
      </c>
      <c r="AL1511" s="1">
        <f>VLOOKUP($E1511,'Product Parameters'!$A$2:$E$59,5,FALSE)</f>
        <v>40.65</v>
      </c>
      <c r="AM1511" s="1">
        <f>VLOOKUP($E1511,'Product Parameters'!$A$2:$F$59,6,FALSE)</f>
        <v>3</v>
      </c>
      <c r="AN1511" s="1">
        <f>VLOOKUP($C1511,'Substrate Heating'!$A$2:$C$33,3,FALSE)</f>
        <v>2342.0279999999998</v>
      </c>
      <c r="AO1511" s="1">
        <f>VLOOKUP($C1511,'Substrate Heating'!$A$2:$B$33,2,FALSE)</f>
        <v>15.6</v>
      </c>
      <c r="AP1511" s="1">
        <f>VLOOKUP($C1511,'Substrate Heating'!$A$2:$M$33,13,FALSE)</f>
        <v>4</v>
      </c>
      <c r="AQ1511" s="1">
        <f>VLOOKUP($C1511,'Substrate Heating'!$A$2:$M$33,8,FALSE)</f>
        <v>5</v>
      </c>
      <c r="AR1511" s="1">
        <f t="shared" si="23"/>
        <v>1.2036417910447739</v>
      </c>
    </row>
    <row r="1512" spans="1:44" x14ac:dyDescent="0.2">
      <c r="A1512" s="17" t="s">
        <v>185</v>
      </c>
      <c r="B1512" s="9" t="s">
        <v>35</v>
      </c>
      <c r="C1512" t="s">
        <v>331</v>
      </c>
      <c r="D1512" s="10" t="s">
        <v>37</v>
      </c>
      <c r="E1512" t="s">
        <v>186</v>
      </c>
      <c r="F1512" t="s">
        <v>187</v>
      </c>
      <c r="G1512">
        <v>-10</v>
      </c>
      <c r="H1512">
        <v>-20</v>
      </c>
      <c r="I1512" s="1" t="s">
        <v>40</v>
      </c>
      <c r="J1512">
        <v>3.15</v>
      </c>
      <c r="K1512">
        <v>-10</v>
      </c>
      <c r="L1512">
        <v>-8.2115384615384599</v>
      </c>
      <c r="M1512" s="1" t="s">
        <v>40</v>
      </c>
      <c r="N1512">
        <v>-6.86153846153847</v>
      </c>
      <c r="O1512">
        <v>4.4769230769230797</v>
      </c>
      <c r="P1512"/>
      <c r="Q1512">
        <v>0.447692307692308</v>
      </c>
      <c r="R1512">
        <v>1.3639747704443601</v>
      </c>
      <c r="S1512" s="1" t="str">
        <f>VLOOKUP($E1512,'Product Naming'!$A$1:$P$58,2,FALSE)</f>
        <v>Citrate</v>
      </c>
      <c r="T1512" s="1" t="str">
        <f>VLOOKUP($E1512,'Product Naming'!$A$1:$P$58,3,FALSE)</f>
        <v>Citrate</v>
      </c>
      <c r="U1512" s="1" t="str">
        <f>VLOOKUP($E1512,'Product Naming'!$A$1:$P$58,4,FALSE)</f>
        <v>iJO1366</v>
      </c>
      <c r="V1512" s="1" t="str">
        <f>VLOOKUP($E1512,'Product Naming'!$A$1:$P$58,5,FALSE)</f>
        <v>C6H5O7</v>
      </c>
      <c r="W1512" s="1">
        <f>VLOOKUP($E1512,'Product Naming'!$A$1:$P$58,6,FALSE)</f>
        <v>6</v>
      </c>
      <c r="X1512" s="1">
        <f>VLOOKUP($E1512,'Product Naming'!$A$1:$P$58,7,FALSE)</f>
        <v>5</v>
      </c>
      <c r="Y1512" s="1">
        <f>VLOOKUP($E1512,'Product Naming'!$A$1:$P$58,8,FALSE)</f>
        <v>7</v>
      </c>
      <c r="Z1512" s="1">
        <f>VLOOKUP($E1512,'Product Naming'!$A$1:$P$58,9,FALSE)</f>
        <v>0</v>
      </c>
      <c r="AA1512" s="1">
        <f>VLOOKUP($E1512,'Product Naming'!$A$1:$P$58,10,FALSE)</f>
        <v>-3</v>
      </c>
      <c r="AB1512" s="29">
        <f>VLOOKUP($E1512,'Product Naming'!$A$1:$P$58,11,FALSE)</f>
        <v>2.5</v>
      </c>
      <c r="AC1512" s="3">
        <f>VLOOKUP($E1512,'Product Naming'!$A$1:$P$58,12,FALSE)</f>
        <v>189.09640000000002</v>
      </c>
      <c r="AD1512" s="1" t="str">
        <f>VLOOKUP($E1512,'Product Naming'!$A$1:$P$58,13,FALSE)</f>
        <v>NA</v>
      </c>
      <c r="AE1512" s="1" t="str">
        <f>VLOOKUP($E1512,'Product Naming'!$A$1:$P$58,14,FALSE)</f>
        <v>Tricarboxylate + Alcohol</v>
      </c>
      <c r="AF1512" s="1" t="str">
        <f>VLOOKUP($E1512,'Product Naming'!$A$1:$P$58,15,FALSE)</f>
        <v>Acetyl-CoA</v>
      </c>
      <c r="AG1512" s="30" t="str">
        <f>VLOOKUP($E1512,'Product Naming'!$A$1:$P$58,16,FALSE)</f>
        <v>Proton antiport</v>
      </c>
      <c r="AH1512" s="3" t="str">
        <f>VLOOKUP($E1512,'Product Naming'!$A$1:$Q$58,17,FALSE)</f>
        <v>cit_c</v>
      </c>
      <c r="AI1512" s="1">
        <f>VLOOKUP($E1512,'Product Parameters'!$A$2:$D$59,2,FALSE)</f>
        <v>1</v>
      </c>
      <c r="AJ1512" s="1">
        <f>VLOOKUP($E1512,'Product Parameters'!$A$2:$D$59,3,FALSE)</f>
        <v>0</v>
      </c>
      <c r="AK1512" s="1">
        <f>VLOOKUP($E1512,'Product Parameters'!$A$2:$D$59,4,FALSE)</f>
        <v>0.12</v>
      </c>
      <c r="AL1512" s="1">
        <f>VLOOKUP($E1512,'Product Parameters'!$A$2:$E$59,5,FALSE)</f>
        <v>40.65</v>
      </c>
      <c r="AM1512" s="1">
        <f>VLOOKUP($E1512,'Product Parameters'!$A$2:$F$59,6,FALSE)</f>
        <v>6</v>
      </c>
      <c r="AN1512" s="1">
        <f>VLOOKUP($C1512,'Substrate Heating'!$A$2:$C$33,3,FALSE)</f>
        <v>1055.1294800000001</v>
      </c>
      <c r="AO1512" s="1">
        <f>VLOOKUP($C1512,'Substrate Heating'!$A$2:$B$33,2,FALSE)</f>
        <v>17</v>
      </c>
      <c r="AP1512" s="1">
        <f>VLOOKUP($C1512,'Substrate Heating'!$A$2:$M$33,13,FALSE)</f>
        <v>5</v>
      </c>
      <c r="AQ1512" s="1">
        <f>VLOOKUP($C1512,'Substrate Heating'!$A$2:$M$33,8,FALSE)</f>
        <v>2</v>
      </c>
      <c r="AR1512" s="1">
        <f t="shared" si="23"/>
        <v>1.3430769230769239</v>
      </c>
    </row>
    <row r="1513" spans="1:44" x14ac:dyDescent="0.2">
      <c r="A1513" s="8" t="s">
        <v>34</v>
      </c>
      <c r="B1513" s="9" t="s">
        <v>35</v>
      </c>
      <c r="C1513" s="1" t="s">
        <v>341</v>
      </c>
      <c r="D1513" s="24" t="s">
        <v>342</v>
      </c>
      <c r="E1513" s="1" t="s">
        <v>275</v>
      </c>
      <c r="F1513" s="1" t="s">
        <v>276</v>
      </c>
      <c r="G1513" s="1">
        <v>-10</v>
      </c>
      <c r="H1513" s="1">
        <v>-20</v>
      </c>
      <c r="I1513" s="1" t="s">
        <v>40</v>
      </c>
      <c r="J1513" s="1">
        <v>3.15</v>
      </c>
      <c r="K1513" s="1">
        <v>-10</v>
      </c>
      <c r="L1513" s="1">
        <v>-11.7194029850746</v>
      </c>
      <c r="M1513" s="1" t="s">
        <v>40</v>
      </c>
      <c r="N1513" s="1">
        <v>-12.420895522388101</v>
      </c>
      <c r="O1513" s="1">
        <v>24.140298507462699</v>
      </c>
      <c r="Q1513" s="1">
        <v>2.4140298507462701</v>
      </c>
      <c r="R1513" s="1">
        <v>1.36738059048148</v>
      </c>
      <c r="S1513" s="1" t="str">
        <f>VLOOKUP($E1513,'Product Naming'!$A$1:$P$58,2,FALSE)</f>
        <v>Malonate</v>
      </c>
      <c r="T1513" s="1" t="str">
        <f>VLOOKUP($E1513,'Product Naming'!$A$1:$P$58,3,FALSE)</f>
        <v>Malonate</v>
      </c>
      <c r="U1513" s="1" t="str">
        <f>VLOOKUP($E1513,'Product Naming'!$A$1:$P$58,4,FALSE)</f>
        <v>A</v>
      </c>
      <c r="V1513" s="1" t="str">
        <f>VLOOKUP($E1513,'Product Naming'!$A$1:$P$58,5,FALSE)</f>
        <v>C3H2O4</v>
      </c>
      <c r="W1513" s="1">
        <f>VLOOKUP($E1513,'Product Naming'!$A$1:$P$58,6,FALSE)</f>
        <v>3</v>
      </c>
      <c r="X1513" s="1">
        <f>VLOOKUP($E1513,'Product Naming'!$A$1:$P$58,7,FALSE)</f>
        <v>2</v>
      </c>
      <c r="Y1513" s="1">
        <f>VLOOKUP($E1513,'Product Naming'!$A$1:$P$58,8,FALSE)</f>
        <v>4</v>
      </c>
      <c r="Z1513" s="1">
        <f>VLOOKUP($E1513,'Product Naming'!$A$1:$P$58,9,FALSE)</f>
        <v>0</v>
      </c>
      <c r="AA1513" s="1">
        <f>VLOOKUP($E1513,'Product Naming'!$A$1:$P$58,10,FALSE)</f>
        <v>-2</v>
      </c>
      <c r="AB1513" s="29">
        <f>VLOOKUP($E1513,'Product Naming'!$A$1:$P$58,11,FALSE)</f>
        <v>2</v>
      </c>
      <c r="AC1513" s="3">
        <f>VLOOKUP($E1513,'Product Naming'!$A$1:$P$58,12,FALSE)</f>
        <v>102.04378</v>
      </c>
      <c r="AD1513" s="1">
        <f>VLOOKUP($E1513,'Product Naming'!$A$1:$P$58,13,FALSE)</f>
        <v>199</v>
      </c>
      <c r="AE1513" s="1" t="str">
        <f>VLOOKUP($E1513,'Product Naming'!$A$1:$P$58,14,FALSE)</f>
        <v>Dicarboxylate</v>
      </c>
      <c r="AF1513" s="1" t="str">
        <f>VLOOKUP($E1513,'Product Naming'!$A$1:$P$58,15,FALSE)</f>
        <v>Oxaloacetate</v>
      </c>
      <c r="AG1513" s="30" t="str">
        <f>VLOOKUP($E1513,'Product Naming'!$A$1:$P$58,16,FALSE)</f>
        <v>Proton symporter</v>
      </c>
      <c r="AH1513" s="3" t="str">
        <f>VLOOKUP($E1513,'Product Naming'!$A$1:$Q$58,17,FALSE)</f>
        <v>malon_c</v>
      </c>
      <c r="AI1513" s="1">
        <f>VLOOKUP($E1513,'Product Parameters'!$A$2:$D$59,2,FALSE)</f>
        <v>1</v>
      </c>
      <c r="AJ1513" s="1">
        <f>VLOOKUP($E1513,'Product Parameters'!$A$2:$D$59,3,FALSE)</f>
        <v>0</v>
      </c>
      <c r="AK1513" s="1">
        <f>VLOOKUP($E1513,'Product Parameters'!$A$2:$D$59,4,FALSE)</f>
        <v>0.12</v>
      </c>
      <c r="AL1513" s="1">
        <f>VLOOKUP($E1513,'Product Parameters'!$A$2:$E$59,5,FALSE)</f>
        <v>40.65</v>
      </c>
      <c r="AM1513" s="1">
        <f>VLOOKUP($E1513,'Product Parameters'!$A$2:$F$59,6,FALSE)</f>
        <v>3</v>
      </c>
      <c r="AN1513" s="1">
        <f>VLOOKUP($C1513,'Substrate Heating'!$A$2:$C$33,3,FALSE)</f>
        <v>2828.4492</v>
      </c>
      <c r="AO1513" s="1">
        <f>VLOOKUP($C1513,'Substrate Heating'!$A$2:$B$33,2,FALSE)</f>
        <v>15.7</v>
      </c>
      <c r="AP1513" s="1">
        <f>VLOOKUP($C1513,'Substrate Heating'!$A$2:$M$33,13,FALSE)</f>
        <v>4</v>
      </c>
      <c r="AQ1513" s="1">
        <f>VLOOKUP($C1513,'Substrate Heating'!$A$2:$M$33,8,FALSE)</f>
        <v>6</v>
      </c>
      <c r="AR1513" s="1">
        <f t="shared" si="23"/>
        <v>1.207014925373135</v>
      </c>
    </row>
    <row r="1514" spans="1:44" x14ac:dyDescent="0.2">
      <c r="A1514" s="17" t="s">
        <v>185</v>
      </c>
      <c r="B1514" s="9" t="s">
        <v>35</v>
      </c>
      <c r="C1514" t="s">
        <v>344</v>
      </c>
      <c r="D1514" s="10" t="s">
        <v>37</v>
      </c>
      <c r="E1514" t="s">
        <v>225</v>
      </c>
      <c r="F1514" t="s">
        <v>226</v>
      </c>
      <c r="G1514">
        <v>-10</v>
      </c>
      <c r="H1514">
        <v>-20</v>
      </c>
      <c r="I1514" s="1" t="s">
        <v>40</v>
      </c>
      <c r="J1514">
        <v>3.15</v>
      </c>
      <c r="K1514">
        <v>-10</v>
      </c>
      <c r="L1514">
        <v>-6.1712962962963003</v>
      </c>
      <c r="M1514" s="1" t="s">
        <v>40</v>
      </c>
      <c r="N1514">
        <v>-2.1259259259259302</v>
      </c>
      <c r="O1514">
        <v>11.062962962963001</v>
      </c>
      <c r="P1514"/>
      <c r="Q1514">
        <v>1.1062962962963001</v>
      </c>
      <c r="R1514">
        <v>1.38244518355697</v>
      </c>
      <c r="S1514" s="1" t="str">
        <f>VLOOKUP($E1514,'Product Naming'!$A$1:$P$58,2,FALSE)</f>
        <v>Glycolate</v>
      </c>
      <c r="T1514" s="1" t="str">
        <f>VLOOKUP($E1514,'Product Naming'!$A$1:$P$58,3,FALSE)</f>
        <v>Glycolate</v>
      </c>
      <c r="U1514" s="1" t="str">
        <f>VLOOKUP($E1514,'Product Naming'!$A$1:$P$58,4,FALSE)</f>
        <v>iJO1366</v>
      </c>
      <c r="V1514" s="1" t="str">
        <f>VLOOKUP($E1514,'Product Naming'!$A$1:$P$58,5,FALSE)</f>
        <v>C2H3O3</v>
      </c>
      <c r="W1514" s="1">
        <f>VLOOKUP($E1514,'Product Naming'!$A$1:$P$58,6,FALSE)</f>
        <v>2</v>
      </c>
      <c r="X1514" s="1">
        <f>VLOOKUP($E1514,'Product Naming'!$A$1:$P$58,7,FALSE)</f>
        <v>3</v>
      </c>
      <c r="Y1514" s="1">
        <f>VLOOKUP($E1514,'Product Naming'!$A$1:$P$58,8,FALSE)</f>
        <v>3</v>
      </c>
      <c r="Z1514" s="1">
        <f>VLOOKUP($E1514,'Product Naming'!$A$1:$P$58,9,FALSE)</f>
        <v>0</v>
      </c>
      <c r="AA1514" s="1">
        <f>VLOOKUP($E1514,'Product Naming'!$A$1:$P$58,10,FALSE)</f>
        <v>-1</v>
      </c>
      <c r="AB1514" s="29">
        <f>VLOOKUP($E1514,'Product Naming'!$A$1:$P$58,11,FALSE)</f>
        <v>2.5</v>
      </c>
      <c r="AC1514" s="3">
        <f>VLOOKUP($E1514,'Product Naming'!$A$1:$P$58,12,FALSE)</f>
        <v>75.041920000000005</v>
      </c>
      <c r="AD1514" s="1">
        <f>VLOOKUP($E1514,'Product Naming'!$A$1:$P$58,13,FALSE)</f>
        <v>112</v>
      </c>
      <c r="AE1514" s="1" t="str">
        <f>VLOOKUP($E1514,'Product Naming'!$A$1:$P$58,14,FALSE)</f>
        <v>Carboxylate + Alcohol (hydroxy carboxylate)</v>
      </c>
      <c r="AF1514" s="1" t="str">
        <f>VLOOKUP($E1514,'Product Naming'!$A$1:$P$58,15,FALSE)</f>
        <v>Glyoxylate (*isocitrate)</v>
      </c>
      <c r="AG1514" s="30" t="str">
        <f>VLOOKUP($E1514,'Product Naming'!$A$1:$P$58,16,FALSE)</f>
        <v>Proton symporter</v>
      </c>
      <c r="AH1514" s="3" t="str">
        <f>VLOOKUP($E1514,'Product Naming'!$A$1:$Q$58,17,FALSE)</f>
        <v>glyclt_c</v>
      </c>
      <c r="AI1514" s="1">
        <f>VLOOKUP($E1514,'Product Parameters'!$A$2:$D$59,2,FALSE)</f>
        <v>1</v>
      </c>
      <c r="AJ1514" s="1">
        <f>VLOOKUP($E1514,'Product Parameters'!$A$2:$D$59,3,FALSE)</f>
        <v>0</v>
      </c>
      <c r="AK1514" s="1">
        <f>VLOOKUP($E1514,'Product Parameters'!$A$2:$D$59,4,FALSE)</f>
        <v>0.12</v>
      </c>
      <c r="AL1514" s="1">
        <f>VLOOKUP($E1514,'Product Parameters'!$A$2:$E$59,5,FALSE)</f>
        <v>40.65</v>
      </c>
      <c r="AM1514" s="1">
        <f>VLOOKUP($E1514,'Product Parameters'!$A$2:$F$59,6,FALSE)</f>
        <v>2</v>
      </c>
      <c r="AN1514" s="1">
        <f>VLOOKUP($C1514,'Substrate Heating'!$A$2:$C$33,3,FALSE)</f>
        <v>1020.8629199999999</v>
      </c>
      <c r="AO1514" s="1">
        <f>VLOOKUP($C1514,'Substrate Heating'!$A$2:$B$33,2,FALSE)</f>
        <v>17</v>
      </c>
      <c r="AP1514" s="1">
        <f>VLOOKUP($C1514,'Substrate Heating'!$A$2:$M$33,13,FALSE)</f>
        <v>4</v>
      </c>
      <c r="AQ1514" s="1">
        <f>VLOOKUP($C1514,'Substrate Heating'!$A$2:$M$33,8,FALSE)</f>
        <v>2</v>
      </c>
      <c r="AR1514" s="1">
        <f t="shared" si="23"/>
        <v>1.1062962962963001</v>
      </c>
    </row>
    <row r="1515" spans="1:44" x14ac:dyDescent="0.2">
      <c r="A1515" s="17" t="s">
        <v>185</v>
      </c>
      <c r="B1515" s="9" t="s">
        <v>35</v>
      </c>
      <c r="C1515" t="s">
        <v>345</v>
      </c>
      <c r="D1515" s="10" t="s">
        <v>37</v>
      </c>
      <c r="E1515" t="s">
        <v>225</v>
      </c>
      <c r="F1515" t="s">
        <v>226</v>
      </c>
      <c r="G1515">
        <v>-10</v>
      </c>
      <c r="H1515">
        <v>-20</v>
      </c>
      <c r="I1515" s="1" t="s">
        <v>40</v>
      </c>
      <c r="J1515">
        <v>3.15</v>
      </c>
      <c r="K1515">
        <v>-10</v>
      </c>
      <c r="L1515">
        <v>-6.0931372549019596</v>
      </c>
      <c r="M1515" s="1" t="s">
        <v>40</v>
      </c>
      <c r="N1515">
        <v>-2.2509803921568601</v>
      </c>
      <c r="O1515">
        <v>11.125490196078401</v>
      </c>
      <c r="P1515"/>
      <c r="Q1515">
        <v>1.11254901960784</v>
      </c>
      <c r="R1515">
        <v>1.3902586845648801</v>
      </c>
      <c r="S1515" s="1" t="str">
        <f>VLOOKUP($E1515,'Product Naming'!$A$1:$P$58,2,FALSE)</f>
        <v>Glycolate</v>
      </c>
      <c r="T1515" s="1" t="str">
        <f>VLOOKUP($E1515,'Product Naming'!$A$1:$P$58,3,FALSE)</f>
        <v>Glycolate</v>
      </c>
      <c r="U1515" s="1" t="str">
        <f>VLOOKUP($E1515,'Product Naming'!$A$1:$P$58,4,FALSE)</f>
        <v>iJO1366</v>
      </c>
      <c r="V1515" s="1" t="str">
        <f>VLOOKUP($E1515,'Product Naming'!$A$1:$P$58,5,FALSE)</f>
        <v>C2H3O3</v>
      </c>
      <c r="W1515" s="1">
        <f>VLOOKUP($E1515,'Product Naming'!$A$1:$P$58,6,FALSE)</f>
        <v>2</v>
      </c>
      <c r="X1515" s="1">
        <f>VLOOKUP($E1515,'Product Naming'!$A$1:$P$58,7,FALSE)</f>
        <v>3</v>
      </c>
      <c r="Y1515" s="1">
        <f>VLOOKUP($E1515,'Product Naming'!$A$1:$P$58,8,FALSE)</f>
        <v>3</v>
      </c>
      <c r="Z1515" s="1">
        <f>VLOOKUP($E1515,'Product Naming'!$A$1:$P$58,9,FALSE)</f>
        <v>0</v>
      </c>
      <c r="AA1515" s="1">
        <f>VLOOKUP($E1515,'Product Naming'!$A$1:$P$58,10,FALSE)</f>
        <v>-1</v>
      </c>
      <c r="AB1515" s="29">
        <f>VLOOKUP($E1515,'Product Naming'!$A$1:$P$58,11,FALSE)</f>
        <v>2.5</v>
      </c>
      <c r="AC1515" s="3">
        <f>VLOOKUP($E1515,'Product Naming'!$A$1:$P$58,12,FALSE)</f>
        <v>75.041920000000005</v>
      </c>
      <c r="AD1515" s="1">
        <f>VLOOKUP($E1515,'Product Naming'!$A$1:$P$58,13,FALSE)</f>
        <v>112</v>
      </c>
      <c r="AE1515" s="1" t="str">
        <f>VLOOKUP($E1515,'Product Naming'!$A$1:$P$58,14,FALSE)</f>
        <v>Carboxylate + Alcohol (hydroxy carboxylate)</v>
      </c>
      <c r="AF1515" s="1" t="str">
        <f>VLOOKUP($E1515,'Product Naming'!$A$1:$P$58,15,FALSE)</f>
        <v>Glyoxylate (*isocitrate)</v>
      </c>
      <c r="AG1515" s="30" t="str">
        <f>VLOOKUP($E1515,'Product Naming'!$A$1:$P$58,16,FALSE)</f>
        <v>Proton symporter</v>
      </c>
      <c r="AH1515" s="3" t="str">
        <f>VLOOKUP($E1515,'Product Naming'!$A$1:$Q$58,17,FALSE)</f>
        <v>glyclt_c</v>
      </c>
      <c r="AI1515" s="1">
        <f>VLOOKUP($E1515,'Product Parameters'!$A$2:$D$59,2,FALSE)</f>
        <v>1</v>
      </c>
      <c r="AJ1515" s="1">
        <f>VLOOKUP($E1515,'Product Parameters'!$A$2:$D$59,3,FALSE)</f>
        <v>0</v>
      </c>
      <c r="AK1515" s="1">
        <f>VLOOKUP($E1515,'Product Parameters'!$A$2:$D$59,4,FALSE)</f>
        <v>0.12</v>
      </c>
      <c r="AL1515" s="1">
        <f>VLOOKUP($E1515,'Product Parameters'!$A$2:$E$59,5,FALSE)</f>
        <v>40.65</v>
      </c>
      <c r="AM1515" s="1">
        <f>VLOOKUP($E1515,'Product Parameters'!$A$2:$F$59,6,FALSE)</f>
        <v>2</v>
      </c>
      <c r="AN1515" s="1">
        <f>VLOOKUP($C1515,'Substrate Heating'!$A$2:$C$33,3,FALSE)</f>
        <v>1020.8629199999999</v>
      </c>
      <c r="AO1515" s="1">
        <f>VLOOKUP($C1515,'Substrate Heating'!$A$2:$B$33,2,FALSE)</f>
        <v>17</v>
      </c>
      <c r="AP1515" s="1">
        <f>VLOOKUP($C1515,'Substrate Heating'!$A$2:$M$33,13,FALSE)</f>
        <v>4</v>
      </c>
      <c r="AQ1515" s="1">
        <f>VLOOKUP($C1515,'Substrate Heating'!$A$2:$M$33,8,FALSE)</f>
        <v>2</v>
      </c>
      <c r="AR1515" s="1">
        <f t="shared" si="23"/>
        <v>1.11254901960784</v>
      </c>
    </row>
    <row r="1516" spans="1:44" x14ac:dyDescent="0.2">
      <c r="A1516" s="17" t="s">
        <v>185</v>
      </c>
      <c r="B1516" s="9" t="s">
        <v>35</v>
      </c>
      <c r="C1516" t="s">
        <v>331</v>
      </c>
      <c r="D1516" s="10" t="s">
        <v>37</v>
      </c>
      <c r="E1516" t="s">
        <v>269</v>
      </c>
      <c r="F1516" t="s">
        <v>270</v>
      </c>
      <c r="G1516">
        <v>-10</v>
      </c>
      <c r="H1516">
        <v>-20</v>
      </c>
      <c r="I1516" s="1" t="s">
        <v>40</v>
      </c>
      <c r="J1516">
        <v>3.15</v>
      </c>
      <c r="K1516">
        <v>-10</v>
      </c>
      <c r="L1516">
        <v>-5.2870967741935502</v>
      </c>
      <c r="M1516" s="1" t="s">
        <v>40</v>
      </c>
      <c r="N1516">
        <v>-6.2838709677419304</v>
      </c>
      <c r="O1516">
        <v>6.5709677419354797</v>
      </c>
      <c r="P1516"/>
      <c r="Q1516">
        <v>0.65709677419354795</v>
      </c>
      <c r="R1516">
        <v>1.39821576580004</v>
      </c>
      <c r="S1516" s="1" t="str">
        <f>VLOOKUP($E1516,'Product Naming'!$A$1:$P$58,2,FALSE)</f>
        <v>Malate_L</v>
      </c>
      <c r="T1516" s="1" t="str">
        <f>VLOOKUP($E1516,'Product Naming'!$A$1:$P$58,3,FALSE)</f>
        <v>L-Malate</v>
      </c>
      <c r="U1516" s="1" t="str">
        <f>VLOOKUP($E1516,'Product Naming'!$A$1:$P$58,4,FALSE)</f>
        <v>iJO1366</v>
      </c>
      <c r="V1516" s="1" t="str">
        <f>VLOOKUP($E1516,'Product Naming'!$A$1:$P$58,5,FALSE)</f>
        <v>C4H4O5</v>
      </c>
      <c r="W1516" s="1">
        <f>VLOOKUP($E1516,'Product Naming'!$A$1:$P$58,6,FALSE)</f>
        <v>4</v>
      </c>
      <c r="X1516" s="1">
        <f>VLOOKUP($E1516,'Product Naming'!$A$1:$P$58,7,FALSE)</f>
        <v>4</v>
      </c>
      <c r="Y1516" s="1">
        <f>VLOOKUP($E1516,'Product Naming'!$A$1:$P$58,8,FALSE)</f>
        <v>5</v>
      </c>
      <c r="Z1516" s="1">
        <f>VLOOKUP($E1516,'Product Naming'!$A$1:$P$58,9,FALSE)</f>
        <v>0</v>
      </c>
      <c r="AA1516" s="1">
        <f>VLOOKUP($E1516,'Product Naming'!$A$1:$P$58,10,FALSE)</f>
        <v>-2</v>
      </c>
      <c r="AB1516" s="29">
        <f>VLOOKUP($E1516,'Product Naming'!$A$1:$P$58,11,FALSE)</f>
        <v>2.5</v>
      </c>
      <c r="AC1516" s="3">
        <f>VLOOKUP($E1516,'Product Naming'!$A$1:$P$58,12,FALSE)</f>
        <v>132.06916000000001</v>
      </c>
      <c r="AD1516" s="1" t="str">
        <f>VLOOKUP($E1516,'Product Naming'!$A$1:$P$58,13,FALSE)</f>
        <v>NA</v>
      </c>
      <c r="AE1516" s="1" t="str">
        <f>VLOOKUP($E1516,'Product Naming'!$A$1:$P$58,14,FALSE)</f>
        <v>Dicarboxylate</v>
      </c>
      <c r="AF1516" s="1" t="str">
        <f>VLOOKUP($E1516,'Product Naming'!$A$1:$P$58,15,FALSE)</f>
        <v>Oxaloacetate</v>
      </c>
      <c r="AG1516" s="30" t="str">
        <f>VLOOKUP($E1516,'Product Naming'!$A$1:$P$58,16,FALSE)</f>
        <v>Proton symporter</v>
      </c>
      <c r="AH1516" s="3" t="str">
        <f>VLOOKUP($E1516,'Product Naming'!$A$1:$Q$58,17,FALSE)</f>
        <v>mal__L_e</v>
      </c>
      <c r="AI1516" s="1">
        <f>VLOOKUP($E1516,'Product Parameters'!$A$2:$D$59,2,FALSE)</f>
        <v>1</v>
      </c>
      <c r="AJ1516" s="1">
        <f>VLOOKUP($E1516,'Product Parameters'!$A$2:$D$59,3,FALSE)</f>
        <v>0</v>
      </c>
      <c r="AK1516" s="1">
        <f>VLOOKUP($E1516,'Product Parameters'!$A$2:$D$59,4,FALSE)</f>
        <v>0.12</v>
      </c>
      <c r="AL1516" s="1">
        <f>VLOOKUP($E1516,'Product Parameters'!$A$2:$E$59,5,FALSE)</f>
        <v>40.65</v>
      </c>
      <c r="AM1516" s="1">
        <f>VLOOKUP($E1516,'Product Parameters'!$A$2:$F$59,6,FALSE)</f>
        <v>4</v>
      </c>
      <c r="AN1516" s="1">
        <f>VLOOKUP($C1516,'Substrate Heating'!$A$2:$C$33,3,FALSE)</f>
        <v>1055.1294800000001</v>
      </c>
      <c r="AO1516" s="1">
        <f>VLOOKUP($C1516,'Substrate Heating'!$A$2:$B$33,2,FALSE)</f>
        <v>17</v>
      </c>
      <c r="AP1516" s="1">
        <f>VLOOKUP($C1516,'Substrate Heating'!$A$2:$M$33,13,FALSE)</f>
        <v>5</v>
      </c>
      <c r="AQ1516" s="1">
        <f>VLOOKUP($C1516,'Substrate Heating'!$A$2:$M$33,8,FALSE)</f>
        <v>2</v>
      </c>
      <c r="AR1516" s="1">
        <f t="shared" si="23"/>
        <v>1.3141935483870959</v>
      </c>
    </row>
    <row r="1517" spans="1:44" x14ac:dyDescent="0.2">
      <c r="A1517" s="8" t="s">
        <v>812</v>
      </c>
      <c r="B1517" s="9" t="s">
        <v>35</v>
      </c>
      <c r="C1517" t="s">
        <v>813</v>
      </c>
      <c r="E1517" t="s">
        <v>254</v>
      </c>
      <c r="F1517" t="s">
        <v>255</v>
      </c>
      <c r="G1517">
        <v>-10</v>
      </c>
      <c r="H1517">
        <v>-20</v>
      </c>
      <c r="I1517">
        <v>0</v>
      </c>
      <c r="J1517">
        <v>3.15</v>
      </c>
      <c r="K1517">
        <v>-10</v>
      </c>
      <c r="L1517">
        <v>-15.20859375</v>
      </c>
      <c r="M1517">
        <v>0</v>
      </c>
      <c r="N1517">
        <v>-3.10156249999994</v>
      </c>
      <c r="O1517">
        <v>6.6203124999999998</v>
      </c>
      <c r="P1517"/>
      <c r="Q1517">
        <v>0.66203124999999996</v>
      </c>
      <c r="R1517">
        <v>1.4109867651139301</v>
      </c>
      <c r="S1517" s="1" t="str">
        <f>VLOOKUP($E1517,'Product Naming'!$A$1:$P$58,2,FALSE)</f>
        <v>Itaconate</v>
      </c>
      <c r="T1517" s="1" t="str">
        <f>VLOOKUP($E1517,'Product Naming'!$A$1:$P$58,3,FALSE)</f>
        <v>Itaconate</v>
      </c>
      <c r="U1517" s="1" t="str">
        <f>VLOOKUP($E1517,'Product Naming'!$A$1:$P$58,4,FALSE)</f>
        <v>E</v>
      </c>
      <c r="V1517" s="1" t="str">
        <f>VLOOKUP($E1517,'Product Naming'!$A$1:$P$58,5,FALSE)</f>
        <v>C5H4O4</v>
      </c>
      <c r="W1517" s="1">
        <f>VLOOKUP($E1517,'Product Naming'!$A$1:$P$58,6,FALSE)</f>
        <v>5</v>
      </c>
      <c r="X1517" s="1">
        <f>VLOOKUP($E1517,'Product Naming'!$A$1:$P$58,7,FALSE)</f>
        <v>4</v>
      </c>
      <c r="Y1517" s="1">
        <f>VLOOKUP($E1517,'Product Naming'!$A$1:$P$58,8,FALSE)</f>
        <v>4</v>
      </c>
      <c r="Z1517" s="1">
        <f>VLOOKUP($E1517,'Product Naming'!$A$1:$P$58,9,FALSE)</f>
        <v>0</v>
      </c>
      <c r="AA1517" s="1">
        <f>VLOOKUP($E1517,'Product Naming'!$A$1:$P$58,10,FALSE)</f>
        <v>-2</v>
      </c>
      <c r="AB1517" s="29">
        <f>VLOOKUP($E1517,'Product Naming'!$A$1:$P$58,11,FALSE)</f>
        <v>3.2</v>
      </c>
      <c r="AC1517" s="3">
        <f>VLOOKUP($E1517,'Product Naming'!$A$1:$P$58,12,FALSE)</f>
        <v>128.08086</v>
      </c>
      <c r="AD1517" s="1">
        <f>VLOOKUP($E1517,'Product Naming'!$A$1:$P$58,13,FALSE)</f>
        <v>381</v>
      </c>
      <c r="AE1517" s="1" t="str">
        <f>VLOOKUP($E1517,'Product Naming'!$A$1:$P$58,14,FALSE)</f>
        <v>Dicarboxylate</v>
      </c>
      <c r="AF1517" s="1" t="str">
        <f>VLOOKUP($E1517,'Product Naming'!$A$1:$P$58,15,FALSE)</f>
        <v>Acetyl-CoA + Oxaloacetate</v>
      </c>
      <c r="AG1517" s="30" t="str">
        <f>VLOOKUP($E1517,'Product Naming'!$A$1:$P$58,16,FALSE)</f>
        <v>Proton symporter</v>
      </c>
      <c r="AH1517" s="3" t="str">
        <f>VLOOKUP($E1517,'Product Naming'!$A$1:$Q$58,17,FALSE)</f>
        <v>itacon_c</v>
      </c>
      <c r="AI1517" s="1">
        <f>VLOOKUP($E1517,'Product Parameters'!$A$2:$D$59,2,FALSE)</f>
        <v>1</v>
      </c>
      <c r="AJ1517" s="1">
        <f>VLOOKUP($E1517,'Product Parameters'!$A$2:$D$59,3,FALSE)</f>
        <v>0</v>
      </c>
      <c r="AK1517" s="1">
        <f>VLOOKUP($E1517,'Product Parameters'!$A$2:$D$59,4,FALSE)</f>
        <v>0.12</v>
      </c>
      <c r="AL1517" s="1">
        <f>VLOOKUP($E1517,'Product Parameters'!$A$2:$E$59,5,FALSE)</f>
        <v>40.65</v>
      </c>
      <c r="AM1517" s="1">
        <f>VLOOKUP($E1517,'Product Parameters'!$A$2:$F$59,6,FALSE)</f>
        <v>5</v>
      </c>
      <c r="AN1517" s="1">
        <f>VLOOKUP($C1517,'Substrate Heating'!$A$2:$C$33,3,FALSE)</f>
        <v>1843.720736</v>
      </c>
      <c r="AO1517" s="1">
        <f>VLOOKUP($C1517,'Substrate Heating'!$A$2:$B$33,2,FALSE)</f>
        <v>30.68</v>
      </c>
      <c r="AP1517" s="1">
        <f>VLOOKUP($C1517,'Substrate Heating'!$A$2:$M$33,13,FALSE)</f>
        <v>6</v>
      </c>
      <c r="AQ1517" s="1">
        <f>VLOOKUP($C1517,'Substrate Heating'!$A$2:$M$33,8,FALSE)</f>
        <v>3</v>
      </c>
      <c r="AR1517" s="1">
        <f t="shared" si="23"/>
        <v>1.1033854166666666</v>
      </c>
    </row>
    <row r="1518" spans="1:44" x14ac:dyDescent="0.2">
      <c r="A1518" s="17" t="s">
        <v>185</v>
      </c>
      <c r="B1518" s="9" t="s">
        <v>35</v>
      </c>
      <c r="C1518" t="s">
        <v>347</v>
      </c>
      <c r="D1518" s="23" t="s">
        <v>338</v>
      </c>
      <c r="E1518" t="s">
        <v>225</v>
      </c>
      <c r="F1518" t="s">
        <v>226</v>
      </c>
      <c r="G1518">
        <v>-10</v>
      </c>
      <c r="H1518">
        <v>-20</v>
      </c>
      <c r="I1518" s="1" t="s">
        <v>40</v>
      </c>
      <c r="J1518">
        <v>3.15</v>
      </c>
      <c r="K1518">
        <v>-10</v>
      </c>
      <c r="L1518">
        <v>-5.8959183673469404</v>
      </c>
      <c r="M1518" s="1" t="s">
        <v>40</v>
      </c>
      <c r="N1518">
        <v>-2.1387755102040802</v>
      </c>
      <c r="O1518">
        <v>6.0693877551020501</v>
      </c>
      <c r="P1518"/>
      <c r="Q1518">
        <v>0.60693877551020503</v>
      </c>
      <c r="R1518">
        <v>1.42148390336446</v>
      </c>
      <c r="S1518" s="1" t="str">
        <f>VLOOKUP($E1518,'Product Naming'!$A$1:$P$58,2,FALSE)</f>
        <v>Glycolate</v>
      </c>
      <c r="T1518" s="1" t="str">
        <f>VLOOKUP($E1518,'Product Naming'!$A$1:$P$58,3,FALSE)</f>
        <v>Glycolate</v>
      </c>
      <c r="U1518" s="1" t="str">
        <f>VLOOKUP($E1518,'Product Naming'!$A$1:$P$58,4,FALSE)</f>
        <v>iJO1366</v>
      </c>
      <c r="V1518" s="1" t="str">
        <f>VLOOKUP($E1518,'Product Naming'!$A$1:$P$58,5,FALSE)</f>
        <v>C2H3O3</v>
      </c>
      <c r="W1518" s="1">
        <f>VLOOKUP($E1518,'Product Naming'!$A$1:$P$58,6,FALSE)</f>
        <v>2</v>
      </c>
      <c r="X1518" s="1">
        <f>VLOOKUP($E1518,'Product Naming'!$A$1:$P$58,7,FALSE)</f>
        <v>3</v>
      </c>
      <c r="Y1518" s="1">
        <f>VLOOKUP($E1518,'Product Naming'!$A$1:$P$58,8,FALSE)</f>
        <v>3</v>
      </c>
      <c r="Z1518" s="1">
        <f>VLOOKUP($E1518,'Product Naming'!$A$1:$P$58,9,FALSE)</f>
        <v>0</v>
      </c>
      <c r="AA1518" s="1">
        <f>VLOOKUP($E1518,'Product Naming'!$A$1:$P$58,10,FALSE)</f>
        <v>-1</v>
      </c>
      <c r="AB1518" s="29">
        <f>VLOOKUP($E1518,'Product Naming'!$A$1:$P$58,11,FALSE)</f>
        <v>2.5</v>
      </c>
      <c r="AC1518" s="3">
        <f>VLOOKUP($E1518,'Product Naming'!$A$1:$P$58,12,FALSE)</f>
        <v>75.041920000000005</v>
      </c>
      <c r="AD1518" s="1">
        <f>VLOOKUP($E1518,'Product Naming'!$A$1:$P$58,13,FALSE)</f>
        <v>112</v>
      </c>
      <c r="AE1518" s="1" t="str">
        <f>VLOOKUP($E1518,'Product Naming'!$A$1:$P$58,14,FALSE)</f>
        <v>Carboxylate + Alcohol (hydroxy carboxylate)</v>
      </c>
      <c r="AF1518" s="1" t="str">
        <f>VLOOKUP($E1518,'Product Naming'!$A$1:$P$58,15,FALSE)</f>
        <v>Glyoxylate (*isocitrate)</v>
      </c>
      <c r="AG1518" s="30" t="str">
        <f>VLOOKUP($E1518,'Product Naming'!$A$1:$P$58,16,FALSE)</f>
        <v>Proton symporter</v>
      </c>
      <c r="AH1518" s="3" t="str">
        <f>VLOOKUP($E1518,'Product Naming'!$A$1:$Q$58,17,FALSE)</f>
        <v>glyclt_c</v>
      </c>
      <c r="AI1518" s="1">
        <f>VLOOKUP($E1518,'Product Parameters'!$A$2:$D$59,2,FALSE)</f>
        <v>1</v>
      </c>
      <c r="AJ1518" s="1">
        <f>VLOOKUP($E1518,'Product Parameters'!$A$2:$D$59,3,FALSE)</f>
        <v>0</v>
      </c>
      <c r="AK1518" s="1">
        <f>VLOOKUP($E1518,'Product Parameters'!$A$2:$D$59,4,FALSE)</f>
        <v>0.12</v>
      </c>
      <c r="AL1518" s="1">
        <f>VLOOKUP($E1518,'Product Parameters'!$A$2:$E$59,5,FALSE)</f>
        <v>40.65</v>
      </c>
      <c r="AM1518" s="1">
        <f>VLOOKUP($E1518,'Product Parameters'!$A$2:$F$59,6,FALSE)</f>
        <v>2</v>
      </c>
      <c r="AN1518" s="1">
        <f>VLOOKUP($C1518,'Substrate Heating'!$A$2:$C$33,3,FALSE)</f>
        <v>638.57832580000002</v>
      </c>
      <c r="AO1518" s="1">
        <f>VLOOKUP($C1518,'Substrate Heating'!$A$2:$B$33,2,FALSE)</f>
        <v>19.93</v>
      </c>
      <c r="AP1518" s="1">
        <f>VLOOKUP($C1518,'Substrate Heating'!$A$2:$M$33,13,FALSE)</f>
        <v>6</v>
      </c>
      <c r="AQ1518" s="1">
        <f>VLOOKUP($C1518,'Substrate Heating'!$A$2:$M$33,8,FALSE)</f>
        <v>1</v>
      </c>
      <c r="AR1518" s="1">
        <f t="shared" si="23"/>
        <v>1.2138775510204101</v>
      </c>
    </row>
    <row r="1519" spans="1:44" x14ac:dyDescent="0.2">
      <c r="A1519" s="17" t="s">
        <v>185</v>
      </c>
      <c r="B1519" s="9" t="s">
        <v>35</v>
      </c>
      <c r="C1519" t="s">
        <v>346</v>
      </c>
      <c r="D1519" s="23" t="s">
        <v>338</v>
      </c>
      <c r="E1519" t="s">
        <v>186</v>
      </c>
      <c r="F1519" t="s">
        <v>187</v>
      </c>
      <c r="G1519">
        <v>-10</v>
      </c>
      <c r="H1519">
        <v>-20</v>
      </c>
      <c r="I1519" s="1" t="s">
        <v>40</v>
      </c>
      <c r="J1519">
        <v>3.15</v>
      </c>
      <c r="K1519">
        <v>-10</v>
      </c>
      <c r="L1519">
        <v>-4.1364963503649603</v>
      </c>
      <c r="M1519" s="1" t="s">
        <v>40</v>
      </c>
      <c r="N1519">
        <v>-4.4846715328467104</v>
      </c>
      <c r="O1519">
        <v>2.41411192214112</v>
      </c>
      <c r="P1519"/>
      <c r="Q1519">
        <v>0.241411192214112</v>
      </c>
      <c r="R1519">
        <v>1.4247339934258301</v>
      </c>
      <c r="S1519" s="1" t="str">
        <f>VLOOKUP($E1519,'Product Naming'!$A$1:$P$58,2,FALSE)</f>
        <v>Citrate</v>
      </c>
      <c r="T1519" s="1" t="str">
        <f>VLOOKUP($E1519,'Product Naming'!$A$1:$P$58,3,FALSE)</f>
        <v>Citrate</v>
      </c>
      <c r="U1519" s="1" t="str">
        <f>VLOOKUP($E1519,'Product Naming'!$A$1:$P$58,4,FALSE)</f>
        <v>iJO1366</v>
      </c>
      <c r="V1519" s="1" t="str">
        <f>VLOOKUP($E1519,'Product Naming'!$A$1:$P$58,5,FALSE)</f>
        <v>C6H5O7</v>
      </c>
      <c r="W1519" s="1">
        <f>VLOOKUP($E1519,'Product Naming'!$A$1:$P$58,6,FALSE)</f>
        <v>6</v>
      </c>
      <c r="X1519" s="1">
        <f>VLOOKUP($E1519,'Product Naming'!$A$1:$P$58,7,FALSE)</f>
        <v>5</v>
      </c>
      <c r="Y1519" s="1">
        <f>VLOOKUP($E1519,'Product Naming'!$A$1:$P$58,8,FALSE)</f>
        <v>7</v>
      </c>
      <c r="Z1519" s="1">
        <f>VLOOKUP($E1519,'Product Naming'!$A$1:$P$58,9,FALSE)</f>
        <v>0</v>
      </c>
      <c r="AA1519" s="1">
        <f>VLOOKUP($E1519,'Product Naming'!$A$1:$P$58,10,FALSE)</f>
        <v>-3</v>
      </c>
      <c r="AB1519" s="29">
        <f>VLOOKUP($E1519,'Product Naming'!$A$1:$P$58,11,FALSE)</f>
        <v>2.5</v>
      </c>
      <c r="AC1519" s="3">
        <f>VLOOKUP($E1519,'Product Naming'!$A$1:$P$58,12,FALSE)</f>
        <v>189.09640000000002</v>
      </c>
      <c r="AD1519" s="1" t="str">
        <f>VLOOKUP($E1519,'Product Naming'!$A$1:$P$58,13,FALSE)</f>
        <v>NA</v>
      </c>
      <c r="AE1519" s="1" t="str">
        <f>VLOOKUP($E1519,'Product Naming'!$A$1:$P$58,14,FALSE)</f>
        <v>Tricarboxylate + Alcohol</v>
      </c>
      <c r="AF1519" s="1" t="str">
        <f>VLOOKUP($E1519,'Product Naming'!$A$1:$P$58,15,FALSE)</f>
        <v>Acetyl-CoA</v>
      </c>
      <c r="AG1519" s="30" t="str">
        <f>VLOOKUP($E1519,'Product Naming'!$A$1:$P$58,16,FALSE)</f>
        <v>Proton antiport</v>
      </c>
      <c r="AH1519" s="3" t="str">
        <f>VLOOKUP($E1519,'Product Naming'!$A$1:$Q$58,17,FALSE)</f>
        <v>cit_c</v>
      </c>
      <c r="AI1519" s="1">
        <f>VLOOKUP($E1519,'Product Parameters'!$A$2:$D$59,2,FALSE)</f>
        <v>1</v>
      </c>
      <c r="AJ1519" s="1">
        <f>VLOOKUP($E1519,'Product Parameters'!$A$2:$D$59,3,FALSE)</f>
        <v>0</v>
      </c>
      <c r="AK1519" s="1">
        <f>VLOOKUP($E1519,'Product Parameters'!$A$2:$D$59,4,FALSE)</f>
        <v>0.12</v>
      </c>
      <c r="AL1519" s="1">
        <f>VLOOKUP($E1519,'Product Parameters'!$A$2:$E$59,5,FALSE)</f>
        <v>40.65</v>
      </c>
      <c r="AM1519" s="1">
        <f>VLOOKUP($E1519,'Product Parameters'!$A$2:$F$59,6,FALSE)</f>
        <v>6</v>
      </c>
      <c r="AN1519" s="1">
        <f>VLOOKUP($C1519,'Substrate Heating'!$A$2:$C$33,3,FALSE)</f>
        <v>638.57832580000002</v>
      </c>
      <c r="AO1519" s="1">
        <f>VLOOKUP($C1519,'Substrate Heating'!$A$2:$B$33,2,FALSE)</f>
        <v>19.93</v>
      </c>
      <c r="AP1519" s="1">
        <f>VLOOKUP($C1519,'Substrate Heating'!$A$2:$M$33,13,FALSE)</f>
        <v>6</v>
      </c>
      <c r="AQ1519" s="1">
        <f>VLOOKUP($C1519,'Substrate Heating'!$A$2:$M$33,8,FALSE)</f>
        <v>1</v>
      </c>
      <c r="AR1519" s="1">
        <f t="shared" si="23"/>
        <v>1.448467153284672</v>
      </c>
    </row>
    <row r="1520" spans="1:44" x14ac:dyDescent="0.2">
      <c r="A1520" s="17" t="s">
        <v>185</v>
      </c>
      <c r="B1520" s="9" t="s">
        <v>35</v>
      </c>
      <c r="C1520" t="s">
        <v>347</v>
      </c>
      <c r="D1520" s="23" t="s">
        <v>338</v>
      </c>
      <c r="E1520" t="s">
        <v>186</v>
      </c>
      <c r="F1520" t="s">
        <v>187</v>
      </c>
      <c r="G1520">
        <v>-10</v>
      </c>
      <c r="H1520">
        <v>-20</v>
      </c>
      <c r="I1520" s="1" t="s">
        <v>40</v>
      </c>
      <c r="J1520">
        <v>3.15</v>
      </c>
      <c r="K1520">
        <v>-10</v>
      </c>
      <c r="L1520">
        <v>-4.1364963503649603</v>
      </c>
      <c r="M1520" s="1" t="s">
        <v>40</v>
      </c>
      <c r="N1520">
        <v>-4.4846715328467202</v>
      </c>
      <c r="O1520">
        <v>2.41411192214112</v>
      </c>
      <c r="P1520"/>
      <c r="Q1520">
        <v>0.241411192214112</v>
      </c>
      <c r="R1520">
        <v>1.4247339934258301</v>
      </c>
      <c r="S1520" s="1" t="str">
        <f>VLOOKUP($E1520,'Product Naming'!$A$1:$P$58,2,FALSE)</f>
        <v>Citrate</v>
      </c>
      <c r="T1520" s="1" t="str">
        <f>VLOOKUP($E1520,'Product Naming'!$A$1:$P$58,3,FALSE)</f>
        <v>Citrate</v>
      </c>
      <c r="U1520" s="1" t="str">
        <f>VLOOKUP($E1520,'Product Naming'!$A$1:$P$58,4,FALSE)</f>
        <v>iJO1366</v>
      </c>
      <c r="V1520" s="1" t="str">
        <f>VLOOKUP($E1520,'Product Naming'!$A$1:$P$58,5,FALSE)</f>
        <v>C6H5O7</v>
      </c>
      <c r="W1520" s="1">
        <f>VLOOKUP($E1520,'Product Naming'!$A$1:$P$58,6,FALSE)</f>
        <v>6</v>
      </c>
      <c r="X1520" s="1">
        <f>VLOOKUP($E1520,'Product Naming'!$A$1:$P$58,7,FALSE)</f>
        <v>5</v>
      </c>
      <c r="Y1520" s="1">
        <f>VLOOKUP($E1520,'Product Naming'!$A$1:$P$58,8,FALSE)</f>
        <v>7</v>
      </c>
      <c r="Z1520" s="1">
        <f>VLOOKUP($E1520,'Product Naming'!$A$1:$P$58,9,FALSE)</f>
        <v>0</v>
      </c>
      <c r="AA1520" s="1">
        <f>VLOOKUP($E1520,'Product Naming'!$A$1:$P$58,10,FALSE)</f>
        <v>-3</v>
      </c>
      <c r="AB1520" s="29">
        <f>VLOOKUP($E1520,'Product Naming'!$A$1:$P$58,11,FALSE)</f>
        <v>2.5</v>
      </c>
      <c r="AC1520" s="3">
        <f>VLOOKUP($E1520,'Product Naming'!$A$1:$P$58,12,FALSE)</f>
        <v>189.09640000000002</v>
      </c>
      <c r="AD1520" s="1" t="str">
        <f>VLOOKUP($E1520,'Product Naming'!$A$1:$P$58,13,FALSE)</f>
        <v>NA</v>
      </c>
      <c r="AE1520" s="1" t="str">
        <f>VLOOKUP($E1520,'Product Naming'!$A$1:$P$58,14,FALSE)</f>
        <v>Tricarboxylate + Alcohol</v>
      </c>
      <c r="AF1520" s="1" t="str">
        <f>VLOOKUP($E1520,'Product Naming'!$A$1:$P$58,15,FALSE)</f>
        <v>Acetyl-CoA</v>
      </c>
      <c r="AG1520" s="30" t="str">
        <f>VLOOKUP($E1520,'Product Naming'!$A$1:$P$58,16,FALSE)</f>
        <v>Proton antiport</v>
      </c>
      <c r="AH1520" s="3" t="str">
        <f>VLOOKUP($E1520,'Product Naming'!$A$1:$Q$58,17,FALSE)</f>
        <v>cit_c</v>
      </c>
      <c r="AI1520" s="1">
        <f>VLOOKUP($E1520,'Product Parameters'!$A$2:$D$59,2,FALSE)</f>
        <v>1</v>
      </c>
      <c r="AJ1520" s="1">
        <f>VLOOKUP($E1520,'Product Parameters'!$A$2:$D$59,3,FALSE)</f>
        <v>0</v>
      </c>
      <c r="AK1520" s="1">
        <f>VLOOKUP($E1520,'Product Parameters'!$A$2:$D$59,4,FALSE)</f>
        <v>0.12</v>
      </c>
      <c r="AL1520" s="1">
        <f>VLOOKUP($E1520,'Product Parameters'!$A$2:$E$59,5,FALSE)</f>
        <v>40.65</v>
      </c>
      <c r="AM1520" s="1">
        <f>VLOOKUP($E1520,'Product Parameters'!$A$2:$F$59,6,FALSE)</f>
        <v>6</v>
      </c>
      <c r="AN1520" s="1">
        <f>VLOOKUP($C1520,'Substrate Heating'!$A$2:$C$33,3,FALSE)</f>
        <v>638.57832580000002</v>
      </c>
      <c r="AO1520" s="1">
        <f>VLOOKUP($C1520,'Substrate Heating'!$A$2:$B$33,2,FALSE)</f>
        <v>19.93</v>
      </c>
      <c r="AP1520" s="1">
        <f>VLOOKUP($C1520,'Substrate Heating'!$A$2:$M$33,13,FALSE)</f>
        <v>6</v>
      </c>
      <c r="AQ1520" s="1">
        <f>VLOOKUP($C1520,'Substrate Heating'!$A$2:$M$33,8,FALSE)</f>
        <v>1</v>
      </c>
      <c r="AR1520" s="1">
        <f t="shared" si="23"/>
        <v>1.448467153284672</v>
      </c>
    </row>
    <row r="1521" spans="1:44" x14ac:dyDescent="0.2">
      <c r="A1521" s="8" t="s">
        <v>34</v>
      </c>
      <c r="B1521" s="9" t="s">
        <v>35</v>
      </c>
      <c r="C1521" s="1" t="s">
        <v>332</v>
      </c>
      <c r="D1521" s="10" t="s">
        <v>37</v>
      </c>
      <c r="E1521" s="1" t="s">
        <v>97</v>
      </c>
      <c r="F1521" s="1" t="s">
        <v>98</v>
      </c>
      <c r="G1521" s="1">
        <v>-10</v>
      </c>
      <c r="H1521" s="1">
        <v>-20</v>
      </c>
      <c r="I1521" s="1" t="s">
        <v>40</v>
      </c>
      <c r="J1521" s="1">
        <v>3.15</v>
      </c>
      <c r="K1521" s="1">
        <v>-10</v>
      </c>
      <c r="L1521" s="1">
        <v>-11.5702247191011</v>
      </c>
      <c r="M1521" s="1" t="s">
        <v>40</v>
      </c>
      <c r="N1521" s="1">
        <v>-5.8016853932584302</v>
      </c>
      <c r="O1521" s="1">
        <v>3.68595505617977</v>
      </c>
      <c r="Q1521" s="1">
        <v>0.36859550561797699</v>
      </c>
      <c r="R1521" s="1">
        <v>1.45689792682938</v>
      </c>
      <c r="S1521" s="1" t="str">
        <f>VLOOKUP($E1521,'Product Naming'!$A$1:$P$58,2,FALSE)</f>
        <v>2-Pyrone-4-6-Dicarboxylate</v>
      </c>
      <c r="T1521" s="1" t="str">
        <f>VLOOKUP($E1521,'Product Naming'!$A$1:$P$58,3,FALSE)</f>
        <v>2-Pyrone 4,6-dicarboxylate</v>
      </c>
      <c r="U1521" s="1" t="str">
        <f>VLOOKUP($E1521,'Product Naming'!$A$1:$P$58,4,FALSE)</f>
        <v>A</v>
      </c>
      <c r="V1521" s="1" t="str">
        <f>VLOOKUP($E1521,'Product Naming'!$A$1:$P$58,5,FALSE)</f>
        <v>C7H2O6</v>
      </c>
      <c r="W1521" s="1">
        <f>VLOOKUP($E1521,'Product Naming'!$A$1:$P$58,6,FALSE)</f>
        <v>7</v>
      </c>
      <c r="X1521" s="1">
        <f>VLOOKUP($E1521,'Product Naming'!$A$1:$P$58,7,FALSE)</f>
        <v>2</v>
      </c>
      <c r="Y1521" s="1">
        <f>VLOOKUP($E1521,'Product Naming'!$A$1:$P$58,8,FALSE)</f>
        <v>6</v>
      </c>
      <c r="Z1521" s="1">
        <f>VLOOKUP($E1521,'Product Naming'!$A$1:$P$58,9,FALSE)</f>
        <v>0</v>
      </c>
      <c r="AA1521" s="1">
        <f>VLOOKUP($E1521,'Product Naming'!$A$1:$P$58,10,FALSE)</f>
        <v>-2</v>
      </c>
      <c r="AB1521" s="29">
        <f>VLOOKUP($E1521,'Product Naming'!$A$1:$P$58,11,FALSE)</f>
        <v>2.5714285714285716</v>
      </c>
      <c r="AC1521" s="3">
        <f>VLOOKUP($E1521,'Product Naming'!$A$1:$P$58,12,FALSE)</f>
        <v>182.08458000000002</v>
      </c>
      <c r="AD1521" s="1">
        <f>VLOOKUP($E1521,'Product Naming'!$A$1:$P$58,13,FALSE)</f>
        <v>355.5</v>
      </c>
      <c r="AE1521" s="1" t="str">
        <f>VLOOKUP($E1521,'Product Naming'!$A$1:$P$58,14,FALSE)</f>
        <v>Dicarboxylate</v>
      </c>
      <c r="AF1521" s="1" t="str">
        <f>VLOOKUP($E1521,'Product Naming'!$A$1:$P$58,15,FALSE)</f>
        <v>Glyceraldehyde 3-P</v>
      </c>
      <c r="AG1521" s="30" t="str">
        <f>VLOOKUP($E1521,'Product Naming'!$A$1:$P$58,16,FALSE)</f>
        <v>Proton symporter</v>
      </c>
      <c r="AH1521" s="3" t="str">
        <f>VLOOKUP($E1521,'Product Naming'!$A$1:$Q$58,17,FALSE)</f>
        <v>2p46dc_c</v>
      </c>
      <c r="AI1521" s="1">
        <f>VLOOKUP($E1521,'Product Parameters'!$A$2:$D$59,2,FALSE)</f>
        <v>1</v>
      </c>
      <c r="AJ1521" s="1">
        <f>VLOOKUP($E1521,'Product Parameters'!$A$2:$D$59,3,FALSE)</f>
        <v>0</v>
      </c>
      <c r="AK1521" s="1">
        <f>VLOOKUP($E1521,'Product Parameters'!$A$2:$D$59,4,FALSE)</f>
        <v>0.12</v>
      </c>
      <c r="AL1521" s="1">
        <f>VLOOKUP($E1521,'Product Parameters'!$A$2:$E$59,5,FALSE)</f>
        <v>0</v>
      </c>
      <c r="AM1521" s="1">
        <f>VLOOKUP($E1521,'Product Parameters'!$A$2:$F$59,6,FALSE)</f>
        <v>7</v>
      </c>
      <c r="AN1521" s="1">
        <f>VLOOKUP($C1521,'Substrate Heating'!$A$2:$C$33,3,FALSE)</f>
        <v>1230.0006480000002</v>
      </c>
      <c r="AO1521" s="1">
        <f>VLOOKUP($C1521,'Substrate Heating'!$A$2:$B$33,2,FALSE)</f>
        <v>26.7</v>
      </c>
      <c r="AP1521" s="1">
        <f>VLOOKUP($C1521,'Substrate Heating'!$A$2:$M$33,13,FALSE)</f>
        <v>6</v>
      </c>
      <c r="AQ1521" s="1">
        <f>VLOOKUP($C1521,'Substrate Heating'!$A$2:$M$33,8,FALSE)</f>
        <v>2</v>
      </c>
      <c r="AR1521" s="1">
        <f t="shared" si="23"/>
        <v>1.2900842696629196</v>
      </c>
    </row>
    <row r="1522" spans="1:44" x14ac:dyDescent="0.2">
      <c r="A1522" s="8" t="s">
        <v>34</v>
      </c>
      <c r="B1522" s="9" t="s">
        <v>35</v>
      </c>
      <c r="C1522" s="1" t="s">
        <v>332</v>
      </c>
      <c r="D1522" s="10" t="s">
        <v>37</v>
      </c>
      <c r="E1522" s="1" t="s">
        <v>254</v>
      </c>
      <c r="F1522" s="1" t="s">
        <v>255</v>
      </c>
      <c r="G1522" s="1">
        <v>-10</v>
      </c>
      <c r="H1522" s="1">
        <v>-20</v>
      </c>
      <c r="I1522" s="1" t="s">
        <v>40</v>
      </c>
      <c r="J1522" s="1">
        <v>3.15</v>
      </c>
      <c r="K1522" s="1">
        <v>-10</v>
      </c>
      <c r="L1522" s="1">
        <v>-6.2440298507462701</v>
      </c>
      <c r="M1522" s="1" t="s">
        <v>40</v>
      </c>
      <c r="N1522" s="1">
        <v>-6.3955223880596801</v>
      </c>
      <c r="O1522" s="1">
        <v>5.2791044776119502</v>
      </c>
      <c r="Q1522" s="1">
        <v>0.527910447761195</v>
      </c>
      <c r="R1522" s="1">
        <v>1.4677443363954901</v>
      </c>
      <c r="S1522" s="1" t="str">
        <f>VLOOKUP($E1522,'Product Naming'!$A$1:$P$58,2,FALSE)</f>
        <v>Itaconate</v>
      </c>
      <c r="T1522" s="1" t="str">
        <f>VLOOKUP($E1522,'Product Naming'!$A$1:$P$58,3,FALSE)</f>
        <v>Itaconate</v>
      </c>
      <c r="U1522" s="1" t="str">
        <f>VLOOKUP($E1522,'Product Naming'!$A$1:$P$58,4,FALSE)</f>
        <v>E</v>
      </c>
      <c r="V1522" s="1" t="str">
        <f>VLOOKUP($E1522,'Product Naming'!$A$1:$P$58,5,FALSE)</f>
        <v>C5H4O4</v>
      </c>
      <c r="W1522" s="1">
        <f>VLOOKUP($E1522,'Product Naming'!$A$1:$P$58,6,FALSE)</f>
        <v>5</v>
      </c>
      <c r="X1522" s="1">
        <f>VLOOKUP($E1522,'Product Naming'!$A$1:$P$58,7,FALSE)</f>
        <v>4</v>
      </c>
      <c r="Y1522" s="1">
        <f>VLOOKUP($E1522,'Product Naming'!$A$1:$P$58,8,FALSE)</f>
        <v>4</v>
      </c>
      <c r="Z1522" s="1">
        <f>VLOOKUP($E1522,'Product Naming'!$A$1:$P$58,9,FALSE)</f>
        <v>0</v>
      </c>
      <c r="AA1522" s="1">
        <f>VLOOKUP($E1522,'Product Naming'!$A$1:$P$58,10,FALSE)</f>
        <v>-2</v>
      </c>
      <c r="AB1522" s="29">
        <f>VLOOKUP($E1522,'Product Naming'!$A$1:$P$58,11,FALSE)</f>
        <v>3.2</v>
      </c>
      <c r="AC1522" s="3">
        <f>VLOOKUP($E1522,'Product Naming'!$A$1:$P$58,12,FALSE)</f>
        <v>128.08086</v>
      </c>
      <c r="AD1522" s="1">
        <f>VLOOKUP($E1522,'Product Naming'!$A$1:$P$58,13,FALSE)</f>
        <v>381</v>
      </c>
      <c r="AE1522" s="1" t="str">
        <f>VLOOKUP($E1522,'Product Naming'!$A$1:$P$58,14,FALSE)</f>
        <v>Dicarboxylate</v>
      </c>
      <c r="AF1522" s="1" t="str">
        <f>VLOOKUP($E1522,'Product Naming'!$A$1:$P$58,15,FALSE)</f>
        <v>Acetyl-CoA + Oxaloacetate</v>
      </c>
      <c r="AG1522" s="30" t="str">
        <f>VLOOKUP($E1522,'Product Naming'!$A$1:$P$58,16,FALSE)</f>
        <v>Proton symporter</v>
      </c>
      <c r="AH1522" s="3" t="str">
        <f>VLOOKUP($E1522,'Product Naming'!$A$1:$Q$58,17,FALSE)</f>
        <v>itacon_c</v>
      </c>
      <c r="AI1522" s="1">
        <f>VLOOKUP($E1522,'Product Parameters'!$A$2:$D$59,2,FALSE)</f>
        <v>1</v>
      </c>
      <c r="AJ1522" s="1">
        <f>VLOOKUP($E1522,'Product Parameters'!$A$2:$D$59,3,FALSE)</f>
        <v>0</v>
      </c>
      <c r="AK1522" s="1">
        <f>VLOOKUP($E1522,'Product Parameters'!$A$2:$D$59,4,FALSE)</f>
        <v>0.12</v>
      </c>
      <c r="AL1522" s="1">
        <f>VLOOKUP($E1522,'Product Parameters'!$A$2:$E$59,5,FALSE)</f>
        <v>40.65</v>
      </c>
      <c r="AM1522" s="1">
        <f>VLOOKUP($E1522,'Product Parameters'!$A$2:$F$59,6,FALSE)</f>
        <v>5</v>
      </c>
      <c r="AN1522" s="1">
        <f>VLOOKUP($C1522,'Substrate Heating'!$A$2:$C$33,3,FALSE)</f>
        <v>1230.0006480000002</v>
      </c>
      <c r="AO1522" s="1">
        <f>VLOOKUP($C1522,'Substrate Heating'!$A$2:$B$33,2,FALSE)</f>
        <v>26.7</v>
      </c>
      <c r="AP1522" s="1">
        <f>VLOOKUP($C1522,'Substrate Heating'!$A$2:$M$33,13,FALSE)</f>
        <v>6</v>
      </c>
      <c r="AQ1522" s="1">
        <f>VLOOKUP($C1522,'Substrate Heating'!$A$2:$M$33,8,FALSE)</f>
        <v>2</v>
      </c>
      <c r="AR1522" s="1">
        <f t="shared" si="23"/>
        <v>1.3197761194029876</v>
      </c>
    </row>
    <row r="1523" spans="1:44" x14ac:dyDescent="0.2">
      <c r="A1523" s="8" t="s">
        <v>34</v>
      </c>
      <c r="B1523" s="9" t="s">
        <v>35</v>
      </c>
      <c r="C1523" s="1" t="s">
        <v>343</v>
      </c>
      <c r="D1523" s="24" t="s">
        <v>342</v>
      </c>
      <c r="E1523" s="1" t="s">
        <v>275</v>
      </c>
      <c r="F1523" s="1" t="s">
        <v>276</v>
      </c>
      <c r="G1523" s="1">
        <v>-10</v>
      </c>
      <c r="H1523" s="1">
        <v>-20</v>
      </c>
      <c r="I1523" s="1" t="s">
        <v>40</v>
      </c>
      <c r="J1523" s="1">
        <v>3.15</v>
      </c>
      <c r="K1523" s="1">
        <v>-10</v>
      </c>
      <c r="L1523" s="1">
        <v>-8.4245614035087701</v>
      </c>
      <c r="M1523" s="1" t="s">
        <v>40</v>
      </c>
      <c r="N1523" s="1">
        <v>-9.8631578947368403</v>
      </c>
      <c r="O1523" s="1">
        <v>13.2877192982456</v>
      </c>
      <c r="Q1523" s="1">
        <v>1.3287719298245599</v>
      </c>
      <c r="R1523" s="1">
        <v>1.47233452230772</v>
      </c>
      <c r="S1523" s="1" t="str">
        <f>VLOOKUP($E1523,'Product Naming'!$A$1:$P$58,2,FALSE)</f>
        <v>Malonate</v>
      </c>
      <c r="T1523" s="1" t="str">
        <f>VLOOKUP($E1523,'Product Naming'!$A$1:$P$58,3,FALSE)</f>
        <v>Malonate</v>
      </c>
      <c r="U1523" s="1" t="str">
        <f>VLOOKUP($E1523,'Product Naming'!$A$1:$P$58,4,FALSE)</f>
        <v>A</v>
      </c>
      <c r="V1523" s="1" t="str">
        <f>VLOOKUP($E1523,'Product Naming'!$A$1:$P$58,5,FALSE)</f>
        <v>C3H2O4</v>
      </c>
      <c r="W1523" s="1">
        <f>VLOOKUP($E1523,'Product Naming'!$A$1:$P$58,6,FALSE)</f>
        <v>3</v>
      </c>
      <c r="X1523" s="1">
        <f>VLOOKUP($E1523,'Product Naming'!$A$1:$P$58,7,FALSE)</f>
        <v>2</v>
      </c>
      <c r="Y1523" s="1">
        <f>VLOOKUP($E1523,'Product Naming'!$A$1:$P$58,8,FALSE)</f>
        <v>4</v>
      </c>
      <c r="Z1523" s="1">
        <f>VLOOKUP($E1523,'Product Naming'!$A$1:$P$58,9,FALSE)</f>
        <v>0</v>
      </c>
      <c r="AA1523" s="1">
        <f>VLOOKUP($E1523,'Product Naming'!$A$1:$P$58,10,FALSE)</f>
        <v>-2</v>
      </c>
      <c r="AB1523" s="29">
        <f>VLOOKUP($E1523,'Product Naming'!$A$1:$P$58,11,FALSE)</f>
        <v>2</v>
      </c>
      <c r="AC1523" s="3">
        <f>VLOOKUP($E1523,'Product Naming'!$A$1:$P$58,12,FALSE)</f>
        <v>102.04378</v>
      </c>
      <c r="AD1523" s="1">
        <f>VLOOKUP($E1523,'Product Naming'!$A$1:$P$58,13,FALSE)</f>
        <v>199</v>
      </c>
      <c r="AE1523" s="1" t="str">
        <f>VLOOKUP($E1523,'Product Naming'!$A$1:$P$58,14,FALSE)</f>
        <v>Dicarboxylate</v>
      </c>
      <c r="AF1523" s="1" t="str">
        <f>VLOOKUP($E1523,'Product Naming'!$A$1:$P$58,15,FALSE)</f>
        <v>Oxaloacetate</v>
      </c>
      <c r="AG1523" s="30" t="str">
        <f>VLOOKUP($E1523,'Product Naming'!$A$1:$P$58,16,FALSE)</f>
        <v>Proton symporter</v>
      </c>
      <c r="AH1523" s="3" t="str">
        <f>VLOOKUP($E1523,'Product Naming'!$A$1:$Q$58,17,FALSE)</f>
        <v>malon_c</v>
      </c>
      <c r="AI1523" s="1">
        <f>VLOOKUP($E1523,'Product Parameters'!$A$2:$D$59,2,FALSE)</f>
        <v>1</v>
      </c>
      <c r="AJ1523" s="1">
        <f>VLOOKUP($E1523,'Product Parameters'!$A$2:$D$59,3,FALSE)</f>
        <v>0</v>
      </c>
      <c r="AK1523" s="1">
        <f>VLOOKUP($E1523,'Product Parameters'!$A$2:$D$59,4,FALSE)</f>
        <v>0.12</v>
      </c>
      <c r="AL1523" s="1">
        <f>VLOOKUP($E1523,'Product Parameters'!$A$2:$E$59,5,FALSE)</f>
        <v>40.65</v>
      </c>
      <c r="AM1523" s="1">
        <f>VLOOKUP($E1523,'Product Parameters'!$A$2:$F$59,6,FALSE)</f>
        <v>3</v>
      </c>
      <c r="AN1523" s="1">
        <f>VLOOKUP($C1523,'Substrate Heating'!$A$2:$C$33,3,FALSE)</f>
        <v>1648.4793779999998</v>
      </c>
      <c r="AO1523" s="1">
        <f>VLOOKUP($C1523,'Substrate Heating'!$A$2:$B$33,2,FALSE)</f>
        <v>17.899999999999999</v>
      </c>
      <c r="AP1523" s="1">
        <f>VLOOKUP($C1523,'Substrate Heating'!$A$2:$M$33,13,FALSE)</f>
        <v>4.666666666666667</v>
      </c>
      <c r="AQ1523" s="1">
        <f>VLOOKUP($C1523,'Substrate Heating'!$A$2:$M$33,8,FALSE)</f>
        <v>3</v>
      </c>
      <c r="AR1523" s="1">
        <f t="shared" si="23"/>
        <v>1.3287719298245599</v>
      </c>
    </row>
    <row r="1524" spans="1:44" x14ac:dyDescent="0.2">
      <c r="A1524" s="17" t="s">
        <v>185</v>
      </c>
      <c r="B1524" s="9" t="s">
        <v>35</v>
      </c>
      <c r="C1524" t="s">
        <v>343</v>
      </c>
      <c r="D1524" s="24" t="s">
        <v>342</v>
      </c>
      <c r="E1524" t="s">
        <v>269</v>
      </c>
      <c r="F1524" t="s">
        <v>270</v>
      </c>
      <c r="G1524">
        <v>-10</v>
      </c>
      <c r="H1524">
        <v>-20</v>
      </c>
      <c r="I1524" s="1" t="s">
        <v>40</v>
      </c>
      <c r="J1524">
        <v>3.15</v>
      </c>
      <c r="K1524">
        <v>-10</v>
      </c>
      <c r="L1524">
        <v>-3.8739726027397299</v>
      </c>
      <c r="M1524" s="1" t="s">
        <v>40</v>
      </c>
      <c r="N1524">
        <v>-11.5013698630137</v>
      </c>
      <c r="O1524">
        <v>10.3753424657534</v>
      </c>
      <c r="P1524"/>
      <c r="Q1524">
        <v>1.0375342465753401</v>
      </c>
      <c r="R1524">
        <v>1.48789871477194</v>
      </c>
      <c r="S1524" s="1" t="str">
        <f>VLOOKUP($E1524,'Product Naming'!$A$1:$P$58,2,FALSE)</f>
        <v>Malate_L</v>
      </c>
      <c r="T1524" s="1" t="str">
        <f>VLOOKUP($E1524,'Product Naming'!$A$1:$P$58,3,FALSE)</f>
        <v>L-Malate</v>
      </c>
      <c r="U1524" s="1" t="str">
        <f>VLOOKUP($E1524,'Product Naming'!$A$1:$P$58,4,FALSE)</f>
        <v>iJO1366</v>
      </c>
      <c r="V1524" s="1" t="str">
        <f>VLOOKUP($E1524,'Product Naming'!$A$1:$P$58,5,FALSE)</f>
        <v>C4H4O5</v>
      </c>
      <c r="W1524" s="1">
        <f>VLOOKUP($E1524,'Product Naming'!$A$1:$P$58,6,FALSE)</f>
        <v>4</v>
      </c>
      <c r="X1524" s="1">
        <f>VLOOKUP($E1524,'Product Naming'!$A$1:$P$58,7,FALSE)</f>
        <v>4</v>
      </c>
      <c r="Y1524" s="1">
        <f>VLOOKUP($E1524,'Product Naming'!$A$1:$P$58,8,FALSE)</f>
        <v>5</v>
      </c>
      <c r="Z1524" s="1">
        <f>VLOOKUP($E1524,'Product Naming'!$A$1:$P$58,9,FALSE)</f>
        <v>0</v>
      </c>
      <c r="AA1524" s="1">
        <f>VLOOKUP($E1524,'Product Naming'!$A$1:$P$58,10,FALSE)</f>
        <v>-2</v>
      </c>
      <c r="AB1524" s="29">
        <f>VLOOKUP($E1524,'Product Naming'!$A$1:$P$58,11,FALSE)</f>
        <v>2.5</v>
      </c>
      <c r="AC1524" s="3">
        <f>VLOOKUP($E1524,'Product Naming'!$A$1:$P$58,12,FALSE)</f>
        <v>132.06916000000001</v>
      </c>
      <c r="AD1524" s="1" t="str">
        <f>VLOOKUP($E1524,'Product Naming'!$A$1:$P$58,13,FALSE)</f>
        <v>NA</v>
      </c>
      <c r="AE1524" s="1" t="str">
        <f>VLOOKUP($E1524,'Product Naming'!$A$1:$P$58,14,FALSE)</f>
        <v>Dicarboxylate</v>
      </c>
      <c r="AF1524" s="1" t="str">
        <f>VLOOKUP($E1524,'Product Naming'!$A$1:$P$58,15,FALSE)</f>
        <v>Oxaloacetate</v>
      </c>
      <c r="AG1524" s="30" t="str">
        <f>VLOOKUP($E1524,'Product Naming'!$A$1:$P$58,16,FALSE)</f>
        <v>Proton symporter</v>
      </c>
      <c r="AH1524" s="3" t="str">
        <f>VLOOKUP($E1524,'Product Naming'!$A$1:$Q$58,17,FALSE)</f>
        <v>mal__L_e</v>
      </c>
      <c r="AI1524" s="1">
        <f>VLOOKUP($E1524,'Product Parameters'!$A$2:$D$59,2,FALSE)</f>
        <v>1</v>
      </c>
      <c r="AJ1524" s="1">
        <f>VLOOKUP($E1524,'Product Parameters'!$A$2:$D$59,3,FALSE)</f>
        <v>0</v>
      </c>
      <c r="AK1524" s="1">
        <f>VLOOKUP($E1524,'Product Parameters'!$A$2:$D$59,4,FALSE)</f>
        <v>0.12</v>
      </c>
      <c r="AL1524" s="1">
        <f>VLOOKUP($E1524,'Product Parameters'!$A$2:$E$59,5,FALSE)</f>
        <v>40.65</v>
      </c>
      <c r="AM1524" s="1">
        <f>VLOOKUP($E1524,'Product Parameters'!$A$2:$F$59,6,FALSE)</f>
        <v>4</v>
      </c>
      <c r="AN1524" s="1">
        <f>VLOOKUP($C1524,'Substrate Heating'!$A$2:$C$33,3,FALSE)</f>
        <v>1648.4793779999998</v>
      </c>
      <c r="AO1524" s="1">
        <f>VLOOKUP($C1524,'Substrate Heating'!$A$2:$B$33,2,FALSE)</f>
        <v>17.899999999999999</v>
      </c>
      <c r="AP1524" s="1">
        <f>VLOOKUP($C1524,'Substrate Heating'!$A$2:$M$33,13,FALSE)</f>
        <v>4.666666666666667</v>
      </c>
      <c r="AQ1524" s="1">
        <f>VLOOKUP($C1524,'Substrate Heating'!$A$2:$M$33,8,FALSE)</f>
        <v>3</v>
      </c>
      <c r="AR1524" s="1">
        <f t="shared" si="23"/>
        <v>1.3833789954337867</v>
      </c>
    </row>
    <row r="1525" spans="1:44" x14ac:dyDescent="0.2">
      <c r="A1525" s="17" t="s">
        <v>185</v>
      </c>
      <c r="B1525" s="9" t="s">
        <v>35</v>
      </c>
      <c r="C1525" t="s">
        <v>330</v>
      </c>
      <c r="D1525" s="10" t="s">
        <v>37</v>
      </c>
      <c r="E1525" t="s">
        <v>225</v>
      </c>
      <c r="F1525" t="s">
        <v>226</v>
      </c>
      <c r="G1525">
        <v>-10</v>
      </c>
      <c r="H1525">
        <v>-20</v>
      </c>
      <c r="I1525" s="1" t="s">
        <v>40</v>
      </c>
      <c r="J1525">
        <v>3.15</v>
      </c>
      <c r="K1525">
        <v>-10</v>
      </c>
      <c r="L1525">
        <v>-9.5509259259259398</v>
      </c>
      <c r="M1525" s="1" t="s">
        <v>40</v>
      </c>
      <c r="N1525">
        <v>-4.7185185185185201</v>
      </c>
      <c r="O1525">
        <v>12.3592592592593</v>
      </c>
      <c r="P1525"/>
      <c r="Q1525">
        <v>1.2359259259259301</v>
      </c>
      <c r="R1525">
        <v>1.49430697542083</v>
      </c>
      <c r="S1525" s="1" t="str">
        <f>VLOOKUP($E1525,'Product Naming'!$A$1:$P$58,2,FALSE)</f>
        <v>Glycolate</v>
      </c>
      <c r="T1525" s="1" t="str">
        <f>VLOOKUP($E1525,'Product Naming'!$A$1:$P$58,3,FALSE)</f>
        <v>Glycolate</v>
      </c>
      <c r="U1525" s="1" t="str">
        <f>VLOOKUP($E1525,'Product Naming'!$A$1:$P$58,4,FALSE)</f>
        <v>iJO1366</v>
      </c>
      <c r="V1525" s="1" t="str">
        <f>VLOOKUP($E1525,'Product Naming'!$A$1:$P$58,5,FALSE)</f>
        <v>C2H3O3</v>
      </c>
      <c r="W1525" s="1">
        <f>VLOOKUP($E1525,'Product Naming'!$A$1:$P$58,6,FALSE)</f>
        <v>2</v>
      </c>
      <c r="X1525" s="1">
        <f>VLOOKUP($E1525,'Product Naming'!$A$1:$P$58,7,FALSE)</f>
        <v>3</v>
      </c>
      <c r="Y1525" s="1">
        <f>VLOOKUP($E1525,'Product Naming'!$A$1:$P$58,8,FALSE)</f>
        <v>3</v>
      </c>
      <c r="Z1525" s="1">
        <f>VLOOKUP($E1525,'Product Naming'!$A$1:$P$58,9,FALSE)</f>
        <v>0</v>
      </c>
      <c r="AA1525" s="1">
        <f>VLOOKUP($E1525,'Product Naming'!$A$1:$P$58,10,FALSE)</f>
        <v>-1</v>
      </c>
      <c r="AB1525" s="29">
        <f>VLOOKUP($E1525,'Product Naming'!$A$1:$P$58,11,FALSE)</f>
        <v>2.5</v>
      </c>
      <c r="AC1525" s="3">
        <f>VLOOKUP($E1525,'Product Naming'!$A$1:$P$58,12,FALSE)</f>
        <v>75.041920000000005</v>
      </c>
      <c r="AD1525" s="1">
        <f>VLOOKUP($E1525,'Product Naming'!$A$1:$P$58,13,FALSE)</f>
        <v>112</v>
      </c>
      <c r="AE1525" s="1" t="str">
        <f>VLOOKUP($E1525,'Product Naming'!$A$1:$P$58,14,FALSE)</f>
        <v>Carboxylate + Alcohol (hydroxy carboxylate)</v>
      </c>
      <c r="AF1525" s="1" t="str">
        <f>VLOOKUP($E1525,'Product Naming'!$A$1:$P$58,15,FALSE)</f>
        <v>Glyoxylate (*isocitrate)</v>
      </c>
      <c r="AG1525" s="30" t="str">
        <f>VLOOKUP($E1525,'Product Naming'!$A$1:$P$58,16,FALSE)</f>
        <v>Proton symporter</v>
      </c>
      <c r="AH1525" s="3" t="str">
        <f>VLOOKUP($E1525,'Product Naming'!$A$1:$Q$58,17,FALSE)</f>
        <v>glyclt_c</v>
      </c>
      <c r="AI1525" s="1">
        <f>VLOOKUP($E1525,'Product Parameters'!$A$2:$D$59,2,FALSE)</f>
        <v>1</v>
      </c>
      <c r="AJ1525" s="1">
        <f>VLOOKUP($E1525,'Product Parameters'!$A$2:$D$59,3,FALSE)</f>
        <v>0</v>
      </c>
      <c r="AK1525" s="1">
        <f>VLOOKUP($E1525,'Product Parameters'!$A$2:$D$59,4,FALSE)</f>
        <v>0.12</v>
      </c>
      <c r="AL1525" s="1">
        <f>VLOOKUP($E1525,'Product Parameters'!$A$2:$E$59,5,FALSE)</f>
        <v>40.65</v>
      </c>
      <c r="AM1525" s="1">
        <f>VLOOKUP($E1525,'Product Parameters'!$A$2:$F$59,6,FALSE)</f>
        <v>2</v>
      </c>
      <c r="AN1525" s="1">
        <f>VLOOKUP($C1525,'Substrate Heating'!$A$2:$C$33,3,FALSE)</f>
        <v>1055.1294800000001</v>
      </c>
      <c r="AO1525" s="1">
        <f>VLOOKUP($C1525,'Substrate Heating'!$A$2:$B$33,2,FALSE)</f>
        <v>17</v>
      </c>
      <c r="AP1525" s="1">
        <f>VLOOKUP($C1525,'Substrate Heating'!$A$2:$M$33,13,FALSE)</f>
        <v>5</v>
      </c>
      <c r="AQ1525" s="1">
        <f>VLOOKUP($C1525,'Substrate Heating'!$A$2:$M$33,8,FALSE)</f>
        <v>2</v>
      </c>
      <c r="AR1525" s="1">
        <f t="shared" si="23"/>
        <v>1.2359259259259301</v>
      </c>
    </row>
    <row r="1526" spans="1:44" x14ac:dyDescent="0.2">
      <c r="A1526" s="17" t="s">
        <v>185</v>
      </c>
      <c r="B1526" s="9" t="s">
        <v>35</v>
      </c>
      <c r="C1526" t="s">
        <v>331</v>
      </c>
      <c r="D1526" s="10" t="s">
        <v>37</v>
      </c>
      <c r="E1526" t="s">
        <v>225</v>
      </c>
      <c r="F1526" t="s">
        <v>226</v>
      </c>
      <c r="G1526">
        <v>-10</v>
      </c>
      <c r="H1526">
        <v>-20</v>
      </c>
      <c r="I1526" s="1" t="s">
        <v>40</v>
      </c>
      <c r="J1526">
        <v>3.15</v>
      </c>
      <c r="K1526">
        <v>-10</v>
      </c>
      <c r="L1526">
        <v>-9.3774509803921493</v>
      </c>
      <c r="M1526" s="1" t="s">
        <v>40</v>
      </c>
      <c r="N1526">
        <v>-4.9960784313725499</v>
      </c>
      <c r="O1526">
        <v>12.498039215686299</v>
      </c>
      <c r="P1526"/>
      <c r="Q1526">
        <v>1.2498039215686301</v>
      </c>
      <c r="R1526">
        <v>1.5110862865904799</v>
      </c>
      <c r="S1526" s="1" t="str">
        <f>VLOOKUP($E1526,'Product Naming'!$A$1:$P$58,2,FALSE)</f>
        <v>Glycolate</v>
      </c>
      <c r="T1526" s="1" t="str">
        <f>VLOOKUP($E1526,'Product Naming'!$A$1:$P$58,3,FALSE)</f>
        <v>Glycolate</v>
      </c>
      <c r="U1526" s="1" t="str">
        <f>VLOOKUP($E1526,'Product Naming'!$A$1:$P$58,4,FALSE)</f>
        <v>iJO1366</v>
      </c>
      <c r="V1526" s="1" t="str">
        <f>VLOOKUP($E1526,'Product Naming'!$A$1:$P$58,5,FALSE)</f>
        <v>C2H3O3</v>
      </c>
      <c r="W1526" s="1">
        <f>VLOOKUP($E1526,'Product Naming'!$A$1:$P$58,6,FALSE)</f>
        <v>2</v>
      </c>
      <c r="X1526" s="1">
        <f>VLOOKUP($E1526,'Product Naming'!$A$1:$P$58,7,FALSE)</f>
        <v>3</v>
      </c>
      <c r="Y1526" s="1">
        <f>VLOOKUP($E1526,'Product Naming'!$A$1:$P$58,8,FALSE)</f>
        <v>3</v>
      </c>
      <c r="Z1526" s="1">
        <f>VLOOKUP($E1526,'Product Naming'!$A$1:$P$58,9,FALSE)</f>
        <v>0</v>
      </c>
      <c r="AA1526" s="1">
        <f>VLOOKUP($E1526,'Product Naming'!$A$1:$P$58,10,FALSE)</f>
        <v>-1</v>
      </c>
      <c r="AB1526" s="29">
        <f>VLOOKUP($E1526,'Product Naming'!$A$1:$P$58,11,FALSE)</f>
        <v>2.5</v>
      </c>
      <c r="AC1526" s="3">
        <f>VLOOKUP($E1526,'Product Naming'!$A$1:$P$58,12,FALSE)</f>
        <v>75.041920000000005</v>
      </c>
      <c r="AD1526" s="1">
        <f>VLOOKUP($E1526,'Product Naming'!$A$1:$P$58,13,FALSE)</f>
        <v>112</v>
      </c>
      <c r="AE1526" s="1" t="str">
        <f>VLOOKUP($E1526,'Product Naming'!$A$1:$P$58,14,FALSE)</f>
        <v>Carboxylate + Alcohol (hydroxy carboxylate)</v>
      </c>
      <c r="AF1526" s="1" t="str">
        <f>VLOOKUP($E1526,'Product Naming'!$A$1:$P$58,15,FALSE)</f>
        <v>Glyoxylate (*isocitrate)</v>
      </c>
      <c r="AG1526" s="30" t="str">
        <f>VLOOKUP($E1526,'Product Naming'!$A$1:$P$58,16,FALSE)</f>
        <v>Proton symporter</v>
      </c>
      <c r="AH1526" s="3" t="str">
        <f>VLOOKUP($E1526,'Product Naming'!$A$1:$Q$58,17,FALSE)</f>
        <v>glyclt_c</v>
      </c>
      <c r="AI1526" s="1">
        <f>VLOOKUP($E1526,'Product Parameters'!$A$2:$D$59,2,FALSE)</f>
        <v>1</v>
      </c>
      <c r="AJ1526" s="1">
        <f>VLOOKUP($E1526,'Product Parameters'!$A$2:$D$59,3,FALSE)</f>
        <v>0</v>
      </c>
      <c r="AK1526" s="1">
        <f>VLOOKUP($E1526,'Product Parameters'!$A$2:$D$59,4,FALSE)</f>
        <v>0.12</v>
      </c>
      <c r="AL1526" s="1">
        <f>VLOOKUP($E1526,'Product Parameters'!$A$2:$E$59,5,FALSE)</f>
        <v>40.65</v>
      </c>
      <c r="AM1526" s="1">
        <f>VLOOKUP($E1526,'Product Parameters'!$A$2:$F$59,6,FALSE)</f>
        <v>2</v>
      </c>
      <c r="AN1526" s="1">
        <f>VLOOKUP($C1526,'Substrate Heating'!$A$2:$C$33,3,FALSE)</f>
        <v>1055.1294800000001</v>
      </c>
      <c r="AO1526" s="1">
        <f>VLOOKUP($C1526,'Substrate Heating'!$A$2:$B$33,2,FALSE)</f>
        <v>17</v>
      </c>
      <c r="AP1526" s="1">
        <f>VLOOKUP($C1526,'Substrate Heating'!$A$2:$M$33,13,FALSE)</f>
        <v>5</v>
      </c>
      <c r="AQ1526" s="1">
        <f>VLOOKUP($C1526,'Substrate Heating'!$A$2:$M$33,8,FALSE)</f>
        <v>2</v>
      </c>
      <c r="AR1526" s="1">
        <f t="shared" si="23"/>
        <v>1.2498039215686301</v>
      </c>
    </row>
    <row r="1527" spans="1:44" x14ac:dyDescent="0.2">
      <c r="A1527" s="8" t="s">
        <v>34</v>
      </c>
      <c r="B1527" s="9" t="s">
        <v>35</v>
      </c>
      <c r="C1527" s="1" t="s">
        <v>331</v>
      </c>
      <c r="D1527" s="10" t="s">
        <v>37</v>
      </c>
      <c r="E1527" s="1" t="s">
        <v>275</v>
      </c>
      <c r="F1527" s="1" t="s">
        <v>276</v>
      </c>
      <c r="G1527" s="1">
        <v>-10</v>
      </c>
      <c r="H1527" s="1">
        <v>-20</v>
      </c>
      <c r="I1527" s="1" t="s">
        <v>40</v>
      </c>
      <c r="J1527" s="1">
        <v>3.15</v>
      </c>
      <c r="K1527" s="1">
        <v>-10</v>
      </c>
      <c r="L1527" s="1">
        <v>-11.1642857142857</v>
      </c>
      <c r="M1527" s="1" t="s">
        <v>40</v>
      </c>
      <c r="N1527" s="1">
        <v>-7.6714285714285904</v>
      </c>
      <c r="O1527" s="1">
        <v>9.2238095238095301</v>
      </c>
      <c r="Q1527" s="1">
        <v>0.92238095238095297</v>
      </c>
      <c r="R1527" s="1">
        <v>1.5164926430557</v>
      </c>
      <c r="S1527" s="1" t="str">
        <f>VLOOKUP($E1527,'Product Naming'!$A$1:$P$58,2,FALSE)</f>
        <v>Malonate</v>
      </c>
      <c r="T1527" s="1" t="str">
        <f>VLOOKUP($E1527,'Product Naming'!$A$1:$P$58,3,FALSE)</f>
        <v>Malonate</v>
      </c>
      <c r="U1527" s="1" t="str">
        <f>VLOOKUP($E1527,'Product Naming'!$A$1:$P$58,4,FALSE)</f>
        <v>A</v>
      </c>
      <c r="V1527" s="1" t="str">
        <f>VLOOKUP($E1527,'Product Naming'!$A$1:$P$58,5,FALSE)</f>
        <v>C3H2O4</v>
      </c>
      <c r="W1527" s="1">
        <f>VLOOKUP($E1527,'Product Naming'!$A$1:$P$58,6,FALSE)</f>
        <v>3</v>
      </c>
      <c r="X1527" s="1">
        <f>VLOOKUP($E1527,'Product Naming'!$A$1:$P$58,7,FALSE)</f>
        <v>2</v>
      </c>
      <c r="Y1527" s="1">
        <f>VLOOKUP($E1527,'Product Naming'!$A$1:$P$58,8,FALSE)</f>
        <v>4</v>
      </c>
      <c r="Z1527" s="1">
        <f>VLOOKUP($E1527,'Product Naming'!$A$1:$P$58,9,FALSE)</f>
        <v>0</v>
      </c>
      <c r="AA1527" s="1">
        <f>VLOOKUP($E1527,'Product Naming'!$A$1:$P$58,10,FALSE)</f>
        <v>-2</v>
      </c>
      <c r="AB1527" s="29">
        <f>VLOOKUP($E1527,'Product Naming'!$A$1:$P$58,11,FALSE)</f>
        <v>2</v>
      </c>
      <c r="AC1527" s="3">
        <f>VLOOKUP($E1527,'Product Naming'!$A$1:$P$58,12,FALSE)</f>
        <v>102.04378</v>
      </c>
      <c r="AD1527" s="1">
        <f>VLOOKUP($E1527,'Product Naming'!$A$1:$P$58,13,FALSE)</f>
        <v>199</v>
      </c>
      <c r="AE1527" s="1" t="str">
        <f>VLOOKUP($E1527,'Product Naming'!$A$1:$P$58,14,FALSE)</f>
        <v>Dicarboxylate</v>
      </c>
      <c r="AF1527" s="1" t="str">
        <f>VLOOKUP($E1527,'Product Naming'!$A$1:$P$58,15,FALSE)</f>
        <v>Oxaloacetate</v>
      </c>
      <c r="AG1527" s="30" t="str">
        <f>VLOOKUP($E1527,'Product Naming'!$A$1:$P$58,16,FALSE)</f>
        <v>Proton symporter</v>
      </c>
      <c r="AH1527" s="3" t="str">
        <f>VLOOKUP($E1527,'Product Naming'!$A$1:$Q$58,17,FALSE)</f>
        <v>malon_c</v>
      </c>
      <c r="AI1527" s="1">
        <f>VLOOKUP($E1527,'Product Parameters'!$A$2:$D$59,2,FALSE)</f>
        <v>1</v>
      </c>
      <c r="AJ1527" s="1">
        <f>VLOOKUP($E1527,'Product Parameters'!$A$2:$D$59,3,FALSE)</f>
        <v>0</v>
      </c>
      <c r="AK1527" s="1">
        <f>VLOOKUP($E1527,'Product Parameters'!$A$2:$D$59,4,FALSE)</f>
        <v>0.12</v>
      </c>
      <c r="AL1527" s="1">
        <f>VLOOKUP($E1527,'Product Parameters'!$A$2:$E$59,5,FALSE)</f>
        <v>40.65</v>
      </c>
      <c r="AM1527" s="1">
        <f>VLOOKUP($E1527,'Product Parameters'!$A$2:$F$59,6,FALSE)</f>
        <v>3</v>
      </c>
      <c r="AN1527" s="1">
        <f>VLOOKUP($C1527,'Substrate Heating'!$A$2:$C$33,3,FALSE)</f>
        <v>1055.1294800000001</v>
      </c>
      <c r="AO1527" s="1">
        <f>VLOOKUP($C1527,'Substrate Heating'!$A$2:$B$33,2,FALSE)</f>
        <v>17</v>
      </c>
      <c r="AP1527" s="1">
        <f>VLOOKUP($C1527,'Substrate Heating'!$A$2:$M$33,13,FALSE)</f>
        <v>5</v>
      </c>
      <c r="AQ1527" s="1">
        <f>VLOOKUP($C1527,'Substrate Heating'!$A$2:$M$33,8,FALSE)</f>
        <v>2</v>
      </c>
      <c r="AR1527" s="1">
        <f t="shared" si="23"/>
        <v>1.3835714285714293</v>
      </c>
    </row>
    <row r="1528" spans="1:44" x14ac:dyDescent="0.2">
      <c r="A1528" s="17" t="s">
        <v>185</v>
      </c>
      <c r="B1528" s="9" t="s">
        <v>35</v>
      </c>
      <c r="C1528" t="s">
        <v>36</v>
      </c>
      <c r="D1528" s="10" t="s">
        <v>37</v>
      </c>
      <c r="E1528" t="s">
        <v>215</v>
      </c>
      <c r="F1528" t="s">
        <v>216</v>
      </c>
      <c r="G1528">
        <v>-10</v>
      </c>
      <c r="H1528">
        <v>-20</v>
      </c>
      <c r="I1528" s="1" t="s">
        <v>40</v>
      </c>
      <c r="J1528">
        <v>3.15</v>
      </c>
      <c r="K1528">
        <v>-10</v>
      </c>
      <c r="L1528">
        <v>-4.1670454545454598</v>
      </c>
      <c r="M1528" s="1" t="s">
        <v>40</v>
      </c>
      <c r="N1528">
        <v>-3.14772727272728</v>
      </c>
      <c r="O1528">
        <v>4.6295454545454504</v>
      </c>
      <c r="P1528"/>
      <c r="Q1528">
        <v>0.46295454545454501</v>
      </c>
      <c r="R1528">
        <v>1.5356121569469401</v>
      </c>
      <c r="S1528" s="1" t="str">
        <f>VLOOKUP($E1528,'Product Naming'!$A$1:$P$58,2,FALSE)</f>
        <v>Glutamate_L</v>
      </c>
      <c r="T1528" s="1" t="str">
        <f>VLOOKUP($E1528,'Product Naming'!$A$1:$P$58,3,FALSE)</f>
        <v>L-Glutamate</v>
      </c>
      <c r="U1528" s="1" t="str">
        <f>VLOOKUP($E1528,'Product Naming'!$A$1:$P$58,4,FALSE)</f>
        <v>iJO1366</v>
      </c>
      <c r="V1528" s="1" t="str">
        <f>VLOOKUP($E1528,'Product Naming'!$A$1:$P$58,5,FALSE)</f>
        <v>C5H8NO4</v>
      </c>
      <c r="W1528" s="1">
        <f>VLOOKUP($E1528,'Product Naming'!$A$1:$P$58,6,FALSE)</f>
        <v>5</v>
      </c>
      <c r="X1528" s="1">
        <f>VLOOKUP($E1528,'Product Naming'!$A$1:$P$58,7,FALSE)</f>
        <v>8</v>
      </c>
      <c r="Y1528" s="1">
        <f>VLOOKUP($E1528,'Product Naming'!$A$1:$P$58,8,FALSE)</f>
        <v>4</v>
      </c>
      <c r="Z1528" s="1">
        <f>VLOOKUP($E1528,'Product Naming'!$A$1:$P$58,9,FALSE)</f>
        <v>1</v>
      </c>
      <c r="AA1528" s="1">
        <f>VLOOKUP($E1528,'Product Naming'!$A$1:$P$58,10,FALSE)</f>
        <v>-1</v>
      </c>
      <c r="AB1528" s="29">
        <f>VLOOKUP($E1528,'Product Naming'!$A$1:$P$58,11,FALSE)</f>
        <v>3.4</v>
      </c>
      <c r="AC1528" s="3">
        <f>VLOOKUP($E1528,'Product Naming'!$A$1:$P$58,12,FALSE)</f>
        <v>146.11892</v>
      </c>
      <c r="AD1528" s="1">
        <f>VLOOKUP($E1528,'Product Naming'!$A$1:$P$58,13,FALSE)</f>
        <v>333.8</v>
      </c>
      <c r="AE1528" s="1" t="str">
        <f>VLOOKUP($E1528,'Product Naming'!$A$1:$P$58,14,FALSE)</f>
        <v>Amino acid</v>
      </c>
      <c r="AF1528" s="1" t="str">
        <f>VLOOKUP($E1528,'Product Naming'!$A$1:$P$58,15,FALSE)</f>
        <v>aKG</v>
      </c>
      <c r="AG1528" s="30" t="str">
        <f>VLOOKUP($E1528,'Product Naming'!$A$1:$P$58,16,FALSE)</f>
        <v>Proton symporter</v>
      </c>
      <c r="AH1528" s="3" t="str">
        <f>VLOOKUP($E1528,'Product Naming'!$A$1:$Q$58,17,FALSE)</f>
        <v>glu__L_c</v>
      </c>
      <c r="AI1528" s="1">
        <f>VLOOKUP($E1528,'Product Parameters'!$A$2:$D$59,2,FALSE)</f>
        <v>1</v>
      </c>
      <c r="AJ1528" s="1">
        <f>VLOOKUP($E1528,'Product Parameters'!$A$2:$D$59,3,FALSE)</f>
        <v>0</v>
      </c>
      <c r="AK1528" s="1">
        <f>VLOOKUP($E1528,'Product Parameters'!$A$2:$D$59,4,FALSE)</f>
        <v>0.12</v>
      </c>
      <c r="AL1528" s="1">
        <f>VLOOKUP($E1528,'Product Parameters'!$A$2:$E$59,5,FALSE)</f>
        <v>40.65</v>
      </c>
      <c r="AM1528" s="1">
        <f>VLOOKUP($E1528,'Product Parameters'!$A$2:$F$59,6,FALSE)</f>
        <v>5</v>
      </c>
      <c r="AN1528" s="1">
        <f>VLOOKUP($C1528,'Substrate Heating'!$A$2:$C$33,3,FALSE)</f>
        <v>1064.1143145599999</v>
      </c>
      <c r="AO1528" s="1">
        <f>VLOOKUP($C1528,'Substrate Heating'!$A$2:$B$33,2,FALSE)</f>
        <v>24.155999999999999</v>
      </c>
      <c r="AP1528" s="1">
        <f>VLOOKUP($C1528,'Substrate Heating'!$A$2:$M$33,13,FALSE)</f>
        <v>5</v>
      </c>
      <c r="AQ1528" s="1">
        <f>VLOOKUP($C1528,'Substrate Heating'!$A$2:$M$33,8,FALSE)</f>
        <v>2</v>
      </c>
      <c r="AR1528" s="1">
        <f t="shared" si="23"/>
        <v>1.1573863636363626</v>
      </c>
    </row>
    <row r="1529" spans="1:44" x14ac:dyDescent="0.2">
      <c r="A1529" s="17" t="s">
        <v>185</v>
      </c>
      <c r="B1529" s="9" t="s">
        <v>35</v>
      </c>
      <c r="C1529" t="s">
        <v>346</v>
      </c>
      <c r="D1529" s="23" t="s">
        <v>338</v>
      </c>
      <c r="E1529" t="s">
        <v>225</v>
      </c>
      <c r="F1529" t="s">
        <v>226</v>
      </c>
      <c r="G1529">
        <v>-10</v>
      </c>
      <c r="H1529">
        <v>-20</v>
      </c>
      <c r="I1529" s="1" t="s">
        <v>40</v>
      </c>
      <c r="J1529">
        <v>3.15</v>
      </c>
      <c r="K1529">
        <v>-10</v>
      </c>
      <c r="L1529">
        <v>-4.93333333333333</v>
      </c>
      <c r="M1529" s="1" t="s">
        <v>40</v>
      </c>
      <c r="N1529">
        <v>-3.4222222222222198</v>
      </c>
      <c r="O1529">
        <v>6.7111111111111104</v>
      </c>
      <c r="P1529"/>
      <c r="Q1529">
        <v>0.67111111111111099</v>
      </c>
      <c r="R1529">
        <v>1.57177903325018</v>
      </c>
      <c r="S1529" s="1" t="str">
        <f>VLOOKUP($E1529,'Product Naming'!$A$1:$P$58,2,FALSE)</f>
        <v>Glycolate</v>
      </c>
      <c r="T1529" s="1" t="str">
        <f>VLOOKUP($E1529,'Product Naming'!$A$1:$P$58,3,FALSE)</f>
        <v>Glycolate</v>
      </c>
      <c r="U1529" s="1" t="str">
        <f>VLOOKUP($E1529,'Product Naming'!$A$1:$P$58,4,FALSE)</f>
        <v>iJO1366</v>
      </c>
      <c r="V1529" s="1" t="str">
        <f>VLOOKUP($E1529,'Product Naming'!$A$1:$P$58,5,FALSE)</f>
        <v>C2H3O3</v>
      </c>
      <c r="W1529" s="1">
        <f>VLOOKUP($E1529,'Product Naming'!$A$1:$P$58,6,FALSE)</f>
        <v>2</v>
      </c>
      <c r="X1529" s="1">
        <f>VLOOKUP($E1529,'Product Naming'!$A$1:$P$58,7,FALSE)</f>
        <v>3</v>
      </c>
      <c r="Y1529" s="1">
        <f>VLOOKUP($E1529,'Product Naming'!$A$1:$P$58,8,FALSE)</f>
        <v>3</v>
      </c>
      <c r="Z1529" s="1">
        <f>VLOOKUP($E1529,'Product Naming'!$A$1:$P$58,9,FALSE)</f>
        <v>0</v>
      </c>
      <c r="AA1529" s="1">
        <f>VLOOKUP($E1529,'Product Naming'!$A$1:$P$58,10,FALSE)</f>
        <v>-1</v>
      </c>
      <c r="AB1529" s="29">
        <f>VLOOKUP($E1529,'Product Naming'!$A$1:$P$58,11,FALSE)</f>
        <v>2.5</v>
      </c>
      <c r="AC1529" s="3">
        <f>VLOOKUP($E1529,'Product Naming'!$A$1:$P$58,12,FALSE)</f>
        <v>75.041920000000005</v>
      </c>
      <c r="AD1529" s="1">
        <f>VLOOKUP($E1529,'Product Naming'!$A$1:$P$58,13,FALSE)</f>
        <v>112</v>
      </c>
      <c r="AE1529" s="1" t="str">
        <f>VLOOKUP($E1529,'Product Naming'!$A$1:$P$58,14,FALSE)</f>
        <v>Carboxylate + Alcohol (hydroxy carboxylate)</v>
      </c>
      <c r="AF1529" s="1" t="str">
        <f>VLOOKUP($E1529,'Product Naming'!$A$1:$P$58,15,FALSE)</f>
        <v>Glyoxylate (*isocitrate)</v>
      </c>
      <c r="AG1529" s="30" t="str">
        <f>VLOOKUP($E1529,'Product Naming'!$A$1:$P$58,16,FALSE)</f>
        <v>Proton symporter</v>
      </c>
      <c r="AH1529" s="3" t="str">
        <f>VLOOKUP($E1529,'Product Naming'!$A$1:$Q$58,17,FALSE)</f>
        <v>glyclt_c</v>
      </c>
      <c r="AI1529" s="1">
        <f>VLOOKUP($E1529,'Product Parameters'!$A$2:$D$59,2,FALSE)</f>
        <v>1</v>
      </c>
      <c r="AJ1529" s="1">
        <f>VLOOKUP($E1529,'Product Parameters'!$A$2:$D$59,3,FALSE)</f>
        <v>0</v>
      </c>
      <c r="AK1529" s="1">
        <f>VLOOKUP($E1529,'Product Parameters'!$A$2:$D$59,4,FALSE)</f>
        <v>0.12</v>
      </c>
      <c r="AL1529" s="1">
        <f>VLOOKUP($E1529,'Product Parameters'!$A$2:$E$59,5,FALSE)</f>
        <v>40.65</v>
      </c>
      <c r="AM1529" s="1">
        <f>VLOOKUP($E1529,'Product Parameters'!$A$2:$F$59,6,FALSE)</f>
        <v>2</v>
      </c>
      <c r="AN1529" s="1">
        <f>VLOOKUP($C1529,'Substrate Heating'!$A$2:$C$33,3,FALSE)</f>
        <v>638.57832580000002</v>
      </c>
      <c r="AO1529" s="1">
        <f>VLOOKUP($C1529,'Substrate Heating'!$A$2:$B$33,2,FALSE)</f>
        <v>19.93</v>
      </c>
      <c r="AP1529" s="1">
        <f>VLOOKUP($C1529,'Substrate Heating'!$A$2:$M$33,13,FALSE)</f>
        <v>6</v>
      </c>
      <c r="AQ1529" s="1">
        <f>VLOOKUP($C1529,'Substrate Heating'!$A$2:$M$33,8,FALSE)</f>
        <v>1</v>
      </c>
      <c r="AR1529" s="1">
        <f t="shared" si="23"/>
        <v>1.342222222222222</v>
      </c>
    </row>
    <row r="1530" spans="1:44" x14ac:dyDescent="0.2">
      <c r="A1530" s="8" t="s">
        <v>34</v>
      </c>
      <c r="B1530" s="9" t="s">
        <v>35</v>
      </c>
      <c r="C1530" s="1" t="s">
        <v>346</v>
      </c>
      <c r="D1530" s="23" t="s">
        <v>338</v>
      </c>
      <c r="E1530" s="1" t="s">
        <v>275</v>
      </c>
      <c r="F1530" s="1" t="s">
        <v>276</v>
      </c>
      <c r="G1530" s="1">
        <v>-10</v>
      </c>
      <c r="H1530" s="1">
        <v>-20</v>
      </c>
      <c r="I1530" s="1" t="s">
        <v>40</v>
      </c>
      <c r="J1530" s="1">
        <v>3.15</v>
      </c>
      <c r="K1530" s="1">
        <v>-10</v>
      </c>
      <c r="L1530" s="1">
        <v>-5.1273631840796003</v>
      </c>
      <c r="M1530" s="1" t="s">
        <v>40</v>
      </c>
      <c r="N1530" s="1">
        <v>-4.8089552238806004</v>
      </c>
      <c r="O1530" s="1">
        <v>4.9363184079601901</v>
      </c>
      <c r="Q1530" s="1">
        <v>0.49363184079601902</v>
      </c>
      <c r="R1530" s="1">
        <v>1.57210962943124</v>
      </c>
      <c r="S1530" s="1" t="str">
        <f>VLOOKUP($E1530,'Product Naming'!$A$1:$P$58,2,FALSE)</f>
        <v>Malonate</v>
      </c>
      <c r="T1530" s="1" t="str">
        <f>VLOOKUP($E1530,'Product Naming'!$A$1:$P$58,3,FALSE)</f>
        <v>Malonate</v>
      </c>
      <c r="U1530" s="1" t="str">
        <f>VLOOKUP($E1530,'Product Naming'!$A$1:$P$58,4,FALSE)</f>
        <v>A</v>
      </c>
      <c r="V1530" s="1" t="str">
        <f>VLOOKUP($E1530,'Product Naming'!$A$1:$P$58,5,FALSE)</f>
        <v>C3H2O4</v>
      </c>
      <c r="W1530" s="1">
        <f>VLOOKUP($E1530,'Product Naming'!$A$1:$P$58,6,FALSE)</f>
        <v>3</v>
      </c>
      <c r="X1530" s="1">
        <f>VLOOKUP($E1530,'Product Naming'!$A$1:$P$58,7,FALSE)</f>
        <v>2</v>
      </c>
      <c r="Y1530" s="1">
        <f>VLOOKUP($E1530,'Product Naming'!$A$1:$P$58,8,FALSE)</f>
        <v>4</v>
      </c>
      <c r="Z1530" s="1">
        <f>VLOOKUP($E1530,'Product Naming'!$A$1:$P$58,9,FALSE)</f>
        <v>0</v>
      </c>
      <c r="AA1530" s="1">
        <f>VLOOKUP($E1530,'Product Naming'!$A$1:$P$58,10,FALSE)</f>
        <v>-2</v>
      </c>
      <c r="AB1530" s="29">
        <f>VLOOKUP($E1530,'Product Naming'!$A$1:$P$58,11,FALSE)</f>
        <v>2</v>
      </c>
      <c r="AC1530" s="3">
        <f>VLOOKUP($E1530,'Product Naming'!$A$1:$P$58,12,FALSE)</f>
        <v>102.04378</v>
      </c>
      <c r="AD1530" s="1">
        <f>VLOOKUP($E1530,'Product Naming'!$A$1:$P$58,13,FALSE)</f>
        <v>199</v>
      </c>
      <c r="AE1530" s="1" t="str">
        <f>VLOOKUP($E1530,'Product Naming'!$A$1:$P$58,14,FALSE)</f>
        <v>Dicarboxylate</v>
      </c>
      <c r="AF1530" s="1" t="str">
        <f>VLOOKUP($E1530,'Product Naming'!$A$1:$P$58,15,FALSE)</f>
        <v>Oxaloacetate</v>
      </c>
      <c r="AG1530" s="30" t="str">
        <f>VLOOKUP($E1530,'Product Naming'!$A$1:$P$58,16,FALSE)</f>
        <v>Proton symporter</v>
      </c>
      <c r="AH1530" s="3" t="str">
        <f>VLOOKUP($E1530,'Product Naming'!$A$1:$Q$58,17,FALSE)</f>
        <v>malon_c</v>
      </c>
      <c r="AI1530" s="1">
        <f>VLOOKUP($E1530,'Product Parameters'!$A$2:$D$59,2,FALSE)</f>
        <v>1</v>
      </c>
      <c r="AJ1530" s="1">
        <f>VLOOKUP($E1530,'Product Parameters'!$A$2:$D$59,3,FALSE)</f>
        <v>0</v>
      </c>
      <c r="AK1530" s="1">
        <f>VLOOKUP($E1530,'Product Parameters'!$A$2:$D$59,4,FALSE)</f>
        <v>0.12</v>
      </c>
      <c r="AL1530" s="1">
        <f>VLOOKUP($E1530,'Product Parameters'!$A$2:$E$59,5,FALSE)</f>
        <v>40.65</v>
      </c>
      <c r="AM1530" s="1">
        <f>VLOOKUP($E1530,'Product Parameters'!$A$2:$F$59,6,FALSE)</f>
        <v>3</v>
      </c>
      <c r="AN1530" s="1">
        <f>VLOOKUP($C1530,'Substrate Heating'!$A$2:$C$33,3,FALSE)</f>
        <v>638.57832580000002</v>
      </c>
      <c r="AO1530" s="1">
        <f>VLOOKUP($C1530,'Substrate Heating'!$A$2:$B$33,2,FALSE)</f>
        <v>19.93</v>
      </c>
      <c r="AP1530" s="1">
        <f>VLOOKUP($C1530,'Substrate Heating'!$A$2:$M$33,13,FALSE)</f>
        <v>6</v>
      </c>
      <c r="AQ1530" s="1">
        <f>VLOOKUP($C1530,'Substrate Heating'!$A$2:$M$33,8,FALSE)</f>
        <v>1</v>
      </c>
      <c r="AR1530" s="1">
        <f t="shared" si="23"/>
        <v>1.4808955223880571</v>
      </c>
    </row>
    <row r="1531" spans="1:44" x14ac:dyDescent="0.2">
      <c r="A1531" s="8" t="s">
        <v>34</v>
      </c>
      <c r="B1531" s="9" t="s">
        <v>35</v>
      </c>
      <c r="C1531" s="1" t="s">
        <v>347</v>
      </c>
      <c r="D1531" s="23" t="s">
        <v>338</v>
      </c>
      <c r="E1531" s="1" t="s">
        <v>275</v>
      </c>
      <c r="F1531" s="1" t="s">
        <v>276</v>
      </c>
      <c r="G1531" s="1">
        <v>-10</v>
      </c>
      <c r="H1531" s="1">
        <v>-20</v>
      </c>
      <c r="I1531" s="1" t="s">
        <v>40</v>
      </c>
      <c r="J1531" s="1">
        <v>3.15</v>
      </c>
      <c r="K1531" s="1">
        <v>-10</v>
      </c>
      <c r="L1531" s="1">
        <v>-5.1273631840796003</v>
      </c>
      <c r="M1531" s="1" t="s">
        <v>40</v>
      </c>
      <c r="N1531" s="1">
        <v>-4.8089552238806004</v>
      </c>
      <c r="O1531" s="1">
        <v>4.9363184079601998</v>
      </c>
      <c r="Q1531" s="1">
        <v>0.49363184079602002</v>
      </c>
      <c r="R1531" s="1">
        <v>1.57210962943124</v>
      </c>
      <c r="S1531" s="1" t="str">
        <f>VLOOKUP($E1531,'Product Naming'!$A$1:$P$58,2,FALSE)</f>
        <v>Malonate</v>
      </c>
      <c r="T1531" s="1" t="str">
        <f>VLOOKUP($E1531,'Product Naming'!$A$1:$P$58,3,FALSE)</f>
        <v>Malonate</v>
      </c>
      <c r="U1531" s="1" t="str">
        <f>VLOOKUP($E1531,'Product Naming'!$A$1:$P$58,4,FALSE)</f>
        <v>A</v>
      </c>
      <c r="V1531" s="1" t="str">
        <f>VLOOKUP($E1531,'Product Naming'!$A$1:$P$58,5,FALSE)</f>
        <v>C3H2O4</v>
      </c>
      <c r="W1531" s="1">
        <f>VLOOKUP($E1531,'Product Naming'!$A$1:$P$58,6,FALSE)</f>
        <v>3</v>
      </c>
      <c r="X1531" s="1">
        <f>VLOOKUP($E1531,'Product Naming'!$A$1:$P$58,7,FALSE)</f>
        <v>2</v>
      </c>
      <c r="Y1531" s="1">
        <f>VLOOKUP($E1531,'Product Naming'!$A$1:$P$58,8,FALSE)</f>
        <v>4</v>
      </c>
      <c r="Z1531" s="1">
        <f>VLOOKUP($E1531,'Product Naming'!$A$1:$P$58,9,FALSE)</f>
        <v>0</v>
      </c>
      <c r="AA1531" s="1">
        <f>VLOOKUP($E1531,'Product Naming'!$A$1:$P$58,10,FALSE)</f>
        <v>-2</v>
      </c>
      <c r="AB1531" s="29">
        <f>VLOOKUP($E1531,'Product Naming'!$A$1:$P$58,11,FALSE)</f>
        <v>2</v>
      </c>
      <c r="AC1531" s="3">
        <f>VLOOKUP($E1531,'Product Naming'!$A$1:$P$58,12,FALSE)</f>
        <v>102.04378</v>
      </c>
      <c r="AD1531" s="1">
        <f>VLOOKUP($E1531,'Product Naming'!$A$1:$P$58,13,FALSE)</f>
        <v>199</v>
      </c>
      <c r="AE1531" s="1" t="str">
        <f>VLOOKUP($E1531,'Product Naming'!$A$1:$P$58,14,FALSE)</f>
        <v>Dicarboxylate</v>
      </c>
      <c r="AF1531" s="1" t="str">
        <f>VLOOKUP($E1531,'Product Naming'!$A$1:$P$58,15,FALSE)</f>
        <v>Oxaloacetate</v>
      </c>
      <c r="AG1531" s="30" t="str">
        <f>VLOOKUP($E1531,'Product Naming'!$A$1:$P$58,16,FALSE)</f>
        <v>Proton symporter</v>
      </c>
      <c r="AH1531" s="3" t="str">
        <f>VLOOKUP($E1531,'Product Naming'!$A$1:$Q$58,17,FALSE)</f>
        <v>malon_c</v>
      </c>
      <c r="AI1531" s="1">
        <f>VLOOKUP($E1531,'Product Parameters'!$A$2:$D$59,2,FALSE)</f>
        <v>1</v>
      </c>
      <c r="AJ1531" s="1">
        <f>VLOOKUP($E1531,'Product Parameters'!$A$2:$D$59,3,FALSE)</f>
        <v>0</v>
      </c>
      <c r="AK1531" s="1">
        <f>VLOOKUP($E1531,'Product Parameters'!$A$2:$D$59,4,FALSE)</f>
        <v>0.12</v>
      </c>
      <c r="AL1531" s="1">
        <f>VLOOKUP($E1531,'Product Parameters'!$A$2:$E$59,5,FALSE)</f>
        <v>40.65</v>
      </c>
      <c r="AM1531" s="1">
        <f>VLOOKUP($E1531,'Product Parameters'!$A$2:$F$59,6,FALSE)</f>
        <v>3</v>
      </c>
      <c r="AN1531" s="1">
        <f>VLOOKUP($C1531,'Substrate Heating'!$A$2:$C$33,3,FALSE)</f>
        <v>638.57832580000002</v>
      </c>
      <c r="AO1531" s="1">
        <f>VLOOKUP($C1531,'Substrate Heating'!$A$2:$B$33,2,FALSE)</f>
        <v>19.93</v>
      </c>
      <c r="AP1531" s="1">
        <f>VLOOKUP($C1531,'Substrate Heating'!$A$2:$M$33,13,FALSE)</f>
        <v>6</v>
      </c>
      <c r="AQ1531" s="1">
        <f>VLOOKUP($C1531,'Substrate Heating'!$A$2:$M$33,8,FALSE)</f>
        <v>1</v>
      </c>
      <c r="AR1531" s="1">
        <f t="shared" si="23"/>
        <v>1.48089552238806</v>
      </c>
    </row>
    <row r="1532" spans="1:44" x14ac:dyDescent="0.2">
      <c r="A1532" s="17" t="s">
        <v>185</v>
      </c>
      <c r="B1532" s="9" t="s">
        <v>35</v>
      </c>
      <c r="C1532" t="s">
        <v>346</v>
      </c>
      <c r="D1532" s="23" t="s">
        <v>338</v>
      </c>
      <c r="E1532" t="s">
        <v>269</v>
      </c>
      <c r="F1532" t="s">
        <v>270</v>
      </c>
      <c r="G1532">
        <v>-10</v>
      </c>
      <c r="H1532">
        <v>-20</v>
      </c>
      <c r="I1532" s="1" t="s">
        <v>40</v>
      </c>
      <c r="J1532">
        <v>3.15</v>
      </c>
      <c r="K1532">
        <v>-10</v>
      </c>
      <c r="L1532">
        <v>-3.3270588235294101</v>
      </c>
      <c r="M1532" s="1" t="s">
        <v>40</v>
      </c>
      <c r="N1532">
        <v>-5.5639215686274497</v>
      </c>
      <c r="O1532">
        <v>3.8909803921568602</v>
      </c>
      <c r="P1532"/>
      <c r="Q1532">
        <v>0.38909803921568598</v>
      </c>
      <c r="R1532">
        <v>1.6038124580417401</v>
      </c>
      <c r="S1532" s="1" t="str">
        <f>VLOOKUP($E1532,'Product Naming'!$A$1:$P$58,2,FALSE)</f>
        <v>Malate_L</v>
      </c>
      <c r="T1532" s="1" t="str">
        <f>VLOOKUP($E1532,'Product Naming'!$A$1:$P$58,3,FALSE)</f>
        <v>L-Malate</v>
      </c>
      <c r="U1532" s="1" t="str">
        <f>VLOOKUP($E1532,'Product Naming'!$A$1:$P$58,4,FALSE)</f>
        <v>iJO1366</v>
      </c>
      <c r="V1532" s="1" t="str">
        <f>VLOOKUP($E1532,'Product Naming'!$A$1:$P$58,5,FALSE)</f>
        <v>C4H4O5</v>
      </c>
      <c r="W1532" s="1">
        <f>VLOOKUP($E1532,'Product Naming'!$A$1:$P$58,6,FALSE)</f>
        <v>4</v>
      </c>
      <c r="X1532" s="1">
        <f>VLOOKUP($E1532,'Product Naming'!$A$1:$P$58,7,FALSE)</f>
        <v>4</v>
      </c>
      <c r="Y1532" s="1">
        <f>VLOOKUP($E1532,'Product Naming'!$A$1:$P$58,8,FALSE)</f>
        <v>5</v>
      </c>
      <c r="Z1532" s="1">
        <f>VLOOKUP($E1532,'Product Naming'!$A$1:$P$58,9,FALSE)</f>
        <v>0</v>
      </c>
      <c r="AA1532" s="1">
        <f>VLOOKUP($E1532,'Product Naming'!$A$1:$P$58,10,FALSE)</f>
        <v>-2</v>
      </c>
      <c r="AB1532" s="29">
        <f>VLOOKUP($E1532,'Product Naming'!$A$1:$P$58,11,FALSE)</f>
        <v>2.5</v>
      </c>
      <c r="AC1532" s="3">
        <f>VLOOKUP($E1532,'Product Naming'!$A$1:$P$58,12,FALSE)</f>
        <v>132.06916000000001</v>
      </c>
      <c r="AD1532" s="1" t="str">
        <f>VLOOKUP($E1532,'Product Naming'!$A$1:$P$58,13,FALSE)</f>
        <v>NA</v>
      </c>
      <c r="AE1532" s="1" t="str">
        <f>VLOOKUP($E1532,'Product Naming'!$A$1:$P$58,14,FALSE)</f>
        <v>Dicarboxylate</v>
      </c>
      <c r="AF1532" s="1" t="str">
        <f>VLOOKUP($E1532,'Product Naming'!$A$1:$P$58,15,FALSE)</f>
        <v>Oxaloacetate</v>
      </c>
      <c r="AG1532" s="30" t="str">
        <f>VLOOKUP($E1532,'Product Naming'!$A$1:$P$58,16,FALSE)</f>
        <v>Proton symporter</v>
      </c>
      <c r="AH1532" s="3" t="str">
        <f>VLOOKUP($E1532,'Product Naming'!$A$1:$Q$58,17,FALSE)</f>
        <v>mal__L_e</v>
      </c>
      <c r="AI1532" s="1">
        <f>VLOOKUP($E1532,'Product Parameters'!$A$2:$D$59,2,FALSE)</f>
        <v>1</v>
      </c>
      <c r="AJ1532" s="1">
        <f>VLOOKUP($E1532,'Product Parameters'!$A$2:$D$59,3,FALSE)</f>
        <v>0</v>
      </c>
      <c r="AK1532" s="1">
        <f>VLOOKUP($E1532,'Product Parameters'!$A$2:$D$59,4,FALSE)</f>
        <v>0.12</v>
      </c>
      <c r="AL1532" s="1">
        <f>VLOOKUP($E1532,'Product Parameters'!$A$2:$E$59,5,FALSE)</f>
        <v>40.65</v>
      </c>
      <c r="AM1532" s="1">
        <f>VLOOKUP($E1532,'Product Parameters'!$A$2:$F$59,6,FALSE)</f>
        <v>4</v>
      </c>
      <c r="AN1532" s="1">
        <f>VLOOKUP($C1532,'Substrate Heating'!$A$2:$C$33,3,FALSE)</f>
        <v>638.57832580000002</v>
      </c>
      <c r="AO1532" s="1">
        <f>VLOOKUP($C1532,'Substrate Heating'!$A$2:$B$33,2,FALSE)</f>
        <v>19.93</v>
      </c>
      <c r="AP1532" s="1">
        <f>VLOOKUP($C1532,'Substrate Heating'!$A$2:$M$33,13,FALSE)</f>
        <v>6</v>
      </c>
      <c r="AQ1532" s="1">
        <f>VLOOKUP($C1532,'Substrate Heating'!$A$2:$M$33,8,FALSE)</f>
        <v>1</v>
      </c>
      <c r="AR1532" s="1">
        <f t="shared" si="23"/>
        <v>1.5563921568627439</v>
      </c>
    </row>
    <row r="1533" spans="1:44" x14ac:dyDescent="0.2">
      <c r="A1533" s="17" t="s">
        <v>185</v>
      </c>
      <c r="B1533" s="9" t="s">
        <v>35</v>
      </c>
      <c r="C1533" t="s">
        <v>347</v>
      </c>
      <c r="D1533" s="23" t="s">
        <v>338</v>
      </c>
      <c r="E1533" t="s">
        <v>269</v>
      </c>
      <c r="F1533" t="s">
        <v>270</v>
      </c>
      <c r="G1533">
        <v>-10</v>
      </c>
      <c r="H1533">
        <v>-20</v>
      </c>
      <c r="I1533" s="1" t="s">
        <v>40</v>
      </c>
      <c r="J1533">
        <v>3.15</v>
      </c>
      <c r="K1533">
        <v>-10</v>
      </c>
      <c r="L1533">
        <v>-3.3270588235294101</v>
      </c>
      <c r="M1533" s="1" t="s">
        <v>40</v>
      </c>
      <c r="N1533">
        <v>-5.5639215686274497</v>
      </c>
      <c r="O1533">
        <v>3.8909803921568602</v>
      </c>
      <c r="P1533"/>
      <c r="Q1533">
        <v>0.38909803921568598</v>
      </c>
      <c r="R1533">
        <v>1.6038124580417401</v>
      </c>
      <c r="S1533" s="1" t="str">
        <f>VLOOKUP($E1533,'Product Naming'!$A$1:$P$58,2,FALSE)</f>
        <v>Malate_L</v>
      </c>
      <c r="T1533" s="1" t="str">
        <f>VLOOKUP($E1533,'Product Naming'!$A$1:$P$58,3,FALSE)</f>
        <v>L-Malate</v>
      </c>
      <c r="U1533" s="1" t="str">
        <f>VLOOKUP($E1533,'Product Naming'!$A$1:$P$58,4,FALSE)</f>
        <v>iJO1366</v>
      </c>
      <c r="V1533" s="1" t="str">
        <f>VLOOKUP($E1533,'Product Naming'!$A$1:$P$58,5,FALSE)</f>
        <v>C4H4O5</v>
      </c>
      <c r="W1533" s="1">
        <f>VLOOKUP($E1533,'Product Naming'!$A$1:$P$58,6,FALSE)</f>
        <v>4</v>
      </c>
      <c r="X1533" s="1">
        <f>VLOOKUP($E1533,'Product Naming'!$A$1:$P$58,7,FALSE)</f>
        <v>4</v>
      </c>
      <c r="Y1533" s="1">
        <f>VLOOKUP($E1533,'Product Naming'!$A$1:$P$58,8,FALSE)</f>
        <v>5</v>
      </c>
      <c r="Z1533" s="1">
        <f>VLOOKUP($E1533,'Product Naming'!$A$1:$P$58,9,FALSE)</f>
        <v>0</v>
      </c>
      <c r="AA1533" s="1">
        <f>VLOOKUP($E1533,'Product Naming'!$A$1:$P$58,10,FALSE)</f>
        <v>-2</v>
      </c>
      <c r="AB1533" s="29">
        <f>VLOOKUP($E1533,'Product Naming'!$A$1:$P$58,11,FALSE)</f>
        <v>2.5</v>
      </c>
      <c r="AC1533" s="3">
        <f>VLOOKUP($E1533,'Product Naming'!$A$1:$P$58,12,FALSE)</f>
        <v>132.06916000000001</v>
      </c>
      <c r="AD1533" s="1" t="str">
        <f>VLOOKUP($E1533,'Product Naming'!$A$1:$P$58,13,FALSE)</f>
        <v>NA</v>
      </c>
      <c r="AE1533" s="1" t="str">
        <f>VLOOKUP($E1533,'Product Naming'!$A$1:$P$58,14,FALSE)</f>
        <v>Dicarboxylate</v>
      </c>
      <c r="AF1533" s="1" t="str">
        <f>VLOOKUP($E1533,'Product Naming'!$A$1:$P$58,15,FALSE)</f>
        <v>Oxaloacetate</v>
      </c>
      <c r="AG1533" s="30" t="str">
        <f>VLOOKUP($E1533,'Product Naming'!$A$1:$P$58,16,FALSE)</f>
        <v>Proton symporter</v>
      </c>
      <c r="AH1533" s="3" t="str">
        <f>VLOOKUP($E1533,'Product Naming'!$A$1:$Q$58,17,FALSE)</f>
        <v>mal__L_e</v>
      </c>
      <c r="AI1533" s="1">
        <f>VLOOKUP($E1533,'Product Parameters'!$A$2:$D$59,2,FALSE)</f>
        <v>1</v>
      </c>
      <c r="AJ1533" s="1">
        <f>VLOOKUP($E1533,'Product Parameters'!$A$2:$D$59,3,FALSE)</f>
        <v>0</v>
      </c>
      <c r="AK1533" s="1">
        <f>VLOOKUP($E1533,'Product Parameters'!$A$2:$D$59,4,FALSE)</f>
        <v>0.12</v>
      </c>
      <c r="AL1533" s="1">
        <f>VLOOKUP($E1533,'Product Parameters'!$A$2:$E$59,5,FALSE)</f>
        <v>40.65</v>
      </c>
      <c r="AM1533" s="1">
        <f>VLOOKUP($E1533,'Product Parameters'!$A$2:$F$59,6,FALSE)</f>
        <v>4</v>
      </c>
      <c r="AN1533" s="1">
        <f>VLOOKUP($C1533,'Substrate Heating'!$A$2:$C$33,3,FALSE)</f>
        <v>638.57832580000002</v>
      </c>
      <c r="AO1533" s="1">
        <f>VLOOKUP($C1533,'Substrate Heating'!$A$2:$B$33,2,FALSE)</f>
        <v>19.93</v>
      </c>
      <c r="AP1533" s="1">
        <f>VLOOKUP($C1533,'Substrate Heating'!$A$2:$M$33,13,FALSE)</f>
        <v>6</v>
      </c>
      <c r="AQ1533" s="1">
        <f>VLOOKUP($C1533,'Substrate Heating'!$A$2:$M$33,8,FALSE)</f>
        <v>1</v>
      </c>
      <c r="AR1533" s="1">
        <f t="shared" si="23"/>
        <v>1.5563921568627439</v>
      </c>
    </row>
    <row r="1534" spans="1:44" x14ac:dyDescent="0.2">
      <c r="A1534" s="17" t="s">
        <v>185</v>
      </c>
      <c r="B1534" s="9" t="s">
        <v>35</v>
      </c>
      <c r="C1534" t="s">
        <v>36</v>
      </c>
      <c r="D1534" s="10" t="s">
        <v>37</v>
      </c>
      <c r="E1534" t="s">
        <v>318</v>
      </c>
      <c r="F1534" t="s">
        <v>319</v>
      </c>
      <c r="G1534">
        <v>-10</v>
      </c>
      <c r="H1534">
        <v>-20</v>
      </c>
      <c r="I1534" s="1" t="s">
        <v>40</v>
      </c>
      <c r="J1534">
        <v>3.15</v>
      </c>
      <c r="K1534">
        <v>-10</v>
      </c>
      <c r="L1534">
        <v>-6.4818181818181797</v>
      </c>
      <c r="M1534" s="1" t="s">
        <v>40</v>
      </c>
      <c r="N1534">
        <v>-4.6909090909090896</v>
      </c>
      <c r="O1534">
        <v>6.1727272727272702</v>
      </c>
      <c r="P1534"/>
      <c r="Q1534">
        <v>0.61727272727272697</v>
      </c>
      <c r="R1534">
        <v>1.6264263724805099</v>
      </c>
      <c r="S1534" s="1" t="str">
        <f>VLOOKUP($E1534,'Product Naming'!$A$1:$P$58,2,FALSE)</f>
        <v>Succinate</v>
      </c>
      <c r="T1534" s="1" t="str">
        <f>VLOOKUP($E1534,'Product Naming'!$A$1:$P$58,3,FALSE)</f>
        <v>Succinate</v>
      </c>
      <c r="U1534" s="1" t="str">
        <f>VLOOKUP($E1534,'Product Naming'!$A$1:$P$58,4,FALSE)</f>
        <v>iJO1366</v>
      </c>
      <c r="V1534" s="1" t="str">
        <f>VLOOKUP($E1534,'Product Naming'!$A$1:$P$58,5,FALSE)</f>
        <v>C4H4O4</v>
      </c>
      <c r="W1534" s="1">
        <f>VLOOKUP($E1534,'Product Naming'!$A$1:$P$58,6,FALSE)</f>
        <v>4</v>
      </c>
      <c r="X1534" s="1">
        <f>VLOOKUP($E1534,'Product Naming'!$A$1:$P$58,7,FALSE)</f>
        <v>4</v>
      </c>
      <c r="Y1534" s="1">
        <f>VLOOKUP($E1534,'Product Naming'!$A$1:$P$58,8,FALSE)</f>
        <v>4</v>
      </c>
      <c r="Z1534" s="1">
        <f>VLOOKUP($E1534,'Product Naming'!$A$1:$P$58,9,FALSE)</f>
        <v>0</v>
      </c>
      <c r="AA1534" s="1">
        <f>VLOOKUP($E1534,'Product Naming'!$A$1:$P$58,10,FALSE)</f>
        <v>-2</v>
      </c>
      <c r="AB1534" s="29">
        <f>VLOOKUP($E1534,'Product Naming'!$A$1:$P$58,11,FALSE)</f>
        <v>3</v>
      </c>
      <c r="AC1534" s="3">
        <f>VLOOKUP($E1534,'Product Naming'!$A$1:$P$58,12,FALSE)</f>
        <v>116.07016</v>
      </c>
      <c r="AD1534" s="1">
        <f>VLOOKUP($E1534,'Product Naming'!$A$1:$P$58,13,FALSE)</f>
        <v>235</v>
      </c>
      <c r="AE1534" s="1" t="str">
        <f>VLOOKUP($E1534,'Product Naming'!$A$1:$P$58,14,FALSE)</f>
        <v>Dicarboxylate</v>
      </c>
      <c r="AF1534" s="1" t="str">
        <f>VLOOKUP($E1534,'Product Naming'!$A$1:$P$58,15,FALSE)</f>
        <v>Oxaloacetate</v>
      </c>
      <c r="AG1534" s="30" t="str">
        <f>VLOOKUP($E1534,'Product Naming'!$A$1:$P$58,16,FALSE)</f>
        <v>Proton symporter</v>
      </c>
      <c r="AH1534" s="3" t="str">
        <f>VLOOKUP($E1534,'Product Naming'!$A$1:$Q$58,17,FALSE)</f>
        <v>succ_c</v>
      </c>
      <c r="AI1534" s="1">
        <f>VLOOKUP($E1534,'Product Parameters'!$A$2:$D$59,2,FALSE)</f>
        <v>1</v>
      </c>
      <c r="AJ1534" s="1">
        <f>VLOOKUP($E1534,'Product Parameters'!$A$2:$D$59,3,FALSE)</f>
        <v>0</v>
      </c>
      <c r="AK1534" s="1">
        <f>VLOOKUP($E1534,'Product Parameters'!$A$2:$D$59,4,FALSE)</f>
        <v>0.12</v>
      </c>
      <c r="AL1534" s="1">
        <f>VLOOKUP($E1534,'Product Parameters'!$A$2:$E$59,5,FALSE)</f>
        <v>40.65</v>
      </c>
      <c r="AM1534" s="1">
        <f>VLOOKUP($E1534,'Product Parameters'!$A$2:$F$59,6,FALSE)</f>
        <v>4</v>
      </c>
      <c r="AN1534" s="1">
        <f>VLOOKUP($C1534,'Substrate Heating'!$A$2:$C$33,3,FALSE)</f>
        <v>1064.1143145599999</v>
      </c>
      <c r="AO1534" s="1">
        <f>VLOOKUP($C1534,'Substrate Heating'!$A$2:$B$33,2,FALSE)</f>
        <v>24.155999999999999</v>
      </c>
      <c r="AP1534" s="1">
        <f>VLOOKUP($C1534,'Substrate Heating'!$A$2:$M$33,13,FALSE)</f>
        <v>5</v>
      </c>
      <c r="AQ1534" s="1">
        <f>VLOOKUP($C1534,'Substrate Heating'!$A$2:$M$33,8,FALSE)</f>
        <v>2</v>
      </c>
      <c r="AR1534" s="1">
        <f t="shared" si="23"/>
        <v>1.2345454545454539</v>
      </c>
    </row>
    <row r="1535" spans="1:44" x14ac:dyDescent="0.2">
      <c r="A1535" s="17" t="s">
        <v>185</v>
      </c>
      <c r="B1535" s="9" t="s">
        <v>35</v>
      </c>
      <c r="C1535" t="s">
        <v>332</v>
      </c>
      <c r="D1535" s="10" t="s">
        <v>37</v>
      </c>
      <c r="E1535" t="s">
        <v>215</v>
      </c>
      <c r="F1535" t="s">
        <v>216</v>
      </c>
      <c r="G1535">
        <v>-10</v>
      </c>
      <c r="H1535">
        <v>-20</v>
      </c>
      <c r="I1535" s="1" t="s">
        <v>40</v>
      </c>
      <c r="J1535">
        <v>3.15</v>
      </c>
      <c r="K1535">
        <v>-10</v>
      </c>
      <c r="L1535">
        <v>-6.2440298507462701</v>
      </c>
      <c r="M1535" s="1" t="s">
        <v>40</v>
      </c>
      <c r="N1535">
        <v>-6.3955223880596996</v>
      </c>
      <c r="O1535">
        <v>5.2791044776119396</v>
      </c>
      <c r="P1535"/>
      <c r="Q1535">
        <v>0.527910447761194</v>
      </c>
      <c r="R1535">
        <v>1.6744517273714801</v>
      </c>
      <c r="S1535" s="1" t="str">
        <f>VLOOKUP($E1535,'Product Naming'!$A$1:$P$58,2,FALSE)</f>
        <v>Glutamate_L</v>
      </c>
      <c r="T1535" s="1" t="str">
        <f>VLOOKUP($E1535,'Product Naming'!$A$1:$P$58,3,FALSE)</f>
        <v>L-Glutamate</v>
      </c>
      <c r="U1535" s="1" t="str">
        <f>VLOOKUP($E1535,'Product Naming'!$A$1:$P$58,4,FALSE)</f>
        <v>iJO1366</v>
      </c>
      <c r="V1535" s="1" t="str">
        <f>VLOOKUP($E1535,'Product Naming'!$A$1:$P$58,5,FALSE)</f>
        <v>C5H8NO4</v>
      </c>
      <c r="W1535" s="1">
        <f>VLOOKUP($E1535,'Product Naming'!$A$1:$P$58,6,FALSE)</f>
        <v>5</v>
      </c>
      <c r="X1535" s="1">
        <f>VLOOKUP($E1535,'Product Naming'!$A$1:$P$58,7,FALSE)</f>
        <v>8</v>
      </c>
      <c r="Y1535" s="1">
        <f>VLOOKUP($E1535,'Product Naming'!$A$1:$P$58,8,FALSE)</f>
        <v>4</v>
      </c>
      <c r="Z1535" s="1">
        <f>VLOOKUP($E1535,'Product Naming'!$A$1:$P$58,9,FALSE)</f>
        <v>1</v>
      </c>
      <c r="AA1535" s="1">
        <f>VLOOKUP($E1535,'Product Naming'!$A$1:$P$58,10,FALSE)</f>
        <v>-1</v>
      </c>
      <c r="AB1535" s="29">
        <f>VLOOKUP($E1535,'Product Naming'!$A$1:$P$58,11,FALSE)</f>
        <v>3.4</v>
      </c>
      <c r="AC1535" s="3">
        <f>VLOOKUP($E1535,'Product Naming'!$A$1:$P$58,12,FALSE)</f>
        <v>146.11892</v>
      </c>
      <c r="AD1535" s="1">
        <f>VLOOKUP($E1535,'Product Naming'!$A$1:$P$58,13,FALSE)</f>
        <v>333.8</v>
      </c>
      <c r="AE1535" s="1" t="str">
        <f>VLOOKUP($E1535,'Product Naming'!$A$1:$P$58,14,FALSE)</f>
        <v>Amino acid</v>
      </c>
      <c r="AF1535" s="1" t="str">
        <f>VLOOKUP($E1535,'Product Naming'!$A$1:$P$58,15,FALSE)</f>
        <v>aKG</v>
      </c>
      <c r="AG1535" s="30" t="str">
        <f>VLOOKUP($E1535,'Product Naming'!$A$1:$P$58,16,FALSE)</f>
        <v>Proton symporter</v>
      </c>
      <c r="AH1535" s="3" t="str">
        <f>VLOOKUP($E1535,'Product Naming'!$A$1:$Q$58,17,FALSE)</f>
        <v>glu__L_c</v>
      </c>
      <c r="AI1535" s="1">
        <f>VLOOKUP($E1535,'Product Parameters'!$A$2:$D$59,2,FALSE)</f>
        <v>1</v>
      </c>
      <c r="AJ1535" s="1">
        <f>VLOOKUP($E1535,'Product Parameters'!$A$2:$D$59,3,FALSE)</f>
        <v>0</v>
      </c>
      <c r="AK1535" s="1">
        <f>VLOOKUP($E1535,'Product Parameters'!$A$2:$D$59,4,FALSE)</f>
        <v>0.12</v>
      </c>
      <c r="AL1535" s="1">
        <f>VLOOKUP($E1535,'Product Parameters'!$A$2:$E$59,5,FALSE)</f>
        <v>40.65</v>
      </c>
      <c r="AM1535" s="1">
        <f>VLOOKUP($E1535,'Product Parameters'!$A$2:$F$59,6,FALSE)</f>
        <v>5</v>
      </c>
      <c r="AN1535" s="1">
        <f>VLOOKUP($C1535,'Substrate Heating'!$A$2:$C$33,3,FALSE)</f>
        <v>1230.0006480000002</v>
      </c>
      <c r="AO1535" s="1">
        <f>VLOOKUP($C1535,'Substrate Heating'!$A$2:$B$33,2,FALSE)</f>
        <v>26.7</v>
      </c>
      <c r="AP1535" s="1">
        <f>VLOOKUP($C1535,'Substrate Heating'!$A$2:$M$33,13,FALSE)</f>
        <v>6</v>
      </c>
      <c r="AQ1535" s="1">
        <f>VLOOKUP($C1535,'Substrate Heating'!$A$2:$M$33,8,FALSE)</f>
        <v>2</v>
      </c>
      <c r="AR1535" s="1">
        <f t="shared" si="23"/>
        <v>1.3197761194029849</v>
      </c>
    </row>
    <row r="1536" spans="1:44" x14ac:dyDescent="0.2">
      <c r="A1536" s="17" t="s">
        <v>185</v>
      </c>
      <c r="B1536" s="9" t="s">
        <v>35</v>
      </c>
      <c r="C1536" t="s">
        <v>332</v>
      </c>
      <c r="D1536" s="10" t="s">
        <v>37</v>
      </c>
      <c r="E1536" t="s">
        <v>318</v>
      </c>
      <c r="F1536" t="s">
        <v>319</v>
      </c>
      <c r="G1536">
        <v>-10</v>
      </c>
      <c r="H1536">
        <v>-20</v>
      </c>
      <c r="I1536" s="1" t="s">
        <v>40</v>
      </c>
      <c r="J1536">
        <v>3.15</v>
      </c>
      <c r="K1536">
        <v>-10</v>
      </c>
      <c r="L1536">
        <v>-4.68333333333333</v>
      </c>
      <c r="M1536" s="1" t="s">
        <v>40</v>
      </c>
      <c r="N1536">
        <v>-8.93333333333333</v>
      </c>
      <c r="O1536">
        <v>7.2333333333333396</v>
      </c>
      <c r="P1536"/>
      <c r="Q1536">
        <v>0.72333333333333405</v>
      </c>
      <c r="R1536">
        <v>1.8224892838267901</v>
      </c>
      <c r="S1536" s="1" t="str">
        <f>VLOOKUP($E1536,'Product Naming'!$A$1:$P$58,2,FALSE)</f>
        <v>Succinate</v>
      </c>
      <c r="T1536" s="1" t="str">
        <f>VLOOKUP($E1536,'Product Naming'!$A$1:$P$58,3,FALSE)</f>
        <v>Succinate</v>
      </c>
      <c r="U1536" s="1" t="str">
        <f>VLOOKUP($E1536,'Product Naming'!$A$1:$P$58,4,FALSE)</f>
        <v>iJO1366</v>
      </c>
      <c r="V1536" s="1" t="str">
        <f>VLOOKUP($E1536,'Product Naming'!$A$1:$P$58,5,FALSE)</f>
        <v>C4H4O4</v>
      </c>
      <c r="W1536" s="1">
        <f>VLOOKUP($E1536,'Product Naming'!$A$1:$P$58,6,FALSE)</f>
        <v>4</v>
      </c>
      <c r="X1536" s="1">
        <f>VLOOKUP($E1536,'Product Naming'!$A$1:$P$58,7,FALSE)</f>
        <v>4</v>
      </c>
      <c r="Y1536" s="1">
        <f>VLOOKUP($E1536,'Product Naming'!$A$1:$P$58,8,FALSE)</f>
        <v>4</v>
      </c>
      <c r="Z1536" s="1">
        <f>VLOOKUP($E1536,'Product Naming'!$A$1:$P$58,9,FALSE)</f>
        <v>0</v>
      </c>
      <c r="AA1536" s="1">
        <f>VLOOKUP($E1536,'Product Naming'!$A$1:$P$58,10,FALSE)</f>
        <v>-2</v>
      </c>
      <c r="AB1536" s="29">
        <f>VLOOKUP($E1536,'Product Naming'!$A$1:$P$58,11,FALSE)</f>
        <v>3</v>
      </c>
      <c r="AC1536" s="3">
        <f>VLOOKUP($E1536,'Product Naming'!$A$1:$P$58,12,FALSE)</f>
        <v>116.07016</v>
      </c>
      <c r="AD1536" s="1">
        <f>VLOOKUP($E1536,'Product Naming'!$A$1:$P$58,13,FALSE)</f>
        <v>235</v>
      </c>
      <c r="AE1536" s="1" t="str">
        <f>VLOOKUP($E1536,'Product Naming'!$A$1:$P$58,14,FALSE)</f>
        <v>Dicarboxylate</v>
      </c>
      <c r="AF1536" s="1" t="str">
        <f>VLOOKUP($E1536,'Product Naming'!$A$1:$P$58,15,FALSE)</f>
        <v>Oxaloacetate</v>
      </c>
      <c r="AG1536" s="30" t="str">
        <f>VLOOKUP($E1536,'Product Naming'!$A$1:$P$58,16,FALSE)</f>
        <v>Proton symporter</v>
      </c>
      <c r="AH1536" s="3" t="str">
        <f>VLOOKUP($E1536,'Product Naming'!$A$1:$Q$58,17,FALSE)</f>
        <v>succ_c</v>
      </c>
      <c r="AI1536" s="1">
        <f>VLOOKUP($E1536,'Product Parameters'!$A$2:$D$59,2,FALSE)</f>
        <v>1</v>
      </c>
      <c r="AJ1536" s="1">
        <f>VLOOKUP($E1536,'Product Parameters'!$A$2:$D$59,3,FALSE)</f>
        <v>0</v>
      </c>
      <c r="AK1536" s="1">
        <f>VLOOKUP($E1536,'Product Parameters'!$A$2:$D$59,4,FALSE)</f>
        <v>0.12</v>
      </c>
      <c r="AL1536" s="1">
        <f>VLOOKUP($E1536,'Product Parameters'!$A$2:$E$59,5,FALSE)</f>
        <v>40.65</v>
      </c>
      <c r="AM1536" s="1">
        <f>VLOOKUP($E1536,'Product Parameters'!$A$2:$F$59,6,FALSE)</f>
        <v>4</v>
      </c>
      <c r="AN1536" s="1">
        <f>VLOOKUP($C1536,'Substrate Heating'!$A$2:$C$33,3,FALSE)</f>
        <v>1230.0006480000002</v>
      </c>
      <c r="AO1536" s="1">
        <f>VLOOKUP($C1536,'Substrate Heating'!$A$2:$B$33,2,FALSE)</f>
        <v>26.7</v>
      </c>
      <c r="AP1536" s="1">
        <f>VLOOKUP($C1536,'Substrate Heating'!$A$2:$M$33,13,FALSE)</f>
        <v>6</v>
      </c>
      <c r="AQ1536" s="1">
        <f>VLOOKUP($C1536,'Substrate Heating'!$A$2:$M$33,8,FALSE)</f>
        <v>2</v>
      </c>
      <c r="AR1536" s="1">
        <f t="shared" si="23"/>
        <v>1.4466666666666681</v>
      </c>
    </row>
    <row r="1537" spans="1:44" x14ac:dyDescent="0.2">
      <c r="A1537" s="8" t="s">
        <v>812</v>
      </c>
      <c r="B1537" s="9" t="s">
        <v>35</v>
      </c>
      <c r="C1537" t="s">
        <v>813</v>
      </c>
      <c r="E1537" t="s">
        <v>318</v>
      </c>
      <c r="F1537" t="s">
        <v>319</v>
      </c>
      <c r="G1537">
        <v>-10</v>
      </c>
      <c r="H1537">
        <v>-20</v>
      </c>
      <c r="I1537">
        <v>0</v>
      </c>
      <c r="J1537">
        <v>3.15</v>
      </c>
      <c r="K1537">
        <v>-10</v>
      </c>
      <c r="L1537">
        <v>-11.275806451612899</v>
      </c>
      <c r="M1537">
        <v>0</v>
      </c>
      <c r="N1537">
        <v>-8.5419354838709598</v>
      </c>
      <c r="O1537">
        <v>9.6354838709677395</v>
      </c>
      <c r="P1537"/>
      <c r="Q1537">
        <v>0.96354838709677404</v>
      </c>
      <c r="R1537">
        <v>1.86103408355516</v>
      </c>
      <c r="S1537" s="1" t="str">
        <f>VLOOKUP($E1537,'Product Naming'!$A$1:$P$58,2,FALSE)</f>
        <v>Succinate</v>
      </c>
      <c r="T1537" s="1" t="str">
        <f>VLOOKUP($E1537,'Product Naming'!$A$1:$P$58,3,FALSE)</f>
        <v>Succinate</v>
      </c>
      <c r="U1537" s="1" t="str">
        <f>VLOOKUP($E1537,'Product Naming'!$A$1:$P$58,4,FALSE)</f>
        <v>iJO1366</v>
      </c>
      <c r="V1537" s="1" t="str">
        <f>VLOOKUP($E1537,'Product Naming'!$A$1:$P$58,5,FALSE)</f>
        <v>C4H4O4</v>
      </c>
      <c r="W1537" s="1">
        <f>VLOOKUP($E1537,'Product Naming'!$A$1:$P$58,6,FALSE)</f>
        <v>4</v>
      </c>
      <c r="X1537" s="1">
        <f>VLOOKUP($E1537,'Product Naming'!$A$1:$P$58,7,FALSE)</f>
        <v>4</v>
      </c>
      <c r="Y1537" s="1">
        <f>VLOOKUP($E1537,'Product Naming'!$A$1:$P$58,8,FALSE)</f>
        <v>4</v>
      </c>
      <c r="Z1537" s="1">
        <f>VLOOKUP($E1537,'Product Naming'!$A$1:$P$58,9,FALSE)</f>
        <v>0</v>
      </c>
      <c r="AA1537" s="1">
        <f>VLOOKUP($E1537,'Product Naming'!$A$1:$P$58,10,FALSE)</f>
        <v>-2</v>
      </c>
      <c r="AB1537" s="29">
        <f>VLOOKUP($E1537,'Product Naming'!$A$1:$P$58,11,FALSE)</f>
        <v>3</v>
      </c>
      <c r="AC1537" s="3">
        <f>VLOOKUP($E1537,'Product Naming'!$A$1:$P$58,12,FALSE)</f>
        <v>116.07016</v>
      </c>
      <c r="AD1537" s="1">
        <f>VLOOKUP($E1537,'Product Naming'!$A$1:$P$58,13,FALSE)</f>
        <v>235</v>
      </c>
      <c r="AE1537" s="1" t="str">
        <f>VLOOKUP($E1537,'Product Naming'!$A$1:$P$58,14,FALSE)</f>
        <v>Dicarboxylate</v>
      </c>
      <c r="AF1537" s="1" t="str">
        <f>VLOOKUP($E1537,'Product Naming'!$A$1:$P$58,15,FALSE)</f>
        <v>Oxaloacetate</v>
      </c>
      <c r="AG1537" s="30" t="str">
        <f>VLOOKUP($E1537,'Product Naming'!$A$1:$P$58,16,FALSE)</f>
        <v>Proton symporter</v>
      </c>
      <c r="AH1537" s="3" t="str">
        <f>VLOOKUP($E1537,'Product Naming'!$A$1:$Q$58,17,FALSE)</f>
        <v>succ_c</v>
      </c>
      <c r="AI1537" s="1">
        <f>VLOOKUP($E1537,'Product Parameters'!$A$2:$D$59,2,FALSE)</f>
        <v>1</v>
      </c>
      <c r="AJ1537" s="1">
        <f>VLOOKUP($E1537,'Product Parameters'!$A$2:$D$59,3,FALSE)</f>
        <v>0</v>
      </c>
      <c r="AK1537" s="1">
        <f>VLOOKUP($E1537,'Product Parameters'!$A$2:$D$59,4,FALSE)</f>
        <v>0.12</v>
      </c>
      <c r="AL1537" s="1">
        <f>VLOOKUP($E1537,'Product Parameters'!$A$2:$E$59,5,FALSE)</f>
        <v>40.65</v>
      </c>
      <c r="AM1537" s="1">
        <f>VLOOKUP($E1537,'Product Parameters'!$A$2:$F$59,6,FALSE)</f>
        <v>4</v>
      </c>
      <c r="AN1537" s="1">
        <f>VLOOKUP($C1537,'Substrate Heating'!$A$2:$C$33,3,FALSE)</f>
        <v>1843.720736</v>
      </c>
      <c r="AO1537" s="1">
        <f>VLOOKUP($C1537,'Substrate Heating'!$A$2:$B$33,2,FALSE)</f>
        <v>30.68</v>
      </c>
      <c r="AP1537" s="1">
        <f>VLOOKUP($C1537,'Substrate Heating'!$A$2:$M$33,13,FALSE)</f>
        <v>6</v>
      </c>
      <c r="AQ1537" s="1">
        <f>VLOOKUP($C1537,'Substrate Heating'!$A$2:$M$33,8,FALSE)</f>
        <v>3</v>
      </c>
      <c r="AR1537" s="1">
        <f t="shared" si="23"/>
        <v>1.2847311827956986</v>
      </c>
    </row>
    <row r="1538" spans="1:44" x14ac:dyDescent="0.2">
      <c r="A1538" s="17" t="s">
        <v>185</v>
      </c>
      <c r="B1538" s="9" t="s">
        <v>35</v>
      </c>
      <c r="C1538" t="s">
        <v>36</v>
      </c>
      <c r="D1538" s="10" t="s">
        <v>37</v>
      </c>
      <c r="E1538" t="s">
        <v>186</v>
      </c>
      <c r="F1538" t="s">
        <v>187</v>
      </c>
      <c r="G1538">
        <v>-10</v>
      </c>
      <c r="H1538">
        <v>-20</v>
      </c>
      <c r="I1538" s="1" t="s">
        <v>40</v>
      </c>
      <c r="J1538">
        <v>3.15</v>
      </c>
      <c r="K1538">
        <v>-10</v>
      </c>
      <c r="L1538">
        <v>-8.2115384615384599</v>
      </c>
      <c r="M1538" s="1" t="s">
        <v>40</v>
      </c>
      <c r="N1538">
        <v>-6.8615384615384603</v>
      </c>
      <c r="O1538">
        <v>4.4769230769230797</v>
      </c>
      <c r="P1538"/>
      <c r="Q1538">
        <v>0.447692307692308</v>
      </c>
      <c r="R1538">
        <v>1.92176212011297</v>
      </c>
      <c r="S1538" s="1" t="str">
        <f>VLOOKUP($E1538,'Product Naming'!$A$1:$P$58,2,FALSE)</f>
        <v>Citrate</v>
      </c>
      <c r="T1538" s="1" t="str">
        <f>VLOOKUP($E1538,'Product Naming'!$A$1:$P$58,3,FALSE)</f>
        <v>Citrate</v>
      </c>
      <c r="U1538" s="1" t="str">
        <f>VLOOKUP($E1538,'Product Naming'!$A$1:$P$58,4,FALSE)</f>
        <v>iJO1366</v>
      </c>
      <c r="V1538" s="1" t="str">
        <f>VLOOKUP($E1538,'Product Naming'!$A$1:$P$58,5,FALSE)</f>
        <v>C6H5O7</v>
      </c>
      <c r="W1538" s="1">
        <f>VLOOKUP($E1538,'Product Naming'!$A$1:$P$58,6,FALSE)</f>
        <v>6</v>
      </c>
      <c r="X1538" s="1">
        <f>VLOOKUP($E1538,'Product Naming'!$A$1:$P$58,7,FALSE)</f>
        <v>5</v>
      </c>
      <c r="Y1538" s="1">
        <f>VLOOKUP($E1538,'Product Naming'!$A$1:$P$58,8,FALSE)</f>
        <v>7</v>
      </c>
      <c r="Z1538" s="1">
        <f>VLOOKUP($E1538,'Product Naming'!$A$1:$P$58,9,FALSE)</f>
        <v>0</v>
      </c>
      <c r="AA1538" s="1">
        <f>VLOOKUP($E1538,'Product Naming'!$A$1:$P$58,10,FALSE)</f>
        <v>-3</v>
      </c>
      <c r="AB1538" s="29">
        <f>VLOOKUP($E1538,'Product Naming'!$A$1:$P$58,11,FALSE)</f>
        <v>2.5</v>
      </c>
      <c r="AC1538" s="3">
        <f>VLOOKUP($E1538,'Product Naming'!$A$1:$P$58,12,FALSE)</f>
        <v>189.09640000000002</v>
      </c>
      <c r="AD1538" s="1" t="str">
        <f>VLOOKUP($E1538,'Product Naming'!$A$1:$P$58,13,FALSE)</f>
        <v>NA</v>
      </c>
      <c r="AE1538" s="1" t="str">
        <f>VLOOKUP($E1538,'Product Naming'!$A$1:$P$58,14,FALSE)</f>
        <v>Tricarboxylate + Alcohol</v>
      </c>
      <c r="AF1538" s="1" t="str">
        <f>VLOOKUP($E1538,'Product Naming'!$A$1:$P$58,15,FALSE)</f>
        <v>Acetyl-CoA</v>
      </c>
      <c r="AG1538" s="30" t="str">
        <f>VLOOKUP($E1538,'Product Naming'!$A$1:$P$58,16,FALSE)</f>
        <v>Proton antiport</v>
      </c>
      <c r="AH1538" s="3" t="str">
        <f>VLOOKUP($E1538,'Product Naming'!$A$1:$Q$58,17,FALSE)</f>
        <v>cit_c</v>
      </c>
      <c r="AI1538" s="1">
        <f>VLOOKUP($E1538,'Product Parameters'!$A$2:$D$59,2,FALSE)</f>
        <v>1</v>
      </c>
      <c r="AJ1538" s="1">
        <f>VLOOKUP($E1538,'Product Parameters'!$A$2:$D$59,3,FALSE)</f>
        <v>0</v>
      </c>
      <c r="AK1538" s="1">
        <f>VLOOKUP($E1538,'Product Parameters'!$A$2:$D$59,4,FALSE)</f>
        <v>0.12</v>
      </c>
      <c r="AL1538" s="1">
        <f>VLOOKUP($E1538,'Product Parameters'!$A$2:$E$59,5,FALSE)</f>
        <v>40.65</v>
      </c>
      <c r="AM1538" s="1">
        <f>VLOOKUP($E1538,'Product Parameters'!$A$2:$F$59,6,FALSE)</f>
        <v>6</v>
      </c>
      <c r="AN1538" s="1">
        <f>VLOOKUP($C1538,'Substrate Heating'!$A$2:$C$33,3,FALSE)</f>
        <v>1064.1143145599999</v>
      </c>
      <c r="AO1538" s="1">
        <f>VLOOKUP($C1538,'Substrate Heating'!$A$2:$B$33,2,FALSE)</f>
        <v>24.155999999999999</v>
      </c>
      <c r="AP1538" s="1">
        <f>VLOOKUP($C1538,'Substrate Heating'!$A$2:$M$33,13,FALSE)</f>
        <v>5</v>
      </c>
      <c r="AQ1538" s="1">
        <f>VLOOKUP($C1538,'Substrate Heating'!$A$2:$M$33,8,FALSE)</f>
        <v>2</v>
      </c>
      <c r="AR1538" s="1">
        <f t="shared" si="23"/>
        <v>1.3430769230769239</v>
      </c>
    </row>
    <row r="1539" spans="1:44" x14ac:dyDescent="0.2">
      <c r="A1539" s="17" t="s">
        <v>185</v>
      </c>
      <c r="B1539" s="9" t="s">
        <v>35</v>
      </c>
      <c r="C1539" t="s">
        <v>36</v>
      </c>
      <c r="D1539" s="10" t="s">
        <v>37</v>
      </c>
      <c r="E1539" t="s">
        <v>269</v>
      </c>
      <c r="F1539" t="s">
        <v>270</v>
      </c>
      <c r="G1539">
        <v>-10</v>
      </c>
      <c r="H1539">
        <v>-20</v>
      </c>
      <c r="I1539" s="1" t="s">
        <v>40</v>
      </c>
      <c r="J1539">
        <v>3.15</v>
      </c>
      <c r="K1539">
        <v>-10</v>
      </c>
      <c r="L1539">
        <v>-8.57258064516129</v>
      </c>
      <c r="M1539" s="1" t="s">
        <v>40</v>
      </c>
      <c r="N1539">
        <v>-6.2838709677419402</v>
      </c>
      <c r="O1539">
        <v>6.5709677419354797</v>
      </c>
      <c r="P1539"/>
      <c r="Q1539">
        <v>0.65709677419354795</v>
      </c>
      <c r="R1539">
        <v>1.97000571614963</v>
      </c>
      <c r="S1539" s="1" t="str">
        <f>VLOOKUP($E1539,'Product Naming'!$A$1:$P$58,2,FALSE)</f>
        <v>Malate_L</v>
      </c>
      <c r="T1539" s="1" t="str">
        <f>VLOOKUP($E1539,'Product Naming'!$A$1:$P$58,3,FALSE)</f>
        <v>L-Malate</v>
      </c>
      <c r="U1539" s="1" t="str">
        <f>VLOOKUP($E1539,'Product Naming'!$A$1:$P$58,4,FALSE)</f>
        <v>iJO1366</v>
      </c>
      <c r="V1539" s="1" t="str">
        <f>VLOOKUP($E1539,'Product Naming'!$A$1:$P$58,5,FALSE)</f>
        <v>C4H4O5</v>
      </c>
      <c r="W1539" s="1">
        <f>VLOOKUP($E1539,'Product Naming'!$A$1:$P$58,6,FALSE)</f>
        <v>4</v>
      </c>
      <c r="X1539" s="1">
        <f>VLOOKUP($E1539,'Product Naming'!$A$1:$P$58,7,FALSE)</f>
        <v>4</v>
      </c>
      <c r="Y1539" s="1">
        <f>VLOOKUP($E1539,'Product Naming'!$A$1:$P$58,8,FALSE)</f>
        <v>5</v>
      </c>
      <c r="Z1539" s="1">
        <f>VLOOKUP($E1539,'Product Naming'!$A$1:$P$58,9,FALSE)</f>
        <v>0</v>
      </c>
      <c r="AA1539" s="1">
        <f>VLOOKUP($E1539,'Product Naming'!$A$1:$P$58,10,FALSE)</f>
        <v>-2</v>
      </c>
      <c r="AB1539" s="29">
        <f>VLOOKUP($E1539,'Product Naming'!$A$1:$P$58,11,FALSE)</f>
        <v>2.5</v>
      </c>
      <c r="AC1539" s="3">
        <f>VLOOKUP($E1539,'Product Naming'!$A$1:$P$58,12,FALSE)</f>
        <v>132.06916000000001</v>
      </c>
      <c r="AD1539" s="1" t="str">
        <f>VLOOKUP($E1539,'Product Naming'!$A$1:$P$58,13,FALSE)</f>
        <v>NA</v>
      </c>
      <c r="AE1539" s="1" t="str">
        <f>VLOOKUP($E1539,'Product Naming'!$A$1:$P$58,14,FALSE)</f>
        <v>Dicarboxylate</v>
      </c>
      <c r="AF1539" s="1" t="str">
        <f>VLOOKUP($E1539,'Product Naming'!$A$1:$P$58,15,FALSE)</f>
        <v>Oxaloacetate</v>
      </c>
      <c r="AG1539" s="30" t="str">
        <f>VLOOKUP($E1539,'Product Naming'!$A$1:$P$58,16,FALSE)</f>
        <v>Proton symporter</v>
      </c>
      <c r="AH1539" s="3" t="str">
        <f>VLOOKUP($E1539,'Product Naming'!$A$1:$Q$58,17,FALSE)</f>
        <v>mal__L_e</v>
      </c>
      <c r="AI1539" s="1">
        <f>VLOOKUP($E1539,'Product Parameters'!$A$2:$D$59,2,FALSE)</f>
        <v>1</v>
      </c>
      <c r="AJ1539" s="1">
        <f>VLOOKUP($E1539,'Product Parameters'!$A$2:$D$59,3,FALSE)</f>
        <v>0</v>
      </c>
      <c r="AK1539" s="1">
        <f>VLOOKUP($E1539,'Product Parameters'!$A$2:$D$59,4,FALSE)</f>
        <v>0.12</v>
      </c>
      <c r="AL1539" s="1">
        <f>VLOOKUP($E1539,'Product Parameters'!$A$2:$E$59,5,FALSE)</f>
        <v>40.65</v>
      </c>
      <c r="AM1539" s="1">
        <f>VLOOKUP($E1539,'Product Parameters'!$A$2:$F$59,6,FALSE)</f>
        <v>4</v>
      </c>
      <c r="AN1539" s="1">
        <f>VLOOKUP($C1539,'Substrate Heating'!$A$2:$C$33,3,FALSE)</f>
        <v>1064.1143145599999</v>
      </c>
      <c r="AO1539" s="1">
        <f>VLOOKUP($C1539,'Substrate Heating'!$A$2:$B$33,2,FALSE)</f>
        <v>24.155999999999999</v>
      </c>
      <c r="AP1539" s="1">
        <f>VLOOKUP($C1539,'Substrate Heating'!$A$2:$M$33,13,FALSE)</f>
        <v>5</v>
      </c>
      <c r="AQ1539" s="1">
        <f>VLOOKUP($C1539,'Substrate Heating'!$A$2:$M$33,8,FALSE)</f>
        <v>2</v>
      </c>
      <c r="AR1539" s="1">
        <f t="shared" ref="AR1539:AR1602" si="24">Q1539*W1539/AQ1539</f>
        <v>1.3141935483870959</v>
      </c>
    </row>
    <row r="1540" spans="1:44" x14ac:dyDescent="0.2">
      <c r="A1540" s="8" t="s">
        <v>812</v>
      </c>
      <c r="B1540" s="9" t="s">
        <v>35</v>
      </c>
      <c r="C1540" t="s">
        <v>813</v>
      </c>
      <c r="E1540" t="s">
        <v>225</v>
      </c>
      <c r="F1540" t="s">
        <v>226</v>
      </c>
      <c r="G1540">
        <v>-10</v>
      </c>
      <c r="H1540">
        <v>-20</v>
      </c>
      <c r="I1540">
        <v>0</v>
      </c>
      <c r="J1540">
        <v>3.15</v>
      </c>
      <c r="K1540">
        <v>-10</v>
      </c>
      <c r="L1540">
        <v>-20</v>
      </c>
      <c r="M1540">
        <v>0</v>
      </c>
      <c r="N1540">
        <v>-4.0214285714285598</v>
      </c>
      <c r="O1540">
        <v>15.978571428571399</v>
      </c>
      <c r="P1540"/>
      <c r="Q1540">
        <v>1.59785714285714</v>
      </c>
      <c r="R1540">
        <v>1.9952719665749299</v>
      </c>
      <c r="S1540" s="1" t="str">
        <f>VLOOKUP($E1540,'Product Naming'!$A$1:$P$58,2,FALSE)</f>
        <v>Glycolate</v>
      </c>
      <c r="T1540" s="1" t="str">
        <f>VLOOKUP($E1540,'Product Naming'!$A$1:$P$58,3,FALSE)</f>
        <v>Glycolate</v>
      </c>
      <c r="U1540" s="1" t="str">
        <f>VLOOKUP($E1540,'Product Naming'!$A$1:$P$58,4,FALSE)</f>
        <v>iJO1366</v>
      </c>
      <c r="V1540" s="1" t="str">
        <f>VLOOKUP($E1540,'Product Naming'!$A$1:$P$58,5,FALSE)</f>
        <v>C2H3O3</v>
      </c>
      <c r="W1540" s="1">
        <f>VLOOKUP($E1540,'Product Naming'!$A$1:$P$58,6,FALSE)</f>
        <v>2</v>
      </c>
      <c r="X1540" s="1">
        <f>VLOOKUP($E1540,'Product Naming'!$A$1:$P$58,7,FALSE)</f>
        <v>3</v>
      </c>
      <c r="Y1540" s="1">
        <f>VLOOKUP($E1540,'Product Naming'!$A$1:$P$58,8,FALSE)</f>
        <v>3</v>
      </c>
      <c r="Z1540" s="1">
        <f>VLOOKUP($E1540,'Product Naming'!$A$1:$P$58,9,FALSE)</f>
        <v>0</v>
      </c>
      <c r="AA1540" s="1">
        <f>VLOOKUP($E1540,'Product Naming'!$A$1:$P$58,10,FALSE)</f>
        <v>-1</v>
      </c>
      <c r="AB1540" s="29">
        <f>VLOOKUP($E1540,'Product Naming'!$A$1:$P$58,11,FALSE)</f>
        <v>2.5</v>
      </c>
      <c r="AC1540" s="3">
        <f>VLOOKUP($E1540,'Product Naming'!$A$1:$P$58,12,FALSE)</f>
        <v>75.041920000000005</v>
      </c>
      <c r="AD1540" s="1">
        <f>VLOOKUP($E1540,'Product Naming'!$A$1:$P$58,13,FALSE)</f>
        <v>112</v>
      </c>
      <c r="AE1540" s="1" t="str">
        <f>VLOOKUP($E1540,'Product Naming'!$A$1:$P$58,14,FALSE)</f>
        <v>Carboxylate + Alcohol (hydroxy carboxylate)</v>
      </c>
      <c r="AF1540" s="1" t="str">
        <f>VLOOKUP($E1540,'Product Naming'!$A$1:$P$58,15,FALSE)</f>
        <v>Glyoxylate (*isocitrate)</v>
      </c>
      <c r="AG1540" s="30" t="str">
        <f>VLOOKUP($E1540,'Product Naming'!$A$1:$P$58,16,FALSE)</f>
        <v>Proton symporter</v>
      </c>
      <c r="AH1540" s="3" t="str">
        <f>VLOOKUP($E1540,'Product Naming'!$A$1:$Q$58,17,FALSE)</f>
        <v>glyclt_c</v>
      </c>
      <c r="AI1540" s="1">
        <f>VLOOKUP($E1540,'Product Parameters'!$A$2:$D$59,2,FALSE)</f>
        <v>1</v>
      </c>
      <c r="AJ1540" s="1">
        <f>VLOOKUP($E1540,'Product Parameters'!$A$2:$D$59,3,FALSE)</f>
        <v>0</v>
      </c>
      <c r="AK1540" s="1">
        <f>VLOOKUP($E1540,'Product Parameters'!$A$2:$D$59,4,FALSE)</f>
        <v>0.12</v>
      </c>
      <c r="AL1540" s="1">
        <f>VLOOKUP($E1540,'Product Parameters'!$A$2:$E$59,5,FALSE)</f>
        <v>40.65</v>
      </c>
      <c r="AM1540" s="1">
        <f>VLOOKUP($E1540,'Product Parameters'!$A$2:$F$59,6,FALSE)</f>
        <v>2</v>
      </c>
      <c r="AN1540" s="1">
        <f>VLOOKUP($C1540,'Substrate Heating'!$A$2:$C$33,3,FALSE)</f>
        <v>1843.720736</v>
      </c>
      <c r="AO1540" s="1">
        <f>VLOOKUP($C1540,'Substrate Heating'!$A$2:$B$33,2,FALSE)</f>
        <v>30.68</v>
      </c>
      <c r="AP1540" s="1">
        <f>VLOOKUP($C1540,'Substrate Heating'!$A$2:$M$33,13,FALSE)</f>
        <v>6</v>
      </c>
      <c r="AQ1540" s="1">
        <f>VLOOKUP($C1540,'Substrate Heating'!$A$2:$M$33,8,FALSE)</f>
        <v>3</v>
      </c>
      <c r="AR1540" s="1">
        <f t="shared" si="24"/>
        <v>1.0652380952380933</v>
      </c>
    </row>
    <row r="1541" spans="1:44" x14ac:dyDescent="0.2">
      <c r="A1541" s="17" t="s">
        <v>185</v>
      </c>
      <c r="B1541" s="9" t="s">
        <v>35</v>
      </c>
      <c r="C1541" t="s">
        <v>36</v>
      </c>
      <c r="D1541" s="10" t="s">
        <v>37</v>
      </c>
      <c r="E1541" t="s">
        <v>225</v>
      </c>
      <c r="F1541" t="s">
        <v>226</v>
      </c>
      <c r="G1541">
        <v>-10</v>
      </c>
      <c r="H1541">
        <v>-20</v>
      </c>
      <c r="I1541" s="1" t="s">
        <v>40</v>
      </c>
      <c r="J1541">
        <v>3.15</v>
      </c>
      <c r="K1541">
        <v>-10</v>
      </c>
      <c r="L1541">
        <v>-10.2453703703704</v>
      </c>
      <c r="M1541" s="1" t="s">
        <v>40</v>
      </c>
      <c r="N1541">
        <v>-3.6074074074074098</v>
      </c>
      <c r="O1541">
        <v>11.8037037037037</v>
      </c>
      <c r="P1541"/>
      <c r="Q1541">
        <v>1.1803703703703701</v>
      </c>
      <c r="R1541">
        <v>2.0107541424838402</v>
      </c>
      <c r="S1541" s="1" t="str">
        <f>VLOOKUP($E1541,'Product Naming'!$A$1:$P$58,2,FALSE)</f>
        <v>Glycolate</v>
      </c>
      <c r="T1541" s="1" t="str">
        <f>VLOOKUP($E1541,'Product Naming'!$A$1:$P$58,3,FALSE)</f>
        <v>Glycolate</v>
      </c>
      <c r="U1541" s="1" t="str">
        <f>VLOOKUP($E1541,'Product Naming'!$A$1:$P$58,4,FALSE)</f>
        <v>iJO1366</v>
      </c>
      <c r="V1541" s="1" t="str">
        <f>VLOOKUP($E1541,'Product Naming'!$A$1:$P$58,5,FALSE)</f>
        <v>C2H3O3</v>
      </c>
      <c r="W1541" s="1">
        <f>VLOOKUP($E1541,'Product Naming'!$A$1:$P$58,6,FALSE)</f>
        <v>2</v>
      </c>
      <c r="X1541" s="1">
        <f>VLOOKUP($E1541,'Product Naming'!$A$1:$P$58,7,FALSE)</f>
        <v>3</v>
      </c>
      <c r="Y1541" s="1">
        <f>VLOOKUP($E1541,'Product Naming'!$A$1:$P$58,8,FALSE)</f>
        <v>3</v>
      </c>
      <c r="Z1541" s="1">
        <f>VLOOKUP($E1541,'Product Naming'!$A$1:$P$58,9,FALSE)</f>
        <v>0</v>
      </c>
      <c r="AA1541" s="1">
        <f>VLOOKUP($E1541,'Product Naming'!$A$1:$P$58,10,FALSE)</f>
        <v>-1</v>
      </c>
      <c r="AB1541" s="29">
        <f>VLOOKUP($E1541,'Product Naming'!$A$1:$P$58,11,FALSE)</f>
        <v>2.5</v>
      </c>
      <c r="AC1541" s="3">
        <f>VLOOKUP($E1541,'Product Naming'!$A$1:$P$58,12,FALSE)</f>
        <v>75.041920000000005</v>
      </c>
      <c r="AD1541" s="1">
        <f>VLOOKUP($E1541,'Product Naming'!$A$1:$P$58,13,FALSE)</f>
        <v>112</v>
      </c>
      <c r="AE1541" s="1" t="str">
        <f>VLOOKUP($E1541,'Product Naming'!$A$1:$P$58,14,FALSE)</f>
        <v>Carboxylate + Alcohol (hydroxy carboxylate)</v>
      </c>
      <c r="AF1541" s="1" t="str">
        <f>VLOOKUP($E1541,'Product Naming'!$A$1:$P$58,15,FALSE)</f>
        <v>Glyoxylate (*isocitrate)</v>
      </c>
      <c r="AG1541" s="30" t="str">
        <f>VLOOKUP($E1541,'Product Naming'!$A$1:$P$58,16,FALSE)</f>
        <v>Proton symporter</v>
      </c>
      <c r="AH1541" s="3" t="str">
        <f>VLOOKUP($E1541,'Product Naming'!$A$1:$Q$58,17,FALSE)</f>
        <v>glyclt_c</v>
      </c>
      <c r="AI1541" s="1">
        <f>VLOOKUP($E1541,'Product Parameters'!$A$2:$D$59,2,FALSE)</f>
        <v>1</v>
      </c>
      <c r="AJ1541" s="1">
        <f>VLOOKUP($E1541,'Product Parameters'!$A$2:$D$59,3,FALSE)</f>
        <v>0</v>
      </c>
      <c r="AK1541" s="1">
        <f>VLOOKUP($E1541,'Product Parameters'!$A$2:$D$59,4,FALSE)</f>
        <v>0.12</v>
      </c>
      <c r="AL1541" s="1">
        <f>VLOOKUP($E1541,'Product Parameters'!$A$2:$E$59,5,FALSE)</f>
        <v>40.65</v>
      </c>
      <c r="AM1541" s="1">
        <f>VLOOKUP($E1541,'Product Parameters'!$A$2:$F$59,6,FALSE)</f>
        <v>2</v>
      </c>
      <c r="AN1541" s="1">
        <f>VLOOKUP($C1541,'Substrate Heating'!$A$2:$C$33,3,FALSE)</f>
        <v>1064.1143145599999</v>
      </c>
      <c r="AO1541" s="1">
        <f>VLOOKUP($C1541,'Substrate Heating'!$A$2:$B$33,2,FALSE)</f>
        <v>24.155999999999999</v>
      </c>
      <c r="AP1541" s="1">
        <f>VLOOKUP($C1541,'Substrate Heating'!$A$2:$M$33,13,FALSE)</f>
        <v>5</v>
      </c>
      <c r="AQ1541" s="1">
        <f>VLOOKUP($C1541,'Substrate Heating'!$A$2:$M$33,8,FALSE)</f>
        <v>2</v>
      </c>
      <c r="AR1541" s="1">
        <f t="shared" si="24"/>
        <v>1.1803703703703701</v>
      </c>
    </row>
    <row r="1542" spans="1:44" x14ac:dyDescent="0.2">
      <c r="A1542" s="8" t="s">
        <v>812</v>
      </c>
      <c r="B1542" s="9" t="s">
        <v>35</v>
      </c>
      <c r="C1542" t="s">
        <v>813</v>
      </c>
      <c r="E1542" t="s">
        <v>186</v>
      </c>
      <c r="F1542" t="s">
        <v>187</v>
      </c>
      <c r="G1542">
        <v>-10</v>
      </c>
      <c r="H1542">
        <v>-20</v>
      </c>
      <c r="I1542">
        <v>0</v>
      </c>
      <c r="J1542">
        <v>3.15</v>
      </c>
      <c r="K1542">
        <v>-10</v>
      </c>
      <c r="L1542">
        <v>-15.8908396946564</v>
      </c>
      <c r="M1542">
        <v>0</v>
      </c>
      <c r="N1542">
        <v>-8.8122137404580005</v>
      </c>
      <c r="O1542">
        <v>6.4687022900763296</v>
      </c>
      <c r="P1542"/>
      <c r="Q1542">
        <v>0.64687022900763302</v>
      </c>
      <c r="R1542">
        <v>2.0354509440441002</v>
      </c>
      <c r="S1542" s="1" t="str">
        <f>VLOOKUP($E1542,'Product Naming'!$A$1:$P$58,2,FALSE)</f>
        <v>Citrate</v>
      </c>
      <c r="T1542" s="1" t="str">
        <f>VLOOKUP($E1542,'Product Naming'!$A$1:$P$58,3,FALSE)</f>
        <v>Citrate</v>
      </c>
      <c r="U1542" s="1" t="str">
        <f>VLOOKUP($E1542,'Product Naming'!$A$1:$P$58,4,FALSE)</f>
        <v>iJO1366</v>
      </c>
      <c r="V1542" s="1" t="str">
        <f>VLOOKUP($E1542,'Product Naming'!$A$1:$P$58,5,FALSE)</f>
        <v>C6H5O7</v>
      </c>
      <c r="W1542" s="1">
        <f>VLOOKUP($E1542,'Product Naming'!$A$1:$P$58,6,FALSE)</f>
        <v>6</v>
      </c>
      <c r="X1542" s="1">
        <f>VLOOKUP($E1542,'Product Naming'!$A$1:$P$58,7,FALSE)</f>
        <v>5</v>
      </c>
      <c r="Y1542" s="1">
        <f>VLOOKUP($E1542,'Product Naming'!$A$1:$P$58,8,FALSE)</f>
        <v>7</v>
      </c>
      <c r="Z1542" s="1">
        <f>VLOOKUP($E1542,'Product Naming'!$A$1:$P$58,9,FALSE)</f>
        <v>0</v>
      </c>
      <c r="AA1542" s="1">
        <f>VLOOKUP($E1542,'Product Naming'!$A$1:$P$58,10,FALSE)</f>
        <v>-3</v>
      </c>
      <c r="AB1542" s="29">
        <f>VLOOKUP($E1542,'Product Naming'!$A$1:$P$58,11,FALSE)</f>
        <v>2.5</v>
      </c>
      <c r="AC1542" s="3">
        <f>VLOOKUP($E1542,'Product Naming'!$A$1:$P$58,12,FALSE)</f>
        <v>189.09640000000002</v>
      </c>
      <c r="AD1542" s="1" t="str">
        <f>VLOOKUP($E1542,'Product Naming'!$A$1:$P$58,13,FALSE)</f>
        <v>NA</v>
      </c>
      <c r="AE1542" s="1" t="str">
        <f>VLOOKUP($E1542,'Product Naming'!$A$1:$P$58,14,FALSE)</f>
        <v>Tricarboxylate + Alcohol</v>
      </c>
      <c r="AF1542" s="1" t="str">
        <f>VLOOKUP($E1542,'Product Naming'!$A$1:$P$58,15,FALSE)</f>
        <v>Acetyl-CoA</v>
      </c>
      <c r="AG1542" s="30" t="str">
        <f>VLOOKUP($E1542,'Product Naming'!$A$1:$P$58,16,FALSE)</f>
        <v>Proton antiport</v>
      </c>
      <c r="AH1542" s="3" t="str">
        <f>VLOOKUP($E1542,'Product Naming'!$A$1:$Q$58,17,FALSE)</f>
        <v>cit_c</v>
      </c>
      <c r="AI1542" s="1">
        <f>VLOOKUP($E1542,'Product Parameters'!$A$2:$D$59,2,FALSE)</f>
        <v>1</v>
      </c>
      <c r="AJ1542" s="1">
        <f>VLOOKUP($E1542,'Product Parameters'!$A$2:$D$59,3,FALSE)</f>
        <v>0</v>
      </c>
      <c r="AK1542" s="1">
        <f>VLOOKUP($E1542,'Product Parameters'!$A$2:$D$59,4,FALSE)</f>
        <v>0.12</v>
      </c>
      <c r="AL1542" s="1">
        <f>VLOOKUP($E1542,'Product Parameters'!$A$2:$E$59,5,FALSE)</f>
        <v>40.65</v>
      </c>
      <c r="AM1542" s="1">
        <f>VLOOKUP($E1542,'Product Parameters'!$A$2:$F$59,6,FALSE)</f>
        <v>6</v>
      </c>
      <c r="AN1542" s="1">
        <f>VLOOKUP($C1542,'Substrate Heating'!$A$2:$C$33,3,FALSE)</f>
        <v>1843.720736</v>
      </c>
      <c r="AO1542" s="1">
        <f>VLOOKUP($C1542,'Substrate Heating'!$A$2:$B$33,2,FALSE)</f>
        <v>30.68</v>
      </c>
      <c r="AP1542" s="1">
        <f>VLOOKUP($C1542,'Substrate Heating'!$A$2:$M$33,13,FALSE)</f>
        <v>6</v>
      </c>
      <c r="AQ1542" s="1">
        <f>VLOOKUP($C1542,'Substrate Heating'!$A$2:$M$33,8,FALSE)</f>
        <v>3</v>
      </c>
      <c r="AR1542" s="1">
        <f t="shared" si="24"/>
        <v>1.293740458015266</v>
      </c>
    </row>
    <row r="1543" spans="1:44" x14ac:dyDescent="0.2">
      <c r="A1543" s="17" t="s">
        <v>185</v>
      </c>
      <c r="B1543" s="9" t="s">
        <v>35</v>
      </c>
      <c r="C1543" t="s">
        <v>332</v>
      </c>
      <c r="D1543" s="10" t="s">
        <v>37</v>
      </c>
      <c r="E1543" t="s">
        <v>186</v>
      </c>
      <c r="F1543" t="s">
        <v>187</v>
      </c>
      <c r="G1543">
        <v>-10</v>
      </c>
      <c r="H1543">
        <v>-20</v>
      </c>
      <c r="I1543" s="1" t="s">
        <v>40</v>
      </c>
      <c r="J1543">
        <v>3.15</v>
      </c>
      <c r="K1543">
        <v>-10</v>
      </c>
      <c r="L1543">
        <v>-6.7642335766423303</v>
      </c>
      <c r="M1543" s="1" t="s">
        <v>40</v>
      </c>
      <c r="N1543">
        <v>-10.9810218978102</v>
      </c>
      <c r="O1543">
        <v>5.16350364963502</v>
      </c>
      <c r="P1543"/>
      <c r="Q1543">
        <v>0.51635036496350195</v>
      </c>
      <c r="R1543">
        <v>2.1195012171999199</v>
      </c>
      <c r="S1543" s="1" t="str">
        <f>VLOOKUP($E1543,'Product Naming'!$A$1:$P$58,2,FALSE)</f>
        <v>Citrate</v>
      </c>
      <c r="T1543" s="1" t="str">
        <f>VLOOKUP($E1543,'Product Naming'!$A$1:$P$58,3,FALSE)</f>
        <v>Citrate</v>
      </c>
      <c r="U1543" s="1" t="str">
        <f>VLOOKUP($E1543,'Product Naming'!$A$1:$P$58,4,FALSE)</f>
        <v>iJO1366</v>
      </c>
      <c r="V1543" s="1" t="str">
        <f>VLOOKUP($E1543,'Product Naming'!$A$1:$P$58,5,FALSE)</f>
        <v>C6H5O7</v>
      </c>
      <c r="W1543" s="1">
        <f>VLOOKUP($E1543,'Product Naming'!$A$1:$P$58,6,FALSE)</f>
        <v>6</v>
      </c>
      <c r="X1543" s="1">
        <f>VLOOKUP($E1543,'Product Naming'!$A$1:$P$58,7,FALSE)</f>
        <v>5</v>
      </c>
      <c r="Y1543" s="1">
        <f>VLOOKUP($E1543,'Product Naming'!$A$1:$P$58,8,FALSE)</f>
        <v>7</v>
      </c>
      <c r="Z1543" s="1">
        <f>VLOOKUP($E1543,'Product Naming'!$A$1:$P$58,9,FALSE)</f>
        <v>0</v>
      </c>
      <c r="AA1543" s="1">
        <f>VLOOKUP($E1543,'Product Naming'!$A$1:$P$58,10,FALSE)</f>
        <v>-3</v>
      </c>
      <c r="AB1543" s="29">
        <f>VLOOKUP($E1543,'Product Naming'!$A$1:$P$58,11,FALSE)</f>
        <v>2.5</v>
      </c>
      <c r="AC1543" s="3">
        <f>VLOOKUP($E1543,'Product Naming'!$A$1:$P$58,12,FALSE)</f>
        <v>189.09640000000002</v>
      </c>
      <c r="AD1543" s="1" t="str">
        <f>VLOOKUP($E1543,'Product Naming'!$A$1:$P$58,13,FALSE)</f>
        <v>NA</v>
      </c>
      <c r="AE1543" s="1" t="str">
        <f>VLOOKUP($E1543,'Product Naming'!$A$1:$P$58,14,FALSE)</f>
        <v>Tricarboxylate + Alcohol</v>
      </c>
      <c r="AF1543" s="1" t="str">
        <f>VLOOKUP($E1543,'Product Naming'!$A$1:$P$58,15,FALSE)</f>
        <v>Acetyl-CoA</v>
      </c>
      <c r="AG1543" s="30" t="str">
        <f>VLOOKUP($E1543,'Product Naming'!$A$1:$P$58,16,FALSE)</f>
        <v>Proton antiport</v>
      </c>
      <c r="AH1543" s="3" t="str">
        <f>VLOOKUP($E1543,'Product Naming'!$A$1:$Q$58,17,FALSE)</f>
        <v>cit_c</v>
      </c>
      <c r="AI1543" s="1">
        <f>VLOOKUP($E1543,'Product Parameters'!$A$2:$D$59,2,FALSE)</f>
        <v>1</v>
      </c>
      <c r="AJ1543" s="1">
        <f>VLOOKUP($E1543,'Product Parameters'!$A$2:$D$59,3,FALSE)</f>
        <v>0</v>
      </c>
      <c r="AK1543" s="1">
        <f>VLOOKUP($E1543,'Product Parameters'!$A$2:$D$59,4,FALSE)</f>
        <v>0.12</v>
      </c>
      <c r="AL1543" s="1">
        <f>VLOOKUP($E1543,'Product Parameters'!$A$2:$E$59,5,FALSE)</f>
        <v>40.65</v>
      </c>
      <c r="AM1543" s="1">
        <f>VLOOKUP($E1543,'Product Parameters'!$A$2:$F$59,6,FALSE)</f>
        <v>6</v>
      </c>
      <c r="AN1543" s="1">
        <f>VLOOKUP($C1543,'Substrate Heating'!$A$2:$C$33,3,FALSE)</f>
        <v>1230.0006480000002</v>
      </c>
      <c r="AO1543" s="1">
        <f>VLOOKUP($C1543,'Substrate Heating'!$A$2:$B$33,2,FALSE)</f>
        <v>26.7</v>
      </c>
      <c r="AP1543" s="1">
        <f>VLOOKUP($C1543,'Substrate Heating'!$A$2:$M$33,13,FALSE)</f>
        <v>6</v>
      </c>
      <c r="AQ1543" s="1">
        <f>VLOOKUP($C1543,'Substrate Heating'!$A$2:$M$33,8,FALSE)</f>
        <v>2</v>
      </c>
      <c r="AR1543" s="1">
        <f t="shared" si="24"/>
        <v>1.5490510948905059</v>
      </c>
    </row>
    <row r="1544" spans="1:44" x14ac:dyDescent="0.2">
      <c r="A1544" s="17" t="s">
        <v>185</v>
      </c>
      <c r="B1544" s="9" t="s">
        <v>35</v>
      </c>
      <c r="C1544" t="s">
        <v>332</v>
      </c>
      <c r="D1544" s="10" t="s">
        <v>37</v>
      </c>
      <c r="E1544" t="s">
        <v>225</v>
      </c>
      <c r="F1544" t="s">
        <v>226</v>
      </c>
      <c r="G1544">
        <v>-10</v>
      </c>
      <c r="H1544">
        <v>-20</v>
      </c>
      <c r="I1544" s="1" t="s">
        <v>40</v>
      </c>
      <c r="J1544">
        <v>3.15</v>
      </c>
      <c r="K1544">
        <v>-10</v>
      </c>
      <c r="L1544">
        <v>-13.625</v>
      </c>
      <c r="M1544" s="1" t="s">
        <v>40</v>
      </c>
      <c r="N1544">
        <v>-6.2</v>
      </c>
      <c r="O1544">
        <v>13.1</v>
      </c>
      <c r="P1544"/>
      <c r="Q1544">
        <v>1.31</v>
      </c>
      <c r="R1544">
        <v>2.1339348398782301</v>
      </c>
      <c r="S1544" s="1" t="str">
        <f>VLOOKUP($E1544,'Product Naming'!$A$1:$P$58,2,FALSE)</f>
        <v>Glycolate</v>
      </c>
      <c r="T1544" s="1" t="str">
        <f>VLOOKUP($E1544,'Product Naming'!$A$1:$P$58,3,FALSE)</f>
        <v>Glycolate</v>
      </c>
      <c r="U1544" s="1" t="str">
        <f>VLOOKUP($E1544,'Product Naming'!$A$1:$P$58,4,FALSE)</f>
        <v>iJO1366</v>
      </c>
      <c r="V1544" s="1" t="str">
        <f>VLOOKUP($E1544,'Product Naming'!$A$1:$P$58,5,FALSE)</f>
        <v>C2H3O3</v>
      </c>
      <c r="W1544" s="1">
        <f>VLOOKUP($E1544,'Product Naming'!$A$1:$P$58,6,FALSE)</f>
        <v>2</v>
      </c>
      <c r="X1544" s="1">
        <f>VLOOKUP($E1544,'Product Naming'!$A$1:$P$58,7,FALSE)</f>
        <v>3</v>
      </c>
      <c r="Y1544" s="1">
        <f>VLOOKUP($E1544,'Product Naming'!$A$1:$P$58,8,FALSE)</f>
        <v>3</v>
      </c>
      <c r="Z1544" s="1">
        <f>VLOOKUP($E1544,'Product Naming'!$A$1:$P$58,9,FALSE)</f>
        <v>0</v>
      </c>
      <c r="AA1544" s="1">
        <f>VLOOKUP($E1544,'Product Naming'!$A$1:$P$58,10,FALSE)</f>
        <v>-1</v>
      </c>
      <c r="AB1544" s="29">
        <f>VLOOKUP($E1544,'Product Naming'!$A$1:$P$58,11,FALSE)</f>
        <v>2.5</v>
      </c>
      <c r="AC1544" s="3">
        <f>VLOOKUP($E1544,'Product Naming'!$A$1:$P$58,12,FALSE)</f>
        <v>75.041920000000005</v>
      </c>
      <c r="AD1544" s="1">
        <f>VLOOKUP($E1544,'Product Naming'!$A$1:$P$58,13,FALSE)</f>
        <v>112</v>
      </c>
      <c r="AE1544" s="1" t="str">
        <f>VLOOKUP($E1544,'Product Naming'!$A$1:$P$58,14,FALSE)</f>
        <v>Carboxylate + Alcohol (hydroxy carboxylate)</v>
      </c>
      <c r="AF1544" s="1" t="str">
        <f>VLOOKUP($E1544,'Product Naming'!$A$1:$P$58,15,FALSE)</f>
        <v>Glyoxylate (*isocitrate)</v>
      </c>
      <c r="AG1544" s="30" t="str">
        <f>VLOOKUP($E1544,'Product Naming'!$A$1:$P$58,16,FALSE)</f>
        <v>Proton symporter</v>
      </c>
      <c r="AH1544" s="3" t="str">
        <f>VLOOKUP($E1544,'Product Naming'!$A$1:$Q$58,17,FALSE)</f>
        <v>glyclt_c</v>
      </c>
      <c r="AI1544" s="1">
        <f>VLOOKUP($E1544,'Product Parameters'!$A$2:$D$59,2,FALSE)</f>
        <v>1</v>
      </c>
      <c r="AJ1544" s="1">
        <f>VLOOKUP($E1544,'Product Parameters'!$A$2:$D$59,3,FALSE)</f>
        <v>0</v>
      </c>
      <c r="AK1544" s="1">
        <f>VLOOKUP($E1544,'Product Parameters'!$A$2:$D$59,4,FALSE)</f>
        <v>0.12</v>
      </c>
      <c r="AL1544" s="1">
        <f>VLOOKUP($E1544,'Product Parameters'!$A$2:$E$59,5,FALSE)</f>
        <v>40.65</v>
      </c>
      <c r="AM1544" s="1">
        <f>VLOOKUP($E1544,'Product Parameters'!$A$2:$F$59,6,FALSE)</f>
        <v>2</v>
      </c>
      <c r="AN1544" s="1">
        <f>VLOOKUP($C1544,'Substrate Heating'!$A$2:$C$33,3,FALSE)</f>
        <v>1230.0006480000002</v>
      </c>
      <c r="AO1544" s="1">
        <f>VLOOKUP($C1544,'Substrate Heating'!$A$2:$B$33,2,FALSE)</f>
        <v>26.7</v>
      </c>
      <c r="AP1544" s="1">
        <f>VLOOKUP($C1544,'Substrate Heating'!$A$2:$M$33,13,FALSE)</f>
        <v>6</v>
      </c>
      <c r="AQ1544" s="1">
        <f>VLOOKUP($C1544,'Substrate Heating'!$A$2:$M$33,8,FALSE)</f>
        <v>2</v>
      </c>
      <c r="AR1544" s="1">
        <f t="shared" si="24"/>
        <v>1.31</v>
      </c>
    </row>
    <row r="1545" spans="1:44" x14ac:dyDescent="0.2">
      <c r="A1545" s="8" t="s">
        <v>34</v>
      </c>
      <c r="B1545" s="9" t="s">
        <v>35</v>
      </c>
      <c r="C1545" s="1" t="s">
        <v>36</v>
      </c>
      <c r="D1545" s="10" t="s">
        <v>37</v>
      </c>
      <c r="E1545" s="1" t="s">
        <v>275</v>
      </c>
      <c r="F1545" s="1" t="s">
        <v>276</v>
      </c>
      <c r="G1545" s="1">
        <v>-10</v>
      </c>
      <c r="H1545" s="1">
        <v>-20</v>
      </c>
      <c r="I1545" s="1" t="s">
        <v>40</v>
      </c>
      <c r="J1545" s="1">
        <v>3.15</v>
      </c>
      <c r="K1545" s="1">
        <v>-10</v>
      </c>
      <c r="L1545" s="1">
        <v>-11.1642857142857</v>
      </c>
      <c r="M1545" s="1" t="s">
        <v>40</v>
      </c>
      <c r="N1545" s="1">
        <v>-7.6714285714285797</v>
      </c>
      <c r="O1545" s="1">
        <v>9.2238095238095195</v>
      </c>
      <c r="Q1545" s="1">
        <v>0.92238095238095197</v>
      </c>
      <c r="R1545" s="1">
        <v>2.13665104370296</v>
      </c>
      <c r="S1545" s="1" t="str">
        <f>VLOOKUP($E1545,'Product Naming'!$A$1:$P$58,2,FALSE)</f>
        <v>Malonate</v>
      </c>
      <c r="T1545" s="1" t="str">
        <f>VLOOKUP($E1545,'Product Naming'!$A$1:$P$58,3,FALSE)</f>
        <v>Malonate</v>
      </c>
      <c r="U1545" s="1" t="str">
        <f>VLOOKUP($E1545,'Product Naming'!$A$1:$P$58,4,FALSE)</f>
        <v>A</v>
      </c>
      <c r="V1545" s="1" t="str">
        <f>VLOOKUP($E1545,'Product Naming'!$A$1:$P$58,5,FALSE)</f>
        <v>C3H2O4</v>
      </c>
      <c r="W1545" s="1">
        <f>VLOOKUP($E1545,'Product Naming'!$A$1:$P$58,6,FALSE)</f>
        <v>3</v>
      </c>
      <c r="X1545" s="1">
        <f>VLOOKUP($E1545,'Product Naming'!$A$1:$P$58,7,FALSE)</f>
        <v>2</v>
      </c>
      <c r="Y1545" s="1">
        <f>VLOOKUP($E1545,'Product Naming'!$A$1:$P$58,8,FALSE)</f>
        <v>4</v>
      </c>
      <c r="Z1545" s="1">
        <f>VLOOKUP($E1545,'Product Naming'!$A$1:$P$58,9,FALSE)</f>
        <v>0</v>
      </c>
      <c r="AA1545" s="1">
        <f>VLOOKUP($E1545,'Product Naming'!$A$1:$P$58,10,FALSE)</f>
        <v>-2</v>
      </c>
      <c r="AB1545" s="29">
        <f>VLOOKUP($E1545,'Product Naming'!$A$1:$P$58,11,FALSE)</f>
        <v>2</v>
      </c>
      <c r="AC1545" s="3">
        <f>VLOOKUP($E1545,'Product Naming'!$A$1:$P$58,12,FALSE)</f>
        <v>102.04378</v>
      </c>
      <c r="AD1545" s="1">
        <f>VLOOKUP($E1545,'Product Naming'!$A$1:$P$58,13,FALSE)</f>
        <v>199</v>
      </c>
      <c r="AE1545" s="1" t="str">
        <f>VLOOKUP($E1545,'Product Naming'!$A$1:$P$58,14,FALSE)</f>
        <v>Dicarboxylate</v>
      </c>
      <c r="AF1545" s="1" t="str">
        <f>VLOOKUP($E1545,'Product Naming'!$A$1:$P$58,15,FALSE)</f>
        <v>Oxaloacetate</v>
      </c>
      <c r="AG1545" s="30" t="str">
        <f>VLOOKUP($E1545,'Product Naming'!$A$1:$P$58,16,FALSE)</f>
        <v>Proton symporter</v>
      </c>
      <c r="AH1545" s="3" t="str">
        <f>VLOOKUP($E1545,'Product Naming'!$A$1:$Q$58,17,FALSE)</f>
        <v>malon_c</v>
      </c>
      <c r="AI1545" s="1">
        <f>VLOOKUP($E1545,'Product Parameters'!$A$2:$D$59,2,FALSE)</f>
        <v>1</v>
      </c>
      <c r="AJ1545" s="1">
        <f>VLOOKUP($E1545,'Product Parameters'!$A$2:$D$59,3,FALSE)</f>
        <v>0</v>
      </c>
      <c r="AK1545" s="1">
        <f>VLOOKUP($E1545,'Product Parameters'!$A$2:$D$59,4,FALSE)</f>
        <v>0.12</v>
      </c>
      <c r="AL1545" s="1">
        <f>VLOOKUP($E1545,'Product Parameters'!$A$2:$E$59,5,FALSE)</f>
        <v>40.65</v>
      </c>
      <c r="AM1545" s="1">
        <f>VLOOKUP($E1545,'Product Parameters'!$A$2:$F$59,6,FALSE)</f>
        <v>3</v>
      </c>
      <c r="AN1545" s="1">
        <f>VLOOKUP($C1545,'Substrate Heating'!$A$2:$C$33,3,FALSE)</f>
        <v>1064.1143145599999</v>
      </c>
      <c r="AO1545" s="1">
        <f>VLOOKUP($C1545,'Substrate Heating'!$A$2:$B$33,2,FALSE)</f>
        <v>24.155999999999999</v>
      </c>
      <c r="AP1545" s="1">
        <f>VLOOKUP($C1545,'Substrate Heating'!$A$2:$M$33,13,FALSE)</f>
        <v>5</v>
      </c>
      <c r="AQ1545" s="1">
        <f>VLOOKUP($C1545,'Substrate Heating'!$A$2:$M$33,8,FALSE)</f>
        <v>2</v>
      </c>
      <c r="AR1545" s="1">
        <f t="shared" si="24"/>
        <v>1.383571428571428</v>
      </c>
    </row>
    <row r="1546" spans="1:44" x14ac:dyDescent="0.2">
      <c r="A1546" s="8" t="s">
        <v>812</v>
      </c>
      <c r="B1546" s="9" t="s">
        <v>35</v>
      </c>
      <c r="C1546" t="s">
        <v>813</v>
      </c>
      <c r="E1546" t="s">
        <v>215</v>
      </c>
      <c r="F1546" t="s">
        <v>216</v>
      </c>
      <c r="G1546">
        <v>-10</v>
      </c>
      <c r="H1546">
        <v>-20</v>
      </c>
      <c r="I1546">
        <v>0</v>
      </c>
      <c r="J1546">
        <v>3.15</v>
      </c>
      <c r="K1546">
        <v>-10</v>
      </c>
      <c r="L1546">
        <v>-5</v>
      </c>
      <c r="M1546">
        <v>0</v>
      </c>
      <c r="N1546">
        <v>-14.4444444444444</v>
      </c>
      <c r="O1546">
        <v>8.8888888888888999</v>
      </c>
      <c r="P1546"/>
      <c r="Q1546">
        <v>0.88888888888888995</v>
      </c>
      <c r="R1546">
        <v>2.1612954852374999</v>
      </c>
      <c r="S1546" s="1" t="str">
        <f>VLOOKUP($E1546,'Product Naming'!$A$1:$P$58,2,FALSE)</f>
        <v>Glutamate_L</v>
      </c>
      <c r="T1546" s="1" t="str">
        <f>VLOOKUP($E1546,'Product Naming'!$A$1:$P$58,3,FALSE)</f>
        <v>L-Glutamate</v>
      </c>
      <c r="U1546" s="1" t="str">
        <f>VLOOKUP($E1546,'Product Naming'!$A$1:$P$58,4,FALSE)</f>
        <v>iJO1366</v>
      </c>
      <c r="V1546" s="1" t="str">
        <f>VLOOKUP($E1546,'Product Naming'!$A$1:$P$58,5,FALSE)</f>
        <v>C5H8NO4</v>
      </c>
      <c r="W1546" s="1">
        <f>VLOOKUP($E1546,'Product Naming'!$A$1:$P$58,6,FALSE)</f>
        <v>5</v>
      </c>
      <c r="X1546" s="1">
        <f>VLOOKUP($E1546,'Product Naming'!$A$1:$P$58,7,FALSE)</f>
        <v>8</v>
      </c>
      <c r="Y1546" s="1">
        <f>VLOOKUP($E1546,'Product Naming'!$A$1:$P$58,8,FALSE)</f>
        <v>4</v>
      </c>
      <c r="Z1546" s="1">
        <f>VLOOKUP($E1546,'Product Naming'!$A$1:$P$58,9,FALSE)</f>
        <v>1</v>
      </c>
      <c r="AA1546" s="1">
        <f>VLOOKUP($E1546,'Product Naming'!$A$1:$P$58,10,FALSE)</f>
        <v>-1</v>
      </c>
      <c r="AB1546" s="29">
        <f>VLOOKUP($E1546,'Product Naming'!$A$1:$P$58,11,FALSE)</f>
        <v>3.4</v>
      </c>
      <c r="AC1546" s="3">
        <f>VLOOKUP($E1546,'Product Naming'!$A$1:$P$58,12,FALSE)</f>
        <v>146.11892</v>
      </c>
      <c r="AD1546" s="1">
        <f>VLOOKUP($E1546,'Product Naming'!$A$1:$P$58,13,FALSE)</f>
        <v>333.8</v>
      </c>
      <c r="AE1546" s="1" t="str">
        <f>VLOOKUP($E1546,'Product Naming'!$A$1:$P$58,14,FALSE)</f>
        <v>Amino acid</v>
      </c>
      <c r="AF1546" s="1" t="str">
        <f>VLOOKUP($E1546,'Product Naming'!$A$1:$P$58,15,FALSE)</f>
        <v>aKG</v>
      </c>
      <c r="AG1546" s="30" t="str">
        <f>VLOOKUP($E1546,'Product Naming'!$A$1:$P$58,16,FALSE)</f>
        <v>Proton symporter</v>
      </c>
      <c r="AH1546" s="3" t="str">
        <f>VLOOKUP($E1546,'Product Naming'!$A$1:$Q$58,17,FALSE)</f>
        <v>glu__L_c</v>
      </c>
      <c r="AI1546" s="1">
        <f>VLOOKUP($E1546,'Product Parameters'!$A$2:$D$59,2,FALSE)</f>
        <v>1</v>
      </c>
      <c r="AJ1546" s="1">
        <f>VLOOKUP($E1546,'Product Parameters'!$A$2:$D$59,3,FALSE)</f>
        <v>0</v>
      </c>
      <c r="AK1546" s="1">
        <f>VLOOKUP($E1546,'Product Parameters'!$A$2:$D$59,4,FALSE)</f>
        <v>0.12</v>
      </c>
      <c r="AL1546" s="1">
        <f>VLOOKUP($E1546,'Product Parameters'!$A$2:$E$59,5,FALSE)</f>
        <v>40.65</v>
      </c>
      <c r="AM1546" s="1">
        <f>VLOOKUP($E1546,'Product Parameters'!$A$2:$F$59,6,FALSE)</f>
        <v>5</v>
      </c>
      <c r="AN1546" s="1">
        <f>VLOOKUP($C1546,'Substrate Heating'!$A$2:$C$33,3,FALSE)</f>
        <v>1843.720736</v>
      </c>
      <c r="AO1546" s="1">
        <f>VLOOKUP($C1546,'Substrate Heating'!$A$2:$B$33,2,FALSE)</f>
        <v>30.68</v>
      </c>
      <c r="AP1546" s="1">
        <f>VLOOKUP($C1546,'Substrate Heating'!$A$2:$M$33,13,FALSE)</f>
        <v>6</v>
      </c>
      <c r="AQ1546" s="1">
        <f>VLOOKUP($C1546,'Substrate Heating'!$A$2:$M$33,8,FALSE)</f>
        <v>3</v>
      </c>
      <c r="AR1546" s="1">
        <f t="shared" si="24"/>
        <v>1.4814814814814834</v>
      </c>
    </row>
    <row r="1547" spans="1:44" x14ac:dyDescent="0.2">
      <c r="A1547" s="17" t="s">
        <v>185</v>
      </c>
      <c r="B1547" s="9" t="s">
        <v>35</v>
      </c>
      <c r="C1547" t="s">
        <v>332</v>
      </c>
      <c r="D1547" s="10" t="s">
        <v>37</v>
      </c>
      <c r="E1547" t="s">
        <v>269</v>
      </c>
      <c r="F1547" t="s">
        <v>270</v>
      </c>
      <c r="G1547">
        <v>-10</v>
      </c>
      <c r="H1547">
        <v>-20</v>
      </c>
      <c r="I1547" s="1" t="s">
        <v>40</v>
      </c>
      <c r="J1547">
        <v>3.15</v>
      </c>
      <c r="K1547">
        <v>-10</v>
      </c>
      <c r="L1547">
        <v>-10.75</v>
      </c>
      <c r="M1547" s="1" t="s">
        <v>40</v>
      </c>
      <c r="N1547">
        <v>-10.8</v>
      </c>
      <c r="O1547">
        <v>7.7</v>
      </c>
      <c r="P1547"/>
      <c r="Q1547">
        <v>0.77</v>
      </c>
      <c r="R1547">
        <v>2.20748652844612</v>
      </c>
      <c r="S1547" s="1" t="str">
        <f>VLOOKUP($E1547,'Product Naming'!$A$1:$P$58,2,FALSE)</f>
        <v>Malate_L</v>
      </c>
      <c r="T1547" s="1" t="str">
        <f>VLOOKUP($E1547,'Product Naming'!$A$1:$P$58,3,FALSE)</f>
        <v>L-Malate</v>
      </c>
      <c r="U1547" s="1" t="str">
        <f>VLOOKUP($E1547,'Product Naming'!$A$1:$P$58,4,FALSE)</f>
        <v>iJO1366</v>
      </c>
      <c r="V1547" s="1" t="str">
        <f>VLOOKUP($E1547,'Product Naming'!$A$1:$P$58,5,FALSE)</f>
        <v>C4H4O5</v>
      </c>
      <c r="W1547" s="1">
        <f>VLOOKUP($E1547,'Product Naming'!$A$1:$P$58,6,FALSE)</f>
        <v>4</v>
      </c>
      <c r="X1547" s="1">
        <f>VLOOKUP($E1547,'Product Naming'!$A$1:$P$58,7,FALSE)</f>
        <v>4</v>
      </c>
      <c r="Y1547" s="1">
        <f>VLOOKUP($E1547,'Product Naming'!$A$1:$P$58,8,FALSE)</f>
        <v>5</v>
      </c>
      <c r="Z1547" s="1">
        <f>VLOOKUP($E1547,'Product Naming'!$A$1:$P$58,9,FALSE)</f>
        <v>0</v>
      </c>
      <c r="AA1547" s="1">
        <f>VLOOKUP($E1547,'Product Naming'!$A$1:$P$58,10,FALSE)</f>
        <v>-2</v>
      </c>
      <c r="AB1547" s="29">
        <f>VLOOKUP($E1547,'Product Naming'!$A$1:$P$58,11,FALSE)</f>
        <v>2.5</v>
      </c>
      <c r="AC1547" s="3">
        <f>VLOOKUP($E1547,'Product Naming'!$A$1:$P$58,12,FALSE)</f>
        <v>132.06916000000001</v>
      </c>
      <c r="AD1547" s="1" t="str">
        <f>VLOOKUP($E1547,'Product Naming'!$A$1:$P$58,13,FALSE)</f>
        <v>NA</v>
      </c>
      <c r="AE1547" s="1" t="str">
        <f>VLOOKUP($E1547,'Product Naming'!$A$1:$P$58,14,FALSE)</f>
        <v>Dicarboxylate</v>
      </c>
      <c r="AF1547" s="1" t="str">
        <f>VLOOKUP($E1547,'Product Naming'!$A$1:$P$58,15,FALSE)</f>
        <v>Oxaloacetate</v>
      </c>
      <c r="AG1547" s="30" t="str">
        <f>VLOOKUP($E1547,'Product Naming'!$A$1:$P$58,16,FALSE)</f>
        <v>Proton symporter</v>
      </c>
      <c r="AH1547" s="3" t="str">
        <f>VLOOKUP($E1547,'Product Naming'!$A$1:$Q$58,17,FALSE)</f>
        <v>mal__L_e</v>
      </c>
      <c r="AI1547" s="1">
        <f>VLOOKUP($E1547,'Product Parameters'!$A$2:$D$59,2,FALSE)</f>
        <v>1</v>
      </c>
      <c r="AJ1547" s="1">
        <f>VLOOKUP($E1547,'Product Parameters'!$A$2:$D$59,3,FALSE)</f>
        <v>0</v>
      </c>
      <c r="AK1547" s="1">
        <f>VLOOKUP($E1547,'Product Parameters'!$A$2:$D$59,4,FALSE)</f>
        <v>0.12</v>
      </c>
      <c r="AL1547" s="1">
        <f>VLOOKUP($E1547,'Product Parameters'!$A$2:$E$59,5,FALSE)</f>
        <v>40.65</v>
      </c>
      <c r="AM1547" s="1">
        <f>VLOOKUP($E1547,'Product Parameters'!$A$2:$F$59,6,FALSE)</f>
        <v>4</v>
      </c>
      <c r="AN1547" s="1">
        <f>VLOOKUP($C1547,'Substrate Heating'!$A$2:$C$33,3,FALSE)</f>
        <v>1230.0006480000002</v>
      </c>
      <c r="AO1547" s="1">
        <f>VLOOKUP($C1547,'Substrate Heating'!$A$2:$B$33,2,FALSE)</f>
        <v>26.7</v>
      </c>
      <c r="AP1547" s="1">
        <f>VLOOKUP($C1547,'Substrate Heating'!$A$2:$M$33,13,FALSE)</f>
        <v>6</v>
      </c>
      <c r="AQ1547" s="1">
        <f>VLOOKUP($C1547,'Substrate Heating'!$A$2:$M$33,8,FALSE)</f>
        <v>2</v>
      </c>
      <c r="AR1547" s="1">
        <f t="shared" si="24"/>
        <v>1.54</v>
      </c>
    </row>
    <row r="1548" spans="1:44" x14ac:dyDescent="0.2">
      <c r="A1548" s="8" t="s">
        <v>812</v>
      </c>
      <c r="B1548" s="9" t="s">
        <v>35</v>
      </c>
      <c r="C1548" t="s">
        <v>813</v>
      </c>
      <c r="E1548" t="s">
        <v>275</v>
      </c>
      <c r="F1548" t="s">
        <v>276</v>
      </c>
      <c r="G1548">
        <v>-10</v>
      </c>
      <c r="H1548">
        <v>-20</v>
      </c>
      <c r="I1548">
        <v>0</v>
      </c>
      <c r="J1548">
        <v>3.15</v>
      </c>
      <c r="K1548">
        <v>-10</v>
      </c>
      <c r="L1548">
        <v>-18.775438596491199</v>
      </c>
      <c r="M1548">
        <v>0</v>
      </c>
      <c r="N1548">
        <v>-9.3368421052631305</v>
      </c>
      <c r="O1548">
        <v>13.112280701754299</v>
      </c>
      <c r="P1548"/>
      <c r="Q1548">
        <v>1.31122807017543</v>
      </c>
      <c r="R1548">
        <v>2.22651174674195</v>
      </c>
      <c r="S1548" s="1" t="str">
        <f>VLOOKUP($E1548,'Product Naming'!$A$1:$P$58,2,FALSE)</f>
        <v>Malonate</v>
      </c>
      <c r="T1548" s="1" t="str">
        <f>VLOOKUP($E1548,'Product Naming'!$A$1:$P$58,3,FALSE)</f>
        <v>Malonate</v>
      </c>
      <c r="U1548" s="1" t="str">
        <f>VLOOKUP($E1548,'Product Naming'!$A$1:$P$58,4,FALSE)</f>
        <v>A</v>
      </c>
      <c r="V1548" s="1" t="str">
        <f>VLOOKUP($E1548,'Product Naming'!$A$1:$P$58,5,FALSE)</f>
        <v>C3H2O4</v>
      </c>
      <c r="W1548" s="1">
        <f>VLOOKUP($E1548,'Product Naming'!$A$1:$P$58,6,FALSE)</f>
        <v>3</v>
      </c>
      <c r="X1548" s="1">
        <f>VLOOKUP($E1548,'Product Naming'!$A$1:$P$58,7,FALSE)</f>
        <v>2</v>
      </c>
      <c r="Y1548" s="1">
        <f>VLOOKUP($E1548,'Product Naming'!$A$1:$P$58,8,FALSE)</f>
        <v>4</v>
      </c>
      <c r="Z1548" s="1">
        <f>VLOOKUP($E1548,'Product Naming'!$A$1:$P$58,9,FALSE)</f>
        <v>0</v>
      </c>
      <c r="AA1548" s="1">
        <f>VLOOKUP($E1548,'Product Naming'!$A$1:$P$58,10,FALSE)</f>
        <v>-2</v>
      </c>
      <c r="AB1548" s="29">
        <f>VLOOKUP($E1548,'Product Naming'!$A$1:$P$58,11,FALSE)</f>
        <v>2</v>
      </c>
      <c r="AC1548" s="3">
        <f>VLOOKUP($E1548,'Product Naming'!$A$1:$P$58,12,FALSE)</f>
        <v>102.04378</v>
      </c>
      <c r="AD1548" s="1">
        <f>VLOOKUP($E1548,'Product Naming'!$A$1:$P$58,13,FALSE)</f>
        <v>199</v>
      </c>
      <c r="AE1548" s="1" t="str">
        <f>VLOOKUP($E1548,'Product Naming'!$A$1:$P$58,14,FALSE)</f>
        <v>Dicarboxylate</v>
      </c>
      <c r="AF1548" s="1" t="str">
        <f>VLOOKUP($E1548,'Product Naming'!$A$1:$P$58,15,FALSE)</f>
        <v>Oxaloacetate</v>
      </c>
      <c r="AG1548" s="30" t="str">
        <f>VLOOKUP($E1548,'Product Naming'!$A$1:$P$58,16,FALSE)</f>
        <v>Proton symporter</v>
      </c>
      <c r="AH1548" s="3" t="str">
        <f>VLOOKUP($E1548,'Product Naming'!$A$1:$Q$58,17,FALSE)</f>
        <v>malon_c</v>
      </c>
      <c r="AI1548" s="1">
        <f>VLOOKUP($E1548,'Product Parameters'!$A$2:$D$59,2,FALSE)</f>
        <v>1</v>
      </c>
      <c r="AJ1548" s="1">
        <f>VLOOKUP($E1548,'Product Parameters'!$A$2:$D$59,3,FALSE)</f>
        <v>0</v>
      </c>
      <c r="AK1548" s="1">
        <f>VLOOKUP($E1548,'Product Parameters'!$A$2:$D$59,4,FALSE)</f>
        <v>0.12</v>
      </c>
      <c r="AL1548" s="1">
        <f>VLOOKUP($E1548,'Product Parameters'!$A$2:$E$59,5,FALSE)</f>
        <v>40.65</v>
      </c>
      <c r="AM1548" s="1">
        <f>VLOOKUP($E1548,'Product Parameters'!$A$2:$F$59,6,FALSE)</f>
        <v>3</v>
      </c>
      <c r="AN1548" s="1">
        <f>VLOOKUP($C1548,'Substrate Heating'!$A$2:$C$33,3,FALSE)</f>
        <v>1843.720736</v>
      </c>
      <c r="AO1548" s="1">
        <f>VLOOKUP($C1548,'Substrate Heating'!$A$2:$B$33,2,FALSE)</f>
        <v>30.68</v>
      </c>
      <c r="AP1548" s="1">
        <f>VLOOKUP($C1548,'Substrate Heating'!$A$2:$M$33,13,FALSE)</f>
        <v>6</v>
      </c>
      <c r="AQ1548" s="1">
        <f>VLOOKUP($C1548,'Substrate Heating'!$A$2:$M$33,8,FALSE)</f>
        <v>3</v>
      </c>
      <c r="AR1548" s="1">
        <f t="shared" si="24"/>
        <v>1.31122807017543</v>
      </c>
    </row>
    <row r="1549" spans="1:44" x14ac:dyDescent="0.2">
      <c r="A1549" s="8" t="s">
        <v>812</v>
      </c>
      <c r="B1549" s="9" t="s">
        <v>35</v>
      </c>
      <c r="C1549" t="s">
        <v>813</v>
      </c>
      <c r="E1549" t="s">
        <v>269</v>
      </c>
      <c r="F1549" t="s">
        <v>270</v>
      </c>
      <c r="G1549">
        <v>-10</v>
      </c>
      <c r="H1549">
        <v>-20</v>
      </c>
      <c r="I1549">
        <v>0</v>
      </c>
      <c r="J1549">
        <v>3.15</v>
      </c>
      <c r="K1549">
        <v>-10</v>
      </c>
      <c r="L1549">
        <v>-14.284931506849301</v>
      </c>
      <c r="M1549">
        <v>0</v>
      </c>
      <c r="N1549">
        <v>-10.9534246575342</v>
      </c>
      <c r="O1549">
        <v>10.2383561643835</v>
      </c>
      <c r="P1549"/>
      <c r="Q1549">
        <v>1.02383561643835</v>
      </c>
      <c r="R1549">
        <v>2.2500484205243598</v>
      </c>
      <c r="S1549" s="1" t="str">
        <f>VLOOKUP($E1549,'Product Naming'!$A$1:$P$58,2,FALSE)</f>
        <v>Malate_L</v>
      </c>
      <c r="T1549" s="1" t="str">
        <f>VLOOKUP($E1549,'Product Naming'!$A$1:$P$58,3,FALSE)</f>
        <v>L-Malate</v>
      </c>
      <c r="U1549" s="1" t="str">
        <f>VLOOKUP($E1549,'Product Naming'!$A$1:$P$58,4,FALSE)</f>
        <v>iJO1366</v>
      </c>
      <c r="V1549" s="1" t="str">
        <f>VLOOKUP($E1549,'Product Naming'!$A$1:$P$58,5,FALSE)</f>
        <v>C4H4O5</v>
      </c>
      <c r="W1549" s="1">
        <f>VLOOKUP($E1549,'Product Naming'!$A$1:$P$58,6,FALSE)</f>
        <v>4</v>
      </c>
      <c r="X1549" s="1">
        <f>VLOOKUP($E1549,'Product Naming'!$A$1:$P$58,7,FALSE)</f>
        <v>4</v>
      </c>
      <c r="Y1549" s="1">
        <f>VLOOKUP($E1549,'Product Naming'!$A$1:$P$58,8,FALSE)</f>
        <v>5</v>
      </c>
      <c r="Z1549" s="1">
        <f>VLOOKUP($E1549,'Product Naming'!$A$1:$P$58,9,FALSE)</f>
        <v>0</v>
      </c>
      <c r="AA1549" s="1">
        <f>VLOOKUP($E1549,'Product Naming'!$A$1:$P$58,10,FALSE)</f>
        <v>-2</v>
      </c>
      <c r="AB1549" s="29">
        <f>VLOOKUP($E1549,'Product Naming'!$A$1:$P$58,11,FALSE)</f>
        <v>2.5</v>
      </c>
      <c r="AC1549" s="3">
        <f>VLOOKUP($E1549,'Product Naming'!$A$1:$P$58,12,FALSE)</f>
        <v>132.06916000000001</v>
      </c>
      <c r="AD1549" s="1" t="str">
        <f>VLOOKUP($E1549,'Product Naming'!$A$1:$P$58,13,FALSE)</f>
        <v>NA</v>
      </c>
      <c r="AE1549" s="1" t="str">
        <f>VLOOKUP($E1549,'Product Naming'!$A$1:$P$58,14,FALSE)</f>
        <v>Dicarboxylate</v>
      </c>
      <c r="AF1549" s="1" t="str">
        <f>VLOOKUP($E1549,'Product Naming'!$A$1:$P$58,15,FALSE)</f>
        <v>Oxaloacetate</v>
      </c>
      <c r="AG1549" s="30" t="str">
        <f>VLOOKUP($E1549,'Product Naming'!$A$1:$P$58,16,FALSE)</f>
        <v>Proton symporter</v>
      </c>
      <c r="AH1549" s="3" t="str">
        <f>VLOOKUP($E1549,'Product Naming'!$A$1:$Q$58,17,FALSE)</f>
        <v>mal__L_e</v>
      </c>
      <c r="AI1549" s="1">
        <f>VLOOKUP($E1549,'Product Parameters'!$A$2:$D$59,2,FALSE)</f>
        <v>1</v>
      </c>
      <c r="AJ1549" s="1">
        <f>VLOOKUP($E1549,'Product Parameters'!$A$2:$D$59,3,FALSE)</f>
        <v>0</v>
      </c>
      <c r="AK1549" s="1">
        <f>VLOOKUP($E1549,'Product Parameters'!$A$2:$D$59,4,FALSE)</f>
        <v>0.12</v>
      </c>
      <c r="AL1549" s="1">
        <f>VLOOKUP($E1549,'Product Parameters'!$A$2:$E$59,5,FALSE)</f>
        <v>40.65</v>
      </c>
      <c r="AM1549" s="1">
        <f>VLOOKUP($E1549,'Product Parameters'!$A$2:$F$59,6,FALSE)</f>
        <v>4</v>
      </c>
      <c r="AN1549" s="1">
        <f>VLOOKUP($C1549,'Substrate Heating'!$A$2:$C$33,3,FALSE)</f>
        <v>1843.720736</v>
      </c>
      <c r="AO1549" s="1">
        <f>VLOOKUP($C1549,'Substrate Heating'!$A$2:$B$33,2,FALSE)</f>
        <v>30.68</v>
      </c>
      <c r="AP1549" s="1">
        <f>VLOOKUP($C1549,'Substrate Heating'!$A$2:$M$33,13,FALSE)</f>
        <v>6</v>
      </c>
      <c r="AQ1549" s="1">
        <f>VLOOKUP($C1549,'Substrate Heating'!$A$2:$M$33,8,FALSE)</f>
        <v>3</v>
      </c>
      <c r="AR1549" s="1">
        <f t="shared" si="24"/>
        <v>1.3651141552511332</v>
      </c>
    </row>
    <row r="1550" spans="1:44" x14ac:dyDescent="0.2">
      <c r="A1550" s="8" t="s">
        <v>34</v>
      </c>
      <c r="B1550" s="9" t="s">
        <v>35</v>
      </c>
      <c r="C1550" s="1" t="s">
        <v>332</v>
      </c>
      <c r="D1550" s="10" t="s">
        <v>37</v>
      </c>
      <c r="E1550" s="1" t="s">
        <v>275</v>
      </c>
      <c r="F1550" s="1" t="s">
        <v>276</v>
      </c>
      <c r="G1550" s="1">
        <v>-10</v>
      </c>
      <c r="H1550" s="1">
        <v>-20</v>
      </c>
      <c r="I1550" s="1" t="s">
        <v>40</v>
      </c>
      <c r="J1550" s="1">
        <v>3.15</v>
      </c>
      <c r="K1550" s="1">
        <v>-10</v>
      </c>
      <c r="L1550" s="1">
        <v>-14.162686567164201</v>
      </c>
      <c r="M1550" s="1" t="s">
        <v>40</v>
      </c>
      <c r="N1550" s="1">
        <v>-11.6746268656717</v>
      </c>
      <c r="O1550" s="1">
        <v>10.5582089552239</v>
      </c>
      <c r="Q1550" s="1">
        <v>1.05582089552239</v>
      </c>
      <c r="R1550" s="1">
        <v>2.3387441364679602</v>
      </c>
      <c r="S1550" s="1" t="str">
        <f>VLOOKUP($E1550,'Product Naming'!$A$1:$P$58,2,FALSE)</f>
        <v>Malonate</v>
      </c>
      <c r="T1550" s="1" t="str">
        <f>VLOOKUP($E1550,'Product Naming'!$A$1:$P$58,3,FALSE)</f>
        <v>Malonate</v>
      </c>
      <c r="U1550" s="1" t="str">
        <f>VLOOKUP($E1550,'Product Naming'!$A$1:$P$58,4,FALSE)</f>
        <v>A</v>
      </c>
      <c r="V1550" s="1" t="str">
        <f>VLOOKUP($E1550,'Product Naming'!$A$1:$P$58,5,FALSE)</f>
        <v>C3H2O4</v>
      </c>
      <c r="W1550" s="1">
        <f>VLOOKUP($E1550,'Product Naming'!$A$1:$P$58,6,FALSE)</f>
        <v>3</v>
      </c>
      <c r="X1550" s="1">
        <f>VLOOKUP($E1550,'Product Naming'!$A$1:$P$58,7,FALSE)</f>
        <v>2</v>
      </c>
      <c r="Y1550" s="1">
        <f>VLOOKUP($E1550,'Product Naming'!$A$1:$P$58,8,FALSE)</f>
        <v>4</v>
      </c>
      <c r="Z1550" s="1">
        <f>VLOOKUP($E1550,'Product Naming'!$A$1:$P$58,9,FALSE)</f>
        <v>0</v>
      </c>
      <c r="AA1550" s="1">
        <f>VLOOKUP($E1550,'Product Naming'!$A$1:$P$58,10,FALSE)</f>
        <v>-2</v>
      </c>
      <c r="AB1550" s="29">
        <f>VLOOKUP($E1550,'Product Naming'!$A$1:$P$58,11,FALSE)</f>
        <v>2</v>
      </c>
      <c r="AC1550" s="3">
        <f>VLOOKUP($E1550,'Product Naming'!$A$1:$P$58,12,FALSE)</f>
        <v>102.04378</v>
      </c>
      <c r="AD1550" s="1">
        <f>VLOOKUP($E1550,'Product Naming'!$A$1:$P$58,13,FALSE)</f>
        <v>199</v>
      </c>
      <c r="AE1550" s="1" t="str">
        <f>VLOOKUP($E1550,'Product Naming'!$A$1:$P$58,14,FALSE)</f>
        <v>Dicarboxylate</v>
      </c>
      <c r="AF1550" s="1" t="str">
        <f>VLOOKUP($E1550,'Product Naming'!$A$1:$P$58,15,FALSE)</f>
        <v>Oxaloacetate</v>
      </c>
      <c r="AG1550" s="30" t="str">
        <f>VLOOKUP($E1550,'Product Naming'!$A$1:$P$58,16,FALSE)</f>
        <v>Proton symporter</v>
      </c>
      <c r="AH1550" s="3" t="str">
        <f>VLOOKUP($E1550,'Product Naming'!$A$1:$Q$58,17,FALSE)</f>
        <v>malon_c</v>
      </c>
      <c r="AI1550" s="1">
        <f>VLOOKUP($E1550,'Product Parameters'!$A$2:$D$59,2,FALSE)</f>
        <v>1</v>
      </c>
      <c r="AJ1550" s="1">
        <f>VLOOKUP($E1550,'Product Parameters'!$A$2:$D$59,3,FALSE)</f>
        <v>0</v>
      </c>
      <c r="AK1550" s="1">
        <f>VLOOKUP($E1550,'Product Parameters'!$A$2:$D$59,4,FALSE)</f>
        <v>0.12</v>
      </c>
      <c r="AL1550" s="1">
        <f>VLOOKUP($E1550,'Product Parameters'!$A$2:$E$59,5,FALSE)</f>
        <v>40.65</v>
      </c>
      <c r="AM1550" s="1">
        <f>VLOOKUP($E1550,'Product Parameters'!$A$2:$F$59,6,FALSE)</f>
        <v>3</v>
      </c>
      <c r="AN1550" s="1">
        <f>VLOOKUP($C1550,'Substrate Heating'!$A$2:$C$33,3,FALSE)</f>
        <v>1230.0006480000002</v>
      </c>
      <c r="AO1550" s="1">
        <f>VLOOKUP($C1550,'Substrate Heating'!$A$2:$B$33,2,FALSE)</f>
        <v>26.7</v>
      </c>
      <c r="AP1550" s="1">
        <f>VLOOKUP($C1550,'Substrate Heating'!$A$2:$M$33,13,FALSE)</f>
        <v>6</v>
      </c>
      <c r="AQ1550" s="1">
        <f>VLOOKUP($C1550,'Substrate Heating'!$A$2:$M$33,8,FALSE)</f>
        <v>2</v>
      </c>
      <c r="AR1550" s="1">
        <f t="shared" si="24"/>
        <v>1.5837313432835849</v>
      </c>
    </row>
    <row r="1551" spans="1:44" x14ac:dyDescent="0.2">
      <c r="A1551" s="8" t="s">
        <v>792</v>
      </c>
      <c r="B1551" s="18" t="s">
        <v>324</v>
      </c>
      <c r="C1551" t="s">
        <v>365</v>
      </c>
      <c r="D1551" s="23" t="s">
        <v>338</v>
      </c>
      <c r="E1551" t="s">
        <v>313</v>
      </c>
      <c r="F1551" t="s">
        <v>314</v>
      </c>
      <c r="G1551">
        <v>-10</v>
      </c>
      <c r="H1551">
        <v>0</v>
      </c>
      <c r="I1551">
        <v>0</v>
      </c>
      <c r="J1551">
        <v>0.45</v>
      </c>
      <c r="K1551">
        <v>-10</v>
      </c>
      <c r="L1551">
        <v>0</v>
      </c>
      <c r="M1551" s="28" t="s">
        <v>718</v>
      </c>
      <c r="N1551">
        <v>0</v>
      </c>
      <c r="O1551" s="28" t="s">
        <v>719</v>
      </c>
      <c r="P1551"/>
      <c r="Q1551" s="28" t="s">
        <v>720</v>
      </c>
      <c r="R1551" s="28" t="s">
        <v>721</v>
      </c>
      <c r="S1551" s="1" t="str">
        <f>VLOOKUP($E1551,'Product Naming'!$A$1:$P$58,2,FALSE)</f>
        <v>Styrene</v>
      </c>
      <c r="T1551" s="1" t="str">
        <f>VLOOKUP($E1551,'Product Naming'!$A$1:$P$58,3,FALSE)</f>
        <v>Styrene</v>
      </c>
      <c r="U1551" s="1" t="str">
        <f>VLOOKUP($E1551,'Product Naming'!$A$1:$P$58,4,FALSE)</f>
        <v>E-S</v>
      </c>
      <c r="V1551" s="1" t="str">
        <f>VLOOKUP($E1551,'Product Naming'!$A$1:$P$58,5,FALSE)</f>
        <v>C8H8</v>
      </c>
      <c r="W1551" s="1">
        <f>VLOOKUP($E1551,'Product Naming'!$A$1:$P$58,6,FALSE)</f>
        <v>8</v>
      </c>
      <c r="X1551" s="1">
        <f>VLOOKUP($E1551,'Product Naming'!$A$1:$P$58,7,FALSE)</f>
        <v>8</v>
      </c>
      <c r="Y1551" s="1">
        <f>VLOOKUP($E1551,'Product Naming'!$A$1:$P$58,8,FALSE)</f>
        <v>0</v>
      </c>
      <c r="Z1551" s="1">
        <f>VLOOKUP($E1551,'Product Naming'!$A$1:$P$58,9,FALSE)</f>
        <v>0</v>
      </c>
      <c r="AA1551" s="1">
        <f>VLOOKUP($E1551,'Product Naming'!$A$1:$P$58,10,FALSE)</f>
        <v>0</v>
      </c>
      <c r="AB1551" s="29">
        <f>VLOOKUP($E1551,'Product Naming'!$A$1:$P$58,11,FALSE)</f>
        <v>5</v>
      </c>
      <c r="AC1551" s="3">
        <f>VLOOKUP($E1551,'Product Naming'!$A$1:$P$58,12,FALSE)</f>
        <v>104.14832</v>
      </c>
      <c r="AD1551" s="1">
        <f>VLOOKUP($E1551,'Product Naming'!$A$1:$P$58,13,FALSE)</f>
        <v>145</v>
      </c>
      <c r="AE1551" s="1" t="str">
        <f>VLOOKUP($E1551,'Product Naming'!$A$1:$P$58,14,FALSE)</f>
        <v>Cycloalkane</v>
      </c>
      <c r="AF1551" s="1" t="str">
        <f>VLOOKUP($E1551,'Product Naming'!$A$1:$P$58,15,FALSE)</f>
        <v>E4P</v>
      </c>
      <c r="AG1551" s="30" t="str">
        <f>VLOOKUP($E1551,'Product Naming'!$A$1:$P$58,16,FALSE)</f>
        <v>Proton symporter</v>
      </c>
      <c r="AH1551" s="3" t="str">
        <f>VLOOKUP($E1551,'Product Naming'!$A$1:$Q$58,17,FALSE)</f>
        <v>styr_c</v>
      </c>
      <c r="AI1551" s="1">
        <f>VLOOKUP($E1551,'Product Parameters'!$A$2:$D$59,2,FALSE)</f>
        <v>1</v>
      </c>
      <c r="AJ1551" s="1">
        <f>VLOOKUP($E1551,'Product Parameters'!$A$2:$D$59,3,FALSE)</f>
        <v>0</v>
      </c>
      <c r="AK1551" s="1">
        <f>VLOOKUP($E1551,'Product Parameters'!$A$2:$D$59,4,FALSE)</f>
        <v>0.12</v>
      </c>
      <c r="AL1551" s="1">
        <f>VLOOKUP($E1551,'Product Parameters'!$A$2:$E$59,5,FALSE)</f>
        <v>43.9</v>
      </c>
      <c r="AM1551" s="1">
        <f>VLOOKUP($E1551,'Product Parameters'!$A$2:$F$59,6,FALSE)</f>
        <v>8</v>
      </c>
      <c r="AN1551" s="1">
        <f>VLOOKUP($C1551,'Substrate Heating'!$A$2:$C$33,3,FALSE)</f>
        <v>638.57832580000002</v>
      </c>
      <c r="AO1551" s="1">
        <f>VLOOKUP($C1551,'Substrate Heating'!$A$2:$B$33,2,FALSE)</f>
        <v>19.93</v>
      </c>
      <c r="AP1551" s="1">
        <f>VLOOKUP($C1551,'Substrate Heating'!$A$2:$M$33,13,FALSE)</f>
        <v>6</v>
      </c>
      <c r="AQ1551" s="1">
        <f>VLOOKUP($C1551,'Substrate Heating'!$A$2:$M$33,8,FALSE)</f>
        <v>1</v>
      </c>
      <c r="AR1551" s="1">
        <f t="shared" si="24"/>
        <v>0.119272727272728</v>
      </c>
    </row>
    <row r="1552" spans="1:44" x14ac:dyDescent="0.2">
      <c r="A1552" s="8" t="s">
        <v>792</v>
      </c>
      <c r="B1552" s="18" t="s">
        <v>324</v>
      </c>
      <c r="C1552" t="s">
        <v>365</v>
      </c>
      <c r="D1552" s="23" t="s">
        <v>338</v>
      </c>
      <c r="E1552" t="s">
        <v>143</v>
      </c>
      <c r="F1552" t="s">
        <v>137</v>
      </c>
      <c r="G1552">
        <v>-10</v>
      </c>
      <c r="H1552">
        <v>0</v>
      </c>
      <c r="I1552">
        <v>0</v>
      </c>
      <c r="J1552">
        <v>0.45</v>
      </c>
      <c r="K1552">
        <v>-10</v>
      </c>
      <c r="L1552">
        <v>0</v>
      </c>
      <c r="M1552" s="28" t="s">
        <v>492</v>
      </c>
      <c r="N1552">
        <v>0</v>
      </c>
      <c r="O1552" s="28" t="s">
        <v>493</v>
      </c>
      <c r="P1552"/>
      <c r="Q1552" s="28" t="s">
        <v>494</v>
      </c>
      <c r="R1552" s="28" t="s">
        <v>495</v>
      </c>
      <c r="S1552" s="1" t="str">
        <f>VLOOKUP($E1552,'Product Naming'!$A$1:$P$58,2,FALSE)</f>
        <v>Benzoate-PW2</v>
      </c>
      <c r="T1552" s="1" t="str">
        <f>VLOOKUP($E1552,'Product Naming'!$A$1:$P$58,3,FALSE)</f>
        <v>Benzoate (PW2)</v>
      </c>
      <c r="U1552" s="1" t="str">
        <f>VLOOKUP($E1552,'Product Naming'!$A$1:$P$58,4,FALSE)</f>
        <v>A</v>
      </c>
      <c r="V1552" s="1" t="str">
        <f>VLOOKUP($E1552,'Product Naming'!$A$1:$P$58,5,FALSE)</f>
        <v>C7H5O2</v>
      </c>
      <c r="W1552" s="1">
        <f>VLOOKUP($E1552,'Product Naming'!$A$1:$P$58,6,FALSE)</f>
        <v>7</v>
      </c>
      <c r="X1552" s="1">
        <f>VLOOKUP($E1552,'Product Naming'!$A$1:$P$58,7,FALSE)</f>
        <v>5</v>
      </c>
      <c r="Y1552" s="1">
        <f>VLOOKUP($E1552,'Product Naming'!$A$1:$P$58,8,FALSE)</f>
        <v>2</v>
      </c>
      <c r="Z1552" s="1">
        <f>VLOOKUP($E1552,'Product Naming'!$A$1:$P$58,9,FALSE)</f>
        <v>0</v>
      </c>
      <c r="AA1552" s="1">
        <f>VLOOKUP($E1552,'Product Naming'!$A$1:$P$58,10,FALSE)</f>
        <v>-1</v>
      </c>
      <c r="AB1552" s="29">
        <f>VLOOKUP($E1552,'Product Naming'!$A$1:$P$58,11,FALSE)</f>
        <v>4.1428571428571432</v>
      </c>
      <c r="AC1552" s="3">
        <f>VLOOKUP($E1552,'Product Naming'!$A$1:$P$58,12,FALSE)</f>
        <v>121.1121</v>
      </c>
      <c r="AD1552" s="1">
        <f>VLOOKUP($E1552,'Product Naming'!$A$1:$P$58,13,FALSE)</f>
        <v>249.2</v>
      </c>
      <c r="AE1552" s="1" t="str">
        <f>VLOOKUP($E1552,'Product Naming'!$A$1:$P$58,14,FALSE)</f>
        <v>Aromatic + Carboxylate</v>
      </c>
      <c r="AF1552" s="1" t="str">
        <f>VLOOKUP($E1552,'Product Naming'!$A$1:$P$58,15,FALSE)</f>
        <v>E4P + aKG</v>
      </c>
      <c r="AG1552" s="30" t="str">
        <f>VLOOKUP($E1552,'Product Naming'!$A$1:$P$58,16,FALSE)</f>
        <v>Proton symporter</v>
      </c>
      <c r="AH1552" s="3" t="str">
        <f>VLOOKUP($E1552,'Product Naming'!$A$1:$Q$58,17,FALSE)</f>
        <v>bz_c</v>
      </c>
      <c r="AI1552" s="1">
        <f>VLOOKUP($E1552,'Product Parameters'!$A$2:$D$59,2,FALSE)</f>
        <v>1</v>
      </c>
      <c r="AJ1552" s="1">
        <f>VLOOKUP($E1552,'Product Parameters'!$A$2:$D$59,3,FALSE)</f>
        <v>0</v>
      </c>
      <c r="AK1552" s="1">
        <f>VLOOKUP($E1552,'Product Parameters'!$A$2:$D$59,4,FALSE)</f>
        <v>0.12</v>
      </c>
      <c r="AL1552" s="1">
        <f>VLOOKUP($E1552,'Product Parameters'!$A$2:$E$59,5,FALSE)</f>
        <v>40.65</v>
      </c>
      <c r="AM1552" s="1">
        <f>VLOOKUP($E1552,'Product Parameters'!$A$2:$F$59,6,FALSE)</f>
        <v>7</v>
      </c>
      <c r="AN1552" s="1">
        <f>VLOOKUP($C1552,'Substrate Heating'!$A$2:$C$33,3,FALSE)</f>
        <v>638.57832580000002</v>
      </c>
      <c r="AO1552" s="1">
        <f>VLOOKUP($C1552,'Substrate Heating'!$A$2:$B$33,2,FALSE)</f>
        <v>19.93</v>
      </c>
      <c r="AP1552" s="1">
        <f>VLOOKUP($C1552,'Substrate Heating'!$A$2:$M$33,13,FALSE)</f>
        <v>6</v>
      </c>
      <c r="AQ1552" s="1">
        <f>VLOOKUP($C1552,'Substrate Heating'!$A$2:$M$33,8,FALSE)</f>
        <v>1</v>
      </c>
      <c r="AR1552" s="1">
        <f t="shared" si="24"/>
        <v>8.9687499999999989E-2</v>
      </c>
    </row>
    <row r="1553" spans="1:44" x14ac:dyDescent="0.2">
      <c r="A1553" s="8" t="s">
        <v>792</v>
      </c>
      <c r="B1553" s="18" t="s">
        <v>324</v>
      </c>
      <c r="C1553" t="s">
        <v>365</v>
      </c>
      <c r="D1553" s="23" t="s">
        <v>338</v>
      </c>
      <c r="E1553" t="s">
        <v>108</v>
      </c>
      <c r="F1553" t="s">
        <v>109</v>
      </c>
      <c r="G1553">
        <v>-10</v>
      </c>
      <c r="H1553">
        <v>0</v>
      </c>
      <c r="I1553">
        <v>0</v>
      </c>
      <c r="J1553">
        <v>0.45</v>
      </c>
      <c r="K1553">
        <v>-10</v>
      </c>
      <c r="L1553">
        <v>0</v>
      </c>
      <c r="M1553" s="28" t="s">
        <v>436</v>
      </c>
      <c r="N1553">
        <v>0</v>
      </c>
      <c r="O1553" s="28" t="s">
        <v>437</v>
      </c>
      <c r="P1553"/>
      <c r="Q1553" s="28" t="s">
        <v>438</v>
      </c>
      <c r="R1553" s="28" t="s">
        <v>439</v>
      </c>
      <c r="S1553" s="1" t="str">
        <f>VLOOKUP($E1553,'Product Naming'!$A$1:$P$58,2,FALSE)</f>
        <v>4-Hydroxystyrene</v>
      </c>
      <c r="T1553" s="1" t="str">
        <f>VLOOKUP($E1553,'Product Naming'!$A$1:$P$58,3,FALSE)</f>
        <v>4-Hydroxystyrene</v>
      </c>
      <c r="U1553" s="1" t="str">
        <f>VLOOKUP($E1553,'Product Naming'!$A$1:$P$58,4,FALSE)</f>
        <v>E</v>
      </c>
      <c r="V1553" s="1" t="str">
        <f>VLOOKUP($E1553,'Product Naming'!$A$1:$P$58,5,FALSE)</f>
        <v>C8H8O</v>
      </c>
      <c r="W1553" s="1">
        <f>VLOOKUP($E1553,'Product Naming'!$A$1:$P$58,6,FALSE)</f>
        <v>8</v>
      </c>
      <c r="X1553" s="1">
        <f>VLOOKUP($E1553,'Product Naming'!$A$1:$P$58,7,FALSE)</f>
        <v>8</v>
      </c>
      <c r="Y1553" s="1">
        <f>VLOOKUP($E1553,'Product Naming'!$A$1:$P$58,8,FALSE)</f>
        <v>1</v>
      </c>
      <c r="Z1553" s="1">
        <f>VLOOKUP($E1553,'Product Naming'!$A$1:$P$58,9,FALSE)</f>
        <v>0</v>
      </c>
      <c r="AA1553" s="1">
        <f>VLOOKUP($E1553,'Product Naming'!$A$1:$P$58,10,FALSE)</f>
        <v>0</v>
      </c>
      <c r="AB1553" s="29">
        <f>VLOOKUP($E1553,'Product Naming'!$A$1:$P$58,11,FALSE)</f>
        <v>4.75</v>
      </c>
      <c r="AC1553" s="3">
        <f>VLOOKUP($E1553,'Product Naming'!$A$1:$P$58,12,FALSE)</f>
        <v>120.14731999999999</v>
      </c>
      <c r="AD1553" s="1">
        <f>VLOOKUP($E1553,'Product Naming'!$A$1:$P$58,13,FALSE)</f>
        <v>229</v>
      </c>
      <c r="AE1553" s="1" t="str">
        <f>VLOOKUP($E1553,'Product Naming'!$A$1:$P$58,14,FALSE)</f>
        <v>Aromatic + Alcohol</v>
      </c>
      <c r="AF1553" s="1" t="str">
        <f>VLOOKUP($E1553,'Product Naming'!$A$1:$P$58,15,FALSE)</f>
        <v>E4P + L-glutamate</v>
      </c>
      <c r="AG1553" s="30" t="str">
        <f>VLOOKUP($E1553,'Product Naming'!$A$1:$P$58,16,FALSE)</f>
        <v>Proton symporter</v>
      </c>
      <c r="AH1553" s="3" t="str">
        <f>VLOOKUP($E1553,'Product Naming'!$A$1:$Q$58,17,FALSE)</f>
        <v>4hxst_c</v>
      </c>
      <c r="AI1553" s="1">
        <f>VLOOKUP($E1553,'Product Parameters'!$A$2:$D$59,2,FALSE)</f>
        <v>1</v>
      </c>
      <c r="AJ1553" s="1">
        <f>VLOOKUP($E1553,'Product Parameters'!$A$2:$D$59,3,FALSE)</f>
        <v>0</v>
      </c>
      <c r="AK1553" s="1">
        <f>VLOOKUP($E1553,'Product Parameters'!$A$2:$D$59,4,FALSE)</f>
        <v>0.12</v>
      </c>
      <c r="AL1553" s="1">
        <f>VLOOKUP($E1553,'Product Parameters'!$A$2:$E$59,5,FALSE)</f>
        <v>40.65</v>
      </c>
      <c r="AM1553" s="1">
        <f>VLOOKUP($E1553,'Product Parameters'!$A$2:$F$59,6,FALSE)</f>
        <v>8</v>
      </c>
      <c r="AN1553" s="1">
        <f>VLOOKUP($C1553,'Substrate Heating'!$A$2:$C$33,3,FALSE)</f>
        <v>638.57832580000002</v>
      </c>
      <c r="AO1553" s="1">
        <f>VLOOKUP($C1553,'Substrate Heating'!$A$2:$B$33,2,FALSE)</f>
        <v>19.93</v>
      </c>
      <c r="AP1553" s="1">
        <f>VLOOKUP($C1553,'Substrate Heating'!$A$2:$M$33,13,FALSE)</f>
        <v>6</v>
      </c>
      <c r="AQ1553" s="1">
        <f>VLOOKUP($C1553,'Substrate Heating'!$A$2:$M$33,8,FALSE)</f>
        <v>1</v>
      </c>
      <c r="AR1553" s="1">
        <f t="shared" si="24"/>
        <v>0.1161061946902656</v>
      </c>
    </row>
    <row r="1554" spans="1:44" x14ac:dyDescent="0.2">
      <c r="A1554" s="8" t="s">
        <v>792</v>
      </c>
      <c r="B1554" s="18" t="s">
        <v>324</v>
      </c>
      <c r="C1554" t="s">
        <v>369</v>
      </c>
      <c r="D1554" s="23" t="s">
        <v>338</v>
      </c>
      <c r="E1554" t="s">
        <v>136</v>
      </c>
      <c r="F1554" t="s">
        <v>137</v>
      </c>
      <c r="G1554">
        <v>-10</v>
      </c>
      <c r="H1554">
        <v>0</v>
      </c>
      <c r="I1554">
        <v>0</v>
      </c>
      <c r="J1554">
        <v>0.45</v>
      </c>
      <c r="K1554">
        <v>-10</v>
      </c>
      <c r="L1554">
        <v>0</v>
      </c>
      <c r="M1554" s="28" t="s">
        <v>483</v>
      </c>
      <c r="N1554">
        <v>0</v>
      </c>
      <c r="O1554" s="28" t="s">
        <v>484</v>
      </c>
      <c r="P1554"/>
      <c r="Q1554">
        <v>2.6952789699570899E-2</v>
      </c>
      <c r="R1554" s="28" t="s">
        <v>485</v>
      </c>
      <c r="S1554" s="1" t="str">
        <f>VLOOKUP($E1554,'Product Naming'!$A$1:$P$58,2,FALSE)</f>
        <v>Benzoate-PW1</v>
      </c>
      <c r="T1554" s="1" t="str">
        <f>VLOOKUP($E1554,'Product Naming'!$A$1:$P$58,3,FALSE)</f>
        <v>Benzoate (PW1)</v>
      </c>
      <c r="U1554" s="1" t="str">
        <f>VLOOKUP($E1554,'Product Naming'!$A$1:$P$58,4,FALSE)</f>
        <v>A</v>
      </c>
      <c r="V1554" s="1" t="str">
        <f>VLOOKUP($E1554,'Product Naming'!$A$1:$P$58,5,FALSE)</f>
        <v>C7H5O2</v>
      </c>
      <c r="W1554" s="1">
        <f>VLOOKUP($E1554,'Product Naming'!$A$1:$P$58,6,FALSE)</f>
        <v>7</v>
      </c>
      <c r="X1554" s="1">
        <f>VLOOKUP($E1554,'Product Naming'!$A$1:$P$58,7,FALSE)</f>
        <v>5</v>
      </c>
      <c r="Y1554" s="1">
        <f>VLOOKUP($E1554,'Product Naming'!$A$1:$P$58,8,FALSE)</f>
        <v>2</v>
      </c>
      <c r="Z1554" s="1">
        <f>VLOOKUP($E1554,'Product Naming'!$A$1:$P$58,9,FALSE)</f>
        <v>0</v>
      </c>
      <c r="AA1554" s="1">
        <f>VLOOKUP($E1554,'Product Naming'!$A$1:$P$58,10,FALSE)</f>
        <v>-1</v>
      </c>
      <c r="AB1554" s="29">
        <f>VLOOKUP($E1554,'Product Naming'!$A$1:$P$58,11,FALSE)</f>
        <v>4.1428571428571432</v>
      </c>
      <c r="AC1554" s="3">
        <f>VLOOKUP($E1554,'Product Naming'!$A$1:$P$58,12,FALSE)</f>
        <v>121.1121</v>
      </c>
      <c r="AD1554" s="1">
        <f>VLOOKUP($E1554,'Product Naming'!$A$1:$P$58,13,FALSE)</f>
        <v>249.2</v>
      </c>
      <c r="AE1554" s="1" t="str">
        <f>VLOOKUP($E1554,'Product Naming'!$A$1:$P$58,14,FALSE)</f>
        <v>Aromatic + Carboxylate</v>
      </c>
      <c r="AF1554" s="1" t="str">
        <f>VLOOKUP($E1554,'Product Naming'!$A$1:$P$58,15,FALSE)</f>
        <v>E4P + aKG</v>
      </c>
      <c r="AG1554" s="30" t="str">
        <f>VLOOKUP($E1554,'Product Naming'!$A$1:$P$58,16,FALSE)</f>
        <v>Proton symporter</v>
      </c>
      <c r="AH1554" s="3" t="str">
        <f>VLOOKUP($E1554,'Product Naming'!$A$1:$Q$58,17,FALSE)</f>
        <v>bz_c</v>
      </c>
      <c r="AI1554" s="1">
        <f>VLOOKUP($E1554,'Product Parameters'!$A$2:$D$59,2,FALSE)</f>
        <v>1</v>
      </c>
      <c r="AJ1554" s="1">
        <f>VLOOKUP($E1554,'Product Parameters'!$A$2:$D$59,3,FALSE)</f>
        <v>0</v>
      </c>
      <c r="AK1554" s="1">
        <f>VLOOKUP($E1554,'Product Parameters'!$A$2:$D$59,4,FALSE)</f>
        <v>0.12</v>
      </c>
      <c r="AL1554" s="1">
        <f>VLOOKUP($E1554,'Product Parameters'!$A$2:$E$59,5,FALSE)</f>
        <v>40.65</v>
      </c>
      <c r="AM1554" s="1">
        <f>VLOOKUP($E1554,'Product Parameters'!$A$2:$F$59,6,FALSE)</f>
        <v>7</v>
      </c>
      <c r="AN1554" s="1">
        <f>VLOOKUP($C1554,'Substrate Heating'!$A$2:$C$33,3,FALSE)</f>
        <v>638.57832580000002</v>
      </c>
      <c r="AO1554" s="1">
        <f>VLOOKUP($C1554,'Substrate Heating'!$A$2:$B$33,2,FALSE)</f>
        <v>19.93</v>
      </c>
      <c r="AP1554" s="1">
        <f>VLOOKUP($C1554,'Substrate Heating'!$A$2:$M$33,13,FALSE)</f>
        <v>6</v>
      </c>
      <c r="AQ1554" s="1">
        <f>VLOOKUP($C1554,'Substrate Heating'!$A$2:$M$33,8,FALSE)</f>
        <v>1</v>
      </c>
      <c r="AR1554" s="1">
        <f t="shared" si="24"/>
        <v>0.18866952789699629</v>
      </c>
    </row>
    <row r="1555" spans="1:44" x14ac:dyDescent="0.2">
      <c r="A1555" s="8" t="s">
        <v>792</v>
      </c>
      <c r="B1555" s="18" t="s">
        <v>324</v>
      </c>
      <c r="C1555" t="s">
        <v>365</v>
      </c>
      <c r="D1555" s="23" t="s">
        <v>338</v>
      </c>
      <c r="E1555" t="s">
        <v>308</v>
      </c>
      <c r="F1555" t="s">
        <v>309</v>
      </c>
      <c r="G1555">
        <v>-10</v>
      </c>
      <c r="H1555">
        <v>0</v>
      </c>
      <c r="I1555">
        <v>0</v>
      </c>
      <c r="J1555">
        <v>0.45</v>
      </c>
      <c r="K1555">
        <v>-10</v>
      </c>
      <c r="L1555">
        <v>0</v>
      </c>
      <c r="M1555" s="28" t="s">
        <v>704</v>
      </c>
      <c r="N1555">
        <v>0</v>
      </c>
      <c r="O1555" s="28" t="s">
        <v>705</v>
      </c>
      <c r="P1555"/>
      <c r="Q1555" s="28" t="s">
        <v>706</v>
      </c>
      <c r="R1555" s="28" t="s">
        <v>707</v>
      </c>
      <c r="S1555" s="1" t="str">
        <f>VLOOKUP($E1555,'Product Naming'!$A$1:$P$58,2,FALSE)</f>
        <v>Shikimate</v>
      </c>
      <c r="T1555" s="1" t="str">
        <f>VLOOKUP($E1555,'Product Naming'!$A$1:$P$58,3,FALSE)</f>
        <v>Shikimate</v>
      </c>
      <c r="U1555" s="1" t="str">
        <f>VLOOKUP($E1555,'Product Naming'!$A$1:$P$58,4,FALSE)</f>
        <v>E</v>
      </c>
      <c r="V1555" s="1" t="str">
        <f>VLOOKUP($E1555,'Product Naming'!$A$1:$P$58,5,FALSE)</f>
        <v>C7H9O5</v>
      </c>
      <c r="W1555" s="1">
        <f>VLOOKUP($E1555,'Product Naming'!$A$1:$P$58,6,FALSE)</f>
        <v>7</v>
      </c>
      <c r="X1555" s="1">
        <f>VLOOKUP($E1555,'Product Naming'!$A$1:$P$58,7,FALSE)</f>
        <v>9</v>
      </c>
      <c r="Y1555" s="1">
        <f>VLOOKUP($E1555,'Product Naming'!$A$1:$P$58,8,FALSE)</f>
        <v>5</v>
      </c>
      <c r="Z1555" s="1">
        <f>VLOOKUP($E1555,'Product Naming'!$A$1:$P$58,9,FALSE)</f>
        <v>0</v>
      </c>
      <c r="AA1555" s="1">
        <f>VLOOKUP($E1555,'Product Naming'!$A$1:$P$58,10,FALSE)</f>
        <v>-1</v>
      </c>
      <c r="AB1555" s="29">
        <f>VLOOKUP($E1555,'Product Naming'!$A$1:$P$58,11,FALSE)</f>
        <v>3.8571428571428572</v>
      </c>
      <c r="AC1555" s="3">
        <f>VLOOKUP($E1555,'Product Naming'!$A$1:$P$58,12,FALSE)</f>
        <v>173.14046000000002</v>
      </c>
      <c r="AD1555" s="1">
        <f>VLOOKUP($E1555,'Product Naming'!$A$1:$P$58,13,FALSE)</f>
        <v>400.5</v>
      </c>
      <c r="AE1555" s="1" t="str">
        <f>VLOOKUP($E1555,'Product Naming'!$A$1:$P$58,14,FALSE)</f>
        <v>Aromatic + Alcohol + Carboxylate</v>
      </c>
      <c r="AF1555" s="1" t="str">
        <f>VLOOKUP($E1555,'Product Naming'!$A$1:$P$58,15,FALSE)</f>
        <v>PEP + E4P (Glyceraldehyde 3-P)</v>
      </c>
      <c r="AG1555" s="30" t="str">
        <f>VLOOKUP($E1555,'Product Naming'!$A$1:$P$58,16,FALSE)</f>
        <v>Proton symporter</v>
      </c>
      <c r="AH1555" s="3" t="str">
        <f>VLOOKUP($E1555,'Product Naming'!$A$1:$Q$58,17,FALSE)</f>
        <v>skm_c</v>
      </c>
      <c r="AI1555" s="1">
        <f>VLOOKUP($E1555,'Product Parameters'!$A$2:$D$59,2,FALSE)</f>
        <v>1</v>
      </c>
      <c r="AJ1555" s="1">
        <f>VLOOKUP($E1555,'Product Parameters'!$A$2:$D$59,3,FALSE)</f>
        <v>0</v>
      </c>
      <c r="AK1555" s="1">
        <f>VLOOKUP($E1555,'Product Parameters'!$A$2:$D$59,4,FALSE)</f>
        <v>0.12</v>
      </c>
      <c r="AL1555" s="1">
        <f>VLOOKUP($E1555,'Product Parameters'!$A$2:$E$59,5,FALSE)</f>
        <v>40.65</v>
      </c>
      <c r="AM1555" s="1">
        <f>VLOOKUP($E1555,'Product Parameters'!$A$2:$F$59,6,FALSE)</f>
        <v>7</v>
      </c>
      <c r="AN1555" s="1">
        <f>VLOOKUP($C1555,'Substrate Heating'!$A$2:$C$33,3,FALSE)</f>
        <v>638.57832580000002</v>
      </c>
      <c r="AO1555" s="1">
        <f>VLOOKUP($C1555,'Substrate Heating'!$A$2:$B$33,2,FALSE)</f>
        <v>19.93</v>
      </c>
      <c r="AP1555" s="1">
        <f>VLOOKUP($C1555,'Substrate Heating'!$A$2:$M$33,13,FALSE)</f>
        <v>6</v>
      </c>
      <c r="AQ1555" s="1">
        <f>VLOOKUP($C1555,'Substrate Heating'!$A$2:$M$33,8,FALSE)</f>
        <v>1</v>
      </c>
      <c r="AR1555" s="1">
        <f t="shared" si="24"/>
        <v>0.13505882352941159</v>
      </c>
    </row>
    <row r="1556" spans="1:44" x14ac:dyDescent="0.2">
      <c r="A1556" s="8" t="s">
        <v>792</v>
      </c>
      <c r="B1556" s="18" t="s">
        <v>324</v>
      </c>
      <c r="C1556" t="s">
        <v>365</v>
      </c>
      <c r="D1556" s="23" t="s">
        <v>338</v>
      </c>
      <c r="E1556" t="s">
        <v>158</v>
      </c>
      <c r="F1556" t="s">
        <v>159</v>
      </c>
      <c r="G1556">
        <v>-10</v>
      </c>
      <c r="H1556">
        <v>0</v>
      </c>
      <c r="I1556">
        <v>0</v>
      </c>
      <c r="J1556">
        <v>0.45</v>
      </c>
      <c r="K1556">
        <v>-10</v>
      </c>
      <c r="L1556">
        <v>0</v>
      </c>
      <c r="M1556">
        <v>0</v>
      </c>
      <c r="N1556">
        <v>0</v>
      </c>
      <c r="O1556">
        <v>0.58571428571427897</v>
      </c>
      <c r="P1556"/>
      <c r="Q1556">
        <v>5.85714285714279E-2</v>
      </c>
      <c r="R1556" s="28" t="s">
        <v>505</v>
      </c>
      <c r="S1556" s="1" t="str">
        <f>VLOOKUP($E1556,'Product Naming'!$A$1:$P$58,2,FALSE)</f>
        <v>Butane</v>
      </c>
      <c r="T1556" s="1" t="str">
        <f>VLOOKUP($E1556,'Product Naming'!$A$1:$P$58,3,FALSE)</f>
        <v>Butane</v>
      </c>
      <c r="U1556" s="1" t="str">
        <f>VLOOKUP($E1556,'Product Naming'!$A$1:$P$58,4,FALSE)</f>
        <v>E</v>
      </c>
      <c r="V1556" s="1" t="str">
        <f>VLOOKUP($E1556,'Product Naming'!$A$1:$P$58,5,FALSE)</f>
        <v>C4H10</v>
      </c>
      <c r="W1556" s="1">
        <f>VLOOKUP($E1556,'Product Naming'!$A$1:$P$58,6,FALSE)</f>
        <v>4</v>
      </c>
      <c r="X1556" s="1">
        <f>VLOOKUP($E1556,'Product Naming'!$A$1:$P$58,7,FALSE)</f>
        <v>10</v>
      </c>
      <c r="Y1556" s="1">
        <f>VLOOKUP($E1556,'Product Naming'!$A$1:$P$58,8,FALSE)</f>
        <v>0</v>
      </c>
      <c r="Z1556" s="1">
        <f>VLOOKUP($E1556,'Product Naming'!$A$1:$P$58,9,FALSE)</f>
        <v>0</v>
      </c>
      <c r="AA1556" s="1">
        <f>VLOOKUP($E1556,'Product Naming'!$A$1:$P$58,10,FALSE)</f>
        <v>0</v>
      </c>
      <c r="AB1556" s="29">
        <f>VLOOKUP($E1556,'Product Naming'!$A$1:$P$58,11,FALSE)</f>
        <v>6.5</v>
      </c>
      <c r="AC1556" s="3">
        <f>VLOOKUP($E1556,'Product Naming'!$A$1:$P$58,12,FALSE)</f>
        <v>58.121200000000002</v>
      </c>
      <c r="AD1556" s="1">
        <f>VLOOKUP($E1556,'Product Naming'!$A$1:$P$58,13,FALSE)</f>
        <v>-1</v>
      </c>
      <c r="AE1556" s="1" t="str">
        <f>VLOOKUP($E1556,'Product Naming'!$A$1:$P$58,14,FALSE)</f>
        <v>Hydrocarbon (alkane)</v>
      </c>
      <c r="AF1556" s="1" t="str">
        <f>VLOOKUP($E1556,'Product Naming'!$A$1:$P$58,15,FALSE)</f>
        <v>Acetyl-CoA + Succinyl-CoA</v>
      </c>
      <c r="AG1556" s="30" t="str">
        <f>VLOOKUP($E1556,'Product Naming'!$A$1:$P$58,16,FALSE)</f>
        <v>Diffusion</v>
      </c>
      <c r="AH1556" s="3" t="str">
        <f>VLOOKUP($E1556,'Product Naming'!$A$1:$Q$58,17,FALSE)</f>
        <v>butn_c</v>
      </c>
      <c r="AI1556" s="1">
        <f>VLOOKUP($E1556,'Product Parameters'!$A$2:$D$59,2,FALSE)</f>
        <v>0</v>
      </c>
      <c r="AJ1556" s="1">
        <f>VLOOKUP($E1556,'Product Parameters'!$A$2:$D$59,3,FALSE)</f>
        <v>1</v>
      </c>
      <c r="AK1556" s="1">
        <f>VLOOKUP($E1556,'Product Parameters'!$A$2:$D$59,4,FALSE)</f>
        <v>0.12</v>
      </c>
      <c r="AL1556" s="1">
        <f>VLOOKUP($E1556,'Product Parameters'!$A$2:$E$59,5,FALSE)</f>
        <v>0</v>
      </c>
      <c r="AM1556" s="1">
        <f>VLOOKUP($E1556,'Product Parameters'!$A$2:$F$59,6,FALSE)</f>
        <v>4</v>
      </c>
      <c r="AN1556" s="1">
        <f>VLOOKUP($C1556,'Substrate Heating'!$A$2:$C$33,3,FALSE)</f>
        <v>638.57832580000002</v>
      </c>
      <c r="AO1556" s="1">
        <f>VLOOKUP($C1556,'Substrate Heating'!$A$2:$B$33,2,FALSE)</f>
        <v>19.93</v>
      </c>
      <c r="AP1556" s="1">
        <f>VLOOKUP($C1556,'Substrate Heating'!$A$2:$M$33,13,FALSE)</f>
        <v>6</v>
      </c>
      <c r="AQ1556" s="1">
        <f>VLOOKUP($C1556,'Substrate Heating'!$A$2:$M$33,8,FALSE)</f>
        <v>1</v>
      </c>
      <c r="AR1556" s="1">
        <f t="shared" si="24"/>
        <v>0.2342857142857116</v>
      </c>
    </row>
    <row r="1557" spans="1:44" x14ac:dyDescent="0.2">
      <c r="A1557" s="8" t="s">
        <v>792</v>
      </c>
      <c r="B1557" s="18" t="s">
        <v>324</v>
      </c>
      <c r="C1557" t="s">
        <v>369</v>
      </c>
      <c r="D1557" s="23" t="s">
        <v>338</v>
      </c>
      <c r="E1557" t="s">
        <v>108</v>
      </c>
      <c r="F1557" t="s">
        <v>109</v>
      </c>
      <c r="G1557">
        <v>-10</v>
      </c>
      <c r="H1557">
        <v>0</v>
      </c>
      <c r="I1557">
        <v>0</v>
      </c>
      <c r="J1557">
        <v>0.45</v>
      </c>
      <c r="K1557">
        <v>-10</v>
      </c>
      <c r="L1557">
        <v>0</v>
      </c>
      <c r="M1557" s="28" t="s">
        <v>440</v>
      </c>
      <c r="N1557">
        <v>0</v>
      </c>
      <c r="O1557" s="28" t="s">
        <v>441</v>
      </c>
      <c r="P1557"/>
      <c r="Q1557">
        <v>2.8288288288288398E-2</v>
      </c>
      <c r="R1557" s="28" t="s">
        <v>442</v>
      </c>
      <c r="S1557" s="1" t="str">
        <f>VLOOKUP($E1557,'Product Naming'!$A$1:$P$58,2,FALSE)</f>
        <v>4-Hydroxystyrene</v>
      </c>
      <c r="T1557" s="1" t="str">
        <f>VLOOKUP($E1557,'Product Naming'!$A$1:$P$58,3,FALSE)</f>
        <v>4-Hydroxystyrene</v>
      </c>
      <c r="U1557" s="1" t="str">
        <f>VLOOKUP($E1557,'Product Naming'!$A$1:$P$58,4,FALSE)</f>
        <v>E</v>
      </c>
      <c r="V1557" s="1" t="str">
        <f>VLOOKUP($E1557,'Product Naming'!$A$1:$P$58,5,FALSE)</f>
        <v>C8H8O</v>
      </c>
      <c r="W1557" s="1">
        <f>VLOOKUP($E1557,'Product Naming'!$A$1:$P$58,6,FALSE)</f>
        <v>8</v>
      </c>
      <c r="X1557" s="1">
        <f>VLOOKUP($E1557,'Product Naming'!$A$1:$P$58,7,FALSE)</f>
        <v>8</v>
      </c>
      <c r="Y1557" s="1">
        <f>VLOOKUP($E1557,'Product Naming'!$A$1:$P$58,8,FALSE)</f>
        <v>1</v>
      </c>
      <c r="Z1557" s="1">
        <f>VLOOKUP($E1557,'Product Naming'!$A$1:$P$58,9,FALSE)</f>
        <v>0</v>
      </c>
      <c r="AA1557" s="1">
        <f>VLOOKUP($E1557,'Product Naming'!$A$1:$P$58,10,FALSE)</f>
        <v>0</v>
      </c>
      <c r="AB1557" s="29">
        <f>VLOOKUP($E1557,'Product Naming'!$A$1:$P$58,11,FALSE)</f>
        <v>4.75</v>
      </c>
      <c r="AC1557" s="3">
        <f>VLOOKUP($E1557,'Product Naming'!$A$1:$P$58,12,FALSE)</f>
        <v>120.14731999999999</v>
      </c>
      <c r="AD1557" s="1">
        <f>VLOOKUP($E1557,'Product Naming'!$A$1:$P$58,13,FALSE)</f>
        <v>229</v>
      </c>
      <c r="AE1557" s="1" t="str">
        <f>VLOOKUP($E1557,'Product Naming'!$A$1:$P$58,14,FALSE)</f>
        <v>Aromatic + Alcohol</v>
      </c>
      <c r="AF1557" s="1" t="str">
        <f>VLOOKUP($E1557,'Product Naming'!$A$1:$P$58,15,FALSE)</f>
        <v>E4P + L-glutamate</v>
      </c>
      <c r="AG1557" s="30" t="str">
        <f>VLOOKUP($E1557,'Product Naming'!$A$1:$P$58,16,FALSE)</f>
        <v>Proton symporter</v>
      </c>
      <c r="AH1557" s="3" t="str">
        <f>VLOOKUP($E1557,'Product Naming'!$A$1:$Q$58,17,FALSE)</f>
        <v>4hxst_c</v>
      </c>
      <c r="AI1557" s="1">
        <f>VLOOKUP($E1557,'Product Parameters'!$A$2:$D$59,2,FALSE)</f>
        <v>1</v>
      </c>
      <c r="AJ1557" s="1">
        <f>VLOOKUP($E1557,'Product Parameters'!$A$2:$D$59,3,FALSE)</f>
        <v>0</v>
      </c>
      <c r="AK1557" s="1">
        <f>VLOOKUP($E1557,'Product Parameters'!$A$2:$D$59,4,FALSE)</f>
        <v>0.12</v>
      </c>
      <c r="AL1557" s="1">
        <f>VLOOKUP($E1557,'Product Parameters'!$A$2:$E$59,5,FALSE)</f>
        <v>40.65</v>
      </c>
      <c r="AM1557" s="1">
        <f>VLOOKUP($E1557,'Product Parameters'!$A$2:$F$59,6,FALSE)</f>
        <v>8</v>
      </c>
      <c r="AN1557" s="1">
        <f>VLOOKUP($C1557,'Substrate Heating'!$A$2:$C$33,3,FALSE)</f>
        <v>638.57832580000002</v>
      </c>
      <c r="AO1557" s="1">
        <f>VLOOKUP($C1557,'Substrate Heating'!$A$2:$B$33,2,FALSE)</f>
        <v>19.93</v>
      </c>
      <c r="AP1557" s="1">
        <f>VLOOKUP($C1557,'Substrate Heating'!$A$2:$M$33,13,FALSE)</f>
        <v>6</v>
      </c>
      <c r="AQ1557" s="1">
        <f>VLOOKUP($C1557,'Substrate Heating'!$A$2:$M$33,8,FALSE)</f>
        <v>1</v>
      </c>
      <c r="AR1557" s="1">
        <f t="shared" si="24"/>
        <v>0.22630630630630719</v>
      </c>
    </row>
    <row r="1558" spans="1:44" x14ac:dyDescent="0.2">
      <c r="A1558" s="8" t="s">
        <v>792</v>
      </c>
      <c r="B1558" s="18" t="s">
        <v>324</v>
      </c>
      <c r="C1558" t="s">
        <v>365</v>
      </c>
      <c r="D1558" s="23" t="s">
        <v>338</v>
      </c>
      <c r="E1558" t="s">
        <v>72</v>
      </c>
      <c r="F1558" t="s">
        <v>73</v>
      </c>
      <c r="G1558">
        <v>-10</v>
      </c>
      <c r="H1558">
        <v>0</v>
      </c>
      <c r="I1558">
        <v>0</v>
      </c>
      <c r="J1558">
        <v>0.45</v>
      </c>
      <c r="K1558">
        <v>-10</v>
      </c>
      <c r="L1558">
        <v>0</v>
      </c>
      <c r="M1558">
        <v>0</v>
      </c>
      <c r="N1558">
        <v>0</v>
      </c>
      <c r="O1558" s="28" t="s">
        <v>414</v>
      </c>
      <c r="P1558"/>
      <c r="Q1558" s="28" t="s">
        <v>415</v>
      </c>
      <c r="R1558" s="28" t="s">
        <v>416</v>
      </c>
      <c r="S1558" s="1" t="str">
        <f>VLOOKUP($E1558,'Product Naming'!$A$1:$P$58,2,FALSE)</f>
        <v>1-propanol-PW1</v>
      </c>
      <c r="T1558" s="1" t="str">
        <f>VLOOKUP($E1558,'Product Naming'!$A$1:$P$58,3,FALSE)</f>
        <v>1-Propanol (PW1)</v>
      </c>
      <c r="U1558" s="1" t="str">
        <f>VLOOKUP($E1558,'Product Naming'!$A$1:$P$58,4,FALSE)</f>
        <v>E-S</v>
      </c>
      <c r="V1558" s="1" t="str">
        <f>VLOOKUP($E1558,'Product Naming'!$A$1:$P$58,5,FALSE)</f>
        <v>C3H8O</v>
      </c>
      <c r="W1558" s="1">
        <f>VLOOKUP($E1558,'Product Naming'!$A$1:$P$58,6,FALSE)</f>
        <v>3</v>
      </c>
      <c r="X1558" s="1">
        <f>VLOOKUP($E1558,'Product Naming'!$A$1:$P$58,7,FALSE)</f>
        <v>8</v>
      </c>
      <c r="Y1558" s="1">
        <f>VLOOKUP($E1558,'Product Naming'!$A$1:$P$58,8,FALSE)</f>
        <v>1</v>
      </c>
      <c r="Z1558" s="1">
        <f>VLOOKUP($E1558,'Product Naming'!$A$1:$P$58,9,FALSE)</f>
        <v>0</v>
      </c>
      <c r="AA1558" s="1">
        <f>VLOOKUP($E1558,'Product Naming'!$A$1:$P$58,10,FALSE)</f>
        <v>0</v>
      </c>
      <c r="AB1558" s="29">
        <f>VLOOKUP($E1558,'Product Naming'!$A$1:$P$58,11,FALSE)</f>
        <v>6</v>
      </c>
      <c r="AC1558" s="3">
        <f>VLOOKUP($E1558,'Product Naming'!$A$1:$P$58,12,FALSE)</f>
        <v>60.093820000000001</v>
      </c>
      <c r="AD1558" s="1">
        <f>VLOOKUP($E1558,'Product Naming'!$A$1:$P$58,13,FALSE)</f>
        <v>97</v>
      </c>
      <c r="AE1558" s="1" t="str">
        <f>VLOOKUP($E1558,'Product Naming'!$A$1:$P$58,14,FALSE)</f>
        <v>Alcohol</v>
      </c>
      <c r="AF1558" s="1" t="str">
        <f>VLOOKUP($E1558,'Product Naming'!$A$1:$P$58,15,FALSE)</f>
        <v>Glyceraldehyde 3-P (--&gt;DHAP)</v>
      </c>
      <c r="AG1558" s="30" t="str">
        <f>VLOOKUP($E1558,'Product Naming'!$A$1:$P$58,16,FALSE)</f>
        <v>Proton symporter</v>
      </c>
      <c r="AH1558" s="3" t="str">
        <f>VLOOKUP($E1558,'Product Naming'!$A$1:$Q$58,17,FALSE)</f>
        <v>ppoh_c</v>
      </c>
      <c r="AI1558" s="1">
        <f>VLOOKUP($E1558,'Product Parameters'!$A$2:$D$59,2,FALSE)</f>
        <v>1</v>
      </c>
      <c r="AJ1558" s="1">
        <f>VLOOKUP($E1558,'Product Parameters'!$A$2:$D$59,3,FALSE)</f>
        <v>0</v>
      </c>
      <c r="AK1558" s="1">
        <f>VLOOKUP($E1558,'Product Parameters'!$A$2:$D$59,4,FALSE)</f>
        <v>0.12</v>
      </c>
      <c r="AL1558" s="1">
        <f>VLOOKUP($E1558,'Product Parameters'!$A$2:$E$59,5,FALSE)</f>
        <v>47</v>
      </c>
      <c r="AM1558" s="1">
        <f>VLOOKUP($E1558,'Product Parameters'!$A$2:$F$59,6,FALSE)</f>
        <v>3</v>
      </c>
      <c r="AN1558" s="1">
        <f>VLOOKUP($C1558,'Substrate Heating'!$A$2:$C$33,3,FALSE)</f>
        <v>638.57832580000002</v>
      </c>
      <c r="AO1558" s="1">
        <f>VLOOKUP($C1558,'Substrate Heating'!$A$2:$B$33,2,FALSE)</f>
        <v>19.93</v>
      </c>
      <c r="AP1558" s="1">
        <f>VLOOKUP($C1558,'Substrate Heating'!$A$2:$M$33,13,FALSE)</f>
        <v>6</v>
      </c>
      <c r="AQ1558" s="1">
        <f>VLOOKUP($C1558,'Substrate Heating'!$A$2:$M$33,8,FALSE)</f>
        <v>1</v>
      </c>
      <c r="AR1558" s="1">
        <f t="shared" si="24"/>
        <v>0.17571428571428491</v>
      </c>
    </row>
    <row r="1559" spans="1:44" x14ac:dyDescent="0.2">
      <c r="A1559" s="8" t="s">
        <v>792</v>
      </c>
      <c r="B1559" s="18" t="s">
        <v>324</v>
      </c>
      <c r="C1559" t="s">
        <v>365</v>
      </c>
      <c r="D1559" s="23" t="s">
        <v>338</v>
      </c>
      <c r="E1559" t="s">
        <v>66</v>
      </c>
      <c r="F1559" t="s">
        <v>67</v>
      </c>
      <c r="G1559">
        <v>-10</v>
      </c>
      <c r="H1559">
        <v>0</v>
      </c>
      <c r="I1559">
        <v>0</v>
      </c>
      <c r="J1559">
        <v>0.45</v>
      </c>
      <c r="K1559">
        <v>-10</v>
      </c>
      <c r="L1559">
        <v>0</v>
      </c>
      <c r="M1559" s="28" t="s">
        <v>400</v>
      </c>
      <c r="N1559">
        <v>0</v>
      </c>
      <c r="O1559" s="28" t="s">
        <v>401</v>
      </c>
      <c r="P1559"/>
      <c r="Q1559">
        <v>4.2051282051282002E-2</v>
      </c>
      <c r="R1559" s="28" t="s">
        <v>402</v>
      </c>
      <c r="S1559" s="1" t="str">
        <f>VLOOKUP($E1559,'Product Naming'!$A$1:$P$58,2,FALSE)</f>
        <v>1-4-butanediol</v>
      </c>
      <c r="T1559" s="1" t="str">
        <f>VLOOKUP($E1559,'Product Naming'!$A$1:$P$58,3,FALSE)</f>
        <v>1,4-Butanediol</v>
      </c>
      <c r="U1559" s="1" t="str">
        <f>VLOOKUP($E1559,'Product Naming'!$A$1:$P$58,4,FALSE)</f>
        <v>E</v>
      </c>
      <c r="V1559" s="1" t="str">
        <f>VLOOKUP($E1559,'Product Naming'!$A$1:$P$58,5,FALSE)</f>
        <v>C4H10O2</v>
      </c>
      <c r="W1559" s="1">
        <f>VLOOKUP($E1559,'Product Naming'!$A$1:$P$58,6,FALSE)</f>
        <v>4</v>
      </c>
      <c r="X1559" s="1">
        <f>VLOOKUP($E1559,'Product Naming'!$A$1:$P$58,7,FALSE)</f>
        <v>10</v>
      </c>
      <c r="Y1559" s="1">
        <f>VLOOKUP($E1559,'Product Naming'!$A$1:$P$58,8,FALSE)</f>
        <v>2</v>
      </c>
      <c r="Z1559" s="1">
        <f>VLOOKUP($E1559,'Product Naming'!$A$1:$P$58,9,FALSE)</f>
        <v>0</v>
      </c>
      <c r="AA1559" s="1">
        <f>VLOOKUP($E1559,'Product Naming'!$A$1:$P$58,10,FALSE)</f>
        <v>0</v>
      </c>
      <c r="AB1559" s="29">
        <f>VLOOKUP($E1559,'Product Naming'!$A$1:$P$58,11,FALSE)</f>
        <v>5.5</v>
      </c>
      <c r="AC1559" s="3">
        <f>VLOOKUP($E1559,'Product Naming'!$A$1:$P$58,12,FALSE)</f>
        <v>90.119200000000006</v>
      </c>
      <c r="AD1559" s="1">
        <f>VLOOKUP($E1559,'Product Naming'!$A$1:$P$58,13,FALSE)</f>
        <v>230</v>
      </c>
      <c r="AE1559" s="1" t="str">
        <f>VLOOKUP($E1559,'Product Naming'!$A$1:$P$58,14,FALSE)</f>
        <v>Diol</v>
      </c>
      <c r="AF1559" s="1" t="str">
        <f>VLOOKUP($E1559,'Product Naming'!$A$1:$P$58,15,FALSE)</f>
        <v>aKG</v>
      </c>
      <c r="AG1559" s="30" t="str">
        <f>VLOOKUP($E1559,'Product Naming'!$A$1:$P$58,16,FALSE)</f>
        <v>Proton symporter</v>
      </c>
      <c r="AH1559" s="3" t="str">
        <f>VLOOKUP($E1559,'Product Naming'!$A$1:$Q$58,17,FALSE)</f>
        <v>14bdo_c</v>
      </c>
      <c r="AI1559" s="1">
        <f>VLOOKUP($E1559,'Product Parameters'!$A$2:$D$59,2,FALSE)</f>
        <v>1</v>
      </c>
      <c r="AJ1559" s="1">
        <f>VLOOKUP($E1559,'Product Parameters'!$A$2:$D$59,3,FALSE)</f>
        <v>0</v>
      </c>
      <c r="AK1559" s="1">
        <f>VLOOKUP($E1559,'Product Parameters'!$A$2:$D$59,4,FALSE)</f>
        <v>0.12</v>
      </c>
      <c r="AL1559" s="1">
        <f>VLOOKUP($E1559,'Product Parameters'!$A$2:$E$59,5,FALSE)</f>
        <v>78</v>
      </c>
      <c r="AM1559" s="1">
        <f>VLOOKUP($E1559,'Product Parameters'!$A$2:$F$59,6,FALSE)</f>
        <v>4</v>
      </c>
      <c r="AN1559" s="1">
        <f>VLOOKUP($C1559,'Substrate Heating'!$A$2:$C$33,3,FALSE)</f>
        <v>638.57832580000002</v>
      </c>
      <c r="AO1559" s="1">
        <f>VLOOKUP($C1559,'Substrate Heating'!$A$2:$B$33,2,FALSE)</f>
        <v>19.93</v>
      </c>
      <c r="AP1559" s="1">
        <f>VLOOKUP($C1559,'Substrate Heating'!$A$2:$M$33,13,FALSE)</f>
        <v>6</v>
      </c>
      <c r="AQ1559" s="1">
        <f>VLOOKUP($C1559,'Substrate Heating'!$A$2:$M$33,8,FALSE)</f>
        <v>1</v>
      </c>
      <c r="AR1559" s="1">
        <f t="shared" si="24"/>
        <v>0.16820512820512801</v>
      </c>
    </row>
    <row r="1560" spans="1:44" x14ac:dyDescent="0.2">
      <c r="A1560" s="8" t="s">
        <v>792</v>
      </c>
      <c r="B1560" s="18" t="s">
        <v>324</v>
      </c>
      <c r="C1560" t="s">
        <v>371</v>
      </c>
      <c r="D1560" s="23" t="s">
        <v>338</v>
      </c>
      <c r="E1560" t="s">
        <v>297</v>
      </c>
      <c r="F1560" t="s">
        <v>298</v>
      </c>
      <c r="G1560">
        <v>-10</v>
      </c>
      <c r="H1560">
        <v>0</v>
      </c>
      <c r="I1560">
        <v>0</v>
      </c>
      <c r="J1560">
        <v>0.45</v>
      </c>
      <c r="K1560">
        <v>-10</v>
      </c>
      <c r="L1560">
        <v>0</v>
      </c>
      <c r="M1560" s="28" t="s">
        <v>697</v>
      </c>
      <c r="N1560">
        <v>0</v>
      </c>
      <c r="O1560" s="28" t="s">
        <v>698</v>
      </c>
      <c r="P1560"/>
      <c r="Q1560">
        <v>4.4105691056910402E-2</v>
      </c>
      <c r="R1560" s="28" t="s">
        <v>699</v>
      </c>
      <c r="S1560" s="1" t="str">
        <f>VLOOKUP($E1560,'Product Naming'!$A$1:$P$58,2,FALSE)</f>
        <v>Phenol</v>
      </c>
      <c r="T1560" s="1" t="str">
        <f>VLOOKUP($E1560,'Product Naming'!$A$1:$P$58,3,FALSE)</f>
        <v>Phenol</v>
      </c>
      <c r="U1560" s="1" t="str">
        <f>VLOOKUP($E1560,'Product Naming'!$A$1:$P$58,4,FALSE)</f>
        <v>E-S</v>
      </c>
      <c r="V1560" s="1" t="str">
        <f>VLOOKUP($E1560,'Product Naming'!$A$1:$P$58,5,FALSE)</f>
        <v>C6H6O</v>
      </c>
      <c r="W1560" s="1">
        <f>VLOOKUP($E1560,'Product Naming'!$A$1:$P$58,6,FALSE)</f>
        <v>6</v>
      </c>
      <c r="X1560" s="1">
        <f>VLOOKUP($E1560,'Product Naming'!$A$1:$P$58,7,FALSE)</f>
        <v>6</v>
      </c>
      <c r="Y1560" s="1">
        <f>VLOOKUP($E1560,'Product Naming'!$A$1:$P$58,8,FALSE)</f>
        <v>1</v>
      </c>
      <c r="Z1560" s="1">
        <f>VLOOKUP($E1560,'Product Naming'!$A$1:$P$58,9,FALSE)</f>
        <v>0</v>
      </c>
      <c r="AA1560" s="1">
        <f>VLOOKUP($E1560,'Product Naming'!$A$1:$P$58,10,FALSE)</f>
        <v>0</v>
      </c>
      <c r="AB1560" s="29">
        <f>VLOOKUP($E1560,'Product Naming'!$A$1:$P$58,11,FALSE)</f>
        <v>4.666666666666667</v>
      </c>
      <c r="AC1560" s="3">
        <f>VLOOKUP($E1560,'Product Naming'!$A$1:$P$58,12,FALSE)</f>
        <v>94.11023999999999</v>
      </c>
      <c r="AD1560" s="1">
        <f>VLOOKUP($E1560,'Product Naming'!$A$1:$P$58,13,FALSE)</f>
        <v>181.7</v>
      </c>
      <c r="AE1560" s="1" t="str">
        <f>VLOOKUP($E1560,'Product Naming'!$A$1:$P$58,14,FALSE)</f>
        <v>Aromatic + Alcohol</v>
      </c>
      <c r="AF1560" s="1" t="str">
        <f>VLOOKUP($E1560,'Product Naming'!$A$1:$P$58,15,FALSE)</f>
        <v>E4P + L-glutamate</v>
      </c>
      <c r="AG1560" s="30" t="str">
        <f>VLOOKUP($E1560,'Product Naming'!$A$1:$P$58,16,FALSE)</f>
        <v>Proton symporter</v>
      </c>
      <c r="AH1560" s="3" t="str">
        <f>VLOOKUP($E1560,'Product Naming'!$A$1:$Q$58,17,FALSE)</f>
        <v>phenol_c</v>
      </c>
      <c r="AI1560" s="1">
        <f>VLOOKUP($E1560,'Product Parameters'!$A$2:$D$59,2,FALSE)</f>
        <v>1</v>
      </c>
      <c r="AJ1560" s="1">
        <f>VLOOKUP($E1560,'Product Parameters'!$A$2:$D$59,3,FALSE)</f>
        <v>0</v>
      </c>
      <c r="AK1560" s="1">
        <f>VLOOKUP($E1560,'Product Parameters'!$A$2:$D$59,4,FALSE)</f>
        <v>0.12</v>
      </c>
      <c r="AL1560" s="1">
        <f>VLOOKUP($E1560,'Product Parameters'!$A$2:$E$59,5,FALSE)</f>
        <v>58.8</v>
      </c>
      <c r="AM1560" s="1">
        <f>VLOOKUP($E1560,'Product Parameters'!$A$2:$F$59,6,FALSE)</f>
        <v>6</v>
      </c>
      <c r="AN1560" s="1">
        <f>VLOOKUP($C1560,'Substrate Heating'!$A$2:$C$33,3,FALSE)</f>
        <v>638.57832580000002</v>
      </c>
      <c r="AO1560" s="1">
        <f>VLOOKUP($C1560,'Substrate Heating'!$A$2:$B$33,2,FALSE)</f>
        <v>19.93</v>
      </c>
      <c r="AP1560" s="1">
        <f>VLOOKUP($C1560,'Substrate Heating'!$A$2:$M$33,13,FALSE)</f>
        <v>6</v>
      </c>
      <c r="AQ1560" s="1">
        <f>VLOOKUP($C1560,'Substrate Heating'!$A$2:$M$33,8,FALSE)</f>
        <v>1</v>
      </c>
      <c r="AR1560" s="1">
        <f t="shared" si="24"/>
        <v>0.26463414634146243</v>
      </c>
    </row>
    <row r="1561" spans="1:44" x14ac:dyDescent="0.2">
      <c r="A1561" s="8" t="s">
        <v>792</v>
      </c>
      <c r="B1561" s="18" t="s">
        <v>324</v>
      </c>
      <c r="C1561" t="s">
        <v>371</v>
      </c>
      <c r="D1561" s="23" t="s">
        <v>338</v>
      </c>
      <c r="E1561" t="s">
        <v>313</v>
      </c>
      <c r="F1561" t="s">
        <v>314</v>
      </c>
      <c r="G1561">
        <v>-10</v>
      </c>
      <c r="H1561">
        <v>0</v>
      </c>
      <c r="I1561">
        <v>0</v>
      </c>
      <c r="J1561">
        <v>0.45</v>
      </c>
      <c r="K1561">
        <v>-10</v>
      </c>
      <c r="L1561">
        <v>0</v>
      </c>
      <c r="M1561" s="28" t="s">
        <v>725</v>
      </c>
      <c r="N1561">
        <v>0</v>
      </c>
      <c r="O1561" s="28" t="s">
        <v>726</v>
      </c>
      <c r="P1561"/>
      <c r="Q1561">
        <v>4.0789473684210903E-2</v>
      </c>
      <c r="R1561" s="28" t="s">
        <v>727</v>
      </c>
      <c r="S1561" s="1" t="str">
        <f>VLOOKUP($E1561,'Product Naming'!$A$1:$P$58,2,FALSE)</f>
        <v>Styrene</v>
      </c>
      <c r="T1561" s="1" t="str">
        <f>VLOOKUP($E1561,'Product Naming'!$A$1:$P$58,3,FALSE)</f>
        <v>Styrene</v>
      </c>
      <c r="U1561" s="1" t="str">
        <f>VLOOKUP($E1561,'Product Naming'!$A$1:$P$58,4,FALSE)</f>
        <v>E-S</v>
      </c>
      <c r="V1561" s="1" t="str">
        <f>VLOOKUP($E1561,'Product Naming'!$A$1:$P$58,5,FALSE)</f>
        <v>C8H8</v>
      </c>
      <c r="W1561" s="1">
        <f>VLOOKUP($E1561,'Product Naming'!$A$1:$P$58,6,FALSE)</f>
        <v>8</v>
      </c>
      <c r="X1561" s="1">
        <f>VLOOKUP($E1561,'Product Naming'!$A$1:$P$58,7,FALSE)</f>
        <v>8</v>
      </c>
      <c r="Y1561" s="1">
        <f>VLOOKUP($E1561,'Product Naming'!$A$1:$P$58,8,FALSE)</f>
        <v>0</v>
      </c>
      <c r="Z1561" s="1">
        <f>VLOOKUP($E1561,'Product Naming'!$A$1:$P$58,9,FALSE)</f>
        <v>0</v>
      </c>
      <c r="AA1561" s="1">
        <f>VLOOKUP($E1561,'Product Naming'!$A$1:$P$58,10,FALSE)</f>
        <v>0</v>
      </c>
      <c r="AB1561" s="29">
        <f>VLOOKUP($E1561,'Product Naming'!$A$1:$P$58,11,FALSE)</f>
        <v>5</v>
      </c>
      <c r="AC1561" s="3">
        <f>VLOOKUP($E1561,'Product Naming'!$A$1:$P$58,12,FALSE)</f>
        <v>104.14832</v>
      </c>
      <c r="AD1561" s="1">
        <f>VLOOKUP($E1561,'Product Naming'!$A$1:$P$58,13,FALSE)</f>
        <v>145</v>
      </c>
      <c r="AE1561" s="1" t="str">
        <f>VLOOKUP($E1561,'Product Naming'!$A$1:$P$58,14,FALSE)</f>
        <v>Cycloalkane</v>
      </c>
      <c r="AF1561" s="1" t="str">
        <f>VLOOKUP($E1561,'Product Naming'!$A$1:$P$58,15,FALSE)</f>
        <v>E4P</v>
      </c>
      <c r="AG1561" s="30" t="str">
        <f>VLOOKUP($E1561,'Product Naming'!$A$1:$P$58,16,FALSE)</f>
        <v>Proton symporter</v>
      </c>
      <c r="AH1561" s="3" t="str">
        <f>VLOOKUP($E1561,'Product Naming'!$A$1:$Q$58,17,FALSE)</f>
        <v>styr_c</v>
      </c>
      <c r="AI1561" s="1">
        <f>VLOOKUP($E1561,'Product Parameters'!$A$2:$D$59,2,FALSE)</f>
        <v>1</v>
      </c>
      <c r="AJ1561" s="1">
        <f>VLOOKUP($E1561,'Product Parameters'!$A$2:$D$59,3,FALSE)</f>
        <v>0</v>
      </c>
      <c r="AK1561" s="1">
        <f>VLOOKUP($E1561,'Product Parameters'!$A$2:$D$59,4,FALSE)</f>
        <v>0.12</v>
      </c>
      <c r="AL1561" s="1">
        <f>VLOOKUP($E1561,'Product Parameters'!$A$2:$E$59,5,FALSE)</f>
        <v>43.9</v>
      </c>
      <c r="AM1561" s="1">
        <f>VLOOKUP($E1561,'Product Parameters'!$A$2:$F$59,6,FALSE)</f>
        <v>8</v>
      </c>
      <c r="AN1561" s="1">
        <f>VLOOKUP($C1561,'Substrate Heating'!$A$2:$C$33,3,FALSE)</f>
        <v>638.57832580000002</v>
      </c>
      <c r="AO1561" s="1">
        <f>VLOOKUP($C1561,'Substrate Heating'!$A$2:$B$33,2,FALSE)</f>
        <v>19.93</v>
      </c>
      <c r="AP1561" s="1">
        <f>VLOOKUP($C1561,'Substrate Heating'!$A$2:$M$33,13,FALSE)</f>
        <v>6</v>
      </c>
      <c r="AQ1561" s="1">
        <f>VLOOKUP($C1561,'Substrate Heating'!$A$2:$M$33,8,FALSE)</f>
        <v>1</v>
      </c>
      <c r="AR1561" s="1">
        <f t="shared" si="24"/>
        <v>0.32631578947368722</v>
      </c>
    </row>
    <row r="1562" spans="1:44" x14ac:dyDescent="0.2">
      <c r="A1562" s="8" t="s">
        <v>792</v>
      </c>
      <c r="B1562" s="18" t="s">
        <v>324</v>
      </c>
      <c r="C1562" t="s">
        <v>365</v>
      </c>
      <c r="D1562" s="23" t="s">
        <v>338</v>
      </c>
      <c r="E1562" t="s">
        <v>52</v>
      </c>
      <c r="F1562" t="s">
        <v>53</v>
      </c>
      <c r="G1562">
        <v>-10</v>
      </c>
      <c r="H1562">
        <v>0</v>
      </c>
      <c r="I1562">
        <v>0</v>
      </c>
      <c r="J1562">
        <v>0.45</v>
      </c>
      <c r="K1562">
        <v>-10</v>
      </c>
      <c r="L1562">
        <v>0</v>
      </c>
      <c r="M1562" s="28" t="s">
        <v>373</v>
      </c>
      <c r="N1562">
        <v>0</v>
      </c>
      <c r="O1562" s="28" t="s">
        <v>374</v>
      </c>
      <c r="P1562"/>
      <c r="Q1562">
        <v>5.6551724137930998E-2</v>
      </c>
      <c r="R1562" s="28" t="s">
        <v>375</v>
      </c>
      <c r="S1562" s="1" t="str">
        <f>VLOOKUP($E1562,'Product Naming'!$A$1:$P$58,2,FALSE)</f>
        <v>1-3-Diaminopropane</v>
      </c>
      <c r="T1562" s="1" t="str">
        <f>VLOOKUP($E1562,'Product Naming'!$A$1:$P$58,3,FALSE)</f>
        <v>1,3-Diaminopropane</v>
      </c>
      <c r="U1562" s="1" t="str">
        <f>VLOOKUP($E1562,'Product Naming'!$A$1:$P$58,4,FALSE)</f>
        <v>A</v>
      </c>
      <c r="V1562" s="1" t="str">
        <f>VLOOKUP($E1562,'Product Naming'!$A$1:$P$58,5,FALSE)</f>
        <v>C3H12N2</v>
      </c>
      <c r="W1562" s="1">
        <f>VLOOKUP($E1562,'Product Naming'!$A$1:$P$58,6,FALSE)</f>
        <v>3</v>
      </c>
      <c r="X1562" s="1">
        <f>VLOOKUP($E1562,'Product Naming'!$A$1:$P$58,7,FALSE)</f>
        <v>12</v>
      </c>
      <c r="Y1562" s="1">
        <f>VLOOKUP($E1562,'Product Naming'!$A$1:$P$58,8,FALSE)</f>
        <v>0</v>
      </c>
      <c r="Z1562" s="1">
        <f>VLOOKUP($E1562,'Product Naming'!$A$1:$P$58,9,FALSE)</f>
        <v>2</v>
      </c>
      <c r="AA1562" s="1">
        <f>VLOOKUP($E1562,'Product Naming'!$A$1:$P$58,10,FALSE)</f>
        <v>2</v>
      </c>
      <c r="AB1562" s="29">
        <f>VLOOKUP($E1562,'Product Naming'!$A$1:$P$58,11,FALSE)</f>
        <v>6</v>
      </c>
      <c r="AC1562" s="3">
        <f>VLOOKUP($E1562,'Product Naming'!$A$1:$P$58,12,FALSE)</f>
        <v>76.139580000000009</v>
      </c>
      <c r="AD1562" s="1">
        <f>VLOOKUP($E1562,'Product Naming'!$A$1:$P$58,13,FALSE)</f>
        <v>139.30000000000001</v>
      </c>
      <c r="AE1562" s="1" t="str">
        <f>VLOOKUP($E1562,'Product Naming'!$A$1:$P$58,14,FALSE)</f>
        <v>Diamine</v>
      </c>
      <c r="AF1562" s="1" t="str">
        <f>VLOOKUP($E1562,'Product Naming'!$A$1:$P$58,15,FALSE)</f>
        <v>Oxaloacetate + aKG</v>
      </c>
      <c r="AG1562" s="30" t="str">
        <f>VLOOKUP($E1562,'Product Naming'!$A$1:$P$58,16,FALSE)</f>
        <v>Proton symporter</v>
      </c>
      <c r="AH1562" s="3" t="str">
        <f>VLOOKUP($E1562,'Product Naming'!$A$1:$Q$58,17,FALSE)</f>
        <v>13dampp_c</v>
      </c>
      <c r="AI1562" s="1">
        <f>VLOOKUP($E1562,'Product Parameters'!$A$2:$D$59,2,FALSE)</f>
        <v>1</v>
      </c>
      <c r="AJ1562" s="1">
        <f>VLOOKUP($E1562,'Product Parameters'!$A$2:$D$59,3,FALSE)</f>
        <v>0</v>
      </c>
      <c r="AK1562" s="1">
        <f>VLOOKUP($E1562,'Product Parameters'!$A$2:$D$59,4,FALSE)</f>
        <v>0.12</v>
      </c>
      <c r="AL1562" s="1">
        <f>VLOOKUP($E1562,'Product Parameters'!$A$2:$E$59,5,FALSE)</f>
        <v>50.18</v>
      </c>
      <c r="AM1562" s="1">
        <f>VLOOKUP($E1562,'Product Parameters'!$A$2:$F$59,6,FALSE)</f>
        <v>3</v>
      </c>
      <c r="AN1562" s="1">
        <f>VLOOKUP($C1562,'Substrate Heating'!$A$2:$C$33,3,FALSE)</f>
        <v>638.57832580000002</v>
      </c>
      <c r="AO1562" s="1">
        <f>VLOOKUP($C1562,'Substrate Heating'!$A$2:$B$33,2,FALSE)</f>
        <v>19.93</v>
      </c>
      <c r="AP1562" s="1">
        <f>VLOOKUP($C1562,'Substrate Heating'!$A$2:$M$33,13,FALSE)</f>
        <v>6</v>
      </c>
      <c r="AQ1562" s="1">
        <f>VLOOKUP($C1562,'Substrate Heating'!$A$2:$M$33,8,FALSE)</f>
        <v>1</v>
      </c>
      <c r="AR1562" s="1">
        <f t="shared" si="24"/>
        <v>0.16965517241379299</v>
      </c>
    </row>
    <row r="1563" spans="1:44" x14ac:dyDescent="0.2">
      <c r="A1563" s="8" t="s">
        <v>792</v>
      </c>
      <c r="B1563" s="18" t="s">
        <v>324</v>
      </c>
      <c r="C1563" t="s">
        <v>371</v>
      </c>
      <c r="D1563" s="23" t="s">
        <v>338</v>
      </c>
      <c r="E1563" t="s">
        <v>143</v>
      </c>
      <c r="F1563" t="s">
        <v>137</v>
      </c>
      <c r="G1563">
        <v>-10</v>
      </c>
      <c r="H1563">
        <v>0</v>
      </c>
      <c r="I1563">
        <v>0</v>
      </c>
      <c r="J1563">
        <v>0.45</v>
      </c>
      <c r="K1563">
        <v>-10</v>
      </c>
      <c r="L1563">
        <v>0</v>
      </c>
      <c r="M1563" s="28" t="s">
        <v>498</v>
      </c>
      <c r="N1563">
        <v>0</v>
      </c>
      <c r="O1563" s="28" t="s">
        <v>499</v>
      </c>
      <c r="P1563"/>
      <c r="Q1563">
        <v>3.5661462612983197E-2</v>
      </c>
      <c r="R1563" s="28" t="s">
        <v>500</v>
      </c>
      <c r="S1563" s="1" t="str">
        <f>VLOOKUP($E1563,'Product Naming'!$A$1:$P$58,2,FALSE)</f>
        <v>Benzoate-PW2</v>
      </c>
      <c r="T1563" s="1" t="str">
        <f>VLOOKUP($E1563,'Product Naming'!$A$1:$P$58,3,FALSE)</f>
        <v>Benzoate (PW2)</v>
      </c>
      <c r="U1563" s="1" t="str">
        <f>VLOOKUP($E1563,'Product Naming'!$A$1:$P$58,4,FALSE)</f>
        <v>A</v>
      </c>
      <c r="V1563" s="1" t="str">
        <f>VLOOKUP($E1563,'Product Naming'!$A$1:$P$58,5,FALSE)</f>
        <v>C7H5O2</v>
      </c>
      <c r="W1563" s="1">
        <f>VLOOKUP($E1563,'Product Naming'!$A$1:$P$58,6,FALSE)</f>
        <v>7</v>
      </c>
      <c r="X1563" s="1">
        <f>VLOOKUP($E1563,'Product Naming'!$A$1:$P$58,7,FALSE)</f>
        <v>5</v>
      </c>
      <c r="Y1563" s="1">
        <f>VLOOKUP($E1563,'Product Naming'!$A$1:$P$58,8,FALSE)</f>
        <v>2</v>
      </c>
      <c r="Z1563" s="1">
        <f>VLOOKUP($E1563,'Product Naming'!$A$1:$P$58,9,FALSE)</f>
        <v>0</v>
      </c>
      <c r="AA1563" s="1">
        <f>VLOOKUP($E1563,'Product Naming'!$A$1:$P$58,10,FALSE)</f>
        <v>-1</v>
      </c>
      <c r="AB1563" s="29">
        <f>VLOOKUP($E1563,'Product Naming'!$A$1:$P$58,11,FALSE)</f>
        <v>4.1428571428571432</v>
      </c>
      <c r="AC1563" s="3">
        <f>VLOOKUP($E1563,'Product Naming'!$A$1:$P$58,12,FALSE)</f>
        <v>121.1121</v>
      </c>
      <c r="AD1563" s="1">
        <f>VLOOKUP($E1563,'Product Naming'!$A$1:$P$58,13,FALSE)</f>
        <v>249.2</v>
      </c>
      <c r="AE1563" s="1" t="str">
        <f>VLOOKUP($E1563,'Product Naming'!$A$1:$P$58,14,FALSE)</f>
        <v>Aromatic + Carboxylate</v>
      </c>
      <c r="AF1563" s="1" t="str">
        <f>VLOOKUP($E1563,'Product Naming'!$A$1:$P$58,15,FALSE)</f>
        <v>E4P + aKG</v>
      </c>
      <c r="AG1563" s="30" t="str">
        <f>VLOOKUP($E1563,'Product Naming'!$A$1:$P$58,16,FALSE)</f>
        <v>Proton symporter</v>
      </c>
      <c r="AH1563" s="3" t="str">
        <f>VLOOKUP($E1563,'Product Naming'!$A$1:$Q$58,17,FALSE)</f>
        <v>bz_c</v>
      </c>
      <c r="AI1563" s="1">
        <f>VLOOKUP($E1563,'Product Parameters'!$A$2:$D$59,2,FALSE)</f>
        <v>1</v>
      </c>
      <c r="AJ1563" s="1">
        <f>VLOOKUP($E1563,'Product Parameters'!$A$2:$D$59,3,FALSE)</f>
        <v>0</v>
      </c>
      <c r="AK1563" s="1">
        <f>VLOOKUP($E1563,'Product Parameters'!$A$2:$D$59,4,FALSE)</f>
        <v>0.12</v>
      </c>
      <c r="AL1563" s="1">
        <f>VLOOKUP($E1563,'Product Parameters'!$A$2:$E$59,5,FALSE)</f>
        <v>40.65</v>
      </c>
      <c r="AM1563" s="1">
        <f>VLOOKUP($E1563,'Product Parameters'!$A$2:$F$59,6,FALSE)</f>
        <v>7</v>
      </c>
      <c r="AN1563" s="1">
        <f>VLOOKUP($C1563,'Substrate Heating'!$A$2:$C$33,3,FALSE)</f>
        <v>638.57832580000002</v>
      </c>
      <c r="AO1563" s="1">
        <f>VLOOKUP($C1563,'Substrate Heating'!$A$2:$B$33,2,FALSE)</f>
        <v>19.93</v>
      </c>
      <c r="AP1563" s="1">
        <f>VLOOKUP($C1563,'Substrate Heating'!$A$2:$M$33,13,FALSE)</f>
        <v>6</v>
      </c>
      <c r="AQ1563" s="1">
        <f>VLOOKUP($C1563,'Substrate Heating'!$A$2:$M$33,8,FALSE)</f>
        <v>1</v>
      </c>
      <c r="AR1563" s="1">
        <f t="shared" si="24"/>
        <v>0.24963023829088238</v>
      </c>
    </row>
    <row r="1564" spans="1:44" x14ac:dyDescent="0.2">
      <c r="A1564" s="8" t="s">
        <v>792</v>
      </c>
      <c r="B1564" s="18" t="s">
        <v>324</v>
      </c>
      <c r="C1564" t="s">
        <v>369</v>
      </c>
      <c r="D1564" s="23" t="s">
        <v>338</v>
      </c>
      <c r="E1564" t="s">
        <v>192</v>
      </c>
      <c r="F1564" t="s">
        <v>193</v>
      </c>
      <c r="G1564">
        <v>-10</v>
      </c>
      <c r="H1564">
        <v>0</v>
      </c>
      <c r="I1564">
        <v>0</v>
      </c>
      <c r="J1564">
        <v>0.45</v>
      </c>
      <c r="K1564">
        <v>-10</v>
      </c>
      <c r="L1564">
        <v>0</v>
      </c>
      <c r="M1564" s="28" t="s">
        <v>536</v>
      </c>
      <c r="N1564">
        <v>0</v>
      </c>
      <c r="O1564" s="28" t="s">
        <v>537</v>
      </c>
      <c r="P1564"/>
      <c r="Q1564">
        <v>2.6497890295358699E-2</v>
      </c>
      <c r="R1564" s="28" t="s">
        <v>538</v>
      </c>
      <c r="S1564" s="1" t="str">
        <f>VLOOKUP($E1564,'Product Naming'!$A$1:$P$58,2,FALSE)</f>
        <v>Coumaric acid</v>
      </c>
      <c r="T1564" s="1" t="str">
        <f>VLOOKUP($E1564,'Product Naming'!$A$1:$P$58,3,FALSE)</f>
        <v>Coumaric acid</v>
      </c>
      <c r="U1564" s="1" t="str">
        <f>VLOOKUP($E1564,'Product Naming'!$A$1:$P$58,4,FALSE)</f>
        <v>E</v>
      </c>
      <c r="V1564" s="1" t="str">
        <f>VLOOKUP($E1564,'Product Naming'!$A$1:$P$58,5,FALSE)</f>
        <v>C9H7O3</v>
      </c>
      <c r="W1564" s="1">
        <f>VLOOKUP($E1564,'Product Naming'!$A$1:$P$58,6,FALSE)</f>
        <v>9</v>
      </c>
      <c r="X1564" s="1">
        <f>VLOOKUP($E1564,'Product Naming'!$A$1:$P$58,7,FALSE)</f>
        <v>7</v>
      </c>
      <c r="Y1564" s="1">
        <f>VLOOKUP($E1564,'Product Naming'!$A$1:$P$58,8,FALSE)</f>
        <v>3</v>
      </c>
      <c r="Z1564" s="1">
        <f>VLOOKUP($E1564,'Product Naming'!$A$1:$P$58,9,FALSE)</f>
        <v>0</v>
      </c>
      <c r="AA1564" s="1">
        <f>VLOOKUP($E1564,'Product Naming'!$A$1:$P$58,10,FALSE)</f>
        <v>-1</v>
      </c>
      <c r="AB1564" s="29">
        <f>VLOOKUP($E1564,'Product Naming'!$A$1:$P$58,11,FALSE)</f>
        <v>4.1111111111111107</v>
      </c>
      <c r="AC1564" s="3">
        <f>VLOOKUP($E1564,'Product Naming'!$A$1:$P$58,12,FALSE)</f>
        <v>163.14818</v>
      </c>
      <c r="AD1564" s="1">
        <f>VLOOKUP($E1564,'Product Naming'!$A$1:$P$58,13,FALSE)</f>
        <v>346</v>
      </c>
      <c r="AE1564" s="1" t="str">
        <f>VLOOKUP($E1564,'Product Naming'!$A$1:$P$58,14,FALSE)</f>
        <v>Aromatic + Alcohol + Carboxylate</v>
      </c>
      <c r="AF1564" s="1" t="str">
        <f>VLOOKUP($E1564,'Product Naming'!$A$1:$P$58,15,FALSE)</f>
        <v>E4P + L-glutamate</v>
      </c>
      <c r="AG1564" s="30" t="str">
        <f>VLOOKUP($E1564,'Product Naming'!$A$1:$P$58,16,FALSE)</f>
        <v>Proton symporter</v>
      </c>
      <c r="AH1564" s="3" t="str">
        <f>VLOOKUP($E1564,'Product Naming'!$A$1:$Q$58,17,FALSE)</f>
        <v>T4hcinnm_c</v>
      </c>
      <c r="AI1564" s="1">
        <f>VLOOKUP($E1564,'Product Parameters'!$A$2:$D$59,2,FALSE)</f>
        <v>1</v>
      </c>
      <c r="AJ1564" s="1">
        <f>VLOOKUP($E1564,'Product Parameters'!$A$2:$D$59,3,FALSE)</f>
        <v>0</v>
      </c>
      <c r="AK1564" s="1">
        <f>VLOOKUP($E1564,'Product Parameters'!$A$2:$D$59,4,FALSE)</f>
        <v>0.12</v>
      </c>
      <c r="AL1564" s="1">
        <f>VLOOKUP($E1564,'Product Parameters'!$A$2:$E$59,5,FALSE)</f>
        <v>40.65</v>
      </c>
      <c r="AM1564" s="1">
        <f>VLOOKUP($E1564,'Product Parameters'!$A$2:$F$59,6,FALSE)</f>
        <v>9</v>
      </c>
      <c r="AN1564" s="1">
        <f>VLOOKUP($C1564,'Substrate Heating'!$A$2:$C$33,3,FALSE)</f>
        <v>638.57832580000002</v>
      </c>
      <c r="AO1564" s="1">
        <f>VLOOKUP($C1564,'Substrate Heating'!$A$2:$B$33,2,FALSE)</f>
        <v>19.93</v>
      </c>
      <c r="AP1564" s="1">
        <f>VLOOKUP($C1564,'Substrate Heating'!$A$2:$M$33,13,FALSE)</f>
        <v>6</v>
      </c>
      <c r="AQ1564" s="1">
        <f>VLOOKUP($C1564,'Substrate Heating'!$A$2:$M$33,8,FALSE)</f>
        <v>1</v>
      </c>
      <c r="AR1564" s="1">
        <f t="shared" si="24"/>
        <v>0.2384810126582283</v>
      </c>
    </row>
    <row r="1565" spans="1:44" x14ac:dyDescent="0.2">
      <c r="A1565" s="8" t="s">
        <v>792</v>
      </c>
      <c r="B1565" s="18" t="s">
        <v>324</v>
      </c>
      <c r="C1565" t="s">
        <v>372</v>
      </c>
      <c r="D1565" s="23" t="s">
        <v>338</v>
      </c>
      <c r="E1565" t="s">
        <v>297</v>
      </c>
      <c r="F1565" t="s">
        <v>298</v>
      </c>
      <c r="G1565">
        <v>-10</v>
      </c>
      <c r="H1565">
        <v>0</v>
      </c>
      <c r="I1565">
        <v>0</v>
      </c>
      <c r="J1565">
        <v>0.45</v>
      </c>
      <c r="K1565">
        <v>-10</v>
      </c>
      <c r="L1565">
        <v>0</v>
      </c>
      <c r="M1565">
        <v>1.89387755102041</v>
      </c>
      <c r="N1565">
        <v>0</v>
      </c>
      <c r="O1565" s="28" t="s">
        <v>700</v>
      </c>
      <c r="P1565"/>
      <c r="Q1565" s="28" t="s">
        <v>701</v>
      </c>
      <c r="R1565" s="28" t="s">
        <v>702</v>
      </c>
      <c r="S1565" s="1" t="str">
        <f>VLOOKUP($E1565,'Product Naming'!$A$1:$P$58,2,FALSE)</f>
        <v>Phenol</v>
      </c>
      <c r="T1565" s="1" t="str">
        <f>VLOOKUP($E1565,'Product Naming'!$A$1:$P$58,3,FALSE)</f>
        <v>Phenol</v>
      </c>
      <c r="U1565" s="1" t="str">
        <f>VLOOKUP($E1565,'Product Naming'!$A$1:$P$58,4,FALSE)</f>
        <v>E-S</v>
      </c>
      <c r="V1565" s="1" t="str">
        <f>VLOOKUP($E1565,'Product Naming'!$A$1:$P$58,5,FALSE)</f>
        <v>C6H6O</v>
      </c>
      <c r="W1565" s="1">
        <f>VLOOKUP($E1565,'Product Naming'!$A$1:$P$58,6,FALSE)</f>
        <v>6</v>
      </c>
      <c r="X1565" s="1">
        <f>VLOOKUP($E1565,'Product Naming'!$A$1:$P$58,7,FALSE)</f>
        <v>6</v>
      </c>
      <c r="Y1565" s="1">
        <f>VLOOKUP($E1565,'Product Naming'!$A$1:$P$58,8,FALSE)</f>
        <v>1</v>
      </c>
      <c r="Z1565" s="1">
        <f>VLOOKUP($E1565,'Product Naming'!$A$1:$P$58,9,FALSE)</f>
        <v>0</v>
      </c>
      <c r="AA1565" s="1">
        <f>VLOOKUP($E1565,'Product Naming'!$A$1:$P$58,10,FALSE)</f>
        <v>0</v>
      </c>
      <c r="AB1565" s="29">
        <f>VLOOKUP($E1565,'Product Naming'!$A$1:$P$58,11,FALSE)</f>
        <v>4.666666666666667</v>
      </c>
      <c r="AC1565" s="3">
        <f>VLOOKUP($E1565,'Product Naming'!$A$1:$P$58,12,FALSE)</f>
        <v>94.11023999999999</v>
      </c>
      <c r="AD1565" s="1">
        <f>VLOOKUP($E1565,'Product Naming'!$A$1:$P$58,13,FALSE)</f>
        <v>181.7</v>
      </c>
      <c r="AE1565" s="1" t="str">
        <f>VLOOKUP($E1565,'Product Naming'!$A$1:$P$58,14,FALSE)</f>
        <v>Aromatic + Alcohol</v>
      </c>
      <c r="AF1565" s="1" t="str">
        <f>VLOOKUP($E1565,'Product Naming'!$A$1:$P$58,15,FALSE)</f>
        <v>E4P + L-glutamate</v>
      </c>
      <c r="AG1565" s="30" t="str">
        <f>VLOOKUP($E1565,'Product Naming'!$A$1:$P$58,16,FALSE)</f>
        <v>Proton symporter</v>
      </c>
      <c r="AH1565" s="3" t="str">
        <f>VLOOKUP($E1565,'Product Naming'!$A$1:$Q$58,17,FALSE)</f>
        <v>phenol_c</v>
      </c>
      <c r="AI1565" s="1">
        <f>VLOOKUP($E1565,'Product Parameters'!$A$2:$D$59,2,FALSE)</f>
        <v>1</v>
      </c>
      <c r="AJ1565" s="1">
        <f>VLOOKUP($E1565,'Product Parameters'!$A$2:$D$59,3,FALSE)</f>
        <v>0</v>
      </c>
      <c r="AK1565" s="1">
        <f>VLOOKUP($E1565,'Product Parameters'!$A$2:$D$59,4,FALSE)</f>
        <v>0.12</v>
      </c>
      <c r="AL1565" s="1">
        <f>VLOOKUP($E1565,'Product Parameters'!$A$2:$E$59,5,FALSE)</f>
        <v>58.8</v>
      </c>
      <c r="AM1565" s="1">
        <f>VLOOKUP($E1565,'Product Parameters'!$A$2:$F$59,6,FALSE)</f>
        <v>6</v>
      </c>
      <c r="AN1565" s="1">
        <f>VLOOKUP($C1565,'Substrate Heating'!$A$2:$C$33,3,FALSE)</f>
        <v>638.57832580000002</v>
      </c>
      <c r="AO1565" s="1">
        <f>VLOOKUP($C1565,'Substrate Heating'!$A$2:$B$33,2,FALSE)</f>
        <v>19.93</v>
      </c>
      <c r="AP1565" s="1">
        <f>VLOOKUP($C1565,'Substrate Heating'!$A$2:$M$33,13,FALSE)</f>
        <v>6</v>
      </c>
      <c r="AQ1565" s="1">
        <f>VLOOKUP($C1565,'Substrate Heating'!$A$2:$M$33,8,FALSE)</f>
        <v>1</v>
      </c>
      <c r="AR1565" s="1">
        <f t="shared" si="24"/>
        <v>0.28408163265306119</v>
      </c>
    </row>
    <row r="1566" spans="1:44" x14ac:dyDescent="0.2">
      <c r="A1566" s="8" t="s">
        <v>792</v>
      </c>
      <c r="B1566" s="18" t="s">
        <v>324</v>
      </c>
      <c r="C1566" t="s">
        <v>372</v>
      </c>
      <c r="D1566" s="23" t="s">
        <v>338</v>
      </c>
      <c r="E1566" t="s">
        <v>313</v>
      </c>
      <c r="F1566" t="s">
        <v>314</v>
      </c>
      <c r="G1566">
        <v>-10</v>
      </c>
      <c r="H1566">
        <v>0</v>
      </c>
      <c r="I1566">
        <v>0</v>
      </c>
      <c r="J1566">
        <v>0.45</v>
      </c>
      <c r="K1566">
        <v>-10</v>
      </c>
      <c r="L1566">
        <v>0</v>
      </c>
      <c r="M1566" s="28" t="s">
        <v>728</v>
      </c>
      <c r="N1566">
        <v>0</v>
      </c>
      <c r="O1566">
        <v>0.43773584905660101</v>
      </c>
      <c r="P1566"/>
      <c r="Q1566">
        <v>4.37735849056601E-2</v>
      </c>
      <c r="R1566" s="28" t="s">
        <v>729</v>
      </c>
      <c r="S1566" s="1" t="str">
        <f>VLOOKUP($E1566,'Product Naming'!$A$1:$P$58,2,FALSE)</f>
        <v>Styrene</v>
      </c>
      <c r="T1566" s="1" t="str">
        <f>VLOOKUP($E1566,'Product Naming'!$A$1:$P$58,3,FALSE)</f>
        <v>Styrene</v>
      </c>
      <c r="U1566" s="1" t="str">
        <f>VLOOKUP($E1566,'Product Naming'!$A$1:$P$58,4,FALSE)</f>
        <v>E-S</v>
      </c>
      <c r="V1566" s="1" t="str">
        <f>VLOOKUP($E1566,'Product Naming'!$A$1:$P$58,5,FALSE)</f>
        <v>C8H8</v>
      </c>
      <c r="W1566" s="1">
        <f>VLOOKUP($E1566,'Product Naming'!$A$1:$P$58,6,FALSE)</f>
        <v>8</v>
      </c>
      <c r="X1566" s="1">
        <f>VLOOKUP($E1566,'Product Naming'!$A$1:$P$58,7,FALSE)</f>
        <v>8</v>
      </c>
      <c r="Y1566" s="1">
        <f>VLOOKUP($E1566,'Product Naming'!$A$1:$P$58,8,FALSE)</f>
        <v>0</v>
      </c>
      <c r="Z1566" s="1">
        <f>VLOOKUP($E1566,'Product Naming'!$A$1:$P$58,9,FALSE)</f>
        <v>0</v>
      </c>
      <c r="AA1566" s="1">
        <f>VLOOKUP($E1566,'Product Naming'!$A$1:$P$58,10,FALSE)</f>
        <v>0</v>
      </c>
      <c r="AB1566" s="29">
        <f>VLOOKUP($E1566,'Product Naming'!$A$1:$P$58,11,FALSE)</f>
        <v>5</v>
      </c>
      <c r="AC1566" s="3">
        <f>VLOOKUP($E1566,'Product Naming'!$A$1:$P$58,12,FALSE)</f>
        <v>104.14832</v>
      </c>
      <c r="AD1566" s="1">
        <f>VLOOKUP($E1566,'Product Naming'!$A$1:$P$58,13,FALSE)</f>
        <v>145</v>
      </c>
      <c r="AE1566" s="1" t="str">
        <f>VLOOKUP($E1566,'Product Naming'!$A$1:$P$58,14,FALSE)</f>
        <v>Cycloalkane</v>
      </c>
      <c r="AF1566" s="1" t="str">
        <f>VLOOKUP($E1566,'Product Naming'!$A$1:$P$58,15,FALSE)</f>
        <v>E4P</v>
      </c>
      <c r="AG1566" s="30" t="str">
        <f>VLOOKUP($E1566,'Product Naming'!$A$1:$P$58,16,FALSE)</f>
        <v>Proton symporter</v>
      </c>
      <c r="AH1566" s="3" t="str">
        <f>VLOOKUP($E1566,'Product Naming'!$A$1:$Q$58,17,FALSE)</f>
        <v>styr_c</v>
      </c>
      <c r="AI1566" s="1">
        <f>VLOOKUP($E1566,'Product Parameters'!$A$2:$D$59,2,FALSE)</f>
        <v>1</v>
      </c>
      <c r="AJ1566" s="1">
        <f>VLOOKUP($E1566,'Product Parameters'!$A$2:$D$59,3,FALSE)</f>
        <v>0</v>
      </c>
      <c r="AK1566" s="1">
        <f>VLOOKUP($E1566,'Product Parameters'!$A$2:$D$59,4,FALSE)</f>
        <v>0.12</v>
      </c>
      <c r="AL1566" s="1">
        <f>VLOOKUP($E1566,'Product Parameters'!$A$2:$E$59,5,FALSE)</f>
        <v>43.9</v>
      </c>
      <c r="AM1566" s="1">
        <f>VLOOKUP($E1566,'Product Parameters'!$A$2:$F$59,6,FALSE)</f>
        <v>8</v>
      </c>
      <c r="AN1566" s="1">
        <f>VLOOKUP($C1566,'Substrate Heating'!$A$2:$C$33,3,FALSE)</f>
        <v>638.57832580000002</v>
      </c>
      <c r="AO1566" s="1">
        <f>VLOOKUP($C1566,'Substrate Heating'!$A$2:$B$33,2,FALSE)</f>
        <v>19.93</v>
      </c>
      <c r="AP1566" s="1">
        <f>VLOOKUP($C1566,'Substrate Heating'!$A$2:$M$33,13,FALSE)</f>
        <v>6</v>
      </c>
      <c r="AQ1566" s="1">
        <f>VLOOKUP($C1566,'Substrate Heating'!$A$2:$M$33,8,FALSE)</f>
        <v>1</v>
      </c>
      <c r="AR1566" s="1">
        <f t="shared" si="24"/>
        <v>0.3501886792452808</v>
      </c>
    </row>
    <row r="1567" spans="1:44" x14ac:dyDescent="0.2">
      <c r="A1567" s="8" t="s">
        <v>792</v>
      </c>
      <c r="B1567" s="18" t="s">
        <v>324</v>
      </c>
      <c r="C1567" t="s">
        <v>369</v>
      </c>
      <c r="D1567" s="23" t="s">
        <v>338</v>
      </c>
      <c r="E1567" t="s">
        <v>247</v>
      </c>
      <c r="F1567" t="s">
        <v>248</v>
      </c>
      <c r="G1567">
        <v>-10</v>
      </c>
      <c r="H1567">
        <v>0</v>
      </c>
      <c r="I1567">
        <v>0</v>
      </c>
      <c r="J1567">
        <v>0.45</v>
      </c>
      <c r="K1567">
        <v>-10</v>
      </c>
      <c r="L1567">
        <v>0</v>
      </c>
      <c r="M1567">
        <v>0.67526881720429799</v>
      </c>
      <c r="N1567">
        <v>0</v>
      </c>
      <c r="O1567" s="28" t="s">
        <v>606</v>
      </c>
      <c r="P1567"/>
      <c r="Q1567">
        <v>6.7526881720430004E-2</v>
      </c>
      <c r="R1567" s="28" t="s">
        <v>607</v>
      </c>
      <c r="S1567" s="1" t="str">
        <f>VLOOKUP($E1567,'Product Naming'!$A$1:$P$58,2,FALSE)</f>
        <v>Isoprene</v>
      </c>
      <c r="T1567" s="1" t="str">
        <f>VLOOKUP($E1567,'Product Naming'!$A$1:$P$58,3,FALSE)</f>
        <v>Isoprene</v>
      </c>
      <c r="U1567" s="1" t="str">
        <f>VLOOKUP($E1567,'Product Naming'!$A$1:$P$58,4,FALSE)</f>
        <v>E</v>
      </c>
      <c r="V1567" s="1" t="str">
        <f>VLOOKUP($E1567,'Product Naming'!$A$1:$P$58,5,FALSE)</f>
        <v>C5H8</v>
      </c>
      <c r="W1567" s="1">
        <f>VLOOKUP($E1567,'Product Naming'!$A$1:$P$58,6,FALSE)</f>
        <v>5</v>
      </c>
      <c r="X1567" s="1">
        <f>VLOOKUP($E1567,'Product Naming'!$A$1:$P$58,7,FALSE)</f>
        <v>8</v>
      </c>
      <c r="Y1567" s="1">
        <f>VLOOKUP($E1567,'Product Naming'!$A$1:$P$58,8,FALSE)</f>
        <v>0</v>
      </c>
      <c r="Z1567" s="1">
        <f>VLOOKUP($E1567,'Product Naming'!$A$1:$P$58,9,FALSE)</f>
        <v>0</v>
      </c>
      <c r="AA1567" s="1">
        <f>VLOOKUP($E1567,'Product Naming'!$A$1:$P$58,10,FALSE)</f>
        <v>0</v>
      </c>
      <c r="AB1567" s="29">
        <f>VLOOKUP($E1567,'Product Naming'!$A$1:$P$58,11,FALSE)</f>
        <v>5.6</v>
      </c>
      <c r="AC1567" s="3">
        <f>VLOOKUP($E1567,'Product Naming'!$A$1:$P$58,12,FALSE)</f>
        <v>68.116219999999998</v>
      </c>
      <c r="AD1567" s="1">
        <f>VLOOKUP($E1567,'Product Naming'!$A$1:$P$58,13,FALSE)</f>
        <v>34.07</v>
      </c>
      <c r="AE1567" s="1" t="str">
        <f>VLOOKUP($E1567,'Product Naming'!$A$1:$P$58,14,FALSE)</f>
        <v>Hydrocarbon</v>
      </c>
      <c r="AF1567" s="1" t="str">
        <f>VLOOKUP($E1567,'Product Naming'!$A$1:$P$58,15,FALSE)</f>
        <v>Acetyl-CoA</v>
      </c>
      <c r="AG1567" s="30" t="str">
        <f>VLOOKUP($E1567,'Product Naming'!$A$1:$P$58,16,FALSE)</f>
        <v>Diffusion</v>
      </c>
      <c r="AH1567" s="3" t="str">
        <f>VLOOKUP($E1567,'Product Naming'!$A$1:$Q$58,17,FALSE)</f>
        <v>iprene_c</v>
      </c>
      <c r="AI1567" s="1">
        <f>VLOOKUP($E1567,'Product Parameters'!$A$2:$D$59,2,FALSE)</f>
        <v>0</v>
      </c>
      <c r="AJ1567" s="1">
        <f>VLOOKUP($E1567,'Product Parameters'!$A$2:$D$59,3,FALSE)</f>
        <v>1</v>
      </c>
      <c r="AK1567" s="1">
        <f>VLOOKUP($E1567,'Product Parameters'!$A$2:$D$59,4,FALSE)</f>
        <v>0.12</v>
      </c>
      <c r="AL1567" s="1">
        <f>VLOOKUP($E1567,'Product Parameters'!$A$2:$E$59,5,FALSE)</f>
        <v>26.4</v>
      </c>
      <c r="AM1567" s="1">
        <f>VLOOKUP($E1567,'Product Parameters'!$A$2:$F$59,6,FALSE)</f>
        <v>5</v>
      </c>
      <c r="AN1567" s="1">
        <f>VLOOKUP($C1567,'Substrate Heating'!$A$2:$C$33,3,FALSE)</f>
        <v>638.57832580000002</v>
      </c>
      <c r="AO1567" s="1">
        <f>VLOOKUP($C1567,'Substrate Heating'!$A$2:$B$33,2,FALSE)</f>
        <v>19.93</v>
      </c>
      <c r="AP1567" s="1">
        <f>VLOOKUP($C1567,'Substrate Heating'!$A$2:$M$33,13,FALSE)</f>
        <v>6</v>
      </c>
      <c r="AQ1567" s="1">
        <f>VLOOKUP($C1567,'Substrate Heating'!$A$2:$M$33,8,FALSE)</f>
        <v>1</v>
      </c>
      <c r="AR1567" s="1">
        <f t="shared" si="24"/>
        <v>0.33763440860214999</v>
      </c>
    </row>
    <row r="1568" spans="1:44" x14ac:dyDescent="0.2">
      <c r="A1568" s="8" t="s">
        <v>792</v>
      </c>
      <c r="B1568" s="18" t="s">
        <v>324</v>
      </c>
      <c r="C1568" t="s">
        <v>369</v>
      </c>
      <c r="D1568" s="23" t="s">
        <v>338</v>
      </c>
      <c r="E1568" t="s">
        <v>175</v>
      </c>
      <c r="F1568" t="s">
        <v>176</v>
      </c>
      <c r="G1568">
        <v>-10</v>
      </c>
      <c r="H1568">
        <v>0</v>
      </c>
      <c r="I1568">
        <v>0</v>
      </c>
      <c r="J1568">
        <v>0.45</v>
      </c>
      <c r="K1568">
        <v>-10</v>
      </c>
      <c r="L1568">
        <v>0</v>
      </c>
      <c r="M1568" s="28" t="s">
        <v>524</v>
      </c>
      <c r="N1568">
        <v>0</v>
      </c>
      <c r="O1568" s="28" t="s">
        <v>525</v>
      </c>
      <c r="P1568"/>
      <c r="Q1568">
        <v>4.1866666666666601E-2</v>
      </c>
      <c r="R1568" s="28" t="s">
        <v>526</v>
      </c>
      <c r="S1568" s="1" t="str">
        <f>VLOOKUP($E1568,'Product Naming'!$A$1:$P$58,2,FALSE)</f>
        <v>Catechol</v>
      </c>
      <c r="T1568" s="1" t="str">
        <f>VLOOKUP($E1568,'Product Naming'!$A$1:$P$58,3,FALSE)</f>
        <v>Catechol</v>
      </c>
      <c r="U1568" s="1" t="str">
        <f>VLOOKUP($E1568,'Product Naming'!$A$1:$P$58,4,FALSE)</f>
        <v>E</v>
      </c>
      <c r="V1568" s="1" t="str">
        <f>VLOOKUP($E1568,'Product Naming'!$A$1:$P$58,5,FALSE)</f>
        <v>C6H6O2</v>
      </c>
      <c r="W1568" s="1">
        <f>VLOOKUP($E1568,'Product Naming'!$A$1:$P$58,6,FALSE)</f>
        <v>6</v>
      </c>
      <c r="X1568" s="1">
        <f>VLOOKUP($E1568,'Product Naming'!$A$1:$P$58,7,FALSE)</f>
        <v>6</v>
      </c>
      <c r="Y1568" s="1">
        <f>VLOOKUP($E1568,'Product Naming'!$A$1:$P$58,8,FALSE)</f>
        <v>2</v>
      </c>
      <c r="Z1568" s="1">
        <f>VLOOKUP($E1568,'Product Naming'!$A$1:$P$58,9,FALSE)</f>
        <v>0</v>
      </c>
      <c r="AA1568" s="1">
        <f>VLOOKUP($E1568,'Product Naming'!$A$1:$P$58,10,FALSE)</f>
        <v>0</v>
      </c>
      <c r="AB1568" s="29">
        <f>VLOOKUP($E1568,'Product Naming'!$A$1:$P$58,11,FALSE)</f>
        <v>4.333333333333333</v>
      </c>
      <c r="AC1568" s="3">
        <f>VLOOKUP($E1568,'Product Naming'!$A$1:$P$58,12,FALSE)</f>
        <v>110.10924</v>
      </c>
      <c r="AD1568" s="1">
        <f>VLOOKUP($E1568,'Product Naming'!$A$1:$P$58,13,FALSE)</f>
        <v>245</v>
      </c>
      <c r="AE1568" s="1" t="str">
        <f>VLOOKUP($E1568,'Product Naming'!$A$1:$P$58,14,FALSE)</f>
        <v>Aromatic + Diol</v>
      </c>
      <c r="AF1568" s="1" t="str">
        <f>VLOOKUP($E1568,'Product Naming'!$A$1:$P$58,15,FALSE)</f>
        <v>Glyceraldehyde 3-P</v>
      </c>
      <c r="AG1568" s="30" t="str">
        <f>VLOOKUP($E1568,'Product Naming'!$A$1:$P$58,16,FALSE)</f>
        <v>Proton symporter</v>
      </c>
      <c r="AH1568" s="3" t="str">
        <f>VLOOKUP($E1568,'Product Naming'!$A$1:$Q$58,17,FALSE)</f>
        <v>catechol_c</v>
      </c>
      <c r="AI1568" s="1">
        <f>VLOOKUP($E1568,'Product Parameters'!$A$2:$D$59,2,FALSE)</f>
        <v>1</v>
      </c>
      <c r="AJ1568" s="1">
        <f>VLOOKUP($E1568,'Product Parameters'!$A$2:$D$59,3,FALSE)</f>
        <v>0</v>
      </c>
      <c r="AK1568" s="1">
        <f>VLOOKUP($E1568,'Product Parameters'!$A$2:$D$59,4,FALSE)</f>
        <v>0.12</v>
      </c>
      <c r="AL1568" s="1">
        <f>VLOOKUP($E1568,'Product Parameters'!$A$2:$E$59,5,FALSE)</f>
        <v>40.65</v>
      </c>
      <c r="AM1568" s="1">
        <f>VLOOKUP($E1568,'Product Parameters'!$A$2:$F$59,6,FALSE)</f>
        <v>6</v>
      </c>
      <c r="AN1568" s="1">
        <f>VLOOKUP($C1568,'Substrate Heating'!$A$2:$C$33,3,FALSE)</f>
        <v>638.57832580000002</v>
      </c>
      <c r="AO1568" s="1">
        <f>VLOOKUP($C1568,'Substrate Heating'!$A$2:$B$33,2,FALSE)</f>
        <v>19.93</v>
      </c>
      <c r="AP1568" s="1">
        <f>VLOOKUP($C1568,'Substrate Heating'!$A$2:$M$33,13,FALSE)</f>
        <v>6</v>
      </c>
      <c r="AQ1568" s="1">
        <f>VLOOKUP($C1568,'Substrate Heating'!$A$2:$M$33,8,FALSE)</f>
        <v>1</v>
      </c>
      <c r="AR1568" s="1">
        <f t="shared" si="24"/>
        <v>0.25119999999999959</v>
      </c>
    </row>
    <row r="1569" spans="1:44" x14ac:dyDescent="0.2">
      <c r="A1569" s="8" t="s">
        <v>792</v>
      </c>
      <c r="B1569" s="18" t="s">
        <v>324</v>
      </c>
      <c r="C1569" t="s">
        <v>369</v>
      </c>
      <c r="D1569" s="23" t="s">
        <v>338</v>
      </c>
      <c r="E1569" t="s">
        <v>204</v>
      </c>
      <c r="F1569" t="s">
        <v>205</v>
      </c>
      <c r="G1569">
        <v>-10</v>
      </c>
      <c r="H1569">
        <v>0</v>
      </c>
      <c r="I1569">
        <v>0</v>
      </c>
      <c r="J1569">
        <v>0.45</v>
      </c>
      <c r="K1569">
        <v>-10</v>
      </c>
      <c r="L1569">
        <v>0</v>
      </c>
      <c r="M1569" s="28" t="s">
        <v>547</v>
      </c>
      <c r="N1569">
        <v>0</v>
      </c>
      <c r="O1569" s="28" t="s">
        <v>548</v>
      </c>
      <c r="P1569"/>
      <c r="Q1569" s="28" t="s">
        <v>549</v>
      </c>
      <c r="R1569" s="28" t="s">
        <v>550</v>
      </c>
      <c r="S1569" s="1" t="str">
        <f>VLOOKUP($E1569,'Product Naming'!$A$1:$P$58,2,FALSE)</f>
        <v>Farnesene</v>
      </c>
      <c r="T1569" s="1" t="str">
        <f>VLOOKUP($E1569,'Product Naming'!$A$1:$P$58,3,FALSE)</f>
        <v>Farnesene</v>
      </c>
      <c r="U1569" s="1" t="str">
        <f>VLOOKUP($E1569,'Product Naming'!$A$1:$P$58,4,FALSE)</f>
        <v>A</v>
      </c>
      <c r="V1569" s="1" t="str">
        <f>VLOOKUP($E1569,'Product Naming'!$A$1:$P$58,5,FALSE)</f>
        <v>C15H24</v>
      </c>
      <c r="W1569" s="1">
        <f>VLOOKUP($E1569,'Product Naming'!$A$1:$P$58,6,FALSE)</f>
        <v>15</v>
      </c>
      <c r="X1569" s="1">
        <f>VLOOKUP($E1569,'Product Naming'!$A$1:$P$58,7,FALSE)</f>
        <v>24</v>
      </c>
      <c r="Y1569" s="1">
        <f>VLOOKUP($E1569,'Product Naming'!$A$1:$P$58,8,FALSE)</f>
        <v>0</v>
      </c>
      <c r="Z1569" s="1">
        <f>VLOOKUP($E1569,'Product Naming'!$A$1:$P$58,9,FALSE)</f>
        <v>0</v>
      </c>
      <c r="AA1569" s="1">
        <f>VLOOKUP($E1569,'Product Naming'!$A$1:$P$58,10,FALSE)</f>
        <v>0</v>
      </c>
      <c r="AB1569" s="29">
        <f>VLOOKUP($E1569,'Product Naming'!$A$1:$P$58,11,FALSE)</f>
        <v>5.6</v>
      </c>
      <c r="AC1569" s="3">
        <f>VLOOKUP($E1569,'Product Naming'!$A$1:$P$58,12,FALSE)</f>
        <v>204.34866000000002</v>
      </c>
      <c r="AD1569" s="1" t="str">
        <f>VLOOKUP($E1569,'Product Naming'!$A$1:$P$58,13,FALSE)</f>
        <v>260 (A)/272 (B)</v>
      </c>
      <c r="AE1569" s="1" t="str">
        <f>VLOOKUP($E1569,'Product Naming'!$A$1:$P$58,14,FALSE)</f>
        <v>Hydrocarbon</v>
      </c>
      <c r="AF1569" s="1" t="str">
        <f>VLOOKUP($E1569,'Product Naming'!$A$1:$P$58,15,FALSE)</f>
        <v>Acetyl-CoA</v>
      </c>
      <c r="AG1569" s="30" t="str">
        <f>VLOOKUP($E1569,'Product Naming'!$A$1:$P$58,16,FALSE)</f>
        <v>Proton symporter</v>
      </c>
      <c r="AH1569" s="3" t="str">
        <f>VLOOKUP($E1569,'Product Naming'!$A$1:$Q$58,17,FALSE)</f>
        <v>frene_c</v>
      </c>
      <c r="AI1569" s="1">
        <f>VLOOKUP($E1569,'Product Parameters'!$A$2:$D$59,2,FALSE)</f>
        <v>1</v>
      </c>
      <c r="AJ1569" s="1">
        <f>VLOOKUP($E1569,'Product Parameters'!$A$2:$D$59,3,FALSE)</f>
        <v>0</v>
      </c>
      <c r="AK1569" s="1">
        <f>VLOOKUP($E1569,'Product Parameters'!$A$2:$D$59,4,FALSE)</f>
        <v>0.12</v>
      </c>
      <c r="AL1569" s="1">
        <f>VLOOKUP($E1569,'Product Parameters'!$A$2:$E$59,5,FALSE)</f>
        <v>0</v>
      </c>
      <c r="AM1569" s="1">
        <f>VLOOKUP($E1569,'Product Parameters'!$A$2:$F$59,6,FALSE)</f>
        <v>15</v>
      </c>
      <c r="AN1569" s="1">
        <f>VLOOKUP($C1569,'Substrate Heating'!$A$2:$C$33,3,FALSE)</f>
        <v>638.57832580000002</v>
      </c>
      <c r="AO1569" s="1">
        <f>VLOOKUP($C1569,'Substrate Heating'!$A$2:$B$33,2,FALSE)</f>
        <v>19.93</v>
      </c>
      <c r="AP1569" s="1">
        <f>VLOOKUP($C1569,'Substrate Heating'!$A$2:$M$33,13,FALSE)</f>
        <v>6</v>
      </c>
      <c r="AQ1569" s="1">
        <f>VLOOKUP($C1569,'Substrate Heating'!$A$2:$M$33,8,FALSE)</f>
        <v>1</v>
      </c>
      <c r="AR1569" s="1">
        <f t="shared" si="24"/>
        <v>0.34254545454545399</v>
      </c>
    </row>
    <row r="1570" spans="1:44" x14ac:dyDescent="0.2">
      <c r="A1570" s="8" t="s">
        <v>792</v>
      </c>
      <c r="B1570" s="18" t="s">
        <v>324</v>
      </c>
      <c r="C1570" t="s">
        <v>371</v>
      </c>
      <c r="D1570" s="23" t="s">
        <v>338</v>
      </c>
      <c r="E1570" t="s">
        <v>136</v>
      </c>
      <c r="F1570" t="s">
        <v>137</v>
      </c>
      <c r="G1570">
        <v>-10</v>
      </c>
      <c r="H1570">
        <v>0</v>
      </c>
      <c r="I1570">
        <v>0</v>
      </c>
      <c r="J1570">
        <v>0.45</v>
      </c>
      <c r="K1570">
        <v>-10</v>
      </c>
      <c r="L1570">
        <v>0</v>
      </c>
      <c r="M1570" s="28" t="s">
        <v>486</v>
      </c>
      <c r="N1570">
        <v>0</v>
      </c>
      <c r="O1570" s="28" t="s">
        <v>487</v>
      </c>
      <c r="P1570"/>
      <c r="Q1570">
        <v>3.8170624450307E-2</v>
      </c>
      <c r="R1570" s="28" t="s">
        <v>488</v>
      </c>
      <c r="S1570" s="1" t="str">
        <f>VLOOKUP($E1570,'Product Naming'!$A$1:$P$58,2,FALSE)</f>
        <v>Benzoate-PW1</v>
      </c>
      <c r="T1570" s="1" t="str">
        <f>VLOOKUP($E1570,'Product Naming'!$A$1:$P$58,3,FALSE)</f>
        <v>Benzoate (PW1)</v>
      </c>
      <c r="U1570" s="1" t="str">
        <f>VLOOKUP($E1570,'Product Naming'!$A$1:$P$58,4,FALSE)</f>
        <v>A</v>
      </c>
      <c r="V1570" s="1" t="str">
        <f>VLOOKUP($E1570,'Product Naming'!$A$1:$P$58,5,FALSE)</f>
        <v>C7H5O2</v>
      </c>
      <c r="W1570" s="1">
        <f>VLOOKUP($E1570,'Product Naming'!$A$1:$P$58,6,FALSE)</f>
        <v>7</v>
      </c>
      <c r="X1570" s="1">
        <f>VLOOKUP($E1570,'Product Naming'!$A$1:$P$58,7,FALSE)</f>
        <v>5</v>
      </c>
      <c r="Y1570" s="1">
        <f>VLOOKUP($E1570,'Product Naming'!$A$1:$P$58,8,FALSE)</f>
        <v>2</v>
      </c>
      <c r="Z1570" s="1">
        <f>VLOOKUP($E1570,'Product Naming'!$A$1:$P$58,9,FALSE)</f>
        <v>0</v>
      </c>
      <c r="AA1570" s="1">
        <f>VLOOKUP($E1570,'Product Naming'!$A$1:$P$58,10,FALSE)</f>
        <v>-1</v>
      </c>
      <c r="AB1570" s="29">
        <f>VLOOKUP($E1570,'Product Naming'!$A$1:$P$58,11,FALSE)</f>
        <v>4.1428571428571432</v>
      </c>
      <c r="AC1570" s="3">
        <f>VLOOKUP($E1570,'Product Naming'!$A$1:$P$58,12,FALSE)</f>
        <v>121.1121</v>
      </c>
      <c r="AD1570" s="1">
        <f>VLOOKUP($E1570,'Product Naming'!$A$1:$P$58,13,FALSE)</f>
        <v>249.2</v>
      </c>
      <c r="AE1570" s="1" t="str">
        <f>VLOOKUP($E1570,'Product Naming'!$A$1:$P$58,14,FALSE)</f>
        <v>Aromatic + Carboxylate</v>
      </c>
      <c r="AF1570" s="1" t="str">
        <f>VLOOKUP($E1570,'Product Naming'!$A$1:$P$58,15,FALSE)</f>
        <v>E4P + aKG</v>
      </c>
      <c r="AG1570" s="30" t="str">
        <f>VLOOKUP($E1570,'Product Naming'!$A$1:$P$58,16,FALSE)</f>
        <v>Proton symporter</v>
      </c>
      <c r="AH1570" s="3" t="str">
        <f>VLOOKUP($E1570,'Product Naming'!$A$1:$Q$58,17,FALSE)</f>
        <v>bz_c</v>
      </c>
      <c r="AI1570" s="1">
        <f>VLOOKUP($E1570,'Product Parameters'!$A$2:$D$59,2,FALSE)</f>
        <v>1</v>
      </c>
      <c r="AJ1570" s="1">
        <f>VLOOKUP($E1570,'Product Parameters'!$A$2:$D$59,3,FALSE)</f>
        <v>0</v>
      </c>
      <c r="AK1570" s="1">
        <f>VLOOKUP($E1570,'Product Parameters'!$A$2:$D$59,4,FALSE)</f>
        <v>0.12</v>
      </c>
      <c r="AL1570" s="1">
        <f>VLOOKUP($E1570,'Product Parameters'!$A$2:$E$59,5,FALSE)</f>
        <v>40.65</v>
      </c>
      <c r="AM1570" s="1">
        <f>VLOOKUP($E1570,'Product Parameters'!$A$2:$F$59,6,FALSE)</f>
        <v>7</v>
      </c>
      <c r="AN1570" s="1">
        <f>VLOOKUP($C1570,'Substrate Heating'!$A$2:$C$33,3,FALSE)</f>
        <v>638.57832580000002</v>
      </c>
      <c r="AO1570" s="1">
        <f>VLOOKUP($C1570,'Substrate Heating'!$A$2:$B$33,2,FALSE)</f>
        <v>19.93</v>
      </c>
      <c r="AP1570" s="1">
        <f>VLOOKUP($C1570,'Substrate Heating'!$A$2:$M$33,13,FALSE)</f>
        <v>6</v>
      </c>
      <c r="AQ1570" s="1">
        <f>VLOOKUP($C1570,'Substrate Heating'!$A$2:$M$33,8,FALSE)</f>
        <v>1</v>
      </c>
      <c r="AR1570" s="1">
        <f t="shared" si="24"/>
        <v>0.267194371152149</v>
      </c>
    </row>
    <row r="1571" spans="1:44" x14ac:dyDescent="0.2">
      <c r="A1571" s="8" t="s">
        <v>792</v>
      </c>
      <c r="B1571" s="18" t="s">
        <v>324</v>
      </c>
      <c r="C1571" t="s">
        <v>372</v>
      </c>
      <c r="D1571" s="23" t="s">
        <v>338</v>
      </c>
      <c r="E1571" t="s">
        <v>143</v>
      </c>
      <c r="F1571" t="s">
        <v>137</v>
      </c>
      <c r="G1571">
        <v>-10</v>
      </c>
      <c r="H1571">
        <v>0</v>
      </c>
      <c r="I1571">
        <v>0</v>
      </c>
      <c r="J1571">
        <v>0.45</v>
      </c>
      <c r="K1571">
        <v>-10</v>
      </c>
      <c r="L1571">
        <v>0</v>
      </c>
      <c r="M1571" s="28" t="s">
        <v>501</v>
      </c>
      <c r="N1571">
        <v>0</v>
      </c>
      <c r="O1571" s="28" t="s">
        <v>502</v>
      </c>
      <c r="P1571"/>
      <c r="Q1571" s="28" t="s">
        <v>503</v>
      </c>
      <c r="R1571" s="28" t="s">
        <v>504</v>
      </c>
      <c r="S1571" s="1" t="str">
        <f>VLOOKUP($E1571,'Product Naming'!$A$1:$P$58,2,FALSE)</f>
        <v>Benzoate-PW2</v>
      </c>
      <c r="T1571" s="1" t="str">
        <f>VLOOKUP($E1571,'Product Naming'!$A$1:$P$58,3,FALSE)</f>
        <v>Benzoate (PW2)</v>
      </c>
      <c r="U1571" s="1" t="str">
        <f>VLOOKUP($E1571,'Product Naming'!$A$1:$P$58,4,FALSE)</f>
        <v>A</v>
      </c>
      <c r="V1571" s="1" t="str">
        <f>VLOOKUP($E1571,'Product Naming'!$A$1:$P$58,5,FALSE)</f>
        <v>C7H5O2</v>
      </c>
      <c r="W1571" s="1">
        <f>VLOOKUP($E1571,'Product Naming'!$A$1:$P$58,6,FALSE)</f>
        <v>7</v>
      </c>
      <c r="X1571" s="1">
        <f>VLOOKUP($E1571,'Product Naming'!$A$1:$P$58,7,FALSE)</f>
        <v>5</v>
      </c>
      <c r="Y1571" s="1">
        <f>VLOOKUP($E1571,'Product Naming'!$A$1:$P$58,8,FALSE)</f>
        <v>2</v>
      </c>
      <c r="Z1571" s="1">
        <f>VLOOKUP($E1571,'Product Naming'!$A$1:$P$58,9,FALSE)</f>
        <v>0</v>
      </c>
      <c r="AA1571" s="1">
        <f>VLOOKUP($E1571,'Product Naming'!$A$1:$P$58,10,FALSE)</f>
        <v>-1</v>
      </c>
      <c r="AB1571" s="29">
        <f>VLOOKUP($E1571,'Product Naming'!$A$1:$P$58,11,FALSE)</f>
        <v>4.1428571428571432</v>
      </c>
      <c r="AC1571" s="3">
        <f>VLOOKUP($E1571,'Product Naming'!$A$1:$P$58,12,FALSE)</f>
        <v>121.1121</v>
      </c>
      <c r="AD1571" s="1">
        <f>VLOOKUP($E1571,'Product Naming'!$A$1:$P$58,13,FALSE)</f>
        <v>249.2</v>
      </c>
      <c r="AE1571" s="1" t="str">
        <f>VLOOKUP($E1571,'Product Naming'!$A$1:$P$58,14,FALSE)</f>
        <v>Aromatic + Carboxylate</v>
      </c>
      <c r="AF1571" s="1" t="str">
        <f>VLOOKUP($E1571,'Product Naming'!$A$1:$P$58,15,FALSE)</f>
        <v>E4P + aKG</v>
      </c>
      <c r="AG1571" s="30" t="str">
        <f>VLOOKUP($E1571,'Product Naming'!$A$1:$P$58,16,FALSE)</f>
        <v>Proton symporter</v>
      </c>
      <c r="AH1571" s="3" t="str">
        <f>VLOOKUP($E1571,'Product Naming'!$A$1:$Q$58,17,FALSE)</f>
        <v>bz_c</v>
      </c>
      <c r="AI1571" s="1">
        <f>VLOOKUP($E1571,'Product Parameters'!$A$2:$D$59,2,FALSE)</f>
        <v>1</v>
      </c>
      <c r="AJ1571" s="1">
        <f>VLOOKUP($E1571,'Product Parameters'!$A$2:$D$59,3,FALSE)</f>
        <v>0</v>
      </c>
      <c r="AK1571" s="1">
        <f>VLOOKUP($E1571,'Product Parameters'!$A$2:$D$59,4,FALSE)</f>
        <v>0.12</v>
      </c>
      <c r="AL1571" s="1">
        <f>VLOOKUP($E1571,'Product Parameters'!$A$2:$E$59,5,FALSE)</f>
        <v>40.65</v>
      </c>
      <c r="AM1571" s="1">
        <f>VLOOKUP($E1571,'Product Parameters'!$A$2:$F$59,6,FALSE)</f>
        <v>7</v>
      </c>
      <c r="AN1571" s="1">
        <f>VLOOKUP($C1571,'Substrate Heating'!$A$2:$C$33,3,FALSE)</f>
        <v>638.57832580000002</v>
      </c>
      <c r="AO1571" s="1">
        <f>VLOOKUP($C1571,'Substrate Heating'!$A$2:$B$33,2,FALSE)</f>
        <v>19.93</v>
      </c>
      <c r="AP1571" s="1">
        <f>VLOOKUP($C1571,'Substrate Heating'!$A$2:$M$33,13,FALSE)</f>
        <v>6</v>
      </c>
      <c r="AQ1571" s="1">
        <f>VLOOKUP($C1571,'Substrate Heating'!$A$2:$M$33,8,FALSE)</f>
        <v>1</v>
      </c>
      <c r="AR1571" s="1">
        <f t="shared" si="24"/>
        <v>0.26842975206611552</v>
      </c>
    </row>
    <row r="1572" spans="1:44" x14ac:dyDescent="0.2">
      <c r="A1572" s="8" t="s">
        <v>792</v>
      </c>
      <c r="B1572" s="18" t="s">
        <v>324</v>
      </c>
      <c r="C1572" t="s">
        <v>369</v>
      </c>
      <c r="D1572" s="23" t="s">
        <v>338</v>
      </c>
      <c r="E1572" t="s">
        <v>259</v>
      </c>
      <c r="F1572" t="s">
        <v>260</v>
      </c>
      <c r="G1572">
        <v>-10</v>
      </c>
      <c r="H1572">
        <v>0</v>
      </c>
      <c r="I1572">
        <v>0</v>
      </c>
      <c r="J1572">
        <v>0.45</v>
      </c>
      <c r="K1572">
        <v>-10</v>
      </c>
      <c r="L1572">
        <v>0</v>
      </c>
      <c r="M1572" s="28" t="s">
        <v>733</v>
      </c>
      <c r="N1572">
        <v>0</v>
      </c>
      <c r="O1572" s="28" t="s">
        <v>734</v>
      </c>
      <c r="P1572"/>
      <c r="Q1572">
        <v>3.4505494505494498E-2</v>
      </c>
      <c r="R1572" s="28" t="s">
        <v>735</v>
      </c>
      <c r="S1572" s="1" t="str">
        <f>VLOOKUP($E1572,'Product Naming'!$A$1:$P$58,2,FALSE)</f>
        <v>Limonene</v>
      </c>
      <c r="T1572" s="1" t="str">
        <f>VLOOKUP($E1572,'Product Naming'!$A$1:$P$58,3,FALSE)</f>
        <v>Limonene</v>
      </c>
      <c r="U1572" s="1" t="str">
        <f>VLOOKUP($E1572,'Product Naming'!$A$1:$P$58,4,FALSE)</f>
        <v>E</v>
      </c>
      <c r="V1572" s="1" t="str">
        <f>VLOOKUP($E1572,'Product Naming'!$A$1:$P$58,5,FALSE)</f>
        <v>C10H16</v>
      </c>
      <c r="W1572" s="1">
        <f>VLOOKUP($E1572,'Product Naming'!$A$1:$P$58,6,FALSE)</f>
        <v>10</v>
      </c>
      <c r="X1572" s="1">
        <f>VLOOKUP($E1572,'Product Naming'!$A$1:$P$58,7,FALSE)</f>
        <v>16</v>
      </c>
      <c r="Y1572" s="1">
        <f>VLOOKUP($E1572,'Product Naming'!$A$1:$P$58,8,FALSE)</f>
        <v>0</v>
      </c>
      <c r="Z1572" s="1">
        <f>VLOOKUP($E1572,'Product Naming'!$A$1:$P$58,9,FALSE)</f>
        <v>0</v>
      </c>
      <c r="AA1572" s="1">
        <f>VLOOKUP($E1572,'Product Naming'!$A$1:$P$58,10,FALSE)</f>
        <v>0</v>
      </c>
      <c r="AB1572" s="29">
        <f>VLOOKUP($E1572,'Product Naming'!$A$1:$P$58,11,FALSE)</f>
        <v>5.6</v>
      </c>
      <c r="AC1572" s="3">
        <f>VLOOKUP($E1572,'Product Naming'!$A$1:$P$58,12,FALSE)</f>
        <v>136.23244</v>
      </c>
      <c r="AD1572" s="1">
        <f>VLOOKUP($E1572,'Product Naming'!$A$1:$P$58,13,FALSE)</f>
        <v>176</v>
      </c>
      <c r="AE1572" s="1" t="str">
        <f>VLOOKUP($E1572,'Product Naming'!$A$1:$P$58,14,FALSE)</f>
        <v>Isoprenoid; Aromatic (Cycloalkane)</v>
      </c>
      <c r="AF1572" s="1" t="str">
        <f>VLOOKUP($E1572,'Product Naming'!$A$1:$P$58,15,FALSE)</f>
        <v>Acetyl-CoA</v>
      </c>
      <c r="AG1572" s="30" t="str">
        <f>VLOOKUP($E1572,'Product Naming'!$A$1:$P$58,16,FALSE)</f>
        <v>Proton symporter</v>
      </c>
      <c r="AH1572" s="3" t="str">
        <f>VLOOKUP($E1572,'Product Naming'!$A$1:$Q$58,17,FALSE)</f>
        <v>limnen_c</v>
      </c>
      <c r="AI1572" s="1">
        <f>VLOOKUP($E1572,'Product Parameters'!$A$2:$D$59,2,FALSE)</f>
        <v>1</v>
      </c>
      <c r="AJ1572" s="1">
        <f>VLOOKUP($E1572,'Product Parameters'!$A$2:$D$59,3,FALSE)</f>
        <v>0</v>
      </c>
      <c r="AK1572" s="1">
        <f>VLOOKUP($E1572,'Product Parameters'!$A$2:$D$59,4,FALSE)</f>
        <v>0.12</v>
      </c>
      <c r="AL1572" s="1">
        <f>VLOOKUP($E1572,'Product Parameters'!$A$2:$E$59,5,FALSE)</f>
        <v>49.5</v>
      </c>
      <c r="AM1572" s="1">
        <f>VLOOKUP($E1572,'Product Parameters'!$A$2:$F$59,6,FALSE)</f>
        <v>10</v>
      </c>
      <c r="AN1572" s="1">
        <f>VLOOKUP($C1572,'Substrate Heating'!$A$2:$C$33,3,FALSE)</f>
        <v>638.57832580000002</v>
      </c>
      <c r="AO1572" s="1">
        <f>VLOOKUP($C1572,'Substrate Heating'!$A$2:$B$33,2,FALSE)</f>
        <v>19.93</v>
      </c>
      <c r="AP1572" s="1">
        <f>VLOOKUP($C1572,'Substrate Heating'!$A$2:$M$33,13,FALSE)</f>
        <v>6</v>
      </c>
      <c r="AQ1572" s="1">
        <f>VLOOKUP($C1572,'Substrate Heating'!$A$2:$M$33,8,FALSE)</f>
        <v>1</v>
      </c>
      <c r="AR1572" s="1">
        <f t="shared" si="24"/>
        <v>0.34505494505494499</v>
      </c>
    </row>
    <row r="1573" spans="1:44" x14ac:dyDescent="0.2">
      <c r="A1573" s="8" t="s">
        <v>792</v>
      </c>
      <c r="B1573" s="18" t="s">
        <v>324</v>
      </c>
      <c r="C1573" t="s">
        <v>369</v>
      </c>
      <c r="D1573" s="23" t="s">
        <v>338</v>
      </c>
      <c r="E1573" t="s">
        <v>124</v>
      </c>
      <c r="F1573" t="s">
        <v>125</v>
      </c>
      <c r="G1573">
        <v>-10</v>
      </c>
      <c r="H1573">
        <v>0</v>
      </c>
      <c r="I1573">
        <v>0</v>
      </c>
      <c r="J1573">
        <v>0.45</v>
      </c>
      <c r="K1573">
        <v>-10</v>
      </c>
      <c r="L1573">
        <v>0</v>
      </c>
      <c r="M1573" s="28" t="s">
        <v>457</v>
      </c>
      <c r="N1573">
        <v>0</v>
      </c>
      <c r="O1573" s="28" t="s">
        <v>458</v>
      </c>
      <c r="P1573"/>
      <c r="Q1573">
        <v>6.6105263157894695E-2</v>
      </c>
      <c r="R1573" s="28" t="s">
        <v>459</v>
      </c>
      <c r="S1573" s="1" t="str">
        <f>VLOOKUP($E1573,'Product Naming'!$A$1:$P$58,2,FALSE)</f>
        <v>Acrylate-PW1</v>
      </c>
      <c r="T1573" s="1" t="str">
        <f>VLOOKUP($E1573,'Product Naming'!$A$1:$P$58,3,FALSE)</f>
        <v>Acrylate (PW1)</v>
      </c>
      <c r="U1573" s="1" t="str">
        <f>VLOOKUP($E1573,'Product Naming'!$A$1:$P$58,4,FALSE)</f>
        <v>A</v>
      </c>
      <c r="V1573" s="1" t="str">
        <f>VLOOKUP($E1573,'Product Naming'!$A$1:$P$58,5,FALSE)</f>
        <v>C3H3O2</v>
      </c>
      <c r="W1573" s="1">
        <f>VLOOKUP($E1573,'Product Naming'!$A$1:$P$58,6,FALSE)</f>
        <v>3</v>
      </c>
      <c r="X1573" s="1">
        <f>VLOOKUP($E1573,'Product Naming'!$A$1:$P$58,7,FALSE)</f>
        <v>3</v>
      </c>
      <c r="Y1573" s="1">
        <f>VLOOKUP($E1573,'Product Naming'!$A$1:$P$58,8,FALSE)</f>
        <v>2</v>
      </c>
      <c r="Z1573" s="1">
        <f>VLOOKUP($E1573,'Product Naming'!$A$1:$P$58,9,FALSE)</f>
        <v>0</v>
      </c>
      <c r="AA1573" s="1">
        <f>VLOOKUP($E1573,'Product Naming'!$A$1:$P$58,10,FALSE)</f>
        <v>-1</v>
      </c>
      <c r="AB1573" s="29">
        <f>VLOOKUP($E1573,'Product Naming'!$A$1:$P$58,11,FALSE)</f>
        <v>3.6666666666666665</v>
      </c>
      <c r="AC1573" s="3">
        <f>VLOOKUP($E1573,'Product Naming'!$A$1:$P$58,12,FALSE)</f>
        <v>71.053619999999995</v>
      </c>
      <c r="AD1573" s="1">
        <f>VLOOKUP($E1573,'Product Naming'!$A$1:$P$58,13,FALSE)</f>
        <v>80</v>
      </c>
      <c r="AE1573" s="1" t="str">
        <f>VLOOKUP($E1573,'Product Naming'!$A$1:$P$58,14,FALSE)</f>
        <v>Carboxylate</v>
      </c>
      <c r="AF1573" s="1" t="str">
        <f>VLOOKUP($E1573,'Product Naming'!$A$1:$P$58,15,FALSE)</f>
        <v>Glyceraldehyde 3-P</v>
      </c>
      <c r="AG1573" s="30" t="str">
        <f>VLOOKUP($E1573,'Product Naming'!$A$1:$P$58,16,FALSE)</f>
        <v>Proton symporter</v>
      </c>
      <c r="AH1573" s="3" t="str">
        <f>VLOOKUP($E1573,'Product Naming'!$A$1:$Q$58,17,FALSE)</f>
        <v>acryl_c</v>
      </c>
      <c r="AI1573" s="1">
        <f>VLOOKUP($E1573,'Product Parameters'!$A$2:$D$59,2,FALSE)</f>
        <v>1</v>
      </c>
      <c r="AJ1573" s="1">
        <f>VLOOKUP($E1573,'Product Parameters'!$A$2:$D$59,3,FALSE)</f>
        <v>0</v>
      </c>
      <c r="AK1573" s="1">
        <f>VLOOKUP($E1573,'Product Parameters'!$A$2:$D$59,4,FALSE)</f>
        <v>0.12</v>
      </c>
      <c r="AL1573" s="1">
        <f>VLOOKUP($E1573,'Product Parameters'!$A$2:$E$59,5,FALSE)</f>
        <v>53.1</v>
      </c>
      <c r="AM1573" s="1">
        <f>VLOOKUP($E1573,'Product Parameters'!$A$2:$F$59,6,FALSE)</f>
        <v>3</v>
      </c>
      <c r="AN1573" s="1">
        <f>VLOOKUP($C1573,'Substrate Heating'!$A$2:$C$33,3,FALSE)</f>
        <v>638.57832580000002</v>
      </c>
      <c r="AO1573" s="1">
        <f>VLOOKUP($C1573,'Substrate Heating'!$A$2:$B$33,2,FALSE)</f>
        <v>19.93</v>
      </c>
      <c r="AP1573" s="1">
        <f>VLOOKUP($C1573,'Substrate Heating'!$A$2:$M$33,13,FALSE)</f>
        <v>6</v>
      </c>
      <c r="AQ1573" s="1">
        <f>VLOOKUP($C1573,'Substrate Heating'!$A$2:$M$33,8,FALSE)</f>
        <v>1</v>
      </c>
      <c r="AR1573" s="1">
        <f t="shared" si="24"/>
        <v>0.19831578947368408</v>
      </c>
    </row>
    <row r="1574" spans="1:44" x14ac:dyDescent="0.2">
      <c r="A1574" s="8" t="s">
        <v>792</v>
      </c>
      <c r="B1574" s="18" t="s">
        <v>324</v>
      </c>
      <c r="C1574" t="s">
        <v>365</v>
      </c>
      <c r="D1574" s="23" t="s">
        <v>338</v>
      </c>
      <c r="E1574" t="s">
        <v>291</v>
      </c>
      <c r="F1574" t="s">
        <v>292</v>
      </c>
      <c r="G1574">
        <v>-10</v>
      </c>
      <c r="H1574">
        <v>0</v>
      </c>
      <c r="I1574">
        <v>0</v>
      </c>
      <c r="J1574">
        <v>0.45</v>
      </c>
      <c r="K1574">
        <v>-10</v>
      </c>
      <c r="L1574">
        <v>0</v>
      </c>
      <c r="M1574">
        <v>0</v>
      </c>
      <c r="N1574">
        <v>0</v>
      </c>
      <c r="O1574" s="28" t="s">
        <v>674</v>
      </c>
      <c r="P1574"/>
      <c r="Q1574">
        <v>5.4666666666666398E-2</v>
      </c>
      <c r="R1574" s="28" t="s">
        <v>675</v>
      </c>
      <c r="S1574" s="1" t="str">
        <f>VLOOKUP($E1574,'Product Naming'!$A$1:$P$58,2,FALSE)</f>
        <v>Pentanol-PW1</v>
      </c>
      <c r="T1574" s="1" t="str">
        <f>VLOOKUP($E1574,'Product Naming'!$A$1:$P$58,3,FALSE)</f>
        <v>Pentanol (PW1)</v>
      </c>
      <c r="U1574" s="1" t="str">
        <f>VLOOKUP($E1574,'Product Naming'!$A$1:$P$58,4,FALSE)</f>
        <v>E</v>
      </c>
      <c r="V1574" s="1" t="str">
        <f>VLOOKUP($E1574,'Product Naming'!$A$1:$P$58,5,FALSE)</f>
        <v>C5H12O</v>
      </c>
      <c r="W1574" s="1">
        <f>VLOOKUP($E1574,'Product Naming'!$A$1:$P$58,6,FALSE)</f>
        <v>5</v>
      </c>
      <c r="X1574" s="1">
        <f>VLOOKUP($E1574,'Product Naming'!$A$1:$P$58,7,FALSE)</f>
        <v>12</v>
      </c>
      <c r="Y1574" s="1">
        <f>VLOOKUP($E1574,'Product Naming'!$A$1:$P$58,8,FALSE)</f>
        <v>1</v>
      </c>
      <c r="Z1574" s="1">
        <f>VLOOKUP($E1574,'Product Naming'!$A$1:$P$58,9,FALSE)</f>
        <v>0</v>
      </c>
      <c r="AA1574" s="1">
        <f>VLOOKUP($E1574,'Product Naming'!$A$1:$P$58,10,FALSE)</f>
        <v>0</v>
      </c>
      <c r="AB1574" s="29">
        <f>VLOOKUP($E1574,'Product Naming'!$A$1:$P$58,11,FALSE)</f>
        <v>6</v>
      </c>
      <c r="AC1574" s="3">
        <f>VLOOKUP($E1574,'Product Naming'!$A$1:$P$58,12,FALSE)</f>
        <v>88.14658</v>
      </c>
      <c r="AD1574" s="1">
        <f>VLOOKUP($E1574,'Product Naming'!$A$1:$P$58,13,FALSE)</f>
        <v>138</v>
      </c>
      <c r="AE1574" s="1" t="str">
        <f>VLOOKUP($E1574,'Product Naming'!$A$1:$P$58,14,FALSE)</f>
        <v>Alcohol</v>
      </c>
      <c r="AF1574" s="1" t="str">
        <f>VLOOKUP($E1574,'Product Naming'!$A$1:$P$58,15,FALSE)</f>
        <v>Acetyl-CoA + Succinyl-CoA</v>
      </c>
      <c r="AG1574" s="30" t="str">
        <f>VLOOKUP($E1574,'Product Naming'!$A$1:$P$58,16,FALSE)</f>
        <v>Proton symporter</v>
      </c>
      <c r="AH1574" s="3" t="str">
        <f>VLOOKUP($E1574,'Product Naming'!$A$1:$Q$58,17,FALSE)</f>
        <v>pentoh_c</v>
      </c>
      <c r="AI1574" s="1">
        <f>VLOOKUP($E1574,'Product Parameters'!$A$2:$D$59,2,FALSE)</f>
        <v>1</v>
      </c>
      <c r="AJ1574" s="1">
        <f>VLOOKUP($E1574,'Product Parameters'!$A$2:$D$59,3,FALSE)</f>
        <v>0</v>
      </c>
      <c r="AK1574" s="1">
        <f>VLOOKUP($E1574,'Product Parameters'!$A$2:$D$59,4,FALSE)</f>
        <v>0.12</v>
      </c>
      <c r="AL1574" s="1">
        <f>VLOOKUP($E1574,'Product Parameters'!$A$2:$E$59,5,FALSE)</f>
        <v>57</v>
      </c>
      <c r="AM1574" s="1">
        <f>VLOOKUP($E1574,'Product Parameters'!$A$2:$F$59,6,FALSE)</f>
        <v>5</v>
      </c>
      <c r="AN1574" s="1">
        <f>VLOOKUP($C1574,'Substrate Heating'!$A$2:$C$33,3,FALSE)</f>
        <v>638.57832580000002</v>
      </c>
      <c r="AO1574" s="1">
        <f>VLOOKUP($C1574,'Substrate Heating'!$A$2:$B$33,2,FALSE)</f>
        <v>19.93</v>
      </c>
      <c r="AP1574" s="1">
        <f>VLOOKUP($C1574,'Substrate Heating'!$A$2:$M$33,13,FALSE)</f>
        <v>6</v>
      </c>
      <c r="AQ1574" s="1">
        <f>VLOOKUP($C1574,'Substrate Heating'!$A$2:$M$33,8,FALSE)</f>
        <v>1</v>
      </c>
      <c r="AR1574" s="1">
        <f t="shared" si="24"/>
        <v>0.27333333333333198</v>
      </c>
    </row>
    <row r="1575" spans="1:44" x14ac:dyDescent="0.2">
      <c r="A1575" s="8" t="s">
        <v>792</v>
      </c>
      <c r="B1575" s="18" t="s">
        <v>324</v>
      </c>
      <c r="C1575" t="s">
        <v>371</v>
      </c>
      <c r="D1575" s="23" t="s">
        <v>338</v>
      </c>
      <c r="E1575" t="s">
        <v>108</v>
      </c>
      <c r="F1575" t="s">
        <v>109</v>
      </c>
      <c r="G1575">
        <v>-10</v>
      </c>
      <c r="H1575">
        <v>0</v>
      </c>
      <c r="I1575">
        <v>0</v>
      </c>
      <c r="J1575">
        <v>0.45</v>
      </c>
      <c r="K1575">
        <v>-10</v>
      </c>
      <c r="L1575">
        <v>0</v>
      </c>
      <c r="M1575" s="28" t="s">
        <v>443</v>
      </c>
      <c r="N1575">
        <v>0</v>
      </c>
      <c r="O1575" s="28" t="s">
        <v>444</v>
      </c>
      <c r="P1575"/>
      <c r="Q1575">
        <v>3.9670932358318201E-2</v>
      </c>
      <c r="R1575" s="28" t="s">
        <v>445</v>
      </c>
      <c r="S1575" s="1" t="str">
        <f>VLOOKUP($E1575,'Product Naming'!$A$1:$P$58,2,FALSE)</f>
        <v>4-Hydroxystyrene</v>
      </c>
      <c r="T1575" s="1" t="str">
        <f>VLOOKUP($E1575,'Product Naming'!$A$1:$P$58,3,FALSE)</f>
        <v>4-Hydroxystyrene</v>
      </c>
      <c r="U1575" s="1" t="str">
        <f>VLOOKUP($E1575,'Product Naming'!$A$1:$P$58,4,FALSE)</f>
        <v>E</v>
      </c>
      <c r="V1575" s="1" t="str">
        <f>VLOOKUP($E1575,'Product Naming'!$A$1:$P$58,5,FALSE)</f>
        <v>C8H8O</v>
      </c>
      <c r="W1575" s="1">
        <f>VLOOKUP($E1575,'Product Naming'!$A$1:$P$58,6,FALSE)</f>
        <v>8</v>
      </c>
      <c r="X1575" s="1">
        <f>VLOOKUP($E1575,'Product Naming'!$A$1:$P$58,7,FALSE)</f>
        <v>8</v>
      </c>
      <c r="Y1575" s="1">
        <f>VLOOKUP($E1575,'Product Naming'!$A$1:$P$58,8,FALSE)</f>
        <v>1</v>
      </c>
      <c r="Z1575" s="1">
        <f>VLOOKUP($E1575,'Product Naming'!$A$1:$P$58,9,FALSE)</f>
        <v>0</v>
      </c>
      <c r="AA1575" s="1">
        <f>VLOOKUP($E1575,'Product Naming'!$A$1:$P$58,10,FALSE)</f>
        <v>0</v>
      </c>
      <c r="AB1575" s="29">
        <f>VLOOKUP($E1575,'Product Naming'!$A$1:$P$58,11,FALSE)</f>
        <v>4.75</v>
      </c>
      <c r="AC1575" s="3">
        <f>VLOOKUP($E1575,'Product Naming'!$A$1:$P$58,12,FALSE)</f>
        <v>120.14731999999999</v>
      </c>
      <c r="AD1575" s="1">
        <f>VLOOKUP($E1575,'Product Naming'!$A$1:$P$58,13,FALSE)</f>
        <v>229</v>
      </c>
      <c r="AE1575" s="1" t="str">
        <f>VLOOKUP($E1575,'Product Naming'!$A$1:$P$58,14,FALSE)</f>
        <v>Aromatic + Alcohol</v>
      </c>
      <c r="AF1575" s="1" t="str">
        <f>VLOOKUP($E1575,'Product Naming'!$A$1:$P$58,15,FALSE)</f>
        <v>E4P + L-glutamate</v>
      </c>
      <c r="AG1575" s="30" t="str">
        <f>VLOOKUP($E1575,'Product Naming'!$A$1:$P$58,16,FALSE)</f>
        <v>Proton symporter</v>
      </c>
      <c r="AH1575" s="3" t="str">
        <f>VLOOKUP($E1575,'Product Naming'!$A$1:$Q$58,17,FALSE)</f>
        <v>4hxst_c</v>
      </c>
      <c r="AI1575" s="1">
        <f>VLOOKUP($E1575,'Product Parameters'!$A$2:$D$59,2,FALSE)</f>
        <v>1</v>
      </c>
      <c r="AJ1575" s="1">
        <f>VLOOKUP($E1575,'Product Parameters'!$A$2:$D$59,3,FALSE)</f>
        <v>0</v>
      </c>
      <c r="AK1575" s="1">
        <f>VLOOKUP($E1575,'Product Parameters'!$A$2:$D$59,4,FALSE)</f>
        <v>0.12</v>
      </c>
      <c r="AL1575" s="1">
        <f>VLOOKUP($E1575,'Product Parameters'!$A$2:$E$59,5,FALSE)</f>
        <v>40.65</v>
      </c>
      <c r="AM1575" s="1">
        <f>VLOOKUP($E1575,'Product Parameters'!$A$2:$F$59,6,FALSE)</f>
        <v>8</v>
      </c>
      <c r="AN1575" s="1">
        <f>VLOOKUP($C1575,'Substrate Heating'!$A$2:$C$33,3,FALSE)</f>
        <v>638.57832580000002</v>
      </c>
      <c r="AO1575" s="1">
        <f>VLOOKUP($C1575,'Substrate Heating'!$A$2:$B$33,2,FALSE)</f>
        <v>19.93</v>
      </c>
      <c r="AP1575" s="1">
        <f>VLOOKUP($C1575,'Substrate Heating'!$A$2:$M$33,13,FALSE)</f>
        <v>6</v>
      </c>
      <c r="AQ1575" s="1">
        <f>VLOOKUP($C1575,'Substrate Heating'!$A$2:$M$33,8,FALSE)</f>
        <v>1</v>
      </c>
      <c r="AR1575" s="1">
        <f t="shared" si="24"/>
        <v>0.3173674588665456</v>
      </c>
    </row>
    <row r="1576" spans="1:44" x14ac:dyDescent="0.2">
      <c r="A1576" s="8" t="s">
        <v>792</v>
      </c>
      <c r="B1576" s="18" t="s">
        <v>324</v>
      </c>
      <c r="C1576" t="s">
        <v>372</v>
      </c>
      <c r="D1576" s="23" t="s">
        <v>338</v>
      </c>
      <c r="E1576" t="s">
        <v>136</v>
      </c>
      <c r="F1576" t="s">
        <v>137</v>
      </c>
      <c r="G1576">
        <v>-10</v>
      </c>
      <c r="H1576">
        <v>0</v>
      </c>
      <c r="I1576">
        <v>0</v>
      </c>
      <c r="J1576">
        <v>0.45</v>
      </c>
      <c r="K1576">
        <v>-10</v>
      </c>
      <c r="L1576">
        <v>0</v>
      </c>
      <c r="M1576" s="28" t="s">
        <v>489</v>
      </c>
      <c r="N1576">
        <v>0</v>
      </c>
      <c r="O1576" s="28" t="s">
        <v>490</v>
      </c>
      <c r="P1576"/>
      <c r="Q1576">
        <v>4.10619469026548E-2</v>
      </c>
      <c r="R1576" s="28" t="s">
        <v>491</v>
      </c>
      <c r="S1576" s="1" t="str">
        <f>VLOOKUP($E1576,'Product Naming'!$A$1:$P$58,2,FALSE)</f>
        <v>Benzoate-PW1</v>
      </c>
      <c r="T1576" s="1" t="str">
        <f>VLOOKUP($E1576,'Product Naming'!$A$1:$P$58,3,FALSE)</f>
        <v>Benzoate (PW1)</v>
      </c>
      <c r="U1576" s="1" t="str">
        <f>VLOOKUP($E1576,'Product Naming'!$A$1:$P$58,4,FALSE)</f>
        <v>A</v>
      </c>
      <c r="V1576" s="1" t="str">
        <f>VLOOKUP($E1576,'Product Naming'!$A$1:$P$58,5,FALSE)</f>
        <v>C7H5O2</v>
      </c>
      <c r="W1576" s="1">
        <f>VLOOKUP($E1576,'Product Naming'!$A$1:$P$58,6,FALSE)</f>
        <v>7</v>
      </c>
      <c r="X1576" s="1">
        <f>VLOOKUP($E1576,'Product Naming'!$A$1:$P$58,7,FALSE)</f>
        <v>5</v>
      </c>
      <c r="Y1576" s="1">
        <f>VLOOKUP($E1576,'Product Naming'!$A$1:$P$58,8,FALSE)</f>
        <v>2</v>
      </c>
      <c r="Z1576" s="1">
        <f>VLOOKUP($E1576,'Product Naming'!$A$1:$P$58,9,FALSE)</f>
        <v>0</v>
      </c>
      <c r="AA1576" s="1">
        <f>VLOOKUP($E1576,'Product Naming'!$A$1:$P$58,10,FALSE)</f>
        <v>-1</v>
      </c>
      <c r="AB1576" s="29">
        <f>VLOOKUP($E1576,'Product Naming'!$A$1:$P$58,11,FALSE)</f>
        <v>4.1428571428571432</v>
      </c>
      <c r="AC1576" s="3">
        <f>VLOOKUP($E1576,'Product Naming'!$A$1:$P$58,12,FALSE)</f>
        <v>121.1121</v>
      </c>
      <c r="AD1576" s="1">
        <f>VLOOKUP($E1576,'Product Naming'!$A$1:$P$58,13,FALSE)</f>
        <v>249.2</v>
      </c>
      <c r="AE1576" s="1" t="str">
        <f>VLOOKUP($E1576,'Product Naming'!$A$1:$P$58,14,FALSE)</f>
        <v>Aromatic + Carboxylate</v>
      </c>
      <c r="AF1576" s="1" t="str">
        <f>VLOOKUP($E1576,'Product Naming'!$A$1:$P$58,15,FALSE)</f>
        <v>E4P + aKG</v>
      </c>
      <c r="AG1576" s="30" t="str">
        <f>VLOOKUP($E1576,'Product Naming'!$A$1:$P$58,16,FALSE)</f>
        <v>Proton symporter</v>
      </c>
      <c r="AH1576" s="3" t="str">
        <f>VLOOKUP($E1576,'Product Naming'!$A$1:$Q$58,17,FALSE)</f>
        <v>bz_c</v>
      </c>
      <c r="AI1576" s="1">
        <f>VLOOKUP($E1576,'Product Parameters'!$A$2:$D$59,2,FALSE)</f>
        <v>1</v>
      </c>
      <c r="AJ1576" s="1">
        <f>VLOOKUP($E1576,'Product Parameters'!$A$2:$D$59,3,FALSE)</f>
        <v>0</v>
      </c>
      <c r="AK1576" s="1">
        <f>VLOOKUP($E1576,'Product Parameters'!$A$2:$D$59,4,FALSE)</f>
        <v>0.12</v>
      </c>
      <c r="AL1576" s="1">
        <f>VLOOKUP($E1576,'Product Parameters'!$A$2:$E$59,5,FALSE)</f>
        <v>40.65</v>
      </c>
      <c r="AM1576" s="1">
        <f>VLOOKUP($E1576,'Product Parameters'!$A$2:$F$59,6,FALSE)</f>
        <v>7</v>
      </c>
      <c r="AN1576" s="1">
        <f>VLOOKUP($C1576,'Substrate Heating'!$A$2:$C$33,3,FALSE)</f>
        <v>638.57832580000002</v>
      </c>
      <c r="AO1576" s="1">
        <f>VLOOKUP($C1576,'Substrate Heating'!$A$2:$B$33,2,FALSE)</f>
        <v>19.93</v>
      </c>
      <c r="AP1576" s="1">
        <f>VLOOKUP($C1576,'Substrate Heating'!$A$2:$M$33,13,FALSE)</f>
        <v>6</v>
      </c>
      <c r="AQ1576" s="1">
        <f>VLOOKUP($C1576,'Substrate Heating'!$A$2:$M$33,8,FALSE)</f>
        <v>1</v>
      </c>
      <c r="AR1576" s="1">
        <f t="shared" si="24"/>
        <v>0.2874336283185836</v>
      </c>
    </row>
    <row r="1577" spans="1:44" x14ac:dyDescent="0.2">
      <c r="A1577" s="8" t="s">
        <v>792</v>
      </c>
      <c r="B1577" s="18" t="s">
        <v>324</v>
      </c>
      <c r="C1577" t="s">
        <v>365</v>
      </c>
      <c r="D1577" s="23" t="s">
        <v>338</v>
      </c>
      <c r="E1577" t="s">
        <v>130</v>
      </c>
      <c r="F1577" t="s">
        <v>125</v>
      </c>
      <c r="G1577">
        <v>-10</v>
      </c>
      <c r="H1577">
        <v>0</v>
      </c>
      <c r="I1577">
        <v>0</v>
      </c>
      <c r="J1577">
        <v>0.45</v>
      </c>
      <c r="K1577">
        <v>-10</v>
      </c>
      <c r="L1577">
        <v>0</v>
      </c>
      <c r="M1577" s="28" t="s">
        <v>467</v>
      </c>
      <c r="N1577">
        <v>0</v>
      </c>
      <c r="O1577" s="28" t="s">
        <v>468</v>
      </c>
      <c r="P1577"/>
      <c r="Q1577">
        <v>7.13043478260868E-2</v>
      </c>
      <c r="R1577" s="28" t="s">
        <v>469</v>
      </c>
      <c r="S1577" s="1" t="str">
        <f>VLOOKUP($E1577,'Product Naming'!$A$1:$P$58,2,FALSE)</f>
        <v>Acrylate-PW2</v>
      </c>
      <c r="T1577" s="1" t="str">
        <f>VLOOKUP($E1577,'Product Naming'!$A$1:$P$58,3,FALSE)</f>
        <v>Acrylate (PW2)</v>
      </c>
      <c r="U1577" s="1" t="str">
        <f>VLOOKUP($E1577,'Product Naming'!$A$1:$P$58,4,FALSE)</f>
        <v>A</v>
      </c>
      <c r="V1577" s="1" t="str">
        <f>VLOOKUP($E1577,'Product Naming'!$A$1:$P$58,5,FALSE)</f>
        <v>C3H3O2</v>
      </c>
      <c r="W1577" s="1">
        <f>VLOOKUP($E1577,'Product Naming'!$A$1:$P$58,6,FALSE)</f>
        <v>3</v>
      </c>
      <c r="X1577" s="1">
        <f>VLOOKUP($E1577,'Product Naming'!$A$1:$P$58,7,FALSE)</f>
        <v>3</v>
      </c>
      <c r="Y1577" s="1">
        <f>VLOOKUP($E1577,'Product Naming'!$A$1:$P$58,8,FALSE)</f>
        <v>2</v>
      </c>
      <c r="Z1577" s="1">
        <f>VLOOKUP($E1577,'Product Naming'!$A$1:$P$58,9,FALSE)</f>
        <v>0</v>
      </c>
      <c r="AA1577" s="1">
        <f>VLOOKUP($E1577,'Product Naming'!$A$1:$P$58,10,FALSE)</f>
        <v>-1</v>
      </c>
      <c r="AB1577" s="29">
        <f>VLOOKUP($E1577,'Product Naming'!$A$1:$P$58,11,FALSE)</f>
        <v>3.6666666666666665</v>
      </c>
      <c r="AC1577" s="3">
        <f>VLOOKUP($E1577,'Product Naming'!$A$1:$P$58,12,FALSE)</f>
        <v>71.053619999999995</v>
      </c>
      <c r="AD1577" s="1">
        <f>VLOOKUP($E1577,'Product Naming'!$A$1:$P$58,13,FALSE)</f>
        <v>80</v>
      </c>
      <c r="AE1577" s="1" t="str">
        <f>VLOOKUP($E1577,'Product Naming'!$A$1:$P$58,14,FALSE)</f>
        <v>Carboxylate</v>
      </c>
      <c r="AF1577" s="1" t="str">
        <f>VLOOKUP($E1577,'Product Naming'!$A$1:$P$58,15,FALSE)</f>
        <v>Pyruvate</v>
      </c>
      <c r="AG1577" s="30" t="str">
        <f>VLOOKUP($E1577,'Product Naming'!$A$1:$P$58,16,FALSE)</f>
        <v>Proton symporter</v>
      </c>
      <c r="AH1577" s="3" t="str">
        <f>VLOOKUP($E1577,'Product Naming'!$A$1:$Q$58,17,FALSE)</f>
        <v>acryl_c</v>
      </c>
      <c r="AI1577" s="1">
        <f>VLOOKUP($E1577,'Product Parameters'!$A$2:$D$59,2,FALSE)</f>
        <v>1</v>
      </c>
      <c r="AJ1577" s="1">
        <f>VLOOKUP($E1577,'Product Parameters'!$A$2:$D$59,3,FALSE)</f>
        <v>0</v>
      </c>
      <c r="AK1577" s="1">
        <f>VLOOKUP($E1577,'Product Parameters'!$A$2:$D$59,4,FALSE)</f>
        <v>0.12</v>
      </c>
      <c r="AL1577" s="1">
        <f>VLOOKUP($E1577,'Product Parameters'!$A$2:$E$59,5,FALSE)</f>
        <v>53.1</v>
      </c>
      <c r="AM1577" s="1">
        <f>VLOOKUP($E1577,'Product Parameters'!$A$2:$F$59,6,FALSE)</f>
        <v>3</v>
      </c>
      <c r="AN1577" s="1">
        <f>VLOOKUP($C1577,'Substrate Heating'!$A$2:$C$33,3,FALSE)</f>
        <v>638.57832580000002</v>
      </c>
      <c r="AO1577" s="1">
        <f>VLOOKUP($C1577,'Substrate Heating'!$A$2:$B$33,2,FALSE)</f>
        <v>19.93</v>
      </c>
      <c r="AP1577" s="1">
        <f>VLOOKUP($C1577,'Substrate Heating'!$A$2:$M$33,13,FALSE)</f>
        <v>6</v>
      </c>
      <c r="AQ1577" s="1">
        <f>VLOOKUP($C1577,'Substrate Heating'!$A$2:$M$33,8,FALSE)</f>
        <v>1</v>
      </c>
      <c r="AR1577" s="1">
        <f t="shared" si="24"/>
        <v>0.2139130434782604</v>
      </c>
    </row>
    <row r="1578" spans="1:44" x14ac:dyDescent="0.2">
      <c r="A1578" s="8" t="s">
        <v>792</v>
      </c>
      <c r="B1578" s="18" t="s">
        <v>324</v>
      </c>
      <c r="C1578" t="s">
        <v>365</v>
      </c>
      <c r="D1578" s="23" t="s">
        <v>338</v>
      </c>
      <c r="E1578" t="s">
        <v>306</v>
      </c>
      <c r="F1578" t="s">
        <v>302</v>
      </c>
      <c r="G1578">
        <v>-10</v>
      </c>
      <c r="H1578">
        <v>0</v>
      </c>
      <c r="I1578">
        <v>0</v>
      </c>
      <c r="J1578">
        <v>0.45</v>
      </c>
      <c r="K1578">
        <v>-10</v>
      </c>
      <c r="L1578">
        <v>0</v>
      </c>
      <c r="M1578">
        <v>0</v>
      </c>
      <c r="N1578">
        <v>0</v>
      </c>
      <c r="O1578" s="28" t="s">
        <v>793</v>
      </c>
      <c r="P1578"/>
      <c r="Q1578" s="28" t="s">
        <v>794</v>
      </c>
      <c r="R1578" s="28" t="s">
        <v>795</v>
      </c>
      <c r="S1578" s="1" t="str">
        <f>VLOOKUP($E1578,'Product Naming'!$A$1:$P$58,2,FALSE)</f>
        <v>Propane-PW2</v>
      </c>
      <c r="T1578" s="1" t="str">
        <f>VLOOKUP($E1578,'Product Naming'!$A$1:$P$58,3,FALSE)</f>
        <v>Propane (PW2)</v>
      </c>
      <c r="U1578" s="1" t="str">
        <f>VLOOKUP($E1578,'Product Naming'!$A$1:$P$58,4,FALSE)</f>
        <v>E</v>
      </c>
      <c r="V1578" s="1" t="str">
        <f>VLOOKUP($E1578,'Product Naming'!$A$1:$P$58,5,FALSE)</f>
        <v>C3H8</v>
      </c>
      <c r="W1578" s="1">
        <f>VLOOKUP($E1578,'Product Naming'!$A$1:$P$58,6,FALSE)</f>
        <v>3</v>
      </c>
      <c r="X1578" s="1">
        <f>VLOOKUP($E1578,'Product Naming'!$A$1:$P$58,7,FALSE)</f>
        <v>8</v>
      </c>
      <c r="Y1578" s="1">
        <f>VLOOKUP($E1578,'Product Naming'!$A$1:$P$58,8,FALSE)</f>
        <v>0</v>
      </c>
      <c r="Z1578" s="1">
        <f>VLOOKUP($E1578,'Product Naming'!$A$1:$P$58,9,FALSE)</f>
        <v>0</v>
      </c>
      <c r="AA1578" s="1">
        <f>VLOOKUP($E1578,'Product Naming'!$A$1:$P$58,10,FALSE)</f>
        <v>0</v>
      </c>
      <c r="AB1578" s="29">
        <f>VLOOKUP($E1578,'Product Naming'!$A$1:$P$58,11,FALSE)</f>
        <v>6.666666666666667</v>
      </c>
      <c r="AC1578" s="3">
        <f>VLOOKUP($E1578,'Product Naming'!$A$1:$P$58,12,FALSE)</f>
        <v>44.094819999999999</v>
      </c>
      <c r="AD1578" s="1">
        <f>VLOOKUP($E1578,'Product Naming'!$A$1:$P$58,13,FALSE)</f>
        <v>-42</v>
      </c>
      <c r="AE1578" s="1" t="str">
        <f>VLOOKUP($E1578,'Product Naming'!$A$1:$P$58,14,FALSE)</f>
        <v>Hydrocarbon</v>
      </c>
      <c r="AF1578" s="1" t="str">
        <f>VLOOKUP($E1578,'Product Naming'!$A$1:$P$58,15,FALSE)</f>
        <v>Oxaloacetate</v>
      </c>
      <c r="AG1578" s="30" t="str">
        <f>VLOOKUP($E1578,'Product Naming'!$A$1:$P$58,16,FALSE)</f>
        <v>Diffusion</v>
      </c>
      <c r="AH1578" s="3" t="str">
        <f>VLOOKUP($E1578,'Product Naming'!$A$1:$Q$58,17,FALSE)</f>
        <v>prop_c</v>
      </c>
      <c r="AI1578" s="1">
        <f>VLOOKUP($E1578,'Product Parameters'!$A$2:$D$59,2,FALSE)</f>
        <v>0</v>
      </c>
      <c r="AJ1578" s="1">
        <f>VLOOKUP($E1578,'Product Parameters'!$A$2:$D$59,3,FALSE)</f>
        <v>1</v>
      </c>
      <c r="AK1578" s="1">
        <f>VLOOKUP($E1578,'Product Parameters'!$A$2:$D$59,4,FALSE)</f>
        <v>0.12</v>
      </c>
      <c r="AL1578" s="1">
        <f>VLOOKUP($E1578,'Product Parameters'!$A$2:$E$59,5,FALSE)</f>
        <v>0</v>
      </c>
      <c r="AM1578" s="1">
        <f>VLOOKUP($E1578,'Product Parameters'!$A$2:$F$59,6,FALSE)</f>
        <v>3</v>
      </c>
      <c r="AN1578" s="1">
        <f>VLOOKUP($C1578,'Substrate Heating'!$A$2:$C$33,3,FALSE)</f>
        <v>638.57832580000002</v>
      </c>
      <c r="AO1578" s="1">
        <f>VLOOKUP($C1578,'Substrate Heating'!$A$2:$B$33,2,FALSE)</f>
        <v>19.93</v>
      </c>
      <c r="AP1578" s="1">
        <f>VLOOKUP($C1578,'Substrate Heating'!$A$2:$M$33,13,FALSE)</f>
        <v>6</v>
      </c>
      <c r="AQ1578" s="1">
        <f>VLOOKUP($C1578,'Substrate Heating'!$A$2:$M$33,8,FALSE)</f>
        <v>1</v>
      </c>
      <c r="AR1578" s="1">
        <f t="shared" si="24"/>
        <v>0.35142857142857098</v>
      </c>
    </row>
    <row r="1579" spans="1:44" x14ac:dyDescent="0.2">
      <c r="A1579" s="8" t="s">
        <v>792</v>
      </c>
      <c r="B1579" s="18" t="s">
        <v>324</v>
      </c>
      <c r="C1579" t="s">
        <v>372</v>
      </c>
      <c r="D1579" s="23" t="s">
        <v>338</v>
      </c>
      <c r="E1579" t="s">
        <v>108</v>
      </c>
      <c r="F1579" t="s">
        <v>109</v>
      </c>
      <c r="G1579">
        <v>-10</v>
      </c>
      <c r="H1579">
        <v>0</v>
      </c>
      <c r="I1579">
        <v>0</v>
      </c>
      <c r="J1579">
        <v>0.45</v>
      </c>
      <c r="K1579">
        <v>-10</v>
      </c>
      <c r="L1579">
        <v>0</v>
      </c>
      <c r="M1579" s="28" t="s">
        <v>446</v>
      </c>
      <c r="N1579">
        <v>0</v>
      </c>
      <c r="O1579" s="28" t="s">
        <v>447</v>
      </c>
      <c r="P1579"/>
      <c r="Q1579">
        <v>4.2568807339449302E-2</v>
      </c>
      <c r="R1579" s="28" t="s">
        <v>448</v>
      </c>
      <c r="S1579" s="1" t="str">
        <f>VLOOKUP($E1579,'Product Naming'!$A$1:$P$58,2,FALSE)</f>
        <v>4-Hydroxystyrene</v>
      </c>
      <c r="T1579" s="1" t="str">
        <f>VLOOKUP($E1579,'Product Naming'!$A$1:$P$58,3,FALSE)</f>
        <v>4-Hydroxystyrene</v>
      </c>
      <c r="U1579" s="1" t="str">
        <f>VLOOKUP($E1579,'Product Naming'!$A$1:$P$58,4,FALSE)</f>
        <v>E</v>
      </c>
      <c r="V1579" s="1" t="str">
        <f>VLOOKUP($E1579,'Product Naming'!$A$1:$P$58,5,FALSE)</f>
        <v>C8H8O</v>
      </c>
      <c r="W1579" s="1">
        <f>VLOOKUP($E1579,'Product Naming'!$A$1:$P$58,6,FALSE)</f>
        <v>8</v>
      </c>
      <c r="X1579" s="1">
        <f>VLOOKUP($E1579,'Product Naming'!$A$1:$P$58,7,FALSE)</f>
        <v>8</v>
      </c>
      <c r="Y1579" s="1">
        <f>VLOOKUP($E1579,'Product Naming'!$A$1:$P$58,8,FALSE)</f>
        <v>1</v>
      </c>
      <c r="Z1579" s="1">
        <f>VLOOKUP($E1579,'Product Naming'!$A$1:$P$58,9,FALSE)</f>
        <v>0</v>
      </c>
      <c r="AA1579" s="1">
        <f>VLOOKUP($E1579,'Product Naming'!$A$1:$P$58,10,FALSE)</f>
        <v>0</v>
      </c>
      <c r="AB1579" s="29">
        <f>VLOOKUP($E1579,'Product Naming'!$A$1:$P$58,11,FALSE)</f>
        <v>4.75</v>
      </c>
      <c r="AC1579" s="3">
        <f>VLOOKUP($E1579,'Product Naming'!$A$1:$P$58,12,FALSE)</f>
        <v>120.14731999999999</v>
      </c>
      <c r="AD1579" s="1">
        <f>VLOOKUP($E1579,'Product Naming'!$A$1:$P$58,13,FALSE)</f>
        <v>229</v>
      </c>
      <c r="AE1579" s="1" t="str">
        <f>VLOOKUP($E1579,'Product Naming'!$A$1:$P$58,14,FALSE)</f>
        <v>Aromatic + Alcohol</v>
      </c>
      <c r="AF1579" s="1" t="str">
        <f>VLOOKUP($E1579,'Product Naming'!$A$1:$P$58,15,FALSE)</f>
        <v>E4P + L-glutamate</v>
      </c>
      <c r="AG1579" s="30" t="str">
        <f>VLOOKUP($E1579,'Product Naming'!$A$1:$P$58,16,FALSE)</f>
        <v>Proton symporter</v>
      </c>
      <c r="AH1579" s="3" t="str">
        <f>VLOOKUP($E1579,'Product Naming'!$A$1:$Q$58,17,FALSE)</f>
        <v>4hxst_c</v>
      </c>
      <c r="AI1579" s="1">
        <f>VLOOKUP($E1579,'Product Parameters'!$A$2:$D$59,2,FALSE)</f>
        <v>1</v>
      </c>
      <c r="AJ1579" s="1">
        <f>VLOOKUP($E1579,'Product Parameters'!$A$2:$D$59,3,FALSE)</f>
        <v>0</v>
      </c>
      <c r="AK1579" s="1">
        <f>VLOOKUP($E1579,'Product Parameters'!$A$2:$D$59,4,FALSE)</f>
        <v>0.12</v>
      </c>
      <c r="AL1579" s="1">
        <f>VLOOKUP($E1579,'Product Parameters'!$A$2:$E$59,5,FALSE)</f>
        <v>40.65</v>
      </c>
      <c r="AM1579" s="1">
        <f>VLOOKUP($E1579,'Product Parameters'!$A$2:$F$59,6,FALSE)</f>
        <v>8</v>
      </c>
      <c r="AN1579" s="1">
        <f>VLOOKUP($C1579,'Substrate Heating'!$A$2:$C$33,3,FALSE)</f>
        <v>638.57832580000002</v>
      </c>
      <c r="AO1579" s="1">
        <f>VLOOKUP($C1579,'Substrate Heating'!$A$2:$B$33,2,FALSE)</f>
        <v>19.93</v>
      </c>
      <c r="AP1579" s="1">
        <f>VLOOKUP($C1579,'Substrate Heating'!$A$2:$M$33,13,FALSE)</f>
        <v>6</v>
      </c>
      <c r="AQ1579" s="1">
        <f>VLOOKUP($C1579,'Substrate Heating'!$A$2:$M$33,8,FALSE)</f>
        <v>1</v>
      </c>
      <c r="AR1579" s="1">
        <f t="shared" si="24"/>
        <v>0.34055045871559442</v>
      </c>
    </row>
    <row r="1580" spans="1:44" x14ac:dyDescent="0.2">
      <c r="A1580" s="8" t="s">
        <v>792</v>
      </c>
      <c r="B1580" s="18" t="s">
        <v>324</v>
      </c>
      <c r="C1580" t="s">
        <v>365</v>
      </c>
      <c r="D1580" s="23" t="s">
        <v>338</v>
      </c>
      <c r="E1580" t="s">
        <v>254</v>
      </c>
      <c r="F1580" t="s">
        <v>255</v>
      </c>
      <c r="G1580">
        <v>-10</v>
      </c>
      <c r="H1580">
        <v>0</v>
      </c>
      <c r="I1580">
        <v>0</v>
      </c>
      <c r="J1580">
        <v>0.45</v>
      </c>
      <c r="K1580">
        <v>-10</v>
      </c>
      <c r="L1580">
        <v>0</v>
      </c>
      <c r="M1580" s="28" t="s">
        <v>616</v>
      </c>
      <c r="N1580">
        <v>0</v>
      </c>
      <c r="O1580" s="28" t="s">
        <v>617</v>
      </c>
      <c r="P1580"/>
      <c r="Q1580" s="28" t="s">
        <v>618</v>
      </c>
      <c r="R1580" s="28" t="s">
        <v>619</v>
      </c>
      <c r="S1580" s="1" t="str">
        <f>VLOOKUP($E1580,'Product Naming'!$A$1:$P$58,2,FALSE)</f>
        <v>Itaconate</v>
      </c>
      <c r="T1580" s="1" t="str">
        <f>VLOOKUP($E1580,'Product Naming'!$A$1:$P$58,3,FALSE)</f>
        <v>Itaconate</v>
      </c>
      <c r="U1580" s="1" t="str">
        <f>VLOOKUP($E1580,'Product Naming'!$A$1:$P$58,4,FALSE)</f>
        <v>E</v>
      </c>
      <c r="V1580" s="1" t="str">
        <f>VLOOKUP($E1580,'Product Naming'!$A$1:$P$58,5,FALSE)</f>
        <v>C5H4O4</v>
      </c>
      <c r="W1580" s="1">
        <f>VLOOKUP($E1580,'Product Naming'!$A$1:$P$58,6,FALSE)</f>
        <v>5</v>
      </c>
      <c r="X1580" s="1">
        <f>VLOOKUP($E1580,'Product Naming'!$A$1:$P$58,7,FALSE)</f>
        <v>4</v>
      </c>
      <c r="Y1580" s="1">
        <f>VLOOKUP($E1580,'Product Naming'!$A$1:$P$58,8,FALSE)</f>
        <v>4</v>
      </c>
      <c r="Z1580" s="1">
        <f>VLOOKUP($E1580,'Product Naming'!$A$1:$P$58,9,FALSE)</f>
        <v>0</v>
      </c>
      <c r="AA1580" s="1">
        <f>VLOOKUP($E1580,'Product Naming'!$A$1:$P$58,10,FALSE)</f>
        <v>-2</v>
      </c>
      <c r="AB1580" s="29">
        <f>VLOOKUP($E1580,'Product Naming'!$A$1:$P$58,11,FALSE)</f>
        <v>3.2</v>
      </c>
      <c r="AC1580" s="3">
        <f>VLOOKUP($E1580,'Product Naming'!$A$1:$P$58,12,FALSE)</f>
        <v>128.08086</v>
      </c>
      <c r="AD1580" s="1">
        <f>VLOOKUP($E1580,'Product Naming'!$A$1:$P$58,13,FALSE)</f>
        <v>381</v>
      </c>
      <c r="AE1580" s="1" t="str">
        <f>VLOOKUP($E1580,'Product Naming'!$A$1:$P$58,14,FALSE)</f>
        <v>Dicarboxylate</v>
      </c>
      <c r="AF1580" s="1" t="str">
        <f>VLOOKUP($E1580,'Product Naming'!$A$1:$P$58,15,FALSE)</f>
        <v>Acetyl-CoA + Oxaloacetate</v>
      </c>
      <c r="AG1580" s="30" t="str">
        <f>VLOOKUP($E1580,'Product Naming'!$A$1:$P$58,16,FALSE)</f>
        <v>Proton symporter</v>
      </c>
      <c r="AH1580" s="3" t="str">
        <f>VLOOKUP($E1580,'Product Naming'!$A$1:$Q$58,17,FALSE)</f>
        <v>itacon_c</v>
      </c>
      <c r="AI1580" s="1">
        <f>VLOOKUP($E1580,'Product Parameters'!$A$2:$D$59,2,FALSE)</f>
        <v>1</v>
      </c>
      <c r="AJ1580" s="1">
        <f>VLOOKUP($E1580,'Product Parameters'!$A$2:$D$59,3,FALSE)</f>
        <v>0</v>
      </c>
      <c r="AK1580" s="1">
        <f>VLOOKUP($E1580,'Product Parameters'!$A$2:$D$59,4,FALSE)</f>
        <v>0.12</v>
      </c>
      <c r="AL1580" s="1">
        <f>VLOOKUP($E1580,'Product Parameters'!$A$2:$E$59,5,FALSE)</f>
        <v>40.65</v>
      </c>
      <c r="AM1580" s="1">
        <f>VLOOKUP($E1580,'Product Parameters'!$A$2:$F$59,6,FALSE)</f>
        <v>5</v>
      </c>
      <c r="AN1580" s="1">
        <f>VLOOKUP($C1580,'Substrate Heating'!$A$2:$C$33,3,FALSE)</f>
        <v>638.57832580000002</v>
      </c>
      <c r="AO1580" s="1">
        <f>VLOOKUP($C1580,'Substrate Heating'!$A$2:$B$33,2,FALSE)</f>
        <v>19.93</v>
      </c>
      <c r="AP1580" s="1">
        <f>VLOOKUP($C1580,'Substrate Heating'!$A$2:$M$33,13,FALSE)</f>
        <v>6</v>
      </c>
      <c r="AQ1580" s="1">
        <f>VLOOKUP($C1580,'Substrate Heating'!$A$2:$M$33,8,FALSE)</f>
        <v>1</v>
      </c>
      <c r="AR1580" s="1">
        <f t="shared" si="24"/>
        <v>0.21578947368421147</v>
      </c>
    </row>
    <row r="1581" spans="1:44" x14ac:dyDescent="0.2">
      <c r="A1581" s="8" t="s">
        <v>792</v>
      </c>
      <c r="B1581" s="18" t="s">
        <v>324</v>
      </c>
      <c r="C1581" t="s">
        <v>365</v>
      </c>
      <c r="D1581" s="23" t="s">
        <v>338</v>
      </c>
      <c r="E1581" t="s">
        <v>275</v>
      </c>
      <c r="F1581" t="s">
        <v>276</v>
      </c>
      <c r="G1581">
        <v>-10</v>
      </c>
      <c r="H1581">
        <v>0</v>
      </c>
      <c r="I1581">
        <v>0</v>
      </c>
      <c r="J1581">
        <v>0.45</v>
      </c>
      <c r="K1581">
        <v>-10</v>
      </c>
      <c r="L1581">
        <v>0</v>
      </c>
      <c r="M1581" s="28" t="s">
        <v>630</v>
      </c>
      <c r="N1581">
        <v>0</v>
      </c>
      <c r="O1581">
        <v>0.56551724137931103</v>
      </c>
      <c r="P1581"/>
      <c r="Q1581">
        <v>5.6551724137931102E-2</v>
      </c>
      <c r="R1581" s="28" t="s">
        <v>631</v>
      </c>
      <c r="S1581" s="1" t="str">
        <f>VLOOKUP($E1581,'Product Naming'!$A$1:$P$58,2,FALSE)</f>
        <v>Malonate</v>
      </c>
      <c r="T1581" s="1" t="str">
        <f>VLOOKUP($E1581,'Product Naming'!$A$1:$P$58,3,FALSE)</f>
        <v>Malonate</v>
      </c>
      <c r="U1581" s="1" t="str">
        <f>VLOOKUP($E1581,'Product Naming'!$A$1:$P$58,4,FALSE)</f>
        <v>A</v>
      </c>
      <c r="V1581" s="1" t="str">
        <f>VLOOKUP($E1581,'Product Naming'!$A$1:$P$58,5,FALSE)</f>
        <v>C3H2O4</v>
      </c>
      <c r="W1581" s="1">
        <f>VLOOKUP($E1581,'Product Naming'!$A$1:$P$58,6,FALSE)</f>
        <v>3</v>
      </c>
      <c r="X1581" s="1">
        <f>VLOOKUP($E1581,'Product Naming'!$A$1:$P$58,7,FALSE)</f>
        <v>2</v>
      </c>
      <c r="Y1581" s="1">
        <f>VLOOKUP($E1581,'Product Naming'!$A$1:$P$58,8,FALSE)</f>
        <v>4</v>
      </c>
      <c r="Z1581" s="1">
        <f>VLOOKUP($E1581,'Product Naming'!$A$1:$P$58,9,FALSE)</f>
        <v>0</v>
      </c>
      <c r="AA1581" s="1">
        <f>VLOOKUP($E1581,'Product Naming'!$A$1:$P$58,10,FALSE)</f>
        <v>-2</v>
      </c>
      <c r="AB1581" s="29">
        <f>VLOOKUP($E1581,'Product Naming'!$A$1:$P$58,11,FALSE)</f>
        <v>2</v>
      </c>
      <c r="AC1581" s="3">
        <f>VLOOKUP($E1581,'Product Naming'!$A$1:$P$58,12,FALSE)</f>
        <v>102.04378</v>
      </c>
      <c r="AD1581" s="1">
        <f>VLOOKUP($E1581,'Product Naming'!$A$1:$P$58,13,FALSE)</f>
        <v>199</v>
      </c>
      <c r="AE1581" s="1" t="str">
        <f>VLOOKUP($E1581,'Product Naming'!$A$1:$P$58,14,FALSE)</f>
        <v>Dicarboxylate</v>
      </c>
      <c r="AF1581" s="1" t="str">
        <f>VLOOKUP($E1581,'Product Naming'!$A$1:$P$58,15,FALSE)</f>
        <v>Oxaloacetate</v>
      </c>
      <c r="AG1581" s="30" t="str">
        <f>VLOOKUP($E1581,'Product Naming'!$A$1:$P$58,16,FALSE)</f>
        <v>Proton symporter</v>
      </c>
      <c r="AH1581" s="3" t="str">
        <f>VLOOKUP($E1581,'Product Naming'!$A$1:$Q$58,17,FALSE)</f>
        <v>malon_c</v>
      </c>
      <c r="AI1581" s="1">
        <f>VLOOKUP($E1581,'Product Parameters'!$A$2:$D$59,2,FALSE)</f>
        <v>1</v>
      </c>
      <c r="AJ1581" s="1">
        <f>VLOOKUP($E1581,'Product Parameters'!$A$2:$D$59,3,FALSE)</f>
        <v>0</v>
      </c>
      <c r="AK1581" s="1">
        <f>VLOOKUP($E1581,'Product Parameters'!$A$2:$D$59,4,FALSE)</f>
        <v>0.12</v>
      </c>
      <c r="AL1581" s="1">
        <f>VLOOKUP($E1581,'Product Parameters'!$A$2:$E$59,5,FALSE)</f>
        <v>40.65</v>
      </c>
      <c r="AM1581" s="1">
        <f>VLOOKUP($E1581,'Product Parameters'!$A$2:$F$59,6,FALSE)</f>
        <v>3</v>
      </c>
      <c r="AN1581" s="1">
        <f>VLOOKUP($C1581,'Substrate Heating'!$A$2:$C$33,3,FALSE)</f>
        <v>638.57832580000002</v>
      </c>
      <c r="AO1581" s="1">
        <f>VLOOKUP($C1581,'Substrate Heating'!$A$2:$B$33,2,FALSE)</f>
        <v>19.93</v>
      </c>
      <c r="AP1581" s="1">
        <f>VLOOKUP($C1581,'Substrate Heating'!$A$2:$M$33,13,FALSE)</f>
        <v>6</v>
      </c>
      <c r="AQ1581" s="1">
        <f>VLOOKUP($C1581,'Substrate Heating'!$A$2:$M$33,8,FALSE)</f>
        <v>1</v>
      </c>
      <c r="AR1581" s="1">
        <f t="shared" si="24"/>
        <v>0.1696551724137933</v>
      </c>
    </row>
    <row r="1582" spans="1:44" x14ac:dyDescent="0.2">
      <c r="A1582" s="8" t="s">
        <v>792</v>
      </c>
      <c r="B1582" s="18" t="s">
        <v>324</v>
      </c>
      <c r="C1582" t="s">
        <v>369</v>
      </c>
      <c r="D1582" s="23" t="s">
        <v>338</v>
      </c>
      <c r="E1582" t="s">
        <v>158</v>
      </c>
      <c r="F1582" t="s">
        <v>159</v>
      </c>
      <c r="G1582">
        <v>-10</v>
      </c>
      <c r="H1582">
        <v>0</v>
      </c>
      <c r="I1582">
        <v>0</v>
      </c>
      <c r="J1582">
        <v>0.45</v>
      </c>
      <c r="K1582">
        <v>-10</v>
      </c>
      <c r="L1582">
        <v>0</v>
      </c>
      <c r="M1582">
        <v>0</v>
      </c>
      <c r="N1582">
        <v>0</v>
      </c>
      <c r="O1582" s="28" t="s">
        <v>506</v>
      </c>
      <c r="P1582"/>
      <c r="Q1582" s="28" t="s">
        <v>507</v>
      </c>
      <c r="R1582" s="28" t="s">
        <v>508</v>
      </c>
      <c r="S1582" s="1" t="str">
        <f>VLOOKUP($E1582,'Product Naming'!$A$1:$P$58,2,FALSE)</f>
        <v>Butane</v>
      </c>
      <c r="T1582" s="1" t="str">
        <f>VLOOKUP($E1582,'Product Naming'!$A$1:$P$58,3,FALSE)</f>
        <v>Butane</v>
      </c>
      <c r="U1582" s="1" t="str">
        <f>VLOOKUP($E1582,'Product Naming'!$A$1:$P$58,4,FALSE)</f>
        <v>E</v>
      </c>
      <c r="V1582" s="1" t="str">
        <f>VLOOKUP($E1582,'Product Naming'!$A$1:$P$58,5,FALSE)</f>
        <v>C4H10</v>
      </c>
      <c r="W1582" s="1">
        <f>VLOOKUP($E1582,'Product Naming'!$A$1:$P$58,6,FALSE)</f>
        <v>4</v>
      </c>
      <c r="X1582" s="1">
        <f>VLOOKUP($E1582,'Product Naming'!$A$1:$P$58,7,FALSE)</f>
        <v>10</v>
      </c>
      <c r="Y1582" s="1">
        <f>VLOOKUP($E1582,'Product Naming'!$A$1:$P$58,8,FALSE)</f>
        <v>0</v>
      </c>
      <c r="Z1582" s="1">
        <f>VLOOKUP($E1582,'Product Naming'!$A$1:$P$58,9,FALSE)</f>
        <v>0</v>
      </c>
      <c r="AA1582" s="1">
        <f>VLOOKUP($E1582,'Product Naming'!$A$1:$P$58,10,FALSE)</f>
        <v>0</v>
      </c>
      <c r="AB1582" s="29">
        <f>VLOOKUP($E1582,'Product Naming'!$A$1:$P$58,11,FALSE)</f>
        <v>6.5</v>
      </c>
      <c r="AC1582" s="3">
        <f>VLOOKUP($E1582,'Product Naming'!$A$1:$P$58,12,FALSE)</f>
        <v>58.121200000000002</v>
      </c>
      <c r="AD1582" s="1">
        <f>VLOOKUP($E1582,'Product Naming'!$A$1:$P$58,13,FALSE)</f>
        <v>-1</v>
      </c>
      <c r="AE1582" s="1" t="str">
        <f>VLOOKUP($E1582,'Product Naming'!$A$1:$P$58,14,FALSE)</f>
        <v>Hydrocarbon (alkane)</v>
      </c>
      <c r="AF1582" s="1" t="str">
        <f>VLOOKUP($E1582,'Product Naming'!$A$1:$P$58,15,FALSE)</f>
        <v>Acetyl-CoA + Succinyl-CoA</v>
      </c>
      <c r="AG1582" s="30" t="str">
        <f>VLOOKUP($E1582,'Product Naming'!$A$1:$P$58,16,FALSE)</f>
        <v>Diffusion</v>
      </c>
      <c r="AH1582" s="3" t="str">
        <f>VLOOKUP($E1582,'Product Naming'!$A$1:$Q$58,17,FALSE)</f>
        <v>butn_c</v>
      </c>
      <c r="AI1582" s="1">
        <f>VLOOKUP($E1582,'Product Parameters'!$A$2:$D$59,2,FALSE)</f>
        <v>0</v>
      </c>
      <c r="AJ1582" s="1">
        <f>VLOOKUP($E1582,'Product Parameters'!$A$2:$D$59,3,FALSE)</f>
        <v>1</v>
      </c>
      <c r="AK1582" s="1">
        <f>VLOOKUP($E1582,'Product Parameters'!$A$2:$D$59,4,FALSE)</f>
        <v>0.12</v>
      </c>
      <c r="AL1582" s="1">
        <f>VLOOKUP($E1582,'Product Parameters'!$A$2:$E$59,5,FALSE)</f>
        <v>0</v>
      </c>
      <c r="AM1582" s="1">
        <f>VLOOKUP($E1582,'Product Parameters'!$A$2:$F$59,6,FALSE)</f>
        <v>4</v>
      </c>
      <c r="AN1582" s="1">
        <f>VLOOKUP($C1582,'Substrate Heating'!$A$2:$C$33,3,FALSE)</f>
        <v>638.57832580000002</v>
      </c>
      <c r="AO1582" s="1">
        <f>VLOOKUP($C1582,'Substrate Heating'!$A$2:$B$33,2,FALSE)</f>
        <v>19.93</v>
      </c>
      <c r="AP1582" s="1">
        <f>VLOOKUP($C1582,'Substrate Heating'!$A$2:$M$33,13,FALSE)</f>
        <v>6</v>
      </c>
      <c r="AQ1582" s="1">
        <f>VLOOKUP($C1582,'Substrate Heating'!$A$2:$M$33,8,FALSE)</f>
        <v>1</v>
      </c>
      <c r="AR1582" s="1">
        <f t="shared" si="24"/>
        <v>0.40516129032257597</v>
      </c>
    </row>
    <row r="1583" spans="1:44" x14ac:dyDescent="0.2">
      <c r="A1583" s="8" t="s">
        <v>792</v>
      </c>
      <c r="B1583" s="18" t="s">
        <v>324</v>
      </c>
      <c r="C1583" t="s">
        <v>369</v>
      </c>
      <c r="D1583" s="23" t="s">
        <v>338</v>
      </c>
      <c r="E1583" t="s">
        <v>225</v>
      </c>
      <c r="F1583" t="s">
        <v>226</v>
      </c>
      <c r="G1583">
        <v>-10</v>
      </c>
      <c r="H1583">
        <v>0</v>
      </c>
      <c r="I1583">
        <v>0</v>
      </c>
      <c r="J1583">
        <v>0.45</v>
      </c>
      <c r="K1583">
        <v>-10</v>
      </c>
      <c r="L1583">
        <v>0</v>
      </c>
      <c r="M1583" s="28" t="s">
        <v>772</v>
      </c>
      <c r="N1583">
        <v>0</v>
      </c>
      <c r="O1583">
        <v>0.76585365853658605</v>
      </c>
      <c r="P1583"/>
      <c r="Q1583">
        <v>7.6585365853658605E-2</v>
      </c>
      <c r="R1583" s="28" t="s">
        <v>773</v>
      </c>
      <c r="S1583" s="1" t="str">
        <f>VLOOKUP($E1583,'Product Naming'!$A$1:$P$58,2,FALSE)</f>
        <v>Glycolate</v>
      </c>
      <c r="T1583" s="1" t="str">
        <f>VLOOKUP($E1583,'Product Naming'!$A$1:$P$58,3,FALSE)</f>
        <v>Glycolate</v>
      </c>
      <c r="U1583" s="1" t="str">
        <f>VLOOKUP($E1583,'Product Naming'!$A$1:$P$58,4,FALSE)</f>
        <v>iJO1366</v>
      </c>
      <c r="V1583" s="1" t="str">
        <f>VLOOKUP($E1583,'Product Naming'!$A$1:$P$58,5,FALSE)</f>
        <v>C2H3O3</v>
      </c>
      <c r="W1583" s="1">
        <f>VLOOKUP($E1583,'Product Naming'!$A$1:$P$58,6,FALSE)</f>
        <v>2</v>
      </c>
      <c r="X1583" s="1">
        <f>VLOOKUP($E1583,'Product Naming'!$A$1:$P$58,7,FALSE)</f>
        <v>3</v>
      </c>
      <c r="Y1583" s="1">
        <f>VLOOKUP($E1583,'Product Naming'!$A$1:$P$58,8,FALSE)</f>
        <v>3</v>
      </c>
      <c r="Z1583" s="1">
        <f>VLOOKUP($E1583,'Product Naming'!$A$1:$P$58,9,FALSE)</f>
        <v>0</v>
      </c>
      <c r="AA1583" s="1">
        <f>VLOOKUP($E1583,'Product Naming'!$A$1:$P$58,10,FALSE)</f>
        <v>-1</v>
      </c>
      <c r="AB1583" s="29">
        <f>VLOOKUP($E1583,'Product Naming'!$A$1:$P$58,11,FALSE)</f>
        <v>2.5</v>
      </c>
      <c r="AC1583" s="3">
        <f>VLOOKUP($E1583,'Product Naming'!$A$1:$P$58,12,FALSE)</f>
        <v>75.041920000000005</v>
      </c>
      <c r="AD1583" s="1">
        <f>VLOOKUP($E1583,'Product Naming'!$A$1:$P$58,13,FALSE)</f>
        <v>112</v>
      </c>
      <c r="AE1583" s="1" t="str">
        <f>VLOOKUP($E1583,'Product Naming'!$A$1:$P$58,14,FALSE)</f>
        <v>Carboxylate + Alcohol (hydroxy carboxylate)</v>
      </c>
      <c r="AF1583" s="1" t="str">
        <f>VLOOKUP($E1583,'Product Naming'!$A$1:$P$58,15,FALSE)</f>
        <v>Glyoxylate (*isocitrate)</v>
      </c>
      <c r="AG1583" s="30" t="str">
        <f>VLOOKUP($E1583,'Product Naming'!$A$1:$P$58,16,FALSE)</f>
        <v>Proton symporter</v>
      </c>
      <c r="AH1583" s="3" t="str">
        <f>VLOOKUP($E1583,'Product Naming'!$A$1:$Q$58,17,FALSE)</f>
        <v>glyclt_c</v>
      </c>
      <c r="AI1583" s="1">
        <f>VLOOKUP($E1583,'Product Parameters'!$A$2:$D$59,2,FALSE)</f>
        <v>1</v>
      </c>
      <c r="AJ1583" s="1">
        <f>VLOOKUP($E1583,'Product Parameters'!$A$2:$D$59,3,FALSE)</f>
        <v>0</v>
      </c>
      <c r="AK1583" s="1">
        <f>VLOOKUP($E1583,'Product Parameters'!$A$2:$D$59,4,FALSE)</f>
        <v>0.12</v>
      </c>
      <c r="AL1583" s="1">
        <f>VLOOKUP($E1583,'Product Parameters'!$A$2:$E$59,5,FALSE)</f>
        <v>40.65</v>
      </c>
      <c r="AM1583" s="1">
        <f>VLOOKUP($E1583,'Product Parameters'!$A$2:$F$59,6,FALSE)</f>
        <v>2</v>
      </c>
      <c r="AN1583" s="1">
        <f>VLOOKUP($C1583,'Substrate Heating'!$A$2:$C$33,3,FALSE)</f>
        <v>638.57832580000002</v>
      </c>
      <c r="AO1583" s="1">
        <f>VLOOKUP($C1583,'Substrate Heating'!$A$2:$B$33,2,FALSE)</f>
        <v>19.93</v>
      </c>
      <c r="AP1583" s="1">
        <f>VLOOKUP($C1583,'Substrate Heating'!$A$2:$M$33,13,FALSE)</f>
        <v>6</v>
      </c>
      <c r="AQ1583" s="1">
        <f>VLOOKUP($C1583,'Substrate Heating'!$A$2:$M$33,8,FALSE)</f>
        <v>1</v>
      </c>
      <c r="AR1583" s="1">
        <f t="shared" si="24"/>
        <v>0.15317073170731721</v>
      </c>
    </row>
    <row r="1584" spans="1:44" x14ac:dyDescent="0.2">
      <c r="A1584" s="8" t="s">
        <v>792</v>
      </c>
      <c r="B1584" s="18" t="s">
        <v>324</v>
      </c>
      <c r="C1584" t="s">
        <v>365</v>
      </c>
      <c r="D1584" s="23" t="s">
        <v>338</v>
      </c>
      <c r="E1584" t="s">
        <v>295</v>
      </c>
      <c r="F1584" t="s">
        <v>292</v>
      </c>
      <c r="G1584">
        <v>-10</v>
      </c>
      <c r="H1584">
        <v>0</v>
      </c>
      <c r="I1584">
        <v>0</v>
      </c>
      <c r="J1584">
        <v>0.45</v>
      </c>
      <c r="K1584">
        <v>-10</v>
      </c>
      <c r="L1584">
        <v>0</v>
      </c>
      <c r="M1584">
        <v>0</v>
      </c>
      <c r="N1584">
        <v>0</v>
      </c>
      <c r="O1584">
        <v>0.68333333333332702</v>
      </c>
      <c r="P1584"/>
      <c r="Q1584">
        <v>6.8333333333332705E-2</v>
      </c>
      <c r="R1584" s="28" t="s">
        <v>684</v>
      </c>
      <c r="S1584" s="1" t="str">
        <f>VLOOKUP($E1584,'Product Naming'!$A$1:$P$58,2,FALSE)</f>
        <v>Pentanol-PW2</v>
      </c>
      <c r="T1584" s="1" t="str">
        <f>VLOOKUP($E1584,'Product Naming'!$A$1:$P$58,3,FALSE)</f>
        <v>Pentanol (PW2)</v>
      </c>
      <c r="U1584" s="1" t="str">
        <f>VLOOKUP($E1584,'Product Naming'!$A$1:$P$58,4,FALSE)</f>
        <v>E</v>
      </c>
      <c r="V1584" s="1" t="str">
        <f>VLOOKUP($E1584,'Product Naming'!$A$1:$P$58,5,FALSE)</f>
        <v>C5H12O</v>
      </c>
      <c r="W1584" s="1">
        <f>VLOOKUP($E1584,'Product Naming'!$A$1:$P$58,6,FALSE)</f>
        <v>5</v>
      </c>
      <c r="X1584" s="1">
        <f>VLOOKUP($E1584,'Product Naming'!$A$1:$P$58,7,FALSE)</f>
        <v>12</v>
      </c>
      <c r="Y1584" s="1">
        <f>VLOOKUP($E1584,'Product Naming'!$A$1:$P$58,8,FALSE)</f>
        <v>1</v>
      </c>
      <c r="Z1584" s="1">
        <f>VLOOKUP($E1584,'Product Naming'!$A$1:$P$58,9,FALSE)</f>
        <v>0</v>
      </c>
      <c r="AA1584" s="1">
        <f>VLOOKUP($E1584,'Product Naming'!$A$1:$P$58,10,FALSE)</f>
        <v>0</v>
      </c>
      <c r="AB1584" s="29">
        <f>VLOOKUP($E1584,'Product Naming'!$A$1:$P$58,11,FALSE)</f>
        <v>6</v>
      </c>
      <c r="AC1584" s="3">
        <f>VLOOKUP($E1584,'Product Naming'!$A$1:$P$58,12,FALSE)</f>
        <v>88.14658</v>
      </c>
      <c r="AD1584" s="1">
        <f>VLOOKUP($E1584,'Product Naming'!$A$1:$P$58,13,FALSE)</f>
        <v>138</v>
      </c>
      <c r="AE1584" s="1" t="str">
        <f>VLOOKUP($E1584,'Product Naming'!$A$1:$P$58,14,FALSE)</f>
        <v>Alcohol</v>
      </c>
      <c r="AF1584" s="1" t="str">
        <f>VLOOKUP($E1584,'Product Naming'!$A$1:$P$58,15,FALSE)</f>
        <v>Oxaloacetate</v>
      </c>
      <c r="AG1584" s="30" t="str">
        <f>VLOOKUP($E1584,'Product Naming'!$A$1:$P$58,16,FALSE)</f>
        <v>Proton symporter</v>
      </c>
      <c r="AH1584" s="3" t="str">
        <f>VLOOKUP($E1584,'Product Naming'!$A$1:$Q$58,17,FALSE)</f>
        <v>pentoh_c</v>
      </c>
      <c r="AI1584" s="1">
        <f>VLOOKUP($E1584,'Product Parameters'!$A$2:$D$59,2,FALSE)</f>
        <v>1</v>
      </c>
      <c r="AJ1584" s="1">
        <f>VLOOKUP($E1584,'Product Parameters'!$A$2:$D$59,3,FALSE)</f>
        <v>0</v>
      </c>
      <c r="AK1584" s="1">
        <f>VLOOKUP($E1584,'Product Parameters'!$A$2:$D$59,4,FALSE)</f>
        <v>0.12</v>
      </c>
      <c r="AL1584" s="1">
        <f>VLOOKUP($E1584,'Product Parameters'!$A$2:$E$59,5,FALSE)</f>
        <v>57</v>
      </c>
      <c r="AM1584" s="1">
        <f>VLOOKUP($E1584,'Product Parameters'!$A$2:$F$59,6,FALSE)</f>
        <v>5</v>
      </c>
      <c r="AN1584" s="1">
        <f>VLOOKUP($C1584,'Substrate Heating'!$A$2:$C$33,3,FALSE)</f>
        <v>638.57832580000002</v>
      </c>
      <c r="AO1584" s="1">
        <f>VLOOKUP($C1584,'Substrate Heating'!$A$2:$B$33,2,FALSE)</f>
        <v>19.93</v>
      </c>
      <c r="AP1584" s="1">
        <f>VLOOKUP($C1584,'Substrate Heating'!$A$2:$M$33,13,FALSE)</f>
        <v>6</v>
      </c>
      <c r="AQ1584" s="1">
        <f>VLOOKUP($C1584,'Substrate Heating'!$A$2:$M$33,8,FALSE)</f>
        <v>1</v>
      </c>
      <c r="AR1584" s="1">
        <f t="shared" si="24"/>
        <v>0.34166666666666351</v>
      </c>
    </row>
    <row r="1585" spans="1:44" x14ac:dyDescent="0.2">
      <c r="A1585" s="8" t="s">
        <v>792</v>
      </c>
      <c r="B1585" s="18" t="s">
        <v>324</v>
      </c>
      <c r="C1585" t="s">
        <v>365</v>
      </c>
      <c r="D1585" s="23" t="s">
        <v>338</v>
      </c>
      <c r="E1585" t="s">
        <v>318</v>
      </c>
      <c r="F1585" t="s">
        <v>319</v>
      </c>
      <c r="G1585">
        <v>-10</v>
      </c>
      <c r="H1585">
        <v>0</v>
      </c>
      <c r="I1585">
        <v>0</v>
      </c>
      <c r="J1585">
        <v>0.45</v>
      </c>
      <c r="K1585">
        <v>-10</v>
      </c>
      <c r="L1585">
        <v>0</v>
      </c>
      <c r="M1585" s="28" t="s">
        <v>756</v>
      </c>
      <c r="N1585">
        <v>0</v>
      </c>
      <c r="O1585" s="28" t="s">
        <v>757</v>
      </c>
      <c r="P1585"/>
      <c r="Q1585">
        <v>5.1249999999999997E-2</v>
      </c>
      <c r="R1585" s="28" t="s">
        <v>758</v>
      </c>
      <c r="S1585" s="1" t="str">
        <f>VLOOKUP($E1585,'Product Naming'!$A$1:$P$58,2,FALSE)</f>
        <v>Succinate</v>
      </c>
      <c r="T1585" s="1" t="str">
        <f>VLOOKUP($E1585,'Product Naming'!$A$1:$P$58,3,FALSE)</f>
        <v>Succinate</v>
      </c>
      <c r="U1585" s="1" t="str">
        <f>VLOOKUP($E1585,'Product Naming'!$A$1:$P$58,4,FALSE)</f>
        <v>iJO1366</v>
      </c>
      <c r="V1585" s="1" t="str">
        <f>VLOOKUP($E1585,'Product Naming'!$A$1:$P$58,5,FALSE)</f>
        <v>C4H4O4</v>
      </c>
      <c r="W1585" s="1">
        <f>VLOOKUP($E1585,'Product Naming'!$A$1:$P$58,6,FALSE)</f>
        <v>4</v>
      </c>
      <c r="X1585" s="1">
        <f>VLOOKUP($E1585,'Product Naming'!$A$1:$P$58,7,FALSE)</f>
        <v>4</v>
      </c>
      <c r="Y1585" s="1">
        <f>VLOOKUP($E1585,'Product Naming'!$A$1:$P$58,8,FALSE)</f>
        <v>4</v>
      </c>
      <c r="Z1585" s="1">
        <f>VLOOKUP($E1585,'Product Naming'!$A$1:$P$58,9,FALSE)</f>
        <v>0</v>
      </c>
      <c r="AA1585" s="1">
        <f>VLOOKUP($E1585,'Product Naming'!$A$1:$P$58,10,FALSE)</f>
        <v>-2</v>
      </c>
      <c r="AB1585" s="29">
        <f>VLOOKUP($E1585,'Product Naming'!$A$1:$P$58,11,FALSE)</f>
        <v>3</v>
      </c>
      <c r="AC1585" s="3">
        <f>VLOOKUP($E1585,'Product Naming'!$A$1:$P$58,12,FALSE)</f>
        <v>116.07016</v>
      </c>
      <c r="AD1585" s="1">
        <f>VLOOKUP($E1585,'Product Naming'!$A$1:$P$58,13,FALSE)</f>
        <v>235</v>
      </c>
      <c r="AE1585" s="1" t="str">
        <f>VLOOKUP($E1585,'Product Naming'!$A$1:$P$58,14,FALSE)</f>
        <v>Dicarboxylate</v>
      </c>
      <c r="AF1585" s="1" t="str">
        <f>VLOOKUP($E1585,'Product Naming'!$A$1:$P$58,15,FALSE)</f>
        <v>Oxaloacetate</v>
      </c>
      <c r="AG1585" s="30" t="str">
        <f>VLOOKUP($E1585,'Product Naming'!$A$1:$P$58,16,FALSE)</f>
        <v>Proton symporter</v>
      </c>
      <c r="AH1585" s="3" t="str">
        <f>VLOOKUP($E1585,'Product Naming'!$A$1:$Q$58,17,FALSE)</f>
        <v>succ_c</v>
      </c>
      <c r="AI1585" s="1">
        <f>VLOOKUP($E1585,'Product Parameters'!$A$2:$D$59,2,FALSE)</f>
        <v>1</v>
      </c>
      <c r="AJ1585" s="1">
        <f>VLOOKUP($E1585,'Product Parameters'!$A$2:$D$59,3,FALSE)</f>
        <v>0</v>
      </c>
      <c r="AK1585" s="1">
        <f>VLOOKUP($E1585,'Product Parameters'!$A$2:$D$59,4,FALSE)</f>
        <v>0.12</v>
      </c>
      <c r="AL1585" s="1">
        <f>VLOOKUP($E1585,'Product Parameters'!$A$2:$E$59,5,FALSE)</f>
        <v>40.65</v>
      </c>
      <c r="AM1585" s="1">
        <f>VLOOKUP($E1585,'Product Parameters'!$A$2:$F$59,6,FALSE)</f>
        <v>4</v>
      </c>
      <c r="AN1585" s="1">
        <f>VLOOKUP($C1585,'Substrate Heating'!$A$2:$C$33,3,FALSE)</f>
        <v>638.57832580000002</v>
      </c>
      <c r="AO1585" s="1">
        <f>VLOOKUP($C1585,'Substrate Heating'!$A$2:$B$33,2,FALSE)</f>
        <v>19.93</v>
      </c>
      <c r="AP1585" s="1">
        <f>VLOOKUP($C1585,'Substrate Heating'!$A$2:$M$33,13,FALSE)</f>
        <v>6</v>
      </c>
      <c r="AQ1585" s="1">
        <f>VLOOKUP($C1585,'Substrate Heating'!$A$2:$M$33,8,FALSE)</f>
        <v>1</v>
      </c>
      <c r="AR1585" s="1">
        <f t="shared" si="24"/>
        <v>0.20499999999999999</v>
      </c>
    </row>
    <row r="1586" spans="1:44" x14ac:dyDescent="0.2">
      <c r="A1586" s="8" t="s">
        <v>792</v>
      </c>
      <c r="B1586" s="18" t="s">
        <v>324</v>
      </c>
      <c r="C1586" t="s">
        <v>369</v>
      </c>
      <c r="D1586" s="23" t="s">
        <v>338</v>
      </c>
      <c r="E1586" t="s">
        <v>209</v>
      </c>
      <c r="F1586" t="s">
        <v>210</v>
      </c>
      <c r="G1586">
        <v>-10</v>
      </c>
      <c r="H1586">
        <v>0</v>
      </c>
      <c r="I1586">
        <v>0</v>
      </c>
      <c r="J1586">
        <v>0.45</v>
      </c>
      <c r="K1586">
        <v>-10</v>
      </c>
      <c r="L1586">
        <v>0</v>
      </c>
      <c r="M1586" s="28" t="s">
        <v>561</v>
      </c>
      <c r="N1586">
        <v>0</v>
      </c>
      <c r="O1586" s="28" t="s">
        <v>562</v>
      </c>
      <c r="P1586"/>
      <c r="Q1586">
        <v>6.97777777777778E-2</v>
      </c>
      <c r="R1586" s="28" t="s">
        <v>563</v>
      </c>
      <c r="S1586" s="1" t="str">
        <f>VLOOKUP($E1586,'Product Naming'!$A$1:$P$58,2,FALSE)</f>
        <v>GammaButyrolactone</v>
      </c>
      <c r="T1586" s="1" t="str">
        <f>VLOOKUP($E1586,'Product Naming'!$A$1:$P$58,3,FALSE)</f>
        <v>Gamma butyrolactone</v>
      </c>
      <c r="U1586" s="1" t="str">
        <f>VLOOKUP($E1586,'Product Naming'!$A$1:$P$58,4,FALSE)</f>
        <v>A</v>
      </c>
      <c r="V1586" s="1" t="str">
        <f>VLOOKUP($E1586,'Product Naming'!$A$1:$P$58,5,FALSE)</f>
        <v>C4H6O2</v>
      </c>
      <c r="W1586" s="1">
        <f>VLOOKUP($E1586,'Product Naming'!$A$1:$P$58,6,FALSE)</f>
        <v>4</v>
      </c>
      <c r="X1586" s="1">
        <f>VLOOKUP($E1586,'Product Naming'!$A$1:$P$58,7,FALSE)</f>
        <v>6</v>
      </c>
      <c r="Y1586" s="1">
        <f>VLOOKUP($E1586,'Product Naming'!$A$1:$P$58,8,FALSE)</f>
        <v>2</v>
      </c>
      <c r="Z1586" s="1">
        <f>VLOOKUP($E1586,'Product Naming'!$A$1:$P$58,9,FALSE)</f>
        <v>0</v>
      </c>
      <c r="AA1586" s="1">
        <f>VLOOKUP($E1586,'Product Naming'!$A$1:$P$58,10,FALSE)</f>
        <v>0</v>
      </c>
      <c r="AB1586" s="29">
        <f>VLOOKUP($E1586,'Product Naming'!$A$1:$P$58,11,FALSE)</f>
        <v>4.5</v>
      </c>
      <c r="AC1586" s="3">
        <f>VLOOKUP($E1586,'Product Naming'!$A$1:$P$58,12,FALSE)</f>
        <v>86.08784</v>
      </c>
      <c r="AD1586" s="1">
        <f>VLOOKUP($E1586,'Product Naming'!$A$1:$P$58,13,FALSE)</f>
        <v>204</v>
      </c>
      <c r="AE1586" s="1" t="str">
        <f>VLOOKUP($E1586,'Product Naming'!$A$1:$P$58,14,FALSE)</f>
        <v>Lactone (cyclic ester)</v>
      </c>
      <c r="AF1586" s="1" t="str">
        <f>VLOOKUP($E1586,'Product Naming'!$A$1:$P$58,15,FALSE)</f>
        <v>aKG</v>
      </c>
      <c r="AG1586" s="30" t="str">
        <f>VLOOKUP($E1586,'Product Naming'!$A$1:$P$58,16,FALSE)</f>
        <v>Proton symporter</v>
      </c>
      <c r="AH1586" s="3" t="str">
        <f>VLOOKUP($E1586,'Product Naming'!$A$1:$Q$58,17,FALSE)</f>
        <v>gblt_c</v>
      </c>
      <c r="AI1586" s="1">
        <f>VLOOKUP($E1586,'Product Parameters'!$A$2:$D$59,2,FALSE)</f>
        <v>1</v>
      </c>
      <c r="AJ1586" s="1">
        <f>VLOOKUP($E1586,'Product Parameters'!$A$2:$D$59,3,FALSE)</f>
        <v>0</v>
      </c>
      <c r="AK1586" s="1">
        <f>VLOOKUP($E1586,'Product Parameters'!$A$2:$D$59,4,FALSE)</f>
        <v>0.12</v>
      </c>
      <c r="AL1586" s="1">
        <f>VLOOKUP($E1586,'Product Parameters'!$A$2:$E$59,5,FALSE)</f>
        <v>0</v>
      </c>
      <c r="AM1586" s="1">
        <f>VLOOKUP($E1586,'Product Parameters'!$A$2:$F$59,6,FALSE)</f>
        <v>4</v>
      </c>
      <c r="AN1586" s="1">
        <f>VLOOKUP($C1586,'Substrate Heating'!$A$2:$C$33,3,FALSE)</f>
        <v>638.57832580000002</v>
      </c>
      <c r="AO1586" s="1">
        <f>VLOOKUP($C1586,'Substrate Heating'!$A$2:$B$33,2,FALSE)</f>
        <v>19.93</v>
      </c>
      <c r="AP1586" s="1">
        <f>VLOOKUP($C1586,'Substrate Heating'!$A$2:$M$33,13,FALSE)</f>
        <v>6</v>
      </c>
      <c r="AQ1586" s="1">
        <f>VLOOKUP($C1586,'Substrate Heating'!$A$2:$M$33,8,FALSE)</f>
        <v>1</v>
      </c>
      <c r="AR1586" s="1">
        <f t="shared" si="24"/>
        <v>0.2791111111111112</v>
      </c>
    </row>
    <row r="1587" spans="1:44" x14ac:dyDescent="0.2">
      <c r="A1587" s="8" t="s">
        <v>792</v>
      </c>
      <c r="B1587" s="18" t="s">
        <v>324</v>
      </c>
      <c r="C1587" t="s">
        <v>365</v>
      </c>
      <c r="D1587" s="23" t="s">
        <v>338</v>
      </c>
      <c r="E1587" t="s">
        <v>269</v>
      </c>
      <c r="F1587" t="s">
        <v>270</v>
      </c>
      <c r="G1587">
        <v>-10</v>
      </c>
      <c r="H1587">
        <v>0</v>
      </c>
      <c r="I1587">
        <v>0</v>
      </c>
      <c r="J1587">
        <v>0.45</v>
      </c>
      <c r="K1587">
        <v>-10</v>
      </c>
      <c r="L1587">
        <v>0</v>
      </c>
      <c r="M1587" s="28" t="s">
        <v>742</v>
      </c>
      <c r="N1587">
        <v>0</v>
      </c>
      <c r="O1587" s="28" t="s">
        <v>743</v>
      </c>
      <c r="P1587"/>
      <c r="Q1587">
        <v>4.5555555555555398E-2</v>
      </c>
      <c r="R1587" s="28" t="s">
        <v>744</v>
      </c>
      <c r="S1587" s="1" t="str">
        <f>VLOOKUP($E1587,'Product Naming'!$A$1:$P$58,2,FALSE)</f>
        <v>Malate_L</v>
      </c>
      <c r="T1587" s="1" t="str">
        <f>VLOOKUP($E1587,'Product Naming'!$A$1:$P$58,3,FALSE)</f>
        <v>L-Malate</v>
      </c>
      <c r="U1587" s="1" t="str">
        <f>VLOOKUP($E1587,'Product Naming'!$A$1:$P$58,4,FALSE)</f>
        <v>iJO1366</v>
      </c>
      <c r="V1587" s="1" t="str">
        <f>VLOOKUP($E1587,'Product Naming'!$A$1:$P$58,5,FALSE)</f>
        <v>C4H4O5</v>
      </c>
      <c r="W1587" s="1">
        <f>VLOOKUP($E1587,'Product Naming'!$A$1:$P$58,6,FALSE)</f>
        <v>4</v>
      </c>
      <c r="X1587" s="1">
        <f>VLOOKUP($E1587,'Product Naming'!$A$1:$P$58,7,FALSE)</f>
        <v>4</v>
      </c>
      <c r="Y1587" s="1">
        <f>VLOOKUP($E1587,'Product Naming'!$A$1:$P$58,8,FALSE)</f>
        <v>5</v>
      </c>
      <c r="Z1587" s="1">
        <f>VLOOKUP($E1587,'Product Naming'!$A$1:$P$58,9,FALSE)</f>
        <v>0</v>
      </c>
      <c r="AA1587" s="1">
        <f>VLOOKUP($E1587,'Product Naming'!$A$1:$P$58,10,FALSE)</f>
        <v>-2</v>
      </c>
      <c r="AB1587" s="29">
        <f>VLOOKUP($E1587,'Product Naming'!$A$1:$P$58,11,FALSE)</f>
        <v>2.5</v>
      </c>
      <c r="AC1587" s="3">
        <f>VLOOKUP($E1587,'Product Naming'!$A$1:$P$58,12,FALSE)</f>
        <v>132.06916000000001</v>
      </c>
      <c r="AD1587" s="1" t="str">
        <f>VLOOKUP($E1587,'Product Naming'!$A$1:$P$58,13,FALSE)</f>
        <v>NA</v>
      </c>
      <c r="AE1587" s="1" t="str">
        <f>VLOOKUP($E1587,'Product Naming'!$A$1:$P$58,14,FALSE)</f>
        <v>Dicarboxylate</v>
      </c>
      <c r="AF1587" s="1" t="str">
        <f>VLOOKUP($E1587,'Product Naming'!$A$1:$P$58,15,FALSE)</f>
        <v>Oxaloacetate</v>
      </c>
      <c r="AG1587" s="30" t="str">
        <f>VLOOKUP($E1587,'Product Naming'!$A$1:$P$58,16,FALSE)</f>
        <v>Proton symporter</v>
      </c>
      <c r="AH1587" s="3" t="str">
        <f>VLOOKUP($E1587,'Product Naming'!$A$1:$Q$58,17,FALSE)</f>
        <v>mal__L_e</v>
      </c>
      <c r="AI1587" s="1">
        <f>VLOOKUP($E1587,'Product Parameters'!$A$2:$D$59,2,FALSE)</f>
        <v>1</v>
      </c>
      <c r="AJ1587" s="1">
        <f>VLOOKUP($E1587,'Product Parameters'!$A$2:$D$59,3,FALSE)</f>
        <v>0</v>
      </c>
      <c r="AK1587" s="1">
        <f>VLOOKUP($E1587,'Product Parameters'!$A$2:$D$59,4,FALSE)</f>
        <v>0.12</v>
      </c>
      <c r="AL1587" s="1">
        <f>VLOOKUP($E1587,'Product Parameters'!$A$2:$E$59,5,FALSE)</f>
        <v>40.65</v>
      </c>
      <c r="AM1587" s="1">
        <f>VLOOKUP($E1587,'Product Parameters'!$A$2:$F$59,6,FALSE)</f>
        <v>4</v>
      </c>
      <c r="AN1587" s="1">
        <f>VLOOKUP($C1587,'Substrate Heating'!$A$2:$C$33,3,FALSE)</f>
        <v>638.57832580000002</v>
      </c>
      <c r="AO1587" s="1">
        <f>VLOOKUP($C1587,'Substrate Heating'!$A$2:$B$33,2,FALSE)</f>
        <v>19.93</v>
      </c>
      <c r="AP1587" s="1">
        <f>VLOOKUP($C1587,'Substrate Heating'!$A$2:$M$33,13,FALSE)</f>
        <v>6</v>
      </c>
      <c r="AQ1587" s="1">
        <f>VLOOKUP($C1587,'Substrate Heating'!$A$2:$M$33,8,FALSE)</f>
        <v>1</v>
      </c>
      <c r="AR1587" s="1">
        <f t="shared" si="24"/>
        <v>0.18222222222222159</v>
      </c>
    </row>
    <row r="1588" spans="1:44" x14ac:dyDescent="0.2">
      <c r="A1588" s="8" t="s">
        <v>792</v>
      </c>
      <c r="B1588" s="18" t="s">
        <v>324</v>
      </c>
      <c r="C1588" t="s">
        <v>365</v>
      </c>
      <c r="D1588" s="23" t="s">
        <v>338</v>
      </c>
      <c r="E1588" t="s">
        <v>186</v>
      </c>
      <c r="F1588" t="s">
        <v>187</v>
      </c>
      <c r="G1588">
        <v>-10</v>
      </c>
      <c r="H1588">
        <v>0</v>
      </c>
      <c r="I1588">
        <v>0</v>
      </c>
      <c r="J1588">
        <v>0.45</v>
      </c>
      <c r="K1588">
        <v>-10</v>
      </c>
      <c r="L1588">
        <v>0</v>
      </c>
      <c r="M1588" s="28" t="s">
        <v>782</v>
      </c>
      <c r="N1588">
        <v>0</v>
      </c>
      <c r="O1588">
        <v>0.32156862745098103</v>
      </c>
      <c r="P1588"/>
      <c r="Q1588">
        <v>3.2156862745098103E-2</v>
      </c>
      <c r="R1588" s="28" t="s">
        <v>783</v>
      </c>
      <c r="S1588" s="1" t="str">
        <f>VLOOKUP($E1588,'Product Naming'!$A$1:$P$58,2,FALSE)</f>
        <v>Citrate</v>
      </c>
      <c r="T1588" s="1" t="str">
        <f>VLOOKUP($E1588,'Product Naming'!$A$1:$P$58,3,FALSE)</f>
        <v>Citrate</v>
      </c>
      <c r="U1588" s="1" t="str">
        <f>VLOOKUP($E1588,'Product Naming'!$A$1:$P$58,4,FALSE)</f>
        <v>iJO1366</v>
      </c>
      <c r="V1588" s="1" t="str">
        <f>VLOOKUP($E1588,'Product Naming'!$A$1:$P$58,5,FALSE)</f>
        <v>C6H5O7</v>
      </c>
      <c r="W1588" s="1">
        <f>VLOOKUP($E1588,'Product Naming'!$A$1:$P$58,6,FALSE)</f>
        <v>6</v>
      </c>
      <c r="X1588" s="1">
        <f>VLOOKUP($E1588,'Product Naming'!$A$1:$P$58,7,FALSE)</f>
        <v>5</v>
      </c>
      <c r="Y1588" s="1">
        <f>VLOOKUP($E1588,'Product Naming'!$A$1:$P$58,8,FALSE)</f>
        <v>7</v>
      </c>
      <c r="Z1588" s="1">
        <f>VLOOKUP($E1588,'Product Naming'!$A$1:$P$58,9,FALSE)</f>
        <v>0</v>
      </c>
      <c r="AA1588" s="1">
        <f>VLOOKUP($E1588,'Product Naming'!$A$1:$P$58,10,FALSE)</f>
        <v>-3</v>
      </c>
      <c r="AB1588" s="29">
        <f>VLOOKUP($E1588,'Product Naming'!$A$1:$P$58,11,FALSE)</f>
        <v>2.5</v>
      </c>
      <c r="AC1588" s="3">
        <f>VLOOKUP($E1588,'Product Naming'!$A$1:$P$58,12,FALSE)</f>
        <v>189.09640000000002</v>
      </c>
      <c r="AD1588" s="1" t="str">
        <f>VLOOKUP($E1588,'Product Naming'!$A$1:$P$58,13,FALSE)</f>
        <v>NA</v>
      </c>
      <c r="AE1588" s="1" t="str">
        <f>VLOOKUP($E1588,'Product Naming'!$A$1:$P$58,14,FALSE)</f>
        <v>Tricarboxylate + Alcohol</v>
      </c>
      <c r="AF1588" s="1" t="str">
        <f>VLOOKUP($E1588,'Product Naming'!$A$1:$P$58,15,FALSE)</f>
        <v>Acetyl-CoA</v>
      </c>
      <c r="AG1588" s="30" t="str">
        <f>VLOOKUP($E1588,'Product Naming'!$A$1:$P$58,16,FALSE)</f>
        <v>Proton antiport</v>
      </c>
      <c r="AH1588" s="3" t="str">
        <f>VLOOKUP($E1588,'Product Naming'!$A$1:$Q$58,17,FALSE)</f>
        <v>cit_c</v>
      </c>
      <c r="AI1588" s="1">
        <f>VLOOKUP($E1588,'Product Parameters'!$A$2:$D$59,2,FALSE)</f>
        <v>1</v>
      </c>
      <c r="AJ1588" s="1">
        <f>VLOOKUP($E1588,'Product Parameters'!$A$2:$D$59,3,FALSE)</f>
        <v>0</v>
      </c>
      <c r="AK1588" s="1">
        <f>VLOOKUP($E1588,'Product Parameters'!$A$2:$D$59,4,FALSE)</f>
        <v>0.12</v>
      </c>
      <c r="AL1588" s="1">
        <f>VLOOKUP($E1588,'Product Parameters'!$A$2:$E$59,5,FALSE)</f>
        <v>40.65</v>
      </c>
      <c r="AM1588" s="1">
        <f>VLOOKUP($E1588,'Product Parameters'!$A$2:$F$59,6,FALSE)</f>
        <v>6</v>
      </c>
      <c r="AN1588" s="1">
        <f>VLOOKUP($C1588,'Substrate Heating'!$A$2:$C$33,3,FALSE)</f>
        <v>638.57832580000002</v>
      </c>
      <c r="AO1588" s="1">
        <f>VLOOKUP($C1588,'Substrate Heating'!$A$2:$B$33,2,FALSE)</f>
        <v>19.93</v>
      </c>
      <c r="AP1588" s="1">
        <f>VLOOKUP($C1588,'Substrate Heating'!$A$2:$M$33,13,FALSE)</f>
        <v>6</v>
      </c>
      <c r="AQ1588" s="1">
        <f>VLOOKUP($C1588,'Substrate Heating'!$A$2:$M$33,8,FALSE)</f>
        <v>1</v>
      </c>
      <c r="AR1588" s="1">
        <f t="shared" si="24"/>
        <v>0.19294117647058862</v>
      </c>
    </row>
    <row r="1589" spans="1:44" x14ac:dyDescent="0.2">
      <c r="A1589" s="8" t="s">
        <v>792</v>
      </c>
      <c r="B1589" s="18" t="s">
        <v>324</v>
      </c>
      <c r="C1589" t="s">
        <v>371</v>
      </c>
      <c r="D1589" s="23" t="s">
        <v>338</v>
      </c>
      <c r="E1589" t="s">
        <v>247</v>
      </c>
      <c r="F1589" t="s">
        <v>248</v>
      </c>
      <c r="G1589">
        <v>-10</v>
      </c>
      <c r="H1589">
        <v>0</v>
      </c>
      <c r="I1589">
        <v>0</v>
      </c>
      <c r="J1589">
        <v>0.45</v>
      </c>
      <c r="K1589">
        <v>-10</v>
      </c>
      <c r="L1589">
        <v>0</v>
      </c>
      <c r="M1589" s="28" t="s">
        <v>608</v>
      </c>
      <c r="N1589">
        <v>0</v>
      </c>
      <c r="O1589" s="28" t="s">
        <v>609</v>
      </c>
      <c r="P1589"/>
      <c r="Q1589">
        <v>9.0985324947589E-2</v>
      </c>
      <c r="R1589" s="28" t="s">
        <v>610</v>
      </c>
      <c r="S1589" s="1" t="str">
        <f>VLOOKUP($E1589,'Product Naming'!$A$1:$P$58,2,FALSE)</f>
        <v>Isoprene</v>
      </c>
      <c r="T1589" s="1" t="str">
        <f>VLOOKUP($E1589,'Product Naming'!$A$1:$P$58,3,FALSE)</f>
        <v>Isoprene</v>
      </c>
      <c r="U1589" s="1" t="str">
        <f>VLOOKUP($E1589,'Product Naming'!$A$1:$P$58,4,FALSE)</f>
        <v>E</v>
      </c>
      <c r="V1589" s="1" t="str">
        <f>VLOOKUP($E1589,'Product Naming'!$A$1:$P$58,5,FALSE)</f>
        <v>C5H8</v>
      </c>
      <c r="W1589" s="1">
        <f>VLOOKUP($E1589,'Product Naming'!$A$1:$P$58,6,FALSE)</f>
        <v>5</v>
      </c>
      <c r="X1589" s="1">
        <f>VLOOKUP($E1589,'Product Naming'!$A$1:$P$58,7,FALSE)</f>
        <v>8</v>
      </c>
      <c r="Y1589" s="1">
        <f>VLOOKUP($E1589,'Product Naming'!$A$1:$P$58,8,FALSE)</f>
        <v>0</v>
      </c>
      <c r="Z1589" s="1">
        <f>VLOOKUP($E1589,'Product Naming'!$A$1:$P$58,9,FALSE)</f>
        <v>0</v>
      </c>
      <c r="AA1589" s="1">
        <f>VLOOKUP($E1589,'Product Naming'!$A$1:$P$58,10,FALSE)</f>
        <v>0</v>
      </c>
      <c r="AB1589" s="29">
        <f>VLOOKUP($E1589,'Product Naming'!$A$1:$P$58,11,FALSE)</f>
        <v>5.6</v>
      </c>
      <c r="AC1589" s="3">
        <f>VLOOKUP($E1589,'Product Naming'!$A$1:$P$58,12,FALSE)</f>
        <v>68.116219999999998</v>
      </c>
      <c r="AD1589" s="1">
        <f>VLOOKUP($E1589,'Product Naming'!$A$1:$P$58,13,FALSE)</f>
        <v>34.07</v>
      </c>
      <c r="AE1589" s="1" t="str">
        <f>VLOOKUP($E1589,'Product Naming'!$A$1:$P$58,14,FALSE)</f>
        <v>Hydrocarbon</v>
      </c>
      <c r="AF1589" s="1" t="str">
        <f>VLOOKUP($E1589,'Product Naming'!$A$1:$P$58,15,FALSE)</f>
        <v>Acetyl-CoA</v>
      </c>
      <c r="AG1589" s="30" t="str">
        <f>VLOOKUP($E1589,'Product Naming'!$A$1:$P$58,16,FALSE)</f>
        <v>Diffusion</v>
      </c>
      <c r="AH1589" s="3" t="str">
        <f>VLOOKUP($E1589,'Product Naming'!$A$1:$Q$58,17,FALSE)</f>
        <v>iprene_c</v>
      </c>
      <c r="AI1589" s="1">
        <f>VLOOKUP($E1589,'Product Parameters'!$A$2:$D$59,2,FALSE)</f>
        <v>0</v>
      </c>
      <c r="AJ1589" s="1">
        <f>VLOOKUP($E1589,'Product Parameters'!$A$2:$D$59,3,FALSE)</f>
        <v>1</v>
      </c>
      <c r="AK1589" s="1">
        <f>VLOOKUP($E1589,'Product Parameters'!$A$2:$D$59,4,FALSE)</f>
        <v>0.12</v>
      </c>
      <c r="AL1589" s="1">
        <f>VLOOKUP($E1589,'Product Parameters'!$A$2:$E$59,5,FALSE)</f>
        <v>26.4</v>
      </c>
      <c r="AM1589" s="1">
        <f>VLOOKUP($E1589,'Product Parameters'!$A$2:$F$59,6,FALSE)</f>
        <v>5</v>
      </c>
      <c r="AN1589" s="1">
        <f>VLOOKUP($C1589,'Substrate Heating'!$A$2:$C$33,3,FALSE)</f>
        <v>638.57832580000002</v>
      </c>
      <c r="AO1589" s="1">
        <f>VLOOKUP($C1589,'Substrate Heating'!$A$2:$B$33,2,FALSE)</f>
        <v>19.93</v>
      </c>
      <c r="AP1589" s="1">
        <f>VLOOKUP($C1589,'Substrate Heating'!$A$2:$M$33,13,FALSE)</f>
        <v>6</v>
      </c>
      <c r="AQ1589" s="1">
        <f>VLOOKUP($C1589,'Substrate Heating'!$A$2:$M$33,8,FALSE)</f>
        <v>1</v>
      </c>
      <c r="AR1589" s="1">
        <f t="shared" si="24"/>
        <v>0.45492662473794498</v>
      </c>
    </row>
    <row r="1590" spans="1:44" x14ac:dyDescent="0.2">
      <c r="A1590" s="8" t="s">
        <v>792</v>
      </c>
      <c r="B1590" s="18" t="s">
        <v>324</v>
      </c>
      <c r="C1590" t="s">
        <v>371</v>
      </c>
      <c r="D1590" s="23" t="s">
        <v>338</v>
      </c>
      <c r="E1590" t="s">
        <v>204</v>
      </c>
      <c r="F1590" t="s">
        <v>205</v>
      </c>
      <c r="G1590">
        <v>-10</v>
      </c>
      <c r="H1590">
        <v>0</v>
      </c>
      <c r="I1590">
        <v>0</v>
      </c>
      <c r="J1590">
        <v>0.45</v>
      </c>
      <c r="K1590">
        <v>-10</v>
      </c>
      <c r="L1590">
        <v>0</v>
      </c>
      <c r="M1590" s="28" t="s">
        <v>551</v>
      </c>
      <c r="N1590">
        <v>0</v>
      </c>
      <c r="O1590" s="28" t="s">
        <v>552</v>
      </c>
      <c r="P1590"/>
      <c r="Q1590" s="28" t="s">
        <v>553</v>
      </c>
      <c r="R1590" s="28" t="s">
        <v>554</v>
      </c>
      <c r="S1590" s="1" t="str">
        <f>VLOOKUP($E1590,'Product Naming'!$A$1:$P$58,2,FALSE)</f>
        <v>Farnesene</v>
      </c>
      <c r="T1590" s="1" t="str">
        <f>VLOOKUP($E1590,'Product Naming'!$A$1:$P$58,3,FALSE)</f>
        <v>Farnesene</v>
      </c>
      <c r="U1590" s="1" t="str">
        <f>VLOOKUP($E1590,'Product Naming'!$A$1:$P$58,4,FALSE)</f>
        <v>A</v>
      </c>
      <c r="V1590" s="1" t="str">
        <f>VLOOKUP($E1590,'Product Naming'!$A$1:$P$58,5,FALSE)</f>
        <v>C15H24</v>
      </c>
      <c r="W1590" s="1">
        <f>VLOOKUP($E1590,'Product Naming'!$A$1:$P$58,6,FALSE)</f>
        <v>15</v>
      </c>
      <c r="X1590" s="1">
        <f>VLOOKUP($E1590,'Product Naming'!$A$1:$P$58,7,FALSE)</f>
        <v>24</v>
      </c>
      <c r="Y1590" s="1">
        <f>VLOOKUP($E1590,'Product Naming'!$A$1:$P$58,8,FALSE)</f>
        <v>0</v>
      </c>
      <c r="Z1590" s="1">
        <f>VLOOKUP($E1590,'Product Naming'!$A$1:$P$58,9,FALSE)</f>
        <v>0</v>
      </c>
      <c r="AA1590" s="1">
        <f>VLOOKUP($E1590,'Product Naming'!$A$1:$P$58,10,FALSE)</f>
        <v>0</v>
      </c>
      <c r="AB1590" s="29">
        <f>VLOOKUP($E1590,'Product Naming'!$A$1:$P$58,11,FALSE)</f>
        <v>5.6</v>
      </c>
      <c r="AC1590" s="3">
        <f>VLOOKUP($E1590,'Product Naming'!$A$1:$P$58,12,FALSE)</f>
        <v>204.34866000000002</v>
      </c>
      <c r="AD1590" s="1" t="str">
        <f>VLOOKUP($E1590,'Product Naming'!$A$1:$P$58,13,FALSE)</f>
        <v>260 (A)/272 (B)</v>
      </c>
      <c r="AE1590" s="1" t="str">
        <f>VLOOKUP($E1590,'Product Naming'!$A$1:$P$58,14,FALSE)</f>
        <v>Hydrocarbon</v>
      </c>
      <c r="AF1590" s="1" t="str">
        <f>VLOOKUP($E1590,'Product Naming'!$A$1:$P$58,15,FALSE)</f>
        <v>Acetyl-CoA</v>
      </c>
      <c r="AG1590" s="30" t="str">
        <f>VLOOKUP($E1590,'Product Naming'!$A$1:$P$58,16,FALSE)</f>
        <v>Proton symporter</v>
      </c>
      <c r="AH1590" s="3" t="str">
        <f>VLOOKUP($E1590,'Product Naming'!$A$1:$Q$58,17,FALSE)</f>
        <v>frene_c</v>
      </c>
      <c r="AI1590" s="1">
        <f>VLOOKUP($E1590,'Product Parameters'!$A$2:$D$59,2,FALSE)</f>
        <v>1</v>
      </c>
      <c r="AJ1590" s="1">
        <f>VLOOKUP($E1590,'Product Parameters'!$A$2:$D$59,3,FALSE)</f>
        <v>0</v>
      </c>
      <c r="AK1590" s="1">
        <f>VLOOKUP($E1590,'Product Parameters'!$A$2:$D$59,4,FALSE)</f>
        <v>0.12</v>
      </c>
      <c r="AL1590" s="1">
        <f>VLOOKUP($E1590,'Product Parameters'!$A$2:$E$59,5,FALSE)</f>
        <v>0</v>
      </c>
      <c r="AM1590" s="1">
        <f>VLOOKUP($E1590,'Product Parameters'!$A$2:$F$59,6,FALSE)</f>
        <v>15</v>
      </c>
      <c r="AN1590" s="1">
        <f>VLOOKUP($C1590,'Substrate Heating'!$A$2:$C$33,3,FALSE)</f>
        <v>638.57832580000002</v>
      </c>
      <c r="AO1590" s="1">
        <f>VLOOKUP($C1590,'Substrate Heating'!$A$2:$B$33,2,FALSE)</f>
        <v>19.93</v>
      </c>
      <c r="AP1590" s="1">
        <f>VLOOKUP($C1590,'Substrate Heating'!$A$2:$M$33,13,FALSE)</f>
        <v>6</v>
      </c>
      <c r="AQ1590" s="1">
        <f>VLOOKUP($C1590,'Substrate Heating'!$A$2:$M$33,8,FALSE)</f>
        <v>1</v>
      </c>
      <c r="AR1590" s="1">
        <f t="shared" si="24"/>
        <v>0.46137491141034598</v>
      </c>
    </row>
    <row r="1591" spans="1:44" x14ac:dyDescent="0.2">
      <c r="A1591" s="8" t="s">
        <v>792</v>
      </c>
      <c r="B1591" s="18" t="s">
        <v>324</v>
      </c>
      <c r="C1591" t="s">
        <v>372</v>
      </c>
      <c r="D1591" s="23" t="s">
        <v>338</v>
      </c>
      <c r="E1591" t="s">
        <v>247</v>
      </c>
      <c r="F1591" t="s">
        <v>248</v>
      </c>
      <c r="G1591">
        <v>-10</v>
      </c>
      <c r="H1591">
        <v>0</v>
      </c>
      <c r="I1591">
        <v>0</v>
      </c>
      <c r="J1591">
        <v>0.45</v>
      </c>
      <c r="K1591">
        <v>-10</v>
      </c>
      <c r="L1591">
        <v>0</v>
      </c>
      <c r="M1591" s="28" t="s">
        <v>611</v>
      </c>
      <c r="N1591">
        <v>0</v>
      </c>
      <c r="O1591" s="28" t="s">
        <v>612</v>
      </c>
      <c r="P1591"/>
      <c r="Q1591">
        <v>9.6666666666666595E-2</v>
      </c>
      <c r="R1591" s="28" t="s">
        <v>613</v>
      </c>
      <c r="S1591" s="1" t="str">
        <f>VLOOKUP($E1591,'Product Naming'!$A$1:$P$58,2,FALSE)</f>
        <v>Isoprene</v>
      </c>
      <c r="T1591" s="1" t="str">
        <f>VLOOKUP($E1591,'Product Naming'!$A$1:$P$58,3,FALSE)</f>
        <v>Isoprene</v>
      </c>
      <c r="U1591" s="1" t="str">
        <f>VLOOKUP($E1591,'Product Naming'!$A$1:$P$58,4,FALSE)</f>
        <v>E</v>
      </c>
      <c r="V1591" s="1" t="str">
        <f>VLOOKUP($E1591,'Product Naming'!$A$1:$P$58,5,FALSE)</f>
        <v>C5H8</v>
      </c>
      <c r="W1591" s="1">
        <f>VLOOKUP($E1591,'Product Naming'!$A$1:$P$58,6,FALSE)</f>
        <v>5</v>
      </c>
      <c r="X1591" s="1">
        <f>VLOOKUP($E1591,'Product Naming'!$A$1:$P$58,7,FALSE)</f>
        <v>8</v>
      </c>
      <c r="Y1591" s="1">
        <f>VLOOKUP($E1591,'Product Naming'!$A$1:$P$58,8,FALSE)</f>
        <v>0</v>
      </c>
      <c r="Z1591" s="1">
        <f>VLOOKUP($E1591,'Product Naming'!$A$1:$P$58,9,FALSE)</f>
        <v>0</v>
      </c>
      <c r="AA1591" s="1">
        <f>VLOOKUP($E1591,'Product Naming'!$A$1:$P$58,10,FALSE)</f>
        <v>0</v>
      </c>
      <c r="AB1591" s="29">
        <f>VLOOKUP($E1591,'Product Naming'!$A$1:$P$58,11,FALSE)</f>
        <v>5.6</v>
      </c>
      <c r="AC1591" s="3">
        <f>VLOOKUP($E1591,'Product Naming'!$A$1:$P$58,12,FALSE)</f>
        <v>68.116219999999998</v>
      </c>
      <c r="AD1591" s="1">
        <f>VLOOKUP($E1591,'Product Naming'!$A$1:$P$58,13,FALSE)</f>
        <v>34.07</v>
      </c>
      <c r="AE1591" s="1" t="str">
        <f>VLOOKUP($E1591,'Product Naming'!$A$1:$P$58,14,FALSE)</f>
        <v>Hydrocarbon</v>
      </c>
      <c r="AF1591" s="1" t="str">
        <f>VLOOKUP($E1591,'Product Naming'!$A$1:$P$58,15,FALSE)</f>
        <v>Acetyl-CoA</v>
      </c>
      <c r="AG1591" s="30" t="str">
        <f>VLOOKUP($E1591,'Product Naming'!$A$1:$P$58,16,FALSE)</f>
        <v>Diffusion</v>
      </c>
      <c r="AH1591" s="3" t="str">
        <f>VLOOKUP($E1591,'Product Naming'!$A$1:$Q$58,17,FALSE)</f>
        <v>iprene_c</v>
      </c>
      <c r="AI1591" s="1">
        <f>VLOOKUP($E1591,'Product Parameters'!$A$2:$D$59,2,FALSE)</f>
        <v>0</v>
      </c>
      <c r="AJ1591" s="1">
        <f>VLOOKUP($E1591,'Product Parameters'!$A$2:$D$59,3,FALSE)</f>
        <v>1</v>
      </c>
      <c r="AK1591" s="1">
        <f>VLOOKUP($E1591,'Product Parameters'!$A$2:$D$59,4,FALSE)</f>
        <v>0.12</v>
      </c>
      <c r="AL1591" s="1">
        <f>VLOOKUP($E1591,'Product Parameters'!$A$2:$E$59,5,FALSE)</f>
        <v>26.4</v>
      </c>
      <c r="AM1591" s="1">
        <f>VLOOKUP($E1591,'Product Parameters'!$A$2:$F$59,6,FALSE)</f>
        <v>5</v>
      </c>
      <c r="AN1591" s="1">
        <f>VLOOKUP($C1591,'Substrate Heating'!$A$2:$C$33,3,FALSE)</f>
        <v>638.57832580000002</v>
      </c>
      <c r="AO1591" s="1">
        <f>VLOOKUP($C1591,'Substrate Heating'!$A$2:$B$33,2,FALSE)</f>
        <v>19.93</v>
      </c>
      <c r="AP1591" s="1">
        <f>VLOOKUP($C1591,'Substrate Heating'!$A$2:$M$33,13,FALSE)</f>
        <v>6</v>
      </c>
      <c r="AQ1591" s="1">
        <f>VLOOKUP($C1591,'Substrate Heating'!$A$2:$M$33,8,FALSE)</f>
        <v>1</v>
      </c>
      <c r="AR1591" s="1">
        <f t="shared" si="24"/>
        <v>0.48333333333333295</v>
      </c>
    </row>
    <row r="1592" spans="1:44" x14ac:dyDescent="0.2">
      <c r="A1592" s="8" t="s">
        <v>792</v>
      </c>
      <c r="B1592" s="18" t="s">
        <v>324</v>
      </c>
      <c r="C1592" t="s">
        <v>371</v>
      </c>
      <c r="D1592" s="23" t="s">
        <v>338</v>
      </c>
      <c r="E1592" t="s">
        <v>175</v>
      </c>
      <c r="F1592" t="s">
        <v>176</v>
      </c>
      <c r="G1592">
        <v>-10</v>
      </c>
      <c r="H1592">
        <v>0</v>
      </c>
      <c r="I1592">
        <v>0</v>
      </c>
      <c r="J1592">
        <v>0.45</v>
      </c>
      <c r="K1592">
        <v>-10</v>
      </c>
      <c r="L1592">
        <v>0</v>
      </c>
      <c r="M1592" s="28" t="s">
        <v>527</v>
      </c>
      <c r="N1592">
        <v>0</v>
      </c>
      <c r="O1592" s="28" t="s">
        <v>528</v>
      </c>
      <c r="P1592"/>
      <c r="Q1592">
        <v>5.9128065395095297E-2</v>
      </c>
      <c r="R1592" s="28" t="s">
        <v>529</v>
      </c>
      <c r="S1592" s="1" t="str">
        <f>VLOOKUP($E1592,'Product Naming'!$A$1:$P$58,2,FALSE)</f>
        <v>Catechol</v>
      </c>
      <c r="T1592" s="1" t="str">
        <f>VLOOKUP($E1592,'Product Naming'!$A$1:$P$58,3,FALSE)</f>
        <v>Catechol</v>
      </c>
      <c r="U1592" s="1" t="str">
        <f>VLOOKUP($E1592,'Product Naming'!$A$1:$P$58,4,FALSE)</f>
        <v>E</v>
      </c>
      <c r="V1592" s="1" t="str">
        <f>VLOOKUP($E1592,'Product Naming'!$A$1:$P$58,5,FALSE)</f>
        <v>C6H6O2</v>
      </c>
      <c r="W1592" s="1">
        <f>VLOOKUP($E1592,'Product Naming'!$A$1:$P$58,6,FALSE)</f>
        <v>6</v>
      </c>
      <c r="X1592" s="1">
        <f>VLOOKUP($E1592,'Product Naming'!$A$1:$P$58,7,FALSE)</f>
        <v>6</v>
      </c>
      <c r="Y1592" s="1">
        <f>VLOOKUP($E1592,'Product Naming'!$A$1:$P$58,8,FALSE)</f>
        <v>2</v>
      </c>
      <c r="Z1592" s="1">
        <f>VLOOKUP($E1592,'Product Naming'!$A$1:$P$58,9,FALSE)</f>
        <v>0</v>
      </c>
      <c r="AA1592" s="1">
        <f>VLOOKUP($E1592,'Product Naming'!$A$1:$P$58,10,FALSE)</f>
        <v>0</v>
      </c>
      <c r="AB1592" s="29">
        <f>VLOOKUP($E1592,'Product Naming'!$A$1:$P$58,11,FALSE)</f>
        <v>4.333333333333333</v>
      </c>
      <c r="AC1592" s="3">
        <f>VLOOKUP($E1592,'Product Naming'!$A$1:$P$58,12,FALSE)</f>
        <v>110.10924</v>
      </c>
      <c r="AD1592" s="1">
        <f>VLOOKUP($E1592,'Product Naming'!$A$1:$P$58,13,FALSE)</f>
        <v>245</v>
      </c>
      <c r="AE1592" s="1" t="str">
        <f>VLOOKUP($E1592,'Product Naming'!$A$1:$P$58,14,FALSE)</f>
        <v>Aromatic + Diol</v>
      </c>
      <c r="AF1592" s="1" t="str">
        <f>VLOOKUP($E1592,'Product Naming'!$A$1:$P$58,15,FALSE)</f>
        <v>Glyceraldehyde 3-P</v>
      </c>
      <c r="AG1592" s="30" t="str">
        <f>VLOOKUP($E1592,'Product Naming'!$A$1:$P$58,16,FALSE)</f>
        <v>Proton symporter</v>
      </c>
      <c r="AH1592" s="3" t="str">
        <f>VLOOKUP($E1592,'Product Naming'!$A$1:$Q$58,17,FALSE)</f>
        <v>catechol_c</v>
      </c>
      <c r="AI1592" s="1">
        <f>VLOOKUP($E1592,'Product Parameters'!$A$2:$D$59,2,FALSE)</f>
        <v>1</v>
      </c>
      <c r="AJ1592" s="1">
        <f>VLOOKUP($E1592,'Product Parameters'!$A$2:$D$59,3,FALSE)</f>
        <v>0</v>
      </c>
      <c r="AK1592" s="1">
        <f>VLOOKUP($E1592,'Product Parameters'!$A$2:$D$59,4,FALSE)</f>
        <v>0.12</v>
      </c>
      <c r="AL1592" s="1">
        <f>VLOOKUP($E1592,'Product Parameters'!$A$2:$E$59,5,FALSE)</f>
        <v>40.65</v>
      </c>
      <c r="AM1592" s="1">
        <f>VLOOKUP($E1592,'Product Parameters'!$A$2:$F$59,6,FALSE)</f>
        <v>6</v>
      </c>
      <c r="AN1592" s="1">
        <f>VLOOKUP($C1592,'Substrate Heating'!$A$2:$C$33,3,FALSE)</f>
        <v>638.57832580000002</v>
      </c>
      <c r="AO1592" s="1">
        <f>VLOOKUP($C1592,'Substrate Heating'!$A$2:$B$33,2,FALSE)</f>
        <v>19.93</v>
      </c>
      <c r="AP1592" s="1">
        <f>VLOOKUP($C1592,'Substrate Heating'!$A$2:$M$33,13,FALSE)</f>
        <v>6</v>
      </c>
      <c r="AQ1592" s="1">
        <f>VLOOKUP($C1592,'Substrate Heating'!$A$2:$M$33,8,FALSE)</f>
        <v>1</v>
      </c>
      <c r="AR1592" s="1">
        <f t="shared" si="24"/>
        <v>0.35476839237057178</v>
      </c>
    </row>
    <row r="1593" spans="1:44" x14ac:dyDescent="0.2">
      <c r="A1593" s="8" t="s">
        <v>792</v>
      </c>
      <c r="B1593" s="18" t="s">
        <v>324</v>
      </c>
      <c r="C1593" t="s">
        <v>372</v>
      </c>
      <c r="D1593" s="23" t="s">
        <v>338</v>
      </c>
      <c r="E1593" t="s">
        <v>204</v>
      </c>
      <c r="F1593" t="s">
        <v>205</v>
      </c>
      <c r="G1593">
        <v>-10</v>
      </c>
      <c r="H1593">
        <v>0</v>
      </c>
      <c r="I1593">
        <v>0</v>
      </c>
      <c r="J1593">
        <v>0.45</v>
      </c>
      <c r="K1593">
        <v>-10</v>
      </c>
      <c r="L1593">
        <v>0</v>
      </c>
      <c r="M1593" s="28" t="s">
        <v>555</v>
      </c>
      <c r="N1593">
        <v>0</v>
      </c>
      <c r="O1593" s="28" t="s">
        <v>556</v>
      </c>
      <c r="P1593"/>
      <c r="Q1593" s="28" t="s">
        <v>557</v>
      </c>
      <c r="R1593" s="28" t="s">
        <v>558</v>
      </c>
      <c r="S1593" s="1" t="str">
        <f>VLOOKUP($E1593,'Product Naming'!$A$1:$P$58,2,FALSE)</f>
        <v>Farnesene</v>
      </c>
      <c r="T1593" s="1" t="str">
        <f>VLOOKUP($E1593,'Product Naming'!$A$1:$P$58,3,FALSE)</f>
        <v>Farnesene</v>
      </c>
      <c r="U1593" s="1" t="str">
        <f>VLOOKUP($E1593,'Product Naming'!$A$1:$P$58,4,FALSE)</f>
        <v>A</v>
      </c>
      <c r="V1593" s="1" t="str">
        <f>VLOOKUP($E1593,'Product Naming'!$A$1:$P$58,5,FALSE)</f>
        <v>C15H24</v>
      </c>
      <c r="W1593" s="1">
        <f>VLOOKUP($E1593,'Product Naming'!$A$1:$P$58,6,FALSE)</f>
        <v>15</v>
      </c>
      <c r="X1593" s="1">
        <f>VLOOKUP($E1593,'Product Naming'!$A$1:$P$58,7,FALSE)</f>
        <v>24</v>
      </c>
      <c r="Y1593" s="1">
        <f>VLOOKUP($E1593,'Product Naming'!$A$1:$P$58,8,FALSE)</f>
        <v>0</v>
      </c>
      <c r="Z1593" s="1">
        <f>VLOOKUP($E1593,'Product Naming'!$A$1:$P$58,9,FALSE)</f>
        <v>0</v>
      </c>
      <c r="AA1593" s="1">
        <f>VLOOKUP($E1593,'Product Naming'!$A$1:$P$58,10,FALSE)</f>
        <v>0</v>
      </c>
      <c r="AB1593" s="29">
        <f>VLOOKUP($E1593,'Product Naming'!$A$1:$P$58,11,FALSE)</f>
        <v>5.6</v>
      </c>
      <c r="AC1593" s="3">
        <f>VLOOKUP($E1593,'Product Naming'!$A$1:$P$58,12,FALSE)</f>
        <v>204.34866000000002</v>
      </c>
      <c r="AD1593" s="1" t="str">
        <f>VLOOKUP($E1593,'Product Naming'!$A$1:$P$58,13,FALSE)</f>
        <v>260 (A)/272 (B)</v>
      </c>
      <c r="AE1593" s="1" t="str">
        <f>VLOOKUP($E1593,'Product Naming'!$A$1:$P$58,14,FALSE)</f>
        <v>Hydrocarbon</v>
      </c>
      <c r="AF1593" s="1" t="str">
        <f>VLOOKUP($E1593,'Product Naming'!$A$1:$P$58,15,FALSE)</f>
        <v>Acetyl-CoA</v>
      </c>
      <c r="AG1593" s="30" t="str">
        <f>VLOOKUP($E1593,'Product Naming'!$A$1:$P$58,16,FALSE)</f>
        <v>Proton symporter</v>
      </c>
      <c r="AH1593" s="3" t="str">
        <f>VLOOKUP($E1593,'Product Naming'!$A$1:$Q$58,17,FALSE)</f>
        <v>frene_c</v>
      </c>
      <c r="AI1593" s="1">
        <f>VLOOKUP($E1593,'Product Parameters'!$A$2:$D$59,2,FALSE)</f>
        <v>1</v>
      </c>
      <c r="AJ1593" s="1">
        <f>VLOOKUP($E1593,'Product Parameters'!$A$2:$D$59,3,FALSE)</f>
        <v>0</v>
      </c>
      <c r="AK1593" s="1">
        <f>VLOOKUP($E1593,'Product Parameters'!$A$2:$D$59,4,FALSE)</f>
        <v>0.12</v>
      </c>
      <c r="AL1593" s="1">
        <f>VLOOKUP($E1593,'Product Parameters'!$A$2:$E$59,5,FALSE)</f>
        <v>0</v>
      </c>
      <c r="AM1593" s="1">
        <f>VLOOKUP($E1593,'Product Parameters'!$A$2:$F$59,6,FALSE)</f>
        <v>15</v>
      </c>
      <c r="AN1593" s="1">
        <f>VLOOKUP($C1593,'Substrate Heating'!$A$2:$C$33,3,FALSE)</f>
        <v>638.57832580000002</v>
      </c>
      <c r="AO1593" s="1">
        <f>VLOOKUP($C1593,'Substrate Heating'!$A$2:$B$33,2,FALSE)</f>
        <v>19.93</v>
      </c>
      <c r="AP1593" s="1">
        <f>VLOOKUP($C1593,'Substrate Heating'!$A$2:$M$33,13,FALSE)</f>
        <v>6</v>
      </c>
      <c r="AQ1593" s="1">
        <f>VLOOKUP($C1593,'Substrate Heating'!$A$2:$M$33,8,FALSE)</f>
        <v>1</v>
      </c>
      <c r="AR1593" s="1">
        <f t="shared" si="24"/>
        <v>0.49014084507042149</v>
      </c>
    </row>
    <row r="1594" spans="1:44" x14ac:dyDescent="0.2">
      <c r="A1594" s="8" t="s">
        <v>792</v>
      </c>
      <c r="B1594" s="18" t="s">
        <v>324</v>
      </c>
      <c r="C1594" t="s">
        <v>372</v>
      </c>
      <c r="D1594" s="23" t="s">
        <v>338</v>
      </c>
      <c r="E1594" t="s">
        <v>192</v>
      </c>
      <c r="F1594" t="s">
        <v>193</v>
      </c>
      <c r="G1594">
        <v>-10</v>
      </c>
      <c r="H1594">
        <v>0</v>
      </c>
      <c r="I1594">
        <v>0</v>
      </c>
      <c r="J1594">
        <v>0.45</v>
      </c>
      <c r="K1594">
        <v>-10</v>
      </c>
      <c r="L1594">
        <v>0</v>
      </c>
      <c r="M1594">
        <v>3.2278260869565099</v>
      </c>
      <c r="N1594">
        <v>0</v>
      </c>
      <c r="O1594" s="28" t="s">
        <v>541</v>
      </c>
      <c r="P1594"/>
      <c r="Q1594">
        <v>4.0347826086956001E-2</v>
      </c>
      <c r="R1594" s="28" t="s">
        <v>542</v>
      </c>
      <c r="S1594" s="1" t="str">
        <f>VLOOKUP($E1594,'Product Naming'!$A$1:$P$58,2,FALSE)</f>
        <v>Coumaric acid</v>
      </c>
      <c r="T1594" s="1" t="str">
        <f>VLOOKUP($E1594,'Product Naming'!$A$1:$P$58,3,FALSE)</f>
        <v>Coumaric acid</v>
      </c>
      <c r="U1594" s="1" t="str">
        <f>VLOOKUP($E1594,'Product Naming'!$A$1:$P$58,4,FALSE)</f>
        <v>E</v>
      </c>
      <c r="V1594" s="1" t="str">
        <f>VLOOKUP($E1594,'Product Naming'!$A$1:$P$58,5,FALSE)</f>
        <v>C9H7O3</v>
      </c>
      <c r="W1594" s="1">
        <f>VLOOKUP($E1594,'Product Naming'!$A$1:$P$58,6,FALSE)</f>
        <v>9</v>
      </c>
      <c r="X1594" s="1">
        <f>VLOOKUP($E1594,'Product Naming'!$A$1:$P$58,7,FALSE)</f>
        <v>7</v>
      </c>
      <c r="Y1594" s="1">
        <f>VLOOKUP($E1594,'Product Naming'!$A$1:$P$58,8,FALSE)</f>
        <v>3</v>
      </c>
      <c r="Z1594" s="1">
        <f>VLOOKUP($E1594,'Product Naming'!$A$1:$P$58,9,FALSE)</f>
        <v>0</v>
      </c>
      <c r="AA1594" s="1">
        <f>VLOOKUP($E1594,'Product Naming'!$A$1:$P$58,10,FALSE)</f>
        <v>-1</v>
      </c>
      <c r="AB1594" s="29">
        <f>VLOOKUP($E1594,'Product Naming'!$A$1:$P$58,11,FALSE)</f>
        <v>4.1111111111111107</v>
      </c>
      <c r="AC1594" s="3">
        <f>VLOOKUP($E1594,'Product Naming'!$A$1:$P$58,12,FALSE)</f>
        <v>163.14818</v>
      </c>
      <c r="AD1594" s="1">
        <f>VLOOKUP($E1594,'Product Naming'!$A$1:$P$58,13,FALSE)</f>
        <v>346</v>
      </c>
      <c r="AE1594" s="1" t="str">
        <f>VLOOKUP($E1594,'Product Naming'!$A$1:$P$58,14,FALSE)</f>
        <v>Aromatic + Alcohol + Carboxylate</v>
      </c>
      <c r="AF1594" s="1" t="str">
        <f>VLOOKUP($E1594,'Product Naming'!$A$1:$P$58,15,FALSE)</f>
        <v>E4P + L-glutamate</v>
      </c>
      <c r="AG1594" s="30" t="str">
        <f>VLOOKUP($E1594,'Product Naming'!$A$1:$P$58,16,FALSE)</f>
        <v>Proton symporter</v>
      </c>
      <c r="AH1594" s="3" t="str">
        <f>VLOOKUP($E1594,'Product Naming'!$A$1:$Q$58,17,FALSE)</f>
        <v>T4hcinnm_c</v>
      </c>
      <c r="AI1594" s="1">
        <f>VLOOKUP($E1594,'Product Parameters'!$A$2:$D$59,2,FALSE)</f>
        <v>1</v>
      </c>
      <c r="AJ1594" s="1">
        <f>VLOOKUP($E1594,'Product Parameters'!$A$2:$D$59,3,FALSE)</f>
        <v>0</v>
      </c>
      <c r="AK1594" s="1">
        <f>VLOOKUP($E1594,'Product Parameters'!$A$2:$D$59,4,FALSE)</f>
        <v>0.12</v>
      </c>
      <c r="AL1594" s="1">
        <f>VLOOKUP($E1594,'Product Parameters'!$A$2:$E$59,5,FALSE)</f>
        <v>40.65</v>
      </c>
      <c r="AM1594" s="1">
        <f>VLOOKUP($E1594,'Product Parameters'!$A$2:$F$59,6,FALSE)</f>
        <v>9</v>
      </c>
      <c r="AN1594" s="1">
        <f>VLOOKUP($C1594,'Substrate Heating'!$A$2:$C$33,3,FALSE)</f>
        <v>638.57832580000002</v>
      </c>
      <c r="AO1594" s="1">
        <f>VLOOKUP($C1594,'Substrate Heating'!$A$2:$B$33,2,FALSE)</f>
        <v>19.93</v>
      </c>
      <c r="AP1594" s="1">
        <f>VLOOKUP($C1594,'Substrate Heating'!$A$2:$M$33,13,FALSE)</f>
        <v>6</v>
      </c>
      <c r="AQ1594" s="1">
        <f>VLOOKUP($C1594,'Substrate Heating'!$A$2:$M$33,8,FALSE)</f>
        <v>1</v>
      </c>
      <c r="AR1594" s="1">
        <f t="shared" si="24"/>
        <v>0.36313043478260398</v>
      </c>
    </row>
    <row r="1595" spans="1:44" x14ac:dyDescent="0.2">
      <c r="A1595" s="8" t="s">
        <v>792</v>
      </c>
      <c r="B1595" s="18" t="s">
        <v>324</v>
      </c>
      <c r="C1595" t="s">
        <v>372</v>
      </c>
      <c r="D1595" s="23" t="s">
        <v>338</v>
      </c>
      <c r="E1595" t="s">
        <v>259</v>
      </c>
      <c r="F1595" t="s">
        <v>260</v>
      </c>
      <c r="G1595">
        <v>-10</v>
      </c>
      <c r="H1595">
        <v>0</v>
      </c>
      <c r="I1595">
        <v>0</v>
      </c>
      <c r="J1595">
        <v>0.45</v>
      </c>
      <c r="K1595">
        <v>-10</v>
      </c>
      <c r="L1595">
        <v>0</v>
      </c>
      <c r="M1595" s="28" t="s">
        <v>739</v>
      </c>
      <c r="N1595">
        <v>0</v>
      </c>
      <c r="O1595" s="28" t="s">
        <v>740</v>
      </c>
      <c r="P1595"/>
      <c r="Q1595">
        <v>4.9361702127659501E-2</v>
      </c>
      <c r="R1595" s="28" t="s">
        <v>741</v>
      </c>
      <c r="S1595" s="1" t="str">
        <f>VLOOKUP($E1595,'Product Naming'!$A$1:$P$58,2,FALSE)</f>
        <v>Limonene</v>
      </c>
      <c r="T1595" s="1" t="str">
        <f>VLOOKUP($E1595,'Product Naming'!$A$1:$P$58,3,FALSE)</f>
        <v>Limonene</v>
      </c>
      <c r="U1595" s="1" t="str">
        <f>VLOOKUP($E1595,'Product Naming'!$A$1:$P$58,4,FALSE)</f>
        <v>E</v>
      </c>
      <c r="V1595" s="1" t="str">
        <f>VLOOKUP($E1595,'Product Naming'!$A$1:$P$58,5,FALSE)</f>
        <v>C10H16</v>
      </c>
      <c r="W1595" s="1">
        <f>VLOOKUP($E1595,'Product Naming'!$A$1:$P$58,6,FALSE)</f>
        <v>10</v>
      </c>
      <c r="X1595" s="1">
        <f>VLOOKUP($E1595,'Product Naming'!$A$1:$P$58,7,FALSE)</f>
        <v>16</v>
      </c>
      <c r="Y1595" s="1">
        <f>VLOOKUP($E1595,'Product Naming'!$A$1:$P$58,8,FALSE)</f>
        <v>0</v>
      </c>
      <c r="Z1595" s="1">
        <f>VLOOKUP($E1595,'Product Naming'!$A$1:$P$58,9,FALSE)</f>
        <v>0</v>
      </c>
      <c r="AA1595" s="1">
        <f>VLOOKUP($E1595,'Product Naming'!$A$1:$P$58,10,FALSE)</f>
        <v>0</v>
      </c>
      <c r="AB1595" s="29">
        <f>VLOOKUP($E1595,'Product Naming'!$A$1:$P$58,11,FALSE)</f>
        <v>5.6</v>
      </c>
      <c r="AC1595" s="3">
        <f>VLOOKUP($E1595,'Product Naming'!$A$1:$P$58,12,FALSE)</f>
        <v>136.23244</v>
      </c>
      <c r="AD1595" s="1">
        <f>VLOOKUP($E1595,'Product Naming'!$A$1:$P$58,13,FALSE)</f>
        <v>176</v>
      </c>
      <c r="AE1595" s="1" t="str">
        <f>VLOOKUP($E1595,'Product Naming'!$A$1:$P$58,14,FALSE)</f>
        <v>Isoprenoid; Aromatic (Cycloalkane)</v>
      </c>
      <c r="AF1595" s="1" t="str">
        <f>VLOOKUP($E1595,'Product Naming'!$A$1:$P$58,15,FALSE)</f>
        <v>Acetyl-CoA</v>
      </c>
      <c r="AG1595" s="30" t="str">
        <f>VLOOKUP($E1595,'Product Naming'!$A$1:$P$58,16,FALSE)</f>
        <v>Proton symporter</v>
      </c>
      <c r="AH1595" s="3" t="str">
        <f>VLOOKUP($E1595,'Product Naming'!$A$1:$Q$58,17,FALSE)</f>
        <v>limnen_c</v>
      </c>
      <c r="AI1595" s="1">
        <f>VLOOKUP($E1595,'Product Parameters'!$A$2:$D$59,2,FALSE)</f>
        <v>1</v>
      </c>
      <c r="AJ1595" s="1">
        <f>VLOOKUP($E1595,'Product Parameters'!$A$2:$D$59,3,FALSE)</f>
        <v>0</v>
      </c>
      <c r="AK1595" s="1">
        <f>VLOOKUP($E1595,'Product Parameters'!$A$2:$D$59,4,FALSE)</f>
        <v>0.12</v>
      </c>
      <c r="AL1595" s="1">
        <f>VLOOKUP($E1595,'Product Parameters'!$A$2:$E$59,5,FALSE)</f>
        <v>49.5</v>
      </c>
      <c r="AM1595" s="1">
        <f>VLOOKUP($E1595,'Product Parameters'!$A$2:$F$59,6,FALSE)</f>
        <v>10</v>
      </c>
      <c r="AN1595" s="1">
        <f>VLOOKUP($C1595,'Substrate Heating'!$A$2:$C$33,3,FALSE)</f>
        <v>638.57832580000002</v>
      </c>
      <c r="AO1595" s="1">
        <f>VLOOKUP($C1595,'Substrate Heating'!$A$2:$B$33,2,FALSE)</f>
        <v>19.93</v>
      </c>
      <c r="AP1595" s="1">
        <f>VLOOKUP($C1595,'Substrate Heating'!$A$2:$M$33,13,FALSE)</f>
        <v>6</v>
      </c>
      <c r="AQ1595" s="1">
        <f>VLOOKUP($C1595,'Substrate Heating'!$A$2:$M$33,8,FALSE)</f>
        <v>1</v>
      </c>
      <c r="AR1595" s="1">
        <f t="shared" si="24"/>
        <v>0.49361702127659501</v>
      </c>
    </row>
    <row r="1596" spans="1:44" x14ac:dyDescent="0.2">
      <c r="A1596" s="8" t="s">
        <v>792</v>
      </c>
      <c r="B1596" s="18" t="s">
        <v>324</v>
      </c>
      <c r="C1596" t="s">
        <v>371</v>
      </c>
      <c r="D1596" s="23" t="s">
        <v>338</v>
      </c>
      <c r="E1596" t="s">
        <v>124</v>
      </c>
      <c r="F1596" t="s">
        <v>125</v>
      </c>
      <c r="G1596">
        <v>-10</v>
      </c>
      <c r="H1596">
        <v>0</v>
      </c>
      <c r="I1596">
        <v>0</v>
      </c>
      <c r="J1596">
        <v>0.45</v>
      </c>
      <c r="K1596">
        <v>-10</v>
      </c>
      <c r="L1596">
        <v>0</v>
      </c>
      <c r="M1596" s="28" t="s">
        <v>460</v>
      </c>
      <c r="N1596">
        <v>0</v>
      </c>
      <c r="O1596" s="28" t="s">
        <v>461</v>
      </c>
      <c r="P1596"/>
      <c r="Q1596">
        <v>9.3736501079913506E-2</v>
      </c>
      <c r="R1596" s="28" t="s">
        <v>462</v>
      </c>
      <c r="S1596" s="1" t="str">
        <f>VLOOKUP($E1596,'Product Naming'!$A$1:$P$58,2,FALSE)</f>
        <v>Acrylate-PW1</v>
      </c>
      <c r="T1596" s="1" t="str">
        <f>VLOOKUP($E1596,'Product Naming'!$A$1:$P$58,3,FALSE)</f>
        <v>Acrylate (PW1)</v>
      </c>
      <c r="U1596" s="1" t="str">
        <f>VLOOKUP($E1596,'Product Naming'!$A$1:$P$58,4,FALSE)</f>
        <v>A</v>
      </c>
      <c r="V1596" s="1" t="str">
        <f>VLOOKUP($E1596,'Product Naming'!$A$1:$P$58,5,FALSE)</f>
        <v>C3H3O2</v>
      </c>
      <c r="W1596" s="1">
        <f>VLOOKUP($E1596,'Product Naming'!$A$1:$P$58,6,FALSE)</f>
        <v>3</v>
      </c>
      <c r="X1596" s="1">
        <f>VLOOKUP($E1596,'Product Naming'!$A$1:$P$58,7,FALSE)</f>
        <v>3</v>
      </c>
      <c r="Y1596" s="1">
        <f>VLOOKUP($E1596,'Product Naming'!$A$1:$P$58,8,FALSE)</f>
        <v>2</v>
      </c>
      <c r="Z1596" s="1">
        <f>VLOOKUP($E1596,'Product Naming'!$A$1:$P$58,9,FALSE)</f>
        <v>0</v>
      </c>
      <c r="AA1596" s="1">
        <f>VLOOKUP($E1596,'Product Naming'!$A$1:$P$58,10,FALSE)</f>
        <v>-1</v>
      </c>
      <c r="AB1596" s="29">
        <f>VLOOKUP($E1596,'Product Naming'!$A$1:$P$58,11,FALSE)</f>
        <v>3.6666666666666665</v>
      </c>
      <c r="AC1596" s="3">
        <f>VLOOKUP($E1596,'Product Naming'!$A$1:$P$58,12,FALSE)</f>
        <v>71.053619999999995</v>
      </c>
      <c r="AD1596" s="1">
        <f>VLOOKUP($E1596,'Product Naming'!$A$1:$P$58,13,FALSE)</f>
        <v>80</v>
      </c>
      <c r="AE1596" s="1" t="str">
        <f>VLOOKUP($E1596,'Product Naming'!$A$1:$P$58,14,FALSE)</f>
        <v>Carboxylate</v>
      </c>
      <c r="AF1596" s="1" t="str">
        <f>VLOOKUP($E1596,'Product Naming'!$A$1:$P$58,15,FALSE)</f>
        <v>Glyceraldehyde 3-P</v>
      </c>
      <c r="AG1596" s="30" t="str">
        <f>VLOOKUP($E1596,'Product Naming'!$A$1:$P$58,16,FALSE)</f>
        <v>Proton symporter</v>
      </c>
      <c r="AH1596" s="3" t="str">
        <f>VLOOKUP($E1596,'Product Naming'!$A$1:$Q$58,17,FALSE)</f>
        <v>acryl_c</v>
      </c>
      <c r="AI1596" s="1">
        <f>VLOOKUP($E1596,'Product Parameters'!$A$2:$D$59,2,FALSE)</f>
        <v>1</v>
      </c>
      <c r="AJ1596" s="1">
        <f>VLOOKUP($E1596,'Product Parameters'!$A$2:$D$59,3,FALSE)</f>
        <v>0</v>
      </c>
      <c r="AK1596" s="1">
        <f>VLOOKUP($E1596,'Product Parameters'!$A$2:$D$59,4,FALSE)</f>
        <v>0.12</v>
      </c>
      <c r="AL1596" s="1">
        <f>VLOOKUP($E1596,'Product Parameters'!$A$2:$E$59,5,FALSE)</f>
        <v>53.1</v>
      </c>
      <c r="AM1596" s="1">
        <f>VLOOKUP($E1596,'Product Parameters'!$A$2:$F$59,6,FALSE)</f>
        <v>3</v>
      </c>
      <c r="AN1596" s="1">
        <f>VLOOKUP($C1596,'Substrate Heating'!$A$2:$C$33,3,FALSE)</f>
        <v>638.57832580000002</v>
      </c>
      <c r="AO1596" s="1">
        <f>VLOOKUP($C1596,'Substrate Heating'!$A$2:$B$33,2,FALSE)</f>
        <v>19.93</v>
      </c>
      <c r="AP1596" s="1">
        <f>VLOOKUP($C1596,'Substrate Heating'!$A$2:$M$33,13,FALSE)</f>
        <v>6</v>
      </c>
      <c r="AQ1596" s="1">
        <f>VLOOKUP($C1596,'Substrate Heating'!$A$2:$M$33,8,FALSE)</f>
        <v>1</v>
      </c>
      <c r="AR1596" s="1">
        <f t="shared" si="24"/>
        <v>0.28120950323974053</v>
      </c>
    </row>
    <row r="1597" spans="1:44" x14ac:dyDescent="0.2">
      <c r="A1597" s="8" t="s">
        <v>792</v>
      </c>
      <c r="B1597" s="18" t="s">
        <v>324</v>
      </c>
      <c r="C1597" t="s">
        <v>369</v>
      </c>
      <c r="D1597" s="23" t="s">
        <v>338</v>
      </c>
      <c r="E1597" t="s">
        <v>308</v>
      </c>
      <c r="F1597" t="s">
        <v>309</v>
      </c>
      <c r="G1597">
        <v>-10</v>
      </c>
      <c r="H1597">
        <v>0</v>
      </c>
      <c r="I1597">
        <v>0</v>
      </c>
      <c r="J1597">
        <v>0.45</v>
      </c>
      <c r="K1597">
        <v>-10</v>
      </c>
      <c r="L1597">
        <v>0</v>
      </c>
      <c r="M1597" s="28" t="s">
        <v>708</v>
      </c>
      <c r="N1597">
        <v>0</v>
      </c>
      <c r="O1597" s="28" t="s">
        <v>709</v>
      </c>
      <c r="P1597"/>
      <c r="Q1597" s="28" t="s">
        <v>710</v>
      </c>
      <c r="R1597" s="28" t="s">
        <v>711</v>
      </c>
      <c r="S1597" s="1" t="str">
        <f>VLOOKUP($E1597,'Product Naming'!$A$1:$P$58,2,FALSE)</f>
        <v>Shikimate</v>
      </c>
      <c r="T1597" s="1" t="str">
        <f>VLOOKUP($E1597,'Product Naming'!$A$1:$P$58,3,FALSE)</f>
        <v>Shikimate</v>
      </c>
      <c r="U1597" s="1" t="str">
        <f>VLOOKUP($E1597,'Product Naming'!$A$1:$P$58,4,FALSE)</f>
        <v>E</v>
      </c>
      <c r="V1597" s="1" t="str">
        <f>VLOOKUP($E1597,'Product Naming'!$A$1:$P$58,5,FALSE)</f>
        <v>C7H9O5</v>
      </c>
      <c r="W1597" s="1">
        <f>VLOOKUP($E1597,'Product Naming'!$A$1:$P$58,6,FALSE)</f>
        <v>7</v>
      </c>
      <c r="X1597" s="1">
        <f>VLOOKUP($E1597,'Product Naming'!$A$1:$P$58,7,FALSE)</f>
        <v>9</v>
      </c>
      <c r="Y1597" s="1">
        <f>VLOOKUP($E1597,'Product Naming'!$A$1:$P$58,8,FALSE)</f>
        <v>5</v>
      </c>
      <c r="Z1597" s="1">
        <f>VLOOKUP($E1597,'Product Naming'!$A$1:$P$58,9,FALSE)</f>
        <v>0</v>
      </c>
      <c r="AA1597" s="1">
        <f>VLOOKUP($E1597,'Product Naming'!$A$1:$P$58,10,FALSE)</f>
        <v>-1</v>
      </c>
      <c r="AB1597" s="29">
        <f>VLOOKUP($E1597,'Product Naming'!$A$1:$P$58,11,FALSE)</f>
        <v>3.8571428571428572</v>
      </c>
      <c r="AC1597" s="3">
        <f>VLOOKUP($E1597,'Product Naming'!$A$1:$P$58,12,FALSE)</f>
        <v>173.14046000000002</v>
      </c>
      <c r="AD1597" s="1">
        <f>VLOOKUP($E1597,'Product Naming'!$A$1:$P$58,13,FALSE)</f>
        <v>400.5</v>
      </c>
      <c r="AE1597" s="1" t="str">
        <f>VLOOKUP($E1597,'Product Naming'!$A$1:$P$58,14,FALSE)</f>
        <v>Aromatic + Alcohol + Carboxylate</v>
      </c>
      <c r="AF1597" s="1" t="str">
        <f>VLOOKUP($E1597,'Product Naming'!$A$1:$P$58,15,FALSE)</f>
        <v>PEP + E4P (Glyceraldehyde 3-P)</v>
      </c>
      <c r="AG1597" s="30" t="str">
        <f>VLOOKUP($E1597,'Product Naming'!$A$1:$P$58,16,FALSE)</f>
        <v>Proton symporter</v>
      </c>
      <c r="AH1597" s="3" t="str">
        <f>VLOOKUP($E1597,'Product Naming'!$A$1:$Q$58,17,FALSE)</f>
        <v>skm_c</v>
      </c>
      <c r="AI1597" s="1">
        <f>VLOOKUP($E1597,'Product Parameters'!$A$2:$D$59,2,FALSE)</f>
        <v>1</v>
      </c>
      <c r="AJ1597" s="1">
        <f>VLOOKUP($E1597,'Product Parameters'!$A$2:$D$59,3,FALSE)</f>
        <v>0</v>
      </c>
      <c r="AK1597" s="1">
        <f>VLOOKUP($E1597,'Product Parameters'!$A$2:$D$59,4,FALSE)</f>
        <v>0.12</v>
      </c>
      <c r="AL1597" s="1">
        <f>VLOOKUP($E1597,'Product Parameters'!$A$2:$E$59,5,FALSE)</f>
        <v>40.65</v>
      </c>
      <c r="AM1597" s="1">
        <f>VLOOKUP($E1597,'Product Parameters'!$A$2:$F$59,6,FALSE)</f>
        <v>7</v>
      </c>
      <c r="AN1597" s="1">
        <f>VLOOKUP($C1597,'Substrate Heating'!$A$2:$C$33,3,FALSE)</f>
        <v>638.57832580000002</v>
      </c>
      <c r="AO1597" s="1">
        <f>VLOOKUP($C1597,'Substrate Heating'!$A$2:$B$33,2,FALSE)</f>
        <v>19.93</v>
      </c>
      <c r="AP1597" s="1">
        <f>VLOOKUP($C1597,'Substrate Heating'!$A$2:$M$33,13,FALSE)</f>
        <v>6</v>
      </c>
      <c r="AQ1597" s="1">
        <f>VLOOKUP($C1597,'Substrate Heating'!$A$2:$M$33,8,FALSE)</f>
        <v>1</v>
      </c>
      <c r="AR1597" s="1">
        <f t="shared" si="24"/>
        <v>0.26969325153374168</v>
      </c>
    </row>
    <row r="1598" spans="1:44" x14ac:dyDescent="0.2">
      <c r="A1598" s="8" t="s">
        <v>792</v>
      </c>
      <c r="B1598" s="18" t="s">
        <v>324</v>
      </c>
      <c r="C1598" t="s">
        <v>369</v>
      </c>
      <c r="D1598" s="23" t="s">
        <v>338</v>
      </c>
      <c r="E1598" t="s">
        <v>72</v>
      </c>
      <c r="F1598" t="s">
        <v>73</v>
      </c>
      <c r="G1598">
        <v>-10</v>
      </c>
      <c r="H1598">
        <v>0</v>
      </c>
      <c r="I1598">
        <v>0</v>
      </c>
      <c r="J1598">
        <v>0.45</v>
      </c>
      <c r="K1598">
        <v>-10</v>
      </c>
      <c r="L1598">
        <v>0</v>
      </c>
      <c r="M1598">
        <v>0</v>
      </c>
      <c r="N1598">
        <v>0</v>
      </c>
      <c r="O1598" s="28" t="s">
        <v>417</v>
      </c>
      <c r="P1598"/>
      <c r="Q1598" s="28" t="s">
        <v>418</v>
      </c>
      <c r="R1598" s="28" t="s">
        <v>419</v>
      </c>
      <c r="S1598" s="1" t="str">
        <f>VLOOKUP($E1598,'Product Naming'!$A$1:$P$58,2,FALSE)</f>
        <v>1-propanol-PW1</v>
      </c>
      <c r="T1598" s="1" t="str">
        <f>VLOOKUP($E1598,'Product Naming'!$A$1:$P$58,3,FALSE)</f>
        <v>1-Propanol (PW1)</v>
      </c>
      <c r="U1598" s="1" t="str">
        <f>VLOOKUP($E1598,'Product Naming'!$A$1:$P$58,4,FALSE)</f>
        <v>E-S</v>
      </c>
      <c r="V1598" s="1" t="str">
        <f>VLOOKUP($E1598,'Product Naming'!$A$1:$P$58,5,FALSE)</f>
        <v>C3H8O</v>
      </c>
      <c r="W1598" s="1">
        <f>VLOOKUP($E1598,'Product Naming'!$A$1:$P$58,6,FALSE)</f>
        <v>3</v>
      </c>
      <c r="X1598" s="1">
        <f>VLOOKUP($E1598,'Product Naming'!$A$1:$P$58,7,FALSE)</f>
        <v>8</v>
      </c>
      <c r="Y1598" s="1">
        <f>VLOOKUP($E1598,'Product Naming'!$A$1:$P$58,8,FALSE)</f>
        <v>1</v>
      </c>
      <c r="Z1598" s="1">
        <f>VLOOKUP($E1598,'Product Naming'!$A$1:$P$58,9,FALSE)</f>
        <v>0</v>
      </c>
      <c r="AA1598" s="1">
        <f>VLOOKUP($E1598,'Product Naming'!$A$1:$P$58,10,FALSE)</f>
        <v>0</v>
      </c>
      <c r="AB1598" s="29">
        <f>VLOOKUP($E1598,'Product Naming'!$A$1:$P$58,11,FALSE)</f>
        <v>6</v>
      </c>
      <c r="AC1598" s="3">
        <f>VLOOKUP($E1598,'Product Naming'!$A$1:$P$58,12,FALSE)</f>
        <v>60.093820000000001</v>
      </c>
      <c r="AD1598" s="1">
        <f>VLOOKUP($E1598,'Product Naming'!$A$1:$P$58,13,FALSE)</f>
        <v>97</v>
      </c>
      <c r="AE1598" s="1" t="str">
        <f>VLOOKUP($E1598,'Product Naming'!$A$1:$P$58,14,FALSE)</f>
        <v>Alcohol</v>
      </c>
      <c r="AF1598" s="1" t="str">
        <f>VLOOKUP($E1598,'Product Naming'!$A$1:$P$58,15,FALSE)</f>
        <v>Glyceraldehyde 3-P (--&gt;DHAP)</v>
      </c>
      <c r="AG1598" s="30" t="str">
        <f>VLOOKUP($E1598,'Product Naming'!$A$1:$P$58,16,FALSE)</f>
        <v>Proton symporter</v>
      </c>
      <c r="AH1598" s="3" t="str">
        <f>VLOOKUP($E1598,'Product Naming'!$A$1:$Q$58,17,FALSE)</f>
        <v>ppoh_c</v>
      </c>
      <c r="AI1598" s="1">
        <f>VLOOKUP($E1598,'Product Parameters'!$A$2:$D$59,2,FALSE)</f>
        <v>1</v>
      </c>
      <c r="AJ1598" s="1">
        <f>VLOOKUP($E1598,'Product Parameters'!$A$2:$D$59,3,FALSE)</f>
        <v>0</v>
      </c>
      <c r="AK1598" s="1">
        <f>VLOOKUP($E1598,'Product Parameters'!$A$2:$D$59,4,FALSE)</f>
        <v>0.12</v>
      </c>
      <c r="AL1598" s="1">
        <f>VLOOKUP($E1598,'Product Parameters'!$A$2:$E$59,5,FALSE)</f>
        <v>47</v>
      </c>
      <c r="AM1598" s="1">
        <f>VLOOKUP($E1598,'Product Parameters'!$A$2:$F$59,6,FALSE)</f>
        <v>3</v>
      </c>
      <c r="AN1598" s="1">
        <f>VLOOKUP($C1598,'Substrate Heating'!$A$2:$C$33,3,FALSE)</f>
        <v>638.57832580000002</v>
      </c>
      <c r="AO1598" s="1">
        <f>VLOOKUP($C1598,'Substrate Heating'!$A$2:$B$33,2,FALSE)</f>
        <v>19.93</v>
      </c>
      <c r="AP1598" s="1">
        <f>VLOOKUP($C1598,'Substrate Heating'!$A$2:$M$33,13,FALSE)</f>
        <v>6</v>
      </c>
      <c r="AQ1598" s="1">
        <f>VLOOKUP($C1598,'Substrate Heating'!$A$2:$M$33,8,FALSE)</f>
        <v>1</v>
      </c>
      <c r="AR1598" s="1">
        <f t="shared" si="24"/>
        <v>0.355471698113205</v>
      </c>
    </row>
    <row r="1599" spans="1:44" x14ac:dyDescent="0.2">
      <c r="A1599" s="8" t="s">
        <v>792</v>
      </c>
      <c r="B1599" s="18" t="s">
        <v>324</v>
      </c>
      <c r="C1599" t="s">
        <v>372</v>
      </c>
      <c r="D1599" s="23" t="s">
        <v>338</v>
      </c>
      <c r="E1599" t="s">
        <v>175</v>
      </c>
      <c r="F1599" t="s">
        <v>176</v>
      </c>
      <c r="G1599">
        <v>-10</v>
      </c>
      <c r="H1599">
        <v>0</v>
      </c>
      <c r="I1599">
        <v>0</v>
      </c>
      <c r="J1599">
        <v>0.45</v>
      </c>
      <c r="K1599">
        <v>-10</v>
      </c>
      <c r="L1599">
        <v>0</v>
      </c>
      <c r="M1599" s="28" t="s">
        <v>530</v>
      </c>
      <c r="N1599">
        <v>0</v>
      </c>
      <c r="O1599" s="28" t="s">
        <v>531</v>
      </c>
      <c r="P1599"/>
      <c r="Q1599">
        <v>6.3561643835616397E-2</v>
      </c>
      <c r="R1599" s="28" t="s">
        <v>532</v>
      </c>
      <c r="S1599" s="1" t="str">
        <f>VLOOKUP($E1599,'Product Naming'!$A$1:$P$58,2,FALSE)</f>
        <v>Catechol</v>
      </c>
      <c r="T1599" s="1" t="str">
        <f>VLOOKUP($E1599,'Product Naming'!$A$1:$P$58,3,FALSE)</f>
        <v>Catechol</v>
      </c>
      <c r="U1599" s="1" t="str">
        <f>VLOOKUP($E1599,'Product Naming'!$A$1:$P$58,4,FALSE)</f>
        <v>E</v>
      </c>
      <c r="V1599" s="1" t="str">
        <f>VLOOKUP($E1599,'Product Naming'!$A$1:$P$58,5,FALSE)</f>
        <v>C6H6O2</v>
      </c>
      <c r="W1599" s="1">
        <f>VLOOKUP($E1599,'Product Naming'!$A$1:$P$58,6,FALSE)</f>
        <v>6</v>
      </c>
      <c r="X1599" s="1">
        <f>VLOOKUP($E1599,'Product Naming'!$A$1:$P$58,7,FALSE)</f>
        <v>6</v>
      </c>
      <c r="Y1599" s="1">
        <f>VLOOKUP($E1599,'Product Naming'!$A$1:$P$58,8,FALSE)</f>
        <v>2</v>
      </c>
      <c r="Z1599" s="1">
        <f>VLOOKUP($E1599,'Product Naming'!$A$1:$P$58,9,FALSE)</f>
        <v>0</v>
      </c>
      <c r="AA1599" s="1">
        <f>VLOOKUP($E1599,'Product Naming'!$A$1:$P$58,10,FALSE)</f>
        <v>0</v>
      </c>
      <c r="AB1599" s="29">
        <f>VLOOKUP($E1599,'Product Naming'!$A$1:$P$58,11,FALSE)</f>
        <v>4.333333333333333</v>
      </c>
      <c r="AC1599" s="3">
        <f>VLOOKUP($E1599,'Product Naming'!$A$1:$P$58,12,FALSE)</f>
        <v>110.10924</v>
      </c>
      <c r="AD1599" s="1">
        <f>VLOOKUP($E1599,'Product Naming'!$A$1:$P$58,13,FALSE)</f>
        <v>245</v>
      </c>
      <c r="AE1599" s="1" t="str">
        <f>VLOOKUP($E1599,'Product Naming'!$A$1:$P$58,14,FALSE)</f>
        <v>Aromatic + Diol</v>
      </c>
      <c r="AF1599" s="1" t="str">
        <f>VLOOKUP($E1599,'Product Naming'!$A$1:$P$58,15,FALSE)</f>
        <v>Glyceraldehyde 3-P</v>
      </c>
      <c r="AG1599" s="30" t="str">
        <f>VLOOKUP($E1599,'Product Naming'!$A$1:$P$58,16,FALSE)</f>
        <v>Proton symporter</v>
      </c>
      <c r="AH1599" s="3" t="str">
        <f>VLOOKUP($E1599,'Product Naming'!$A$1:$Q$58,17,FALSE)</f>
        <v>catechol_c</v>
      </c>
      <c r="AI1599" s="1">
        <f>VLOOKUP($E1599,'Product Parameters'!$A$2:$D$59,2,FALSE)</f>
        <v>1</v>
      </c>
      <c r="AJ1599" s="1">
        <f>VLOOKUP($E1599,'Product Parameters'!$A$2:$D$59,3,FALSE)</f>
        <v>0</v>
      </c>
      <c r="AK1599" s="1">
        <f>VLOOKUP($E1599,'Product Parameters'!$A$2:$D$59,4,FALSE)</f>
        <v>0.12</v>
      </c>
      <c r="AL1599" s="1">
        <f>VLOOKUP($E1599,'Product Parameters'!$A$2:$E$59,5,FALSE)</f>
        <v>40.65</v>
      </c>
      <c r="AM1599" s="1">
        <f>VLOOKUP($E1599,'Product Parameters'!$A$2:$F$59,6,FALSE)</f>
        <v>6</v>
      </c>
      <c r="AN1599" s="1">
        <f>VLOOKUP($C1599,'Substrate Heating'!$A$2:$C$33,3,FALSE)</f>
        <v>638.57832580000002</v>
      </c>
      <c r="AO1599" s="1">
        <f>VLOOKUP($C1599,'Substrate Heating'!$A$2:$B$33,2,FALSE)</f>
        <v>19.93</v>
      </c>
      <c r="AP1599" s="1">
        <f>VLOOKUP($C1599,'Substrate Heating'!$A$2:$M$33,13,FALSE)</f>
        <v>6</v>
      </c>
      <c r="AQ1599" s="1">
        <f>VLOOKUP($C1599,'Substrate Heating'!$A$2:$M$33,8,FALSE)</f>
        <v>1</v>
      </c>
      <c r="AR1599" s="1">
        <f t="shared" si="24"/>
        <v>0.38136986301369835</v>
      </c>
    </row>
    <row r="1600" spans="1:44" x14ac:dyDescent="0.2">
      <c r="A1600" s="8" t="s">
        <v>792</v>
      </c>
      <c r="B1600" s="18" t="s">
        <v>324</v>
      </c>
      <c r="C1600" t="s">
        <v>369</v>
      </c>
      <c r="D1600" s="23" t="s">
        <v>338</v>
      </c>
      <c r="E1600" t="s">
        <v>66</v>
      </c>
      <c r="F1600" t="s">
        <v>67</v>
      </c>
      <c r="G1600">
        <v>-10</v>
      </c>
      <c r="H1600">
        <v>0</v>
      </c>
      <c r="I1600">
        <v>0</v>
      </c>
      <c r="J1600">
        <v>0.45</v>
      </c>
      <c r="K1600">
        <v>-10</v>
      </c>
      <c r="L1600">
        <v>0</v>
      </c>
      <c r="M1600" s="28" t="s">
        <v>403</v>
      </c>
      <c r="N1600">
        <v>0</v>
      </c>
      <c r="O1600" s="28" t="s">
        <v>404</v>
      </c>
      <c r="P1600"/>
      <c r="Q1600">
        <v>8.0512820512820493E-2</v>
      </c>
      <c r="R1600" s="28" t="s">
        <v>405</v>
      </c>
      <c r="S1600" s="1" t="str">
        <f>VLOOKUP($E1600,'Product Naming'!$A$1:$P$58,2,FALSE)</f>
        <v>1-4-butanediol</v>
      </c>
      <c r="T1600" s="1" t="str">
        <f>VLOOKUP($E1600,'Product Naming'!$A$1:$P$58,3,FALSE)</f>
        <v>1,4-Butanediol</v>
      </c>
      <c r="U1600" s="1" t="str">
        <f>VLOOKUP($E1600,'Product Naming'!$A$1:$P$58,4,FALSE)</f>
        <v>E</v>
      </c>
      <c r="V1600" s="1" t="str">
        <f>VLOOKUP($E1600,'Product Naming'!$A$1:$P$58,5,FALSE)</f>
        <v>C4H10O2</v>
      </c>
      <c r="W1600" s="1">
        <f>VLOOKUP($E1600,'Product Naming'!$A$1:$P$58,6,FALSE)</f>
        <v>4</v>
      </c>
      <c r="X1600" s="1">
        <f>VLOOKUP($E1600,'Product Naming'!$A$1:$P$58,7,FALSE)</f>
        <v>10</v>
      </c>
      <c r="Y1600" s="1">
        <f>VLOOKUP($E1600,'Product Naming'!$A$1:$P$58,8,FALSE)</f>
        <v>2</v>
      </c>
      <c r="Z1600" s="1">
        <f>VLOOKUP($E1600,'Product Naming'!$A$1:$P$58,9,FALSE)</f>
        <v>0</v>
      </c>
      <c r="AA1600" s="1">
        <f>VLOOKUP($E1600,'Product Naming'!$A$1:$P$58,10,FALSE)</f>
        <v>0</v>
      </c>
      <c r="AB1600" s="29">
        <f>VLOOKUP($E1600,'Product Naming'!$A$1:$P$58,11,FALSE)</f>
        <v>5.5</v>
      </c>
      <c r="AC1600" s="3">
        <f>VLOOKUP($E1600,'Product Naming'!$A$1:$P$58,12,FALSE)</f>
        <v>90.119200000000006</v>
      </c>
      <c r="AD1600" s="1">
        <f>VLOOKUP($E1600,'Product Naming'!$A$1:$P$58,13,FALSE)</f>
        <v>230</v>
      </c>
      <c r="AE1600" s="1" t="str">
        <f>VLOOKUP($E1600,'Product Naming'!$A$1:$P$58,14,FALSE)</f>
        <v>Diol</v>
      </c>
      <c r="AF1600" s="1" t="str">
        <f>VLOOKUP($E1600,'Product Naming'!$A$1:$P$58,15,FALSE)</f>
        <v>aKG</v>
      </c>
      <c r="AG1600" s="30" t="str">
        <f>VLOOKUP($E1600,'Product Naming'!$A$1:$P$58,16,FALSE)</f>
        <v>Proton symporter</v>
      </c>
      <c r="AH1600" s="3" t="str">
        <f>VLOOKUP($E1600,'Product Naming'!$A$1:$Q$58,17,FALSE)</f>
        <v>14bdo_c</v>
      </c>
      <c r="AI1600" s="1">
        <f>VLOOKUP($E1600,'Product Parameters'!$A$2:$D$59,2,FALSE)</f>
        <v>1</v>
      </c>
      <c r="AJ1600" s="1">
        <f>VLOOKUP($E1600,'Product Parameters'!$A$2:$D$59,3,FALSE)</f>
        <v>0</v>
      </c>
      <c r="AK1600" s="1">
        <f>VLOOKUP($E1600,'Product Parameters'!$A$2:$D$59,4,FALSE)</f>
        <v>0.12</v>
      </c>
      <c r="AL1600" s="1">
        <f>VLOOKUP($E1600,'Product Parameters'!$A$2:$E$59,5,FALSE)</f>
        <v>78</v>
      </c>
      <c r="AM1600" s="1">
        <f>VLOOKUP($E1600,'Product Parameters'!$A$2:$F$59,6,FALSE)</f>
        <v>4</v>
      </c>
      <c r="AN1600" s="1">
        <f>VLOOKUP($C1600,'Substrate Heating'!$A$2:$C$33,3,FALSE)</f>
        <v>638.57832580000002</v>
      </c>
      <c r="AO1600" s="1">
        <f>VLOOKUP($C1600,'Substrate Heating'!$A$2:$B$33,2,FALSE)</f>
        <v>19.93</v>
      </c>
      <c r="AP1600" s="1">
        <f>VLOOKUP($C1600,'Substrate Heating'!$A$2:$M$33,13,FALSE)</f>
        <v>6</v>
      </c>
      <c r="AQ1600" s="1">
        <f>VLOOKUP($C1600,'Substrate Heating'!$A$2:$M$33,8,FALSE)</f>
        <v>1</v>
      </c>
      <c r="AR1600" s="1">
        <f t="shared" si="24"/>
        <v>0.32205128205128197</v>
      </c>
    </row>
    <row r="1601" spans="1:44" x14ac:dyDescent="0.2">
      <c r="A1601" s="8" t="s">
        <v>792</v>
      </c>
      <c r="B1601" s="18" t="s">
        <v>324</v>
      </c>
      <c r="C1601" t="s">
        <v>372</v>
      </c>
      <c r="D1601" s="23" t="s">
        <v>338</v>
      </c>
      <c r="E1601" t="s">
        <v>124</v>
      </c>
      <c r="F1601" t="s">
        <v>125</v>
      </c>
      <c r="G1601">
        <v>-10</v>
      </c>
      <c r="H1601">
        <v>0</v>
      </c>
      <c r="I1601">
        <v>0</v>
      </c>
      <c r="J1601">
        <v>0.45</v>
      </c>
      <c r="K1601">
        <v>-10</v>
      </c>
      <c r="L1601">
        <v>0</v>
      </c>
      <c r="M1601" s="28" t="s">
        <v>463</v>
      </c>
      <c r="N1601">
        <v>0</v>
      </c>
      <c r="O1601" s="28" t="s">
        <v>464</v>
      </c>
      <c r="P1601"/>
      <c r="Q1601" s="28" t="s">
        <v>465</v>
      </c>
      <c r="R1601" s="28" t="s">
        <v>466</v>
      </c>
      <c r="S1601" s="1" t="str">
        <f>VLOOKUP($E1601,'Product Naming'!$A$1:$P$58,2,FALSE)</f>
        <v>Acrylate-PW1</v>
      </c>
      <c r="T1601" s="1" t="str">
        <f>VLOOKUP($E1601,'Product Naming'!$A$1:$P$58,3,FALSE)</f>
        <v>Acrylate (PW1)</v>
      </c>
      <c r="U1601" s="1" t="str">
        <f>VLOOKUP($E1601,'Product Naming'!$A$1:$P$58,4,FALSE)</f>
        <v>A</v>
      </c>
      <c r="V1601" s="1" t="str">
        <f>VLOOKUP($E1601,'Product Naming'!$A$1:$P$58,5,FALSE)</f>
        <v>C3H3O2</v>
      </c>
      <c r="W1601" s="1">
        <f>VLOOKUP($E1601,'Product Naming'!$A$1:$P$58,6,FALSE)</f>
        <v>3</v>
      </c>
      <c r="X1601" s="1">
        <f>VLOOKUP($E1601,'Product Naming'!$A$1:$P$58,7,FALSE)</f>
        <v>3</v>
      </c>
      <c r="Y1601" s="1">
        <f>VLOOKUP($E1601,'Product Naming'!$A$1:$P$58,8,FALSE)</f>
        <v>2</v>
      </c>
      <c r="Z1601" s="1">
        <f>VLOOKUP($E1601,'Product Naming'!$A$1:$P$58,9,FALSE)</f>
        <v>0</v>
      </c>
      <c r="AA1601" s="1">
        <f>VLOOKUP($E1601,'Product Naming'!$A$1:$P$58,10,FALSE)</f>
        <v>-1</v>
      </c>
      <c r="AB1601" s="29">
        <f>VLOOKUP($E1601,'Product Naming'!$A$1:$P$58,11,FALSE)</f>
        <v>3.6666666666666665</v>
      </c>
      <c r="AC1601" s="3">
        <f>VLOOKUP($E1601,'Product Naming'!$A$1:$P$58,12,FALSE)</f>
        <v>71.053619999999995</v>
      </c>
      <c r="AD1601" s="1">
        <f>VLOOKUP($E1601,'Product Naming'!$A$1:$P$58,13,FALSE)</f>
        <v>80</v>
      </c>
      <c r="AE1601" s="1" t="str">
        <f>VLOOKUP($E1601,'Product Naming'!$A$1:$P$58,14,FALSE)</f>
        <v>Carboxylate</v>
      </c>
      <c r="AF1601" s="1" t="str">
        <f>VLOOKUP($E1601,'Product Naming'!$A$1:$P$58,15,FALSE)</f>
        <v>Glyceraldehyde 3-P</v>
      </c>
      <c r="AG1601" s="30" t="str">
        <f>VLOOKUP($E1601,'Product Naming'!$A$1:$P$58,16,FALSE)</f>
        <v>Proton symporter</v>
      </c>
      <c r="AH1601" s="3" t="str">
        <f>VLOOKUP($E1601,'Product Naming'!$A$1:$Q$58,17,FALSE)</f>
        <v>acryl_c</v>
      </c>
      <c r="AI1601" s="1">
        <f>VLOOKUP($E1601,'Product Parameters'!$A$2:$D$59,2,FALSE)</f>
        <v>1</v>
      </c>
      <c r="AJ1601" s="1">
        <f>VLOOKUP($E1601,'Product Parameters'!$A$2:$D$59,3,FALSE)</f>
        <v>0</v>
      </c>
      <c r="AK1601" s="1">
        <f>VLOOKUP($E1601,'Product Parameters'!$A$2:$D$59,4,FALSE)</f>
        <v>0.12</v>
      </c>
      <c r="AL1601" s="1">
        <f>VLOOKUP($E1601,'Product Parameters'!$A$2:$E$59,5,FALSE)</f>
        <v>53.1</v>
      </c>
      <c r="AM1601" s="1">
        <f>VLOOKUP($E1601,'Product Parameters'!$A$2:$F$59,6,FALSE)</f>
        <v>3</v>
      </c>
      <c r="AN1601" s="1">
        <f>VLOOKUP($C1601,'Substrate Heating'!$A$2:$C$33,3,FALSE)</f>
        <v>638.57832580000002</v>
      </c>
      <c r="AO1601" s="1">
        <f>VLOOKUP($C1601,'Substrate Heating'!$A$2:$B$33,2,FALSE)</f>
        <v>19.93</v>
      </c>
      <c r="AP1601" s="1">
        <f>VLOOKUP($C1601,'Substrate Heating'!$A$2:$M$33,13,FALSE)</f>
        <v>6</v>
      </c>
      <c r="AQ1601" s="1">
        <f>VLOOKUP($C1601,'Substrate Heating'!$A$2:$M$33,8,FALSE)</f>
        <v>1</v>
      </c>
      <c r="AR1601" s="1">
        <f t="shared" si="24"/>
        <v>0.30260869565216703</v>
      </c>
    </row>
    <row r="1602" spans="1:44" x14ac:dyDescent="0.2">
      <c r="A1602" s="8" t="s">
        <v>792</v>
      </c>
      <c r="B1602" s="18" t="s">
        <v>324</v>
      </c>
      <c r="C1602" t="s">
        <v>371</v>
      </c>
      <c r="D1602" s="23" t="s">
        <v>338</v>
      </c>
      <c r="E1602" t="s">
        <v>158</v>
      </c>
      <c r="F1602" t="s">
        <v>159</v>
      </c>
      <c r="G1602">
        <v>-10</v>
      </c>
      <c r="H1602">
        <v>0</v>
      </c>
      <c r="I1602">
        <v>0</v>
      </c>
      <c r="J1602">
        <v>0.45</v>
      </c>
      <c r="K1602">
        <v>-10</v>
      </c>
      <c r="L1602">
        <v>0</v>
      </c>
      <c r="M1602">
        <v>0</v>
      </c>
      <c r="N1602">
        <v>0</v>
      </c>
      <c r="O1602" s="28" t="s">
        <v>509</v>
      </c>
      <c r="P1602"/>
      <c r="Q1602" s="28" t="s">
        <v>510</v>
      </c>
      <c r="R1602" s="28" t="s">
        <v>511</v>
      </c>
      <c r="S1602" s="1" t="str">
        <f>VLOOKUP($E1602,'Product Naming'!$A$1:$P$58,2,FALSE)</f>
        <v>Butane</v>
      </c>
      <c r="T1602" s="1" t="str">
        <f>VLOOKUP($E1602,'Product Naming'!$A$1:$P$58,3,FALSE)</f>
        <v>Butane</v>
      </c>
      <c r="U1602" s="1" t="str">
        <f>VLOOKUP($E1602,'Product Naming'!$A$1:$P$58,4,FALSE)</f>
        <v>E</v>
      </c>
      <c r="V1602" s="1" t="str">
        <f>VLOOKUP($E1602,'Product Naming'!$A$1:$P$58,5,FALSE)</f>
        <v>C4H10</v>
      </c>
      <c r="W1602" s="1">
        <f>VLOOKUP($E1602,'Product Naming'!$A$1:$P$58,6,FALSE)</f>
        <v>4</v>
      </c>
      <c r="X1602" s="1">
        <f>VLOOKUP($E1602,'Product Naming'!$A$1:$P$58,7,FALSE)</f>
        <v>10</v>
      </c>
      <c r="Y1602" s="1">
        <f>VLOOKUP($E1602,'Product Naming'!$A$1:$P$58,8,FALSE)</f>
        <v>0</v>
      </c>
      <c r="Z1602" s="1">
        <f>VLOOKUP($E1602,'Product Naming'!$A$1:$P$58,9,FALSE)</f>
        <v>0</v>
      </c>
      <c r="AA1602" s="1">
        <f>VLOOKUP($E1602,'Product Naming'!$A$1:$P$58,10,FALSE)</f>
        <v>0</v>
      </c>
      <c r="AB1602" s="29">
        <f>VLOOKUP($E1602,'Product Naming'!$A$1:$P$58,11,FALSE)</f>
        <v>6.5</v>
      </c>
      <c r="AC1602" s="3">
        <f>VLOOKUP($E1602,'Product Naming'!$A$1:$P$58,12,FALSE)</f>
        <v>58.121200000000002</v>
      </c>
      <c r="AD1602" s="1">
        <f>VLOOKUP($E1602,'Product Naming'!$A$1:$P$58,13,FALSE)</f>
        <v>-1</v>
      </c>
      <c r="AE1602" s="1" t="str">
        <f>VLOOKUP($E1602,'Product Naming'!$A$1:$P$58,14,FALSE)</f>
        <v>Hydrocarbon (alkane)</v>
      </c>
      <c r="AF1602" s="1" t="str">
        <f>VLOOKUP($E1602,'Product Naming'!$A$1:$P$58,15,FALSE)</f>
        <v>Acetyl-CoA + Succinyl-CoA</v>
      </c>
      <c r="AG1602" s="30" t="str">
        <f>VLOOKUP($E1602,'Product Naming'!$A$1:$P$58,16,FALSE)</f>
        <v>Diffusion</v>
      </c>
      <c r="AH1602" s="3" t="str">
        <f>VLOOKUP($E1602,'Product Naming'!$A$1:$Q$58,17,FALSE)</f>
        <v>butn_c</v>
      </c>
      <c r="AI1602" s="1">
        <f>VLOOKUP($E1602,'Product Parameters'!$A$2:$D$59,2,FALSE)</f>
        <v>0</v>
      </c>
      <c r="AJ1602" s="1">
        <f>VLOOKUP($E1602,'Product Parameters'!$A$2:$D$59,3,FALSE)</f>
        <v>1</v>
      </c>
      <c r="AK1602" s="1">
        <f>VLOOKUP($E1602,'Product Parameters'!$A$2:$D$59,4,FALSE)</f>
        <v>0.12</v>
      </c>
      <c r="AL1602" s="1">
        <f>VLOOKUP($E1602,'Product Parameters'!$A$2:$E$59,5,FALSE)</f>
        <v>0</v>
      </c>
      <c r="AM1602" s="1">
        <f>VLOOKUP($E1602,'Product Parameters'!$A$2:$F$59,6,FALSE)</f>
        <v>4</v>
      </c>
      <c r="AN1602" s="1">
        <f>VLOOKUP($C1602,'Substrate Heating'!$A$2:$C$33,3,FALSE)</f>
        <v>638.57832580000002</v>
      </c>
      <c r="AO1602" s="1">
        <f>VLOOKUP($C1602,'Substrate Heating'!$A$2:$B$33,2,FALSE)</f>
        <v>19.93</v>
      </c>
      <c r="AP1602" s="1">
        <f>VLOOKUP($C1602,'Substrate Heating'!$A$2:$M$33,13,FALSE)</f>
        <v>6</v>
      </c>
      <c r="AQ1602" s="1">
        <f>VLOOKUP($C1602,'Substrate Heating'!$A$2:$M$33,8,FALSE)</f>
        <v>1</v>
      </c>
      <c r="AR1602" s="1">
        <f t="shared" si="24"/>
        <v>0.51976047904191602</v>
      </c>
    </row>
    <row r="1603" spans="1:44" x14ac:dyDescent="0.2">
      <c r="A1603" s="8" t="s">
        <v>792</v>
      </c>
      <c r="B1603" s="18" t="s">
        <v>324</v>
      </c>
      <c r="C1603" t="s">
        <v>372</v>
      </c>
      <c r="D1603" s="23" t="s">
        <v>338</v>
      </c>
      <c r="E1603" t="s">
        <v>158</v>
      </c>
      <c r="F1603" t="s">
        <v>159</v>
      </c>
      <c r="G1603">
        <v>-10</v>
      </c>
      <c r="H1603">
        <v>0</v>
      </c>
      <c r="I1603">
        <v>0</v>
      </c>
      <c r="J1603">
        <v>0.45</v>
      </c>
      <c r="K1603">
        <v>-10</v>
      </c>
      <c r="L1603">
        <v>0</v>
      </c>
      <c r="M1603">
        <v>0</v>
      </c>
      <c r="N1603">
        <v>0</v>
      </c>
      <c r="O1603" s="28" t="s">
        <v>512</v>
      </c>
      <c r="P1603"/>
      <c r="Q1603" s="28" t="s">
        <v>513</v>
      </c>
      <c r="R1603" s="28" t="s">
        <v>514</v>
      </c>
      <c r="S1603" s="1" t="str">
        <f>VLOOKUP($E1603,'Product Naming'!$A$1:$P$58,2,FALSE)</f>
        <v>Butane</v>
      </c>
      <c r="T1603" s="1" t="str">
        <f>VLOOKUP($E1603,'Product Naming'!$A$1:$P$58,3,FALSE)</f>
        <v>Butane</v>
      </c>
      <c r="U1603" s="1" t="str">
        <f>VLOOKUP($E1603,'Product Naming'!$A$1:$P$58,4,FALSE)</f>
        <v>E</v>
      </c>
      <c r="V1603" s="1" t="str">
        <f>VLOOKUP($E1603,'Product Naming'!$A$1:$P$58,5,FALSE)</f>
        <v>C4H10</v>
      </c>
      <c r="W1603" s="1">
        <f>VLOOKUP($E1603,'Product Naming'!$A$1:$P$58,6,FALSE)</f>
        <v>4</v>
      </c>
      <c r="X1603" s="1">
        <f>VLOOKUP($E1603,'Product Naming'!$A$1:$P$58,7,FALSE)</f>
        <v>10</v>
      </c>
      <c r="Y1603" s="1">
        <f>VLOOKUP($E1603,'Product Naming'!$A$1:$P$58,8,FALSE)</f>
        <v>0</v>
      </c>
      <c r="Z1603" s="1">
        <f>VLOOKUP($E1603,'Product Naming'!$A$1:$P$58,9,FALSE)</f>
        <v>0</v>
      </c>
      <c r="AA1603" s="1">
        <f>VLOOKUP($E1603,'Product Naming'!$A$1:$P$58,10,FALSE)</f>
        <v>0</v>
      </c>
      <c r="AB1603" s="29">
        <f>VLOOKUP($E1603,'Product Naming'!$A$1:$P$58,11,FALSE)</f>
        <v>6.5</v>
      </c>
      <c r="AC1603" s="3">
        <f>VLOOKUP($E1603,'Product Naming'!$A$1:$P$58,12,FALSE)</f>
        <v>58.121200000000002</v>
      </c>
      <c r="AD1603" s="1">
        <f>VLOOKUP($E1603,'Product Naming'!$A$1:$P$58,13,FALSE)</f>
        <v>-1</v>
      </c>
      <c r="AE1603" s="1" t="str">
        <f>VLOOKUP($E1603,'Product Naming'!$A$1:$P$58,14,FALSE)</f>
        <v>Hydrocarbon (alkane)</v>
      </c>
      <c r="AF1603" s="1" t="str">
        <f>VLOOKUP($E1603,'Product Naming'!$A$1:$P$58,15,FALSE)</f>
        <v>Acetyl-CoA + Succinyl-CoA</v>
      </c>
      <c r="AG1603" s="30" t="str">
        <f>VLOOKUP($E1603,'Product Naming'!$A$1:$P$58,16,FALSE)</f>
        <v>Diffusion</v>
      </c>
      <c r="AH1603" s="3" t="str">
        <f>VLOOKUP($E1603,'Product Naming'!$A$1:$Q$58,17,FALSE)</f>
        <v>butn_c</v>
      </c>
      <c r="AI1603" s="1">
        <f>VLOOKUP($E1603,'Product Parameters'!$A$2:$D$59,2,FALSE)</f>
        <v>0</v>
      </c>
      <c r="AJ1603" s="1">
        <f>VLOOKUP($E1603,'Product Parameters'!$A$2:$D$59,3,FALSE)</f>
        <v>1</v>
      </c>
      <c r="AK1603" s="1">
        <f>VLOOKUP($E1603,'Product Parameters'!$A$2:$D$59,4,FALSE)</f>
        <v>0.12</v>
      </c>
      <c r="AL1603" s="1">
        <f>VLOOKUP($E1603,'Product Parameters'!$A$2:$E$59,5,FALSE)</f>
        <v>0</v>
      </c>
      <c r="AM1603" s="1">
        <f>VLOOKUP($E1603,'Product Parameters'!$A$2:$F$59,6,FALSE)</f>
        <v>4</v>
      </c>
      <c r="AN1603" s="1">
        <f>VLOOKUP($C1603,'Substrate Heating'!$A$2:$C$33,3,FALSE)</f>
        <v>638.57832580000002</v>
      </c>
      <c r="AO1603" s="1">
        <f>VLOOKUP($C1603,'Substrate Heating'!$A$2:$B$33,2,FALSE)</f>
        <v>19.93</v>
      </c>
      <c r="AP1603" s="1">
        <f>VLOOKUP($C1603,'Substrate Heating'!$A$2:$M$33,13,FALSE)</f>
        <v>6</v>
      </c>
      <c r="AQ1603" s="1">
        <f>VLOOKUP($C1603,'Substrate Heating'!$A$2:$M$33,8,FALSE)</f>
        <v>1</v>
      </c>
      <c r="AR1603" s="1">
        <f t="shared" ref="AR1603:AR1666" si="25">Q1603*W1603/AQ1603</f>
        <v>0.54588235294117604</v>
      </c>
    </row>
    <row r="1604" spans="1:44" x14ac:dyDescent="0.2">
      <c r="A1604" s="8" t="s">
        <v>792</v>
      </c>
      <c r="B1604" s="18" t="s">
        <v>324</v>
      </c>
      <c r="C1604" t="s">
        <v>371</v>
      </c>
      <c r="D1604" s="23" t="s">
        <v>338</v>
      </c>
      <c r="E1604" t="s">
        <v>209</v>
      </c>
      <c r="F1604" t="s">
        <v>210</v>
      </c>
      <c r="G1604">
        <v>-10</v>
      </c>
      <c r="H1604">
        <v>0</v>
      </c>
      <c r="I1604">
        <v>0</v>
      </c>
      <c r="J1604">
        <v>0.45</v>
      </c>
      <c r="K1604">
        <v>-10</v>
      </c>
      <c r="L1604">
        <v>0</v>
      </c>
      <c r="M1604" s="28" t="s">
        <v>564</v>
      </c>
      <c r="N1604">
        <v>0</v>
      </c>
      <c r="O1604" s="28" t="s">
        <v>565</v>
      </c>
      <c r="P1604"/>
      <c r="Q1604">
        <v>9.6444444444444402E-2</v>
      </c>
      <c r="R1604" s="28" t="s">
        <v>566</v>
      </c>
      <c r="S1604" s="1" t="str">
        <f>VLOOKUP($E1604,'Product Naming'!$A$1:$P$58,2,FALSE)</f>
        <v>GammaButyrolactone</v>
      </c>
      <c r="T1604" s="1" t="str">
        <f>VLOOKUP($E1604,'Product Naming'!$A$1:$P$58,3,FALSE)</f>
        <v>Gamma butyrolactone</v>
      </c>
      <c r="U1604" s="1" t="str">
        <f>VLOOKUP($E1604,'Product Naming'!$A$1:$P$58,4,FALSE)</f>
        <v>A</v>
      </c>
      <c r="V1604" s="1" t="str">
        <f>VLOOKUP($E1604,'Product Naming'!$A$1:$P$58,5,FALSE)</f>
        <v>C4H6O2</v>
      </c>
      <c r="W1604" s="1">
        <f>VLOOKUP($E1604,'Product Naming'!$A$1:$P$58,6,FALSE)</f>
        <v>4</v>
      </c>
      <c r="X1604" s="1">
        <f>VLOOKUP($E1604,'Product Naming'!$A$1:$P$58,7,FALSE)</f>
        <v>6</v>
      </c>
      <c r="Y1604" s="1">
        <f>VLOOKUP($E1604,'Product Naming'!$A$1:$P$58,8,FALSE)</f>
        <v>2</v>
      </c>
      <c r="Z1604" s="1">
        <f>VLOOKUP($E1604,'Product Naming'!$A$1:$P$58,9,FALSE)</f>
        <v>0</v>
      </c>
      <c r="AA1604" s="1">
        <f>VLOOKUP($E1604,'Product Naming'!$A$1:$P$58,10,FALSE)</f>
        <v>0</v>
      </c>
      <c r="AB1604" s="29">
        <f>VLOOKUP($E1604,'Product Naming'!$A$1:$P$58,11,FALSE)</f>
        <v>4.5</v>
      </c>
      <c r="AC1604" s="3">
        <f>VLOOKUP($E1604,'Product Naming'!$A$1:$P$58,12,FALSE)</f>
        <v>86.08784</v>
      </c>
      <c r="AD1604" s="1">
        <f>VLOOKUP($E1604,'Product Naming'!$A$1:$P$58,13,FALSE)</f>
        <v>204</v>
      </c>
      <c r="AE1604" s="1" t="str">
        <f>VLOOKUP($E1604,'Product Naming'!$A$1:$P$58,14,FALSE)</f>
        <v>Lactone (cyclic ester)</v>
      </c>
      <c r="AF1604" s="1" t="str">
        <f>VLOOKUP($E1604,'Product Naming'!$A$1:$P$58,15,FALSE)</f>
        <v>aKG</v>
      </c>
      <c r="AG1604" s="30" t="str">
        <f>VLOOKUP($E1604,'Product Naming'!$A$1:$P$58,16,FALSE)</f>
        <v>Proton symporter</v>
      </c>
      <c r="AH1604" s="3" t="str">
        <f>VLOOKUP($E1604,'Product Naming'!$A$1:$Q$58,17,FALSE)</f>
        <v>gblt_c</v>
      </c>
      <c r="AI1604" s="1">
        <f>VLOOKUP($E1604,'Product Parameters'!$A$2:$D$59,2,FALSE)</f>
        <v>1</v>
      </c>
      <c r="AJ1604" s="1">
        <f>VLOOKUP($E1604,'Product Parameters'!$A$2:$D$59,3,FALSE)</f>
        <v>0</v>
      </c>
      <c r="AK1604" s="1">
        <f>VLOOKUP($E1604,'Product Parameters'!$A$2:$D$59,4,FALSE)</f>
        <v>0.12</v>
      </c>
      <c r="AL1604" s="1">
        <f>VLOOKUP($E1604,'Product Parameters'!$A$2:$E$59,5,FALSE)</f>
        <v>0</v>
      </c>
      <c r="AM1604" s="1">
        <f>VLOOKUP($E1604,'Product Parameters'!$A$2:$F$59,6,FALSE)</f>
        <v>4</v>
      </c>
      <c r="AN1604" s="1">
        <f>VLOOKUP($C1604,'Substrate Heating'!$A$2:$C$33,3,FALSE)</f>
        <v>638.57832580000002</v>
      </c>
      <c r="AO1604" s="1">
        <f>VLOOKUP($C1604,'Substrate Heating'!$A$2:$B$33,2,FALSE)</f>
        <v>19.93</v>
      </c>
      <c r="AP1604" s="1">
        <f>VLOOKUP($C1604,'Substrate Heating'!$A$2:$M$33,13,FALSE)</f>
        <v>6</v>
      </c>
      <c r="AQ1604" s="1">
        <f>VLOOKUP($C1604,'Substrate Heating'!$A$2:$M$33,8,FALSE)</f>
        <v>1</v>
      </c>
      <c r="AR1604" s="1">
        <f t="shared" si="25"/>
        <v>0.38577777777777761</v>
      </c>
    </row>
    <row r="1605" spans="1:44" x14ac:dyDescent="0.2">
      <c r="A1605" s="8" t="s">
        <v>792</v>
      </c>
      <c r="B1605" s="18" t="s">
        <v>324</v>
      </c>
      <c r="C1605" t="s">
        <v>369</v>
      </c>
      <c r="D1605" s="23" t="s">
        <v>338</v>
      </c>
      <c r="E1605" t="s">
        <v>52</v>
      </c>
      <c r="F1605" t="s">
        <v>53</v>
      </c>
      <c r="G1605">
        <v>-10</v>
      </c>
      <c r="H1605">
        <v>0</v>
      </c>
      <c r="I1605">
        <v>0</v>
      </c>
      <c r="J1605">
        <v>0.45</v>
      </c>
      <c r="K1605">
        <v>-10</v>
      </c>
      <c r="L1605">
        <v>0</v>
      </c>
      <c r="M1605" s="28" t="s">
        <v>376</v>
      </c>
      <c r="N1605">
        <v>0</v>
      </c>
      <c r="O1605" s="28" t="s">
        <v>376</v>
      </c>
      <c r="P1605"/>
      <c r="Q1605" s="28" t="s">
        <v>377</v>
      </c>
      <c r="R1605" s="28" t="s">
        <v>378</v>
      </c>
      <c r="S1605" s="1" t="str">
        <f>VLOOKUP($E1605,'Product Naming'!$A$1:$P$58,2,FALSE)</f>
        <v>1-3-Diaminopropane</v>
      </c>
      <c r="T1605" s="1" t="str">
        <f>VLOOKUP($E1605,'Product Naming'!$A$1:$P$58,3,FALSE)</f>
        <v>1,3-Diaminopropane</v>
      </c>
      <c r="U1605" s="1" t="str">
        <f>VLOOKUP($E1605,'Product Naming'!$A$1:$P$58,4,FALSE)</f>
        <v>A</v>
      </c>
      <c r="V1605" s="1" t="str">
        <f>VLOOKUP($E1605,'Product Naming'!$A$1:$P$58,5,FALSE)</f>
        <v>C3H12N2</v>
      </c>
      <c r="W1605" s="1">
        <f>VLOOKUP($E1605,'Product Naming'!$A$1:$P$58,6,FALSE)</f>
        <v>3</v>
      </c>
      <c r="X1605" s="1">
        <f>VLOOKUP($E1605,'Product Naming'!$A$1:$P$58,7,FALSE)</f>
        <v>12</v>
      </c>
      <c r="Y1605" s="1">
        <f>VLOOKUP($E1605,'Product Naming'!$A$1:$P$58,8,FALSE)</f>
        <v>0</v>
      </c>
      <c r="Z1605" s="1">
        <f>VLOOKUP($E1605,'Product Naming'!$A$1:$P$58,9,FALSE)</f>
        <v>2</v>
      </c>
      <c r="AA1605" s="1">
        <f>VLOOKUP($E1605,'Product Naming'!$A$1:$P$58,10,FALSE)</f>
        <v>2</v>
      </c>
      <c r="AB1605" s="29">
        <f>VLOOKUP($E1605,'Product Naming'!$A$1:$P$58,11,FALSE)</f>
        <v>6</v>
      </c>
      <c r="AC1605" s="3">
        <f>VLOOKUP($E1605,'Product Naming'!$A$1:$P$58,12,FALSE)</f>
        <v>76.139580000000009</v>
      </c>
      <c r="AD1605" s="1">
        <f>VLOOKUP($E1605,'Product Naming'!$A$1:$P$58,13,FALSE)</f>
        <v>139.30000000000001</v>
      </c>
      <c r="AE1605" s="1" t="str">
        <f>VLOOKUP($E1605,'Product Naming'!$A$1:$P$58,14,FALSE)</f>
        <v>Diamine</v>
      </c>
      <c r="AF1605" s="1" t="str">
        <f>VLOOKUP($E1605,'Product Naming'!$A$1:$P$58,15,FALSE)</f>
        <v>Oxaloacetate + aKG</v>
      </c>
      <c r="AG1605" s="30" t="str">
        <f>VLOOKUP($E1605,'Product Naming'!$A$1:$P$58,16,FALSE)</f>
        <v>Proton symporter</v>
      </c>
      <c r="AH1605" s="3" t="str">
        <f>VLOOKUP($E1605,'Product Naming'!$A$1:$Q$58,17,FALSE)</f>
        <v>13dampp_c</v>
      </c>
      <c r="AI1605" s="1">
        <f>VLOOKUP($E1605,'Product Parameters'!$A$2:$D$59,2,FALSE)</f>
        <v>1</v>
      </c>
      <c r="AJ1605" s="1">
        <f>VLOOKUP($E1605,'Product Parameters'!$A$2:$D$59,3,FALSE)</f>
        <v>0</v>
      </c>
      <c r="AK1605" s="1">
        <f>VLOOKUP($E1605,'Product Parameters'!$A$2:$D$59,4,FALSE)</f>
        <v>0.12</v>
      </c>
      <c r="AL1605" s="1">
        <f>VLOOKUP($E1605,'Product Parameters'!$A$2:$E$59,5,FALSE)</f>
        <v>50.18</v>
      </c>
      <c r="AM1605" s="1">
        <f>VLOOKUP($E1605,'Product Parameters'!$A$2:$F$59,6,FALSE)</f>
        <v>3</v>
      </c>
      <c r="AN1605" s="1">
        <f>VLOOKUP($C1605,'Substrate Heating'!$A$2:$C$33,3,FALSE)</f>
        <v>638.57832580000002</v>
      </c>
      <c r="AO1605" s="1">
        <f>VLOOKUP($C1605,'Substrate Heating'!$A$2:$B$33,2,FALSE)</f>
        <v>19.93</v>
      </c>
      <c r="AP1605" s="1">
        <f>VLOOKUP($C1605,'Substrate Heating'!$A$2:$M$33,13,FALSE)</f>
        <v>6</v>
      </c>
      <c r="AQ1605" s="1">
        <f>VLOOKUP($C1605,'Substrate Heating'!$A$2:$M$33,8,FALSE)</f>
        <v>1</v>
      </c>
      <c r="AR1605" s="1">
        <f t="shared" si="25"/>
        <v>0.34254545454545399</v>
      </c>
    </row>
    <row r="1606" spans="1:44" x14ac:dyDescent="0.2">
      <c r="A1606" s="8" t="s">
        <v>792</v>
      </c>
      <c r="B1606" s="18" t="s">
        <v>324</v>
      </c>
      <c r="C1606" t="s">
        <v>369</v>
      </c>
      <c r="D1606" s="23" t="s">
        <v>338</v>
      </c>
      <c r="E1606" t="s">
        <v>291</v>
      </c>
      <c r="F1606" t="s">
        <v>292</v>
      </c>
      <c r="G1606">
        <v>-10</v>
      </c>
      <c r="H1606">
        <v>0</v>
      </c>
      <c r="I1606">
        <v>0</v>
      </c>
      <c r="J1606">
        <v>0.45</v>
      </c>
      <c r="K1606">
        <v>-10</v>
      </c>
      <c r="L1606">
        <v>0</v>
      </c>
      <c r="M1606">
        <v>0</v>
      </c>
      <c r="N1606">
        <v>0</v>
      </c>
      <c r="O1606" s="28" t="s">
        <v>676</v>
      </c>
      <c r="P1606"/>
      <c r="Q1606">
        <v>9.9682539682539498E-2</v>
      </c>
      <c r="R1606" s="28" t="s">
        <v>677</v>
      </c>
      <c r="S1606" s="1" t="str">
        <f>VLOOKUP($E1606,'Product Naming'!$A$1:$P$58,2,FALSE)</f>
        <v>Pentanol-PW1</v>
      </c>
      <c r="T1606" s="1" t="str">
        <f>VLOOKUP($E1606,'Product Naming'!$A$1:$P$58,3,FALSE)</f>
        <v>Pentanol (PW1)</v>
      </c>
      <c r="U1606" s="1" t="str">
        <f>VLOOKUP($E1606,'Product Naming'!$A$1:$P$58,4,FALSE)</f>
        <v>E</v>
      </c>
      <c r="V1606" s="1" t="str">
        <f>VLOOKUP($E1606,'Product Naming'!$A$1:$P$58,5,FALSE)</f>
        <v>C5H12O</v>
      </c>
      <c r="W1606" s="1">
        <f>VLOOKUP($E1606,'Product Naming'!$A$1:$P$58,6,FALSE)</f>
        <v>5</v>
      </c>
      <c r="X1606" s="1">
        <f>VLOOKUP($E1606,'Product Naming'!$A$1:$P$58,7,FALSE)</f>
        <v>12</v>
      </c>
      <c r="Y1606" s="1">
        <f>VLOOKUP($E1606,'Product Naming'!$A$1:$P$58,8,FALSE)</f>
        <v>1</v>
      </c>
      <c r="Z1606" s="1">
        <f>VLOOKUP($E1606,'Product Naming'!$A$1:$P$58,9,FALSE)</f>
        <v>0</v>
      </c>
      <c r="AA1606" s="1">
        <f>VLOOKUP($E1606,'Product Naming'!$A$1:$P$58,10,FALSE)</f>
        <v>0</v>
      </c>
      <c r="AB1606" s="29">
        <f>VLOOKUP($E1606,'Product Naming'!$A$1:$P$58,11,FALSE)</f>
        <v>6</v>
      </c>
      <c r="AC1606" s="3">
        <f>VLOOKUP($E1606,'Product Naming'!$A$1:$P$58,12,FALSE)</f>
        <v>88.14658</v>
      </c>
      <c r="AD1606" s="1">
        <f>VLOOKUP($E1606,'Product Naming'!$A$1:$P$58,13,FALSE)</f>
        <v>138</v>
      </c>
      <c r="AE1606" s="1" t="str">
        <f>VLOOKUP($E1606,'Product Naming'!$A$1:$P$58,14,FALSE)</f>
        <v>Alcohol</v>
      </c>
      <c r="AF1606" s="1" t="str">
        <f>VLOOKUP($E1606,'Product Naming'!$A$1:$P$58,15,FALSE)</f>
        <v>Acetyl-CoA + Succinyl-CoA</v>
      </c>
      <c r="AG1606" s="30" t="str">
        <f>VLOOKUP($E1606,'Product Naming'!$A$1:$P$58,16,FALSE)</f>
        <v>Proton symporter</v>
      </c>
      <c r="AH1606" s="3" t="str">
        <f>VLOOKUP($E1606,'Product Naming'!$A$1:$Q$58,17,FALSE)</f>
        <v>pentoh_c</v>
      </c>
      <c r="AI1606" s="1">
        <f>VLOOKUP($E1606,'Product Parameters'!$A$2:$D$59,2,FALSE)</f>
        <v>1</v>
      </c>
      <c r="AJ1606" s="1">
        <f>VLOOKUP($E1606,'Product Parameters'!$A$2:$D$59,3,FALSE)</f>
        <v>0</v>
      </c>
      <c r="AK1606" s="1">
        <f>VLOOKUP($E1606,'Product Parameters'!$A$2:$D$59,4,FALSE)</f>
        <v>0.12</v>
      </c>
      <c r="AL1606" s="1">
        <f>VLOOKUP($E1606,'Product Parameters'!$A$2:$E$59,5,FALSE)</f>
        <v>57</v>
      </c>
      <c r="AM1606" s="1">
        <f>VLOOKUP($E1606,'Product Parameters'!$A$2:$F$59,6,FALSE)</f>
        <v>5</v>
      </c>
      <c r="AN1606" s="1">
        <f>VLOOKUP($C1606,'Substrate Heating'!$A$2:$C$33,3,FALSE)</f>
        <v>638.57832580000002</v>
      </c>
      <c r="AO1606" s="1">
        <f>VLOOKUP($C1606,'Substrate Heating'!$A$2:$B$33,2,FALSE)</f>
        <v>19.93</v>
      </c>
      <c r="AP1606" s="1">
        <f>VLOOKUP($C1606,'Substrate Heating'!$A$2:$M$33,13,FALSE)</f>
        <v>6</v>
      </c>
      <c r="AQ1606" s="1">
        <f>VLOOKUP($C1606,'Substrate Heating'!$A$2:$M$33,8,FALSE)</f>
        <v>1</v>
      </c>
      <c r="AR1606" s="1">
        <f t="shared" si="25"/>
        <v>0.49841269841269747</v>
      </c>
    </row>
    <row r="1607" spans="1:44" x14ac:dyDescent="0.2">
      <c r="A1607" s="8" t="s">
        <v>792</v>
      </c>
      <c r="B1607" s="18" t="s">
        <v>324</v>
      </c>
      <c r="C1607" t="s">
        <v>365</v>
      </c>
      <c r="D1607" s="23" t="s">
        <v>338</v>
      </c>
      <c r="E1607" t="s">
        <v>240</v>
      </c>
      <c r="F1607" t="s">
        <v>241</v>
      </c>
      <c r="G1607">
        <v>-10</v>
      </c>
      <c r="H1607">
        <v>0</v>
      </c>
      <c r="I1607">
        <v>0</v>
      </c>
      <c r="J1607">
        <v>0.45</v>
      </c>
      <c r="K1607">
        <v>-10</v>
      </c>
      <c r="L1607">
        <v>0</v>
      </c>
      <c r="M1607">
        <v>0</v>
      </c>
      <c r="N1607">
        <v>0</v>
      </c>
      <c r="O1607" s="28" t="s">
        <v>596</v>
      </c>
      <c r="P1607"/>
      <c r="Q1607" s="28" t="s">
        <v>597</v>
      </c>
      <c r="R1607" s="28" t="s">
        <v>598</v>
      </c>
      <c r="S1607" s="1" t="str">
        <f>VLOOKUP($E1607,'Product Naming'!$A$1:$P$58,2,FALSE)</f>
        <v>Isobutanol</v>
      </c>
      <c r="T1607" s="1" t="str">
        <f>VLOOKUP($E1607,'Product Naming'!$A$1:$P$58,3,FALSE)</f>
        <v>Isobutanol</v>
      </c>
      <c r="U1607" s="1" t="str">
        <f>VLOOKUP($E1607,'Product Naming'!$A$1:$P$58,4,FALSE)</f>
        <v>E</v>
      </c>
      <c r="V1607" s="1" t="str">
        <f>VLOOKUP($E1607,'Product Naming'!$A$1:$P$58,5,FALSE)</f>
        <v>C5H10O</v>
      </c>
      <c r="W1607" s="1">
        <f>VLOOKUP($E1607,'Product Naming'!$A$1:$P$58,6,FALSE)</f>
        <v>5</v>
      </c>
      <c r="X1607" s="1">
        <f>VLOOKUP($E1607,'Product Naming'!$A$1:$P$58,7,FALSE)</f>
        <v>10</v>
      </c>
      <c r="Y1607" s="1">
        <f>VLOOKUP($E1607,'Product Naming'!$A$1:$P$58,8,FALSE)</f>
        <v>1</v>
      </c>
      <c r="Z1607" s="1">
        <f>VLOOKUP($E1607,'Product Naming'!$A$1:$P$58,9,FALSE)</f>
        <v>0</v>
      </c>
      <c r="AA1607" s="1">
        <f>VLOOKUP($E1607,'Product Naming'!$A$1:$P$58,10,FALSE)</f>
        <v>0</v>
      </c>
      <c r="AB1607" s="29">
        <f>VLOOKUP($E1607,'Product Naming'!$A$1:$P$58,11,FALSE)</f>
        <v>5.6</v>
      </c>
      <c r="AC1607" s="3">
        <f>VLOOKUP($E1607,'Product Naming'!$A$1:$P$58,12,FALSE)</f>
        <v>86.130899999999997</v>
      </c>
      <c r="AD1607" s="1">
        <f>VLOOKUP($E1607,'Product Naming'!$A$1:$P$58,13,FALSE)</f>
        <v>108</v>
      </c>
      <c r="AE1607" s="1" t="str">
        <f>VLOOKUP($E1607,'Product Naming'!$A$1:$P$58,14,FALSE)</f>
        <v>Alcohol</v>
      </c>
      <c r="AF1607" s="1" t="str">
        <f>VLOOKUP($E1607,'Product Naming'!$A$1:$P$58,15,FALSE)</f>
        <v>Pyruvate</v>
      </c>
      <c r="AG1607" s="30" t="str">
        <f>VLOOKUP($E1607,'Product Naming'!$A$1:$P$58,16,FALSE)</f>
        <v>Proton symporter</v>
      </c>
      <c r="AH1607" s="3" t="str">
        <f>VLOOKUP($E1607,'Product Naming'!$A$1:$Q$58,17,FALSE)</f>
        <v>ibutoh_c</v>
      </c>
      <c r="AI1607" s="1">
        <f>VLOOKUP($E1607,'Product Parameters'!$A$2:$D$59,2,FALSE)</f>
        <v>1</v>
      </c>
      <c r="AJ1607" s="1">
        <f>VLOOKUP($E1607,'Product Parameters'!$A$2:$D$59,3,FALSE)</f>
        <v>0</v>
      </c>
      <c r="AK1607" s="1">
        <f>VLOOKUP($E1607,'Product Parameters'!$A$2:$D$59,4,FALSE)</f>
        <v>0.12</v>
      </c>
      <c r="AL1607" s="1">
        <f>VLOOKUP($E1607,'Product Parameters'!$A$2:$E$59,5,FALSE)</f>
        <v>51</v>
      </c>
      <c r="AM1607" s="1">
        <f>VLOOKUP($E1607,'Product Parameters'!$A$2:$F$59,6,FALSE)</f>
        <v>5</v>
      </c>
      <c r="AN1607" s="1">
        <f>VLOOKUP($C1607,'Substrate Heating'!$A$2:$C$33,3,FALSE)</f>
        <v>638.57832580000002</v>
      </c>
      <c r="AO1607" s="1">
        <f>VLOOKUP($C1607,'Substrate Heating'!$A$2:$B$33,2,FALSE)</f>
        <v>19.93</v>
      </c>
      <c r="AP1607" s="1">
        <f>VLOOKUP($C1607,'Substrate Heating'!$A$2:$M$33,13,FALSE)</f>
        <v>6</v>
      </c>
      <c r="AQ1607" s="1">
        <f>VLOOKUP($C1607,'Substrate Heating'!$A$2:$M$33,8,FALSE)</f>
        <v>1</v>
      </c>
      <c r="AR1607" s="1">
        <f t="shared" si="25"/>
        <v>0.51249999999999996</v>
      </c>
    </row>
    <row r="1608" spans="1:44" x14ac:dyDescent="0.2">
      <c r="A1608" s="8" t="s">
        <v>792</v>
      </c>
      <c r="B1608" s="18" t="s">
        <v>324</v>
      </c>
      <c r="C1608" t="s">
        <v>369</v>
      </c>
      <c r="D1608" s="23" t="s">
        <v>338</v>
      </c>
      <c r="E1608" t="s">
        <v>306</v>
      </c>
      <c r="F1608" t="s">
        <v>302</v>
      </c>
      <c r="G1608">
        <v>-10</v>
      </c>
      <c r="H1608">
        <v>0</v>
      </c>
      <c r="I1608">
        <v>0</v>
      </c>
      <c r="J1608">
        <v>0.45</v>
      </c>
      <c r="K1608">
        <v>-10</v>
      </c>
      <c r="L1608">
        <v>0</v>
      </c>
      <c r="M1608">
        <v>0</v>
      </c>
      <c r="N1608">
        <v>0</v>
      </c>
      <c r="O1608" s="28" t="s">
        <v>796</v>
      </c>
      <c r="P1608"/>
      <c r="Q1608" s="28" t="s">
        <v>797</v>
      </c>
      <c r="R1608" s="28" t="s">
        <v>798</v>
      </c>
      <c r="S1608" s="1" t="str">
        <f>VLOOKUP($E1608,'Product Naming'!$A$1:$P$58,2,FALSE)</f>
        <v>Propane-PW2</v>
      </c>
      <c r="T1608" s="1" t="str">
        <f>VLOOKUP($E1608,'Product Naming'!$A$1:$P$58,3,FALSE)</f>
        <v>Propane (PW2)</v>
      </c>
      <c r="U1608" s="1" t="str">
        <f>VLOOKUP($E1608,'Product Naming'!$A$1:$P$58,4,FALSE)</f>
        <v>E</v>
      </c>
      <c r="V1608" s="1" t="str">
        <f>VLOOKUP($E1608,'Product Naming'!$A$1:$P$58,5,FALSE)</f>
        <v>C3H8</v>
      </c>
      <c r="W1608" s="1">
        <f>VLOOKUP($E1608,'Product Naming'!$A$1:$P$58,6,FALSE)</f>
        <v>3</v>
      </c>
      <c r="X1608" s="1">
        <f>VLOOKUP($E1608,'Product Naming'!$A$1:$P$58,7,FALSE)</f>
        <v>8</v>
      </c>
      <c r="Y1608" s="1">
        <f>VLOOKUP($E1608,'Product Naming'!$A$1:$P$58,8,FALSE)</f>
        <v>0</v>
      </c>
      <c r="Z1608" s="1">
        <f>VLOOKUP($E1608,'Product Naming'!$A$1:$P$58,9,FALSE)</f>
        <v>0</v>
      </c>
      <c r="AA1608" s="1">
        <f>VLOOKUP($E1608,'Product Naming'!$A$1:$P$58,10,FALSE)</f>
        <v>0</v>
      </c>
      <c r="AB1608" s="29">
        <f>VLOOKUP($E1608,'Product Naming'!$A$1:$P$58,11,FALSE)</f>
        <v>6.666666666666667</v>
      </c>
      <c r="AC1608" s="3">
        <f>VLOOKUP($E1608,'Product Naming'!$A$1:$P$58,12,FALSE)</f>
        <v>44.094819999999999</v>
      </c>
      <c r="AD1608" s="1">
        <f>VLOOKUP($E1608,'Product Naming'!$A$1:$P$58,13,FALSE)</f>
        <v>-42</v>
      </c>
      <c r="AE1608" s="1" t="str">
        <f>VLOOKUP($E1608,'Product Naming'!$A$1:$P$58,14,FALSE)</f>
        <v>Hydrocarbon</v>
      </c>
      <c r="AF1608" s="1" t="str">
        <f>VLOOKUP($E1608,'Product Naming'!$A$1:$P$58,15,FALSE)</f>
        <v>Oxaloacetate</v>
      </c>
      <c r="AG1608" s="30" t="str">
        <f>VLOOKUP($E1608,'Product Naming'!$A$1:$P$58,16,FALSE)</f>
        <v>Diffusion</v>
      </c>
      <c r="AH1608" s="3" t="str">
        <f>VLOOKUP($E1608,'Product Naming'!$A$1:$Q$58,17,FALSE)</f>
        <v>prop_c</v>
      </c>
      <c r="AI1608" s="1">
        <f>VLOOKUP($E1608,'Product Parameters'!$A$2:$D$59,2,FALSE)</f>
        <v>0</v>
      </c>
      <c r="AJ1608" s="1">
        <f>VLOOKUP($E1608,'Product Parameters'!$A$2:$D$59,3,FALSE)</f>
        <v>1</v>
      </c>
      <c r="AK1608" s="1">
        <f>VLOOKUP($E1608,'Product Parameters'!$A$2:$D$59,4,FALSE)</f>
        <v>0.12</v>
      </c>
      <c r="AL1608" s="1">
        <f>VLOOKUP($E1608,'Product Parameters'!$A$2:$E$59,5,FALSE)</f>
        <v>0</v>
      </c>
      <c r="AM1608" s="1">
        <f>VLOOKUP($E1608,'Product Parameters'!$A$2:$F$59,6,FALSE)</f>
        <v>3</v>
      </c>
      <c r="AN1608" s="1">
        <f>VLOOKUP($C1608,'Substrate Heating'!$A$2:$C$33,3,FALSE)</f>
        <v>638.57832580000002</v>
      </c>
      <c r="AO1608" s="1">
        <f>VLOOKUP($C1608,'Substrate Heating'!$A$2:$B$33,2,FALSE)</f>
        <v>19.93</v>
      </c>
      <c r="AP1608" s="1">
        <f>VLOOKUP($C1608,'Substrate Heating'!$A$2:$M$33,13,FALSE)</f>
        <v>6</v>
      </c>
      <c r="AQ1608" s="1">
        <f>VLOOKUP($C1608,'Substrate Heating'!$A$2:$M$33,8,FALSE)</f>
        <v>1</v>
      </c>
      <c r="AR1608" s="1">
        <f t="shared" si="25"/>
        <v>0.60774193548387001</v>
      </c>
    </row>
    <row r="1609" spans="1:44" x14ac:dyDescent="0.2">
      <c r="A1609" s="8" t="s">
        <v>792</v>
      </c>
      <c r="B1609" s="18" t="s">
        <v>324</v>
      </c>
      <c r="C1609" t="s">
        <v>371</v>
      </c>
      <c r="D1609" s="23" t="s">
        <v>338</v>
      </c>
      <c r="E1609" t="s">
        <v>225</v>
      </c>
      <c r="F1609" t="s">
        <v>226</v>
      </c>
      <c r="G1609">
        <v>-10</v>
      </c>
      <c r="H1609">
        <v>0</v>
      </c>
      <c r="I1609">
        <v>0</v>
      </c>
      <c r="J1609">
        <v>0.45</v>
      </c>
      <c r="K1609">
        <v>-10</v>
      </c>
      <c r="L1609">
        <v>0</v>
      </c>
      <c r="M1609" s="28" t="s">
        <v>774</v>
      </c>
      <c r="N1609">
        <v>0</v>
      </c>
      <c r="O1609" s="28" t="s">
        <v>775</v>
      </c>
      <c r="P1609"/>
      <c r="Q1609" s="28" t="s">
        <v>776</v>
      </c>
      <c r="R1609" s="28" t="s">
        <v>777</v>
      </c>
      <c r="S1609" s="1" t="str">
        <f>VLOOKUP($E1609,'Product Naming'!$A$1:$P$58,2,FALSE)</f>
        <v>Glycolate</v>
      </c>
      <c r="T1609" s="1" t="str">
        <f>VLOOKUP($E1609,'Product Naming'!$A$1:$P$58,3,FALSE)</f>
        <v>Glycolate</v>
      </c>
      <c r="U1609" s="1" t="str">
        <f>VLOOKUP($E1609,'Product Naming'!$A$1:$P$58,4,FALSE)</f>
        <v>iJO1366</v>
      </c>
      <c r="V1609" s="1" t="str">
        <f>VLOOKUP($E1609,'Product Naming'!$A$1:$P$58,5,FALSE)</f>
        <v>C2H3O3</v>
      </c>
      <c r="W1609" s="1">
        <f>VLOOKUP($E1609,'Product Naming'!$A$1:$P$58,6,FALSE)</f>
        <v>2</v>
      </c>
      <c r="X1609" s="1">
        <f>VLOOKUP($E1609,'Product Naming'!$A$1:$P$58,7,FALSE)</f>
        <v>3</v>
      </c>
      <c r="Y1609" s="1">
        <f>VLOOKUP($E1609,'Product Naming'!$A$1:$P$58,8,FALSE)</f>
        <v>3</v>
      </c>
      <c r="Z1609" s="1">
        <f>VLOOKUP($E1609,'Product Naming'!$A$1:$P$58,9,FALSE)</f>
        <v>0</v>
      </c>
      <c r="AA1609" s="1">
        <f>VLOOKUP($E1609,'Product Naming'!$A$1:$P$58,10,FALSE)</f>
        <v>-1</v>
      </c>
      <c r="AB1609" s="29">
        <f>VLOOKUP($E1609,'Product Naming'!$A$1:$P$58,11,FALSE)</f>
        <v>2.5</v>
      </c>
      <c r="AC1609" s="3">
        <f>VLOOKUP($E1609,'Product Naming'!$A$1:$P$58,12,FALSE)</f>
        <v>75.041920000000005</v>
      </c>
      <c r="AD1609" s="1">
        <f>VLOOKUP($E1609,'Product Naming'!$A$1:$P$58,13,FALSE)</f>
        <v>112</v>
      </c>
      <c r="AE1609" s="1" t="str">
        <f>VLOOKUP($E1609,'Product Naming'!$A$1:$P$58,14,FALSE)</f>
        <v>Carboxylate + Alcohol (hydroxy carboxylate)</v>
      </c>
      <c r="AF1609" s="1" t="str">
        <f>VLOOKUP($E1609,'Product Naming'!$A$1:$P$58,15,FALSE)</f>
        <v>Glyoxylate (*isocitrate)</v>
      </c>
      <c r="AG1609" s="30" t="str">
        <f>VLOOKUP($E1609,'Product Naming'!$A$1:$P$58,16,FALSE)</f>
        <v>Proton symporter</v>
      </c>
      <c r="AH1609" s="3" t="str">
        <f>VLOOKUP($E1609,'Product Naming'!$A$1:$Q$58,17,FALSE)</f>
        <v>glyclt_c</v>
      </c>
      <c r="AI1609" s="1">
        <f>VLOOKUP($E1609,'Product Parameters'!$A$2:$D$59,2,FALSE)</f>
        <v>1</v>
      </c>
      <c r="AJ1609" s="1">
        <f>VLOOKUP($E1609,'Product Parameters'!$A$2:$D$59,3,FALSE)</f>
        <v>0</v>
      </c>
      <c r="AK1609" s="1">
        <f>VLOOKUP($E1609,'Product Parameters'!$A$2:$D$59,4,FALSE)</f>
        <v>0.12</v>
      </c>
      <c r="AL1609" s="1">
        <f>VLOOKUP($E1609,'Product Parameters'!$A$2:$E$59,5,FALSE)</f>
        <v>40.65</v>
      </c>
      <c r="AM1609" s="1">
        <f>VLOOKUP($E1609,'Product Parameters'!$A$2:$F$59,6,FALSE)</f>
        <v>2</v>
      </c>
      <c r="AN1609" s="1">
        <f>VLOOKUP($C1609,'Substrate Heating'!$A$2:$C$33,3,FALSE)</f>
        <v>638.57832580000002</v>
      </c>
      <c r="AO1609" s="1">
        <f>VLOOKUP($C1609,'Substrate Heating'!$A$2:$B$33,2,FALSE)</f>
        <v>19.93</v>
      </c>
      <c r="AP1609" s="1">
        <f>VLOOKUP($C1609,'Substrate Heating'!$A$2:$M$33,13,FALSE)</f>
        <v>6</v>
      </c>
      <c r="AQ1609" s="1">
        <f>VLOOKUP($C1609,'Substrate Heating'!$A$2:$M$33,8,FALSE)</f>
        <v>1</v>
      </c>
      <c r="AR1609" s="1">
        <f t="shared" si="25"/>
        <v>0.224870466321242</v>
      </c>
    </row>
    <row r="1610" spans="1:44" x14ac:dyDescent="0.2">
      <c r="A1610" s="8" t="s">
        <v>792</v>
      </c>
      <c r="B1610" s="18" t="s">
        <v>324</v>
      </c>
      <c r="C1610" t="s">
        <v>372</v>
      </c>
      <c r="D1610" s="23" t="s">
        <v>338</v>
      </c>
      <c r="E1610" t="s">
        <v>209</v>
      </c>
      <c r="F1610" t="s">
        <v>210</v>
      </c>
      <c r="G1610">
        <v>-10</v>
      </c>
      <c r="H1610">
        <v>0</v>
      </c>
      <c r="I1610">
        <v>0</v>
      </c>
      <c r="J1610">
        <v>0.45</v>
      </c>
      <c r="K1610">
        <v>-10</v>
      </c>
      <c r="L1610">
        <v>0</v>
      </c>
      <c r="M1610" s="28" t="s">
        <v>433</v>
      </c>
      <c r="N1610">
        <v>0</v>
      </c>
      <c r="O1610" s="28" t="s">
        <v>567</v>
      </c>
      <c r="P1610"/>
      <c r="Q1610" s="28" t="s">
        <v>568</v>
      </c>
      <c r="R1610" s="28" t="s">
        <v>569</v>
      </c>
      <c r="S1610" s="1" t="str">
        <f>VLOOKUP($E1610,'Product Naming'!$A$1:$P$58,2,FALSE)</f>
        <v>GammaButyrolactone</v>
      </c>
      <c r="T1610" s="1" t="str">
        <f>VLOOKUP($E1610,'Product Naming'!$A$1:$P$58,3,FALSE)</f>
        <v>Gamma butyrolactone</v>
      </c>
      <c r="U1610" s="1" t="str">
        <f>VLOOKUP($E1610,'Product Naming'!$A$1:$P$58,4,FALSE)</f>
        <v>A</v>
      </c>
      <c r="V1610" s="1" t="str">
        <f>VLOOKUP($E1610,'Product Naming'!$A$1:$P$58,5,FALSE)</f>
        <v>C4H6O2</v>
      </c>
      <c r="W1610" s="1">
        <f>VLOOKUP($E1610,'Product Naming'!$A$1:$P$58,6,FALSE)</f>
        <v>4</v>
      </c>
      <c r="X1610" s="1">
        <f>VLOOKUP($E1610,'Product Naming'!$A$1:$P$58,7,FALSE)</f>
        <v>6</v>
      </c>
      <c r="Y1610" s="1">
        <f>VLOOKUP($E1610,'Product Naming'!$A$1:$P$58,8,FALSE)</f>
        <v>2</v>
      </c>
      <c r="Z1610" s="1">
        <f>VLOOKUP($E1610,'Product Naming'!$A$1:$P$58,9,FALSE)</f>
        <v>0</v>
      </c>
      <c r="AA1610" s="1">
        <f>VLOOKUP($E1610,'Product Naming'!$A$1:$P$58,10,FALSE)</f>
        <v>0</v>
      </c>
      <c r="AB1610" s="29">
        <f>VLOOKUP($E1610,'Product Naming'!$A$1:$P$58,11,FALSE)</f>
        <v>4.5</v>
      </c>
      <c r="AC1610" s="3">
        <f>VLOOKUP($E1610,'Product Naming'!$A$1:$P$58,12,FALSE)</f>
        <v>86.08784</v>
      </c>
      <c r="AD1610" s="1">
        <f>VLOOKUP($E1610,'Product Naming'!$A$1:$P$58,13,FALSE)</f>
        <v>204</v>
      </c>
      <c r="AE1610" s="1" t="str">
        <f>VLOOKUP($E1610,'Product Naming'!$A$1:$P$58,14,FALSE)</f>
        <v>Lactone (cyclic ester)</v>
      </c>
      <c r="AF1610" s="1" t="str">
        <f>VLOOKUP($E1610,'Product Naming'!$A$1:$P$58,15,FALSE)</f>
        <v>aKG</v>
      </c>
      <c r="AG1610" s="30" t="str">
        <f>VLOOKUP($E1610,'Product Naming'!$A$1:$P$58,16,FALSE)</f>
        <v>Proton symporter</v>
      </c>
      <c r="AH1610" s="3" t="str">
        <f>VLOOKUP($E1610,'Product Naming'!$A$1:$Q$58,17,FALSE)</f>
        <v>gblt_c</v>
      </c>
      <c r="AI1610" s="1">
        <f>VLOOKUP($E1610,'Product Parameters'!$A$2:$D$59,2,FALSE)</f>
        <v>1</v>
      </c>
      <c r="AJ1610" s="1">
        <f>VLOOKUP($E1610,'Product Parameters'!$A$2:$D$59,3,FALSE)</f>
        <v>0</v>
      </c>
      <c r="AK1610" s="1">
        <f>VLOOKUP($E1610,'Product Parameters'!$A$2:$D$59,4,FALSE)</f>
        <v>0.12</v>
      </c>
      <c r="AL1610" s="1">
        <f>VLOOKUP($E1610,'Product Parameters'!$A$2:$E$59,5,FALSE)</f>
        <v>0</v>
      </c>
      <c r="AM1610" s="1">
        <f>VLOOKUP($E1610,'Product Parameters'!$A$2:$F$59,6,FALSE)</f>
        <v>4</v>
      </c>
      <c r="AN1610" s="1">
        <f>VLOOKUP($C1610,'Substrate Heating'!$A$2:$C$33,3,FALSE)</f>
        <v>638.57832580000002</v>
      </c>
      <c r="AO1610" s="1">
        <f>VLOOKUP($C1610,'Substrate Heating'!$A$2:$B$33,2,FALSE)</f>
        <v>19.93</v>
      </c>
      <c r="AP1610" s="1">
        <f>VLOOKUP($C1610,'Substrate Heating'!$A$2:$M$33,13,FALSE)</f>
        <v>6</v>
      </c>
      <c r="AQ1610" s="1">
        <f>VLOOKUP($C1610,'Substrate Heating'!$A$2:$M$33,8,FALSE)</f>
        <v>1</v>
      </c>
      <c r="AR1610" s="1">
        <f t="shared" si="25"/>
        <v>0.41244444444444001</v>
      </c>
    </row>
    <row r="1611" spans="1:44" x14ac:dyDescent="0.2">
      <c r="A1611" s="8" t="s">
        <v>792</v>
      </c>
      <c r="B1611" s="18" t="s">
        <v>324</v>
      </c>
      <c r="C1611" t="s">
        <v>369</v>
      </c>
      <c r="D1611" s="23" t="s">
        <v>338</v>
      </c>
      <c r="E1611" t="s">
        <v>295</v>
      </c>
      <c r="F1611" t="s">
        <v>292</v>
      </c>
      <c r="G1611">
        <v>-10</v>
      </c>
      <c r="H1611">
        <v>0</v>
      </c>
      <c r="I1611">
        <v>0</v>
      </c>
      <c r="J1611">
        <v>0.45</v>
      </c>
      <c r="K1611">
        <v>-10</v>
      </c>
      <c r="L1611">
        <v>0</v>
      </c>
      <c r="M1611">
        <v>0</v>
      </c>
      <c r="N1611">
        <v>0</v>
      </c>
      <c r="O1611" s="28" t="s">
        <v>685</v>
      </c>
      <c r="P1611"/>
      <c r="Q1611" s="28" t="s">
        <v>686</v>
      </c>
      <c r="R1611" s="28" t="s">
        <v>687</v>
      </c>
      <c r="S1611" s="1" t="str">
        <f>VLOOKUP($E1611,'Product Naming'!$A$1:$P$58,2,FALSE)</f>
        <v>Pentanol-PW2</v>
      </c>
      <c r="T1611" s="1" t="str">
        <f>VLOOKUP($E1611,'Product Naming'!$A$1:$P$58,3,FALSE)</f>
        <v>Pentanol (PW2)</v>
      </c>
      <c r="U1611" s="1" t="str">
        <f>VLOOKUP($E1611,'Product Naming'!$A$1:$P$58,4,FALSE)</f>
        <v>E</v>
      </c>
      <c r="V1611" s="1" t="str">
        <f>VLOOKUP($E1611,'Product Naming'!$A$1:$P$58,5,FALSE)</f>
        <v>C5H12O</v>
      </c>
      <c r="W1611" s="1">
        <f>VLOOKUP($E1611,'Product Naming'!$A$1:$P$58,6,FALSE)</f>
        <v>5</v>
      </c>
      <c r="X1611" s="1">
        <f>VLOOKUP($E1611,'Product Naming'!$A$1:$P$58,7,FALSE)</f>
        <v>12</v>
      </c>
      <c r="Y1611" s="1">
        <f>VLOOKUP($E1611,'Product Naming'!$A$1:$P$58,8,FALSE)</f>
        <v>1</v>
      </c>
      <c r="Z1611" s="1">
        <f>VLOOKUP($E1611,'Product Naming'!$A$1:$P$58,9,FALSE)</f>
        <v>0</v>
      </c>
      <c r="AA1611" s="1">
        <f>VLOOKUP($E1611,'Product Naming'!$A$1:$P$58,10,FALSE)</f>
        <v>0</v>
      </c>
      <c r="AB1611" s="29">
        <f>VLOOKUP($E1611,'Product Naming'!$A$1:$P$58,11,FALSE)</f>
        <v>6</v>
      </c>
      <c r="AC1611" s="3">
        <f>VLOOKUP($E1611,'Product Naming'!$A$1:$P$58,12,FALSE)</f>
        <v>88.14658</v>
      </c>
      <c r="AD1611" s="1">
        <f>VLOOKUP($E1611,'Product Naming'!$A$1:$P$58,13,FALSE)</f>
        <v>138</v>
      </c>
      <c r="AE1611" s="1" t="str">
        <f>VLOOKUP($E1611,'Product Naming'!$A$1:$P$58,14,FALSE)</f>
        <v>Alcohol</v>
      </c>
      <c r="AF1611" s="1" t="str">
        <f>VLOOKUP($E1611,'Product Naming'!$A$1:$P$58,15,FALSE)</f>
        <v>Oxaloacetate</v>
      </c>
      <c r="AG1611" s="30" t="str">
        <f>VLOOKUP($E1611,'Product Naming'!$A$1:$P$58,16,FALSE)</f>
        <v>Proton symporter</v>
      </c>
      <c r="AH1611" s="3" t="str">
        <f>VLOOKUP($E1611,'Product Naming'!$A$1:$Q$58,17,FALSE)</f>
        <v>pentoh_c</v>
      </c>
      <c r="AI1611" s="1">
        <f>VLOOKUP($E1611,'Product Parameters'!$A$2:$D$59,2,FALSE)</f>
        <v>1</v>
      </c>
      <c r="AJ1611" s="1">
        <f>VLOOKUP($E1611,'Product Parameters'!$A$2:$D$59,3,FALSE)</f>
        <v>0</v>
      </c>
      <c r="AK1611" s="1">
        <f>VLOOKUP($E1611,'Product Parameters'!$A$2:$D$59,4,FALSE)</f>
        <v>0.12</v>
      </c>
      <c r="AL1611" s="1">
        <f>VLOOKUP($E1611,'Product Parameters'!$A$2:$E$59,5,FALSE)</f>
        <v>57</v>
      </c>
      <c r="AM1611" s="1">
        <f>VLOOKUP($E1611,'Product Parameters'!$A$2:$F$59,6,FALSE)</f>
        <v>5</v>
      </c>
      <c r="AN1611" s="1">
        <f>VLOOKUP($C1611,'Substrate Heating'!$A$2:$C$33,3,FALSE)</f>
        <v>638.57832580000002</v>
      </c>
      <c r="AO1611" s="1">
        <f>VLOOKUP($C1611,'Substrate Heating'!$A$2:$B$33,2,FALSE)</f>
        <v>19.93</v>
      </c>
      <c r="AP1611" s="1">
        <f>VLOOKUP($C1611,'Substrate Heating'!$A$2:$M$33,13,FALSE)</f>
        <v>6</v>
      </c>
      <c r="AQ1611" s="1">
        <f>VLOOKUP($C1611,'Substrate Heating'!$A$2:$M$33,8,FALSE)</f>
        <v>1</v>
      </c>
      <c r="AR1611" s="1">
        <f t="shared" si="25"/>
        <v>0.55087719298244997</v>
      </c>
    </row>
    <row r="1612" spans="1:44" x14ac:dyDescent="0.2">
      <c r="A1612" s="8" t="s">
        <v>792</v>
      </c>
      <c r="B1612" s="18" t="s">
        <v>324</v>
      </c>
      <c r="C1612" t="s">
        <v>372</v>
      </c>
      <c r="D1612" s="23" t="s">
        <v>338</v>
      </c>
      <c r="E1612" t="s">
        <v>225</v>
      </c>
      <c r="F1612" t="s">
        <v>226</v>
      </c>
      <c r="G1612">
        <v>-10</v>
      </c>
      <c r="H1612">
        <v>0</v>
      </c>
      <c r="I1612">
        <v>0</v>
      </c>
      <c r="J1612">
        <v>0.45</v>
      </c>
      <c r="K1612">
        <v>-10</v>
      </c>
      <c r="L1612">
        <v>0</v>
      </c>
      <c r="M1612" s="28" t="s">
        <v>778</v>
      </c>
      <c r="N1612">
        <v>0</v>
      </c>
      <c r="O1612" s="28" t="s">
        <v>779</v>
      </c>
      <c r="P1612"/>
      <c r="Q1612" s="28" t="s">
        <v>780</v>
      </c>
      <c r="R1612" s="28" t="s">
        <v>781</v>
      </c>
      <c r="S1612" s="1" t="str">
        <f>VLOOKUP($E1612,'Product Naming'!$A$1:$P$58,2,FALSE)</f>
        <v>Glycolate</v>
      </c>
      <c r="T1612" s="1" t="str">
        <f>VLOOKUP($E1612,'Product Naming'!$A$1:$P$58,3,FALSE)</f>
        <v>Glycolate</v>
      </c>
      <c r="U1612" s="1" t="str">
        <f>VLOOKUP($E1612,'Product Naming'!$A$1:$P$58,4,FALSE)</f>
        <v>iJO1366</v>
      </c>
      <c r="V1612" s="1" t="str">
        <f>VLOOKUP($E1612,'Product Naming'!$A$1:$P$58,5,FALSE)</f>
        <v>C2H3O3</v>
      </c>
      <c r="W1612" s="1">
        <f>VLOOKUP($E1612,'Product Naming'!$A$1:$P$58,6,FALSE)</f>
        <v>2</v>
      </c>
      <c r="X1612" s="1">
        <f>VLOOKUP($E1612,'Product Naming'!$A$1:$P$58,7,FALSE)</f>
        <v>3</v>
      </c>
      <c r="Y1612" s="1">
        <f>VLOOKUP($E1612,'Product Naming'!$A$1:$P$58,8,FALSE)</f>
        <v>3</v>
      </c>
      <c r="Z1612" s="1">
        <f>VLOOKUP($E1612,'Product Naming'!$A$1:$P$58,9,FALSE)</f>
        <v>0</v>
      </c>
      <c r="AA1612" s="1">
        <f>VLOOKUP($E1612,'Product Naming'!$A$1:$P$58,10,FALSE)</f>
        <v>-1</v>
      </c>
      <c r="AB1612" s="29">
        <f>VLOOKUP($E1612,'Product Naming'!$A$1:$P$58,11,FALSE)</f>
        <v>2.5</v>
      </c>
      <c r="AC1612" s="3">
        <f>VLOOKUP($E1612,'Product Naming'!$A$1:$P$58,12,FALSE)</f>
        <v>75.041920000000005</v>
      </c>
      <c r="AD1612" s="1">
        <f>VLOOKUP($E1612,'Product Naming'!$A$1:$P$58,13,FALSE)</f>
        <v>112</v>
      </c>
      <c r="AE1612" s="1" t="str">
        <f>VLOOKUP($E1612,'Product Naming'!$A$1:$P$58,14,FALSE)</f>
        <v>Carboxylate + Alcohol (hydroxy carboxylate)</v>
      </c>
      <c r="AF1612" s="1" t="str">
        <f>VLOOKUP($E1612,'Product Naming'!$A$1:$P$58,15,FALSE)</f>
        <v>Glyoxylate (*isocitrate)</v>
      </c>
      <c r="AG1612" s="30" t="str">
        <f>VLOOKUP($E1612,'Product Naming'!$A$1:$P$58,16,FALSE)</f>
        <v>Proton symporter</v>
      </c>
      <c r="AH1612" s="3" t="str">
        <f>VLOOKUP($E1612,'Product Naming'!$A$1:$Q$58,17,FALSE)</f>
        <v>glyclt_c</v>
      </c>
      <c r="AI1612" s="1">
        <f>VLOOKUP($E1612,'Product Parameters'!$A$2:$D$59,2,FALSE)</f>
        <v>1</v>
      </c>
      <c r="AJ1612" s="1">
        <f>VLOOKUP($E1612,'Product Parameters'!$A$2:$D$59,3,FALSE)</f>
        <v>0</v>
      </c>
      <c r="AK1612" s="1">
        <f>VLOOKUP($E1612,'Product Parameters'!$A$2:$D$59,4,FALSE)</f>
        <v>0.12</v>
      </c>
      <c r="AL1612" s="1">
        <f>VLOOKUP($E1612,'Product Parameters'!$A$2:$E$59,5,FALSE)</f>
        <v>40.65</v>
      </c>
      <c r="AM1612" s="1">
        <f>VLOOKUP($E1612,'Product Parameters'!$A$2:$F$59,6,FALSE)</f>
        <v>2</v>
      </c>
      <c r="AN1612" s="1">
        <f>VLOOKUP($C1612,'Substrate Heating'!$A$2:$C$33,3,FALSE)</f>
        <v>638.57832580000002</v>
      </c>
      <c r="AO1612" s="1">
        <f>VLOOKUP($C1612,'Substrate Heating'!$A$2:$B$33,2,FALSE)</f>
        <v>19.93</v>
      </c>
      <c r="AP1612" s="1">
        <f>VLOOKUP($C1612,'Substrate Heating'!$A$2:$M$33,13,FALSE)</f>
        <v>6</v>
      </c>
      <c r="AQ1612" s="1">
        <f>VLOOKUP($C1612,'Substrate Heating'!$A$2:$M$33,8,FALSE)</f>
        <v>1</v>
      </c>
      <c r="AR1612" s="1">
        <f t="shared" si="25"/>
        <v>0.24421052631578799</v>
      </c>
    </row>
    <row r="1613" spans="1:44" x14ac:dyDescent="0.2">
      <c r="A1613" s="8" t="s">
        <v>792</v>
      </c>
      <c r="B1613" s="18" t="s">
        <v>324</v>
      </c>
      <c r="C1613" t="s">
        <v>371</v>
      </c>
      <c r="D1613" s="23" t="s">
        <v>338</v>
      </c>
      <c r="E1613" t="s">
        <v>308</v>
      </c>
      <c r="F1613" t="s">
        <v>309</v>
      </c>
      <c r="G1613">
        <v>-10</v>
      </c>
      <c r="H1613">
        <v>0</v>
      </c>
      <c r="I1613">
        <v>0</v>
      </c>
      <c r="J1613">
        <v>0.45</v>
      </c>
      <c r="K1613">
        <v>-10</v>
      </c>
      <c r="L1613">
        <v>0</v>
      </c>
      <c r="M1613">
        <v>3.8602287166454801</v>
      </c>
      <c r="N1613">
        <v>0</v>
      </c>
      <c r="O1613" s="28" t="s">
        <v>712</v>
      </c>
      <c r="P1613"/>
      <c r="Q1613">
        <v>5.5146124523506798E-2</v>
      </c>
      <c r="R1613" s="28" t="s">
        <v>713</v>
      </c>
      <c r="S1613" s="1" t="str">
        <f>VLOOKUP($E1613,'Product Naming'!$A$1:$P$58,2,FALSE)</f>
        <v>Shikimate</v>
      </c>
      <c r="T1613" s="1" t="str">
        <f>VLOOKUP($E1613,'Product Naming'!$A$1:$P$58,3,FALSE)</f>
        <v>Shikimate</v>
      </c>
      <c r="U1613" s="1" t="str">
        <f>VLOOKUP($E1613,'Product Naming'!$A$1:$P$58,4,FALSE)</f>
        <v>E</v>
      </c>
      <c r="V1613" s="1" t="str">
        <f>VLOOKUP($E1613,'Product Naming'!$A$1:$P$58,5,FALSE)</f>
        <v>C7H9O5</v>
      </c>
      <c r="W1613" s="1">
        <f>VLOOKUP($E1613,'Product Naming'!$A$1:$P$58,6,FALSE)</f>
        <v>7</v>
      </c>
      <c r="X1613" s="1">
        <f>VLOOKUP($E1613,'Product Naming'!$A$1:$P$58,7,FALSE)</f>
        <v>9</v>
      </c>
      <c r="Y1613" s="1">
        <f>VLOOKUP($E1613,'Product Naming'!$A$1:$P$58,8,FALSE)</f>
        <v>5</v>
      </c>
      <c r="Z1613" s="1">
        <f>VLOOKUP($E1613,'Product Naming'!$A$1:$P$58,9,FALSE)</f>
        <v>0</v>
      </c>
      <c r="AA1613" s="1">
        <f>VLOOKUP($E1613,'Product Naming'!$A$1:$P$58,10,FALSE)</f>
        <v>-1</v>
      </c>
      <c r="AB1613" s="29">
        <f>VLOOKUP($E1613,'Product Naming'!$A$1:$P$58,11,FALSE)</f>
        <v>3.8571428571428572</v>
      </c>
      <c r="AC1613" s="3">
        <f>VLOOKUP($E1613,'Product Naming'!$A$1:$P$58,12,FALSE)</f>
        <v>173.14046000000002</v>
      </c>
      <c r="AD1613" s="1">
        <f>VLOOKUP($E1613,'Product Naming'!$A$1:$P$58,13,FALSE)</f>
        <v>400.5</v>
      </c>
      <c r="AE1613" s="1" t="str">
        <f>VLOOKUP($E1613,'Product Naming'!$A$1:$P$58,14,FALSE)</f>
        <v>Aromatic + Alcohol + Carboxylate</v>
      </c>
      <c r="AF1613" s="1" t="str">
        <f>VLOOKUP($E1613,'Product Naming'!$A$1:$P$58,15,FALSE)</f>
        <v>PEP + E4P (Glyceraldehyde 3-P)</v>
      </c>
      <c r="AG1613" s="30" t="str">
        <f>VLOOKUP($E1613,'Product Naming'!$A$1:$P$58,16,FALSE)</f>
        <v>Proton symporter</v>
      </c>
      <c r="AH1613" s="3" t="str">
        <f>VLOOKUP($E1613,'Product Naming'!$A$1:$Q$58,17,FALSE)</f>
        <v>skm_c</v>
      </c>
      <c r="AI1613" s="1">
        <f>VLOOKUP($E1613,'Product Parameters'!$A$2:$D$59,2,FALSE)</f>
        <v>1</v>
      </c>
      <c r="AJ1613" s="1">
        <f>VLOOKUP($E1613,'Product Parameters'!$A$2:$D$59,3,FALSE)</f>
        <v>0</v>
      </c>
      <c r="AK1613" s="1">
        <f>VLOOKUP($E1613,'Product Parameters'!$A$2:$D$59,4,FALSE)</f>
        <v>0.12</v>
      </c>
      <c r="AL1613" s="1">
        <f>VLOOKUP($E1613,'Product Parameters'!$A$2:$E$59,5,FALSE)</f>
        <v>40.65</v>
      </c>
      <c r="AM1613" s="1">
        <f>VLOOKUP($E1613,'Product Parameters'!$A$2:$F$59,6,FALSE)</f>
        <v>7</v>
      </c>
      <c r="AN1613" s="1">
        <f>VLOOKUP($C1613,'Substrate Heating'!$A$2:$C$33,3,FALSE)</f>
        <v>638.57832580000002</v>
      </c>
      <c r="AO1613" s="1">
        <f>VLOOKUP($C1613,'Substrate Heating'!$A$2:$B$33,2,FALSE)</f>
        <v>19.93</v>
      </c>
      <c r="AP1613" s="1">
        <f>VLOOKUP($C1613,'Substrate Heating'!$A$2:$M$33,13,FALSE)</f>
        <v>6</v>
      </c>
      <c r="AQ1613" s="1">
        <f>VLOOKUP($C1613,'Substrate Heating'!$A$2:$M$33,8,FALSE)</f>
        <v>1</v>
      </c>
      <c r="AR1613" s="1">
        <f t="shared" si="25"/>
        <v>0.38602287166454757</v>
      </c>
    </row>
    <row r="1614" spans="1:44" x14ac:dyDescent="0.2">
      <c r="A1614" s="8" t="s">
        <v>792</v>
      </c>
      <c r="B1614" s="18" t="s">
        <v>324</v>
      </c>
      <c r="C1614" t="s">
        <v>371</v>
      </c>
      <c r="D1614" s="23" t="s">
        <v>338</v>
      </c>
      <c r="E1614" t="s">
        <v>66</v>
      </c>
      <c r="F1614" t="s">
        <v>67</v>
      </c>
      <c r="G1614">
        <v>-10</v>
      </c>
      <c r="H1614">
        <v>0</v>
      </c>
      <c r="I1614">
        <v>0</v>
      </c>
      <c r="J1614">
        <v>0.45</v>
      </c>
      <c r="K1614">
        <v>-10</v>
      </c>
      <c r="L1614">
        <v>0</v>
      </c>
      <c r="M1614" s="28" t="s">
        <v>406</v>
      </c>
      <c r="N1614">
        <v>0</v>
      </c>
      <c r="O1614" s="28" t="s">
        <v>407</v>
      </c>
      <c r="P1614"/>
      <c r="Q1614" s="28" t="s">
        <v>408</v>
      </c>
      <c r="R1614" s="28" t="s">
        <v>409</v>
      </c>
      <c r="S1614" s="1" t="str">
        <f>VLOOKUP($E1614,'Product Naming'!$A$1:$P$58,2,FALSE)</f>
        <v>1-4-butanediol</v>
      </c>
      <c r="T1614" s="1" t="str">
        <f>VLOOKUP($E1614,'Product Naming'!$A$1:$P$58,3,FALSE)</f>
        <v>1,4-Butanediol</v>
      </c>
      <c r="U1614" s="1" t="str">
        <f>VLOOKUP($E1614,'Product Naming'!$A$1:$P$58,4,FALSE)</f>
        <v>E</v>
      </c>
      <c r="V1614" s="1" t="str">
        <f>VLOOKUP($E1614,'Product Naming'!$A$1:$P$58,5,FALSE)</f>
        <v>C4H10O2</v>
      </c>
      <c r="W1614" s="1">
        <f>VLOOKUP($E1614,'Product Naming'!$A$1:$P$58,6,FALSE)</f>
        <v>4</v>
      </c>
      <c r="X1614" s="1">
        <f>VLOOKUP($E1614,'Product Naming'!$A$1:$P$58,7,FALSE)</f>
        <v>10</v>
      </c>
      <c r="Y1614" s="1">
        <f>VLOOKUP($E1614,'Product Naming'!$A$1:$P$58,8,FALSE)</f>
        <v>2</v>
      </c>
      <c r="Z1614" s="1">
        <f>VLOOKUP($E1614,'Product Naming'!$A$1:$P$58,9,FALSE)</f>
        <v>0</v>
      </c>
      <c r="AA1614" s="1">
        <f>VLOOKUP($E1614,'Product Naming'!$A$1:$P$58,10,FALSE)</f>
        <v>0</v>
      </c>
      <c r="AB1614" s="29">
        <f>VLOOKUP($E1614,'Product Naming'!$A$1:$P$58,11,FALSE)</f>
        <v>5.5</v>
      </c>
      <c r="AC1614" s="3">
        <f>VLOOKUP($E1614,'Product Naming'!$A$1:$P$58,12,FALSE)</f>
        <v>90.119200000000006</v>
      </c>
      <c r="AD1614" s="1">
        <f>VLOOKUP($E1614,'Product Naming'!$A$1:$P$58,13,FALSE)</f>
        <v>230</v>
      </c>
      <c r="AE1614" s="1" t="str">
        <f>VLOOKUP($E1614,'Product Naming'!$A$1:$P$58,14,FALSE)</f>
        <v>Diol</v>
      </c>
      <c r="AF1614" s="1" t="str">
        <f>VLOOKUP($E1614,'Product Naming'!$A$1:$P$58,15,FALSE)</f>
        <v>aKG</v>
      </c>
      <c r="AG1614" s="30" t="str">
        <f>VLOOKUP($E1614,'Product Naming'!$A$1:$P$58,16,FALSE)</f>
        <v>Proton symporter</v>
      </c>
      <c r="AH1614" s="3" t="str">
        <f>VLOOKUP($E1614,'Product Naming'!$A$1:$Q$58,17,FALSE)</f>
        <v>14bdo_c</v>
      </c>
      <c r="AI1614" s="1">
        <f>VLOOKUP($E1614,'Product Parameters'!$A$2:$D$59,2,FALSE)</f>
        <v>1</v>
      </c>
      <c r="AJ1614" s="1">
        <f>VLOOKUP($E1614,'Product Parameters'!$A$2:$D$59,3,FALSE)</f>
        <v>0</v>
      </c>
      <c r="AK1614" s="1">
        <f>VLOOKUP($E1614,'Product Parameters'!$A$2:$D$59,4,FALSE)</f>
        <v>0.12</v>
      </c>
      <c r="AL1614" s="1">
        <f>VLOOKUP($E1614,'Product Parameters'!$A$2:$E$59,5,FALSE)</f>
        <v>78</v>
      </c>
      <c r="AM1614" s="1">
        <f>VLOOKUP($E1614,'Product Parameters'!$A$2:$F$59,6,FALSE)</f>
        <v>4</v>
      </c>
      <c r="AN1614" s="1">
        <f>VLOOKUP($C1614,'Substrate Heating'!$A$2:$C$33,3,FALSE)</f>
        <v>638.57832580000002</v>
      </c>
      <c r="AO1614" s="1">
        <f>VLOOKUP($C1614,'Substrate Heating'!$A$2:$B$33,2,FALSE)</f>
        <v>19.93</v>
      </c>
      <c r="AP1614" s="1">
        <f>VLOOKUP($C1614,'Substrate Heating'!$A$2:$M$33,13,FALSE)</f>
        <v>6</v>
      </c>
      <c r="AQ1614" s="1">
        <f>VLOOKUP($C1614,'Substrate Heating'!$A$2:$M$33,8,FALSE)</f>
        <v>1</v>
      </c>
      <c r="AR1614" s="1">
        <f t="shared" si="25"/>
        <v>0.445128205128204</v>
      </c>
    </row>
    <row r="1615" spans="1:44" x14ac:dyDescent="0.2">
      <c r="A1615" s="8" t="s">
        <v>792</v>
      </c>
      <c r="B1615" s="18" t="s">
        <v>324</v>
      </c>
      <c r="C1615" t="s">
        <v>371</v>
      </c>
      <c r="D1615" s="23" t="s">
        <v>338</v>
      </c>
      <c r="E1615" t="s">
        <v>72</v>
      </c>
      <c r="F1615" t="s">
        <v>73</v>
      </c>
      <c r="G1615">
        <v>-10</v>
      </c>
      <c r="H1615">
        <v>0</v>
      </c>
      <c r="I1615">
        <v>0</v>
      </c>
      <c r="J1615">
        <v>0.45</v>
      </c>
      <c r="K1615">
        <v>-10</v>
      </c>
      <c r="L1615">
        <v>0</v>
      </c>
      <c r="M1615">
        <v>0</v>
      </c>
      <c r="N1615">
        <v>0</v>
      </c>
      <c r="O1615" s="28" t="s">
        <v>420</v>
      </c>
      <c r="P1615"/>
      <c r="Q1615" s="28" t="s">
        <v>421</v>
      </c>
      <c r="R1615" s="28" t="s">
        <v>422</v>
      </c>
      <c r="S1615" s="1" t="str">
        <f>VLOOKUP($E1615,'Product Naming'!$A$1:$P$58,2,FALSE)</f>
        <v>1-propanol-PW1</v>
      </c>
      <c r="T1615" s="1" t="str">
        <f>VLOOKUP($E1615,'Product Naming'!$A$1:$P$58,3,FALSE)</f>
        <v>1-Propanol (PW1)</v>
      </c>
      <c r="U1615" s="1" t="str">
        <f>VLOOKUP($E1615,'Product Naming'!$A$1:$P$58,4,FALSE)</f>
        <v>E-S</v>
      </c>
      <c r="V1615" s="1" t="str">
        <f>VLOOKUP($E1615,'Product Naming'!$A$1:$P$58,5,FALSE)</f>
        <v>C3H8O</v>
      </c>
      <c r="W1615" s="1">
        <f>VLOOKUP($E1615,'Product Naming'!$A$1:$P$58,6,FALSE)</f>
        <v>3</v>
      </c>
      <c r="X1615" s="1">
        <f>VLOOKUP($E1615,'Product Naming'!$A$1:$P$58,7,FALSE)</f>
        <v>8</v>
      </c>
      <c r="Y1615" s="1">
        <f>VLOOKUP($E1615,'Product Naming'!$A$1:$P$58,8,FALSE)</f>
        <v>1</v>
      </c>
      <c r="Z1615" s="1">
        <f>VLOOKUP($E1615,'Product Naming'!$A$1:$P$58,9,FALSE)</f>
        <v>0</v>
      </c>
      <c r="AA1615" s="1">
        <f>VLOOKUP($E1615,'Product Naming'!$A$1:$P$58,10,FALSE)</f>
        <v>0</v>
      </c>
      <c r="AB1615" s="29">
        <f>VLOOKUP($E1615,'Product Naming'!$A$1:$P$58,11,FALSE)</f>
        <v>6</v>
      </c>
      <c r="AC1615" s="3">
        <f>VLOOKUP($E1615,'Product Naming'!$A$1:$P$58,12,FALSE)</f>
        <v>60.093820000000001</v>
      </c>
      <c r="AD1615" s="1">
        <f>VLOOKUP($E1615,'Product Naming'!$A$1:$P$58,13,FALSE)</f>
        <v>97</v>
      </c>
      <c r="AE1615" s="1" t="str">
        <f>VLOOKUP($E1615,'Product Naming'!$A$1:$P$58,14,FALSE)</f>
        <v>Alcohol</v>
      </c>
      <c r="AF1615" s="1" t="str">
        <f>VLOOKUP($E1615,'Product Naming'!$A$1:$P$58,15,FALSE)</f>
        <v>Glyceraldehyde 3-P (--&gt;DHAP)</v>
      </c>
      <c r="AG1615" s="30" t="str">
        <f>VLOOKUP($E1615,'Product Naming'!$A$1:$P$58,16,FALSE)</f>
        <v>Proton symporter</v>
      </c>
      <c r="AH1615" s="3" t="str">
        <f>VLOOKUP($E1615,'Product Naming'!$A$1:$Q$58,17,FALSE)</f>
        <v>ppoh_c</v>
      </c>
      <c r="AI1615" s="1">
        <f>VLOOKUP($E1615,'Product Parameters'!$A$2:$D$59,2,FALSE)</f>
        <v>1</v>
      </c>
      <c r="AJ1615" s="1">
        <f>VLOOKUP($E1615,'Product Parameters'!$A$2:$D$59,3,FALSE)</f>
        <v>0</v>
      </c>
      <c r="AK1615" s="1">
        <f>VLOOKUP($E1615,'Product Parameters'!$A$2:$D$59,4,FALSE)</f>
        <v>0.12</v>
      </c>
      <c r="AL1615" s="1">
        <f>VLOOKUP($E1615,'Product Parameters'!$A$2:$E$59,5,FALSE)</f>
        <v>47</v>
      </c>
      <c r="AM1615" s="1">
        <f>VLOOKUP($E1615,'Product Parameters'!$A$2:$F$59,6,FALSE)</f>
        <v>3</v>
      </c>
      <c r="AN1615" s="1">
        <f>VLOOKUP($C1615,'Substrate Heating'!$A$2:$C$33,3,FALSE)</f>
        <v>638.57832580000002</v>
      </c>
      <c r="AO1615" s="1">
        <f>VLOOKUP($C1615,'Substrate Heating'!$A$2:$B$33,2,FALSE)</f>
        <v>19.93</v>
      </c>
      <c r="AP1615" s="1">
        <f>VLOOKUP($C1615,'Substrate Heating'!$A$2:$M$33,13,FALSE)</f>
        <v>6</v>
      </c>
      <c r="AQ1615" s="1">
        <f>VLOOKUP($C1615,'Substrate Heating'!$A$2:$M$33,8,FALSE)</f>
        <v>1</v>
      </c>
      <c r="AR1615" s="1">
        <f t="shared" si="25"/>
        <v>0.51462450592885201</v>
      </c>
    </row>
    <row r="1616" spans="1:44" x14ac:dyDescent="0.2">
      <c r="A1616" s="8" t="s">
        <v>792</v>
      </c>
      <c r="B1616" s="18" t="s">
        <v>324</v>
      </c>
      <c r="C1616" t="s">
        <v>372</v>
      </c>
      <c r="D1616" s="23" t="s">
        <v>338</v>
      </c>
      <c r="E1616" t="s">
        <v>308</v>
      </c>
      <c r="F1616" t="s">
        <v>309</v>
      </c>
      <c r="G1616">
        <v>-10</v>
      </c>
      <c r="H1616">
        <v>0</v>
      </c>
      <c r="I1616">
        <v>0</v>
      </c>
      <c r="J1616">
        <v>0.45</v>
      </c>
      <c r="K1616">
        <v>-10</v>
      </c>
      <c r="L1616">
        <v>0</v>
      </c>
      <c r="M1616" s="28" t="s">
        <v>714</v>
      </c>
      <c r="N1616">
        <v>0</v>
      </c>
      <c r="O1616" s="28" t="s">
        <v>715</v>
      </c>
      <c r="P1616"/>
      <c r="Q1616" s="28" t="s">
        <v>716</v>
      </c>
      <c r="R1616" s="28" t="s">
        <v>717</v>
      </c>
      <c r="S1616" s="1" t="str">
        <f>VLOOKUP($E1616,'Product Naming'!$A$1:$P$58,2,FALSE)</f>
        <v>Shikimate</v>
      </c>
      <c r="T1616" s="1" t="str">
        <f>VLOOKUP($E1616,'Product Naming'!$A$1:$P$58,3,FALSE)</f>
        <v>Shikimate</v>
      </c>
      <c r="U1616" s="1" t="str">
        <f>VLOOKUP($E1616,'Product Naming'!$A$1:$P$58,4,FALSE)</f>
        <v>E</v>
      </c>
      <c r="V1616" s="1" t="str">
        <f>VLOOKUP($E1616,'Product Naming'!$A$1:$P$58,5,FALSE)</f>
        <v>C7H9O5</v>
      </c>
      <c r="W1616" s="1">
        <f>VLOOKUP($E1616,'Product Naming'!$A$1:$P$58,6,FALSE)</f>
        <v>7</v>
      </c>
      <c r="X1616" s="1">
        <f>VLOOKUP($E1616,'Product Naming'!$A$1:$P$58,7,FALSE)</f>
        <v>9</v>
      </c>
      <c r="Y1616" s="1">
        <f>VLOOKUP($E1616,'Product Naming'!$A$1:$P$58,8,FALSE)</f>
        <v>5</v>
      </c>
      <c r="Z1616" s="1">
        <f>VLOOKUP($E1616,'Product Naming'!$A$1:$P$58,9,FALSE)</f>
        <v>0</v>
      </c>
      <c r="AA1616" s="1">
        <f>VLOOKUP($E1616,'Product Naming'!$A$1:$P$58,10,FALSE)</f>
        <v>-1</v>
      </c>
      <c r="AB1616" s="29">
        <f>VLOOKUP($E1616,'Product Naming'!$A$1:$P$58,11,FALSE)</f>
        <v>3.8571428571428572</v>
      </c>
      <c r="AC1616" s="3">
        <f>VLOOKUP($E1616,'Product Naming'!$A$1:$P$58,12,FALSE)</f>
        <v>173.14046000000002</v>
      </c>
      <c r="AD1616" s="1">
        <f>VLOOKUP($E1616,'Product Naming'!$A$1:$P$58,13,FALSE)</f>
        <v>400.5</v>
      </c>
      <c r="AE1616" s="1" t="str">
        <f>VLOOKUP($E1616,'Product Naming'!$A$1:$P$58,14,FALSE)</f>
        <v>Aromatic + Alcohol + Carboxylate</v>
      </c>
      <c r="AF1616" s="1" t="str">
        <f>VLOOKUP($E1616,'Product Naming'!$A$1:$P$58,15,FALSE)</f>
        <v>PEP + E4P (Glyceraldehyde 3-P)</v>
      </c>
      <c r="AG1616" s="30" t="str">
        <f>VLOOKUP($E1616,'Product Naming'!$A$1:$P$58,16,FALSE)</f>
        <v>Proton symporter</v>
      </c>
      <c r="AH1616" s="3" t="str">
        <f>VLOOKUP($E1616,'Product Naming'!$A$1:$Q$58,17,FALSE)</f>
        <v>skm_c</v>
      </c>
      <c r="AI1616" s="1">
        <f>VLOOKUP($E1616,'Product Parameters'!$A$2:$D$59,2,FALSE)</f>
        <v>1</v>
      </c>
      <c r="AJ1616" s="1">
        <f>VLOOKUP($E1616,'Product Parameters'!$A$2:$D$59,3,FALSE)</f>
        <v>0</v>
      </c>
      <c r="AK1616" s="1">
        <f>VLOOKUP($E1616,'Product Parameters'!$A$2:$D$59,4,FALSE)</f>
        <v>0.12</v>
      </c>
      <c r="AL1616" s="1">
        <f>VLOOKUP($E1616,'Product Parameters'!$A$2:$E$59,5,FALSE)</f>
        <v>40.65</v>
      </c>
      <c r="AM1616" s="1">
        <f>VLOOKUP($E1616,'Product Parameters'!$A$2:$F$59,6,FALSE)</f>
        <v>7</v>
      </c>
      <c r="AN1616" s="1">
        <f>VLOOKUP($C1616,'Substrate Heating'!$A$2:$C$33,3,FALSE)</f>
        <v>638.57832580000002</v>
      </c>
      <c r="AO1616" s="1">
        <f>VLOOKUP($C1616,'Substrate Heating'!$A$2:$B$33,2,FALSE)</f>
        <v>19.93</v>
      </c>
      <c r="AP1616" s="1">
        <f>VLOOKUP($C1616,'Substrate Heating'!$A$2:$M$33,13,FALSE)</f>
        <v>6</v>
      </c>
      <c r="AQ1616" s="1">
        <f>VLOOKUP($C1616,'Substrate Heating'!$A$2:$M$33,8,FALSE)</f>
        <v>1</v>
      </c>
      <c r="AR1616" s="1">
        <f t="shared" si="25"/>
        <v>0.41641025641025581</v>
      </c>
    </row>
    <row r="1617" spans="1:44" x14ac:dyDescent="0.2">
      <c r="A1617" s="8" t="s">
        <v>792</v>
      </c>
      <c r="B1617" s="18" t="s">
        <v>324</v>
      </c>
      <c r="C1617" t="s">
        <v>369</v>
      </c>
      <c r="D1617" s="23" t="s">
        <v>338</v>
      </c>
      <c r="E1617" t="s">
        <v>130</v>
      </c>
      <c r="F1617" t="s">
        <v>125</v>
      </c>
      <c r="G1617">
        <v>-10</v>
      </c>
      <c r="H1617">
        <v>0</v>
      </c>
      <c r="I1617">
        <v>0</v>
      </c>
      <c r="J1617">
        <v>0.45</v>
      </c>
      <c r="K1617">
        <v>-10</v>
      </c>
      <c r="L1617">
        <v>0</v>
      </c>
      <c r="M1617" s="28" t="s">
        <v>470</v>
      </c>
      <c r="N1617">
        <v>0</v>
      </c>
      <c r="O1617" s="28" t="s">
        <v>471</v>
      </c>
      <c r="P1617"/>
      <c r="Q1617" s="28" t="s">
        <v>472</v>
      </c>
      <c r="R1617" s="28" t="s">
        <v>473</v>
      </c>
      <c r="S1617" s="1" t="str">
        <f>VLOOKUP($E1617,'Product Naming'!$A$1:$P$58,2,FALSE)</f>
        <v>Acrylate-PW2</v>
      </c>
      <c r="T1617" s="1" t="str">
        <f>VLOOKUP($E1617,'Product Naming'!$A$1:$P$58,3,FALSE)</f>
        <v>Acrylate (PW2)</v>
      </c>
      <c r="U1617" s="1" t="str">
        <f>VLOOKUP($E1617,'Product Naming'!$A$1:$P$58,4,FALSE)</f>
        <v>A</v>
      </c>
      <c r="V1617" s="1" t="str">
        <f>VLOOKUP($E1617,'Product Naming'!$A$1:$P$58,5,FALSE)</f>
        <v>C3H3O2</v>
      </c>
      <c r="W1617" s="1">
        <f>VLOOKUP($E1617,'Product Naming'!$A$1:$P$58,6,FALSE)</f>
        <v>3</v>
      </c>
      <c r="X1617" s="1">
        <f>VLOOKUP($E1617,'Product Naming'!$A$1:$P$58,7,FALSE)</f>
        <v>3</v>
      </c>
      <c r="Y1617" s="1">
        <f>VLOOKUP($E1617,'Product Naming'!$A$1:$P$58,8,FALSE)</f>
        <v>2</v>
      </c>
      <c r="Z1617" s="1">
        <f>VLOOKUP($E1617,'Product Naming'!$A$1:$P$58,9,FALSE)</f>
        <v>0</v>
      </c>
      <c r="AA1617" s="1">
        <f>VLOOKUP($E1617,'Product Naming'!$A$1:$P$58,10,FALSE)</f>
        <v>-1</v>
      </c>
      <c r="AB1617" s="29">
        <f>VLOOKUP($E1617,'Product Naming'!$A$1:$P$58,11,FALSE)</f>
        <v>3.6666666666666665</v>
      </c>
      <c r="AC1617" s="3">
        <f>VLOOKUP($E1617,'Product Naming'!$A$1:$P$58,12,FALSE)</f>
        <v>71.053619999999995</v>
      </c>
      <c r="AD1617" s="1">
        <f>VLOOKUP($E1617,'Product Naming'!$A$1:$P$58,13,FALSE)</f>
        <v>80</v>
      </c>
      <c r="AE1617" s="1" t="str">
        <f>VLOOKUP($E1617,'Product Naming'!$A$1:$P$58,14,FALSE)</f>
        <v>Carboxylate</v>
      </c>
      <c r="AF1617" s="1" t="str">
        <f>VLOOKUP($E1617,'Product Naming'!$A$1:$P$58,15,FALSE)</f>
        <v>Pyruvate</v>
      </c>
      <c r="AG1617" s="30" t="str">
        <f>VLOOKUP($E1617,'Product Naming'!$A$1:$P$58,16,FALSE)</f>
        <v>Proton symporter</v>
      </c>
      <c r="AH1617" s="3" t="str">
        <f>VLOOKUP($E1617,'Product Naming'!$A$1:$Q$58,17,FALSE)</f>
        <v>acryl_c</v>
      </c>
      <c r="AI1617" s="1">
        <f>VLOOKUP($E1617,'Product Parameters'!$A$2:$D$59,2,FALSE)</f>
        <v>1</v>
      </c>
      <c r="AJ1617" s="1">
        <f>VLOOKUP($E1617,'Product Parameters'!$A$2:$D$59,3,FALSE)</f>
        <v>0</v>
      </c>
      <c r="AK1617" s="1">
        <f>VLOOKUP($E1617,'Product Parameters'!$A$2:$D$59,4,FALSE)</f>
        <v>0.12</v>
      </c>
      <c r="AL1617" s="1">
        <f>VLOOKUP($E1617,'Product Parameters'!$A$2:$E$59,5,FALSE)</f>
        <v>53.1</v>
      </c>
      <c r="AM1617" s="1">
        <f>VLOOKUP($E1617,'Product Parameters'!$A$2:$F$59,6,FALSE)</f>
        <v>3</v>
      </c>
      <c r="AN1617" s="1">
        <f>VLOOKUP($C1617,'Substrate Heating'!$A$2:$C$33,3,FALSE)</f>
        <v>638.57832580000002</v>
      </c>
      <c r="AO1617" s="1">
        <f>VLOOKUP($C1617,'Substrate Heating'!$A$2:$B$33,2,FALSE)</f>
        <v>19.93</v>
      </c>
      <c r="AP1617" s="1">
        <f>VLOOKUP($C1617,'Substrate Heating'!$A$2:$M$33,13,FALSE)</f>
        <v>6</v>
      </c>
      <c r="AQ1617" s="1">
        <f>VLOOKUP($C1617,'Substrate Heating'!$A$2:$M$33,8,FALSE)</f>
        <v>1</v>
      </c>
      <c r="AR1617" s="1">
        <f t="shared" si="25"/>
        <v>0.43813953488372098</v>
      </c>
    </row>
    <row r="1618" spans="1:44" x14ac:dyDescent="0.2">
      <c r="A1618" s="8" t="s">
        <v>792</v>
      </c>
      <c r="B1618" s="18" t="s">
        <v>324</v>
      </c>
      <c r="C1618" t="s">
        <v>372</v>
      </c>
      <c r="D1618" s="23" t="s">
        <v>338</v>
      </c>
      <c r="E1618" t="s">
        <v>66</v>
      </c>
      <c r="F1618" t="s">
        <v>67</v>
      </c>
      <c r="G1618">
        <v>-10</v>
      </c>
      <c r="H1618">
        <v>0</v>
      </c>
      <c r="I1618">
        <v>0</v>
      </c>
      <c r="J1618">
        <v>0.45</v>
      </c>
      <c r="K1618">
        <v>-10</v>
      </c>
      <c r="L1618">
        <v>0</v>
      </c>
      <c r="M1618" s="28" t="s">
        <v>410</v>
      </c>
      <c r="N1618">
        <v>0</v>
      </c>
      <c r="O1618" s="28" t="s">
        <v>411</v>
      </c>
      <c r="P1618"/>
      <c r="Q1618" s="28" t="s">
        <v>412</v>
      </c>
      <c r="R1618" s="28" t="s">
        <v>413</v>
      </c>
      <c r="S1618" s="1" t="str">
        <f>VLOOKUP($E1618,'Product Naming'!$A$1:$P$58,2,FALSE)</f>
        <v>1-4-butanediol</v>
      </c>
      <c r="T1618" s="1" t="str">
        <f>VLOOKUP($E1618,'Product Naming'!$A$1:$P$58,3,FALSE)</f>
        <v>1,4-Butanediol</v>
      </c>
      <c r="U1618" s="1" t="str">
        <f>VLOOKUP($E1618,'Product Naming'!$A$1:$P$58,4,FALSE)</f>
        <v>E</v>
      </c>
      <c r="V1618" s="1" t="str">
        <f>VLOOKUP($E1618,'Product Naming'!$A$1:$P$58,5,FALSE)</f>
        <v>C4H10O2</v>
      </c>
      <c r="W1618" s="1">
        <f>VLOOKUP($E1618,'Product Naming'!$A$1:$P$58,6,FALSE)</f>
        <v>4</v>
      </c>
      <c r="X1618" s="1">
        <f>VLOOKUP($E1618,'Product Naming'!$A$1:$P$58,7,FALSE)</f>
        <v>10</v>
      </c>
      <c r="Y1618" s="1">
        <f>VLOOKUP($E1618,'Product Naming'!$A$1:$P$58,8,FALSE)</f>
        <v>2</v>
      </c>
      <c r="Z1618" s="1">
        <f>VLOOKUP($E1618,'Product Naming'!$A$1:$P$58,9,FALSE)</f>
        <v>0</v>
      </c>
      <c r="AA1618" s="1">
        <f>VLOOKUP($E1618,'Product Naming'!$A$1:$P$58,10,FALSE)</f>
        <v>0</v>
      </c>
      <c r="AB1618" s="29">
        <f>VLOOKUP($E1618,'Product Naming'!$A$1:$P$58,11,FALSE)</f>
        <v>5.5</v>
      </c>
      <c r="AC1618" s="3">
        <f>VLOOKUP($E1618,'Product Naming'!$A$1:$P$58,12,FALSE)</f>
        <v>90.119200000000006</v>
      </c>
      <c r="AD1618" s="1">
        <f>VLOOKUP($E1618,'Product Naming'!$A$1:$P$58,13,FALSE)</f>
        <v>230</v>
      </c>
      <c r="AE1618" s="1" t="str">
        <f>VLOOKUP($E1618,'Product Naming'!$A$1:$P$58,14,FALSE)</f>
        <v>Diol</v>
      </c>
      <c r="AF1618" s="1" t="str">
        <f>VLOOKUP($E1618,'Product Naming'!$A$1:$P$58,15,FALSE)</f>
        <v>aKG</v>
      </c>
      <c r="AG1618" s="30" t="str">
        <f>VLOOKUP($E1618,'Product Naming'!$A$1:$P$58,16,FALSE)</f>
        <v>Proton symporter</v>
      </c>
      <c r="AH1618" s="3" t="str">
        <f>VLOOKUP($E1618,'Product Naming'!$A$1:$Q$58,17,FALSE)</f>
        <v>14bdo_c</v>
      </c>
      <c r="AI1618" s="1">
        <f>VLOOKUP($E1618,'Product Parameters'!$A$2:$D$59,2,FALSE)</f>
        <v>1</v>
      </c>
      <c r="AJ1618" s="1">
        <f>VLOOKUP($E1618,'Product Parameters'!$A$2:$D$59,3,FALSE)</f>
        <v>0</v>
      </c>
      <c r="AK1618" s="1">
        <f>VLOOKUP($E1618,'Product Parameters'!$A$2:$D$59,4,FALSE)</f>
        <v>0.12</v>
      </c>
      <c r="AL1618" s="1">
        <f>VLOOKUP($E1618,'Product Parameters'!$A$2:$E$59,5,FALSE)</f>
        <v>78</v>
      </c>
      <c r="AM1618" s="1">
        <f>VLOOKUP($E1618,'Product Parameters'!$A$2:$F$59,6,FALSE)</f>
        <v>4</v>
      </c>
      <c r="AN1618" s="1">
        <f>VLOOKUP($C1618,'Substrate Heating'!$A$2:$C$33,3,FALSE)</f>
        <v>638.57832580000002</v>
      </c>
      <c r="AO1618" s="1">
        <f>VLOOKUP($C1618,'Substrate Heating'!$A$2:$B$33,2,FALSE)</f>
        <v>19.93</v>
      </c>
      <c r="AP1618" s="1">
        <f>VLOOKUP($C1618,'Substrate Heating'!$A$2:$M$33,13,FALSE)</f>
        <v>6</v>
      </c>
      <c r="AQ1618" s="1">
        <f>VLOOKUP($C1618,'Substrate Heating'!$A$2:$M$33,8,FALSE)</f>
        <v>1</v>
      </c>
      <c r="AR1618" s="1">
        <f t="shared" si="25"/>
        <v>0.47589743589743599</v>
      </c>
    </row>
    <row r="1619" spans="1:44" x14ac:dyDescent="0.2">
      <c r="A1619" s="8" t="s">
        <v>792</v>
      </c>
      <c r="B1619" s="18" t="s">
        <v>324</v>
      </c>
      <c r="C1619" t="s">
        <v>372</v>
      </c>
      <c r="D1619" s="23" t="s">
        <v>338</v>
      </c>
      <c r="E1619" t="s">
        <v>72</v>
      </c>
      <c r="F1619" t="s">
        <v>73</v>
      </c>
      <c r="G1619">
        <v>-10</v>
      </c>
      <c r="H1619">
        <v>0</v>
      </c>
      <c r="I1619">
        <v>0</v>
      </c>
      <c r="J1619">
        <v>0.45</v>
      </c>
      <c r="K1619">
        <v>-10</v>
      </c>
      <c r="L1619">
        <v>0</v>
      </c>
      <c r="M1619">
        <v>0</v>
      </c>
      <c r="N1619">
        <v>0</v>
      </c>
      <c r="O1619" s="28" t="s">
        <v>423</v>
      </c>
      <c r="P1619"/>
      <c r="Q1619" s="28" t="s">
        <v>424</v>
      </c>
      <c r="R1619" s="28" t="s">
        <v>425</v>
      </c>
      <c r="S1619" s="1" t="str">
        <f>VLOOKUP($E1619,'Product Naming'!$A$1:$P$58,2,FALSE)</f>
        <v>1-propanol-PW1</v>
      </c>
      <c r="T1619" s="1" t="str">
        <f>VLOOKUP($E1619,'Product Naming'!$A$1:$P$58,3,FALSE)</f>
        <v>1-Propanol (PW1)</v>
      </c>
      <c r="U1619" s="1" t="str">
        <f>VLOOKUP($E1619,'Product Naming'!$A$1:$P$58,4,FALSE)</f>
        <v>E-S</v>
      </c>
      <c r="V1619" s="1" t="str">
        <f>VLOOKUP($E1619,'Product Naming'!$A$1:$P$58,5,FALSE)</f>
        <v>C3H8O</v>
      </c>
      <c r="W1619" s="1">
        <f>VLOOKUP($E1619,'Product Naming'!$A$1:$P$58,6,FALSE)</f>
        <v>3</v>
      </c>
      <c r="X1619" s="1">
        <f>VLOOKUP($E1619,'Product Naming'!$A$1:$P$58,7,FALSE)</f>
        <v>8</v>
      </c>
      <c r="Y1619" s="1">
        <f>VLOOKUP($E1619,'Product Naming'!$A$1:$P$58,8,FALSE)</f>
        <v>1</v>
      </c>
      <c r="Z1619" s="1">
        <f>VLOOKUP($E1619,'Product Naming'!$A$1:$P$58,9,FALSE)</f>
        <v>0</v>
      </c>
      <c r="AA1619" s="1">
        <f>VLOOKUP($E1619,'Product Naming'!$A$1:$P$58,10,FALSE)</f>
        <v>0</v>
      </c>
      <c r="AB1619" s="29">
        <f>VLOOKUP($E1619,'Product Naming'!$A$1:$P$58,11,FALSE)</f>
        <v>6</v>
      </c>
      <c r="AC1619" s="3">
        <f>VLOOKUP($E1619,'Product Naming'!$A$1:$P$58,12,FALSE)</f>
        <v>60.093820000000001</v>
      </c>
      <c r="AD1619" s="1">
        <f>VLOOKUP($E1619,'Product Naming'!$A$1:$P$58,13,FALSE)</f>
        <v>97</v>
      </c>
      <c r="AE1619" s="1" t="str">
        <f>VLOOKUP($E1619,'Product Naming'!$A$1:$P$58,14,FALSE)</f>
        <v>Alcohol</v>
      </c>
      <c r="AF1619" s="1" t="str">
        <f>VLOOKUP($E1619,'Product Naming'!$A$1:$P$58,15,FALSE)</f>
        <v>Glyceraldehyde 3-P (--&gt;DHAP)</v>
      </c>
      <c r="AG1619" s="30" t="str">
        <f>VLOOKUP($E1619,'Product Naming'!$A$1:$P$58,16,FALSE)</f>
        <v>Proton symporter</v>
      </c>
      <c r="AH1619" s="3" t="str">
        <f>VLOOKUP($E1619,'Product Naming'!$A$1:$Q$58,17,FALSE)</f>
        <v>ppoh_c</v>
      </c>
      <c r="AI1619" s="1">
        <f>VLOOKUP($E1619,'Product Parameters'!$A$2:$D$59,2,FALSE)</f>
        <v>1</v>
      </c>
      <c r="AJ1619" s="1">
        <f>VLOOKUP($E1619,'Product Parameters'!$A$2:$D$59,3,FALSE)</f>
        <v>0</v>
      </c>
      <c r="AK1619" s="1">
        <f>VLOOKUP($E1619,'Product Parameters'!$A$2:$D$59,4,FALSE)</f>
        <v>0.12</v>
      </c>
      <c r="AL1619" s="1">
        <f>VLOOKUP($E1619,'Product Parameters'!$A$2:$E$59,5,FALSE)</f>
        <v>47</v>
      </c>
      <c r="AM1619" s="1">
        <f>VLOOKUP($E1619,'Product Parameters'!$A$2:$F$59,6,FALSE)</f>
        <v>3</v>
      </c>
      <c r="AN1619" s="1">
        <f>VLOOKUP($C1619,'Substrate Heating'!$A$2:$C$33,3,FALSE)</f>
        <v>638.57832580000002</v>
      </c>
      <c r="AO1619" s="1">
        <f>VLOOKUP($C1619,'Substrate Heating'!$A$2:$B$33,2,FALSE)</f>
        <v>19.93</v>
      </c>
      <c r="AP1619" s="1">
        <f>VLOOKUP($C1619,'Substrate Heating'!$A$2:$M$33,13,FALSE)</f>
        <v>6</v>
      </c>
      <c r="AQ1619" s="1">
        <f>VLOOKUP($C1619,'Substrate Heating'!$A$2:$M$33,8,FALSE)</f>
        <v>1</v>
      </c>
      <c r="AR1619" s="1">
        <f t="shared" si="25"/>
        <v>0.55679999999999696</v>
      </c>
    </row>
    <row r="1620" spans="1:44" x14ac:dyDescent="0.2">
      <c r="A1620" s="8" t="s">
        <v>792</v>
      </c>
      <c r="B1620" s="18" t="s">
        <v>324</v>
      </c>
      <c r="C1620" t="s">
        <v>369</v>
      </c>
      <c r="D1620" s="23" t="s">
        <v>338</v>
      </c>
      <c r="E1620" t="s">
        <v>254</v>
      </c>
      <c r="F1620" t="s">
        <v>255</v>
      </c>
      <c r="G1620">
        <v>-10</v>
      </c>
      <c r="H1620">
        <v>0</v>
      </c>
      <c r="I1620">
        <v>0</v>
      </c>
      <c r="J1620">
        <v>0.45</v>
      </c>
      <c r="K1620">
        <v>-10</v>
      </c>
      <c r="L1620">
        <v>0</v>
      </c>
      <c r="M1620" s="28" t="s">
        <v>620</v>
      </c>
      <c r="N1620">
        <v>0</v>
      </c>
      <c r="O1620" s="28" t="s">
        <v>621</v>
      </c>
      <c r="P1620"/>
      <c r="Q1620">
        <v>8.6027397260274002E-2</v>
      </c>
      <c r="R1620" s="28" t="s">
        <v>622</v>
      </c>
      <c r="S1620" s="1" t="str">
        <f>VLOOKUP($E1620,'Product Naming'!$A$1:$P$58,2,FALSE)</f>
        <v>Itaconate</v>
      </c>
      <c r="T1620" s="1" t="str">
        <f>VLOOKUP($E1620,'Product Naming'!$A$1:$P$58,3,FALSE)</f>
        <v>Itaconate</v>
      </c>
      <c r="U1620" s="1" t="str">
        <f>VLOOKUP($E1620,'Product Naming'!$A$1:$P$58,4,FALSE)</f>
        <v>E</v>
      </c>
      <c r="V1620" s="1" t="str">
        <f>VLOOKUP($E1620,'Product Naming'!$A$1:$P$58,5,FALSE)</f>
        <v>C5H4O4</v>
      </c>
      <c r="W1620" s="1">
        <f>VLOOKUP($E1620,'Product Naming'!$A$1:$P$58,6,FALSE)</f>
        <v>5</v>
      </c>
      <c r="X1620" s="1">
        <f>VLOOKUP($E1620,'Product Naming'!$A$1:$P$58,7,FALSE)</f>
        <v>4</v>
      </c>
      <c r="Y1620" s="1">
        <f>VLOOKUP($E1620,'Product Naming'!$A$1:$P$58,8,FALSE)</f>
        <v>4</v>
      </c>
      <c r="Z1620" s="1">
        <f>VLOOKUP($E1620,'Product Naming'!$A$1:$P$58,9,FALSE)</f>
        <v>0</v>
      </c>
      <c r="AA1620" s="1">
        <f>VLOOKUP($E1620,'Product Naming'!$A$1:$P$58,10,FALSE)</f>
        <v>-2</v>
      </c>
      <c r="AB1620" s="29">
        <f>VLOOKUP($E1620,'Product Naming'!$A$1:$P$58,11,FALSE)</f>
        <v>3.2</v>
      </c>
      <c r="AC1620" s="3">
        <f>VLOOKUP($E1620,'Product Naming'!$A$1:$P$58,12,FALSE)</f>
        <v>128.08086</v>
      </c>
      <c r="AD1620" s="1">
        <f>VLOOKUP($E1620,'Product Naming'!$A$1:$P$58,13,FALSE)</f>
        <v>381</v>
      </c>
      <c r="AE1620" s="1" t="str">
        <f>VLOOKUP($E1620,'Product Naming'!$A$1:$P$58,14,FALSE)</f>
        <v>Dicarboxylate</v>
      </c>
      <c r="AF1620" s="1" t="str">
        <f>VLOOKUP($E1620,'Product Naming'!$A$1:$P$58,15,FALSE)</f>
        <v>Acetyl-CoA + Oxaloacetate</v>
      </c>
      <c r="AG1620" s="30" t="str">
        <f>VLOOKUP($E1620,'Product Naming'!$A$1:$P$58,16,FALSE)</f>
        <v>Proton symporter</v>
      </c>
      <c r="AH1620" s="3" t="str">
        <f>VLOOKUP($E1620,'Product Naming'!$A$1:$Q$58,17,FALSE)</f>
        <v>itacon_c</v>
      </c>
      <c r="AI1620" s="1">
        <f>VLOOKUP($E1620,'Product Parameters'!$A$2:$D$59,2,FALSE)</f>
        <v>1</v>
      </c>
      <c r="AJ1620" s="1">
        <f>VLOOKUP($E1620,'Product Parameters'!$A$2:$D$59,3,FALSE)</f>
        <v>0</v>
      </c>
      <c r="AK1620" s="1">
        <f>VLOOKUP($E1620,'Product Parameters'!$A$2:$D$59,4,FALSE)</f>
        <v>0.12</v>
      </c>
      <c r="AL1620" s="1">
        <f>VLOOKUP($E1620,'Product Parameters'!$A$2:$E$59,5,FALSE)</f>
        <v>40.65</v>
      </c>
      <c r="AM1620" s="1">
        <f>VLOOKUP($E1620,'Product Parameters'!$A$2:$F$59,6,FALSE)</f>
        <v>5</v>
      </c>
      <c r="AN1620" s="1">
        <f>VLOOKUP($C1620,'Substrate Heating'!$A$2:$C$33,3,FALSE)</f>
        <v>638.57832580000002</v>
      </c>
      <c r="AO1620" s="1">
        <f>VLOOKUP($C1620,'Substrate Heating'!$A$2:$B$33,2,FALSE)</f>
        <v>19.93</v>
      </c>
      <c r="AP1620" s="1">
        <f>VLOOKUP($C1620,'Substrate Heating'!$A$2:$M$33,13,FALSE)</f>
        <v>6</v>
      </c>
      <c r="AQ1620" s="1">
        <f>VLOOKUP($C1620,'Substrate Heating'!$A$2:$M$33,8,FALSE)</f>
        <v>1</v>
      </c>
      <c r="AR1620" s="1">
        <f t="shared" si="25"/>
        <v>0.43013698630136998</v>
      </c>
    </row>
    <row r="1621" spans="1:44" x14ac:dyDescent="0.2">
      <c r="A1621" s="8" t="s">
        <v>792</v>
      </c>
      <c r="B1621" s="18" t="s">
        <v>324</v>
      </c>
      <c r="C1621" t="s">
        <v>371</v>
      </c>
      <c r="D1621" s="23" t="s">
        <v>338</v>
      </c>
      <c r="E1621" t="s">
        <v>306</v>
      </c>
      <c r="F1621" t="s">
        <v>302</v>
      </c>
      <c r="G1621">
        <v>-10</v>
      </c>
      <c r="H1621">
        <v>0</v>
      </c>
      <c r="I1621">
        <v>0</v>
      </c>
      <c r="J1621">
        <v>0.45</v>
      </c>
      <c r="K1621">
        <v>-10</v>
      </c>
      <c r="L1621">
        <v>0</v>
      </c>
      <c r="M1621">
        <v>0</v>
      </c>
      <c r="N1621" s="28" t="s">
        <v>799</v>
      </c>
      <c r="O1621" s="28" t="s">
        <v>800</v>
      </c>
      <c r="P1621"/>
      <c r="Q1621" s="28" t="s">
        <v>801</v>
      </c>
      <c r="R1621" s="28" t="s">
        <v>802</v>
      </c>
      <c r="S1621" s="1" t="str">
        <f>VLOOKUP($E1621,'Product Naming'!$A$1:$P$58,2,FALSE)</f>
        <v>Propane-PW2</v>
      </c>
      <c r="T1621" s="1" t="str">
        <f>VLOOKUP($E1621,'Product Naming'!$A$1:$P$58,3,FALSE)</f>
        <v>Propane (PW2)</v>
      </c>
      <c r="U1621" s="1" t="str">
        <f>VLOOKUP($E1621,'Product Naming'!$A$1:$P$58,4,FALSE)</f>
        <v>E</v>
      </c>
      <c r="V1621" s="1" t="str">
        <f>VLOOKUP($E1621,'Product Naming'!$A$1:$P$58,5,FALSE)</f>
        <v>C3H8</v>
      </c>
      <c r="W1621" s="1">
        <f>VLOOKUP($E1621,'Product Naming'!$A$1:$P$58,6,FALSE)</f>
        <v>3</v>
      </c>
      <c r="X1621" s="1">
        <f>VLOOKUP($E1621,'Product Naming'!$A$1:$P$58,7,FALSE)</f>
        <v>8</v>
      </c>
      <c r="Y1621" s="1">
        <f>VLOOKUP($E1621,'Product Naming'!$A$1:$P$58,8,FALSE)</f>
        <v>0</v>
      </c>
      <c r="Z1621" s="1">
        <f>VLOOKUP($E1621,'Product Naming'!$A$1:$P$58,9,FALSE)</f>
        <v>0</v>
      </c>
      <c r="AA1621" s="1">
        <f>VLOOKUP($E1621,'Product Naming'!$A$1:$P$58,10,FALSE)</f>
        <v>0</v>
      </c>
      <c r="AB1621" s="29">
        <f>VLOOKUP($E1621,'Product Naming'!$A$1:$P$58,11,FALSE)</f>
        <v>6.666666666666667</v>
      </c>
      <c r="AC1621" s="3">
        <f>VLOOKUP($E1621,'Product Naming'!$A$1:$P$58,12,FALSE)</f>
        <v>44.094819999999999</v>
      </c>
      <c r="AD1621" s="1">
        <f>VLOOKUP($E1621,'Product Naming'!$A$1:$P$58,13,FALSE)</f>
        <v>-42</v>
      </c>
      <c r="AE1621" s="1" t="str">
        <f>VLOOKUP($E1621,'Product Naming'!$A$1:$P$58,14,FALSE)</f>
        <v>Hydrocarbon</v>
      </c>
      <c r="AF1621" s="1" t="str">
        <f>VLOOKUP($E1621,'Product Naming'!$A$1:$P$58,15,FALSE)</f>
        <v>Oxaloacetate</v>
      </c>
      <c r="AG1621" s="30" t="str">
        <f>VLOOKUP($E1621,'Product Naming'!$A$1:$P$58,16,FALSE)</f>
        <v>Diffusion</v>
      </c>
      <c r="AH1621" s="3" t="str">
        <f>VLOOKUP($E1621,'Product Naming'!$A$1:$Q$58,17,FALSE)</f>
        <v>prop_c</v>
      </c>
      <c r="AI1621" s="1">
        <f>VLOOKUP($E1621,'Product Parameters'!$A$2:$D$59,2,FALSE)</f>
        <v>0</v>
      </c>
      <c r="AJ1621" s="1">
        <f>VLOOKUP($E1621,'Product Parameters'!$A$2:$D$59,3,FALSE)</f>
        <v>1</v>
      </c>
      <c r="AK1621" s="1">
        <f>VLOOKUP($E1621,'Product Parameters'!$A$2:$D$59,4,FALSE)</f>
        <v>0.12</v>
      </c>
      <c r="AL1621" s="1">
        <f>VLOOKUP($E1621,'Product Parameters'!$A$2:$E$59,5,FALSE)</f>
        <v>0</v>
      </c>
      <c r="AM1621" s="1">
        <f>VLOOKUP($E1621,'Product Parameters'!$A$2:$F$59,6,FALSE)</f>
        <v>3</v>
      </c>
      <c r="AN1621" s="1">
        <f>VLOOKUP($C1621,'Substrate Heating'!$A$2:$C$33,3,FALSE)</f>
        <v>638.57832580000002</v>
      </c>
      <c r="AO1621" s="1">
        <f>VLOOKUP($C1621,'Substrate Heating'!$A$2:$B$33,2,FALSE)</f>
        <v>19.93</v>
      </c>
      <c r="AP1621" s="1">
        <f>VLOOKUP($C1621,'Substrate Heating'!$A$2:$M$33,13,FALSE)</f>
        <v>6</v>
      </c>
      <c r="AQ1621" s="1">
        <f>VLOOKUP($C1621,'Substrate Heating'!$A$2:$M$33,8,FALSE)</f>
        <v>1</v>
      </c>
      <c r="AR1621" s="1">
        <f t="shared" si="25"/>
        <v>0.77564766839378108</v>
      </c>
    </row>
    <row r="1622" spans="1:44" x14ac:dyDescent="0.2">
      <c r="A1622" s="8" t="s">
        <v>792</v>
      </c>
      <c r="B1622" s="18" t="s">
        <v>324</v>
      </c>
      <c r="C1622" t="s">
        <v>371</v>
      </c>
      <c r="D1622" s="23" t="s">
        <v>338</v>
      </c>
      <c r="E1622" t="s">
        <v>291</v>
      </c>
      <c r="F1622" t="s">
        <v>292</v>
      </c>
      <c r="G1622">
        <v>-10</v>
      </c>
      <c r="H1622">
        <v>0</v>
      </c>
      <c r="I1622">
        <v>0</v>
      </c>
      <c r="J1622">
        <v>0.45</v>
      </c>
      <c r="K1622">
        <v>-10</v>
      </c>
      <c r="L1622">
        <v>0</v>
      </c>
      <c r="M1622">
        <v>0</v>
      </c>
      <c r="N1622">
        <v>0</v>
      </c>
      <c r="O1622" s="28" t="s">
        <v>678</v>
      </c>
      <c r="P1622"/>
      <c r="Q1622" s="28" t="s">
        <v>679</v>
      </c>
      <c r="R1622" s="28" t="s">
        <v>680</v>
      </c>
      <c r="S1622" s="1" t="str">
        <f>VLOOKUP($E1622,'Product Naming'!$A$1:$P$58,2,FALSE)</f>
        <v>Pentanol-PW1</v>
      </c>
      <c r="T1622" s="1" t="str">
        <f>VLOOKUP($E1622,'Product Naming'!$A$1:$P$58,3,FALSE)</f>
        <v>Pentanol (PW1)</v>
      </c>
      <c r="U1622" s="1" t="str">
        <f>VLOOKUP($E1622,'Product Naming'!$A$1:$P$58,4,FALSE)</f>
        <v>E</v>
      </c>
      <c r="V1622" s="1" t="str">
        <f>VLOOKUP($E1622,'Product Naming'!$A$1:$P$58,5,FALSE)</f>
        <v>C5H12O</v>
      </c>
      <c r="W1622" s="1">
        <f>VLOOKUP($E1622,'Product Naming'!$A$1:$P$58,6,FALSE)</f>
        <v>5</v>
      </c>
      <c r="X1622" s="1">
        <f>VLOOKUP($E1622,'Product Naming'!$A$1:$P$58,7,FALSE)</f>
        <v>12</v>
      </c>
      <c r="Y1622" s="1">
        <f>VLOOKUP($E1622,'Product Naming'!$A$1:$P$58,8,FALSE)</f>
        <v>1</v>
      </c>
      <c r="Z1622" s="1">
        <f>VLOOKUP($E1622,'Product Naming'!$A$1:$P$58,9,FALSE)</f>
        <v>0</v>
      </c>
      <c r="AA1622" s="1">
        <f>VLOOKUP($E1622,'Product Naming'!$A$1:$P$58,10,FALSE)</f>
        <v>0</v>
      </c>
      <c r="AB1622" s="29">
        <f>VLOOKUP($E1622,'Product Naming'!$A$1:$P$58,11,FALSE)</f>
        <v>6</v>
      </c>
      <c r="AC1622" s="3">
        <f>VLOOKUP($E1622,'Product Naming'!$A$1:$P$58,12,FALSE)</f>
        <v>88.14658</v>
      </c>
      <c r="AD1622" s="1">
        <f>VLOOKUP($E1622,'Product Naming'!$A$1:$P$58,13,FALSE)</f>
        <v>138</v>
      </c>
      <c r="AE1622" s="1" t="str">
        <f>VLOOKUP($E1622,'Product Naming'!$A$1:$P$58,14,FALSE)</f>
        <v>Alcohol</v>
      </c>
      <c r="AF1622" s="1" t="str">
        <f>VLOOKUP($E1622,'Product Naming'!$A$1:$P$58,15,FALSE)</f>
        <v>Acetyl-CoA + Succinyl-CoA</v>
      </c>
      <c r="AG1622" s="30" t="str">
        <f>VLOOKUP($E1622,'Product Naming'!$A$1:$P$58,16,FALSE)</f>
        <v>Proton symporter</v>
      </c>
      <c r="AH1622" s="3" t="str">
        <f>VLOOKUP($E1622,'Product Naming'!$A$1:$Q$58,17,FALSE)</f>
        <v>pentoh_c</v>
      </c>
      <c r="AI1622" s="1">
        <f>VLOOKUP($E1622,'Product Parameters'!$A$2:$D$59,2,FALSE)</f>
        <v>1</v>
      </c>
      <c r="AJ1622" s="1">
        <f>VLOOKUP($E1622,'Product Parameters'!$A$2:$D$59,3,FALSE)</f>
        <v>0</v>
      </c>
      <c r="AK1622" s="1">
        <f>VLOOKUP($E1622,'Product Parameters'!$A$2:$D$59,4,FALSE)</f>
        <v>0.12</v>
      </c>
      <c r="AL1622" s="1">
        <f>VLOOKUP($E1622,'Product Parameters'!$A$2:$E$59,5,FALSE)</f>
        <v>57</v>
      </c>
      <c r="AM1622" s="1">
        <f>VLOOKUP($E1622,'Product Parameters'!$A$2:$F$59,6,FALSE)</f>
        <v>5</v>
      </c>
      <c r="AN1622" s="1">
        <f>VLOOKUP($C1622,'Substrate Heating'!$A$2:$C$33,3,FALSE)</f>
        <v>638.57832580000002</v>
      </c>
      <c r="AO1622" s="1">
        <f>VLOOKUP($C1622,'Substrate Heating'!$A$2:$B$33,2,FALSE)</f>
        <v>19.93</v>
      </c>
      <c r="AP1622" s="1">
        <f>VLOOKUP($C1622,'Substrate Heating'!$A$2:$M$33,13,FALSE)</f>
        <v>6</v>
      </c>
      <c r="AQ1622" s="1">
        <f>VLOOKUP($C1622,'Substrate Heating'!$A$2:$M$33,8,FALSE)</f>
        <v>1</v>
      </c>
      <c r="AR1622" s="1">
        <f t="shared" si="25"/>
        <v>0.66360856269113011</v>
      </c>
    </row>
    <row r="1623" spans="1:44" x14ac:dyDescent="0.2">
      <c r="A1623" s="8" t="s">
        <v>792</v>
      </c>
      <c r="B1623" s="18" t="s">
        <v>324</v>
      </c>
      <c r="C1623" t="s">
        <v>365</v>
      </c>
      <c r="D1623" s="23" t="s">
        <v>338</v>
      </c>
      <c r="E1623" t="s">
        <v>283</v>
      </c>
      <c r="F1623" t="s">
        <v>284</v>
      </c>
      <c r="G1623">
        <v>-10</v>
      </c>
      <c r="H1623">
        <v>0</v>
      </c>
      <c r="I1623">
        <v>0</v>
      </c>
      <c r="J1623">
        <v>0.45</v>
      </c>
      <c r="K1623">
        <v>-10</v>
      </c>
      <c r="L1623">
        <v>0</v>
      </c>
      <c r="M1623">
        <v>0</v>
      </c>
      <c r="N1623">
        <v>0</v>
      </c>
      <c r="O1623" s="28" t="s">
        <v>654</v>
      </c>
      <c r="P1623"/>
      <c r="Q1623" s="28" t="s">
        <v>655</v>
      </c>
      <c r="R1623" s="28" t="s">
        <v>656</v>
      </c>
      <c r="S1623" s="1" t="str">
        <f>VLOOKUP($E1623,'Product Naming'!$A$1:$P$58,2,FALSE)</f>
        <v>Octane</v>
      </c>
      <c r="T1623" s="1" t="str">
        <f>VLOOKUP($E1623,'Product Naming'!$A$1:$P$58,3,FALSE)</f>
        <v>Octane</v>
      </c>
      <c r="U1623" s="1" t="str">
        <f>VLOOKUP($E1623,'Product Naming'!$A$1:$P$58,4,FALSE)</f>
        <v>E</v>
      </c>
      <c r="V1623" s="1" t="str">
        <f>VLOOKUP($E1623,'Product Naming'!$A$1:$P$58,5,FALSE)</f>
        <v>C8H18</v>
      </c>
      <c r="W1623" s="1">
        <f>VLOOKUP($E1623,'Product Naming'!$A$1:$P$58,6,FALSE)</f>
        <v>8</v>
      </c>
      <c r="X1623" s="1">
        <f>VLOOKUP($E1623,'Product Naming'!$A$1:$P$58,7,FALSE)</f>
        <v>18</v>
      </c>
      <c r="Y1623" s="1">
        <f>VLOOKUP($E1623,'Product Naming'!$A$1:$P$58,8,FALSE)</f>
        <v>0</v>
      </c>
      <c r="Z1623" s="1">
        <f>VLOOKUP($E1623,'Product Naming'!$A$1:$P$58,9,FALSE)</f>
        <v>0</v>
      </c>
      <c r="AA1623" s="1">
        <f>VLOOKUP($E1623,'Product Naming'!$A$1:$P$58,10,FALSE)</f>
        <v>0</v>
      </c>
      <c r="AB1623" s="29">
        <f>VLOOKUP($E1623,'Product Naming'!$A$1:$P$58,11,FALSE)</f>
        <v>6.25</v>
      </c>
      <c r="AC1623" s="3">
        <f>VLOOKUP($E1623,'Product Naming'!$A$1:$P$58,12,FALSE)</f>
        <v>114.22672</v>
      </c>
      <c r="AD1623" s="1">
        <f>VLOOKUP($E1623,'Product Naming'!$A$1:$P$58,13,FALSE)</f>
        <v>126</v>
      </c>
      <c r="AE1623" s="1" t="str">
        <f>VLOOKUP($E1623,'Product Naming'!$A$1:$P$58,14,FALSE)</f>
        <v>Hydrocarbon (alkane)</v>
      </c>
      <c r="AF1623" s="1" t="str">
        <f>VLOOKUP($E1623,'Product Naming'!$A$1:$P$58,15,FALSE)</f>
        <v>Acetyl-CoA + Succinyl-CoA</v>
      </c>
      <c r="AG1623" s="30" t="str">
        <f>VLOOKUP($E1623,'Product Naming'!$A$1:$P$58,16,FALSE)</f>
        <v>Proton symporter</v>
      </c>
      <c r="AH1623" s="3" t="str">
        <f>VLOOKUP($E1623,'Product Naming'!$A$1:$Q$58,17,FALSE)</f>
        <v>octn_c</v>
      </c>
      <c r="AI1623" s="1">
        <f>VLOOKUP($E1623,'Product Parameters'!$A$2:$D$59,2,FALSE)</f>
        <v>1</v>
      </c>
      <c r="AJ1623" s="1">
        <f>VLOOKUP($E1623,'Product Parameters'!$A$2:$D$59,3,FALSE)</f>
        <v>0</v>
      </c>
      <c r="AK1623" s="1">
        <f>VLOOKUP($E1623,'Product Parameters'!$A$2:$D$59,4,FALSE)</f>
        <v>0.12</v>
      </c>
      <c r="AL1623" s="1">
        <f>VLOOKUP($E1623,'Product Parameters'!$A$2:$E$59,5,FALSE)</f>
        <v>41</v>
      </c>
      <c r="AM1623" s="1">
        <f>VLOOKUP($E1623,'Product Parameters'!$A$2:$F$59,6,FALSE)</f>
        <v>8</v>
      </c>
      <c r="AN1623" s="1">
        <f>VLOOKUP($C1623,'Substrate Heating'!$A$2:$C$33,3,FALSE)</f>
        <v>638.57832580000002</v>
      </c>
      <c r="AO1623" s="1">
        <f>VLOOKUP($C1623,'Substrate Heating'!$A$2:$B$33,2,FALSE)</f>
        <v>19.93</v>
      </c>
      <c r="AP1623" s="1">
        <f>VLOOKUP($C1623,'Substrate Heating'!$A$2:$M$33,13,FALSE)</f>
        <v>6</v>
      </c>
      <c r="AQ1623" s="1">
        <f>VLOOKUP($C1623,'Substrate Heating'!$A$2:$M$33,8,FALSE)</f>
        <v>1</v>
      </c>
      <c r="AR1623" s="1">
        <f t="shared" si="25"/>
        <v>0.81999999999998396</v>
      </c>
    </row>
    <row r="1624" spans="1:44" x14ac:dyDescent="0.2">
      <c r="A1624" s="8" t="s">
        <v>792</v>
      </c>
      <c r="B1624" s="18" t="s">
        <v>324</v>
      </c>
      <c r="C1624" t="s">
        <v>365</v>
      </c>
      <c r="D1624" s="23" t="s">
        <v>338</v>
      </c>
      <c r="E1624" t="s">
        <v>236</v>
      </c>
      <c r="F1624" t="s">
        <v>237</v>
      </c>
      <c r="G1624">
        <v>-10</v>
      </c>
      <c r="H1624">
        <v>0</v>
      </c>
      <c r="I1624">
        <v>0</v>
      </c>
      <c r="J1624">
        <v>0.45</v>
      </c>
      <c r="K1624">
        <v>-10</v>
      </c>
      <c r="L1624">
        <v>0</v>
      </c>
      <c r="M1624">
        <v>0</v>
      </c>
      <c r="N1624">
        <v>0</v>
      </c>
      <c r="O1624" s="28" t="s">
        <v>582</v>
      </c>
      <c r="P1624"/>
      <c r="Q1624" s="28" t="s">
        <v>583</v>
      </c>
      <c r="R1624" s="28" t="s">
        <v>584</v>
      </c>
      <c r="S1624" s="1" t="str">
        <f>VLOOKUP($E1624,'Product Naming'!$A$1:$P$58,2,FALSE)</f>
        <v>Hexane</v>
      </c>
      <c r="T1624" s="1" t="str">
        <f>VLOOKUP($E1624,'Product Naming'!$A$1:$P$58,3,FALSE)</f>
        <v>Hexane</v>
      </c>
      <c r="U1624" s="1" t="str">
        <f>VLOOKUP($E1624,'Product Naming'!$A$1:$P$58,4,FALSE)</f>
        <v>E</v>
      </c>
      <c r="V1624" s="1" t="str">
        <f>VLOOKUP($E1624,'Product Naming'!$A$1:$P$58,5,FALSE)</f>
        <v>C6H14</v>
      </c>
      <c r="W1624" s="1">
        <f>VLOOKUP($E1624,'Product Naming'!$A$1:$P$58,6,FALSE)</f>
        <v>6</v>
      </c>
      <c r="X1624" s="1">
        <f>VLOOKUP($E1624,'Product Naming'!$A$1:$P$58,7,FALSE)</f>
        <v>14</v>
      </c>
      <c r="Y1624" s="1">
        <f>VLOOKUP($E1624,'Product Naming'!$A$1:$P$58,8,FALSE)</f>
        <v>0</v>
      </c>
      <c r="Z1624" s="1">
        <f>VLOOKUP($E1624,'Product Naming'!$A$1:$P$58,9,FALSE)</f>
        <v>0</v>
      </c>
      <c r="AA1624" s="1">
        <f>VLOOKUP($E1624,'Product Naming'!$A$1:$P$58,10,FALSE)</f>
        <v>0</v>
      </c>
      <c r="AB1624" s="29">
        <f>VLOOKUP($E1624,'Product Naming'!$A$1:$P$58,11,FALSE)</f>
        <v>6.333333333333333</v>
      </c>
      <c r="AC1624" s="3">
        <f>VLOOKUP($E1624,'Product Naming'!$A$1:$P$58,12,FALSE)</f>
        <v>86.173959999999994</v>
      </c>
      <c r="AD1624" s="1">
        <f>VLOOKUP($E1624,'Product Naming'!$A$1:$P$58,13,FALSE)</f>
        <v>69</v>
      </c>
      <c r="AE1624" s="1" t="str">
        <f>VLOOKUP($E1624,'Product Naming'!$A$1:$P$58,14,FALSE)</f>
        <v>Hydrocarbon (alkane)</v>
      </c>
      <c r="AF1624" s="1" t="str">
        <f>VLOOKUP($E1624,'Product Naming'!$A$1:$P$58,15,FALSE)</f>
        <v>Acetyl-CoA + Succinyl-CoA</v>
      </c>
      <c r="AG1624" s="30" t="str">
        <f>VLOOKUP($E1624,'Product Naming'!$A$1:$P$58,16,FALSE)</f>
        <v>Proton symporter</v>
      </c>
      <c r="AH1624" s="3" t="str">
        <f>VLOOKUP($E1624,'Product Naming'!$A$1:$Q$58,17,FALSE)</f>
        <v>hex_c</v>
      </c>
      <c r="AI1624" s="1">
        <f>VLOOKUP($E1624,'Product Parameters'!$A$2:$D$59,2,FALSE)</f>
        <v>1</v>
      </c>
      <c r="AJ1624" s="1">
        <f>VLOOKUP($E1624,'Product Parameters'!$A$2:$D$59,3,FALSE)</f>
        <v>0</v>
      </c>
      <c r="AK1624" s="1">
        <f>VLOOKUP($E1624,'Product Parameters'!$A$2:$D$59,4,FALSE)</f>
        <v>0.12</v>
      </c>
      <c r="AL1624" s="1">
        <f>VLOOKUP($E1624,'Product Parameters'!$A$2:$E$59,5,FALSE)</f>
        <v>31</v>
      </c>
      <c r="AM1624" s="1">
        <f>VLOOKUP($E1624,'Product Parameters'!$A$2:$F$59,6,FALSE)</f>
        <v>6</v>
      </c>
      <c r="AN1624" s="1">
        <f>VLOOKUP($C1624,'Substrate Heating'!$A$2:$C$33,3,FALSE)</f>
        <v>638.57832580000002</v>
      </c>
      <c r="AO1624" s="1">
        <f>VLOOKUP($C1624,'Substrate Heating'!$A$2:$B$33,2,FALSE)</f>
        <v>19.93</v>
      </c>
      <c r="AP1624" s="1">
        <f>VLOOKUP($C1624,'Substrate Heating'!$A$2:$M$33,13,FALSE)</f>
        <v>6</v>
      </c>
      <c r="AQ1624" s="1">
        <f>VLOOKUP($C1624,'Substrate Heating'!$A$2:$M$33,8,FALSE)</f>
        <v>1</v>
      </c>
      <c r="AR1624" s="1">
        <f t="shared" si="25"/>
        <v>0.81999999999999595</v>
      </c>
    </row>
    <row r="1625" spans="1:44" x14ac:dyDescent="0.2">
      <c r="A1625" s="8" t="s">
        <v>792</v>
      </c>
      <c r="B1625" s="18" t="s">
        <v>324</v>
      </c>
      <c r="C1625" t="s">
        <v>371</v>
      </c>
      <c r="D1625" s="23" t="s">
        <v>338</v>
      </c>
      <c r="E1625" t="s">
        <v>295</v>
      </c>
      <c r="F1625" t="s">
        <v>292</v>
      </c>
      <c r="G1625">
        <v>-10</v>
      </c>
      <c r="H1625">
        <v>0</v>
      </c>
      <c r="I1625">
        <v>0</v>
      </c>
      <c r="J1625">
        <v>0.45</v>
      </c>
      <c r="K1625">
        <v>-10</v>
      </c>
      <c r="L1625">
        <v>0</v>
      </c>
      <c r="M1625">
        <v>0</v>
      </c>
      <c r="N1625">
        <v>0</v>
      </c>
      <c r="O1625" s="28" t="s">
        <v>688</v>
      </c>
      <c r="P1625"/>
      <c r="Q1625" s="28" t="s">
        <v>689</v>
      </c>
      <c r="R1625" s="28" t="s">
        <v>690</v>
      </c>
      <c r="S1625" s="1" t="str">
        <f>VLOOKUP($E1625,'Product Naming'!$A$1:$P$58,2,FALSE)</f>
        <v>Pentanol-PW2</v>
      </c>
      <c r="T1625" s="1" t="str">
        <f>VLOOKUP($E1625,'Product Naming'!$A$1:$P$58,3,FALSE)</f>
        <v>Pentanol (PW2)</v>
      </c>
      <c r="U1625" s="1" t="str">
        <f>VLOOKUP($E1625,'Product Naming'!$A$1:$P$58,4,FALSE)</f>
        <v>E</v>
      </c>
      <c r="V1625" s="1" t="str">
        <f>VLOOKUP($E1625,'Product Naming'!$A$1:$P$58,5,FALSE)</f>
        <v>C5H12O</v>
      </c>
      <c r="W1625" s="1">
        <f>VLOOKUP($E1625,'Product Naming'!$A$1:$P$58,6,FALSE)</f>
        <v>5</v>
      </c>
      <c r="X1625" s="1">
        <f>VLOOKUP($E1625,'Product Naming'!$A$1:$P$58,7,FALSE)</f>
        <v>12</v>
      </c>
      <c r="Y1625" s="1">
        <f>VLOOKUP($E1625,'Product Naming'!$A$1:$P$58,8,FALSE)</f>
        <v>1</v>
      </c>
      <c r="Z1625" s="1">
        <f>VLOOKUP($E1625,'Product Naming'!$A$1:$P$58,9,FALSE)</f>
        <v>0</v>
      </c>
      <c r="AA1625" s="1">
        <f>VLOOKUP($E1625,'Product Naming'!$A$1:$P$58,10,FALSE)</f>
        <v>0</v>
      </c>
      <c r="AB1625" s="29">
        <f>VLOOKUP($E1625,'Product Naming'!$A$1:$P$58,11,FALSE)</f>
        <v>6</v>
      </c>
      <c r="AC1625" s="3">
        <f>VLOOKUP($E1625,'Product Naming'!$A$1:$P$58,12,FALSE)</f>
        <v>88.14658</v>
      </c>
      <c r="AD1625" s="1">
        <f>VLOOKUP($E1625,'Product Naming'!$A$1:$P$58,13,FALSE)</f>
        <v>138</v>
      </c>
      <c r="AE1625" s="1" t="str">
        <f>VLOOKUP($E1625,'Product Naming'!$A$1:$P$58,14,FALSE)</f>
        <v>Alcohol</v>
      </c>
      <c r="AF1625" s="1" t="str">
        <f>VLOOKUP($E1625,'Product Naming'!$A$1:$P$58,15,FALSE)</f>
        <v>Oxaloacetate</v>
      </c>
      <c r="AG1625" s="30" t="str">
        <f>VLOOKUP($E1625,'Product Naming'!$A$1:$P$58,16,FALSE)</f>
        <v>Proton symporter</v>
      </c>
      <c r="AH1625" s="3" t="str">
        <f>VLOOKUP($E1625,'Product Naming'!$A$1:$Q$58,17,FALSE)</f>
        <v>pentoh_c</v>
      </c>
      <c r="AI1625" s="1">
        <f>VLOOKUP($E1625,'Product Parameters'!$A$2:$D$59,2,FALSE)</f>
        <v>1</v>
      </c>
      <c r="AJ1625" s="1">
        <f>VLOOKUP($E1625,'Product Parameters'!$A$2:$D$59,3,FALSE)</f>
        <v>0</v>
      </c>
      <c r="AK1625" s="1">
        <f>VLOOKUP($E1625,'Product Parameters'!$A$2:$D$59,4,FALSE)</f>
        <v>0.12</v>
      </c>
      <c r="AL1625" s="1">
        <f>VLOOKUP($E1625,'Product Parameters'!$A$2:$E$59,5,FALSE)</f>
        <v>57</v>
      </c>
      <c r="AM1625" s="1">
        <f>VLOOKUP($E1625,'Product Parameters'!$A$2:$F$59,6,FALSE)</f>
        <v>5</v>
      </c>
      <c r="AN1625" s="1">
        <f>VLOOKUP($C1625,'Substrate Heating'!$A$2:$C$33,3,FALSE)</f>
        <v>638.57832580000002</v>
      </c>
      <c r="AO1625" s="1">
        <f>VLOOKUP($C1625,'Substrate Heating'!$A$2:$B$33,2,FALSE)</f>
        <v>19.93</v>
      </c>
      <c r="AP1625" s="1">
        <f>VLOOKUP($C1625,'Substrate Heating'!$A$2:$M$33,13,FALSE)</f>
        <v>6</v>
      </c>
      <c r="AQ1625" s="1">
        <f>VLOOKUP($C1625,'Substrate Heating'!$A$2:$M$33,8,FALSE)</f>
        <v>1</v>
      </c>
      <c r="AR1625" s="1">
        <f t="shared" si="25"/>
        <v>0.676012461059185</v>
      </c>
    </row>
    <row r="1626" spans="1:44" x14ac:dyDescent="0.2">
      <c r="A1626" s="8" t="s">
        <v>792</v>
      </c>
      <c r="B1626" s="18" t="s">
        <v>324</v>
      </c>
      <c r="C1626" t="s">
        <v>372</v>
      </c>
      <c r="D1626" s="23" t="s">
        <v>338</v>
      </c>
      <c r="E1626" t="s">
        <v>306</v>
      </c>
      <c r="F1626" t="s">
        <v>302</v>
      </c>
      <c r="G1626">
        <v>-10</v>
      </c>
      <c r="H1626">
        <v>0</v>
      </c>
      <c r="I1626">
        <v>0</v>
      </c>
      <c r="J1626">
        <v>0.45</v>
      </c>
      <c r="K1626">
        <v>-10</v>
      </c>
      <c r="L1626">
        <v>0</v>
      </c>
      <c r="M1626">
        <v>0</v>
      </c>
      <c r="N1626" s="28" t="s">
        <v>803</v>
      </c>
      <c r="O1626" s="28" t="s">
        <v>804</v>
      </c>
      <c r="P1626"/>
      <c r="Q1626" s="28" t="s">
        <v>805</v>
      </c>
      <c r="R1626" s="28" t="s">
        <v>806</v>
      </c>
      <c r="S1626" s="1" t="str">
        <f>VLOOKUP($E1626,'Product Naming'!$A$1:$P$58,2,FALSE)</f>
        <v>Propane-PW2</v>
      </c>
      <c r="T1626" s="1" t="str">
        <f>VLOOKUP($E1626,'Product Naming'!$A$1:$P$58,3,FALSE)</f>
        <v>Propane (PW2)</v>
      </c>
      <c r="U1626" s="1" t="str">
        <f>VLOOKUP($E1626,'Product Naming'!$A$1:$P$58,4,FALSE)</f>
        <v>E</v>
      </c>
      <c r="V1626" s="1" t="str">
        <f>VLOOKUP($E1626,'Product Naming'!$A$1:$P$58,5,FALSE)</f>
        <v>C3H8</v>
      </c>
      <c r="W1626" s="1">
        <f>VLOOKUP($E1626,'Product Naming'!$A$1:$P$58,6,FALSE)</f>
        <v>3</v>
      </c>
      <c r="X1626" s="1">
        <f>VLOOKUP($E1626,'Product Naming'!$A$1:$P$58,7,FALSE)</f>
        <v>8</v>
      </c>
      <c r="Y1626" s="1">
        <f>VLOOKUP($E1626,'Product Naming'!$A$1:$P$58,8,FALSE)</f>
        <v>0</v>
      </c>
      <c r="Z1626" s="1">
        <f>VLOOKUP($E1626,'Product Naming'!$A$1:$P$58,9,FALSE)</f>
        <v>0</v>
      </c>
      <c r="AA1626" s="1">
        <f>VLOOKUP($E1626,'Product Naming'!$A$1:$P$58,10,FALSE)</f>
        <v>0</v>
      </c>
      <c r="AB1626" s="29">
        <f>VLOOKUP($E1626,'Product Naming'!$A$1:$P$58,11,FALSE)</f>
        <v>6.666666666666667</v>
      </c>
      <c r="AC1626" s="3">
        <f>VLOOKUP($E1626,'Product Naming'!$A$1:$P$58,12,FALSE)</f>
        <v>44.094819999999999</v>
      </c>
      <c r="AD1626" s="1">
        <f>VLOOKUP($E1626,'Product Naming'!$A$1:$P$58,13,FALSE)</f>
        <v>-42</v>
      </c>
      <c r="AE1626" s="1" t="str">
        <f>VLOOKUP($E1626,'Product Naming'!$A$1:$P$58,14,FALSE)</f>
        <v>Hydrocarbon</v>
      </c>
      <c r="AF1626" s="1" t="str">
        <f>VLOOKUP($E1626,'Product Naming'!$A$1:$P$58,15,FALSE)</f>
        <v>Oxaloacetate</v>
      </c>
      <c r="AG1626" s="30" t="str">
        <f>VLOOKUP($E1626,'Product Naming'!$A$1:$P$58,16,FALSE)</f>
        <v>Diffusion</v>
      </c>
      <c r="AH1626" s="3" t="str">
        <f>VLOOKUP($E1626,'Product Naming'!$A$1:$Q$58,17,FALSE)</f>
        <v>prop_c</v>
      </c>
      <c r="AI1626" s="1">
        <f>VLOOKUP($E1626,'Product Parameters'!$A$2:$D$59,2,FALSE)</f>
        <v>0</v>
      </c>
      <c r="AJ1626" s="1">
        <f>VLOOKUP($E1626,'Product Parameters'!$A$2:$D$59,3,FALSE)</f>
        <v>1</v>
      </c>
      <c r="AK1626" s="1">
        <f>VLOOKUP($E1626,'Product Parameters'!$A$2:$D$59,4,FALSE)</f>
        <v>0.12</v>
      </c>
      <c r="AL1626" s="1">
        <f>VLOOKUP($E1626,'Product Parameters'!$A$2:$E$59,5,FALSE)</f>
        <v>0</v>
      </c>
      <c r="AM1626" s="1">
        <f>VLOOKUP($E1626,'Product Parameters'!$A$2:$F$59,6,FALSE)</f>
        <v>3</v>
      </c>
      <c r="AN1626" s="1">
        <f>VLOOKUP($C1626,'Substrate Heating'!$A$2:$C$33,3,FALSE)</f>
        <v>638.57832580000002</v>
      </c>
      <c r="AO1626" s="1">
        <f>VLOOKUP($C1626,'Substrate Heating'!$A$2:$B$33,2,FALSE)</f>
        <v>19.93</v>
      </c>
      <c r="AP1626" s="1">
        <f>VLOOKUP($C1626,'Substrate Heating'!$A$2:$M$33,13,FALSE)</f>
        <v>6</v>
      </c>
      <c r="AQ1626" s="1">
        <f>VLOOKUP($C1626,'Substrate Heating'!$A$2:$M$33,8,FALSE)</f>
        <v>1</v>
      </c>
      <c r="AR1626" s="1">
        <f t="shared" si="25"/>
        <v>0.81157894736841896</v>
      </c>
    </row>
    <row r="1627" spans="1:44" x14ac:dyDescent="0.2">
      <c r="A1627" s="8" t="s">
        <v>792</v>
      </c>
      <c r="B1627" s="18" t="s">
        <v>324</v>
      </c>
      <c r="C1627" t="s">
        <v>369</v>
      </c>
      <c r="D1627" s="23" t="s">
        <v>338</v>
      </c>
      <c r="E1627" t="s">
        <v>275</v>
      </c>
      <c r="F1627" t="s">
        <v>276</v>
      </c>
      <c r="G1627">
        <v>-10</v>
      </c>
      <c r="H1627">
        <v>0</v>
      </c>
      <c r="I1627">
        <v>0</v>
      </c>
      <c r="J1627">
        <v>0.45</v>
      </c>
      <c r="K1627">
        <v>-10</v>
      </c>
      <c r="L1627">
        <v>0</v>
      </c>
      <c r="M1627" s="28" t="s">
        <v>632</v>
      </c>
      <c r="N1627">
        <v>0</v>
      </c>
      <c r="O1627" s="28" t="s">
        <v>633</v>
      </c>
      <c r="P1627"/>
      <c r="Q1627" s="28" t="s">
        <v>634</v>
      </c>
      <c r="R1627" s="28" t="s">
        <v>635</v>
      </c>
      <c r="S1627" s="1" t="str">
        <f>VLOOKUP($E1627,'Product Naming'!$A$1:$P$58,2,FALSE)</f>
        <v>Malonate</v>
      </c>
      <c r="T1627" s="1" t="str">
        <f>VLOOKUP($E1627,'Product Naming'!$A$1:$P$58,3,FALSE)</f>
        <v>Malonate</v>
      </c>
      <c r="U1627" s="1" t="str">
        <f>VLOOKUP($E1627,'Product Naming'!$A$1:$P$58,4,FALSE)</f>
        <v>A</v>
      </c>
      <c r="V1627" s="1" t="str">
        <f>VLOOKUP($E1627,'Product Naming'!$A$1:$P$58,5,FALSE)</f>
        <v>C3H2O4</v>
      </c>
      <c r="W1627" s="1">
        <f>VLOOKUP($E1627,'Product Naming'!$A$1:$P$58,6,FALSE)</f>
        <v>3</v>
      </c>
      <c r="X1627" s="1">
        <f>VLOOKUP($E1627,'Product Naming'!$A$1:$P$58,7,FALSE)</f>
        <v>2</v>
      </c>
      <c r="Y1627" s="1">
        <f>VLOOKUP($E1627,'Product Naming'!$A$1:$P$58,8,FALSE)</f>
        <v>4</v>
      </c>
      <c r="Z1627" s="1">
        <f>VLOOKUP($E1627,'Product Naming'!$A$1:$P$58,9,FALSE)</f>
        <v>0</v>
      </c>
      <c r="AA1627" s="1">
        <f>VLOOKUP($E1627,'Product Naming'!$A$1:$P$58,10,FALSE)</f>
        <v>-2</v>
      </c>
      <c r="AB1627" s="29">
        <f>VLOOKUP($E1627,'Product Naming'!$A$1:$P$58,11,FALSE)</f>
        <v>2</v>
      </c>
      <c r="AC1627" s="3">
        <f>VLOOKUP($E1627,'Product Naming'!$A$1:$P$58,12,FALSE)</f>
        <v>102.04378</v>
      </c>
      <c r="AD1627" s="1">
        <f>VLOOKUP($E1627,'Product Naming'!$A$1:$P$58,13,FALSE)</f>
        <v>199</v>
      </c>
      <c r="AE1627" s="1" t="str">
        <f>VLOOKUP($E1627,'Product Naming'!$A$1:$P$58,14,FALSE)</f>
        <v>Dicarboxylate</v>
      </c>
      <c r="AF1627" s="1" t="str">
        <f>VLOOKUP($E1627,'Product Naming'!$A$1:$P$58,15,FALSE)</f>
        <v>Oxaloacetate</v>
      </c>
      <c r="AG1627" s="30" t="str">
        <f>VLOOKUP($E1627,'Product Naming'!$A$1:$P$58,16,FALSE)</f>
        <v>Proton symporter</v>
      </c>
      <c r="AH1627" s="3" t="str">
        <f>VLOOKUP($E1627,'Product Naming'!$A$1:$Q$58,17,FALSE)</f>
        <v>malon_c</v>
      </c>
      <c r="AI1627" s="1">
        <f>VLOOKUP($E1627,'Product Parameters'!$A$2:$D$59,2,FALSE)</f>
        <v>1</v>
      </c>
      <c r="AJ1627" s="1">
        <f>VLOOKUP($E1627,'Product Parameters'!$A$2:$D$59,3,FALSE)</f>
        <v>0</v>
      </c>
      <c r="AK1627" s="1">
        <f>VLOOKUP($E1627,'Product Parameters'!$A$2:$D$59,4,FALSE)</f>
        <v>0.12</v>
      </c>
      <c r="AL1627" s="1">
        <f>VLOOKUP($E1627,'Product Parameters'!$A$2:$E$59,5,FALSE)</f>
        <v>40.65</v>
      </c>
      <c r="AM1627" s="1">
        <f>VLOOKUP($E1627,'Product Parameters'!$A$2:$F$59,6,FALSE)</f>
        <v>3</v>
      </c>
      <c r="AN1627" s="1">
        <f>VLOOKUP($C1627,'Substrate Heating'!$A$2:$C$33,3,FALSE)</f>
        <v>638.57832580000002</v>
      </c>
      <c r="AO1627" s="1">
        <f>VLOOKUP($C1627,'Substrate Heating'!$A$2:$B$33,2,FALSE)</f>
        <v>19.93</v>
      </c>
      <c r="AP1627" s="1">
        <f>VLOOKUP($C1627,'Substrate Heating'!$A$2:$M$33,13,FALSE)</f>
        <v>6</v>
      </c>
      <c r="AQ1627" s="1">
        <f>VLOOKUP($C1627,'Substrate Heating'!$A$2:$M$33,8,FALSE)</f>
        <v>1</v>
      </c>
      <c r="AR1627" s="1">
        <f t="shared" si="25"/>
        <v>0.34254545454545099</v>
      </c>
    </row>
    <row r="1628" spans="1:44" x14ac:dyDescent="0.2">
      <c r="A1628" s="8" t="s">
        <v>792</v>
      </c>
      <c r="B1628" s="18" t="s">
        <v>324</v>
      </c>
      <c r="C1628" t="s">
        <v>372</v>
      </c>
      <c r="D1628" s="23" t="s">
        <v>338</v>
      </c>
      <c r="E1628" t="s">
        <v>291</v>
      </c>
      <c r="F1628" t="s">
        <v>292</v>
      </c>
      <c r="G1628">
        <v>-10</v>
      </c>
      <c r="H1628">
        <v>0</v>
      </c>
      <c r="I1628">
        <v>0</v>
      </c>
      <c r="J1628">
        <v>0.45</v>
      </c>
      <c r="K1628">
        <v>-10</v>
      </c>
      <c r="L1628">
        <v>0</v>
      </c>
      <c r="M1628">
        <v>0</v>
      </c>
      <c r="N1628">
        <v>0</v>
      </c>
      <c r="O1628" s="28" t="s">
        <v>681</v>
      </c>
      <c r="P1628"/>
      <c r="Q1628" s="28" t="s">
        <v>682</v>
      </c>
      <c r="R1628" s="28" t="s">
        <v>683</v>
      </c>
      <c r="S1628" s="1" t="str">
        <f>VLOOKUP($E1628,'Product Naming'!$A$1:$P$58,2,FALSE)</f>
        <v>Pentanol-PW1</v>
      </c>
      <c r="T1628" s="1" t="str">
        <f>VLOOKUP($E1628,'Product Naming'!$A$1:$P$58,3,FALSE)</f>
        <v>Pentanol (PW1)</v>
      </c>
      <c r="U1628" s="1" t="str">
        <f>VLOOKUP($E1628,'Product Naming'!$A$1:$P$58,4,FALSE)</f>
        <v>E</v>
      </c>
      <c r="V1628" s="1" t="str">
        <f>VLOOKUP($E1628,'Product Naming'!$A$1:$P$58,5,FALSE)</f>
        <v>C5H12O</v>
      </c>
      <c r="W1628" s="1">
        <f>VLOOKUP($E1628,'Product Naming'!$A$1:$P$58,6,FALSE)</f>
        <v>5</v>
      </c>
      <c r="X1628" s="1">
        <f>VLOOKUP($E1628,'Product Naming'!$A$1:$P$58,7,FALSE)</f>
        <v>12</v>
      </c>
      <c r="Y1628" s="1">
        <f>VLOOKUP($E1628,'Product Naming'!$A$1:$P$58,8,FALSE)</f>
        <v>1</v>
      </c>
      <c r="Z1628" s="1">
        <f>VLOOKUP($E1628,'Product Naming'!$A$1:$P$58,9,FALSE)</f>
        <v>0</v>
      </c>
      <c r="AA1628" s="1">
        <f>VLOOKUP($E1628,'Product Naming'!$A$1:$P$58,10,FALSE)</f>
        <v>0</v>
      </c>
      <c r="AB1628" s="29">
        <f>VLOOKUP($E1628,'Product Naming'!$A$1:$P$58,11,FALSE)</f>
        <v>6</v>
      </c>
      <c r="AC1628" s="3">
        <f>VLOOKUP($E1628,'Product Naming'!$A$1:$P$58,12,FALSE)</f>
        <v>88.14658</v>
      </c>
      <c r="AD1628" s="1">
        <f>VLOOKUP($E1628,'Product Naming'!$A$1:$P$58,13,FALSE)</f>
        <v>138</v>
      </c>
      <c r="AE1628" s="1" t="str">
        <f>VLOOKUP($E1628,'Product Naming'!$A$1:$P$58,14,FALSE)</f>
        <v>Alcohol</v>
      </c>
      <c r="AF1628" s="1" t="str">
        <f>VLOOKUP($E1628,'Product Naming'!$A$1:$P$58,15,FALSE)</f>
        <v>Acetyl-CoA + Succinyl-CoA</v>
      </c>
      <c r="AG1628" s="30" t="str">
        <f>VLOOKUP($E1628,'Product Naming'!$A$1:$P$58,16,FALSE)</f>
        <v>Proton symporter</v>
      </c>
      <c r="AH1628" s="3" t="str">
        <f>VLOOKUP($E1628,'Product Naming'!$A$1:$Q$58,17,FALSE)</f>
        <v>pentoh_c</v>
      </c>
      <c r="AI1628" s="1">
        <f>VLOOKUP($E1628,'Product Parameters'!$A$2:$D$59,2,FALSE)</f>
        <v>1</v>
      </c>
      <c r="AJ1628" s="1">
        <f>VLOOKUP($E1628,'Product Parameters'!$A$2:$D$59,3,FALSE)</f>
        <v>0</v>
      </c>
      <c r="AK1628" s="1">
        <f>VLOOKUP($E1628,'Product Parameters'!$A$2:$D$59,4,FALSE)</f>
        <v>0.12</v>
      </c>
      <c r="AL1628" s="1">
        <f>VLOOKUP($E1628,'Product Parameters'!$A$2:$E$59,5,FALSE)</f>
        <v>57</v>
      </c>
      <c r="AM1628" s="1">
        <f>VLOOKUP($E1628,'Product Parameters'!$A$2:$F$59,6,FALSE)</f>
        <v>5</v>
      </c>
      <c r="AN1628" s="1">
        <f>VLOOKUP($C1628,'Substrate Heating'!$A$2:$C$33,3,FALSE)</f>
        <v>638.57832580000002</v>
      </c>
      <c r="AO1628" s="1">
        <f>VLOOKUP($C1628,'Substrate Heating'!$A$2:$B$33,2,FALSE)</f>
        <v>19.93</v>
      </c>
      <c r="AP1628" s="1">
        <f>VLOOKUP($C1628,'Substrate Heating'!$A$2:$M$33,13,FALSE)</f>
        <v>6</v>
      </c>
      <c r="AQ1628" s="1">
        <f>VLOOKUP($C1628,'Substrate Heating'!$A$2:$M$33,8,FALSE)</f>
        <v>1</v>
      </c>
      <c r="AR1628" s="1">
        <f t="shared" si="25"/>
        <v>0.70303030303030001</v>
      </c>
    </row>
    <row r="1629" spans="1:44" x14ac:dyDescent="0.2">
      <c r="A1629" s="8" t="s">
        <v>792</v>
      </c>
      <c r="B1629" s="18" t="s">
        <v>324</v>
      </c>
      <c r="C1629" t="s">
        <v>372</v>
      </c>
      <c r="D1629" s="23" t="s">
        <v>338</v>
      </c>
      <c r="E1629" t="s">
        <v>295</v>
      </c>
      <c r="F1629" t="s">
        <v>292</v>
      </c>
      <c r="G1629">
        <v>-10</v>
      </c>
      <c r="H1629">
        <v>0</v>
      </c>
      <c r="I1629">
        <v>0</v>
      </c>
      <c r="J1629">
        <v>0.45</v>
      </c>
      <c r="K1629">
        <v>-10</v>
      </c>
      <c r="L1629">
        <v>0</v>
      </c>
      <c r="M1629">
        <v>0</v>
      </c>
      <c r="N1629">
        <v>0</v>
      </c>
      <c r="O1629" s="28" t="s">
        <v>691</v>
      </c>
      <c r="P1629"/>
      <c r="Q1629" s="28" t="s">
        <v>692</v>
      </c>
      <c r="R1629" s="28" t="s">
        <v>693</v>
      </c>
      <c r="S1629" s="1" t="str">
        <f>VLOOKUP($E1629,'Product Naming'!$A$1:$P$58,2,FALSE)</f>
        <v>Pentanol-PW2</v>
      </c>
      <c r="T1629" s="1" t="str">
        <f>VLOOKUP($E1629,'Product Naming'!$A$1:$P$58,3,FALSE)</f>
        <v>Pentanol (PW2)</v>
      </c>
      <c r="U1629" s="1" t="str">
        <f>VLOOKUP($E1629,'Product Naming'!$A$1:$P$58,4,FALSE)</f>
        <v>E</v>
      </c>
      <c r="V1629" s="1" t="str">
        <f>VLOOKUP($E1629,'Product Naming'!$A$1:$P$58,5,FALSE)</f>
        <v>C5H12O</v>
      </c>
      <c r="W1629" s="1">
        <f>VLOOKUP($E1629,'Product Naming'!$A$1:$P$58,6,FALSE)</f>
        <v>5</v>
      </c>
      <c r="X1629" s="1">
        <f>VLOOKUP($E1629,'Product Naming'!$A$1:$P$58,7,FALSE)</f>
        <v>12</v>
      </c>
      <c r="Y1629" s="1">
        <f>VLOOKUP($E1629,'Product Naming'!$A$1:$P$58,8,FALSE)</f>
        <v>1</v>
      </c>
      <c r="Z1629" s="1">
        <f>VLOOKUP($E1629,'Product Naming'!$A$1:$P$58,9,FALSE)</f>
        <v>0</v>
      </c>
      <c r="AA1629" s="1">
        <f>VLOOKUP($E1629,'Product Naming'!$A$1:$P$58,10,FALSE)</f>
        <v>0</v>
      </c>
      <c r="AB1629" s="29">
        <f>VLOOKUP($E1629,'Product Naming'!$A$1:$P$58,11,FALSE)</f>
        <v>6</v>
      </c>
      <c r="AC1629" s="3">
        <f>VLOOKUP($E1629,'Product Naming'!$A$1:$P$58,12,FALSE)</f>
        <v>88.14658</v>
      </c>
      <c r="AD1629" s="1">
        <f>VLOOKUP($E1629,'Product Naming'!$A$1:$P$58,13,FALSE)</f>
        <v>138</v>
      </c>
      <c r="AE1629" s="1" t="str">
        <f>VLOOKUP($E1629,'Product Naming'!$A$1:$P$58,14,FALSE)</f>
        <v>Alcohol</v>
      </c>
      <c r="AF1629" s="1" t="str">
        <f>VLOOKUP($E1629,'Product Naming'!$A$1:$P$58,15,FALSE)</f>
        <v>Oxaloacetate</v>
      </c>
      <c r="AG1629" s="30" t="str">
        <f>VLOOKUP($E1629,'Product Naming'!$A$1:$P$58,16,FALSE)</f>
        <v>Proton symporter</v>
      </c>
      <c r="AH1629" s="3" t="str">
        <f>VLOOKUP($E1629,'Product Naming'!$A$1:$Q$58,17,FALSE)</f>
        <v>pentoh_c</v>
      </c>
      <c r="AI1629" s="1">
        <f>VLOOKUP($E1629,'Product Parameters'!$A$2:$D$59,2,FALSE)</f>
        <v>1</v>
      </c>
      <c r="AJ1629" s="1">
        <f>VLOOKUP($E1629,'Product Parameters'!$A$2:$D$59,3,FALSE)</f>
        <v>0</v>
      </c>
      <c r="AK1629" s="1">
        <f>VLOOKUP($E1629,'Product Parameters'!$A$2:$D$59,4,FALSE)</f>
        <v>0.12</v>
      </c>
      <c r="AL1629" s="1">
        <f>VLOOKUP($E1629,'Product Parameters'!$A$2:$E$59,5,FALSE)</f>
        <v>57</v>
      </c>
      <c r="AM1629" s="1">
        <f>VLOOKUP($E1629,'Product Parameters'!$A$2:$F$59,6,FALSE)</f>
        <v>5</v>
      </c>
      <c r="AN1629" s="1">
        <f>VLOOKUP($C1629,'Substrate Heating'!$A$2:$C$33,3,FALSE)</f>
        <v>638.57832580000002</v>
      </c>
      <c r="AO1629" s="1">
        <f>VLOOKUP($C1629,'Substrate Heating'!$A$2:$B$33,2,FALSE)</f>
        <v>19.93</v>
      </c>
      <c r="AP1629" s="1">
        <f>VLOOKUP($C1629,'Substrate Heating'!$A$2:$M$33,13,FALSE)</f>
        <v>6</v>
      </c>
      <c r="AQ1629" s="1">
        <f>VLOOKUP($C1629,'Substrate Heating'!$A$2:$M$33,8,FALSE)</f>
        <v>1</v>
      </c>
      <c r="AR1629" s="1">
        <f t="shared" si="25"/>
        <v>0.70303030303030001</v>
      </c>
    </row>
    <row r="1630" spans="1:44" x14ac:dyDescent="0.2">
      <c r="A1630" s="8" t="s">
        <v>792</v>
      </c>
      <c r="B1630" s="18" t="s">
        <v>324</v>
      </c>
      <c r="C1630" t="s">
        <v>371</v>
      </c>
      <c r="D1630" s="23" t="s">
        <v>338</v>
      </c>
      <c r="E1630" t="s">
        <v>52</v>
      </c>
      <c r="F1630" t="s">
        <v>53</v>
      </c>
      <c r="G1630">
        <v>-10</v>
      </c>
      <c r="H1630">
        <v>0</v>
      </c>
      <c r="I1630">
        <v>0</v>
      </c>
      <c r="J1630">
        <v>0.45</v>
      </c>
      <c r="K1630">
        <v>-10</v>
      </c>
      <c r="L1630">
        <v>0</v>
      </c>
      <c r="M1630" s="28" t="s">
        <v>379</v>
      </c>
      <c r="N1630">
        <v>0</v>
      </c>
      <c r="O1630" s="28" t="s">
        <v>380</v>
      </c>
      <c r="P1630"/>
      <c r="Q1630" s="28" t="s">
        <v>381</v>
      </c>
      <c r="R1630" s="28" t="s">
        <v>382</v>
      </c>
      <c r="S1630" s="1" t="str">
        <f>VLOOKUP($E1630,'Product Naming'!$A$1:$P$58,2,FALSE)</f>
        <v>1-3-Diaminopropane</v>
      </c>
      <c r="T1630" s="1" t="str">
        <f>VLOOKUP($E1630,'Product Naming'!$A$1:$P$58,3,FALSE)</f>
        <v>1,3-Diaminopropane</v>
      </c>
      <c r="U1630" s="1" t="str">
        <f>VLOOKUP($E1630,'Product Naming'!$A$1:$P$58,4,FALSE)</f>
        <v>A</v>
      </c>
      <c r="V1630" s="1" t="str">
        <f>VLOOKUP($E1630,'Product Naming'!$A$1:$P$58,5,FALSE)</f>
        <v>C3H12N2</v>
      </c>
      <c r="W1630" s="1">
        <f>VLOOKUP($E1630,'Product Naming'!$A$1:$P$58,6,FALSE)</f>
        <v>3</v>
      </c>
      <c r="X1630" s="1">
        <f>VLOOKUP($E1630,'Product Naming'!$A$1:$P$58,7,FALSE)</f>
        <v>12</v>
      </c>
      <c r="Y1630" s="1">
        <f>VLOOKUP($E1630,'Product Naming'!$A$1:$P$58,8,FALSE)</f>
        <v>0</v>
      </c>
      <c r="Z1630" s="1">
        <f>VLOOKUP($E1630,'Product Naming'!$A$1:$P$58,9,FALSE)</f>
        <v>2</v>
      </c>
      <c r="AA1630" s="1">
        <f>VLOOKUP($E1630,'Product Naming'!$A$1:$P$58,10,FALSE)</f>
        <v>2</v>
      </c>
      <c r="AB1630" s="29">
        <f>VLOOKUP($E1630,'Product Naming'!$A$1:$P$58,11,FALSE)</f>
        <v>6</v>
      </c>
      <c r="AC1630" s="3">
        <f>VLOOKUP($E1630,'Product Naming'!$A$1:$P$58,12,FALSE)</f>
        <v>76.139580000000009</v>
      </c>
      <c r="AD1630" s="1">
        <f>VLOOKUP($E1630,'Product Naming'!$A$1:$P$58,13,FALSE)</f>
        <v>139.30000000000001</v>
      </c>
      <c r="AE1630" s="1" t="str">
        <f>VLOOKUP($E1630,'Product Naming'!$A$1:$P$58,14,FALSE)</f>
        <v>Diamine</v>
      </c>
      <c r="AF1630" s="1" t="str">
        <f>VLOOKUP($E1630,'Product Naming'!$A$1:$P$58,15,FALSE)</f>
        <v>Oxaloacetate + aKG</v>
      </c>
      <c r="AG1630" s="30" t="str">
        <f>VLOOKUP($E1630,'Product Naming'!$A$1:$P$58,16,FALSE)</f>
        <v>Proton symporter</v>
      </c>
      <c r="AH1630" s="3" t="str">
        <f>VLOOKUP($E1630,'Product Naming'!$A$1:$Q$58,17,FALSE)</f>
        <v>13dampp_c</v>
      </c>
      <c r="AI1630" s="1">
        <f>VLOOKUP($E1630,'Product Parameters'!$A$2:$D$59,2,FALSE)</f>
        <v>1</v>
      </c>
      <c r="AJ1630" s="1">
        <f>VLOOKUP($E1630,'Product Parameters'!$A$2:$D$59,3,FALSE)</f>
        <v>0</v>
      </c>
      <c r="AK1630" s="1">
        <f>VLOOKUP($E1630,'Product Parameters'!$A$2:$D$59,4,FALSE)</f>
        <v>0.12</v>
      </c>
      <c r="AL1630" s="1">
        <f>VLOOKUP($E1630,'Product Parameters'!$A$2:$E$59,5,FALSE)</f>
        <v>50.18</v>
      </c>
      <c r="AM1630" s="1">
        <f>VLOOKUP($E1630,'Product Parameters'!$A$2:$F$59,6,FALSE)</f>
        <v>3</v>
      </c>
      <c r="AN1630" s="1">
        <f>VLOOKUP($C1630,'Substrate Heating'!$A$2:$C$33,3,FALSE)</f>
        <v>638.57832580000002</v>
      </c>
      <c r="AO1630" s="1">
        <f>VLOOKUP($C1630,'Substrate Heating'!$A$2:$B$33,2,FALSE)</f>
        <v>19.93</v>
      </c>
      <c r="AP1630" s="1">
        <f>VLOOKUP($C1630,'Substrate Heating'!$A$2:$M$33,13,FALSE)</f>
        <v>6</v>
      </c>
      <c r="AQ1630" s="1">
        <f>VLOOKUP($C1630,'Substrate Heating'!$A$2:$M$33,8,FALSE)</f>
        <v>1</v>
      </c>
      <c r="AR1630" s="1">
        <f t="shared" si="25"/>
        <v>0.49505703422053199</v>
      </c>
    </row>
    <row r="1631" spans="1:44" x14ac:dyDescent="0.2">
      <c r="A1631" s="8" t="s">
        <v>792</v>
      </c>
      <c r="B1631" s="18" t="s">
        <v>324</v>
      </c>
      <c r="C1631" t="s">
        <v>369</v>
      </c>
      <c r="D1631" s="23" t="s">
        <v>338</v>
      </c>
      <c r="E1631" t="s">
        <v>186</v>
      </c>
      <c r="F1631" t="s">
        <v>187</v>
      </c>
      <c r="G1631">
        <v>-10</v>
      </c>
      <c r="H1631">
        <v>0</v>
      </c>
      <c r="I1631">
        <v>0</v>
      </c>
      <c r="J1631">
        <v>0.45</v>
      </c>
      <c r="K1631">
        <v>-10</v>
      </c>
      <c r="L1631">
        <v>0</v>
      </c>
      <c r="M1631" s="28" t="s">
        <v>784</v>
      </c>
      <c r="N1631">
        <v>0</v>
      </c>
      <c r="O1631" s="28" t="s">
        <v>785</v>
      </c>
      <c r="P1631"/>
      <c r="Q1631">
        <v>6.5416666666666595E-2</v>
      </c>
      <c r="R1631" s="28" t="s">
        <v>786</v>
      </c>
      <c r="S1631" s="1" t="str">
        <f>VLOOKUP($E1631,'Product Naming'!$A$1:$P$58,2,FALSE)</f>
        <v>Citrate</v>
      </c>
      <c r="T1631" s="1" t="str">
        <f>VLOOKUP($E1631,'Product Naming'!$A$1:$P$58,3,FALSE)</f>
        <v>Citrate</v>
      </c>
      <c r="U1631" s="1" t="str">
        <f>VLOOKUP($E1631,'Product Naming'!$A$1:$P$58,4,FALSE)</f>
        <v>iJO1366</v>
      </c>
      <c r="V1631" s="1" t="str">
        <f>VLOOKUP($E1631,'Product Naming'!$A$1:$P$58,5,FALSE)</f>
        <v>C6H5O7</v>
      </c>
      <c r="W1631" s="1">
        <f>VLOOKUP($E1631,'Product Naming'!$A$1:$P$58,6,FALSE)</f>
        <v>6</v>
      </c>
      <c r="X1631" s="1">
        <f>VLOOKUP($E1631,'Product Naming'!$A$1:$P$58,7,FALSE)</f>
        <v>5</v>
      </c>
      <c r="Y1631" s="1">
        <f>VLOOKUP($E1631,'Product Naming'!$A$1:$P$58,8,FALSE)</f>
        <v>7</v>
      </c>
      <c r="Z1631" s="1">
        <f>VLOOKUP($E1631,'Product Naming'!$A$1:$P$58,9,FALSE)</f>
        <v>0</v>
      </c>
      <c r="AA1631" s="1">
        <f>VLOOKUP($E1631,'Product Naming'!$A$1:$P$58,10,FALSE)</f>
        <v>-3</v>
      </c>
      <c r="AB1631" s="29">
        <f>VLOOKUP($E1631,'Product Naming'!$A$1:$P$58,11,FALSE)</f>
        <v>2.5</v>
      </c>
      <c r="AC1631" s="3">
        <f>VLOOKUP($E1631,'Product Naming'!$A$1:$P$58,12,FALSE)</f>
        <v>189.09640000000002</v>
      </c>
      <c r="AD1631" s="1" t="str">
        <f>VLOOKUP($E1631,'Product Naming'!$A$1:$P$58,13,FALSE)</f>
        <v>NA</v>
      </c>
      <c r="AE1631" s="1" t="str">
        <f>VLOOKUP($E1631,'Product Naming'!$A$1:$P$58,14,FALSE)</f>
        <v>Tricarboxylate + Alcohol</v>
      </c>
      <c r="AF1631" s="1" t="str">
        <f>VLOOKUP($E1631,'Product Naming'!$A$1:$P$58,15,FALSE)</f>
        <v>Acetyl-CoA</v>
      </c>
      <c r="AG1631" s="30" t="str">
        <f>VLOOKUP($E1631,'Product Naming'!$A$1:$P$58,16,FALSE)</f>
        <v>Proton antiport</v>
      </c>
      <c r="AH1631" s="3" t="str">
        <f>VLOOKUP($E1631,'Product Naming'!$A$1:$Q$58,17,FALSE)</f>
        <v>cit_c</v>
      </c>
      <c r="AI1631" s="1">
        <f>VLOOKUP($E1631,'Product Parameters'!$A$2:$D$59,2,FALSE)</f>
        <v>1</v>
      </c>
      <c r="AJ1631" s="1">
        <f>VLOOKUP($E1631,'Product Parameters'!$A$2:$D$59,3,FALSE)</f>
        <v>0</v>
      </c>
      <c r="AK1631" s="1">
        <f>VLOOKUP($E1631,'Product Parameters'!$A$2:$D$59,4,FALSE)</f>
        <v>0.12</v>
      </c>
      <c r="AL1631" s="1">
        <f>VLOOKUP($E1631,'Product Parameters'!$A$2:$E$59,5,FALSE)</f>
        <v>40.65</v>
      </c>
      <c r="AM1631" s="1">
        <f>VLOOKUP($E1631,'Product Parameters'!$A$2:$F$59,6,FALSE)</f>
        <v>6</v>
      </c>
      <c r="AN1631" s="1">
        <f>VLOOKUP($C1631,'Substrate Heating'!$A$2:$C$33,3,FALSE)</f>
        <v>638.57832580000002</v>
      </c>
      <c r="AO1631" s="1">
        <f>VLOOKUP($C1631,'Substrate Heating'!$A$2:$B$33,2,FALSE)</f>
        <v>19.93</v>
      </c>
      <c r="AP1631" s="1">
        <f>VLOOKUP($C1631,'Substrate Heating'!$A$2:$M$33,13,FALSE)</f>
        <v>6</v>
      </c>
      <c r="AQ1631" s="1">
        <f>VLOOKUP($C1631,'Substrate Heating'!$A$2:$M$33,8,FALSE)</f>
        <v>1</v>
      </c>
      <c r="AR1631" s="1">
        <f t="shared" si="25"/>
        <v>0.39249999999999957</v>
      </c>
    </row>
    <row r="1632" spans="1:44" x14ac:dyDescent="0.2">
      <c r="A1632" s="8" t="s">
        <v>792</v>
      </c>
      <c r="B1632" s="18" t="s">
        <v>324</v>
      </c>
      <c r="C1632" t="s">
        <v>369</v>
      </c>
      <c r="D1632" s="23" t="s">
        <v>338</v>
      </c>
      <c r="E1632" t="s">
        <v>318</v>
      </c>
      <c r="F1632" t="s">
        <v>319</v>
      </c>
      <c r="G1632">
        <v>-10</v>
      </c>
      <c r="H1632">
        <v>0</v>
      </c>
      <c r="I1632">
        <v>0</v>
      </c>
      <c r="J1632">
        <v>0.45</v>
      </c>
      <c r="K1632">
        <v>-10</v>
      </c>
      <c r="L1632">
        <v>0</v>
      </c>
      <c r="M1632" s="28" t="s">
        <v>759</v>
      </c>
      <c r="N1632">
        <v>0</v>
      </c>
      <c r="O1632" s="28" t="s">
        <v>760</v>
      </c>
      <c r="P1632"/>
      <c r="Q1632" s="28" t="s">
        <v>761</v>
      </c>
      <c r="R1632" s="28" t="s">
        <v>762</v>
      </c>
      <c r="S1632" s="1" t="str">
        <f>VLOOKUP($E1632,'Product Naming'!$A$1:$P$58,2,FALSE)</f>
        <v>Succinate</v>
      </c>
      <c r="T1632" s="1" t="str">
        <f>VLOOKUP($E1632,'Product Naming'!$A$1:$P$58,3,FALSE)</f>
        <v>Succinate</v>
      </c>
      <c r="U1632" s="1" t="str">
        <f>VLOOKUP($E1632,'Product Naming'!$A$1:$P$58,4,FALSE)</f>
        <v>iJO1366</v>
      </c>
      <c r="V1632" s="1" t="str">
        <f>VLOOKUP($E1632,'Product Naming'!$A$1:$P$58,5,FALSE)</f>
        <v>C4H4O4</v>
      </c>
      <c r="W1632" s="1">
        <f>VLOOKUP($E1632,'Product Naming'!$A$1:$P$58,6,FALSE)</f>
        <v>4</v>
      </c>
      <c r="X1632" s="1">
        <f>VLOOKUP($E1632,'Product Naming'!$A$1:$P$58,7,FALSE)</f>
        <v>4</v>
      </c>
      <c r="Y1632" s="1">
        <f>VLOOKUP($E1632,'Product Naming'!$A$1:$P$58,8,FALSE)</f>
        <v>4</v>
      </c>
      <c r="Z1632" s="1">
        <f>VLOOKUP($E1632,'Product Naming'!$A$1:$P$58,9,FALSE)</f>
        <v>0</v>
      </c>
      <c r="AA1632" s="1">
        <f>VLOOKUP($E1632,'Product Naming'!$A$1:$P$58,10,FALSE)</f>
        <v>-2</v>
      </c>
      <c r="AB1632" s="29">
        <f>VLOOKUP($E1632,'Product Naming'!$A$1:$P$58,11,FALSE)</f>
        <v>3</v>
      </c>
      <c r="AC1632" s="3">
        <f>VLOOKUP($E1632,'Product Naming'!$A$1:$P$58,12,FALSE)</f>
        <v>116.07016</v>
      </c>
      <c r="AD1632" s="1">
        <f>VLOOKUP($E1632,'Product Naming'!$A$1:$P$58,13,FALSE)</f>
        <v>235</v>
      </c>
      <c r="AE1632" s="1" t="str">
        <f>VLOOKUP($E1632,'Product Naming'!$A$1:$P$58,14,FALSE)</f>
        <v>Dicarboxylate</v>
      </c>
      <c r="AF1632" s="1" t="str">
        <f>VLOOKUP($E1632,'Product Naming'!$A$1:$P$58,15,FALSE)</f>
        <v>Oxaloacetate</v>
      </c>
      <c r="AG1632" s="30" t="str">
        <f>VLOOKUP($E1632,'Product Naming'!$A$1:$P$58,16,FALSE)</f>
        <v>Proton symporter</v>
      </c>
      <c r="AH1632" s="3" t="str">
        <f>VLOOKUP($E1632,'Product Naming'!$A$1:$Q$58,17,FALSE)</f>
        <v>succ_c</v>
      </c>
      <c r="AI1632" s="1">
        <f>VLOOKUP($E1632,'Product Parameters'!$A$2:$D$59,2,FALSE)</f>
        <v>1</v>
      </c>
      <c r="AJ1632" s="1">
        <f>VLOOKUP($E1632,'Product Parameters'!$A$2:$D$59,3,FALSE)</f>
        <v>0</v>
      </c>
      <c r="AK1632" s="1">
        <f>VLOOKUP($E1632,'Product Parameters'!$A$2:$D$59,4,FALSE)</f>
        <v>0.12</v>
      </c>
      <c r="AL1632" s="1">
        <f>VLOOKUP($E1632,'Product Parameters'!$A$2:$E$59,5,FALSE)</f>
        <v>40.65</v>
      </c>
      <c r="AM1632" s="1">
        <f>VLOOKUP($E1632,'Product Parameters'!$A$2:$F$59,6,FALSE)</f>
        <v>4</v>
      </c>
      <c r="AN1632" s="1">
        <f>VLOOKUP($C1632,'Substrate Heating'!$A$2:$C$33,3,FALSE)</f>
        <v>638.57832580000002</v>
      </c>
      <c r="AO1632" s="1">
        <f>VLOOKUP($C1632,'Substrate Heating'!$A$2:$B$33,2,FALSE)</f>
        <v>19.93</v>
      </c>
      <c r="AP1632" s="1">
        <f>VLOOKUP($C1632,'Substrate Heating'!$A$2:$M$33,13,FALSE)</f>
        <v>6</v>
      </c>
      <c r="AQ1632" s="1">
        <f>VLOOKUP($C1632,'Substrate Heating'!$A$2:$M$33,8,FALSE)</f>
        <v>1</v>
      </c>
      <c r="AR1632" s="1">
        <f t="shared" si="25"/>
        <v>0.43310344827586</v>
      </c>
    </row>
    <row r="1633" spans="1:44" x14ac:dyDescent="0.2">
      <c r="A1633" s="8" t="s">
        <v>792</v>
      </c>
      <c r="B1633" s="18" t="s">
        <v>324</v>
      </c>
      <c r="C1633" t="s">
        <v>369</v>
      </c>
      <c r="D1633" s="23" t="s">
        <v>338</v>
      </c>
      <c r="E1633" t="s">
        <v>269</v>
      </c>
      <c r="F1633" t="s">
        <v>270</v>
      </c>
      <c r="G1633">
        <v>-10</v>
      </c>
      <c r="H1633">
        <v>0</v>
      </c>
      <c r="I1633">
        <v>0</v>
      </c>
      <c r="J1633">
        <v>0.45</v>
      </c>
      <c r="K1633">
        <v>-10</v>
      </c>
      <c r="L1633">
        <v>0</v>
      </c>
      <c r="M1633" s="28" t="s">
        <v>745</v>
      </c>
      <c r="N1633">
        <v>0</v>
      </c>
      <c r="O1633" s="28" t="s">
        <v>746</v>
      </c>
      <c r="P1633"/>
      <c r="Q1633">
        <v>9.5151515151515098E-2</v>
      </c>
      <c r="R1633" s="28" t="s">
        <v>747</v>
      </c>
      <c r="S1633" s="1" t="str">
        <f>VLOOKUP($E1633,'Product Naming'!$A$1:$P$58,2,FALSE)</f>
        <v>Malate_L</v>
      </c>
      <c r="T1633" s="1" t="str">
        <f>VLOOKUP($E1633,'Product Naming'!$A$1:$P$58,3,FALSE)</f>
        <v>L-Malate</v>
      </c>
      <c r="U1633" s="1" t="str">
        <f>VLOOKUP($E1633,'Product Naming'!$A$1:$P$58,4,FALSE)</f>
        <v>iJO1366</v>
      </c>
      <c r="V1633" s="1" t="str">
        <f>VLOOKUP($E1633,'Product Naming'!$A$1:$P$58,5,FALSE)</f>
        <v>C4H4O5</v>
      </c>
      <c r="W1633" s="1">
        <f>VLOOKUP($E1633,'Product Naming'!$A$1:$P$58,6,FALSE)</f>
        <v>4</v>
      </c>
      <c r="X1633" s="1">
        <f>VLOOKUP($E1633,'Product Naming'!$A$1:$P$58,7,FALSE)</f>
        <v>4</v>
      </c>
      <c r="Y1633" s="1">
        <f>VLOOKUP($E1633,'Product Naming'!$A$1:$P$58,8,FALSE)</f>
        <v>5</v>
      </c>
      <c r="Z1633" s="1">
        <f>VLOOKUP($E1633,'Product Naming'!$A$1:$P$58,9,FALSE)</f>
        <v>0</v>
      </c>
      <c r="AA1633" s="1">
        <f>VLOOKUP($E1633,'Product Naming'!$A$1:$P$58,10,FALSE)</f>
        <v>-2</v>
      </c>
      <c r="AB1633" s="29">
        <f>VLOOKUP($E1633,'Product Naming'!$A$1:$P$58,11,FALSE)</f>
        <v>2.5</v>
      </c>
      <c r="AC1633" s="3">
        <f>VLOOKUP($E1633,'Product Naming'!$A$1:$P$58,12,FALSE)</f>
        <v>132.06916000000001</v>
      </c>
      <c r="AD1633" s="1" t="str">
        <f>VLOOKUP($E1633,'Product Naming'!$A$1:$P$58,13,FALSE)</f>
        <v>NA</v>
      </c>
      <c r="AE1633" s="1" t="str">
        <f>VLOOKUP($E1633,'Product Naming'!$A$1:$P$58,14,FALSE)</f>
        <v>Dicarboxylate</v>
      </c>
      <c r="AF1633" s="1" t="str">
        <f>VLOOKUP($E1633,'Product Naming'!$A$1:$P$58,15,FALSE)</f>
        <v>Oxaloacetate</v>
      </c>
      <c r="AG1633" s="30" t="str">
        <f>VLOOKUP($E1633,'Product Naming'!$A$1:$P$58,16,FALSE)</f>
        <v>Proton symporter</v>
      </c>
      <c r="AH1633" s="3" t="str">
        <f>VLOOKUP($E1633,'Product Naming'!$A$1:$Q$58,17,FALSE)</f>
        <v>mal__L_e</v>
      </c>
      <c r="AI1633" s="1">
        <f>VLOOKUP($E1633,'Product Parameters'!$A$2:$D$59,2,FALSE)</f>
        <v>1</v>
      </c>
      <c r="AJ1633" s="1">
        <f>VLOOKUP($E1633,'Product Parameters'!$A$2:$D$59,3,FALSE)</f>
        <v>0</v>
      </c>
      <c r="AK1633" s="1">
        <f>VLOOKUP($E1633,'Product Parameters'!$A$2:$D$59,4,FALSE)</f>
        <v>0.12</v>
      </c>
      <c r="AL1633" s="1">
        <f>VLOOKUP($E1633,'Product Parameters'!$A$2:$E$59,5,FALSE)</f>
        <v>40.65</v>
      </c>
      <c r="AM1633" s="1">
        <f>VLOOKUP($E1633,'Product Parameters'!$A$2:$F$59,6,FALSE)</f>
        <v>4</v>
      </c>
      <c r="AN1633" s="1">
        <f>VLOOKUP($C1633,'Substrate Heating'!$A$2:$C$33,3,FALSE)</f>
        <v>638.57832580000002</v>
      </c>
      <c r="AO1633" s="1">
        <f>VLOOKUP($C1633,'Substrate Heating'!$A$2:$B$33,2,FALSE)</f>
        <v>19.93</v>
      </c>
      <c r="AP1633" s="1">
        <f>VLOOKUP($C1633,'Substrate Heating'!$A$2:$M$33,13,FALSE)</f>
        <v>6</v>
      </c>
      <c r="AQ1633" s="1">
        <f>VLOOKUP($C1633,'Substrate Heating'!$A$2:$M$33,8,FALSE)</f>
        <v>1</v>
      </c>
      <c r="AR1633" s="1">
        <f t="shared" si="25"/>
        <v>0.38060606060606039</v>
      </c>
    </row>
    <row r="1634" spans="1:44" x14ac:dyDescent="0.2">
      <c r="A1634" s="8" t="s">
        <v>792</v>
      </c>
      <c r="B1634" s="18" t="s">
        <v>324</v>
      </c>
      <c r="C1634" t="s">
        <v>365</v>
      </c>
      <c r="D1634" s="23" t="s">
        <v>338</v>
      </c>
      <c r="E1634" t="s">
        <v>287</v>
      </c>
      <c r="F1634" t="s">
        <v>288</v>
      </c>
      <c r="G1634">
        <v>-10</v>
      </c>
      <c r="H1634">
        <v>0</v>
      </c>
      <c r="I1634">
        <v>0</v>
      </c>
      <c r="J1634">
        <v>0.45</v>
      </c>
      <c r="K1634">
        <v>-10</v>
      </c>
      <c r="L1634">
        <v>0</v>
      </c>
      <c r="M1634">
        <v>0</v>
      </c>
      <c r="N1634" s="28" t="s">
        <v>665</v>
      </c>
      <c r="O1634" s="28" t="s">
        <v>666</v>
      </c>
      <c r="P1634"/>
      <c r="Q1634" s="28" t="s">
        <v>667</v>
      </c>
      <c r="R1634" s="28" t="s">
        <v>668</v>
      </c>
      <c r="S1634" s="1" t="str">
        <f>VLOOKUP($E1634,'Product Naming'!$A$1:$P$58,2,FALSE)</f>
        <v>Pentane</v>
      </c>
      <c r="T1634" s="1" t="str">
        <f>VLOOKUP($E1634,'Product Naming'!$A$1:$P$58,3,FALSE)</f>
        <v>Pentane</v>
      </c>
      <c r="U1634" s="1" t="str">
        <f>VLOOKUP($E1634,'Product Naming'!$A$1:$P$58,4,FALSE)</f>
        <v>E</v>
      </c>
      <c r="V1634" s="1" t="str">
        <f>VLOOKUP($E1634,'Product Naming'!$A$1:$P$58,5,FALSE)</f>
        <v>C5H12</v>
      </c>
      <c r="W1634" s="1">
        <f>VLOOKUP($E1634,'Product Naming'!$A$1:$P$58,6,FALSE)</f>
        <v>5</v>
      </c>
      <c r="X1634" s="1">
        <f>VLOOKUP($E1634,'Product Naming'!$A$1:$P$58,7,FALSE)</f>
        <v>12</v>
      </c>
      <c r="Y1634" s="1">
        <f>VLOOKUP($E1634,'Product Naming'!$A$1:$P$58,8,FALSE)</f>
        <v>0</v>
      </c>
      <c r="Z1634" s="1">
        <f>VLOOKUP($E1634,'Product Naming'!$A$1:$P$58,9,FALSE)</f>
        <v>0</v>
      </c>
      <c r="AA1634" s="1">
        <f>VLOOKUP($E1634,'Product Naming'!$A$1:$P$58,10,FALSE)</f>
        <v>0</v>
      </c>
      <c r="AB1634" s="29">
        <f>VLOOKUP($E1634,'Product Naming'!$A$1:$P$58,11,FALSE)</f>
        <v>6.4</v>
      </c>
      <c r="AC1634" s="3">
        <f>VLOOKUP($E1634,'Product Naming'!$A$1:$P$58,12,FALSE)</f>
        <v>72.147580000000005</v>
      </c>
      <c r="AD1634" s="1">
        <f>VLOOKUP($E1634,'Product Naming'!$A$1:$P$58,13,FALSE)</f>
        <v>36.1</v>
      </c>
      <c r="AE1634" s="1" t="str">
        <f>VLOOKUP($E1634,'Product Naming'!$A$1:$P$58,14,FALSE)</f>
        <v>Hydrocarbon (alkane)</v>
      </c>
      <c r="AF1634" s="1" t="str">
        <f>VLOOKUP($E1634,'Product Naming'!$A$1:$P$58,15,FALSE)</f>
        <v>Acetyl-CoA</v>
      </c>
      <c r="AG1634" s="30" t="str">
        <f>VLOOKUP($E1634,'Product Naming'!$A$1:$P$58,16,FALSE)</f>
        <v>Diffusion</v>
      </c>
      <c r="AH1634" s="3" t="str">
        <f>VLOOKUP($E1634,'Product Naming'!$A$1:$Q$58,17,FALSE)</f>
        <v>pent_c</v>
      </c>
      <c r="AI1634" s="1">
        <f>VLOOKUP($E1634,'Product Parameters'!$A$2:$D$59,2,FALSE)</f>
        <v>0</v>
      </c>
      <c r="AJ1634" s="1">
        <f>VLOOKUP($E1634,'Product Parameters'!$A$2:$D$59,3,FALSE)</f>
        <v>1</v>
      </c>
      <c r="AK1634" s="1">
        <f>VLOOKUP($E1634,'Product Parameters'!$A$2:$D$59,4,FALSE)</f>
        <v>0.12</v>
      </c>
      <c r="AL1634" s="1">
        <f>VLOOKUP($E1634,'Product Parameters'!$A$2:$E$59,5,FALSE)</f>
        <v>26.5</v>
      </c>
      <c r="AM1634" s="1">
        <f>VLOOKUP($E1634,'Product Parameters'!$A$2:$F$59,6,FALSE)</f>
        <v>5</v>
      </c>
      <c r="AN1634" s="1">
        <f>VLOOKUP($C1634,'Substrate Heating'!$A$2:$C$33,3,FALSE)</f>
        <v>638.57832580000002</v>
      </c>
      <c r="AO1634" s="1">
        <f>VLOOKUP($C1634,'Substrate Heating'!$A$2:$B$33,2,FALSE)</f>
        <v>19.93</v>
      </c>
      <c r="AP1634" s="1">
        <f>VLOOKUP($C1634,'Substrate Heating'!$A$2:$M$33,13,FALSE)</f>
        <v>6</v>
      </c>
      <c r="AQ1634" s="1">
        <f>VLOOKUP($C1634,'Substrate Heating'!$A$2:$M$33,8,FALSE)</f>
        <v>1</v>
      </c>
      <c r="AR1634" s="1">
        <f t="shared" si="25"/>
        <v>0.90999999999999504</v>
      </c>
    </row>
    <row r="1635" spans="1:44" x14ac:dyDescent="0.2">
      <c r="A1635" s="8" t="s">
        <v>792</v>
      </c>
      <c r="B1635" s="18" t="s">
        <v>324</v>
      </c>
      <c r="C1635" t="s">
        <v>365</v>
      </c>
      <c r="D1635" s="23" t="s">
        <v>338</v>
      </c>
      <c r="E1635" t="s">
        <v>301</v>
      </c>
      <c r="F1635" t="s">
        <v>302</v>
      </c>
      <c r="G1635">
        <v>-10</v>
      </c>
      <c r="H1635">
        <v>0</v>
      </c>
      <c r="I1635">
        <v>0</v>
      </c>
      <c r="J1635">
        <v>0.45</v>
      </c>
      <c r="K1635">
        <v>-10</v>
      </c>
      <c r="L1635">
        <v>0</v>
      </c>
      <c r="M1635">
        <v>0</v>
      </c>
      <c r="N1635">
        <v>1</v>
      </c>
      <c r="O1635">
        <v>3</v>
      </c>
      <c r="P1635"/>
      <c r="Q1635">
        <v>0.3</v>
      </c>
      <c r="R1635" s="28" t="s">
        <v>703</v>
      </c>
      <c r="S1635" s="1" t="str">
        <f>VLOOKUP($E1635,'Product Naming'!$A$1:$P$58,2,FALSE)</f>
        <v>Propane-PW1</v>
      </c>
      <c r="T1635" s="1" t="str">
        <f>VLOOKUP($E1635,'Product Naming'!$A$1:$P$58,3,FALSE)</f>
        <v>Propane (PW1)</v>
      </c>
      <c r="U1635" s="1" t="str">
        <f>VLOOKUP($E1635,'Product Naming'!$A$1:$P$58,4,FALSE)</f>
        <v>E</v>
      </c>
      <c r="V1635" s="1" t="str">
        <f>VLOOKUP($E1635,'Product Naming'!$A$1:$P$58,5,FALSE)</f>
        <v>C3H8</v>
      </c>
      <c r="W1635" s="1">
        <f>VLOOKUP($E1635,'Product Naming'!$A$1:$P$58,6,FALSE)</f>
        <v>3</v>
      </c>
      <c r="X1635" s="1">
        <f>VLOOKUP($E1635,'Product Naming'!$A$1:$P$58,7,FALSE)</f>
        <v>8</v>
      </c>
      <c r="Y1635" s="1">
        <f>VLOOKUP($E1635,'Product Naming'!$A$1:$P$58,8,FALSE)</f>
        <v>0</v>
      </c>
      <c r="Z1635" s="1">
        <f>VLOOKUP($E1635,'Product Naming'!$A$1:$P$58,9,FALSE)</f>
        <v>0</v>
      </c>
      <c r="AA1635" s="1">
        <f>VLOOKUP($E1635,'Product Naming'!$A$1:$P$58,10,FALSE)</f>
        <v>0</v>
      </c>
      <c r="AB1635" s="29">
        <f>VLOOKUP($E1635,'Product Naming'!$A$1:$P$58,11,FALSE)</f>
        <v>6.666666666666667</v>
      </c>
      <c r="AC1635" s="3">
        <f>VLOOKUP($E1635,'Product Naming'!$A$1:$P$58,12,FALSE)</f>
        <v>44.094819999999999</v>
      </c>
      <c r="AD1635" s="1">
        <f>VLOOKUP($E1635,'Product Naming'!$A$1:$P$58,13,FALSE)</f>
        <v>-42</v>
      </c>
      <c r="AE1635" s="1" t="str">
        <f>VLOOKUP($E1635,'Product Naming'!$A$1:$P$58,14,FALSE)</f>
        <v>Hydrocarbon</v>
      </c>
      <c r="AF1635" s="1" t="str">
        <f>VLOOKUP($E1635,'Product Naming'!$A$1:$P$58,15,FALSE)</f>
        <v>Acetyl-CoA</v>
      </c>
      <c r="AG1635" s="30" t="str">
        <f>VLOOKUP($E1635,'Product Naming'!$A$1:$P$58,16,FALSE)</f>
        <v>Diffusion</v>
      </c>
      <c r="AH1635" s="3" t="str">
        <f>VLOOKUP($E1635,'Product Naming'!$A$1:$Q$58,17,FALSE)</f>
        <v>prop_c</v>
      </c>
      <c r="AI1635" s="1">
        <f>VLOOKUP($E1635,'Product Parameters'!$A$2:$D$59,2,FALSE)</f>
        <v>0</v>
      </c>
      <c r="AJ1635" s="1">
        <f>VLOOKUP($E1635,'Product Parameters'!$A$2:$D$59,3,FALSE)</f>
        <v>1</v>
      </c>
      <c r="AK1635" s="1">
        <f>VLOOKUP($E1635,'Product Parameters'!$A$2:$D$59,4,FALSE)</f>
        <v>0.12</v>
      </c>
      <c r="AL1635" s="1">
        <f>VLOOKUP($E1635,'Product Parameters'!$A$2:$E$59,5,FALSE)</f>
        <v>0</v>
      </c>
      <c r="AM1635" s="1">
        <f>VLOOKUP($E1635,'Product Parameters'!$A$2:$F$59,6,FALSE)</f>
        <v>3</v>
      </c>
      <c r="AN1635" s="1">
        <f>VLOOKUP($C1635,'Substrate Heating'!$A$2:$C$33,3,FALSE)</f>
        <v>638.57832580000002</v>
      </c>
      <c r="AO1635" s="1">
        <f>VLOOKUP($C1635,'Substrate Heating'!$A$2:$B$33,2,FALSE)</f>
        <v>19.93</v>
      </c>
      <c r="AP1635" s="1">
        <f>VLOOKUP($C1635,'Substrate Heating'!$A$2:$M$33,13,FALSE)</f>
        <v>6</v>
      </c>
      <c r="AQ1635" s="1">
        <f>VLOOKUP($C1635,'Substrate Heating'!$A$2:$M$33,8,FALSE)</f>
        <v>1</v>
      </c>
      <c r="AR1635" s="1">
        <f t="shared" si="25"/>
        <v>0.89999999999999991</v>
      </c>
    </row>
    <row r="1636" spans="1:44" x14ac:dyDescent="0.2">
      <c r="A1636" s="8" t="s">
        <v>792</v>
      </c>
      <c r="B1636" s="18" t="s">
        <v>324</v>
      </c>
      <c r="C1636" t="s">
        <v>369</v>
      </c>
      <c r="D1636" s="23" t="s">
        <v>338</v>
      </c>
      <c r="E1636" t="s">
        <v>301</v>
      </c>
      <c r="F1636" t="s">
        <v>302</v>
      </c>
      <c r="G1636">
        <v>-10</v>
      </c>
      <c r="H1636">
        <v>0</v>
      </c>
      <c r="I1636">
        <v>0</v>
      </c>
      <c r="J1636">
        <v>0.45</v>
      </c>
      <c r="K1636">
        <v>-10</v>
      </c>
      <c r="L1636">
        <v>0</v>
      </c>
      <c r="M1636">
        <v>0</v>
      </c>
      <c r="N1636">
        <v>1</v>
      </c>
      <c r="O1636">
        <v>3</v>
      </c>
      <c r="P1636"/>
      <c r="Q1636">
        <v>0.3</v>
      </c>
      <c r="R1636" s="28" t="s">
        <v>703</v>
      </c>
      <c r="S1636" s="1" t="str">
        <f>VLOOKUP($E1636,'Product Naming'!$A$1:$P$58,2,FALSE)</f>
        <v>Propane-PW1</v>
      </c>
      <c r="T1636" s="1" t="str">
        <f>VLOOKUP($E1636,'Product Naming'!$A$1:$P$58,3,FALSE)</f>
        <v>Propane (PW1)</v>
      </c>
      <c r="U1636" s="1" t="str">
        <f>VLOOKUP($E1636,'Product Naming'!$A$1:$P$58,4,FALSE)</f>
        <v>E</v>
      </c>
      <c r="V1636" s="1" t="str">
        <f>VLOOKUP($E1636,'Product Naming'!$A$1:$P$58,5,FALSE)</f>
        <v>C3H8</v>
      </c>
      <c r="W1636" s="1">
        <f>VLOOKUP($E1636,'Product Naming'!$A$1:$P$58,6,FALSE)</f>
        <v>3</v>
      </c>
      <c r="X1636" s="1">
        <f>VLOOKUP($E1636,'Product Naming'!$A$1:$P$58,7,FALSE)</f>
        <v>8</v>
      </c>
      <c r="Y1636" s="1">
        <f>VLOOKUP($E1636,'Product Naming'!$A$1:$P$58,8,FALSE)</f>
        <v>0</v>
      </c>
      <c r="Z1636" s="1">
        <f>VLOOKUP($E1636,'Product Naming'!$A$1:$P$58,9,FALSE)</f>
        <v>0</v>
      </c>
      <c r="AA1636" s="1">
        <f>VLOOKUP($E1636,'Product Naming'!$A$1:$P$58,10,FALSE)</f>
        <v>0</v>
      </c>
      <c r="AB1636" s="29">
        <f>VLOOKUP($E1636,'Product Naming'!$A$1:$P$58,11,FALSE)</f>
        <v>6.666666666666667</v>
      </c>
      <c r="AC1636" s="3">
        <f>VLOOKUP($E1636,'Product Naming'!$A$1:$P$58,12,FALSE)</f>
        <v>44.094819999999999</v>
      </c>
      <c r="AD1636" s="1">
        <f>VLOOKUP($E1636,'Product Naming'!$A$1:$P$58,13,FALSE)</f>
        <v>-42</v>
      </c>
      <c r="AE1636" s="1" t="str">
        <f>VLOOKUP($E1636,'Product Naming'!$A$1:$P$58,14,FALSE)</f>
        <v>Hydrocarbon</v>
      </c>
      <c r="AF1636" s="1" t="str">
        <f>VLOOKUP($E1636,'Product Naming'!$A$1:$P$58,15,FALSE)</f>
        <v>Acetyl-CoA</v>
      </c>
      <c r="AG1636" s="30" t="str">
        <f>VLOOKUP($E1636,'Product Naming'!$A$1:$P$58,16,FALSE)</f>
        <v>Diffusion</v>
      </c>
      <c r="AH1636" s="3" t="str">
        <f>VLOOKUP($E1636,'Product Naming'!$A$1:$Q$58,17,FALSE)</f>
        <v>prop_c</v>
      </c>
      <c r="AI1636" s="1">
        <f>VLOOKUP($E1636,'Product Parameters'!$A$2:$D$59,2,FALSE)</f>
        <v>0</v>
      </c>
      <c r="AJ1636" s="1">
        <f>VLOOKUP($E1636,'Product Parameters'!$A$2:$D$59,3,FALSE)</f>
        <v>1</v>
      </c>
      <c r="AK1636" s="1">
        <f>VLOOKUP($E1636,'Product Parameters'!$A$2:$D$59,4,FALSE)</f>
        <v>0.12</v>
      </c>
      <c r="AL1636" s="1">
        <f>VLOOKUP($E1636,'Product Parameters'!$A$2:$E$59,5,FALSE)</f>
        <v>0</v>
      </c>
      <c r="AM1636" s="1">
        <f>VLOOKUP($E1636,'Product Parameters'!$A$2:$F$59,6,FALSE)</f>
        <v>3</v>
      </c>
      <c r="AN1636" s="1">
        <f>VLOOKUP($C1636,'Substrate Heating'!$A$2:$C$33,3,FALSE)</f>
        <v>638.57832580000002</v>
      </c>
      <c r="AO1636" s="1">
        <f>VLOOKUP($C1636,'Substrate Heating'!$A$2:$B$33,2,FALSE)</f>
        <v>19.93</v>
      </c>
      <c r="AP1636" s="1">
        <f>VLOOKUP($C1636,'Substrate Heating'!$A$2:$M$33,13,FALSE)</f>
        <v>6</v>
      </c>
      <c r="AQ1636" s="1">
        <f>VLOOKUP($C1636,'Substrate Heating'!$A$2:$M$33,8,FALSE)</f>
        <v>1</v>
      </c>
      <c r="AR1636" s="1">
        <f t="shared" si="25"/>
        <v>0.89999999999999991</v>
      </c>
    </row>
    <row r="1637" spans="1:44" x14ac:dyDescent="0.2">
      <c r="A1637" s="8" t="s">
        <v>792</v>
      </c>
      <c r="B1637" s="18" t="s">
        <v>324</v>
      </c>
      <c r="C1637" t="s">
        <v>371</v>
      </c>
      <c r="D1637" s="23" t="s">
        <v>338</v>
      </c>
      <c r="E1637" t="s">
        <v>301</v>
      </c>
      <c r="F1637" t="s">
        <v>302</v>
      </c>
      <c r="G1637">
        <v>-10</v>
      </c>
      <c r="H1637">
        <v>0</v>
      </c>
      <c r="I1637">
        <v>0</v>
      </c>
      <c r="J1637">
        <v>0.45</v>
      </c>
      <c r="K1637">
        <v>-10</v>
      </c>
      <c r="L1637">
        <v>0</v>
      </c>
      <c r="M1637">
        <v>0</v>
      </c>
      <c r="N1637">
        <v>1</v>
      </c>
      <c r="O1637">
        <v>3</v>
      </c>
      <c r="P1637"/>
      <c r="Q1637">
        <v>0.3</v>
      </c>
      <c r="R1637" s="28" t="s">
        <v>703</v>
      </c>
      <c r="S1637" s="1" t="str">
        <f>VLOOKUP($E1637,'Product Naming'!$A$1:$P$58,2,FALSE)</f>
        <v>Propane-PW1</v>
      </c>
      <c r="T1637" s="1" t="str">
        <f>VLOOKUP($E1637,'Product Naming'!$A$1:$P$58,3,FALSE)</f>
        <v>Propane (PW1)</v>
      </c>
      <c r="U1637" s="1" t="str">
        <f>VLOOKUP($E1637,'Product Naming'!$A$1:$P$58,4,FALSE)</f>
        <v>E</v>
      </c>
      <c r="V1637" s="1" t="str">
        <f>VLOOKUP($E1637,'Product Naming'!$A$1:$P$58,5,FALSE)</f>
        <v>C3H8</v>
      </c>
      <c r="W1637" s="1">
        <f>VLOOKUP($E1637,'Product Naming'!$A$1:$P$58,6,FALSE)</f>
        <v>3</v>
      </c>
      <c r="X1637" s="1">
        <f>VLOOKUP($E1637,'Product Naming'!$A$1:$P$58,7,FALSE)</f>
        <v>8</v>
      </c>
      <c r="Y1637" s="1">
        <f>VLOOKUP($E1637,'Product Naming'!$A$1:$P$58,8,FALSE)</f>
        <v>0</v>
      </c>
      <c r="Z1637" s="1">
        <f>VLOOKUP($E1637,'Product Naming'!$A$1:$P$58,9,FALSE)</f>
        <v>0</v>
      </c>
      <c r="AA1637" s="1">
        <f>VLOOKUP($E1637,'Product Naming'!$A$1:$P$58,10,FALSE)</f>
        <v>0</v>
      </c>
      <c r="AB1637" s="29">
        <f>VLOOKUP($E1637,'Product Naming'!$A$1:$P$58,11,FALSE)</f>
        <v>6.666666666666667</v>
      </c>
      <c r="AC1637" s="3">
        <f>VLOOKUP($E1637,'Product Naming'!$A$1:$P$58,12,FALSE)</f>
        <v>44.094819999999999</v>
      </c>
      <c r="AD1637" s="1">
        <f>VLOOKUP($E1637,'Product Naming'!$A$1:$P$58,13,FALSE)</f>
        <v>-42</v>
      </c>
      <c r="AE1637" s="1" t="str">
        <f>VLOOKUP($E1637,'Product Naming'!$A$1:$P$58,14,FALSE)</f>
        <v>Hydrocarbon</v>
      </c>
      <c r="AF1637" s="1" t="str">
        <f>VLOOKUP($E1637,'Product Naming'!$A$1:$P$58,15,FALSE)</f>
        <v>Acetyl-CoA</v>
      </c>
      <c r="AG1637" s="30" t="str">
        <f>VLOOKUP($E1637,'Product Naming'!$A$1:$P$58,16,FALSE)</f>
        <v>Diffusion</v>
      </c>
      <c r="AH1637" s="3" t="str">
        <f>VLOOKUP($E1637,'Product Naming'!$A$1:$Q$58,17,FALSE)</f>
        <v>prop_c</v>
      </c>
      <c r="AI1637" s="1">
        <f>VLOOKUP($E1637,'Product Parameters'!$A$2:$D$59,2,FALSE)</f>
        <v>0</v>
      </c>
      <c r="AJ1637" s="1">
        <f>VLOOKUP($E1637,'Product Parameters'!$A$2:$D$59,3,FALSE)</f>
        <v>1</v>
      </c>
      <c r="AK1637" s="1">
        <f>VLOOKUP($E1637,'Product Parameters'!$A$2:$D$59,4,FALSE)</f>
        <v>0.12</v>
      </c>
      <c r="AL1637" s="1">
        <f>VLOOKUP($E1637,'Product Parameters'!$A$2:$E$59,5,FALSE)</f>
        <v>0</v>
      </c>
      <c r="AM1637" s="1">
        <f>VLOOKUP($E1637,'Product Parameters'!$A$2:$F$59,6,FALSE)</f>
        <v>3</v>
      </c>
      <c r="AN1637" s="1">
        <f>VLOOKUP($C1637,'Substrate Heating'!$A$2:$C$33,3,FALSE)</f>
        <v>638.57832580000002</v>
      </c>
      <c r="AO1637" s="1">
        <f>VLOOKUP($C1637,'Substrate Heating'!$A$2:$B$33,2,FALSE)</f>
        <v>19.93</v>
      </c>
      <c r="AP1637" s="1">
        <f>VLOOKUP($C1637,'Substrate Heating'!$A$2:$M$33,13,FALSE)</f>
        <v>6</v>
      </c>
      <c r="AQ1637" s="1">
        <f>VLOOKUP($C1637,'Substrate Heating'!$A$2:$M$33,8,FALSE)</f>
        <v>1</v>
      </c>
      <c r="AR1637" s="1">
        <f t="shared" si="25"/>
        <v>0.89999999999999991</v>
      </c>
    </row>
    <row r="1638" spans="1:44" x14ac:dyDescent="0.2">
      <c r="A1638" s="8" t="s">
        <v>792</v>
      </c>
      <c r="B1638" s="18" t="s">
        <v>324</v>
      </c>
      <c r="C1638" t="s">
        <v>372</v>
      </c>
      <c r="D1638" s="23" t="s">
        <v>338</v>
      </c>
      <c r="E1638" t="s">
        <v>301</v>
      </c>
      <c r="F1638" t="s">
        <v>302</v>
      </c>
      <c r="G1638">
        <v>-10</v>
      </c>
      <c r="H1638">
        <v>0</v>
      </c>
      <c r="I1638">
        <v>0</v>
      </c>
      <c r="J1638">
        <v>0.45</v>
      </c>
      <c r="K1638">
        <v>-10</v>
      </c>
      <c r="L1638">
        <v>0</v>
      </c>
      <c r="M1638">
        <v>0</v>
      </c>
      <c r="N1638">
        <v>1</v>
      </c>
      <c r="O1638">
        <v>3</v>
      </c>
      <c r="P1638"/>
      <c r="Q1638">
        <v>0.3</v>
      </c>
      <c r="R1638" s="28" t="s">
        <v>703</v>
      </c>
      <c r="S1638" s="1" t="str">
        <f>VLOOKUP($E1638,'Product Naming'!$A$1:$P$58,2,FALSE)</f>
        <v>Propane-PW1</v>
      </c>
      <c r="T1638" s="1" t="str">
        <f>VLOOKUP($E1638,'Product Naming'!$A$1:$P$58,3,FALSE)</f>
        <v>Propane (PW1)</v>
      </c>
      <c r="U1638" s="1" t="str">
        <f>VLOOKUP($E1638,'Product Naming'!$A$1:$P$58,4,FALSE)</f>
        <v>E</v>
      </c>
      <c r="V1638" s="1" t="str">
        <f>VLOOKUP($E1638,'Product Naming'!$A$1:$P$58,5,FALSE)</f>
        <v>C3H8</v>
      </c>
      <c r="W1638" s="1">
        <f>VLOOKUP($E1638,'Product Naming'!$A$1:$P$58,6,FALSE)</f>
        <v>3</v>
      </c>
      <c r="X1638" s="1">
        <f>VLOOKUP($E1638,'Product Naming'!$A$1:$P$58,7,FALSE)</f>
        <v>8</v>
      </c>
      <c r="Y1638" s="1">
        <f>VLOOKUP($E1638,'Product Naming'!$A$1:$P$58,8,FALSE)</f>
        <v>0</v>
      </c>
      <c r="Z1638" s="1">
        <f>VLOOKUP($E1638,'Product Naming'!$A$1:$P$58,9,FALSE)</f>
        <v>0</v>
      </c>
      <c r="AA1638" s="1">
        <f>VLOOKUP($E1638,'Product Naming'!$A$1:$P$58,10,FALSE)</f>
        <v>0</v>
      </c>
      <c r="AB1638" s="29">
        <f>VLOOKUP($E1638,'Product Naming'!$A$1:$P$58,11,FALSE)</f>
        <v>6.666666666666667</v>
      </c>
      <c r="AC1638" s="3">
        <f>VLOOKUP($E1638,'Product Naming'!$A$1:$P$58,12,FALSE)</f>
        <v>44.094819999999999</v>
      </c>
      <c r="AD1638" s="1">
        <f>VLOOKUP($E1638,'Product Naming'!$A$1:$P$58,13,FALSE)</f>
        <v>-42</v>
      </c>
      <c r="AE1638" s="1" t="str">
        <f>VLOOKUP($E1638,'Product Naming'!$A$1:$P$58,14,FALSE)</f>
        <v>Hydrocarbon</v>
      </c>
      <c r="AF1638" s="1" t="str">
        <f>VLOOKUP($E1638,'Product Naming'!$A$1:$P$58,15,FALSE)</f>
        <v>Acetyl-CoA</v>
      </c>
      <c r="AG1638" s="30" t="str">
        <f>VLOOKUP($E1638,'Product Naming'!$A$1:$P$58,16,FALSE)</f>
        <v>Diffusion</v>
      </c>
      <c r="AH1638" s="3" t="str">
        <f>VLOOKUP($E1638,'Product Naming'!$A$1:$Q$58,17,FALSE)</f>
        <v>prop_c</v>
      </c>
      <c r="AI1638" s="1">
        <f>VLOOKUP($E1638,'Product Parameters'!$A$2:$D$59,2,FALSE)</f>
        <v>0</v>
      </c>
      <c r="AJ1638" s="1">
        <f>VLOOKUP($E1638,'Product Parameters'!$A$2:$D$59,3,FALSE)</f>
        <v>1</v>
      </c>
      <c r="AK1638" s="1">
        <f>VLOOKUP($E1638,'Product Parameters'!$A$2:$D$59,4,FALSE)</f>
        <v>0.12</v>
      </c>
      <c r="AL1638" s="1">
        <f>VLOOKUP($E1638,'Product Parameters'!$A$2:$E$59,5,FALSE)</f>
        <v>0</v>
      </c>
      <c r="AM1638" s="1">
        <f>VLOOKUP($E1638,'Product Parameters'!$A$2:$F$59,6,FALSE)</f>
        <v>3</v>
      </c>
      <c r="AN1638" s="1">
        <f>VLOOKUP($C1638,'Substrate Heating'!$A$2:$C$33,3,FALSE)</f>
        <v>638.57832580000002</v>
      </c>
      <c r="AO1638" s="1">
        <f>VLOOKUP($C1638,'Substrate Heating'!$A$2:$B$33,2,FALSE)</f>
        <v>19.93</v>
      </c>
      <c r="AP1638" s="1">
        <f>VLOOKUP($C1638,'Substrate Heating'!$A$2:$M$33,13,FALSE)</f>
        <v>6</v>
      </c>
      <c r="AQ1638" s="1">
        <f>VLOOKUP($C1638,'Substrate Heating'!$A$2:$M$33,8,FALSE)</f>
        <v>1</v>
      </c>
      <c r="AR1638" s="1">
        <f t="shared" si="25"/>
        <v>0.89999999999999991</v>
      </c>
    </row>
    <row r="1639" spans="1:44" x14ac:dyDescent="0.2">
      <c r="A1639" s="8" t="s">
        <v>792</v>
      </c>
      <c r="B1639" s="18" t="s">
        <v>324</v>
      </c>
      <c r="C1639" t="s">
        <v>371</v>
      </c>
      <c r="D1639" s="23" t="s">
        <v>338</v>
      </c>
      <c r="E1639" t="s">
        <v>287</v>
      </c>
      <c r="F1639" t="s">
        <v>288</v>
      </c>
      <c r="G1639">
        <v>-10</v>
      </c>
      <c r="H1639">
        <v>0</v>
      </c>
      <c r="I1639">
        <v>0</v>
      </c>
      <c r="J1639">
        <v>0.45</v>
      </c>
      <c r="K1639">
        <v>-10</v>
      </c>
      <c r="L1639">
        <v>0</v>
      </c>
      <c r="M1639">
        <v>0</v>
      </c>
      <c r="N1639">
        <v>0.625</v>
      </c>
      <c r="O1639" s="28" t="s">
        <v>671</v>
      </c>
      <c r="P1639"/>
      <c r="Q1639" s="28" t="s">
        <v>672</v>
      </c>
      <c r="R1639" s="28" t="s">
        <v>673</v>
      </c>
      <c r="S1639" s="1" t="str">
        <f>VLOOKUP($E1639,'Product Naming'!$A$1:$P$58,2,FALSE)</f>
        <v>Pentane</v>
      </c>
      <c r="T1639" s="1" t="str">
        <f>VLOOKUP($E1639,'Product Naming'!$A$1:$P$58,3,FALSE)</f>
        <v>Pentane</v>
      </c>
      <c r="U1639" s="1" t="str">
        <f>VLOOKUP($E1639,'Product Naming'!$A$1:$P$58,4,FALSE)</f>
        <v>E</v>
      </c>
      <c r="V1639" s="1" t="str">
        <f>VLOOKUP($E1639,'Product Naming'!$A$1:$P$58,5,FALSE)</f>
        <v>C5H12</v>
      </c>
      <c r="W1639" s="1">
        <f>VLOOKUP($E1639,'Product Naming'!$A$1:$P$58,6,FALSE)</f>
        <v>5</v>
      </c>
      <c r="X1639" s="1">
        <f>VLOOKUP($E1639,'Product Naming'!$A$1:$P$58,7,FALSE)</f>
        <v>12</v>
      </c>
      <c r="Y1639" s="1">
        <f>VLOOKUP($E1639,'Product Naming'!$A$1:$P$58,8,FALSE)</f>
        <v>0</v>
      </c>
      <c r="Z1639" s="1">
        <f>VLOOKUP($E1639,'Product Naming'!$A$1:$P$58,9,FALSE)</f>
        <v>0</v>
      </c>
      <c r="AA1639" s="1">
        <f>VLOOKUP($E1639,'Product Naming'!$A$1:$P$58,10,FALSE)</f>
        <v>0</v>
      </c>
      <c r="AB1639" s="29">
        <f>VLOOKUP($E1639,'Product Naming'!$A$1:$P$58,11,FALSE)</f>
        <v>6.4</v>
      </c>
      <c r="AC1639" s="3">
        <f>VLOOKUP($E1639,'Product Naming'!$A$1:$P$58,12,FALSE)</f>
        <v>72.147580000000005</v>
      </c>
      <c r="AD1639" s="1">
        <f>VLOOKUP($E1639,'Product Naming'!$A$1:$P$58,13,FALSE)</f>
        <v>36.1</v>
      </c>
      <c r="AE1639" s="1" t="str">
        <f>VLOOKUP($E1639,'Product Naming'!$A$1:$P$58,14,FALSE)</f>
        <v>Hydrocarbon (alkane)</v>
      </c>
      <c r="AF1639" s="1" t="str">
        <f>VLOOKUP($E1639,'Product Naming'!$A$1:$P$58,15,FALSE)</f>
        <v>Acetyl-CoA</v>
      </c>
      <c r="AG1639" s="30" t="str">
        <f>VLOOKUP($E1639,'Product Naming'!$A$1:$P$58,16,FALSE)</f>
        <v>Diffusion</v>
      </c>
      <c r="AH1639" s="3" t="str">
        <f>VLOOKUP($E1639,'Product Naming'!$A$1:$Q$58,17,FALSE)</f>
        <v>pent_c</v>
      </c>
      <c r="AI1639" s="1">
        <f>VLOOKUP($E1639,'Product Parameters'!$A$2:$D$59,2,FALSE)</f>
        <v>0</v>
      </c>
      <c r="AJ1639" s="1">
        <f>VLOOKUP($E1639,'Product Parameters'!$A$2:$D$59,3,FALSE)</f>
        <v>1</v>
      </c>
      <c r="AK1639" s="1">
        <f>VLOOKUP($E1639,'Product Parameters'!$A$2:$D$59,4,FALSE)</f>
        <v>0.12</v>
      </c>
      <c r="AL1639" s="1">
        <f>VLOOKUP($E1639,'Product Parameters'!$A$2:$E$59,5,FALSE)</f>
        <v>26.5</v>
      </c>
      <c r="AM1639" s="1">
        <f>VLOOKUP($E1639,'Product Parameters'!$A$2:$F$59,6,FALSE)</f>
        <v>5</v>
      </c>
      <c r="AN1639" s="1">
        <f>VLOOKUP($C1639,'Substrate Heating'!$A$2:$C$33,3,FALSE)</f>
        <v>638.57832580000002</v>
      </c>
      <c r="AO1639" s="1">
        <f>VLOOKUP($C1639,'Substrate Heating'!$A$2:$B$33,2,FALSE)</f>
        <v>19.93</v>
      </c>
      <c r="AP1639" s="1">
        <f>VLOOKUP($C1639,'Substrate Heating'!$A$2:$M$33,13,FALSE)</f>
        <v>6</v>
      </c>
      <c r="AQ1639" s="1">
        <f>VLOOKUP($C1639,'Substrate Heating'!$A$2:$M$33,8,FALSE)</f>
        <v>1</v>
      </c>
      <c r="AR1639" s="1">
        <f t="shared" si="25"/>
        <v>0.937499999999995</v>
      </c>
    </row>
    <row r="1640" spans="1:44" x14ac:dyDescent="0.2">
      <c r="A1640" s="8" t="s">
        <v>792</v>
      </c>
      <c r="B1640" s="18" t="s">
        <v>324</v>
      </c>
      <c r="C1640" t="s">
        <v>372</v>
      </c>
      <c r="D1640" s="23" t="s">
        <v>338</v>
      </c>
      <c r="E1640" t="s">
        <v>287</v>
      </c>
      <c r="F1640" t="s">
        <v>288</v>
      </c>
      <c r="G1640">
        <v>-10</v>
      </c>
      <c r="H1640">
        <v>0</v>
      </c>
      <c r="I1640">
        <v>0</v>
      </c>
      <c r="J1640">
        <v>0.45</v>
      </c>
      <c r="K1640">
        <v>-10</v>
      </c>
      <c r="L1640">
        <v>0</v>
      </c>
      <c r="M1640">
        <v>0</v>
      </c>
      <c r="N1640">
        <v>0.625</v>
      </c>
      <c r="O1640" s="28" t="s">
        <v>671</v>
      </c>
      <c r="P1640"/>
      <c r="Q1640" s="28" t="s">
        <v>672</v>
      </c>
      <c r="R1640" s="28" t="s">
        <v>673</v>
      </c>
      <c r="S1640" s="1" t="str">
        <f>VLOOKUP($E1640,'Product Naming'!$A$1:$P$58,2,FALSE)</f>
        <v>Pentane</v>
      </c>
      <c r="T1640" s="1" t="str">
        <f>VLOOKUP($E1640,'Product Naming'!$A$1:$P$58,3,FALSE)</f>
        <v>Pentane</v>
      </c>
      <c r="U1640" s="1" t="str">
        <f>VLOOKUP($E1640,'Product Naming'!$A$1:$P$58,4,FALSE)</f>
        <v>E</v>
      </c>
      <c r="V1640" s="1" t="str">
        <f>VLOOKUP($E1640,'Product Naming'!$A$1:$P$58,5,FALSE)</f>
        <v>C5H12</v>
      </c>
      <c r="W1640" s="1">
        <f>VLOOKUP($E1640,'Product Naming'!$A$1:$P$58,6,FALSE)</f>
        <v>5</v>
      </c>
      <c r="X1640" s="1">
        <f>VLOOKUP($E1640,'Product Naming'!$A$1:$P$58,7,FALSE)</f>
        <v>12</v>
      </c>
      <c r="Y1640" s="1">
        <f>VLOOKUP($E1640,'Product Naming'!$A$1:$P$58,8,FALSE)</f>
        <v>0</v>
      </c>
      <c r="Z1640" s="1">
        <f>VLOOKUP($E1640,'Product Naming'!$A$1:$P$58,9,FALSE)</f>
        <v>0</v>
      </c>
      <c r="AA1640" s="1">
        <f>VLOOKUP($E1640,'Product Naming'!$A$1:$P$58,10,FALSE)</f>
        <v>0</v>
      </c>
      <c r="AB1640" s="29">
        <f>VLOOKUP($E1640,'Product Naming'!$A$1:$P$58,11,FALSE)</f>
        <v>6.4</v>
      </c>
      <c r="AC1640" s="3">
        <f>VLOOKUP($E1640,'Product Naming'!$A$1:$P$58,12,FALSE)</f>
        <v>72.147580000000005</v>
      </c>
      <c r="AD1640" s="1">
        <f>VLOOKUP($E1640,'Product Naming'!$A$1:$P$58,13,FALSE)</f>
        <v>36.1</v>
      </c>
      <c r="AE1640" s="1" t="str">
        <f>VLOOKUP($E1640,'Product Naming'!$A$1:$P$58,14,FALSE)</f>
        <v>Hydrocarbon (alkane)</v>
      </c>
      <c r="AF1640" s="1" t="str">
        <f>VLOOKUP($E1640,'Product Naming'!$A$1:$P$58,15,FALSE)</f>
        <v>Acetyl-CoA</v>
      </c>
      <c r="AG1640" s="30" t="str">
        <f>VLOOKUP($E1640,'Product Naming'!$A$1:$P$58,16,FALSE)</f>
        <v>Diffusion</v>
      </c>
      <c r="AH1640" s="3" t="str">
        <f>VLOOKUP($E1640,'Product Naming'!$A$1:$Q$58,17,FALSE)</f>
        <v>pent_c</v>
      </c>
      <c r="AI1640" s="1">
        <f>VLOOKUP($E1640,'Product Parameters'!$A$2:$D$59,2,FALSE)</f>
        <v>0</v>
      </c>
      <c r="AJ1640" s="1">
        <f>VLOOKUP($E1640,'Product Parameters'!$A$2:$D$59,3,FALSE)</f>
        <v>1</v>
      </c>
      <c r="AK1640" s="1">
        <f>VLOOKUP($E1640,'Product Parameters'!$A$2:$D$59,4,FALSE)</f>
        <v>0.12</v>
      </c>
      <c r="AL1640" s="1">
        <f>VLOOKUP($E1640,'Product Parameters'!$A$2:$E$59,5,FALSE)</f>
        <v>26.5</v>
      </c>
      <c r="AM1640" s="1">
        <f>VLOOKUP($E1640,'Product Parameters'!$A$2:$F$59,6,FALSE)</f>
        <v>5</v>
      </c>
      <c r="AN1640" s="1">
        <f>VLOOKUP($C1640,'Substrate Heating'!$A$2:$C$33,3,FALSE)</f>
        <v>638.57832580000002</v>
      </c>
      <c r="AO1640" s="1">
        <f>VLOOKUP($C1640,'Substrate Heating'!$A$2:$B$33,2,FALSE)</f>
        <v>19.93</v>
      </c>
      <c r="AP1640" s="1">
        <f>VLOOKUP($C1640,'Substrate Heating'!$A$2:$M$33,13,FALSE)</f>
        <v>6</v>
      </c>
      <c r="AQ1640" s="1">
        <f>VLOOKUP($C1640,'Substrate Heating'!$A$2:$M$33,8,FALSE)</f>
        <v>1</v>
      </c>
      <c r="AR1640" s="1">
        <f t="shared" si="25"/>
        <v>0.937499999999995</v>
      </c>
    </row>
    <row r="1641" spans="1:44" x14ac:dyDescent="0.2">
      <c r="A1641" s="8" t="s">
        <v>792</v>
      </c>
      <c r="B1641" s="18" t="s">
        <v>324</v>
      </c>
      <c r="C1641" t="s">
        <v>369</v>
      </c>
      <c r="D1641" s="23" t="s">
        <v>338</v>
      </c>
      <c r="E1641" t="s">
        <v>287</v>
      </c>
      <c r="F1641" t="s">
        <v>288</v>
      </c>
      <c r="G1641">
        <v>-10</v>
      </c>
      <c r="H1641">
        <v>0</v>
      </c>
      <c r="I1641">
        <v>0</v>
      </c>
      <c r="J1641">
        <v>0.45</v>
      </c>
      <c r="K1641">
        <v>-10</v>
      </c>
      <c r="L1641">
        <v>0</v>
      </c>
      <c r="M1641">
        <v>0</v>
      </c>
      <c r="N1641" s="28" t="s">
        <v>669</v>
      </c>
      <c r="O1641">
        <v>1.875</v>
      </c>
      <c r="P1641"/>
      <c r="Q1641">
        <v>0.1875</v>
      </c>
      <c r="R1641" s="28" t="s">
        <v>670</v>
      </c>
      <c r="S1641" s="1" t="str">
        <f>VLOOKUP($E1641,'Product Naming'!$A$1:$P$58,2,FALSE)</f>
        <v>Pentane</v>
      </c>
      <c r="T1641" s="1" t="str">
        <f>VLOOKUP($E1641,'Product Naming'!$A$1:$P$58,3,FALSE)</f>
        <v>Pentane</v>
      </c>
      <c r="U1641" s="1" t="str">
        <f>VLOOKUP($E1641,'Product Naming'!$A$1:$P$58,4,FALSE)</f>
        <v>E</v>
      </c>
      <c r="V1641" s="1" t="str">
        <f>VLOOKUP($E1641,'Product Naming'!$A$1:$P$58,5,FALSE)</f>
        <v>C5H12</v>
      </c>
      <c r="W1641" s="1">
        <f>VLOOKUP($E1641,'Product Naming'!$A$1:$P$58,6,FALSE)</f>
        <v>5</v>
      </c>
      <c r="X1641" s="1">
        <f>VLOOKUP($E1641,'Product Naming'!$A$1:$P$58,7,FALSE)</f>
        <v>12</v>
      </c>
      <c r="Y1641" s="1">
        <f>VLOOKUP($E1641,'Product Naming'!$A$1:$P$58,8,FALSE)</f>
        <v>0</v>
      </c>
      <c r="Z1641" s="1">
        <f>VLOOKUP($E1641,'Product Naming'!$A$1:$P$58,9,FALSE)</f>
        <v>0</v>
      </c>
      <c r="AA1641" s="1">
        <f>VLOOKUP($E1641,'Product Naming'!$A$1:$P$58,10,FALSE)</f>
        <v>0</v>
      </c>
      <c r="AB1641" s="29">
        <f>VLOOKUP($E1641,'Product Naming'!$A$1:$P$58,11,FALSE)</f>
        <v>6.4</v>
      </c>
      <c r="AC1641" s="3">
        <f>VLOOKUP($E1641,'Product Naming'!$A$1:$P$58,12,FALSE)</f>
        <v>72.147580000000005</v>
      </c>
      <c r="AD1641" s="1">
        <f>VLOOKUP($E1641,'Product Naming'!$A$1:$P$58,13,FALSE)</f>
        <v>36.1</v>
      </c>
      <c r="AE1641" s="1" t="str">
        <f>VLOOKUP($E1641,'Product Naming'!$A$1:$P$58,14,FALSE)</f>
        <v>Hydrocarbon (alkane)</v>
      </c>
      <c r="AF1641" s="1" t="str">
        <f>VLOOKUP($E1641,'Product Naming'!$A$1:$P$58,15,FALSE)</f>
        <v>Acetyl-CoA</v>
      </c>
      <c r="AG1641" s="30" t="str">
        <f>VLOOKUP($E1641,'Product Naming'!$A$1:$P$58,16,FALSE)</f>
        <v>Diffusion</v>
      </c>
      <c r="AH1641" s="3" t="str">
        <f>VLOOKUP($E1641,'Product Naming'!$A$1:$Q$58,17,FALSE)</f>
        <v>pent_c</v>
      </c>
      <c r="AI1641" s="1">
        <f>VLOOKUP($E1641,'Product Parameters'!$A$2:$D$59,2,FALSE)</f>
        <v>0</v>
      </c>
      <c r="AJ1641" s="1">
        <f>VLOOKUP($E1641,'Product Parameters'!$A$2:$D$59,3,FALSE)</f>
        <v>1</v>
      </c>
      <c r="AK1641" s="1">
        <f>VLOOKUP($E1641,'Product Parameters'!$A$2:$D$59,4,FALSE)</f>
        <v>0.12</v>
      </c>
      <c r="AL1641" s="1">
        <f>VLOOKUP($E1641,'Product Parameters'!$A$2:$E$59,5,FALSE)</f>
        <v>26.5</v>
      </c>
      <c r="AM1641" s="1">
        <f>VLOOKUP($E1641,'Product Parameters'!$A$2:$F$59,6,FALSE)</f>
        <v>5</v>
      </c>
      <c r="AN1641" s="1">
        <f>VLOOKUP($C1641,'Substrate Heating'!$A$2:$C$33,3,FALSE)</f>
        <v>638.57832580000002</v>
      </c>
      <c r="AO1641" s="1">
        <f>VLOOKUP($C1641,'Substrate Heating'!$A$2:$B$33,2,FALSE)</f>
        <v>19.93</v>
      </c>
      <c r="AP1641" s="1">
        <f>VLOOKUP($C1641,'Substrate Heating'!$A$2:$M$33,13,FALSE)</f>
        <v>6</v>
      </c>
      <c r="AQ1641" s="1">
        <f>VLOOKUP($C1641,'Substrate Heating'!$A$2:$M$33,8,FALSE)</f>
        <v>1</v>
      </c>
      <c r="AR1641" s="1">
        <f t="shared" si="25"/>
        <v>0.9375</v>
      </c>
    </row>
    <row r="1642" spans="1:44" x14ac:dyDescent="0.2">
      <c r="A1642" s="8" t="s">
        <v>792</v>
      </c>
      <c r="B1642" s="18" t="s">
        <v>324</v>
      </c>
      <c r="C1642" t="s">
        <v>365</v>
      </c>
      <c r="D1642" s="23" t="s">
        <v>338</v>
      </c>
      <c r="E1642" t="s">
        <v>38</v>
      </c>
      <c r="F1642" t="s">
        <v>39</v>
      </c>
      <c r="G1642">
        <v>-10</v>
      </c>
      <c r="H1642">
        <v>0</v>
      </c>
      <c r="I1642">
        <v>0</v>
      </c>
      <c r="J1642">
        <v>0.45</v>
      </c>
      <c r="K1642">
        <v>-10</v>
      </c>
      <c r="L1642">
        <v>0</v>
      </c>
      <c r="M1642" s="28" t="s">
        <v>366</v>
      </c>
      <c r="N1642">
        <v>0</v>
      </c>
      <c r="O1642" s="28" t="s">
        <v>366</v>
      </c>
      <c r="P1642"/>
      <c r="Q1642" s="28" t="s">
        <v>367</v>
      </c>
      <c r="R1642" s="28" t="s">
        <v>368</v>
      </c>
      <c r="S1642" s="1" t="str">
        <f>VLOOKUP($E1642,'Product Naming'!$A$1:$P$58,2,FALSE)</f>
        <v>1-3-butanediol-PW1</v>
      </c>
      <c r="T1642" s="1" t="str">
        <f>VLOOKUP($E1642,'Product Naming'!$A$1:$P$58,3,FALSE)</f>
        <v>1,3-Butanediol (PW1)</v>
      </c>
      <c r="U1642" s="1" t="str">
        <f>VLOOKUP($E1642,'Product Naming'!$A$1:$P$58,4,FALSE)</f>
        <v>E</v>
      </c>
      <c r="V1642" s="1" t="str">
        <f>VLOOKUP($E1642,'Product Naming'!$A$1:$P$58,5,FALSE)</f>
        <v>C4H10O2</v>
      </c>
      <c r="W1642" s="1">
        <f>VLOOKUP($E1642,'Product Naming'!$A$1:$P$58,6,FALSE)</f>
        <v>4</v>
      </c>
      <c r="X1642" s="1">
        <f>VLOOKUP($E1642,'Product Naming'!$A$1:$P$58,7,FALSE)</f>
        <v>10</v>
      </c>
      <c r="Y1642" s="1">
        <f>VLOOKUP($E1642,'Product Naming'!$A$1:$P$58,8,FALSE)</f>
        <v>2</v>
      </c>
      <c r="Z1642" s="1">
        <f>VLOOKUP($E1642,'Product Naming'!$A$1:$P$58,9,FALSE)</f>
        <v>0</v>
      </c>
      <c r="AA1642" s="1">
        <f>VLOOKUP($E1642,'Product Naming'!$A$1:$P$58,10,FALSE)</f>
        <v>0</v>
      </c>
      <c r="AB1642" s="29">
        <f>VLOOKUP($E1642,'Product Naming'!$A$1:$P$58,11,FALSE)</f>
        <v>5.5</v>
      </c>
      <c r="AC1642" s="3">
        <f>VLOOKUP($E1642,'Product Naming'!$A$1:$P$58,12,FALSE)</f>
        <v>90.119200000000006</v>
      </c>
      <c r="AD1642" s="1">
        <f>VLOOKUP($E1642,'Product Naming'!$A$1:$P$58,13,FALSE)</f>
        <v>207</v>
      </c>
      <c r="AE1642" s="1" t="str">
        <f>VLOOKUP($E1642,'Product Naming'!$A$1:$P$58,14,FALSE)</f>
        <v>Diol</v>
      </c>
      <c r="AF1642" s="1" t="str">
        <f>VLOOKUP($E1642,'Product Naming'!$A$1:$P$58,15,FALSE)</f>
        <v>Acetyl-CoA</v>
      </c>
      <c r="AG1642" s="30" t="str">
        <f>VLOOKUP($E1642,'Product Naming'!$A$1:$P$58,16,FALSE)</f>
        <v>Proton symporter</v>
      </c>
      <c r="AH1642" s="3" t="str">
        <f>VLOOKUP($E1642,'Product Naming'!$A$1:$Q$58,17,FALSE)</f>
        <v>13bdo__R_c</v>
      </c>
      <c r="AI1642" s="1">
        <f>VLOOKUP($E1642,'Product Parameters'!$A$2:$D$59,2,FALSE)</f>
        <v>1</v>
      </c>
      <c r="AJ1642" s="1">
        <f>VLOOKUP($E1642,'Product Parameters'!$A$2:$D$59,3,FALSE)</f>
        <v>0</v>
      </c>
      <c r="AK1642" s="1">
        <f>VLOOKUP($E1642,'Product Parameters'!$A$2:$D$59,4,FALSE)</f>
        <v>0.12</v>
      </c>
      <c r="AL1642" s="1">
        <f>VLOOKUP($E1642,'Product Parameters'!$A$2:$E$59,5,FALSE)</f>
        <v>72.599999999999994</v>
      </c>
      <c r="AM1642" s="1">
        <f>VLOOKUP($E1642,'Product Parameters'!$A$2:$F$59,6,FALSE)</f>
        <v>4</v>
      </c>
      <c r="AN1642" s="1">
        <f>VLOOKUP($C1642,'Substrate Heating'!$A$2:$C$33,3,FALSE)</f>
        <v>638.57832580000002</v>
      </c>
      <c r="AO1642" s="1">
        <f>VLOOKUP($C1642,'Substrate Heating'!$A$2:$B$33,2,FALSE)</f>
        <v>19.93</v>
      </c>
      <c r="AP1642" s="1">
        <f>VLOOKUP($C1642,'Substrate Heating'!$A$2:$M$33,13,FALSE)</f>
        <v>6</v>
      </c>
      <c r="AQ1642" s="1">
        <f>VLOOKUP($C1642,'Substrate Heating'!$A$2:$M$33,8,FALSE)</f>
        <v>1</v>
      </c>
      <c r="AR1642" s="1">
        <f t="shared" si="25"/>
        <v>0.59636363636363598</v>
      </c>
    </row>
    <row r="1643" spans="1:44" x14ac:dyDescent="0.2">
      <c r="A1643" s="8" t="s">
        <v>792</v>
      </c>
      <c r="B1643" s="18" t="s">
        <v>324</v>
      </c>
      <c r="C1643" t="s">
        <v>372</v>
      </c>
      <c r="D1643" s="23" t="s">
        <v>338</v>
      </c>
      <c r="E1643" t="s">
        <v>236</v>
      </c>
      <c r="F1643" t="s">
        <v>237</v>
      </c>
      <c r="G1643">
        <v>-10</v>
      </c>
      <c r="H1643">
        <v>0</v>
      </c>
      <c r="I1643">
        <v>0</v>
      </c>
      <c r="J1643">
        <v>0.45</v>
      </c>
      <c r="K1643">
        <v>-10</v>
      </c>
      <c r="L1643">
        <v>0</v>
      </c>
      <c r="M1643">
        <v>0</v>
      </c>
      <c r="N1643">
        <v>0.52631578947368496</v>
      </c>
      <c r="O1643" s="28" t="s">
        <v>593</v>
      </c>
      <c r="P1643"/>
      <c r="Q1643" s="28" t="s">
        <v>594</v>
      </c>
      <c r="R1643" s="28" t="s">
        <v>595</v>
      </c>
      <c r="S1643" s="1" t="str">
        <f>VLOOKUP($E1643,'Product Naming'!$A$1:$P$58,2,FALSE)</f>
        <v>Hexane</v>
      </c>
      <c r="T1643" s="1" t="str">
        <f>VLOOKUP($E1643,'Product Naming'!$A$1:$P$58,3,FALSE)</f>
        <v>Hexane</v>
      </c>
      <c r="U1643" s="1" t="str">
        <f>VLOOKUP($E1643,'Product Naming'!$A$1:$P$58,4,FALSE)</f>
        <v>E</v>
      </c>
      <c r="V1643" s="1" t="str">
        <f>VLOOKUP($E1643,'Product Naming'!$A$1:$P$58,5,FALSE)</f>
        <v>C6H14</v>
      </c>
      <c r="W1643" s="1">
        <f>VLOOKUP($E1643,'Product Naming'!$A$1:$P$58,6,FALSE)</f>
        <v>6</v>
      </c>
      <c r="X1643" s="1">
        <f>VLOOKUP($E1643,'Product Naming'!$A$1:$P$58,7,FALSE)</f>
        <v>14</v>
      </c>
      <c r="Y1643" s="1">
        <f>VLOOKUP($E1643,'Product Naming'!$A$1:$P$58,8,FALSE)</f>
        <v>0</v>
      </c>
      <c r="Z1643" s="1">
        <f>VLOOKUP($E1643,'Product Naming'!$A$1:$P$58,9,FALSE)</f>
        <v>0</v>
      </c>
      <c r="AA1643" s="1">
        <f>VLOOKUP($E1643,'Product Naming'!$A$1:$P$58,10,FALSE)</f>
        <v>0</v>
      </c>
      <c r="AB1643" s="29">
        <f>VLOOKUP($E1643,'Product Naming'!$A$1:$P$58,11,FALSE)</f>
        <v>6.333333333333333</v>
      </c>
      <c r="AC1643" s="3">
        <f>VLOOKUP($E1643,'Product Naming'!$A$1:$P$58,12,FALSE)</f>
        <v>86.173959999999994</v>
      </c>
      <c r="AD1643" s="1">
        <f>VLOOKUP($E1643,'Product Naming'!$A$1:$P$58,13,FALSE)</f>
        <v>69</v>
      </c>
      <c r="AE1643" s="1" t="str">
        <f>VLOOKUP($E1643,'Product Naming'!$A$1:$P$58,14,FALSE)</f>
        <v>Hydrocarbon (alkane)</v>
      </c>
      <c r="AF1643" s="1" t="str">
        <f>VLOOKUP($E1643,'Product Naming'!$A$1:$P$58,15,FALSE)</f>
        <v>Acetyl-CoA + Succinyl-CoA</v>
      </c>
      <c r="AG1643" s="30" t="str">
        <f>VLOOKUP($E1643,'Product Naming'!$A$1:$P$58,16,FALSE)</f>
        <v>Proton symporter</v>
      </c>
      <c r="AH1643" s="3" t="str">
        <f>VLOOKUP($E1643,'Product Naming'!$A$1:$Q$58,17,FALSE)</f>
        <v>hex_c</v>
      </c>
      <c r="AI1643" s="1">
        <f>VLOOKUP($E1643,'Product Parameters'!$A$2:$D$59,2,FALSE)</f>
        <v>1</v>
      </c>
      <c r="AJ1643" s="1">
        <f>VLOOKUP($E1643,'Product Parameters'!$A$2:$D$59,3,FALSE)</f>
        <v>0</v>
      </c>
      <c r="AK1643" s="1">
        <f>VLOOKUP($E1643,'Product Parameters'!$A$2:$D$59,4,FALSE)</f>
        <v>0.12</v>
      </c>
      <c r="AL1643" s="1">
        <f>VLOOKUP($E1643,'Product Parameters'!$A$2:$E$59,5,FALSE)</f>
        <v>31</v>
      </c>
      <c r="AM1643" s="1">
        <f>VLOOKUP($E1643,'Product Parameters'!$A$2:$F$59,6,FALSE)</f>
        <v>6</v>
      </c>
      <c r="AN1643" s="1">
        <f>VLOOKUP($C1643,'Substrate Heating'!$A$2:$C$33,3,FALSE)</f>
        <v>638.57832580000002</v>
      </c>
      <c r="AO1643" s="1">
        <f>VLOOKUP($C1643,'Substrate Heating'!$A$2:$B$33,2,FALSE)</f>
        <v>19.93</v>
      </c>
      <c r="AP1643" s="1">
        <f>VLOOKUP($C1643,'Substrate Heating'!$A$2:$M$33,13,FALSE)</f>
        <v>6</v>
      </c>
      <c r="AQ1643" s="1">
        <f>VLOOKUP($C1643,'Substrate Heating'!$A$2:$M$33,8,FALSE)</f>
        <v>1</v>
      </c>
      <c r="AR1643" s="1">
        <f t="shared" si="25"/>
        <v>0.94736842105263008</v>
      </c>
    </row>
    <row r="1644" spans="1:44" x14ac:dyDescent="0.2">
      <c r="A1644" s="8" t="s">
        <v>792</v>
      </c>
      <c r="B1644" s="18" t="s">
        <v>324</v>
      </c>
      <c r="C1644" t="s">
        <v>371</v>
      </c>
      <c r="D1644" s="23" t="s">
        <v>338</v>
      </c>
      <c r="E1644" t="s">
        <v>236</v>
      </c>
      <c r="F1644" t="s">
        <v>237</v>
      </c>
      <c r="G1644">
        <v>-10</v>
      </c>
      <c r="H1644">
        <v>0</v>
      </c>
      <c r="I1644">
        <v>0</v>
      </c>
      <c r="J1644">
        <v>0.45</v>
      </c>
      <c r="K1644">
        <v>-10</v>
      </c>
      <c r="L1644">
        <v>0</v>
      </c>
      <c r="M1644">
        <v>0</v>
      </c>
      <c r="N1644" s="28" t="s">
        <v>589</v>
      </c>
      <c r="O1644" s="28" t="s">
        <v>590</v>
      </c>
      <c r="P1644"/>
      <c r="Q1644" s="28" t="s">
        <v>591</v>
      </c>
      <c r="R1644" s="28" t="s">
        <v>592</v>
      </c>
      <c r="S1644" s="1" t="str">
        <f>VLOOKUP($E1644,'Product Naming'!$A$1:$P$58,2,FALSE)</f>
        <v>Hexane</v>
      </c>
      <c r="T1644" s="1" t="str">
        <f>VLOOKUP($E1644,'Product Naming'!$A$1:$P$58,3,FALSE)</f>
        <v>Hexane</v>
      </c>
      <c r="U1644" s="1" t="str">
        <f>VLOOKUP($E1644,'Product Naming'!$A$1:$P$58,4,FALSE)</f>
        <v>E</v>
      </c>
      <c r="V1644" s="1" t="str">
        <f>VLOOKUP($E1644,'Product Naming'!$A$1:$P$58,5,FALSE)</f>
        <v>C6H14</v>
      </c>
      <c r="W1644" s="1">
        <f>VLOOKUP($E1644,'Product Naming'!$A$1:$P$58,6,FALSE)</f>
        <v>6</v>
      </c>
      <c r="X1644" s="1">
        <f>VLOOKUP($E1644,'Product Naming'!$A$1:$P$58,7,FALSE)</f>
        <v>14</v>
      </c>
      <c r="Y1644" s="1">
        <f>VLOOKUP($E1644,'Product Naming'!$A$1:$P$58,8,FALSE)</f>
        <v>0</v>
      </c>
      <c r="Z1644" s="1">
        <f>VLOOKUP($E1644,'Product Naming'!$A$1:$P$58,9,FALSE)</f>
        <v>0</v>
      </c>
      <c r="AA1644" s="1">
        <f>VLOOKUP($E1644,'Product Naming'!$A$1:$P$58,10,FALSE)</f>
        <v>0</v>
      </c>
      <c r="AB1644" s="29">
        <f>VLOOKUP($E1644,'Product Naming'!$A$1:$P$58,11,FALSE)</f>
        <v>6.333333333333333</v>
      </c>
      <c r="AC1644" s="3">
        <f>VLOOKUP($E1644,'Product Naming'!$A$1:$P$58,12,FALSE)</f>
        <v>86.173959999999994</v>
      </c>
      <c r="AD1644" s="1">
        <f>VLOOKUP($E1644,'Product Naming'!$A$1:$P$58,13,FALSE)</f>
        <v>69</v>
      </c>
      <c r="AE1644" s="1" t="str">
        <f>VLOOKUP($E1644,'Product Naming'!$A$1:$P$58,14,FALSE)</f>
        <v>Hydrocarbon (alkane)</v>
      </c>
      <c r="AF1644" s="1" t="str">
        <f>VLOOKUP($E1644,'Product Naming'!$A$1:$P$58,15,FALSE)</f>
        <v>Acetyl-CoA + Succinyl-CoA</v>
      </c>
      <c r="AG1644" s="30" t="str">
        <f>VLOOKUP($E1644,'Product Naming'!$A$1:$P$58,16,FALSE)</f>
        <v>Proton symporter</v>
      </c>
      <c r="AH1644" s="3" t="str">
        <f>VLOOKUP($E1644,'Product Naming'!$A$1:$Q$58,17,FALSE)</f>
        <v>hex_c</v>
      </c>
      <c r="AI1644" s="1">
        <f>VLOOKUP($E1644,'Product Parameters'!$A$2:$D$59,2,FALSE)</f>
        <v>1</v>
      </c>
      <c r="AJ1644" s="1">
        <f>VLOOKUP($E1644,'Product Parameters'!$A$2:$D$59,3,FALSE)</f>
        <v>0</v>
      </c>
      <c r="AK1644" s="1">
        <f>VLOOKUP($E1644,'Product Parameters'!$A$2:$D$59,4,FALSE)</f>
        <v>0.12</v>
      </c>
      <c r="AL1644" s="1">
        <f>VLOOKUP($E1644,'Product Parameters'!$A$2:$E$59,5,FALSE)</f>
        <v>31</v>
      </c>
      <c r="AM1644" s="1">
        <f>VLOOKUP($E1644,'Product Parameters'!$A$2:$F$59,6,FALSE)</f>
        <v>6</v>
      </c>
      <c r="AN1644" s="1">
        <f>VLOOKUP($C1644,'Substrate Heating'!$A$2:$C$33,3,FALSE)</f>
        <v>638.57832580000002</v>
      </c>
      <c r="AO1644" s="1">
        <f>VLOOKUP($C1644,'Substrate Heating'!$A$2:$B$33,2,FALSE)</f>
        <v>19.93</v>
      </c>
      <c r="AP1644" s="1">
        <f>VLOOKUP($C1644,'Substrate Heating'!$A$2:$M$33,13,FALSE)</f>
        <v>6</v>
      </c>
      <c r="AQ1644" s="1">
        <f>VLOOKUP($C1644,'Substrate Heating'!$A$2:$M$33,8,FALSE)</f>
        <v>1</v>
      </c>
      <c r="AR1644" s="1">
        <f t="shared" si="25"/>
        <v>0.94736842105263008</v>
      </c>
    </row>
    <row r="1645" spans="1:44" x14ac:dyDescent="0.2">
      <c r="A1645" s="8" t="s">
        <v>792</v>
      </c>
      <c r="B1645" s="18" t="s">
        <v>324</v>
      </c>
      <c r="C1645" t="s">
        <v>369</v>
      </c>
      <c r="D1645" s="23" t="s">
        <v>338</v>
      </c>
      <c r="E1645" t="s">
        <v>236</v>
      </c>
      <c r="F1645" t="s">
        <v>237</v>
      </c>
      <c r="G1645">
        <v>-10</v>
      </c>
      <c r="H1645">
        <v>0</v>
      </c>
      <c r="I1645">
        <v>0</v>
      </c>
      <c r="J1645">
        <v>0.45</v>
      </c>
      <c r="K1645">
        <v>-10</v>
      </c>
      <c r="L1645">
        <v>0</v>
      </c>
      <c r="M1645">
        <v>0</v>
      </c>
      <c r="N1645" s="28" t="s">
        <v>585</v>
      </c>
      <c r="O1645" s="28" t="s">
        <v>586</v>
      </c>
      <c r="P1645"/>
      <c r="Q1645" s="28" t="s">
        <v>587</v>
      </c>
      <c r="R1645" s="28" t="s">
        <v>588</v>
      </c>
      <c r="S1645" s="1" t="str">
        <f>VLOOKUP($E1645,'Product Naming'!$A$1:$P$58,2,FALSE)</f>
        <v>Hexane</v>
      </c>
      <c r="T1645" s="1" t="str">
        <f>VLOOKUP($E1645,'Product Naming'!$A$1:$P$58,3,FALSE)</f>
        <v>Hexane</v>
      </c>
      <c r="U1645" s="1" t="str">
        <f>VLOOKUP($E1645,'Product Naming'!$A$1:$P$58,4,FALSE)</f>
        <v>E</v>
      </c>
      <c r="V1645" s="1" t="str">
        <f>VLOOKUP($E1645,'Product Naming'!$A$1:$P$58,5,FALSE)</f>
        <v>C6H14</v>
      </c>
      <c r="W1645" s="1">
        <f>VLOOKUP($E1645,'Product Naming'!$A$1:$P$58,6,FALSE)</f>
        <v>6</v>
      </c>
      <c r="X1645" s="1">
        <f>VLOOKUP($E1645,'Product Naming'!$A$1:$P$58,7,FALSE)</f>
        <v>14</v>
      </c>
      <c r="Y1645" s="1">
        <f>VLOOKUP($E1645,'Product Naming'!$A$1:$P$58,8,FALSE)</f>
        <v>0</v>
      </c>
      <c r="Z1645" s="1">
        <f>VLOOKUP($E1645,'Product Naming'!$A$1:$P$58,9,FALSE)</f>
        <v>0</v>
      </c>
      <c r="AA1645" s="1">
        <f>VLOOKUP($E1645,'Product Naming'!$A$1:$P$58,10,FALSE)</f>
        <v>0</v>
      </c>
      <c r="AB1645" s="29">
        <f>VLOOKUP($E1645,'Product Naming'!$A$1:$P$58,11,FALSE)</f>
        <v>6.333333333333333</v>
      </c>
      <c r="AC1645" s="3">
        <f>VLOOKUP($E1645,'Product Naming'!$A$1:$P$58,12,FALSE)</f>
        <v>86.173959999999994</v>
      </c>
      <c r="AD1645" s="1">
        <f>VLOOKUP($E1645,'Product Naming'!$A$1:$P$58,13,FALSE)</f>
        <v>69</v>
      </c>
      <c r="AE1645" s="1" t="str">
        <f>VLOOKUP($E1645,'Product Naming'!$A$1:$P$58,14,FALSE)</f>
        <v>Hydrocarbon (alkane)</v>
      </c>
      <c r="AF1645" s="1" t="str">
        <f>VLOOKUP($E1645,'Product Naming'!$A$1:$P$58,15,FALSE)</f>
        <v>Acetyl-CoA + Succinyl-CoA</v>
      </c>
      <c r="AG1645" s="30" t="str">
        <f>VLOOKUP($E1645,'Product Naming'!$A$1:$P$58,16,FALSE)</f>
        <v>Proton symporter</v>
      </c>
      <c r="AH1645" s="3" t="str">
        <f>VLOOKUP($E1645,'Product Naming'!$A$1:$Q$58,17,FALSE)</f>
        <v>hex_c</v>
      </c>
      <c r="AI1645" s="1">
        <f>VLOOKUP($E1645,'Product Parameters'!$A$2:$D$59,2,FALSE)</f>
        <v>1</v>
      </c>
      <c r="AJ1645" s="1">
        <f>VLOOKUP($E1645,'Product Parameters'!$A$2:$D$59,3,FALSE)</f>
        <v>0</v>
      </c>
      <c r="AK1645" s="1">
        <f>VLOOKUP($E1645,'Product Parameters'!$A$2:$D$59,4,FALSE)</f>
        <v>0.12</v>
      </c>
      <c r="AL1645" s="1">
        <f>VLOOKUP($E1645,'Product Parameters'!$A$2:$E$59,5,FALSE)</f>
        <v>31</v>
      </c>
      <c r="AM1645" s="1">
        <f>VLOOKUP($E1645,'Product Parameters'!$A$2:$F$59,6,FALSE)</f>
        <v>6</v>
      </c>
      <c r="AN1645" s="1">
        <f>VLOOKUP($C1645,'Substrate Heating'!$A$2:$C$33,3,FALSE)</f>
        <v>638.57832580000002</v>
      </c>
      <c r="AO1645" s="1">
        <f>VLOOKUP($C1645,'Substrate Heating'!$A$2:$B$33,2,FALSE)</f>
        <v>19.93</v>
      </c>
      <c r="AP1645" s="1">
        <f>VLOOKUP($C1645,'Substrate Heating'!$A$2:$M$33,13,FALSE)</f>
        <v>6</v>
      </c>
      <c r="AQ1645" s="1">
        <f>VLOOKUP($C1645,'Substrate Heating'!$A$2:$M$33,8,FALSE)</f>
        <v>1</v>
      </c>
      <c r="AR1645" s="1">
        <f t="shared" si="25"/>
        <v>0.94736842105263008</v>
      </c>
    </row>
    <row r="1646" spans="1:44" x14ac:dyDescent="0.2">
      <c r="A1646" s="8" t="s">
        <v>792</v>
      </c>
      <c r="B1646" s="18" t="s">
        <v>324</v>
      </c>
      <c r="C1646" t="s">
        <v>372</v>
      </c>
      <c r="D1646" s="23" t="s">
        <v>338</v>
      </c>
      <c r="E1646" t="s">
        <v>232</v>
      </c>
      <c r="F1646" t="s">
        <v>233</v>
      </c>
      <c r="G1646">
        <v>-10</v>
      </c>
      <c r="H1646">
        <v>0</v>
      </c>
      <c r="I1646">
        <v>0</v>
      </c>
      <c r="J1646">
        <v>0.45</v>
      </c>
      <c r="K1646">
        <v>-10</v>
      </c>
      <c r="L1646">
        <v>0</v>
      </c>
      <c r="M1646">
        <v>0</v>
      </c>
      <c r="N1646" s="28" t="s">
        <v>575</v>
      </c>
      <c r="O1646" s="28" t="s">
        <v>579</v>
      </c>
      <c r="P1646"/>
      <c r="Q1646" s="28" t="s">
        <v>580</v>
      </c>
      <c r="R1646" s="28" t="s">
        <v>581</v>
      </c>
      <c r="S1646" s="1" t="str">
        <f>VLOOKUP($E1646,'Product Naming'!$A$1:$P$58,2,FALSE)</f>
        <v>Heptane</v>
      </c>
      <c r="T1646" s="1" t="str">
        <f>VLOOKUP($E1646,'Product Naming'!$A$1:$P$58,3,FALSE)</f>
        <v>Heptane</v>
      </c>
      <c r="U1646" s="1" t="str">
        <f>VLOOKUP($E1646,'Product Naming'!$A$1:$P$58,4,FALSE)</f>
        <v>E</v>
      </c>
      <c r="V1646" s="1" t="str">
        <f>VLOOKUP($E1646,'Product Naming'!$A$1:$P$58,5,FALSE)</f>
        <v>C7H16</v>
      </c>
      <c r="W1646" s="1">
        <f>VLOOKUP($E1646,'Product Naming'!$A$1:$P$58,6,FALSE)</f>
        <v>7</v>
      </c>
      <c r="X1646" s="1">
        <f>VLOOKUP($E1646,'Product Naming'!$A$1:$P$58,7,FALSE)</f>
        <v>16</v>
      </c>
      <c r="Y1646" s="1">
        <f>VLOOKUP($E1646,'Product Naming'!$A$1:$P$58,8,FALSE)</f>
        <v>0</v>
      </c>
      <c r="Z1646" s="1">
        <f>VLOOKUP($E1646,'Product Naming'!$A$1:$P$58,9,FALSE)</f>
        <v>0</v>
      </c>
      <c r="AA1646" s="1">
        <f>VLOOKUP($E1646,'Product Naming'!$A$1:$P$58,10,FALSE)</f>
        <v>0</v>
      </c>
      <c r="AB1646" s="29">
        <f>VLOOKUP($E1646,'Product Naming'!$A$1:$P$58,11,FALSE)</f>
        <v>6.2857142857142856</v>
      </c>
      <c r="AC1646" s="3">
        <f>VLOOKUP($E1646,'Product Naming'!$A$1:$P$58,12,FALSE)</f>
        <v>100.20034</v>
      </c>
      <c r="AD1646" s="1">
        <f>VLOOKUP($E1646,'Product Naming'!$A$1:$P$58,13,FALSE)</f>
        <v>98</v>
      </c>
      <c r="AE1646" s="1" t="str">
        <f>VLOOKUP($E1646,'Product Naming'!$A$1:$P$58,14,FALSE)</f>
        <v>Hydrocarbon (alkane)</v>
      </c>
      <c r="AF1646" s="1" t="str">
        <f>VLOOKUP($E1646,'Product Naming'!$A$1:$P$58,15,FALSE)</f>
        <v>Acetyl-CoA</v>
      </c>
      <c r="AG1646" s="30" t="str">
        <f>VLOOKUP($E1646,'Product Naming'!$A$1:$P$58,16,FALSE)</f>
        <v>Proton symporter</v>
      </c>
      <c r="AH1646" s="3" t="str">
        <f>VLOOKUP($E1646,'Product Naming'!$A$1:$Q$58,17,FALSE)</f>
        <v>hept_c</v>
      </c>
      <c r="AI1646" s="1">
        <f>VLOOKUP($E1646,'Product Parameters'!$A$2:$D$59,2,FALSE)</f>
        <v>1</v>
      </c>
      <c r="AJ1646" s="1">
        <f>VLOOKUP($E1646,'Product Parameters'!$A$2:$D$59,3,FALSE)</f>
        <v>0</v>
      </c>
      <c r="AK1646" s="1">
        <f>VLOOKUP($E1646,'Product Parameters'!$A$2:$D$59,4,FALSE)</f>
        <v>0.12</v>
      </c>
      <c r="AL1646" s="1">
        <f>VLOOKUP($E1646,'Product Parameters'!$A$2:$E$59,5,FALSE)</f>
        <v>36</v>
      </c>
      <c r="AM1646" s="1">
        <f>VLOOKUP($E1646,'Product Parameters'!$A$2:$F$59,6,FALSE)</f>
        <v>7</v>
      </c>
      <c r="AN1646" s="1">
        <f>VLOOKUP($C1646,'Substrate Heating'!$A$2:$C$33,3,FALSE)</f>
        <v>638.57832580000002</v>
      </c>
      <c r="AO1646" s="1">
        <f>VLOOKUP($C1646,'Substrate Heating'!$A$2:$B$33,2,FALSE)</f>
        <v>19.93</v>
      </c>
      <c r="AP1646" s="1">
        <f>VLOOKUP($C1646,'Substrate Heating'!$A$2:$M$33,13,FALSE)</f>
        <v>6</v>
      </c>
      <c r="AQ1646" s="1">
        <f>VLOOKUP($C1646,'Substrate Heating'!$A$2:$M$33,8,FALSE)</f>
        <v>1</v>
      </c>
      <c r="AR1646" s="1">
        <f t="shared" si="25"/>
        <v>0.95454545454545192</v>
      </c>
    </row>
    <row r="1647" spans="1:44" x14ac:dyDescent="0.2">
      <c r="A1647" s="8" t="s">
        <v>792</v>
      </c>
      <c r="B1647" s="18" t="s">
        <v>324</v>
      </c>
      <c r="C1647" t="s">
        <v>365</v>
      </c>
      <c r="D1647" s="23" t="s">
        <v>338</v>
      </c>
      <c r="E1647" t="s">
        <v>232</v>
      </c>
      <c r="F1647" t="s">
        <v>233</v>
      </c>
      <c r="G1647">
        <v>-10</v>
      </c>
      <c r="H1647">
        <v>0</v>
      </c>
      <c r="I1647">
        <v>0</v>
      </c>
      <c r="J1647">
        <v>0.45</v>
      </c>
      <c r="K1647">
        <v>-10</v>
      </c>
      <c r="L1647">
        <v>0</v>
      </c>
      <c r="M1647">
        <v>0</v>
      </c>
      <c r="N1647" s="28" t="s">
        <v>570</v>
      </c>
      <c r="O1647" s="28" t="s">
        <v>571</v>
      </c>
      <c r="P1647"/>
      <c r="Q1647" s="28" t="s">
        <v>572</v>
      </c>
      <c r="R1647" s="28" t="s">
        <v>573</v>
      </c>
      <c r="S1647" s="1" t="str">
        <f>VLOOKUP($E1647,'Product Naming'!$A$1:$P$58,2,FALSE)</f>
        <v>Heptane</v>
      </c>
      <c r="T1647" s="1" t="str">
        <f>VLOOKUP($E1647,'Product Naming'!$A$1:$P$58,3,FALSE)</f>
        <v>Heptane</v>
      </c>
      <c r="U1647" s="1" t="str">
        <f>VLOOKUP($E1647,'Product Naming'!$A$1:$P$58,4,FALSE)</f>
        <v>E</v>
      </c>
      <c r="V1647" s="1" t="str">
        <f>VLOOKUP($E1647,'Product Naming'!$A$1:$P$58,5,FALSE)</f>
        <v>C7H16</v>
      </c>
      <c r="W1647" s="1">
        <f>VLOOKUP($E1647,'Product Naming'!$A$1:$P$58,6,FALSE)</f>
        <v>7</v>
      </c>
      <c r="X1647" s="1">
        <f>VLOOKUP($E1647,'Product Naming'!$A$1:$P$58,7,FALSE)</f>
        <v>16</v>
      </c>
      <c r="Y1647" s="1">
        <f>VLOOKUP($E1647,'Product Naming'!$A$1:$P$58,8,FALSE)</f>
        <v>0</v>
      </c>
      <c r="Z1647" s="1">
        <f>VLOOKUP($E1647,'Product Naming'!$A$1:$P$58,9,FALSE)</f>
        <v>0</v>
      </c>
      <c r="AA1647" s="1">
        <f>VLOOKUP($E1647,'Product Naming'!$A$1:$P$58,10,FALSE)</f>
        <v>0</v>
      </c>
      <c r="AB1647" s="29">
        <f>VLOOKUP($E1647,'Product Naming'!$A$1:$P$58,11,FALSE)</f>
        <v>6.2857142857142856</v>
      </c>
      <c r="AC1647" s="3">
        <f>VLOOKUP($E1647,'Product Naming'!$A$1:$P$58,12,FALSE)</f>
        <v>100.20034</v>
      </c>
      <c r="AD1647" s="1">
        <f>VLOOKUP($E1647,'Product Naming'!$A$1:$P$58,13,FALSE)</f>
        <v>98</v>
      </c>
      <c r="AE1647" s="1" t="str">
        <f>VLOOKUP($E1647,'Product Naming'!$A$1:$P$58,14,FALSE)</f>
        <v>Hydrocarbon (alkane)</v>
      </c>
      <c r="AF1647" s="1" t="str">
        <f>VLOOKUP($E1647,'Product Naming'!$A$1:$P$58,15,FALSE)</f>
        <v>Acetyl-CoA</v>
      </c>
      <c r="AG1647" s="30" t="str">
        <f>VLOOKUP($E1647,'Product Naming'!$A$1:$P$58,16,FALSE)</f>
        <v>Proton symporter</v>
      </c>
      <c r="AH1647" s="3" t="str">
        <f>VLOOKUP($E1647,'Product Naming'!$A$1:$Q$58,17,FALSE)</f>
        <v>hept_c</v>
      </c>
      <c r="AI1647" s="1">
        <f>VLOOKUP($E1647,'Product Parameters'!$A$2:$D$59,2,FALSE)</f>
        <v>1</v>
      </c>
      <c r="AJ1647" s="1">
        <f>VLOOKUP($E1647,'Product Parameters'!$A$2:$D$59,3,FALSE)</f>
        <v>0</v>
      </c>
      <c r="AK1647" s="1">
        <f>VLOOKUP($E1647,'Product Parameters'!$A$2:$D$59,4,FALSE)</f>
        <v>0.12</v>
      </c>
      <c r="AL1647" s="1">
        <f>VLOOKUP($E1647,'Product Parameters'!$A$2:$E$59,5,FALSE)</f>
        <v>36</v>
      </c>
      <c r="AM1647" s="1">
        <f>VLOOKUP($E1647,'Product Parameters'!$A$2:$F$59,6,FALSE)</f>
        <v>7</v>
      </c>
      <c r="AN1647" s="1">
        <f>VLOOKUP($C1647,'Substrate Heating'!$A$2:$C$33,3,FALSE)</f>
        <v>638.57832580000002</v>
      </c>
      <c r="AO1647" s="1">
        <f>VLOOKUP($C1647,'Substrate Heating'!$A$2:$B$33,2,FALSE)</f>
        <v>19.93</v>
      </c>
      <c r="AP1647" s="1">
        <f>VLOOKUP($C1647,'Substrate Heating'!$A$2:$M$33,13,FALSE)</f>
        <v>6</v>
      </c>
      <c r="AQ1647" s="1">
        <f>VLOOKUP($C1647,'Substrate Heating'!$A$2:$M$33,8,FALSE)</f>
        <v>1</v>
      </c>
      <c r="AR1647" s="1">
        <f t="shared" si="25"/>
        <v>0.95454545454545192</v>
      </c>
    </row>
    <row r="1648" spans="1:44" x14ac:dyDescent="0.2">
      <c r="A1648" s="8" t="s">
        <v>792</v>
      </c>
      <c r="B1648" s="18" t="s">
        <v>324</v>
      </c>
      <c r="C1648" t="s">
        <v>369</v>
      </c>
      <c r="D1648" s="23" t="s">
        <v>338</v>
      </c>
      <c r="E1648" t="s">
        <v>232</v>
      </c>
      <c r="F1648" t="s">
        <v>233</v>
      </c>
      <c r="G1648">
        <v>-10</v>
      </c>
      <c r="H1648">
        <v>0</v>
      </c>
      <c r="I1648">
        <v>0</v>
      </c>
      <c r="J1648">
        <v>0.45</v>
      </c>
      <c r="K1648">
        <v>-10</v>
      </c>
      <c r="L1648">
        <v>0</v>
      </c>
      <c r="M1648">
        <v>0</v>
      </c>
      <c r="N1648" s="28" t="s">
        <v>574</v>
      </c>
      <c r="O1648" s="28" t="s">
        <v>571</v>
      </c>
      <c r="P1648"/>
      <c r="Q1648" s="28" t="s">
        <v>572</v>
      </c>
      <c r="R1648" s="28" t="s">
        <v>573</v>
      </c>
      <c r="S1648" s="1" t="str">
        <f>VLOOKUP($E1648,'Product Naming'!$A$1:$P$58,2,FALSE)</f>
        <v>Heptane</v>
      </c>
      <c r="T1648" s="1" t="str">
        <f>VLOOKUP($E1648,'Product Naming'!$A$1:$P$58,3,FALSE)</f>
        <v>Heptane</v>
      </c>
      <c r="U1648" s="1" t="str">
        <f>VLOOKUP($E1648,'Product Naming'!$A$1:$P$58,4,FALSE)</f>
        <v>E</v>
      </c>
      <c r="V1648" s="1" t="str">
        <f>VLOOKUP($E1648,'Product Naming'!$A$1:$P$58,5,FALSE)</f>
        <v>C7H16</v>
      </c>
      <c r="W1648" s="1">
        <f>VLOOKUP($E1648,'Product Naming'!$A$1:$P$58,6,FALSE)</f>
        <v>7</v>
      </c>
      <c r="X1648" s="1">
        <f>VLOOKUP($E1648,'Product Naming'!$A$1:$P$58,7,FALSE)</f>
        <v>16</v>
      </c>
      <c r="Y1648" s="1">
        <f>VLOOKUP($E1648,'Product Naming'!$A$1:$P$58,8,FALSE)</f>
        <v>0</v>
      </c>
      <c r="Z1648" s="1">
        <f>VLOOKUP($E1648,'Product Naming'!$A$1:$P$58,9,FALSE)</f>
        <v>0</v>
      </c>
      <c r="AA1648" s="1">
        <f>VLOOKUP($E1648,'Product Naming'!$A$1:$P$58,10,FALSE)</f>
        <v>0</v>
      </c>
      <c r="AB1648" s="29">
        <f>VLOOKUP($E1648,'Product Naming'!$A$1:$P$58,11,FALSE)</f>
        <v>6.2857142857142856</v>
      </c>
      <c r="AC1648" s="3">
        <f>VLOOKUP($E1648,'Product Naming'!$A$1:$P$58,12,FALSE)</f>
        <v>100.20034</v>
      </c>
      <c r="AD1648" s="1">
        <f>VLOOKUP($E1648,'Product Naming'!$A$1:$P$58,13,FALSE)</f>
        <v>98</v>
      </c>
      <c r="AE1648" s="1" t="str">
        <f>VLOOKUP($E1648,'Product Naming'!$A$1:$P$58,14,FALSE)</f>
        <v>Hydrocarbon (alkane)</v>
      </c>
      <c r="AF1648" s="1" t="str">
        <f>VLOOKUP($E1648,'Product Naming'!$A$1:$P$58,15,FALSE)</f>
        <v>Acetyl-CoA</v>
      </c>
      <c r="AG1648" s="30" t="str">
        <f>VLOOKUP($E1648,'Product Naming'!$A$1:$P$58,16,FALSE)</f>
        <v>Proton symporter</v>
      </c>
      <c r="AH1648" s="3" t="str">
        <f>VLOOKUP($E1648,'Product Naming'!$A$1:$Q$58,17,FALSE)</f>
        <v>hept_c</v>
      </c>
      <c r="AI1648" s="1">
        <f>VLOOKUP($E1648,'Product Parameters'!$A$2:$D$59,2,FALSE)</f>
        <v>1</v>
      </c>
      <c r="AJ1648" s="1">
        <f>VLOOKUP($E1648,'Product Parameters'!$A$2:$D$59,3,FALSE)</f>
        <v>0</v>
      </c>
      <c r="AK1648" s="1">
        <f>VLOOKUP($E1648,'Product Parameters'!$A$2:$D$59,4,FALSE)</f>
        <v>0.12</v>
      </c>
      <c r="AL1648" s="1">
        <f>VLOOKUP($E1648,'Product Parameters'!$A$2:$E$59,5,FALSE)</f>
        <v>36</v>
      </c>
      <c r="AM1648" s="1">
        <f>VLOOKUP($E1648,'Product Parameters'!$A$2:$F$59,6,FALSE)</f>
        <v>7</v>
      </c>
      <c r="AN1648" s="1">
        <f>VLOOKUP($C1648,'Substrate Heating'!$A$2:$C$33,3,FALSE)</f>
        <v>638.57832580000002</v>
      </c>
      <c r="AO1648" s="1">
        <f>VLOOKUP($C1648,'Substrate Heating'!$A$2:$B$33,2,FALSE)</f>
        <v>19.93</v>
      </c>
      <c r="AP1648" s="1">
        <f>VLOOKUP($C1648,'Substrate Heating'!$A$2:$M$33,13,FALSE)</f>
        <v>6</v>
      </c>
      <c r="AQ1648" s="1">
        <f>VLOOKUP($C1648,'Substrate Heating'!$A$2:$M$33,8,FALSE)</f>
        <v>1</v>
      </c>
      <c r="AR1648" s="1">
        <f t="shared" si="25"/>
        <v>0.95454545454545192</v>
      </c>
    </row>
    <row r="1649" spans="1:44" x14ac:dyDescent="0.2">
      <c r="A1649" s="8" t="s">
        <v>792</v>
      </c>
      <c r="B1649" s="18" t="s">
        <v>324</v>
      </c>
      <c r="C1649" t="s">
        <v>371</v>
      </c>
      <c r="D1649" s="23" t="s">
        <v>338</v>
      </c>
      <c r="E1649" t="s">
        <v>232</v>
      </c>
      <c r="F1649" t="s">
        <v>233</v>
      </c>
      <c r="G1649">
        <v>-10</v>
      </c>
      <c r="H1649">
        <v>0</v>
      </c>
      <c r="I1649">
        <v>0</v>
      </c>
      <c r="J1649">
        <v>0.45</v>
      </c>
      <c r="K1649">
        <v>-10</v>
      </c>
      <c r="L1649">
        <v>0</v>
      </c>
      <c r="M1649">
        <v>0</v>
      </c>
      <c r="N1649" s="28" t="s">
        <v>575</v>
      </c>
      <c r="O1649" s="28" t="s">
        <v>576</v>
      </c>
      <c r="P1649"/>
      <c r="Q1649" s="28" t="s">
        <v>577</v>
      </c>
      <c r="R1649" s="28" t="s">
        <v>578</v>
      </c>
      <c r="S1649" s="1" t="str">
        <f>VLOOKUP($E1649,'Product Naming'!$A$1:$P$58,2,FALSE)</f>
        <v>Heptane</v>
      </c>
      <c r="T1649" s="1" t="str">
        <f>VLOOKUP($E1649,'Product Naming'!$A$1:$P$58,3,FALSE)</f>
        <v>Heptane</v>
      </c>
      <c r="U1649" s="1" t="str">
        <f>VLOOKUP($E1649,'Product Naming'!$A$1:$P$58,4,FALSE)</f>
        <v>E</v>
      </c>
      <c r="V1649" s="1" t="str">
        <f>VLOOKUP($E1649,'Product Naming'!$A$1:$P$58,5,FALSE)</f>
        <v>C7H16</v>
      </c>
      <c r="W1649" s="1">
        <f>VLOOKUP($E1649,'Product Naming'!$A$1:$P$58,6,FALSE)</f>
        <v>7</v>
      </c>
      <c r="X1649" s="1">
        <f>VLOOKUP($E1649,'Product Naming'!$A$1:$P$58,7,FALSE)</f>
        <v>16</v>
      </c>
      <c r="Y1649" s="1">
        <f>VLOOKUP($E1649,'Product Naming'!$A$1:$P$58,8,FALSE)</f>
        <v>0</v>
      </c>
      <c r="Z1649" s="1">
        <f>VLOOKUP($E1649,'Product Naming'!$A$1:$P$58,9,FALSE)</f>
        <v>0</v>
      </c>
      <c r="AA1649" s="1">
        <f>VLOOKUP($E1649,'Product Naming'!$A$1:$P$58,10,FALSE)</f>
        <v>0</v>
      </c>
      <c r="AB1649" s="29">
        <f>VLOOKUP($E1649,'Product Naming'!$A$1:$P$58,11,FALSE)</f>
        <v>6.2857142857142856</v>
      </c>
      <c r="AC1649" s="3">
        <f>VLOOKUP($E1649,'Product Naming'!$A$1:$P$58,12,FALSE)</f>
        <v>100.20034</v>
      </c>
      <c r="AD1649" s="1">
        <f>VLOOKUP($E1649,'Product Naming'!$A$1:$P$58,13,FALSE)</f>
        <v>98</v>
      </c>
      <c r="AE1649" s="1" t="str">
        <f>VLOOKUP($E1649,'Product Naming'!$A$1:$P$58,14,FALSE)</f>
        <v>Hydrocarbon (alkane)</v>
      </c>
      <c r="AF1649" s="1" t="str">
        <f>VLOOKUP($E1649,'Product Naming'!$A$1:$P$58,15,FALSE)</f>
        <v>Acetyl-CoA</v>
      </c>
      <c r="AG1649" s="30" t="str">
        <f>VLOOKUP($E1649,'Product Naming'!$A$1:$P$58,16,FALSE)</f>
        <v>Proton symporter</v>
      </c>
      <c r="AH1649" s="3" t="str">
        <f>VLOOKUP($E1649,'Product Naming'!$A$1:$Q$58,17,FALSE)</f>
        <v>hept_c</v>
      </c>
      <c r="AI1649" s="1">
        <f>VLOOKUP($E1649,'Product Parameters'!$A$2:$D$59,2,FALSE)</f>
        <v>1</v>
      </c>
      <c r="AJ1649" s="1">
        <f>VLOOKUP($E1649,'Product Parameters'!$A$2:$D$59,3,FALSE)</f>
        <v>0</v>
      </c>
      <c r="AK1649" s="1">
        <f>VLOOKUP($E1649,'Product Parameters'!$A$2:$D$59,4,FALSE)</f>
        <v>0.12</v>
      </c>
      <c r="AL1649" s="1">
        <f>VLOOKUP($E1649,'Product Parameters'!$A$2:$E$59,5,FALSE)</f>
        <v>36</v>
      </c>
      <c r="AM1649" s="1">
        <f>VLOOKUP($E1649,'Product Parameters'!$A$2:$F$59,6,FALSE)</f>
        <v>7</v>
      </c>
      <c r="AN1649" s="1">
        <f>VLOOKUP($C1649,'Substrate Heating'!$A$2:$C$33,3,FALSE)</f>
        <v>638.57832580000002</v>
      </c>
      <c r="AO1649" s="1">
        <f>VLOOKUP($C1649,'Substrate Heating'!$A$2:$B$33,2,FALSE)</f>
        <v>19.93</v>
      </c>
      <c r="AP1649" s="1">
        <f>VLOOKUP($C1649,'Substrate Heating'!$A$2:$M$33,13,FALSE)</f>
        <v>6</v>
      </c>
      <c r="AQ1649" s="1">
        <f>VLOOKUP($C1649,'Substrate Heating'!$A$2:$M$33,8,FALSE)</f>
        <v>1</v>
      </c>
      <c r="AR1649" s="1">
        <f t="shared" si="25"/>
        <v>0.95454545454545192</v>
      </c>
    </row>
    <row r="1650" spans="1:44" x14ac:dyDescent="0.2">
      <c r="A1650" s="8" t="s">
        <v>792</v>
      </c>
      <c r="B1650" s="18" t="s">
        <v>324</v>
      </c>
      <c r="C1650" t="s">
        <v>369</v>
      </c>
      <c r="D1650" s="23" t="s">
        <v>338</v>
      </c>
      <c r="E1650" t="s">
        <v>283</v>
      </c>
      <c r="F1650" t="s">
        <v>284</v>
      </c>
      <c r="G1650">
        <v>-10</v>
      </c>
      <c r="H1650">
        <v>0</v>
      </c>
      <c r="I1650">
        <v>0</v>
      </c>
      <c r="J1650">
        <v>0.45</v>
      </c>
      <c r="K1650">
        <v>-10</v>
      </c>
      <c r="L1650">
        <v>0</v>
      </c>
      <c r="M1650">
        <v>0</v>
      </c>
      <c r="N1650" s="28" t="s">
        <v>657</v>
      </c>
      <c r="O1650" s="28" t="s">
        <v>658</v>
      </c>
      <c r="P1650"/>
      <c r="Q1650" s="28" t="s">
        <v>659</v>
      </c>
      <c r="R1650" s="28" t="s">
        <v>660</v>
      </c>
      <c r="S1650" s="1" t="str">
        <f>VLOOKUP($E1650,'Product Naming'!$A$1:$P$58,2,FALSE)</f>
        <v>Octane</v>
      </c>
      <c r="T1650" s="1" t="str">
        <f>VLOOKUP($E1650,'Product Naming'!$A$1:$P$58,3,FALSE)</f>
        <v>Octane</v>
      </c>
      <c r="U1650" s="1" t="str">
        <f>VLOOKUP($E1650,'Product Naming'!$A$1:$P$58,4,FALSE)</f>
        <v>E</v>
      </c>
      <c r="V1650" s="1" t="str">
        <f>VLOOKUP($E1650,'Product Naming'!$A$1:$P$58,5,FALSE)</f>
        <v>C8H18</v>
      </c>
      <c r="W1650" s="1">
        <f>VLOOKUP($E1650,'Product Naming'!$A$1:$P$58,6,FALSE)</f>
        <v>8</v>
      </c>
      <c r="X1650" s="1">
        <f>VLOOKUP($E1650,'Product Naming'!$A$1:$P$58,7,FALSE)</f>
        <v>18</v>
      </c>
      <c r="Y1650" s="1">
        <f>VLOOKUP($E1650,'Product Naming'!$A$1:$P$58,8,FALSE)</f>
        <v>0</v>
      </c>
      <c r="Z1650" s="1">
        <f>VLOOKUP($E1650,'Product Naming'!$A$1:$P$58,9,FALSE)</f>
        <v>0</v>
      </c>
      <c r="AA1650" s="1">
        <f>VLOOKUP($E1650,'Product Naming'!$A$1:$P$58,10,FALSE)</f>
        <v>0</v>
      </c>
      <c r="AB1650" s="29">
        <f>VLOOKUP($E1650,'Product Naming'!$A$1:$P$58,11,FALSE)</f>
        <v>6.25</v>
      </c>
      <c r="AC1650" s="3">
        <f>VLOOKUP($E1650,'Product Naming'!$A$1:$P$58,12,FALSE)</f>
        <v>114.22672</v>
      </c>
      <c r="AD1650" s="1">
        <f>VLOOKUP($E1650,'Product Naming'!$A$1:$P$58,13,FALSE)</f>
        <v>126</v>
      </c>
      <c r="AE1650" s="1" t="str">
        <f>VLOOKUP($E1650,'Product Naming'!$A$1:$P$58,14,FALSE)</f>
        <v>Hydrocarbon (alkane)</v>
      </c>
      <c r="AF1650" s="1" t="str">
        <f>VLOOKUP($E1650,'Product Naming'!$A$1:$P$58,15,FALSE)</f>
        <v>Acetyl-CoA + Succinyl-CoA</v>
      </c>
      <c r="AG1650" s="30" t="str">
        <f>VLOOKUP($E1650,'Product Naming'!$A$1:$P$58,16,FALSE)</f>
        <v>Proton symporter</v>
      </c>
      <c r="AH1650" s="3" t="str">
        <f>VLOOKUP($E1650,'Product Naming'!$A$1:$Q$58,17,FALSE)</f>
        <v>octn_c</v>
      </c>
      <c r="AI1650" s="1">
        <f>VLOOKUP($E1650,'Product Parameters'!$A$2:$D$59,2,FALSE)</f>
        <v>1</v>
      </c>
      <c r="AJ1650" s="1">
        <f>VLOOKUP($E1650,'Product Parameters'!$A$2:$D$59,3,FALSE)</f>
        <v>0</v>
      </c>
      <c r="AK1650" s="1">
        <f>VLOOKUP($E1650,'Product Parameters'!$A$2:$D$59,4,FALSE)</f>
        <v>0.12</v>
      </c>
      <c r="AL1650" s="1">
        <f>VLOOKUP($E1650,'Product Parameters'!$A$2:$E$59,5,FALSE)</f>
        <v>41</v>
      </c>
      <c r="AM1650" s="1">
        <f>VLOOKUP($E1650,'Product Parameters'!$A$2:$F$59,6,FALSE)</f>
        <v>8</v>
      </c>
      <c r="AN1650" s="1">
        <f>VLOOKUP($C1650,'Substrate Heating'!$A$2:$C$33,3,FALSE)</f>
        <v>638.57832580000002</v>
      </c>
      <c r="AO1650" s="1">
        <f>VLOOKUP($C1650,'Substrate Heating'!$A$2:$B$33,2,FALSE)</f>
        <v>19.93</v>
      </c>
      <c r="AP1650" s="1">
        <f>VLOOKUP($C1650,'Substrate Heating'!$A$2:$M$33,13,FALSE)</f>
        <v>6</v>
      </c>
      <c r="AQ1650" s="1">
        <f>VLOOKUP($C1650,'Substrate Heating'!$A$2:$M$33,8,FALSE)</f>
        <v>1</v>
      </c>
      <c r="AR1650" s="1">
        <f t="shared" si="25"/>
        <v>0.95999999999999197</v>
      </c>
    </row>
    <row r="1651" spans="1:44" x14ac:dyDescent="0.2">
      <c r="A1651" s="8" t="s">
        <v>792</v>
      </c>
      <c r="B1651" s="18" t="s">
        <v>324</v>
      </c>
      <c r="C1651" t="s">
        <v>372</v>
      </c>
      <c r="D1651" s="23" t="s">
        <v>338</v>
      </c>
      <c r="E1651" t="s">
        <v>283</v>
      </c>
      <c r="F1651" t="s">
        <v>284</v>
      </c>
      <c r="G1651">
        <v>-10</v>
      </c>
      <c r="H1651">
        <v>0</v>
      </c>
      <c r="I1651">
        <v>0</v>
      </c>
      <c r="J1651">
        <v>0.45</v>
      </c>
      <c r="K1651">
        <v>-10</v>
      </c>
      <c r="L1651">
        <v>0</v>
      </c>
      <c r="M1651">
        <v>0</v>
      </c>
      <c r="N1651" s="28" t="s">
        <v>657</v>
      </c>
      <c r="O1651">
        <v>1.2</v>
      </c>
      <c r="P1651"/>
      <c r="Q1651">
        <v>0.12</v>
      </c>
      <c r="R1651" s="28" t="s">
        <v>664</v>
      </c>
      <c r="S1651" s="1" t="str">
        <f>VLOOKUP($E1651,'Product Naming'!$A$1:$P$58,2,FALSE)</f>
        <v>Octane</v>
      </c>
      <c r="T1651" s="1" t="str">
        <f>VLOOKUP($E1651,'Product Naming'!$A$1:$P$58,3,FALSE)</f>
        <v>Octane</v>
      </c>
      <c r="U1651" s="1" t="str">
        <f>VLOOKUP($E1651,'Product Naming'!$A$1:$P$58,4,FALSE)</f>
        <v>E</v>
      </c>
      <c r="V1651" s="1" t="str">
        <f>VLOOKUP($E1651,'Product Naming'!$A$1:$P$58,5,FALSE)</f>
        <v>C8H18</v>
      </c>
      <c r="W1651" s="1">
        <f>VLOOKUP($E1651,'Product Naming'!$A$1:$P$58,6,FALSE)</f>
        <v>8</v>
      </c>
      <c r="X1651" s="1">
        <f>VLOOKUP($E1651,'Product Naming'!$A$1:$P$58,7,FALSE)</f>
        <v>18</v>
      </c>
      <c r="Y1651" s="1">
        <f>VLOOKUP($E1651,'Product Naming'!$A$1:$P$58,8,FALSE)</f>
        <v>0</v>
      </c>
      <c r="Z1651" s="1">
        <f>VLOOKUP($E1651,'Product Naming'!$A$1:$P$58,9,FALSE)</f>
        <v>0</v>
      </c>
      <c r="AA1651" s="1">
        <f>VLOOKUP($E1651,'Product Naming'!$A$1:$P$58,10,FALSE)</f>
        <v>0</v>
      </c>
      <c r="AB1651" s="29">
        <f>VLOOKUP($E1651,'Product Naming'!$A$1:$P$58,11,FALSE)</f>
        <v>6.25</v>
      </c>
      <c r="AC1651" s="3">
        <f>VLOOKUP($E1651,'Product Naming'!$A$1:$P$58,12,FALSE)</f>
        <v>114.22672</v>
      </c>
      <c r="AD1651" s="1">
        <f>VLOOKUP($E1651,'Product Naming'!$A$1:$P$58,13,FALSE)</f>
        <v>126</v>
      </c>
      <c r="AE1651" s="1" t="str">
        <f>VLOOKUP($E1651,'Product Naming'!$A$1:$P$58,14,FALSE)</f>
        <v>Hydrocarbon (alkane)</v>
      </c>
      <c r="AF1651" s="1" t="str">
        <f>VLOOKUP($E1651,'Product Naming'!$A$1:$P$58,15,FALSE)</f>
        <v>Acetyl-CoA + Succinyl-CoA</v>
      </c>
      <c r="AG1651" s="30" t="str">
        <f>VLOOKUP($E1651,'Product Naming'!$A$1:$P$58,16,FALSE)</f>
        <v>Proton symporter</v>
      </c>
      <c r="AH1651" s="3" t="str">
        <f>VLOOKUP($E1651,'Product Naming'!$A$1:$Q$58,17,FALSE)</f>
        <v>octn_c</v>
      </c>
      <c r="AI1651" s="1">
        <f>VLOOKUP($E1651,'Product Parameters'!$A$2:$D$59,2,FALSE)</f>
        <v>1</v>
      </c>
      <c r="AJ1651" s="1">
        <f>VLOOKUP($E1651,'Product Parameters'!$A$2:$D$59,3,FALSE)</f>
        <v>0</v>
      </c>
      <c r="AK1651" s="1">
        <f>VLOOKUP($E1651,'Product Parameters'!$A$2:$D$59,4,FALSE)</f>
        <v>0.12</v>
      </c>
      <c r="AL1651" s="1">
        <f>VLOOKUP($E1651,'Product Parameters'!$A$2:$E$59,5,FALSE)</f>
        <v>41</v>
      </c>
      <c r="AM1651" s="1">
        <f>VLOOKUP($E1651,'Product Parameters'!$A$2:$F$59,6,FALSE)</f>
        <v>8</v>
      </c>
      <c r="AN1651" s="1">
        <f>VLOOKUP($C1651,'Substrate Heating'!$A$2:$C$33,3,FALSE)</f>
        <v>638.57832580000002</v>
      </c>
      <c r="AO1651" s="1">
        <f>VLOOKUP($C1651,'Substrate Heating'!$A$2:$B$33,2,FALSE)</f>
        <v>19.93</v>
      </c>
      <c r="AP1651" s="1">
        <f>VLOOKUP($C1651,'Substrate Heating'!$A$2:$M$33,13,FALSE)</f>
        <v>6</v>
      </c>
      <c r="AQ1651" s="1">
        <f>VLOOKUP($C1651,'Substrate Heating'!$A$2:$M$33,8,FALSE)</f>
        <v>1</v>
      </c>
      <c r="AR1651" s="1">
        <f t="shared" si="25"/>
        <v>0.96</v>
      </c>
    </row>
    <row r="1652" spans="1:44" x14ac:dyDescent="0.2">
      <c r="A1652" s="8" t="s">
        <v>792</v>
      </c>
      <c r="B1652" s="18" t="s">
        <v>324</v>
      </c>
      <c r="C1652" t="s">
        <v>365</v>
      </c>
      <c r="D1652" s="23" t="s">
        <v>338</v>
      </c>
      <c r="E1652" t="s">
        <v>279</v>
      </c>
      <c r="F1652" t="s">
        <v>280</v>
      </c>
      <c r="G1652">
        <v>-10</v>
      </c>
      <c r="H1652">
        <v>0</v>
      </c>
      <c r="I1652">
        <v>0</v>
      </c>
      <c r="J1652">
        <v>0.45</v>
      </c>
      <c r="K1652">
        <v>-10</v>
      </c>
      <c r="L1652">
        <v>0</v>
      </c>
      <c r="M1652">
        <v>0</v>
      </c>
      <c r="N1652" s="28" t="s">
        <v>643</v>
      </c>
      <c r="O1652" s="28" t="s">
        <v>644</v>
      </c>
      <c r="P1652"/>
      <c r="Q1652" s="28" t="s">
        <v>645</v>
      </c>
      <c r="R1652" s="28" t="s">
        <v>646</v>
      </c>
      <c r="S1652" s="1" t="str">
        <f>VLOOKUP($E1652,'Product Naming'!$A$1:$P$58,2,FALSE)</f>
        <v>Nonane</v>
      </c>
      <c r="T1652" s="1" t="str">
        <f>VLOOKUP($E1652,'Product Naming'!$A$1:$P$58,3,FALSE)</f>
        <v>Nonane</v>
      </c>
      <c r="U1652" s="1" t="str">
        <f>VLOOKUP($E1652,'Product Naming'!$A$1:$P$58,4,FALSE)</f>
        <v>E</v>
      </c>
      <c r="V1652" s="1" t="str">
        <f>VLOOKUP($E1652,'Product Naming'!$A$1:$P$58,5,FALSE)</f>
        <v>C9H20</v>
      </c>
      <c r="W1652" s="1">
        <f>VLOOKUP($E1652,'Product Naming'!$A$1:$P$58,6,FALSE)</f>
        <v>9</v>
      </c>
      <c r="X1652" s="1">
        <f>VLOOKUP($E1652,'Product Naming'!$A$1:$P$58,7,FALSE)</f>
        <v>20</v>
      </c>
      <c r="Y1652" s="1">
        <f>VLOOKUP($E1652,'Product Naming'!$A$1:$P$58,8,FALSE)</f>
        <v>0</v>
      </c>
      <c r="Z1652" s="1">
        <f>VLOOKUP($E1652,'Product Naming'!$A$1:$P$58,9,FALSE)</f>
        <v>0</v>
      </c>
      <c r="AA1652" s="1">
        <f>VLOOKUP($E1652,'Product Naming'!$A$1:$P$58,10,FALSE)</f>
        <v>0</v>
      </c>
      <c r="AB1652" s="29">
        <f>VLOOKUP($E1652,'Product Naming'!$A$1:$P$58,11,FALSE)</f>
        <v>6.2222222222222223</v>
      </c>
      <c r="AC1652" s="3">
        <f>VLOOKUP($E1652,'Product Naming'!$A$1:$P$58,12,FALSE)</f>
        <v>128.25309999999999</v>
      </c>
      <c r="AD1652" s="1">
        <f>VLOOKUP($E1652,'Product Naming'!$A$1:$P$58,13,FALSE)</f>
        <v>151</v>
      </c>
      <c r="AE1652" s="1" t="str">
        <f>VLOOKUP($E1652,'Product Naming'!$A$1:$P$58,14,FALSE)</f>
        <v>Hydrocarbon (alkane)</v>
      </c>
      <c r="AF1652" s="1" t="str">
        <f>VLOOKUP($E1652,'Product Naming'!$A$1:$P$58,15,FALSE)</f>
        <v>Acetyl-CoA</v>
      </c>
      <c r="AG1652" s="30" t="str">
        <f>VLOOKUP($E1652,'Product Naming'!$A$1:$P$58,16,FALSE)</f>
        <v>Proton symporter</v>
      </c>
      <c r="AH1652" s="3" t="str">
        <f>VLOOKUP($E1652,'Product Naming'!$A$1:$Q$58,17,FALSE)</f>
        <v>nonan_c</v>
      </c>
      <c r="AI1652" s="1">
        <f>VLOOKUP($E1652,'Product Parameters'!$A$2:$D$59,2,FALSE)</f>
        <v>1</v>
      </c>
      <c r="AJ1652" s="1">
        <f>VLOOKUP($E1652,'Product Parameters'!$A$2:$D$59,3,FALSE)</f>
        <v>0</v>
      </c>
      <c r="AK1652" s="1">
        <f>VLOOKUP($E1652,'Product Parameters'!$A$2:$D$59,4,FALSE)</f>
        <v>0.12</v>
      </c>
      <c r="AL1652" s="1">
        <f>VLOOKUP($E1652,'Product Parameters'!$A$2:$E$59,5,FALSE)</f>
        <v>46.5</v>
      </c>
      <c r="AM1652" s="1">
        <f>VLOOKUP($E1652,'Product Parameters'!$A$2:$F$59,6,FALSE)</f>
        <v>9</v>
      </c>
      <c r="AN1652" s="1">
        <f>VLOOKUP($C1652,'Substrate Heating'!$A$2:$C$33,3,FALSE)</f>
        <v>638.57832580000002</v>
      </c>
      <c r="AO1652" s="1">
        <f>VLOOKUP($C1652,'Substrate Heating'!$A$2:$B$33,2,FALSE)</f>
        <v>19.93</v>
      </c>
      <c r="AP1652" s="1">
        <f>VLOOKUP($C1652,'Substrate Heating'!$A$2:$M$33,13,FALSE)</f>
        <v>6</v>
      </c>
      <c r="AQ1652" s="1">
        <f>VLOOKUP($C1652,'Substrate Heating'!$A$2:$M$33,8,FALSE)</f>
        <v>1</v>
      </c>
      <c r="AR1652" s="1">
        <f t="shared" si="25"/>
        <v>0.96352941176469897</v>
      </c>
    </row>
    <row r="1653" spans="1:44" x14ac:dyDescent="0.2">
      <c r="A1653" s="8" t="s">
        <v>792</v>
      </c>
      <c r="B1653" s="18" t="s">
        <v>324</v>
      </c>
      <c r="C1653" t="s">
        <v>372</v>
      </c>
      <c r="D1653" s="23" t="s">
        <v>338</v>
      </c>
      <c r="E1653" t="s">
        <v>279</v>
      </c>
      <c r="F1653" t="s">
        <v>280</v>
      </c>
      <c r="G1653">
        <v>-10</v>
      </c>
      <c r="H1653">
        <v>0</v>
      </c>
      <c r="I1653">
        <v>0</v>
      </c>
      <c r="J1653">
        <v>0.45</v>
      </c>
      <c r="K1653">
        <v>-10</v>
      </c>
      <c r="L1653">
        <v>0</v>
      </c>
      <c r="M1653">
        <v>0</v>
      </c>
      <c r="N1653" s="28" t="s">
        <v>647</v>
      </c>
      <c r="O1653" s="28" t="s">
        <v>651</v>
      </c>
      <c r="P1653"/>
      <c r="Q1653" s="28" t="s">
        <v>652</v>
      </c>
      <c r="R1653" s="28" t="s">
        <v>653</v>
      </c>
      <c r="S1653" s="1" t="str">
        <f>VLOOKUP($E1653,'Product Naming'!$A$1:$P$58,2,FALSE)</f>
        <v>Nonane</v>
      </c>
      <c r="T1653" s="1" t="str">
        <f>VLOOKUP($E1653,'Product Naming'!$A$1:$P$58,3,FALSE)</f>
        <v>Nonane</v>
      </c>
      <c r="U1653" s="1" t="str">
        <f>VLOOKUP($E1653,'Product Naming'!$A$1:$P$58,4,FALSE)</f>
        <v>E</v>
      </c>
      <c r="V1653" s="1" t="str">
        <f>VLOOKUP($E1653,'Product Naming'!$A$1:$P$58,5,FALSE)</f>
        <v>C9H20</v>
      </c>
      <c r="W1653" s="1">
        <f>VLOOKUP($E1653,'Product Naming'!$A$1:$P$58,6,FALSE)</f>
        <v>9</v>
      </c>
      <c r="X1653" s="1">
        <f>VLOOKUP($E1653,'Product Naming'!$A$1:$P$58,7,FALSE)</f>
        <v>20</v>
      </c>
      <c r="Y1653" s="1">
        <f>VLOOKUP($E1653,'Product Naming'!$A$1:$P$58,8,FALSE)</f>
        <v>0</v>
      </c>
      <c r="Z1653" s="1">
        <f>VLOOKUP($E1653,'Product Naming'!$A$1:$P$58,9,FALSE)</f>
        <v>0</v>
      </c>
      <c r="AA1653" s="1">
        <f>VLOOKUP($E1653,'Product Naming'!$A$1:$P$58,10,FALSE)</f>
        <v>0</v>
      </c>
      <c r="AB1653" s="29">
        <f>VLOOKUP($E1653,'Product Naming'!$A$1:$P$58,11,FALSE)</f>
        <v>6.2222222222222223</v>
      </c>
      <c r="AC1653" s="3">
        <f>VLOOKUP($E1653,'Product Naming'!$A$1:$P$58,12,FALSE)</f>
        <v>128.25309999999999</v>
      </c>
      <c r="AD1653" s="1">
        <f>VLOOKUP($E1653,'Product Naming'!$A$1:$P$58,13,FALSE)</f>
        <v>151</v>
      </c>
      <c r="AE1653" s="1" t="str">
        <f>VLOOKUP($E1653,'Product Naming'!$A$1:$P$58,14,FALSE)</f>
        <v>Hydrocarbon (alkane)</v>
      </c>
      <c r="AF1653" s="1" t="str">
        <f>VLOOKUP($E1653,'Product Naming'!$A$1:$P$58,15,FALSE)</f>
        <v>Acetyl-CoA</v>
      </c>
      <c r="AG1653" s="30" t="str">
        <f>VLOOKUP($E1653,'Product Naming'!$A$1:$P$58,16,FALSE)</f>
        <v>Proton symporter</v>
      </c>
      <c r="AH1653" s="3" t="str">
        <f>VLOOKUP($E1653,'Product Naming'!$A$1:$Q$58,17,FALSE)</f>
        <v>nonan_c</v>
      </c>
      <c r="AI1653" s="1">
        <f>VLOOKUP($E1653,'Product Parameters'!$A$2:$D$59,2,FALSE)</f>
        <v>1</v>
      </c>
      <c r="AJ1653" s="1">
        <f>VLOOKUP($E1653,'Product Parameters'!$A$2:$D$59,3,FALSE)</f>
        <v>0</v>
      </c>
      <c r="AK1653" s="1">
        <f>VLOOKUP($E1653,'Product Parameters'!$A$2:$D$59,4,FALSE)</f>
        <v>0.12</v>
      </c>
      <c r="AL1653" s="1">
        <f>VLOOKUP($E1653,'Product Parameters'!$A$2:$E$59,5,FALSE)</f>
        <v>46.5</v>
      </c>
      <c r="AM1653" s="1">
        <f>VLOOKUP($E1653,'Product Parameters'!$A$2:$F$59,6,FALSE)</f>
        <v>9</v>
      </c>
      <c r="AN1653" s="1">
        <f>VLOOKUP($C1653,'Substrate Heating'!$A$2:$C$33,3,FALSE)</f>
        <v>638.57832580000002</v>
      </c>
      <c r="AO1653" s="1">
        <f>VLOOKUP($C1653,'Substrate Heating'!$A$2:$B$33,2,FALSE)</f>
        <v>19.93</v>
      </c>
      <c r="AP1653" s="1">
        <f>VLOOKUP($C1653,'Substrate Heating'!$A$2:$M$33,13,FALSE)</f>
        <v>6</v>
      </c>
      <c r="AQ1653" s="1">
        <f>VLOOKUP($C1653,'Substrate Heating'!$A$2:$M$33,8,FALSE)</f>
        <v>1</v>
      </c>
      <c r="AR1653" s="1">
        <f t="shared" si="25"/>
        <v>0.96428571428571297</v>
      </c>
    </row>
    <row r="1654" spans="1:44" x14ac:dyDescent="0.2">
      <c r="A1654" s="8" t="s">
        <v>792</v>
      </c>
      <c r="B1654" s="18" t="s">
        <v>324</v>
      </c>
      <c r="C1654" t="s">
        <v>369</v>
      </c>
      <c r="D1654" s="23" t="s">
        <v>338</v>
      </c>
      <c r="E1654" t="s">
        <v>279</v>
      </c>
      <c r="F1654" t="s">
        <v>280</v>
      </c>
      <c r="G1654">
        <v>-10</v>
      </c>
      <c r="H1654">
        <v>0</v>
      </c>
      <c r="I1654">
        <v>0</v>
      </c>
      <c r="J1654">
        <v>0.45</v>
      </c>
      <c r="K1654">
        <v>-10</v>
      </c>
      <c r="L1654">
        <v>0</v>
      </c>
      <c r="M1654">
        <v>0</v>
      </c>
      <c r="N1654" s="28" t="s">
        <v>647</v>
      </c>
      <c r="O1654" s="28" t="s">
        <v>648</v>
      </c>
      <c r="P1654"/>
      <c r="Q1654" s="28" t="s">
        <v>649</v>
      </c>
      <c r="R1654" s="28" t="s">
        <v>650</v>
      </c>
      <c r="S1654" s="1" t="str">
        <f>VLOOKUP($E1654,'Product Naming'!$A$1:$P$58,2,FALSE)</f>
        <v>Nonane</v>
      </c>
      <c r="T1654" s="1" t="str">
        <f>VLOOKUP($E1654,'Product Naming'!$A$1:$P$58,3,FALSE)</f>
        <v>Nonane</v>
      </c>
      <c r="U1654" s="1" t="str">
        <f>VLOOKUP($E1654,'Product Naming'!$A$1:$P$58,4,FALSE)</f>
        <v>E</v>
      </c>
      <c r="V1654" s="1" t="str">
        <f>VLOOKUP($E1654,'Product Naming'!$A$1:$P$58,5,FALSE)</f>
        <v>C9H20</v>
      </c>
      <c r="W1654" s="1">
        <f>VLOOKUP($E1654,'Product Naming'!$A$1:$P$58,6,FALSE)</f>
        <v>9</v>
      </c>
      <c r="X1654" s="1">
        <f>VLOOKUP($E1654,'Product Naming'!$A$1:$P$58,7,FALSE)</f>
        <v>20</v>
      </c>
      <c r="Y1654" s="1">
        <f>VLOOKUP($E1654,'Product Naming'!$A$1:$P$58,8,FALSE)</f>
        <v>0</v>
      </c>
      <c r="Z1654" s="1">
        <f>VLOOKUP($E1654,'Product Naming'!$A$1:$P$58,9,FALSE)</f>
        <v>0</v>
      </c>
      <c r="AA1654" s="1">
        <f>VLOOKUP($E1654,'Product Naming'!$A$1:$P$58,10,FALSE)</f>
        <v>0</v>
      </c>
      <c r="AB1654" s="29">
        <f>VLOOKUP($E1654,'Product Naming'!$A$1:$P$58,11,FALSE)</f>
        <v>6.2222222222222223</v>
      </c>
      <c r="AC1654" s="3">
        <f>VLOOKUP($E1654,'Product Naming'!$A$1:$P$58,12,FALSE)</f>
        <v>128.25309999999999</v>
      </c>
      <c r="AD1654" s="1">
        <f>VLOOKUP($E1654,'Product Naming'!$A$1:$P$58,13,FALSE)</f>
        <v>151</v>
      </c>
      <c r="AE1654" s="1" t="str">
        <f>VLOOKUP($E1654,'Product Naming'!$A$1:$P$58,14,FALSE)</f>
        <v>Hydrocarbon (alkane)</v>
      </c>
      <c r="AF1654" s="1" t="str">
        <f>VLOOKUP($E1654,'Product Naming'!$A$1:$P$58,15,FALSE)</f>
        <v>Acetyl-CoA</v>
      </c>
      <c r="AG1654" s="30" t="str">
        <f>VLOOKUP($E1654,'Product Naming'!$A$1:$P$58,16,FALSE)</f>
        <v>Proton symporter</v>
      </c>
      <c r="AH1654" s="3" t="str">
        <f>VLOOKUP($E1654,'Product Naming'!$A$1:$Q$58,17,FALSE)</f>
        <v>nonan_c</v>
      </c>
      <c r="AI1654" s="1">
        <f>VLOOKUP($E1654,'Product Parameters'!$A$2:$D$59,2,FALSE)</f>
        <v>1</v>
      </c>
      <c r="AJ1654" s="1">
        <f>VLOOKUP($E1654,'Product Parameters'!$A$2:$D$59,3,FALSE)</f>
        <v>0</v>
      </c>
      <c r="AK1654" s="1">
        <f>VLOOKUP($E1654,'Product Parameters'!$A$2:$D$59,4,FALSE)</f>
        <v>0.12</v>
      </c>
      <c r="AL1654" s="1">
        <f>VLOOKUP($E1654,'Product Parameters'!$A$2:$E$59,5,FALSE)</f>
        <v>46.5</v>
      </c>
      <c r="AM1654" s="1">
        <f>VLOOKUP($E1654,'Product Parameters'!$A$2:$F$59,6,FALSE)</f>
        <v>9</v>
      </c>
      <c r="AN1654" s="1">
        <f>VLOOKUP($C1654,'Substrate Heating'!$A$2:$C$33,3,FALSE)</f>
        <v>638.57832580000002</v>
      </c>
      <c r="AO1654" s="1">
        <f>VLOOKUP($C1654,'Substrate Heating'!$A$2:$B$33,2,FALSE)</f>
        <v>19.93</v>
      </c>
      <c r="AP1654" s="1">
        <f>VLOOKUP($C1654,'Substrate Heating'!$A$2:$M$33,13,FALSE)</f>
        <v>6</v>
      </c>
      <c r="AQ1654" s="1">
        <f>VLOOKUP($C1654,'Substrate Heating'!$A$2:$M$33,8,FALSE)</f>
        <v>1</v>
      </c>
      <c r="AR1654" s="1">
        <f t="shared" si="25"/>
        <v>0.96428571428571297</v>
      </c>
    </row>
    <row r="1655" spans="1:44" x14ac:dyDescent="0.2">
      <c r="A1655" s="8" t="s">
        <v>792</v>
      </c>
      <c r="B1655" s="18" t="s">
        <v>324</v>
      </c>
      <c r="C1655" t="s">
        <v>371</v>
      </c>
      <c r="D1655" s="23" t="s">
        <v>338</v>
      </c>
      <c r="E1655" t="s">
        <v>279</v>
      </c>
      <c r="F1655" t="s">
        <v>280</v>
      </c>
      <c r="G1655">
        <v>-10</v>
      </c>
      <c r="H1655">
        <v>0</v>
      </c>
      <c r="I1655">
        <v>0</v>
      </c>
      <c r="J1655">
        <v>0.45</v>
      </c>
      <c r="K1655">
        <v>-10</v>
      </c>
      <c r="L1655">
        <v>0</v>
      </c>
      <c r="M1655">
        <v>0</v>
      </c>
      <c r="N1655" s="28" t="s">
        <v>647</v>
      </c>
      <c r="O1655" s="28" t="s">
        <v>648</v>
      </c>
      <c r="P1655"/>
      <c r="Q1655" s="28" t="s">
        <v>649</v>
      </c>
      <c r="R1655" s="28" t="s">
        <v>650</v>
      </c>
      <c r="S1655" s="1" t="str">
        <f>VLOOKUP($E1655,'Product Naming'!$A$1:$P$58,2,FALSE)</f>
        <v>Nonane</v>
      </c>
      <c r="T1655" s="1" t="str">
        <f>VLOOKUP($E1655,'Product Naming'!$A$1:$P$58,3,FALSE)</f>
        <v>Nonane</v>
      </c>
      <c r="U1655" s="1" t="str">
        <f>VLOOKUP($E1655,'Product Naming'!$A$1:$P$58,4,FALSE)</f>
        <v>E</v>
      </c>
      <c r="V1655" s="1" t="str">
        <f>VLOOKUP($E1655,'Product Naming'!$A$1:$P$58,5,FALSE)</f>
        <v>C9H20</v>
      </c>
      <c r="W1655" s="1">
        <f>VLOOKUP($E1655,'Product Naming'!$A$1:$P$58,6,FALSE)</f>
        <v>9</v>
      </c>
      <c r="X1655" s="1">
        <f>VLOOKUP($E1655,'Product Naming'!$A$1:$P$58,7,FALSE)</f>
        <v>20</v>
      </c>
      <c r="Y1655" s="1">
        <f>VLOOKUP($E1655,'Product Naming'!$A$1:$P$58,8,FALSE)</f>
        <v>0</v>
      </c>
      <c r="Z1655" s="1">
        <f>VLOOKUP($E1655,'Product Naming'!$A$1:$P$58,9,FALSE)</f>
        <v>0</v>
      </c>
      <c r="AA1655" s="1">
        <f>VLOOKUP($E1655,'Product Naming'!$A$1:$P$58,10,FALSE)</f>
        <v>0</v>
      </c>
      <c r="AB1655" s="29">
        <f>VLOOKUP($E1655,'Product Naming'!$A$1:$P$58,11,FALSE)</f>
        <v>6.2222222222222223</v>
      </c>
      <c r="AC1655" s="3">
        <f>VLOOKUP($E1655,'Product Naming'!$A$1:$P$58,12,FALSE)</f>
        <v>128.25309999999999</v>
      </c>
      <c r="AD1655" s="1">
        <f>VLOOKUP($E1655,'Product Naming'!$A$1:$P$58,13,FALSE)</f>
        <v>151</v>
      </c>
      <c r="AE1655" s="1" t="str">
        <f>VLOOKUP($E1655,'Product Naming'!$A$1:$P$58,14,FALSE)</f>
        <v>Hydrocarbon (alkane)</v>
      </c>
      <c r="AF1655" s="1" t="str">
        <f>VLOOKUP($E1655,'Product Naming'!$A$1:$P$58,15,FALSE)</f>
        <v>Acetyl-CoA</v>
      </c>
      <c r="AG1655" s="30" t="str">
        <f>VLOOKUP($E1655,'Product Naming'!$A$1:$P$58,16,FALSE)</f>
        <v>Proton symporter</v>
      </c>
      <c r="AH1655" s="3" t="str">
        <f>VLOOKUP($E1655,'Product Naming'!$A$1:$Q$58,17,FALSE)</f>
        <v>nonan_c</v>
      </c>
      <c r="AI1655" s="1">
        <f>VLOOKUP($E1655,'Product Parameters'!$A$2:$D$59,2,FALSE)</f>
        <v>1</v>
      </c>
      <c r="AJ1655" s="1">
        <f>VLOOKUP($E1655,'Product Parameters'!$A$2:$D$59,3,FALSE)</f>
        <v>0</v>
      </c>
      <c r="AK1655" s="1">
        <f>VLOOKUP($E1655,'Product Parameters'!$A$2:$D$59,4,FALSE)</f>
        <v>0.12</v>
      </c>
      <c r="AL1655" s="1">
        <f>VLOOKUP($E1655,'Product Parameters'!$A$2:$E$59,5,FALSE)</f>
        <v>46.5</v>
      </c>
      <c r="AM1655" s="1">
        <f>VLOOKUP($E1655,'Product Parameters'!$A$2:$F$59,6,FALSE)</f>
        <v>9</v>
      </c>
      <c r="AN1655" s="1">
        <f>VLOOKUP($C1655,'Substrate Heating'!$A$2:$C$33,3,FALSE)</f>
        <v>638.57832580000002</v>
      </c>
      <c r="AO1655" s="1">
        <f>VLOOKUP($C1655,'Substrate Heating'!$A$2:$B$33,2,FALSE)</f>
        <v>19.93</v>
      </c>
      <c r="AP1655" s="1">
        <f>VLOOKUP($C1655,'Substrate Heating'!$A$2:$M$33,13,FALSE)</f>
        <v>6</v>
      </c>
      <c r="AQ1655" s="1">
        <f>VLOOKUP($C1655,'Substrate Heating'!$A$2:$M$33,8,FALSE)</f>
        <v>1</v>
      </c>
      <c r="AR1655" s="1">
        <f t="shared" si="25"/>
        <v>0.96428571428571297</v>
      </c>
    </row>
    <row r="1656" spans="1:44" x14ac:dyDescent="0.2">
      <c r="A1656" s="8" t="s">
        <v>792</v>
      </c>
      <c r="B1656" s="18" t="s">
        <v>324</v>
      </c>
      <c r="C1656" t="s">
        <v>372</v>
      </c>
      <c r="D1656" s="23" t="s">
        <v>338</v>
      </c>
      <c r="E1656" t="s">
        <v>52</v>
      </c>
      <c r="F1656" t="s">
        <v>53</v>
      </c>
      <c r="G1656">
        <v>-10</v>
      </c>
      <c r="H1656">
        <v>0</v>
      </c>
      <c r="I1656">
        <v>0</v>
      </c>
      <c r="J1656">
        <v>0.45</v>
      </c>
      <c r="K1656">
        <v>-10</v>
      </c>
      <c r="L1656">
        <v>0</v>
      </c>
      <c r="M1656" s="28" t="s">
        <v>383</v>
      </c>
      <c r="N1656">
        <v>0</v>
      </c>
      <c r="O1656" s="28" t="s">
        <v>384</v>
      </c>
      <c r="P1656"/>
      <c r="Q1656" s="28" t="s">
        <v>385</v>
      </c>
      <c r="R1656" s="28" t="s">
        <v>386</v>
      </c>
      <c r="S1656" s="1" t="str">
        <f>VLOOKUP($E1656,'Product Naming'!$A$1:$P$58,2,FALSE)</f>
        <v>1-3-Diaminopropane</v>
      </c>
      <c r="T1656" s="1" t="str">
        <f>VLOOKUP($E1656,'Product Naming'!$A$1:$P$58,3,FALSE)</f>
        <v>1,3-Diaminopropane</v>
      </c>
      <c r="U1656" s="1" t="str">
        <f>VLOOKUP($E1656,'Product Naming'!$A$1:$P$58,4,FALSE)</f>
        <v>A</v>
      </c>
      <c r="V1656" s="1" t="str">
        <f>VLOOKUP($E1656,'Product Naming'!$A$1:$P$58,5,FALSE)</f>
        <v>C3H12N2</v>
      </c>
      <c r="W1656" s="1">
        <f>VLOOKUP($E1656,'Product Naming'!$A$1:$P$58,6,FALSE)</f>
        <v>3</v>
      </c>
      <c r="X1656" s="1">
        <f>VLOOKUP($E1656,'Product Naming'!$A$1:$P$58,7,FALSE)</f>
        <v>12</v>
      </c>
      <c r="Y1656" s="1">
        <f>VLOOKUP($E1656,'Product Naming'!$A$1:$P$58,8,FALSE)</f>
        <v>0</v>
      </c>
      <c r="Z1656" s="1">
        <f>VLOOKUP($E1656,'Product Naming'!$A$1:$P$58,9,FALSE)</f>
        <v>2</v>
      </c>
      <c r="AA1656" s="1">
        <f>VLOOKUP($E1656,'Product Naming'!$A$1:$P$58,10,FALSE)</f>
        <v>2</v>
      </c>
      <c r="AB1656" s="29">
        <f>VLOOKUP($E1656,'Product Naming'!$A$1:$P$58,11,FALSE)</f>
        <v>6</v>
      </c>
      <c r="AC1656" s="3">
        <f>VLOOKUP($E1656,'Product Naming'!$A$1:$P$58,12,FALSE)</f>
        <v>76.139580000000009</v>
      </c>
      <c r="AD1656" s="1">
        <f>VLOOKUP($E1656,'Product Naming'!$A$1:$P$58,13,FALSE)</f>
        <v>139.30000000000001</v>
      </c>
      <c r="AE1656" s="1" t="str">
        <f>VLOOKUP($E1656,'Product Naming'!$A$1:$P$58,14,FALSE)</f>
        <v>Diamine</v>
      </c>
      <c r="AF1656" s="1" t="str">
        <f>VLOOKUP($E1656,'Product Naming'!$A$1:$P$58,15,FALSE)</f>
        <v>Oxaloacetate + aKG</v>
      </c>
      <c r="AG1656" s="30" t="str">
        <f>VLOOKUP($E1656,'Product Naming'!$A$1:$P$58,16,FALSE)</f>
        <v>Proton symporter</v>
      </c>
      <c r="AH1656" s="3" t="str">
        <f>VLOOKUP($E1656,'Product Naming'!$A$1:$Q$58,17,FALSE)</f>
        <v>13dampp_c</v>
      </c>
      <c r="AI1656" s="1">
        <f>VLOOKUP($E1656,'Product Parameters'!$A$2:$D$59,2,FALSE)</f>
        <v>1</v>
      </c>
      <c r="AJ1656" s="1">
        <f>VLOOKUP($E1656,'Product Parameters'!$A$2:$D$59,3,FALSE)</f>
        <v>0</v>
      </c>
      <c r="AK1656" s="1">
        <f>VLOOKUP($E1656,'Product Parameters'!$A$2:$D$59,4,FALSE)</f>
        <v>0.12</v>
      </c>
      <c r="AL1656" s="1">
        <f>VLOOKUP($E1656,'Product Parameters'!$A$2:$E$59,5,FALSE)</f>
        <v>50.18</v>
      </c>
      <c r="AM1656" s="1">
        <f>VLOOKUP($E1656,'Product Parameters'!$A$2:$F$59,6,FALSE)</f>
        <v>3</v>
      </c>
      <c r="AN1656" s="1">
        <f>VLOOKUP($C1656,'Substrate Heating'!$A$2:$C$33,3,FALSE)</f>
        <v>638.57832580000002</v>
      </c>
      <c r="AO1656" s="1">
        <f>VLOOKUP($C1656,'Substrate Heating'!$A$2:$B$33,2,FALSE)</f>
        <v>19.93</v>
      </c>
      <c r="AP1656" s="1">
        <f>VLOOKUP($C1656,'Substrate Heating'!$A$2:$M$33,13,FALSE)</f>
        <v>6</v>
      </c>
      <c r="AQ1656" s="1">
        <f>VLOOKUP($C1656,'Substrate Heating'!$A$2:$M$33,8,FALSE)</f>
        <v>1</v>
      </c>
      <c r="AR1656" s="1">
        <f t="shared" si="25"/>
        <v>0.53538461538461402</v>
      </c>
    </row>
    <row r="1657" spans="1:44" x14ac:dyDescent="0.2">
      <c r="A1657" s="8" t="s">
        <v>792</v>
      </c>
      <c r="B1657" s="18" t="s">
        <v>324</v>
      </c>
      <c r="C1657" t="s">
        <v>369</v>
      </c>
      <c r="D1657" s="23" t="s">
        <v>338</v>
      </c>
      <c r="E1657" t="s">
        <v>81</v>
      </c>
      <c r="F1657" t="s">
        <v>73</v>
      </c>
      <c r="G1657">
        <v>-10</v>
      </c>
      <c r="H1657">
        <v>0</v>
      </c>
      <c r="I1657">
        <v>0</v>
      </c>
      <c r="J1657">
        <v>0.45</v>
      </c>
      <c r="K1657">
        <v>-10</v>
      </c>
      <c r="L1657">
        <v>0</v>
      </c>
      <c r="M1657">
        <v>0</v>
      </c>
      <c r="N1657">
        <v>0</v>
      </c>
      <c r="O1657" s="28" t="s">
        <v>428</v>
      </c>
      <c r="P1657"/>
      <c r="Q1657" s="28" t="s">
        <v>429</v>
      </c>
      <c r="R1657" s="28" t="s">
        <v>430</v>
      </c>
      <c r="S1657" s="1" t="str">
        <f>VLOOKUP($E1657,'Product Naming'!$A$1:$P$58,2,FALSE)</f>
        <v>1-propanol-PW2</v>
      </c>
      <c r="T1657" s="1" t="str">
        <f>VLOOKUP($E1657,'Product Naming'!$A$1:$P$58,3,FALSE)</f>
        <v>1-Propanol (PW2)</v>
      </c>
      <c r="U1657" s="1" t="str">
        <f>VLOOKUP($E1657,'Product Naming'!$A$1:$P$58,4,FALSE)</f>
        <v>E-S</v>
      </c>
      <c r="V1657" s="1" t="str">
        <f>VLOOKUP($E1657,'Product Naming'!$A$1:$P$58,5,FALSE)</f>
        <v>C3H8O</v>
      </c>
      <c r="W1657" s="1">
        <f>VLOOKUP($E1657,'Product Naming'!$A$1:$P$58,6,FALSE)</f>
        <v>3</v>
      </c>
      <c r="X1657" s="1">
        <f>VLOOKUP($E1657,'Product Naming'!$A$1:$P$58,7,FALSE)</f>
        <v>8</v>
      </c>
      <c r="Y1657" s="1">
        <f>VLOOKUP($E1657,'Product Naming'!$A$1:$P$58,8,FALSE)</f>
        <v>1</v>
      </c>
      <c r="Z1657" s="1">
        <f>VLOOKUP($E1657,'Product Naming'!$A$1:$P$58,9,FALSE)</f>
        <v>0</v>
      </c>
      <c r="AA1657" s="1">
        <f>VLOOKUP($E1657,'Product Naming'!$A$1:$P$58,10,FALSE)</f>
        <v>0</v>
      </c>
      <c r="AB1657" s="29">
        <f>VLOOKUP($E1657,'Product Naming'!$A$1:$P$58,11,FALSE)</f>
        <v>6</v>
      </c>
      <c r="AC1657" s="3">
        <f>VLOOKUP($E1657,'Product Naming'!$A$1:$P$58,12,FALSE)</f>
        <v>60.093820000000001</v>
      </c>
      <c r="AD1657" s="1">
        <f>VLOOKUP($E1657,'Product Naming'!$A$1:$P$58,13,FALSE)</f>
        <v>97</v>
      </c>
      <c r="AE1657" s="1" t="str">
        <f>VLOOKUP($E1657,'Product Naming'!$A$1:$P$58,14,FALSE)</f>
        <v>Alcohol</v>
      </c>
      <c r="AF1657" s="1" t="str">
        <f>VLOOKUP($E1657,'Product Naming'!$A$1:$P$58,15,FALSE)</f>
        <v>Oxaloacetate</v>
      </c>
      <c r="AG1657" s="30" t="str">
        <f>VLOOKUP($E1657,'Product Naming'!$A$1:$P$58,16,FALSE)</f>
        <v>Proton symporter</v>
      </c>
      <c r="AH1657" s="3" t="str">
        <f>VLOOKUP($E1657,'Product Naming'!$A$1:$Q$58,17,FALSE)</f>
        <v>ppoh_c</v>
      </c>
      <c r="AI1657" s="1">
        <f>VLOOKUP($E1657,'Product Parameters'!$A$2:$D$59,2,FALSE)</f>
        <v>1</v>
      </c>
      <c r="AJ1657" s="1">
        <f>VLOOKUP($E1657,'Product Parameters'!$A$2:$D$59,3,FALSE)</f>
        <v>0</v>
      </c>
      <c r="AK1657" s="1">
        <f>VLOOKUP($E1657,'Product Parameters'!$A$2:$D$59,4,FALSE)</f>
        <v>0.12</v>
      </c>
      <c r="AL1657" s="1">
        <f>VLOOKUP($E1657,'Product Parameters'!$A$2:$E$59,5,FALSE)</f>
        <v>47</v>
      </c>
      <c r="AM1657" s="1">
        <f>VLOOKUP($E1657,'Product Parameters'!$A$2:$F$59,6,FALSE)</f>
        <v>3</v>
      </c>
      <c r="AN1657" s="1">
        <f>VLOOKUP($C1657,'Substrate Heating'!$A$2:$C$33,3,FALSE)</f>
        <v>638.57832580000002</v>
      </c>
      <c r="AO1657" s="1">
        <f>VLOOKUP($C1657,'Substrate Heating'!$A$2:$B$33,2,FALSE)</f>
        <v>19.93</v>
      </c>
      <c r="AP1657" s="1">
        <f>VLOOKUP($C1657,'Substrate Heating'!$A$2:$M$33,13,FALSE)</f>
        <v>6</v>
      </c>
      <c r="AQ1657" s="1">
        <f>VLOOKUP($C1657,'Substrate Heating'!$A$2:$M$33,8,FALSE)</f>
        <v>1</v>
      </c>
      <c r="AR1657" s="1">
        <f t="shared" si="25"/>
        <v>0.69777777777777594</v>
      </c>
    </row>
    <row r="1658" spans="1:44" x14ac:dyDescent="0.2">
      <c r="A1658" s="8" t="s">
        <v>792</v>
      </c>
      <c r="B1658" s="18" t="s">
        <v>324</v>
      </c>
      <c r="C1658" t="s">
        <v>371</v>
      </c>
      <c r="D1658" s="23" t="s">
        <v>338</v>
      </c>
      <c r="E1658" t="s">
        <v>130</v>
      </c>
      <c r="F1658" t="s">
        <v>125</v>
      </c>
      <c r="G1658">
        <v>-10</v>
      </c>
      <c r="H1658">
        <v>0</v>
      </c>
      <c r="I1658">
        <v>0</v>
      </c>
      <c r="J1658">
        <v>0.45</v>
      </c>
      <c r="K1658">
        <v>-10</v>
      </c>
      <c r="L1658">
        <v>0</v>
      </c>
      <c r="M1658" s="28" t="s">
        <v>474</v>
      </c>
      <c r="N1658">
        <v>0</v>
      </c>
      <c r="O1658">
        <v>2.1379310344827598</v>
      </c>
      <c r="P1658"/>
      <c r="Q1658" s="28" t="s">
        <v>475</v>
      </c>
      <c r="R1658" s="28" t="s">
        <v>476</v>
      </c>
      <c r="S1658" s="1" t="str">
        <f>VLOOKUP($E1658,'Product Naming'!$A$1:$P$58,2,FALSE)</f>
        <v>Acrylate-PW2</v>
      </c>
      <c r="T1658" s="1" t="str">
        <f>VLOOKUP($E1658,'Product Naming'!$A$1:$P$58,3,FALSE)</f>
        <v>Acrylate (PW2)</v>
      </c>
      <c r="U1658" s="1" t="str">
        <f>VLOOKUP($E1658,'Product Naming'!$A$1:$P$58,4,FALSE)</f>
        <v>A</v>
      </c>
      <c r="V1658" s="1" t="str">
        <f>VLOOKUP($E1658,'Product Naming'!$A$1:$P$58,5,FALSE)</f>
        <v>C3H3O2</v>
      </c>
      <c r="W1658" s="1">
        <f>VLOOKUP($E1658,'Product Naming'!$A$1:$P$58,6,FALSE)</f>
        <v>3</v>
      </c>
      <c r="X1658" s="1">
        <f>VLOOKUP($E1658,'Product Naming'!$A$1:$P$58,7,FALSE)</f>
        <v>3</v>
      </c>
      <c r="Y1658" s="1">
        <f>VLOOKUP($E1658,'Product Naming'!$A$1:$P$58,8,FALSE)</f>
        <v>2</v>
      </c>
      <c r="Z1658" s="1">
        <f>VLOOKUP($E1658,'Product Naming'!$A$1:$P$58,9,FALSE)</f>
        <v>0</v>
      </c>
      <c r="AA1658" s="1">
        <f>VLOOKUP($E1658,'Product Naming'!$A$1:$P$58,10,FALSE)</f>
        <v>-1</v>
      </c>
      <c r="AB1658" s="29">
        <f>VLOOKUP($E1658,'Product Naming'!$A$1:$P$58,11,FALSE)</f>
        <v>3.6666666666666665</v>
      </c>
      <c r="AC1658" s="3">
        <f>VLOOKUP($E1658,'Product Naming'!$A$1:$P$58,12,FALSE)</f>
        <v>71.053619999999995</v>
      </c>
      <c r="AD1658" s="1">
        <f>VLOOKUP($E1658,'Product Naming'!$A$1:$P$58,13,FALSE)</f>
        <v>80</v>
      </c>
      <c r="AE1658" s="1" t="str">
        <f>VLOOKUP($E1658,'Product Naming'!$A$1:$P$58,14,FALSE)</f>
        <v>Carboxylate</v>
      </c>
      <c r="AF1658" s="1" t="str">
        <f>VLOOKUP($E1658,'Product Naming'!$A$1:$P$58,15,FALSE)</f>
        <v>Pyruvate</v>
      </c>
      <c r="AG1658" s="30" t="str">
        <f>VLOOKUP($E1658,'Product Naming'!$A$1:$P$58,16,FALSE)</f>
        <v>Proton symporter</v>
      </c>
      <c r="AH1658" s="3" t="str">
        <f>VLOOKUP($E1658,'Product Naming'!$A$1:$Q$58,17,FALSE)</f>
        <v>acryl_c</v>
      </c>
      <c r="AI1658" s="1">
        <f>VLOOKUP($E1658,'Product Parameters'!$A$2:$D$59,2,FALSE)</f>
        <v>1</v>
      </c>
      <c r="AJ1658" s="1">
        <f>VLOOKUP($E1658,'Product Parameters'!$A$2:$D$59,3,FALSE)</f>
        <v>0</v>
      </c>
      <c r="AK1658" s="1">
        <f>VLOOKUP($E1658,'Product Parameters'!$A$2:$D$59,4,FALSE)</f>
        <v>0.12</v>
      </c>
      <c r="AL1658" s="1">
        <f>VLOOKUP($E1658,'Product Parameters'!$A$2:$E$59,5,FALSE)</f>
        <v>53.1</v>
      </c>
      <c r="AM1658" s="1">
        <f>VLOOKUP($E1658,'Product Parameters'!$A$2:$F$59,6,FALSE)</f>
        <v>3</v>
      </c>
      <c r="AN1658" s="1">
        <f>VLOOKUP($C1658,'Substrate Heating'!$A$2:$C$33,3,FALSE)</f>
        <v>638.57832580000002</v>
      </c>
      <c r="AO1658" s="1">
        <f>VLOOKUP($C1658,'Substrate Heating'!$A$2:$B$33,2,FALSE)</f>
        <v>19.93</v>
      </c>
      <c r="AP1658" s="1">
        <f>VLOOKUP($C1658,'Substrate Heating'!$A$2:$M$33,13,FALSE)</f>
        <v>6</v>
      </c>
      <c r="AQ1658" s="1">
        <f>VLOOKUP($C1658,'Substrate Heating'!$A$2:$M$33,8,FALSE)</f>
        <v>1</v>
      </c>
      <c r="AR1658" s="1">
        <f t="shared" si="25"/>
        <v>0.64137931034482509</v>
      </c>
    </row>
    <row r="1659" spans="1:44" x14ac:dyDescent="0.2">
      <c r="A1659" s="8" t="s">
        <v>792</v>
      </c>
      <c r="B1659" s="18" t="s">
        <v>324</v>
      </c>
      <c r="C1659" t="s">
        <v>371</v>
      </c>
      <c r="D1659" s="23" t="s">
        <v>338</v>
      </c>
      <c r="E1659" t="s">
        <v>254</v>
      </c>
      <c r="F1659" t="s">
        <v>255</v>
      </c>
      <c r="G1659">
        <v>-10</v>
      </c>
      <c r="H1659">
        <v>0</v>
      </c>
      <c r="I1659">
        <v>0</v>
      </c>
      <c r="J1659">
        <v>0.45</v>
      </c>
      <c r="K1659">
        <v>-10</v>
      </c>
      <c r="L1659">
        <v>0</v>
      </c>
      <c r="M1659" s="28" t="s">
        <v>623</v>
      </c>
      <c r="N1659">
        <v>0</v>
      </c>
      <c r="O1659" s="28" t="s">
        <v>624</v>
      </c>
      <c r="P1659"/>
      <c r="Q1659" s="28" t="s">
        <v>625</v>
      </c>
      <c r="R1659" s="28" t="s">
        <v>626</v>
      </c>
      <c r="S1659" s="1" t="str">
        <f>VLOOKUP($E1659,'Product Naming'!$A$1:$P$58,2,FALSE)</f>
        <v>Itaconate</v>
      </c>
      <c r="T1659" s="1" t="str">
        <f>VLOOKUP($E1659,'Product Naming'!$A$1:$P$58,3,FALSE)</f>
        <v>Itaconate</v>
      </c>
      <c r="U1659" s="1" t="str">
        <f>VLOOKUP($E1659,'Product Naming'!$A$1:$P$58,4,FALSE)</f>
        <v>E</v>
      </c>
      <c r="V1659" s="1" t="str">
        <f>VLOOKUP($E1659,'Product Naming'!$A$1:$P$58,5,FALSE)</f>
        <v>C5H4O4</v>
      </c>
      <c r="W1659" s="1">
        <f>VLOOKUP($E1659,'Product Naming'!$A$1:$P$58,6,FALSE)</f>
        <v>5</v>
      </c>
      <c r="X1659" s="1">
        <f>VLOOKUP($E1659,'Product Naming'!$A$1:$P$58,7,FALSE)</f>
        <v>4</v>
      </c>
      <c r="Y1659" s="1">
        <f>VLOOKUP($E1659,'Product Naming'!$A$1:$P$58,8,FALSE)</f>
        <v>4</v>
      </c>
      <c r="Z1659" s="1">
        <f>VLOOKUP($E1659,'Product Naming'!$A$1:$P$58,9,FALSE)</f>
        <v>0</v>
      </c>
      <c r="AA1659" s="1">
        <f>VLOOKUP($E1659,'Product Naming'!$A$1:$P$58,10,FALSE)</f>
        <v>-2</v>
      </c>
      <c r="AB1659" s="29">
        <f>VLOOKUP($E1659,'Product Naming'!$A$1:$P$58,11,FALSE)</f>
        <v>3.2</v>
      </c>
      <c r="AC1659" s="3">
        <f>VLOOKUP($E1659,'Product Naming'!$A$1:$P$58,12,FALSE)</f>
        <v>128.08086</v>
      </c>
      <c r="AD1659" s="1">
        <f>VLOOKUP($E1659,'Product Naming'!$A$1:$P$58,13,FALSE)</f>
        <v>381</v>
      </c>
      <c r="AE1659" s="1" t="str">
        <f>VLOOKUP($E1659,'Product Naming'!$A$1:$P$58,14,FALSE)</f>
        <v>Dicarboxylate</v>
      </c>
      <c r="AF1659" s="1" t="str">
        <f>VLOOKUP($E1659,'Product Naming'!$A$1:$P$58,15,FALSE)</f>
        <v>Acetyl-CoA + Oxaloacetate</v>
      </c>
      <c r="AG1659" s="30" t="str">
        <f>VLOOKUP($E1659,'Product Naming'!$A$1:$P$58,16,FALSE)</f>
        <v>Proton symporter</v>
      </c>
      <c r="AH1659" s="3" t="str">
        <f>VLOOKUP($E1659,'Product Naming'!$A$1:$Q$58,17,FALSE)</f>
        <v>itacon_c</v>
      </c>
      <c r="AI1659" s="1">
        <f>VLOOKUP($E1659,'Product Parameters'!$A$2:$D$59,2,FALSE)</f>
        <v>1</v>
      </c>
      <c r="AJ1659" s="1">
        <f>VLOOKUP($E1659,'Product Parameters'!$A$2:$D$59,3,FALSE)</f>
        <v>0</v>
      </c>
      <c r="AK1659" s="1">
        <f>VLOOKUP($E1659,'Product Parameters'!$A$2:$D$59,4,FALSE)</f>
        <v>0.12</v>
      </c>
      <c r="AL1659" s="1">
        <f>VLOOKUP($E1659,'Product Parameters'!$A$2:$E$59,5,FALSE)</f>
        <v>40.65</v>
      </c>
      <c r="AM1659" s="1">
        <f>VLOOKUP($E1659,'Product Parameters'!$A$2:$F$59,6,FALSE)</f>
        <v>5</v>
      </c>
      <c r="AN1659" s="1">
        <f>VLOOKUP($C1659,'Substrate Heating'!$A$2:$C$33,3,FALSE)</f>
        <v>638.57832580000002</v>
      </c>
      <c r="AO1659" s="1">
        <f>VLOOKUP($C1659,'Substrate Heating'!$A$2:$B$33,2,FALSE)</f>
        <v>19.93</v>
      </c>
      <c r="AP1659" s="1">
        <f>VLOOKUP($C1659,'Substrate Heating'!$A$2:$M$33,13,FALSE)</f>
        <v>6</v>
      </c>
      <c r="AQ1659" s="1">
        <f>VLOOKUP($C1659,'Substrate Heating'!$A$2:$M$33,8,FALSE)</f>
        <v>1</v>
      </c>
      <c r="AR1659" s="1">
        <f t="shared" si="25"/>
        <v>0.61473087818696504</v>
      </c>
    </row>
    <row r="1660" spans="1:44" x14ac:dyDescent="0.2">
      <c r="A1660" s="8" t="s">
        <v>792</v>
      </c>
      <c r="B1660" s="18" t="s">
        <v>324</v>
      </c>
      <c r="C1660" t="s">
        <v>369</v>
      </c>
      <c r="D1660" s="23" t="s">
        <v>338</v>
      </c>
      <c r="E1660" t="s">
        <v>240</v>
      </c>
      <c r="F1660" t="s">
        <v>241</v>
      </c>
      <c r="G1660">
        <v>-10</v>
      </c>
      <c r="H1660">
        <v>0</v>
      </c>
      <c r="I1660">
        <v>0</v>
      </c>
      <c r="J1660">
        <v>0.45</v>
      </c>
      <c r="K1660">
        <v>-10</v>
      </c>
      <c r="L1660">
        <v>0</v>
      </c>
      <c r="M1660">
        <v>0</v>
      </c>
      <c r="N1660">
        <v>0</v>
      </c>
      <c r="O1660" s="28" t="s">
        <v>599</v>
      </c>
      <c r="P1660"/>
      <c r="Q1660" s="28" t="s">
        <v>600</v>
      </c>
      <c r="R1660" s="28" t="s">
        <v>601</v>
      </c>
      <c r="S1660" s="1" t="str">
        <f>VLOOKUP($E1660,'Product Naming'!$A$1:$P$58,2,FALSE)</f>
        <v>Isobutanol</v>
      </c>
      <c r="T1660" s="1" t="str">
        <f>VLOOKUP($E1660,'Product Naming'!$A$1:$P$58,3,FALSE)</f>
        <v>Isobutanol</v>
      </c>
      <c r="U1660" s="1" t="str">
        <f>VLOOKUP($E1660,'Product Naming'!$A$1:$P$58,4,FALSE)</f>
        <v>E</v>
      </c>
      <c r="V1660" s="1" t="str">
        <f>VLOOKUP($E1660,'Product Naming'!$A$1:$P$58,5,FALSE)</f>
        <v>C5H10O</v>
      </c>
      <c r="W1660" s="1">
        <f>VLOOKUP($E1660,'Product Naming'!$A$1:$P$58,6,FALSE)</f>
        <v>5</v>
      </c>
      <c r="X1660" s="1">
        <f>VLOOKUP($E1660,'Product Naming'!$A$1:$P$58,7,FALSE)</f>
        <v>10</v>
      </c>
      <c r="Y1660" s="1">
        <f>VLOOKUP($E1660,'Product Naming'!$A$1:$P$58,8,FALSE)</f>
        <v>1</v>
      </c>
      <c r="Z1660" s="1">
        <f>VLOOKUP($E1660,'Product Naming'!$A$1:$P$58,9,FALSE)</f>
        <v>0</v>
      </c>
      <c r="AA1660" s="1">
        <f>VLOOKUP($E1660,'Product Naming'!$A$1:$P$58,10,FALSE)</f>
        <v>0</v>
      </c>
      <c r="AB1660" s="29">
        <f>VLOOKUP($E1660,'Product Naming'!$A$1:$P$58,11,FALSE)</f>
        <v>5.6</v>
      </c>
      <c r="AC1660" s="3">
        <f>VLOOKUP($E1660,'Product Naming'!$A$1:$P$58,12,FALSE)</f>
        <v>86.130899999999997</v>
      </c>
      <c r="AD1660" s="1">
        <f>VLOOKUP($E1660,'Product Naming'!$A$1:$P$58,13,FALSE)</f>
        <v>108</v>
      </c>
      <c r="AE1660" s="1" t="str">
        <f>VLOOKUP($E1660,'Product Naming'!$A$1:$P$58,14,FALSE)</f>
        <v>Alcohol</v>
      </c>
      <c r="AF1660" s="1" t="str">
        <f>VLOOKUP($E1660,'Product Naming'!$A$1:$P$58,15,FALSE)</f>
        <v>Pyruvate</v>
      </c>
      <c r="AG1660" s="30" t="str">
        <f>VLOOKUP($E1660,'Product Naming'!$A$1:$P$58,16,FALSE)</f>
        <v>Proton symporter</v>
      </c>
      <c r="AH1660" s="3" t="str">
        <f>VLOOKUP($E1660,'Product Naming'!$A$1:$Q$58,17,FALSE)</f>
        <v>ibutoh_c</v>
      </c>
      <c r="AI1660" s="1">
        <f>VLOOKUP($E1660,'Product Parameters'!$A$2:$D$59,2,FALSE)</f>
        <v>1</v>
      </c>
      <c r="AJ1660" s="1">
        <f>VLOOKUP($E1660,'Product Parameters'!$A$2:$D$59,3,FALSE)</f>
        <v>0</v>
      </c>
      <c r="AK1660" s="1">
        <f>VLOOKUP($E1660,'Product Parameters'!$A$2:$D$59,4,FALSE)</f>
        <v>0.12</v>
      </c>
      <c r="AL1660" s="1">
        <f>VLOOKUP($E1660,'Product Parameters'!$A$2:$E$59,5,FALSE)</f>
        <v>51</v>
      </c>
      <c r="AM1660" s="1">
        <f>VLOOKUP($E1660,'Product Parameters'!$A$2:$F$59,6,FALSE)</f>
        <v>5</v>
      </c>
      <c r="AN1660" s="1">
        <f>VLOOKUP($C1660,'Substrate Heating'!$A$2:$C$33,3,FALSE)</f>
        <v>638.57832580000002</v>
      </c>
      <c r="AO1660" s="1">
        <f>VLOOKUP($C1660,'Substrate Heating'!$A$2:$B$33,2,FALSE)</f>
        <v>19.93</v>
      </c>
      <c r="AP1660" s="1">
        <f>VLOOKUP($C1660,'Substrate Heating'!$A$2:$M$33,13,FALSE)</f>
        <v>6</v>
      </c>
      <c r="AQ1660" s="1">
        <f>VLOOKUP($C1660,'Substrate Heating'!$A$2:$M$33,8,FALSE)</f>
        <v>1</v>
      </c>
      <c r="AR1660" s="1">
        <f t="shared" si="25"/>
        <v>0.98124999999999507</v>
      </c>
    </row>
    <row r="1661" spans="1:44" x14ac:dyDescent="0.2">
      <c r="A1661" s="8" t="s">
        <v>792</v>
      </c>
      <c r="B1661" s="18" t="s">
        <v>324</v>
      </c>
      <c r="C1661" t="s">
        <v>372</v>
      </c>
      <c r="D1661" s="23" t="s">
        <v>338</v>
      </c>
      <c r="E1661" t="s">
        <v>130</v>
      </c>
      <c r="F1661" t="s">
        <v>125</v>
      </c>
      <c r="G1661">
        <v>-10</v>
      </c>
      <c r="H1661">
        <v>0</v>
      </c>
      <c r="I1661">
        <v>0</v>
      </c>
      <c r="J1661">
        <v>0.45</v>
      </c>
      <c r="K1661">
        <v>-10</v>
      </c>
      <c r="L1661">
        <v>0</v>
      </c>
      <c r="M1661" s="28" t="s">
        <v>477</v>
      </c>
      <c r="N1661">
        <v>0</v>
      </c>
      <c r="O1661" s="28" t="s">
        <v>478</v>
      </c>
      <c r="P1661"/>
      <c r="Q1661" s="28" t="s">
        <v>479</v>
      </c>
      <c r="R1661" s="28" t="s">
        <v>480</v>
      </c>
      <c r="S1661" s="1" t="str">
        <f>VLOOKUP($E1661,'Product Naming'!$A$1:$P$58,2,FALSE)</f>
        <v>Acrylate-PW2</v>
      </c>
      <c r="T1661" s="1" t="str">
        <f>VLOOKUP($E1661,'Product Naming'!$A$1:$P$58,3,FALSE)</f>
        <v>Acrylate (PW2)</v>
      </c>
      <c r="U1661" s="1" t="str">
        <f>VLOOKUP($E1661,'Product Naming'!$A$1:$P$58,4,FALSE)</f>
        <v>A</v>
      </c>
      <c r="V1661" s="1" t="str">
        <f>VLOOKUP($E1661,'Product Naming'!$A$1:$P$58,5,FALSE)</f>
        <v>C3H3O2</v>
      </c>
      <c r="W1661" s="1">
        <f>VLOOKUP($E1661,'Product Naming'!$A$1:$P$58,6,FALSE)</f>
        <v>3</v>
      </c>
      <c r="X1661" s="1">
        <f>VLOOKUP($E1661,'Product Naming'!$A$1:$P$58,7,FALSE)</f>
        <v>3</v>
      </c>
      <c r="Y1661" s="1">
        <f>VLOOKUP($E1661,'Product Naming'!$A$1:$P$58,8,FALSE)</f>
        <v>2</v>
      </c>
      <c r="Z1661" s="1">
        <f>VLOOKUP($E1661,'Product Naming'!$A$1:$P$58,9,FALSE)</f>
        <v>0</v>
      </c>
      <c r="AA1661" s="1">
        <f>VLOOKUP($E1661,'Product Naming'!$A$1:$P$58,10,FALSE)</f>
        <v>-1</v>
      </c>
      <c r="AB1661" s="29">
        <f>VLOOKUP($E1661,'Product Naming'!$A$1:$P$58,11,FALSE)</f>
        <v>3.6666666666666665</v>
      </c>
      <c r="AC1661" s="3">
        <f>VLOOKUP($E1661,'Product Naming'!$A$1:$P$58,12,FALSE)</f>
        <v>71.053619999999995</v>
      </c>
      <c r="AD1661" s="1">
        <f>VLOOKUP($E1661,'Product Naming'!$A$1:$P$58,13,FALSE)</f>
        <v>80</v>
      </c>
      <c r="AE1661" s="1" t="str">
        <f>VLOOKUP($E1661,'Product Naming'!$A$1:$P$58,14,FALSE)</f>
        <v>Carboxylate</v>
      </c>
      <c r="AF1661" s="1" t="str">
        <f>VLOOKUP($E1661,'Product Naming'!$A$1:$P$58,15,FALSE)</f>
        <v>Pyruvate</v>
      </c>
      <c r="AG1661" s="30" t="str">
        <f>VLOOKUP($E1661,'Product Naming'!$A$1:$P$58,16,FALSE)</f>
        <v>Proton symporter</v>
      </c>
      <c r="AH1661" s="3" t="str">
        <f>VLOOKUP($E1661,'Product Naming'!$A$1:$Q$58,17,FALSE)</f>
        <v>acryl_c</v>
      </c>
      <c r="AI1661" s="1">
        <f>VLOOKUP($E1661,'Product Parameters'!$A$2:$D$59,2,FALSE)</f>
        <v>1</v>
      </c>
      <c r="AJ1661" s="1">
        <f>VLOOKUP($E1661,'Product Parameters'!$A$2:$D$59,3,FALSE)</f>
        <v>0</v>
      </c>
      <c r="AK1661" s="1">
        <f>VLOOKUP($E1661,'Product Parameters'!$A$2:$D$59,4,FALSE)</f>
        <v>0.12</v>
      </c>
      <c r="AL1661" s="1">
        <f>VLOOKUP($E1661,'Product Parameters'!$A$2:$E$59,5,FALSE)</f>
        <v>53.1</v>
      </c>
      <c r="AM1661" s="1">
        <f>VLOOKUP($E1661,'Product Parameters'!$A$2:$F$59,6,FALSE)</f>
        <v>3</v>
      </c>
      <c r="AN1661" s="1">
        <f>VLOOKUP($C1661,'Substrate Heating'!$A$2:$C$33,3,FALSE)</f>
        <v>638.57832580000002</v>
      </c>
      <c r="AO1661" s="1">
        <f>VLOOKUP($C1661,'Substrate Heating'!$A$2:$B$33,2,FALSE)</f>
        <v>19.93</v>
      </c>
      <c r="AP1661" s="1">
        <f>VLOOKUP($C1661,'Substrate Heating'!$A$2:$M$33,13,FALSE)</f>
        <v>6</v>
      </c>
      <c r="AQ1661" s="1">
        <f>VLOOKUP($C1661,'Substrate Heating'!$A$2:$M$33,8,FALSE)</f>
        <v>1</v>
      </c>
      <c r="AR1661" s="1">
        <f t="shared" si="25"/>
        <v>0.69600000000000006</v>
      </c>
    </row>
    <row r="1662" spans="1:44" x14ac:dyDescent="0.2">
      <c r="A1662" s="8" t="s">
        <v>792</v>
      </c>
      <c r="B1662" s="18" t="s">
        <v>324</v>
      </c>
      <c r="C1662" t="s">
        <v>371</v>
      </c>
      <c r="D1662" s="23" t="s">
        <v>338</v>
      </c>
      <c r="E1662" t="s">
        <v>275</v>
      </c>
      <c r="F1662" t="s">
        <v>276</v>
      </c>
      <c r="G1662">
        <v>-10</v>
      </c>
      <c r="H1662">
        <v>0</v>
      </c>
      <c r="I1662">
        <v>0</v>
      </c>
      <c r="J1662">
        <v>0.45</v>
      </c>
      <c r="K1662">
        <v>-10</v>
      </c>
      <c r="L1662">
        <v>0</v>
      </c>
      <c r="M1662" s="28" t="s">
        <v>636</v>
      </c>
      <c r="N1662">
        <v>0</v>
      </c>
      <c r="O1662" s="28" t="s">
        <v>637</v>
      </c>
      <c r="P1662"/>
      <c r="Q1662" s="28" t="s">
        <v>638</v>
      </c>
      <c r="R1662" s="28" t="s">
        <v>639</v>
      </c>
      <c r="S1662" s="1" t="str">
        <f>VLOOKUP($E1662,'Product Naming'!$A$1:$P$58,2,FALSE)</f>
        <v>Malonate</v>
      </c>
      <c r="T1662" s="1" t="str">
        <f>VLOOKUP($E1662,'Product Naming'!$A$1:$P$58,3,FALSE)</f>
        <v>Malonate</v>
      </c>
      <c r="U1662" s="1" t="str">
        <f>VLOOKUP($E1662,'Product Naming'!$A$1:$P$58,4,FALSE)</f>
        <v>A</v>
      </c>
      <c r="V1662" s="1" t="str">
        <f>VLOOKUP($E1662,'Product Naming'!$A$1:$P$58,5,FALSE)</f>
        <v>C3H2O4</v>
      </c>
      <c r="W1662" s="1">
        <f>VLOOKUP($E1662,'Product Naming'!$A$1:$P$58,6,FALSE)</f>
        <v>3</v>
      </c>
      <c r="X1662" s="1">
        <f>VLOOKUP($E1662,'Product Naming'!$A$1:$P$58,7,FALSE)</f>
        <v>2</v>
      </c>
      <c r="Y1662" s="1">
        <f>VLOOKUP($E1662,'Product Naming'!$A$1:$P$58,8,FALSE)</f>
        <v>4</v>
      </c>
      <c r="Z1662" s="1">
        <f>VLOOKUP($E1662,'Product Naming'!$A$1:$P$58,9,FALSE)</f>
        <v>0</v>
      </c>
      <c r="AA1662" s="1">
        <f>VLOOKUP($E1662,'Product Naming'!$A$1:$P$58,10,FALSE)</f>
        <v>-2</v>
      </c>
      <c r="AB1662" s="29">
        <f>VLOOKUP($E1662,'Product Naming'!$A$1:$P$58,11,FALSE)</f>
        <v>2</v>
      </c>
      <c r="AC1662" s="3">
        <f>VLOOKUP($E1662,'Product Naming'!$A$1:$P$58,12,FALSE)</f>
        <v>102.04378</v>
      </c>
      <c r="AD1662" s="1">
        <f>VLOOKUP($E1662,'Product Naming'!$A$1:$P$58,13,FALSE)</f>
        <v>199</v>
      </c>
      <c r="AE1662" s="1" t="str">
        <f>VLOOKUP($E1662,'Product Naming'!$A$1:$P$58,14,FALSE)</f>
        <v>Dicarboxylate</v>
      </c>
      <c r="AF1662" s="1" t="str">
        <f>VLOOKUP($E1662,'Product Naming'!$A$1:$P$58,15,FALSE)</f>
        <v>Oxaloacetate</v>
      </c>
      <c r="AG1662" s="30" t="str">
        <f>VLOOKUP($E1662,'Product Naming'!$A$1:$P$58,16,FALSE)</f>
        <v>Proton symporter</v>
      </c>
      <c r="AH1662" s="3" t="str">
        <f>VLOOKUP($E1662,'Product Naming'!$A$1:$Q$58,17,FALSE)</f>
        <v>malon_c</v>
      </c>
      <c r="AI1662" s="1">
        <f>VLOOKUP($E1662,'Product Parameters'!$A$2:$D$59,2,FALSE)</f>
        <v>1</v>
      </c>
      <c r="AJ1662" s="1">
        <f>VLOOKUP($E1662,'Product Parameters'!$A$2:$D$59,3,FALSE)</f>
        <v>0</v>
      </c>
      <c r="AK1662" s="1">
        <f>VLOOKUP($E1662,'Product Parameters'!$A$2:$D$59,4,FALSE)</f>
        <v>0.12</v>
      </c>
      <c r="AL1662" s="1">
        <f>VLOOKUP($E1662,'Product Parameters'!$A$2:$E$59,5,FALSE)</f>
        <v>40.65</v>
      </c>
      <c r="AM1662" s="1">
        <f>VLOOKUP($E1662,'Product Parameters'!$A$2:$F$59,6,FALSE)</f>
        <v>3</v>
      </c>
      <c r="AN1662" s="1">
        <f>VLOOKUP($C1662,'Substrate Heating'!$A$2:$C$33,3,FALSE)</f>
        <v>638.57832580000002</v>
      </c>
      <c r="AO1662" s="1">
        <f>VLOOKUP($C1662,'Substrate Heating'!$A$2:$B$33,2,FALSE)</f>
        <v>19.93</v>
      </c>
      <c r="AP1662" s="1">
        <f>VLOOKUP($C1662,'Substrate Heating'!$A$2:$M$33,13,FALSE)</f>
        <v>6</v>
      </c>
      <c r="AQ1662" s="1">
        <f>VLOOKUP($C1662,'Substrate Heating'!$A$2:$M$33,8,FALSE)</f>
        <v>1</v>
      </c>
      <c r="AR1662" s="1">
        <f t="shared" si="25"/>
        <v>0.49505703422052899</v>
      </c>
    </row>
    <row r="1663" spans="1:44" x14ac:dyDescent="0.2">
      <c r="A1663" s="8" t="s">
        <v>792</v>
      </c>
      <c r="B1663" s="18" t="s">
        <v>324</v>
      </c>
      <c r="C1663" t="s">
        <v>372</v>
      </c>
      <c r="D1663" s="23" t="s">
        <v>338</v>
      </c>
      <c r="E1663" t="s">
        <v>254</v>
      </c>
      <c r="F1663" t="s">
        <v>255</v>
      </c>
      <c r="G1663">
        <v>-10</v>
      </c>
      <c r="H1663">
        <v>0</v>
      </c>
      <c r="I1663">
        <v>0</v>
      </c>
      <c r="J1663">
        <v>0.45</v>
      </c>
      <c r="K1663">
        <v>-10</v>
      </c>
      <c r="L1663">
        <v>0</v>
      </c>
      <c r="M1663">
        <v>7.9542857142857102</v>
      </c>
      <c r="N1663">
        <v>0</v>
      </c>
      <c r="O1663" s="28" t="s">
        <v>627</v>
      </c>
      <c r="P1663"/>
      <c r="Q1663" s="28" t="s">
        <v>628</v>
      </c>
      <c r="R1663" s="28" t="s">
        <v>629</v>
      </c>
      <c r="S1663" s="1" t="str">
        <f>VLOOKUP($E1663,'Product Naming'!$A$1:$P$58,2,FALSE)</f>
        <v>Itaconate</v>
      </c>
      <c r="T1663" s="1" t="str">
        <f>VLOOKUP($E1663,'Product Naming'!$A$1:$P$58,3,FALSE)</f>
        <v>Itaconate</v>
      </c>
      <c r="U1663" s="1" t="str">
        <f>VLOOKUP($E1663,'Product Naming'!$A$1:$P$58,4,FALSE)</f>
        <v>E</v>
      </c>
      <c r="V1663" s="1" t="str">
        <f>VLOOKUP($E1663,'Product Naming'!$A$1:$P$58,5,FALSE)</f>
        <v>C5H4O4</v>
      </c>
      <c r="W1663" s="1">
        <f>VLOOKUP($E1663,'Product Naming'!$A$1:$P$58,6,FALSE)</f>
        <v>5</v>
      </c>
      <c r="X1663" s="1">
        <f>VLOOKUP($E1663,'Product Naming'!$A$1:$P$58,7,FALSE)</f>
        <v>4</v>
      </c>
      <c r="Y1663" s="1">
        <f>VLOOKUP($E1663,'Product Naming'!$A$1:$P$58,8,FALSE)</f>
        <v>4</v>
      </c>
      <c r="Z1663" s="1">
        <f>VLOOKUP($E1663,'Product Naming'!$A$1:$P$58,9,FALSE)</f>
        <v>0</v>
      </c>
      <c r="AA1663" s="1">
        <f>VLOOKUP($E1663,'Product Naming'!$A$1:$P$58,10,FALSE)</f>
        <v>-2</v>
      </c>
      <c r="AB1663" s="29">
        <f>VLOOKUP($E1663,'Product Naming'!$A$1:$P$58,11,FALSE)</f>
        <v>3.2</v>
      </c>
      <c r="AC1663" s="3">
        <f>VLOOKUP($E1663,'Product Naming'!$A$1:$P$58,12,FALSE)</f>
        <v>128.08086</v>
      </c>
      <c r="AD1663" s="1">
        <f>VLOOKUP($E1663,'Product Naming'!$A$1:$P$58,13,FALSE)</f>
        <v>381</v>
      </c>
      <c r="AE1663" s="1" t="str">
        <f>VLOOKUP($E1663,'Product Naming'!$A$1:$P$58,14,FALSE)</f>
        <v>Dicarboxylate</v>
      </c>
      <c r="AF1663" s="1" t="str">
        <f>VLOOKUP($E1663,'Product Naming'!$A$1:$P$58,15,FALSE)</f>
        <v>Acetyl-CoA + Oxaloacetate</v>
      </c>
      <c r="AG1663" s="30" t="str">
        <f>VLOOKUP($E1663,'Product Naming'!$A$1:$P$58,16,FALSE)</f>
        <v>Proton symporter</v>
      </c>
      <c r="AH1663" s="3" t="str">
        <f>VLOOKUP($E1663,'Product Naming'!$A$1:$Q$58,17,FALSE)</f>
        <v>itacon_c</v>
      </c>
      <c r="AI1663" s="1">
        <f>VLOOKUP($E1663,'Product Parameters'!$A$2:$D$59,2,FALSE)</f>
        <v>1</v>
      </c>
      <c r="AJ1663" s="1">
        <f>VLOOKUP($E1663,'Product Parameters'!$A$2:$D$59,3,FALSE)</f>
        <v>0</v>
      </c>
      <c r="AK1663" s="1">
        <f>VLOOKUP($E1663,'Product Parameters'!$A$2:$D$59,4,FALSE)</f>
        <v>0.12</v>
      </c>
      <c r="AL1663" s="1">
        <f>VLOOKUP($E1663,'Product Parameters'!$A$2:$E$59,5,FALSE)</f>
        <v>40.65</v>
      </c>
      <c r="AM1663" s="1">
        <f>VLOOKUP($E1663,'Product Parameters'!$A$2:$F$59,6,FALSE)</f>
        <v>5</v>
      </c>
      <c r="AN1663" s="1">
        <f>VLOOKUP($C1663,'Substrate Heating'!$A$2:$C$33,3,FALSE)</f>
        <v>638.57832580000002</v>
      </c>
      <c r="AO1663" s="1">
        <f>VLOOKUP($C1663,'Substrate Heating'!$A$2:$B$33,2,FALSE)</f>
        <v>19.93</v>
      </c>
      <c r="AP1663" s="1">
        <f>VLOOKUP($C1663,'Substrate Heating'!$A$2:$M$33,13,FALSE)</f>
        <v>6</v>
      </c>
      <c r="AQ1663" s="1">
        <f>VLOOKUP($C1663,'Substrate Heating'!$A$2:$M$33,8,FALSE)</f>
        <v>1</v>
      </c>
      <c r="AR1663" s="1">
        <f t="shared" si="25"/>
        <v>0.66285714285714004</v>
      </c>
    </row>
    <row r="1664" spans="1:44" x14ac:dyDescent="0.2">
      <c r="A1664" s="8" t="s">
        <v>792</v>
      </c>
      <c r="B1664" s="18" t="s">
        <v>324</v>
      </c>
      <c r="C1664" t="s">
        <v>365</v>
      </c>
      <c r="D1664" s="23" t="s">
        <v>338</v>
      </c>
      <c r="E1664" t="s">
        <v>164</v>
      </c>
      <c r="F1664" t="s">
        <v>165</v>
      </c>
      <c r="G1664">
        <v>-10</v>
      </c>
      <c r="H1664">
        <v>0</v>
      </c>
      <c r="I1664">
        <v>0</v>
      </c>
      <c r="J1664">
        <v>0.45</v>
      </c>
      <c r="K1664">
        <v>-10</v>
      </c>
      <c r="L1664">
        <v>0</v>
      </c>
      <c r="M1664">
        <v>0</v>
      </c>
      <c r="N1664">
        <v>0</v>
      </c>
      <c r="O1664">
        <v>2.5</v>
      </c>
      <c r="P1664"/>
      <c r="Q1664">
        <v>0.25</v>
      </c>
      <c r="R1664" s="28" t="s">
        <v>515</v>
      </c>
      <c r="S1664" s="1" t="str">
        <f>VLOOKUP($E1664,'Product Naming'!$A$1:$P$58,2,FALSE)</f>
        <v>Butanol-PW1</v>
      </c>
      <c r="T1664" s="1" t="str">
        <f>VLOOKUP($E1664,'Product Naming'!$A$1:$P$58,3,FALSE)</f>
        <v>Butanol (PW1)</v>
      </c>
      <c r="U1664" s="1" t="str">
        <f>VLOOKUP($E1664,'Product Naming'!$A$1:$P$58,4,FALSE)</f>
        <v>E</v>
      </c>
      <c r="V1664" s="1" t="str">
        <f>VLOOKUP($E1664,'Product Naming'!$A$1:$P$58,5,FALSE)</f>
        <v>C4H10O</v>
      </c>
      <c r="W1664" s="1">
        <f>VLOOKUP($E1664,'Product Naming'!$A$1:$P$58,6,FALSE)</f>
        <v>4</v>
      </c>
      <c r="X1664" s="1">
        <f>VLOOKUP($E1664,'Product Naming'!$A$1:$P$58,7,FALSE)</f>
        <v>10</v>
      </c>
      <c r="Y1664" s="1">
        <f>VLOOKUP($E1664,'Product Naming'!$A$1:$P$58,8,FALSE)</f>
        <v>1</v>
      </c>
      <c r="Z1664" s="1">
        <f>VLOOKUP($E1664,'Product Naming'!$A$1:$P$58,9,FALSE)</f>
        <v>0</v>
      </c>
      <c r="AA1664" s="1">
        <f>VLOOKUP($E1664,'Product Naming'!$A$1:$P$58,10,FALSE)</f>
        <v>0</v>
      </c>
      <c r="AB1664" s="29">
        <f>VLOOKUP($E1664,'Product Naming'!$A$1:$P$58,11,FALSE)</f>
        <v>6</v>
      </c>
      <c r="AC1664" s="3">
        <f>VLOOKUP($E1664,'Product Naming'!$A$1:$P$58,12,FALSE)</f>
        <v>74.120199999999997</v>
      </c>
      <c r="AD1664" s="1">
        <f>VLOOKUP($E1664,'Product Naming'!$A$1:$P$58,13,FALSE)</f>
        <v>117.7</v>
      </c>
      <c r="AE1664" s="1" t="str">
        <f>VLOOKUP($E1664,'Product Naming'!$A$1:$P$58,14,FALSE)</f>
        <v>Alcohol</v>
      </c>
      <c r="AF1664" s="1" t="str">
        <f>VLOOKUP($E1664,'Product Naming'!$A$1:$P$58,15,FALSE)</f>
        <v>Acetyl-CoA</v>
      </c>
      <c r="AG1664" s="30" t="str">
        <f>VLOOKUP($E1664,'Product Naming'!$A$1:$P$58,16,FALSE)</f>
        <v>Proton symporter</v>
      </c>
      <c r="AH1664" s="3" t="str">
        <f>VLOOKUP($E1664,'Product Naming'!$A$1:$Q$58,17,FALSE)</f>
        <v>btoh_c</v>
      </c>
      <c r="AI1664" s="1">
        <f>VLOOKUP($E1664,'Product Parameters'!$A$2:$D$59,2,FALSE)</f>
        <v>1</v>
      </c>
      <c r="AJ1664" s="1">
        <f>VLOOKUP($E1664,'Product Parameters'!$A$2:$D$59,3,FALSE)</f>
        <v>0</v>
      </c>
      <c r="AK1664" s="1">
        <f>VLOOKUP($E1664,'Product Parameters'!$A$2:$D$59,4,FALSE)</f>
        <v>0.12</v>
      </c>
      <c r="AL1664" s="1">
        <f>VLOOKUP($E1664,'Product Parameters'!$A$2:$E$59,5,FALSE)</f>
        <v>52</v>
      </c>
      <c r="AM1664" s="1">
        <f>VLOOKUP($E1664,'Product Parameters'!$A$2:$F$59,6,FALSE)</f>
        <v>4</v>
      </c>
      <c r="AN1664" s="1">
        <f>VLOOKUP($C1664,'Substrate Heating'!$A$2:$C$33,3,FALSE)</f>
        <v>638.57832580000002</v>
      </c>
      <c r="AO1664" s="1">
        <f>VLOOKUP($C1664,'Substrate Heating'!$A$2:$B$33,2,FALSE)</f>
        <v>19.93</v>
      </c>
      <c r="AP1664" s="1">
        <f>VLOOKUP($C1664,'Substrate Heating'!$A$2:$M$33,13,FALSE)</f>
        <v>6</v>
      </c>
      <c r="AQ1664" s="1">
        <f>VLOOKUP($C1664,'Substrate Heating'!$A$2:$M$33,8,FALSE)</f>
        <v>1</v>
      </c>
      <c r="AR1664" s="1">
        <f t="shared" si="25"/>
        <v>1</v>
      </c>
    </row>
    <row r="1665" spans="1:44" x14ac:dyDescent="0.2">
      <c r="A1665" s="8" t="s">
        <v>792</v>
      </c>
      <c r="B1665" s="18" t="s">
        <v>324</v>
      </c>
      <c r="C1665" t="s">
        <v>369</v>
      </c>
      <c r="D1665" s="23" t="s">
        <v>338</v>
      </c>
      <c r="E1665" t="s">
        <v>164</v>
      </c>
      <c r="F1665" t="s">
        <v>165</v>
      </c>
      <c r="G1665">
        <v>-10</v>
      </c>
      <c r="H1665">
        <v>0</v>
      </c>
      <c r="I1665">
        <v>0</v>
      </c>
      <c r="J1665">
        <v>0.45</v>
      </c>
      <c r="K1665">
        <v>-10</v>
      </c>
      <c r="L1665">
        <v>0</v>
      </c>
      <c r="M1665">
        <v>0</v>
      </c>
      <c r="N1665">
        <v>0</v>
      </c>
      <c r="O1665">
        <v>2.5</v>
      </c>
      <c r="P1665"/>
      <c r="Q1665">
        <v>0.25</v>
      </c>
      <c r="R1665" s="28" t="s">
        <v>515</v>
      </c>
      <c r="S1665" s="1" t="str">
        <f>VLOOKUP($E1665,'Product Naming'!$A$1:$P$58,2,FALSE)</f>
        <v>Butanol-PW1</v>
      </c>
      <c r="T1665" s="1" t="str">
        <f>VLOOKUP($E1665,'Product Naming'!$A$1:$P$58,3,FALSE)</f>
        <v>Butanol (PW1)</v>
      </c>
      <c r="U1665" s="1" t="str">
        <f>VLOOKUP($E1665,'Product Naming'!$A$1:$P$58,4,FALSE)</f>
        <v>E</v>
      </c>
      <c r="V1665" s="1" t="str">
        <f>VLOOKUP($E1665,'Product Naming'!$A$1:$P$58,5,FALSE)</f>
        <v>C4H10O</v>
      </c>
      <c r="W1665" s="1">
        <f>VLOOKUP($E1665,'Product Naming'!$A$1:$P$58,6,FALSE)</f>
        <v>4</v>
      </c>
      <c r="X1665" s="1">
        <f>VLOOKUP($E1665,'Product Naming'!$A$1:$P$58,7,FALSE)</f>
        <v>10</v>
      </c>
      <c r="Y1665" s="1">
        <f>VLOOKUP($E1665,'Product Naming'!$A$1:$P$58,8,FALSE)</f>
        <v>1</v>
      </c>
      <c r="Z1665" s="1">
        <f>VLOOKUP($E1665,'Product Naming'!$A$1:$P$58,9,FALSE)</f>
        <v>0</v>
      </c>
      <c r="AA1665" s="1">
        <f>VLOOKUP($E1665,'Product Naming'!$A$1:$P$58,10,FALSE)</f>
        <v>0</v>
      </c>
      <c r="AB1665" s="29">
        <f>VLOOKUP($E1665,'Product Naming'!$A$1:$P$58,11,FALSE)</f>
        <v>6</v>
      </c>
      <c r="AC1665" s="3">
        <f>VLOOKUP($E1665,'Product Naming'!$A$1:$P$58,12,FALSE)</f>
        <v>74.120199999999997</v>
      </c>
      <c r="AD1665" s="1">
        <f>VLOOKUP($E1665,'Product Naming'!$A$1:$P$58,13,FALSE)</f>
        <v>117.7</v>
      </c>
      <c r="AE1665" s="1" t="str">
        <f>VLOOKUP($E1665,'Product Naming'!$A$1:$P$58,14,FALSE)</f>
        <v>Alcohol</v>
      </c>
      <c r="AF1665" s="1" t="str">
        <f>VLOOKUP($E1665,'Product Naming'!$A$1:$P$58,15,FALSE)</f>
        <v>Acetyl-CoA</v>
      </c>
      <c r="AG1665" s="30" t="str">
        <f>VLOOKUP($E1665,'Product Naming'!$A$1:$P$58,16,FALSE)</f>
        <v>Proton symporter</v>
      </c>
      <c r="AH1665" s="3" t="str">
        <f>VLOOKUP($E1665,'Product Naming'!$A$1:$Q$58,17,FALSE)</f>
        <v>btoh_c</v>
      </c>
      <c r="AI1665" s="1">
        <f>VLOOKUP($E1665,'Product Parameters'!$A$2:$D$59,2,FALSE)</f>
        <v>1</v>
      </c>
      <c r="AJ1665" s="1">
        <f>VLOOKUP($E1665,'Product Parameters'!$A$2:$D$59,3,FALSE)</f>
        <v>0</v>
      </c>
      <c r="AK1665" s="1">
        <f>VLOOKUP($E1665,'Product Parameters'!$A$2:$D$59,4,FALSE)</f>
        <v>0.12</v>
      </c>
      <c r="AL1665" s="1">
        <f>VLOOKUP($E1665,'Product Parameters'!$A$2:$E$59,5,FALSE)</f>
        <v>52</v>
      </c>
      <c r="AM1665" s="1">
        <f>VLOOKUP($E1665,'Product Parameters'!$A$2:$F$59,6,FALSE)</f>
        <v>4</v>
      </c>
      <c r="AN1665" s="1">
        <f>VLOOKUP($C1665,'Substrate Heating'!$A$2:$C$33,3,FALSE)</f>
        <v>638.57832580000002</v>
      </c>
      <c r="AO1665" s="1">
        <f>VLOOKUP($C1665,'Substrate Heating'!$A$2:$B$33,2,FALSE)</f>
        <v>19.93</v>
      </c>
      <c r="AP1665" s="1">
        <f>VLOOKUP($C1665,'Substrate Heating'!$A$2:$M$33,13,FALSE)</f>
        <v>6</v>
      </c>
      <c r="AQ1665" s="1">
        <f>VLOOKUP($C1665,'Substrate Heating'!$A$2:$M$33,8,FALSE)</f>
        <v>1</v>
      </c>
      <c r="AR1665" s="1">
        <f t="shared" si="25"/>
        <v>1</v>
      </c>
    </row>
    <row r="1666" spans="1:44" x14ac:dyDescent="0.2">
      <c r="A1666" s="8" t="s">
        <v>792</v>
      </c>
      <c r="B1666" s="18" t="s">
        <v>324</v>
      </c>
      <c r="C1666" t="s">
        <v>371</v>
      </c>
      <c r="D1666" s="23" t="s">
        <v>338</v>
      </c>
      <c r="E1666" t="s">
        <v>164</v>
      </c>
      <c r="F1666" t="s">
        <v>165</v>
      </c>
      <c r="G1666">
        <v>-10</v>
      </c>
      <c r="H1666">
        <v>0</v>
      </c>
      <c r="I1666">
        <v>0</v>
      </c>
      <c r="J1666">
        <v>0.45</v>
      </c>
      <c r="K1666">
        <v>-10</v>
      </c>
      <c r="L1666">
        <v>0</v>
      </c>
      <c r="M1666">
        <v>0</v>
      </c>
      <c r="N1666">
        <v>0</v>
      </c>
      <c r="O1666">
        <v>2.5</v>
      </c>
      <c r="P1666"/>
      <c r="Q1666">
        <v>0.25</v>
      </c>
      <c r="R1666" s="28" t="s">
        <v>515</v>
      </c>
      <c r="S1666" s="1" t="str">
        <f>VLOOKUP($E1666,'Product Naming'!$A$1:$P$58,2,FALSE)</f>
        <v>Butanol-PW1</v>
      </c>
      <c r="T1666" s="1" t="str">
        <f>VLOOKUP($E1666,'Product Naming'!$A$1:$P$58,3,FALSE)</f>
        <v>Butanol (PW1)</v>
      </c>
      <c r="U1666" s="1" t="str">
        <f>VLOOKUP($E1666,'Product Naming'!$A$1:$P$58,4,FALSE)</f>
        <v>E</v>
      </c>
      <c r="V1666" s="1" t="str">
        <f>VLOOKUP($E1666,'Product Naming'!$A$1:$P$58,5,FALSE)</f>
        <v>C4H10O</v>
      </c>
      <c r="W1666" s="1">
        <f>VLOOKUP($E1666,'Product Naming'!$A$1:$P$58,6,FALSE)</f>
        <v>4</v>
      </c>
      <c r="X1666" s="1">
        <f>VLOOKUP($E1666,'Product Naming'!$A$1:$P$58,7,FALSE)</f>
        <v>10</v>
      </c>
      <c r="Y1666" s="1">
        <f>VLOOKUP($E1666,'Product Naming'!$A$1:$P$58,8,FALSE)</f>
        <v>1</v>
      </c>
      <c r="Z1666" s="1">
        <f>VLOOKUP($E1666,'Product Naming'!$A$1:$P$58,9,FALSE)</f>
        <v>0</v>
      </c>
      <c r="AA1666" s="1">
        <f>VLOOKUP($E1666,'Product Naming'!$A$1:$P$58,10,FALSE)</f>
        <v>0</v>
      </c>
      <c r="AB1666" s="29">
        <f>VLOOKUP($E1666,'Product Naming'!$A$1:$P$58,11,FALSE)</f>
        <v>6</v>
      </c>
      <c r="AC1666" s="3">
        <f>VLOOKUP($E1666,'Product Naming'!$A$1:$P$58,12,FALSE)</f>
        <v>74.120199999999997</v>
      </c>
      <c r="AD1666" s="1">
        <f>VLOOKUP($E1666,'Product Naming'!$A$1:$P$58,13,FALSE)</f>
        <v>117.7</v>
      </c>
      <c r="AE1666" s="1" t="str">
        <f>VLOOKUP($E1666,'Product Naming'!$A$1:$P$58,14,FALSE)</f>
        <v>Alcohol</v>
      </c>
      <c r="AF1666" s="1" t="str">
        <f>VLOOKUP($E1666,'Product Naming'!$A$1:$P$58,15,FALSE)</f>
        <v>Acetyl-CoA</v>
      </c>
      <c r="AG1666" s="30" t="str">
        <f>VLOOKUP($E1666,'Product Naming'!$A$1:$P$58,16,FALSE)</f>
        <v>Proton symporter</v>
      </c>
      <c r="AH1666" s="3" t="str">
        <f>VLOOKUP($E1666,'Product Naming'!$A$1:$Q$58,17,FALSE)</f>
        <v>btoh_c</v>
      </c>
      <c r="AI1666" s="1">
        <f>VLOOKUP($E1666,'Product Parameters'!$A$2:$D$59,2,FALSE)</f>
        <v>1</v>
      </c>
      <c r="AJ1666" s="1">
        <f>VLOOKUP($E1666,'Product Parameters'!$A$2:$D$59,3,FALSE)</f>
        <v>0</v>
      </c>
      <c r="AK1666" s="1">
        <f>VLOOKUP($E1666,'Product Parameters'!$A$2:$D$59,4,FALSE)</f>
        <v>0.12</v>
      </c>
      <c r="AL1666" s="1">
        <f>VLOOKUP($E1666,'Product Parameters'!$A$2:$E$59,5,FALSE)</f>
        <v>52</v>
      </c>
      <c r="AM1666" s="1">
        <f>VLOOKUP($E1666,'Product Parameters'!$A$2:$F$59,6,FALSE)</f>
        <v>4</v>
      </c>
      <c r="AN1666" s="1">
        <f>VLOOKUP($C1666,'Substrate Heating'!$A$2:$C$33,3,FALSE)</f>
        <v>638.57832580000002</v>
      </c>
      <c r="AO1666" s="1">
        <f>VLOOKUP($C1666,'Substrate Heating'!$A$2:$B$33,2,FALSE)</f>
        <v>19.93</v>
      </c>
      <c r="AP1666" s="1">
        <f>VLOOKUP($C1666,'Substrate Heating'!$A$2:$M$33,13,FALSE)</f>
        <v>6</v>
      </c>
      <c r="AQ1666" s="1">
        <f>VLOOKUP($C1666,'Substrate Heating'!$A$2:$M$33,8,FALSE)</f>
        <v>1</v>
      </c>
      <c r="AR1666" s="1">
        <f t="shared" si="25"/>
        <v>1</v>
      </c>
    </row>
    <row r="1667" spans="1:44" x14ac:dyDescent="0.2">
      <c r="A1667" s="8" t="s">
        <v>792</v>
      </c>
      <c r="B1667" s="18" t="s">
        <v>324</v>
      </c>
      <c r="C1667" t="s">
        <v>372</v>
      </c>
      <c r="D1667" s="23" t="s">
        <v>338</v>
      </c>
      <c r="E1667" t="s">
        <v>164</v>
      </c>
      <c r="F1667" t="s">
        <v>165</v>
      </c>
      <c r="G1667">
        <v>-10</v>
      </c>
      <c r="H1667">
        <v>0</v>
      </c>
      <c r="I1667">
        <v>0</v>
      </c>
      <c r="J1667">
        <v>0.45</v>
      </c>
      <c r="K1667">
        <v>-10</v>
      </c>
      <c r="L1667">
        <v>0</v>
      </c>
      <c r="M1667">
        <v>0</v>
      </c>
      <c r="N1667">
        <v>0</v>
      </c>
      <c r="O1667">
        <v>2.5</v>
      </c>
      <c r="P1667"/>
      <c r="Q1667">
        <v>0.25</v>
      </c>
      <c r="R1667" s="28" t="s">
        <v>515</v>
      </c>
      <c r="S1667" s="1" t="str">
        <f>VLOOKUP($E1667,'Product Naming'!$A$1:$P$58,2,FALSE)</f>
        <v>Butanol-PW1</v>
      </c>
      <c r="T1667" s="1" t="str">
        <f>VLOOKUP($E1667,'Product Naming'!$A$1:$P$58,3,FALSE)</f>
        <v>Butanol (PW1)</v>
      </c>
      <c r="U1667" s="1" t="str">
        <f>VLOOKUP($E1667,'Product Naming'!$A$1:$P$58,4,FALSE)</f>
        <v>E</v>
      </c>
      <c r="V1667" s="1" t="str">
        <f>VLOOKUP($E1667,'Product Naming'!$A$1:$P$58,5,FALSE)</f>
        <v>C4H10O</v>
      </c>
      <c r="W1667" s="1">
        <f>VLOOKUP($E1667,'Product Naming'!$A$1:$P$58,6,FALSE)</f>
        <v>4</v>
      </c>
      <c r="X1667" s="1">
        <f>VLOOKUP($E1667,'Product Naming'!$A$1:$P$58,7,FALSE)</f>
        <v>10</v>
      </c>
      <c r="Y1667" s="1">
        <f>VLOOKUP($E1667,'Product Naming'!$A$1:$P$58,8,FALSE)</f>
        <v>1</v>
      </c>
      <c r="Z1667" s="1">
        <f>VLOOKUP($E1667,'Product Naming'!$A$1:$P$58,9,FALSE)</f>
        <v>0</v>
      </c>
      <c r="AA1667" s="1">
        <f>VLOOKUP($E1667,'Product Naming'!$A$1:$P$58,10,FALSE)</f>
        <v>0</v>
      </c>
      <c r="AB1667" s="29">
        <f>VLOOKUP($E1667,'Product Naming'!$A$1:$P$58,11,FALSE)</f>
        <v>6</v>
      </c>
      <c r="AC1667" s="3">
        <f>VLOOKUP($E1667,'Product Naming'!$A$1:$P$58,12,FALSE)</f>
        <v>74.120199999999997</v>
      </c>
      <c r="AD1667" s="1">
        <f>VLOOKUP($E1667,'Product Naming'!$A$1:$P$58,13,FALSE)</f>
        <v>117.7</v>
      </c>
      <c r="AE1667" s="1" t="str">
        <f>VLOOKUP($E1667,'Product Naming'!$A$1:$P$58,14,FALSE)</f>
        <v>Alcohol</v>
      </c>
      <c r="AF1667" s="1" t="str">
        <f>VLOOKUP($E1667,'Product Naming'!$A$1:$P$58,15,FALSE)</f>
        <v>Acetyl-CoA</v>
      </c>
      <c r="AG1667" s="30" t="str">
        <f>VLOOKUP($E1667,'Product Naming'!$A$1:$P$58,16,FALSE)</f>
        <v>Proton symporter</v>
      </c>
      <c r="AH1667" s="3" t="str">
        <f>VLOOKUP($E1667,'Product Naming'!$A$1:$Q$58,17,FALSE)</f>
        <v>btoh_c</v>
      </c>
      <c r="AI1667" s="1">
        <f>VLOOKUP($E1667,'Product Parameters'!$A$2:$D$59,2,FALSE)</f>
        <v>1</v>
      </c>
      <c r="AJ1667" s="1">
        <f>VLOOKUP($E1667,'Product Parameters'!$A$2:$D$59,3,FALSE)</f>
        <v>0</v>
      </c>
      <c r="AK1667" s="1">
        <f>VLOOKUP($E1667,'Product Parameters'!$A$2:$D$59,4,FALSE)</f>
        <v>0.12</v>
      </c>
      <c r="AL1667" s="1">
        <f>VLOOKUP($E1667,'Product Parameters'!$A$2:$E$59,5,FALSE)</f>
        <v>52</v>
      </c>
      <c r="AM1667" s="1">
        <f>VLOOKUP($E1667,'Product Parameters'!$A$2:$F$59,6,FALSE)</f>
        <v>4</v>
      </c>
      <c r="AN1667" s="1">
        <f>VLOOKUP($C1667,'Substrate Heating'!$A$2:$C$33,3,FALSE)</f>
        <v>638.57832580000002</v>
      </c>
      <c r="AO1667" s="1">
        <f>VLOOKUP($C1667,'Substrate Heating'!$A$2:$B$33,2,FALSE)</f>
        <v>19.93</v>
      </c>
      <c r="AP1667" s="1">
        <f>VLOOKUP($C1667,'Substrate Heating'!$A$2:$M$33,13,FALSE)</f>
        <v>6</v>
      </c>
      <c r="AQ1667" s="1">
        <f>VLOOKUP($C1667,'Substrate Heating'!$A$2:$M$33,8,FALSE)</f>
        <v>1</v>
      </c>
      <c r="AR1667" s="1">
        <f t="shared" ref="AR1667:AR1706" si="26">Q1667*W1667/AQ1667</f>
        <v>1</v>
      </c>
    </row>
    <row r="1668" spans="1:44" x14ac:dyDescent="0.2">
      <c r="A1668" s="8" t="s">
        <v>792</v>
      </c>
      <c r="B1668" s="18" t="s">
        <v>324</v>
      </c>
      <c r="C1668" t="s">
        <v>365</v>
      </c>
      <c r="D1668" s="23" t="s">
        <v>338</v>
      </c>
      <c r="E1668" t="s">
        <v>169</v>
      </c>
      <c r="F1668" t="s">
        <v>165</v>
      </c>
      <c r="G1668">
        <v>-10</v>
      </c>
      <c r="H1668">
        <v>0</v>
      </c>
      <c r="I1668">
        <v>0</v>
      </c>
      <c r="J1668">
        <v>0.45</v>
      </c>
      <c r="K1668">
        <v>-10</v>
      </c>
      <c r="L1668">
        <v>0</v>
      </c>
      <c r="M1668">
        <v>0</v>
      </c>
      <c r="N1668">
        <v>0</v>
      </c>
      <c r="O1668">
        <v>2.5</v>
      </c>
      <c r="P1668"/>
      <c r="Q1668">
        <v>0.25</v>
      </c>
      <c r="R1668" s="28" t="s">
        <v>515</v>
      </c>
      <c r="S1668" s="1" t="str">
        <f>VLOOKUP($E1668,'Product Naming'!$A$1:$P$58,2,FALSE)</f>
        <v>Butanol-PW2</v>
      </c>
      <c r="T1668" s="1" t="str">
        <f>VLOOKUP($E1668,'Product Naming'!$A$1:$P$58,3,FALSE)</f>
        <v>Butanol (PW2)</v>
      </c>
      <c r="U1668" s="1" t="str">
        <f>VLOOKUP($E1668,'Product Naming'!$A$1:$P$58,4,FALSE)</f>
        <v>E</v>
      </c>
      <c r="V1668" s="1" t="str">
        <f>VLOOKUP($E1668,'Product Naming'!$A$1:$P$58,5,FALSE)</f>
        <v>C4H10O</v>
      </c>
      <c r="W1668" s="1">
        <f>VLOOKUP($E1668,'Product Naming'!$A$1:$P$58,6,FALSE)</f>
        <v>4</v>
      </c>
      <c r="X1668" s="1">
        <f>VLOOKUP($E1668,'Product Naming'!$A$1:$P$58,7,FALSE)</f>
        <v>10</v>
      </c>
      <c r="Y1668" s="1">
        <f>VLOOKUP($E1668,'Product Naming'!$A$1:$P$58,8,FALSE)</f>
        <v>1</v>
      </c>
      <c r="Z1668" s="1">
        <f>VLOOKUP($E1668,'Product Naming'!$A$1:$P$58,9,FALSE)</f>
        <v>0</v>
      </c>
      <c r="AA1668" s="1">
        <f>VLOOKUP($E1668,'Product Naming'!$A$1:$P$58,10,FALSE)</f>
        <v>0</v>
      </c>
      <c r="AB1668" s="29">
        <f>VLOOKUP($E1668,'Product Naming'!$A$1:$P$58,11,FALSE)</f>
        <v>6</v>
      </c>
      <c r="AC1668" s="3">
        <f>VLOOKUP($E1668,'Product Naming'!$A$1:$P$58,12,FALSE)</f>
        <v>74.120199999999997</v>
      </c>
      <c r="AD1668" s="1">
        <f>VLOOKUP($E1668,'Product Naming'!$A$1:$P$58,13,FALSE)</f>
        <v>117.7</v>
      </c>
      <c r="AE1668" s="1" t="str">
        <f>VLOOKUP($E1668,'Product Naming'!$A$1:$P$58,14,FALSE)</f>
        <v>Alcohol</v>
      </c>
      <c r="AF1668" s="1" t="str">
        <f>VLOOKUP($E1668,'Product Naming'!$A$1:$P$58,15,FALSE)</f>
        <v>Oxaloacetate</v>
      </c>
      <c r="AG1668" s="30" t="str">
        <f>VLOOKUP($E1668,'Product Naming'!$A$1:$P$58,16,FALSE)</f>
        <v>Proton symporter</v>
      </c>
      <c r="AH1668" s="3" t="str">
        <f>VLOOKUP($E1668,'Product Naming'!$A$1:$Q$58,17,FALSE)</f>
        <v>btoh_c</v>
      </c>
      <c r="AI1668" s="1">
        <f>VLOOKUP($E1668,'Product Parameters'!$A$2:$D$59,2,FALSE)</f>
        <v>1</v>
      </c>
      <c r="AJ1668" s="1">
        <f>VLOOKUP($E1668,'Product Parameters'!$A$2:$D$59,3,FALSE)</f>
        <v>0</v>
      </c>
      <c r="AK1668" s="1">
        <f>VLOOKUP($E1668,'Product Parameters'!$A$2:$D$59,4,FALSE)</f>
        <v>0.12</v>
      </c>
      <c r="AL1668" s="1">
        <f>VLOOKUP($E1668,'Product Parameters'!$A$2:$E$59,5,FALSE)</f>
        <v>52</v>
      </c>
      <c r="AM1668" s="1">
        <f>VLOOKUP($E1668,'Product Parameters'!$A$2:$F$59,6,FALSE)</f>
        <v>4</v>
      </c>
      <c r="AN1668" s="1">
        <f>VLOOKUP($C1668,'Substrate Heating'!$A$2:$C$33,3,FALSE)</f>
        <v>638.57832580000002</v>
      </c>
      <c r="AO1668" s="1">
        <f>VLOOKUP($C1668,'Substrate Heating'!$A$2:$B$33,2,FALSE)</f>
        <v>19.93</v>
      </c>
      <c r="AP1668" s="1">
        <f>VLOOKUP($C1668,'Substrate Heating'!$A$2:$M$33,13,FALSE)</f>
        <v>6</v>
      </c>
      <c r="AQ1668" s="1">
        <f>VLOOKUP($C1668,'Substrate Heating'!$A$2:$M$33,8,FALSE)</f>
        <v>1</v>
      </c>
      <c r="AR1668" s="1">
        <f t="shared" si="26"/>
        <v>1</v>
      </c>
    </row>
    <row r="1669" spans="1:44" x14ac:dyDescent="0.2">
      <c r="A1669" s="8" t="s">
        <v>792</v>
      </c>
      <c r="B1669" s="18" t="s">
        <v>324</v>
      </c>
      <c r="C1669" t="s">
        <v>369</v>
      </c>
      <c r="D1669" s="23" t="s">
        <v>338</v>
      </c>
      <c r="E1669" t="s">
        <v>169</v>
      </c>
      <c r="F1669" t="s">
        <v>165</v>
      </c>
      <c r="G1669">
        <v>-10</v>
      </c>
      <c r="H1669">
        <v>0</v>
      </c>
      <c r="I1669">
        <v>0</v>
      </c>
      <c r="J1669">
        <v>0.45</v>
      </c>
      <c r="K1669">
        <v>-10</v>
      </c>
      <c r="L1669">
        <v>0</v>
      </c>
      <c r="M1669">
        <v>0</v>
      </c>
      <c r="N1669">
        <v>0</v>
      </c>
      <c r="O1669">
        <v>2.5</v>
      </c>
      <c r="P1669"/>
      <c r="Q1669">
        <v>0.25</v>
      </c>
      <c r="R1669" s="28" t="s">
        <v>515</v>
      </c>
      <c r="S1669" s="1" t="str">
        <f>VLOOKUP($E1669,'Product Naming'!$A$1:$P$58,2,FALSE)</f>
        <v>Butanol-PW2</v>
      </c>
      <c r="T1669" s="1" t="str">
        <f>VLOOKUP($E1669,'Product Naming'!$A$1:$P$58,3,FALSE)</f>
        <v>Butanol (PW2)</v>
      </c>
      <c r="U1669" s="1" t="str">
        <f>VLOOKUP($E1669,'Product Naming'!$A$1:$P$58,4,FALSE)</f>
        <v>E</v>
      </c>
      <c r="V1669" s="1" t="str">
        <f>VLOOKUP($E1669,'Product Naming'!$A$1:$P$58,5,FALSE)</f>
        <v>C4H10O</v>
      </c>
      <c r="W1669" s="1">
        <f>VLOOKUP($E1669,'Product Naming'!$A$1:$P$58,6,FALSE)</f>
        <v>4</v>
      </c>
      <c r="X1669" s="1">
        <f>VLOOKUP($E1669,'Product Naming'!$A$1:$P$58,7,FALSE)</f>
        <v>10</v>
      </c>
      <c r="Y1669" s="1">
        <f>VLOOKUP($E1669,'Product Naming'!$A$1:$P$58,8,FALSE)</f>
        <v>1</v>
      </c>
      <c r="Z1669" s="1">
        <f>VLOOKUP($E1669,'Product Naming'!$A$1:$P$58,9,FALSE)</f>
        <v>0</v>
      </c>
      <c r="AA1669" s="1">
        <f>VLOOKUP($E1669,'Product Naming'!$A$1:$P$58,10,FALSE)</f>
        <v>0</v>
      </c>
      <c r="AB1669" s="29">
        <f>VLOOKUP($E1669,'Product Naming'!$A$1:$P$58,11,FALSE)</f>
        <v>6</v>
      </c>
      <c r="AC1669" s="3">
        <f>VLOOKUP($E1669,'Product Naming'!$A$1:$P$58,12,FALSE)</f>
        <v>74.120199999999997</v>
      </c>
      <c r="AD1669" s="1">
        <f>VLOOKUP($E1669,'Product Naming'!$A$1:$P$58,13,FALSE)</f>
        <v>117.7</v>
      </c>
      <c r="AE1669" s="1" t="str">
        <f>VLOOKUP($E1669,'Product Naming'!$A$1:$P$58,14,FALSE)</f>
        <v>Alcohol</v>
      </c>
      <c r="AF1669" s="1" t="str">
        <f>VLOOKUP($E1669,'Product Naming'!$A$1:$P$58,15,FALSE)</f>
        <v>Oxaloacetate</v>
      </c>
      <c r="AG1669" s="30" t="str">
        <f>VLOOKUP($E1669,'Product Naming'!$A$1:$P$58,16,FALSE)</f>
        <v>Proton symporter</v>
      </c>
      <c r="AH1669" s="3" t="str">
        <f>VLOOKUP($E1669,'Product Naming'!$A$1:$Q$58,17,FALSE)</f>
        <v>btoh_c</v>
      </c>
      <c r="AI1669" s="1">
        <f>VLOOKUP($E1669,'Product Parameters'!$A$2:$D$59,2,FALSE)</f>
        <v>1</v>
      </c>
      <c r="AJ1669" s="1">
        <f>VLOOKUP($E1669,'Product Parameters'!$A$2:$D$59,3,FALSE)</f>
        <v>0</v>
      </c>
      <c r="AK1669" s="1">
        <f>VLOOKUP($E1669,'Product Parameters'!$A$2:$D$59,4,FALSE)</f>
        <v>0.12</v>
      </c>
      <c r="AL1669" s="1">
        <f>VLOOKUP($E1669,'Product Parameters'!$A$2:$E$59,5,FALSE)</f>
        <v>52</v>
      </c>
      <c r="AM1669" s="1">
        <f>VLOOKUP($E1669,'Product Parameters'!$A$2:$F$59,6,FALSE)</f>
        <v>4</v>
      </c>
      <c r="AN1669" s="1">
        <f>VLOOKUP($C1669,'Substrate Heating'!$A$2:$C$33,3,FALSE)</f>
        <v>638.57832580000002</v>
      </c>
      <c r="AO1669" s="1">
        <f>VLOOKUP($C1669,'Substrate Heating'!$A$2:$B$33,2,FALSE)</f>
        <v>19.93</v>
      </c>
      <c r="AP1669" s="1">
        <f>VLOOKUP($C1669,'Substrate Heating'!$A$2:$M$33,13,FALSE)</f>
        <v>6</v>
      </c>
      <c r="AQ1669" s="1">
        <f>VLOOKUP($C1669,'Substrate Heating'!$A$2:$M$33,8,FALSE)</f>
        <v>1</v>
      </c>
      <c r="AR1669" s="1">
        <f t="shared" si="26"/>
        <v>1</v>
      </c>
    </row>
    <row r="1670" spans="1:44" x14ac:dyDescent="0.2">
      <c r="A1670" s="8" t="s">
        <v>792</v>
      </c>
      <c r="B1670" s="18" t="s">
        <v>324</v>
      </c>
      <c r="C1670" t="s">
        <v>371</v>
      </c>
      <c r="D1670" s="23" t="s">
        <v>338</v>
      </c>
      <c r="E1670" t="s">
        <v>169</v>
      </c>
      <c r="F1670" t="s">
        <v>165</v>
      </c>
      <c r="G1670">
        <v>-10</v>
      </c>
      <c r="H1670">
        <v>0</v>
      </c>
      <c r="I1670">
        <v>0</v>
      </c>
      <c r="J1670">
        <v>0.45</v>
      </c>
      <c r="K1670">
        <v>-10</v>
      </c>
      <c r="L1670">
        <v>0</v>
      </c>
      <c r="M1670">
        <v>0</v>
      </c>
      <c r="N1670">
        <v>0</v>
      </c>
      <c r="O1670">
        <v>2.5</v>
      </c>
      <c r="P1670"/>
      <c r="Q1670">
        <v>0.25</v>
      </c>
      <c r="R1670" s="28" t="s">
        <v>515</v>
      </c>
      <c r="S1670" s="1" t="str">
        <f>VLOOKUP($E1670,'Product Naming'!$A$1:$P$58,2,FALSE)</f>
        <v>Butanol-PW2</v>
      </c>
      <c r="T1670" s="1" t="str">
        <f>VLOOKUP($E1670,'Product Naming'!$A$1:$P$58,3,FALSE)</f>
        <v>Butanol (PW2)</v>
      </c>
      <c r="U1670" s="1" t="str">
        <f>VLOOKUP($E1670,'Product Naming'!$A$1:$P$58,4,FALSE)</f>
        <v>E</v>
      </c>
      <c r="V1670" s="1" t="str">
        <f>VLOOKUP($E1670,'Product Naming'!$A$1:$P$58,5,FALSE)</f>
        <v>C4H10O</v>
      </c>
      <c r="W1670" s="1">
        <f>VLOOKUP($E1670,'Product Naming'!$A$1:$P$58,6,FALSE)</f>
        <v>4</v>
      </c>
      <c r="X1670" s="1">
        <f>VLOOKUP($E1670,'Product Naming'!$A$1:$P$58,7,FALSE)</f>
        <v>10</v>
      </c>
      <c r="Y1670" s="1">
        <f>VLOOKUP($E1670,'Product Naming'!$A$1:$P$58,8,FALSE)</f>
        <v>1</v>
      </c>
      <c r="Z1670" s="1">
        <f>VLOOKUP($E1670,'Product Naming'!$A$1:$P$58,9,FALSE)</f>
        <v>0</v>
      </c>
      <c r="AA1670" s="1">
        <f>VLOOKUP($E1670,'Product Naming'!$A$1:$P$58,10,FALSE)</f>
        <v>0</v>
      </c>
      <c r="AB1670" s="29">
        <f>VLOOKUP($E1670,'Product Naming'!$A$1:$P$58,11,FALSE)</f>
        <v>6</v>
      </c>
      <c r="AC1670" s="3">
        <f>VLOOKUP($E1670,'Product Naming'!$A$1:$P$58,12,FALSE)</f>
        <v>74.120199999999997</v>
      </c>
      <c r="AD1670" s="1">
        <f>VLOOKUP($E1670,'Product Naming'!$A$1:$P$58,13,FALSE)</f>
        <v>117.7</v>
      </c>
      <c r="AE1670" s="1" t="str">
        <f>VLOOKUP($E1670,'Product Naming'!$A$1:$P$58,14,FALSE)</f>
        <v>Alcohol</v>
      </c>
      <c r="AF1670" s="1" t="str">
        <f>VLOOKUP($E1670,'Product Naming'!$A$1:$P$58,15,FALSE)</f>
        <v>Oxaloacetate</v>
      </c>
      <c r="AG1670" s="30" t="str">
        <f>VLOOKUP($E1670,'Product Naming'!$A$1:$P$58,16,FALSE)</f>
        <v>Proton symporter</v>
      </c>
      <c r="AH1670" s="3" t="str">
        <f>VLOOKUP($E1670,'Product Naming'!$A$1:$Q$58,17,FALSE)</f>
        <v>btoh_c</v>
      </c>
      <c r="AI1670" s="1">
        <f>VLOOKUP($E1670,'Product Parameters'!$A$2:$D$59,2,FALSE)</f>
        <v>1</v>
      </c>
      <c r="AJ1670" s="1">
        <f>VLOOKUP($E1670,'Product Parameters'!$A$2:$D$59,3,FALSE)</f>
        <v>0</v>
      </c>
      <c r="AK1670" s="1">
        <f>VLOOKUP($E1670,'Product Parameters'!$A$2:$D$59,4,FALSE)</f>
        <v>0.12</v>
      </c>
      <c r="AL1670" s="1">
        <f>VLOOKUP($E1670,'Product Parameters'!$A$2:$E$59,5,FALSE)</f>
        <v>52</v>
      </c>
      <c r="AM1670" s="1">
        <f>VLOOKUP($E1670,'Product Parameters'!$A$2:$F$59,6,FALSE)</f>
        <v>4</v>
      </c>
      <c r="AN1670" s="1">
        <f>VLOOKUP($C1670,'Substrate Heating'!$A$2:$C$33,3,FALSE)</f>
        <v>638.57832580000002</v>
      </c>
      <c r="AO1670" s="1">
        <f>VLOOKUP($C1670,'Substrate Heating'!$A$2:$B$33,2,FALSE)</f>
        <v>19.93</v>
      </c>
      <c r="AP1670" s="1">
        <f>VLOOKUP($C1670,'Substrate Heating'!$A$2:$M$33,13,FALSE)</f>
        <v>6</v>
      </c>
      <c r="AQ1670" s="1">
        <f>VLOOKUP($C1670,'Substrate Heating'!$A$2:$M$33,8,FALSE)</f>
        <v>1</v>
      </c>
      <c r="AR1670" s="1">
        <f t="shared" si="26"/>
        <v>1</v>
      </c>
    </row>
    <row r="1671" spans="1:44" x14ac:dyDescent="0.2">
      <c r="A1671" s="8" t="s">
        <v>792</v>
      </c>
      <c r="B1671" s="18" t="s">
        <v>324</v>
      </c>
      <c r="C1671" t="s">
        <v>372</v>
      </c>
      <c r="D1671" s="23" t="s">
        <v>338</v>
      </c>
      <c r="E1671" t="s">
        <v>169</v>
      </c>
      <c r="F1671" t="s">
        <v>165</v>
      </c>
      <c r="G1671">
        <v>-10</v>
      </c>
      <c r="H1671">
        <v>0</v>
      </c>
      <c r="I1671">
        <v>0</v>
      </c>
      <c r="J1671">
        <v>0.45</v>
      </c>
      <c r="K1671">
        <v>-10</v>
      </c>
      <c r="L1671">
        <v>0</v>
      </c>
      <c r="M1671">
        <v>0</v>
      </c>
      <c r="N1671">
        <v>0</v>
      </c>
      <c r="O1671">
        <v>2.5</v>
      </c>
      <c r="P1671"/>
      <c r="Q1671">
        <v>0.25</v>
      </c>
      <c r="R1671" s="28" t="s">
        <v>515</v>
      </c>
      <c r="S1671" s="1" t="str">
        <f>VLOOKUP($E1671,'Product Naming'!$A$1:$P$58,2,FALSE)</f>
        <v>Butanol-PW2</v>
      </c>
      <c r="T1671" s="1" t="str">
        <f>VLOOKUP($E1671,'Product Naming'!$A$1:$P$58,3,FALSE)</f>
        <v>Butanol (PW2)</v>
      </c>
      <c r="U1671" s="1" t="str">
        <f>VLOOKUP($E1671,'Product Naming'!$A$1:$P$58,4,FALSE)</f>
        <v>E</v>
      </c>
      <c r="V1671" s="1" t="str">
        <f>VLOOKUP($E1671,'Product Naming'!$A$1:$P$58,5,FALSE)</f>
        <v>C4H10O</v>
      </c>
      <c r="W1671" s="1">
        <f>VLOOKUP($E1671,'Product Naming'!$A$1:$P$58,6,FALSE)</f>
        <v>4</v>
      </c>
      <c r="X1671" s="1">
        <f>VLOOKUP($E1671,'Product Naming'!$A$1:$P$58,7,FALSE)</f>
        <v>10</v>
      </c>
      <c r="Y1671" s="1">
        <f>VLOOKUP($E1671,'Product Naming'!$A$1:$P$58,8,FALSE)</f>
        <v>1</v>
      </c>
      <c r="Z1671" s="1">
        <f>VLOOKUP($E1671,'Product Naming'!$A$1:$P$58,9,FALSE)</f>
        <v>0</v>
      </c>
      <c r="AA1671" s="1">
        <f>VLOOKUP($E1671,'Product Naming'!$A$1:$P$58,10,FALSE)</f>
        <v>0</v>
      </c>
      <c r="AB1671" s="29">
        <f>VLOOKUP($E1671,'Product Naming'!$A$1:$P$58,11,FALSE)</f>
        <v>6</v>
      </c>
      <c r="AC1671" s="3">
        <f>VLOOKUP($E1671,'Product Naming'!$A$1:$P$58,12,FALSE)</f>
        <v>74.120199999999997</v>
      </c>
      <c r="AD1671" s="1">
        <f>VLOOKUP($E1671,'Product Naming'!$A$1:$P$58,13,FALSE)</f>
        <v>117.7</v>
      </c>
      <c r="AE1671" s="1" t="str">
        <f>VLOOKUP($E1671,'Product Naming'!$A$1:$P$58,14,FALSE)</f>
        <v>Alcohol</v>
      </c>
      <c r="AF1671" s="1" t="str">
        <f>VLOOKUP($E1671,'Product Naming'!$A$1:$P$58,15,FALSE)</f>
        <v>Oxaloacetate</v>
      </c>
      <c r="AG1671" s="30" t="str">
        <f>VLOOKUP($E1671,'Product Naming'!$A$1:$P$58,16,FALSE)</f>
        <v>Proton symporter</v>
      </c>
      <c r="AH1671" s="3" t="str">
        <f>VLOOKUP($E1671,'Product Naming'!$A$1:$Q$58,17,FALSE)</f>
        <v>btoh_c</v>
      </c>
      <c r="AI1671" s="1">
        <f>VLOOKUP($E1671,'Product Parameters'!$A$2:$D$59,2,FALSE)</f>
        <v>1</v>
      </c>
      <c r="AJ1671" s="1">
        <f>VLOOKUP($E1671,'Product Parameters'!$A$2:$D$59,3,FALSE)</f>
        <v>0</v>
      </c>
      <c r="AK1671" s="1">
        <f>VLOOKUP($E1671,'Product Parameters'!$A$2:$D$59,4,FALSE)</f>
        <v>0.12</v>
      </c>
      <c r="AL1671" s="1">
        <f>VLOOKUP($E1671,'Product Parameters'!$A$2:$E$59,5,FALSE)</f>
        <v>52</v>
      </c>
      <c r="AM1671" s="1">
        <f>VLOOKUP($E1671,'Product Parameters'!$A$2:$F$59,6,FALSE)</f>
        <v>4</v>
      </c>
      <c r="AN1671" s="1">
        <f>VLOOKUP($C1671,'Substrate Heating'!$A$2:$C$33,3,FALSE)</f>
        <v>638.57832580000002</v>
      </c>
      <c r="AO1671" s="1">
        <f>VLOOKUP($C1671,'Substrate Heating'!$A$2:$B$33,2,FALSE)</f>
        <v>19.93</v>
      </c>
      <c r="AP1671" s="1">
        <f>VLOOKUP($C1671,'Substrate Heating'!$A$2:$M$33,13,FALSE)</f>
        <v>6</v>
      </c>
      <c r="AQ1671" s="1">
        <f>VLOOKUP($C1671,'Substrate Heating'!$A$2:$M$33,8,FALSE)</f>
        <v>1</v>
      </c>
      <c r="AR1671" s="1">
        <f t="shared" si="26"/>
        <v>1</v>
      </c>
    </row>
    <row r="1672" spans="1:44" x14ac:dyDescent="0.2">
      <c r="A1672" s="8" t="s">
        <v>792</v>
      </c>
      <c r="B1672" s="18" t="s">
        <v>324</v>
      </c>
      <c r="C1672" t="s">
        <v>372</v>
      </c>
      <c r="D1672" s="23" t="s">
        <v>338</v>
      </c>
      <c r="E1672" t="s">
        <v>81</v>
      </c>
      <c r="F1672" t="s">
        <v>73</v>
      </c>
      <c r="G1672">
        <v>-10</v>
      </c>
      <c r="H1672">
        <v>0</v>
      </c>
      <c r="I1672">
        <v>0</v>
      </c>
      <c r="J1672">
        <v>0.45</v>
      </c>
      <c r="K1672">
        <v>-10</v>
      </c>
      <c r="L1672">
        <v>0</v>
      </c>
      <c r="M1672">
        <v>0</v>
      </c>
      <c r="N1672">
        <v>0</v>
      </c>
      <c r="O1672" s="28" t="s">
        <v>433</v>
      </c>
      <c r="P1672"/>
      <c r="Q1672" s="28" t="s">
        <v>434</v>
      </c>
      <c r="R1672" s="28" t="s">
        <v>435</v>
      </c>
      <c r="S1672" s="1" t="str">
        <f>VLOOKUP($E1672,'Product Naming'!$A$1:$P$58,2,FALSE)</f>
        <v>1-propanol-PW2</v>
      </c>
      <c r="T1672" s="1" t="str">
        <f>VLOOKUP($E1672,'Product Naming'!$A$1:$P$58,3,FALSE)</f>
        <v>1-Propanol (PW2)</v>
      </c>
      <c r="U1672" s="1" t="str">
        <f>VLOOKUP($E1672,'Product Naming'!$A$1:$P$58,4,FALSE)</f>
        <v>E-S</v>
      </c>
      <c r="V1672" s="1" t="str">
        <f>VLOOKUP($E1672,'Product Naming'!$A$1:$P$58,5,FALSE)</f>
        <v>C3H8O</v>
      </c>
      <c r="W1672" s="1">
        <f>VLOOKUP($E1672,'Product Naming'!$A$1:$P$58,6,FALSE)</f>
        <v>3</v>
      </c>
      <c r="X1672" s="1">
        <f>VLOOKUP($E1672,'Product Naming'!$A$1:$P$58,7,FALSE)</f>
        <v>8</v>
      </c>
      <c r="Y1672" s="1">
        <f>VLOOKUP($E1672,'Product Naming'!$A$1:$P$58,8,FALSE)</f>
        <v>1</v>
      </c>
      <c r="Z1672" s="1">
        <f>VLOOKUP($E1672,'Product Naming'!$A$1:$P$58,9,FALSE)</f>
        <v>0</v>
      </c>
      <c r="AA1672" s="1">
        <f>VLOOKUP($E1672,'Product Naming'!$A$1:$P$58,10,FALSE)</f>
        <v>0</v>
      </c>
      <c r="AB1672" s="29">
        <f>VLOOKUP($E1672,'Product Naming'!$A$1:$P$58,11,FALSE)</f>
        <v>6</v>
      </c>
      <c r="AC1672" s="3">
        <f>VLOOKUP($E1672,'Product Naming'!$A$1:$P$58,12,FALSE)</f>
        <v>60.093820000000001</v>
      </c>
      <c r="AD1672" s="1">
        <f>VLOOKUP($E1672,'Product Naming'!$A$1:$P$58,13,FALSE)</f>
        <v>97</v>
      </c>
      <c r="AE1672" s="1" t="str">
        <f>VLOOKUP($E1672,'Product Naming'!$A$1:$P$58,14,FALSE)</f>
        <v>Alcohol</v>
      </c>
      <c r="AF1672" s="1" t="str">
        <f>VLOOKUP($E1672,'Product Naming'!$A$1:$P$58,15,FALSE)</f>
        <v>Oxaloacetate</v>
      </c>
      <c r="AG1672" s="30" t="str">
        <f>VLOOKUP($E1672,'Product Naming'!$A$1:$P$58,16,FALSE)</f>
        <v>Proton symporter</v>
      </c>
      <c r="AH1672" s="3" t="str">
        <f>VLOOKUP($E1672,'Product Naming'!$A$1:$Q$58,17,FALSE)</f>
        <v>ppoh_c</v>
      </c>
      <c r="AI1672" s="1">
        <f>VLOOKUP($E1672,'Product Parameters'!$A$2:$D$59,2,FALSE)</f>
        <v>1</v>
      </c>
      <c r="AJ1672" s="1">
        <f>VLOOKUP($E1672,'Product Parameters'!$A$2:$D$59,3,FALSE)</f>
        <v>0</v>
      </c>
      <c r="AK1672" s="1">
        <f>VLOOKUP($E1672,'Product Parameters'!$A$2:$D$59,4,FALSE)</f>
        <v>0.12</v>
      </c>
      <c r="AL1672" s="1">
        <f>VLOOKUP($E1672,'Product Parameters'!$A$2:$E$59,5,FALSE)</f>
        <v>47</v>
      </c>
      <c r="AM1672" s="1">
        <f>VLOOKUP($E1672,'Product Parameters'!$A$2:$F$59,6,FALSE)</f>
        <v>3</v>
      </c>
      <c r="AN1672" s="1">
        <f>VLOOKUP($C1672,'Substrate Heating'!$A$2:$C$33,3,FALSE)</f>
        <v>638.57832580000002</v>
      </c>
      <c r="AO1672" s="1">
        <f>VLOOKUP($C1672,'Substrate Heating'!$A$2:$B$33,2,FALSE)</f>
        <v>19.93</v>
      </c>
      <c r="AP1672" s="1">
        <f>VLOOKUP($C1672,'Substrate Heating'!$A$2:$M$33,13,FALSE)</f>
        <v>6</v>
      </c>
      <c r="AQ1672" s="1">
        <f>VLOOKUP($C1672,'Substrate Heating'!$A$2:$M$33,8,FALSE)</f>
        <v>1</v>
      </c>
      <c r="AR1672" s="1">
        <f t="shared" si="26"/>
        <v>0.92799999999999605</v>
      </c>
    </row>
    <row r="1673" spans="1:44" x14ac:dyDescent="0.2">
      <c r="A1673" s="8" t="s">
        <v>792</v>
      </c>
      <c r="B1673" s="18" t="s">
        <v>324</v>
      </c>
      <c r="C1673" t="s">
        <v>371</v>
      </c>
      <c r="D1673" s="23" t="s">
        <v>338</v>
      </c>
      <c r="E1673" t="s">
        <v>186</v>
      </c>
      <c r="F1673" t="s">
        <v>187</v>
      </c>
      <c r="G1673">
        <v>-10</v>
      </c>
      <c r="H1673">
        <v>0</v>
      </c>
      <c r="I1673">
        <v>0</v>
      </c>
      <c r="J1673">
        <v>0.45</v>
      </c>
      <c r="K1673">
        <v>-10</v>
      </c>
      <c r="L1673">
        <v>0</v>
      </c>
      <c r="M1673">
        <v>8.5657894736842195</v>
      </c>
      <c r="N1673">
        <v>0</v>
      </c>
      <c r="O1673" s="28" t="s">
        <v>787</v>
      </c>
      <c r="P1673"/>
      <c r="Q1673">
        <v>9.5175438596491205E-2</v>
      </c>
      <c r="R1673" s="28" t="s">
        <v>788</v>
      </c>
      <c r="S1673" s="1" t="str">
        <f>VLOOKUP($E1673,'Product Naming'!$A$1:$P$58,2,FALSE)</f>
        <v>Citrate</v>
      </c>
      <c r="T1673" s="1" t="str">
        <f>VLOOKUP($E1673,'Product Naming'!$A$1:$P$58,3,FALSE)</f>
        <v>Citrate</v>
      </c>
      <c r="U1673" s="1" t="str">
        <f>VLOOKUP($E1673,'Product Naming'!$A$1:$P$58,4,FALSE)</f>
        <v>iJO1366</v>
      </c>
      <c r="V1673" s="1" t="str">
        <f>VLOOKUP($E1673,'Product Naming'!$A$1:$P$58,5,FALSE)</f>
        <v>C6H5O7</v>
      </c>
      <c r="W1673" s="1">
        <f>VLOOKUP($E1673,'Product Naming'!$A$1:$P$58,6,FALSE)</f>
        <v>6</v>
      </c>
      <c r="X1673" s="1">
        <f>VLOOKUP($E1673,'Product Naming'!$A$1:$P$58,7,FALSE)</f>
        <v>5</v>
      </c>
      <c r="Y1673" s="1">
        <f>VLOOKUP($E1673,'Product Naming'!$A$1:$P$58,8,FALSE)</f>
        <v>7</v>
      </c>
      <c r="Z1673" s="1">
        <f>VLOOKUP($E1673,'Product Naming'!$A$1:$P$58,9,FALSE)</f>
        <v>0</v>
      </c>
      <c r="AA1673" s="1">
        <f>VLOOKUP($E1673,'Product Naming'!$A$1:$P$58,10,FALSE)</f>
        <v>-3</v>
      </c>
      <c r="AB1673" s="29">
        <f>VLOOKUP($E1673,'Product Naming'!$A$1:$P$58,11,FALSE)</f>
        <v>2.5</v>
      </c>
      <c r="AC1673" s="3">
        <f>VLOOKUP($E1673,'Product Naming'!$A$1:$P$58,12,FALSE)</f>
        <v>189.09640000000002</v>
      </c>
      <c r="AD1673" s="1" t="str">
        <f>VLOOKUP($E1673,'Product Naming'!$A$1:$P$58,13,FALSE)</f>
        <v>NA</v>
      </c>
      <c r="AE1673" s="1" t="str">
        <f>VLOOKUP($E1673,'Product Naming'!$A$1:$P$58,14,FALSE)</f>
        <v>Tricarboxylate + Alcohol</v>
      </c>
      <c r="AF1673" s="1" t="str">
        <f>VLOOKUP($E1673,'Product Naming'!$A$1:$P$58,15,FALSE)</f>
        <v>Acetyl-CoA</v>
      </c>
      <c r="AG1673" s="30" t="str">
        <f>VLOOKUP($E1673,'Product Naming'!$A$1:$P$58,16,FALSE)</f>
        <v>Proton antiport</v>
      </c>
      <c r="AH1673" s="3" t="str">
        <f>VLOOKUP($E1673,'Product Naming'!$A$1:$Q$58,17,FALSE)</f>
        <v>cit_c</v>
      </c>
      <c r="AI1673" s="1">
        <f>VLOOKUP($E1673,'Product Parameters'!$A$2:$D$59,2,FALSE)</f>
        <v>1</v>
      </c>
      <c r="AJ1673" s="1">
        <f>VLOOKUP($E1673,'Product Parameters'!$A$2:$D$59,3,FALSE)</f>
        <v>0</v>
      </c>
      <c r="AK1673" s="1">
        <f>VLOOKUP($E1673,'Product Parameters'!$A$2:$D$59,4,FALSE)</f>
        <v>0.12</v>
      </c>
      <c r="AL1673" s="1">
        <f>VLOOKUP($E1673,'Product Parameters'!$A$2:$E$59,5,FALSE)</f>
        <v>40.65</v>
      </c>
      <c r="AM1673" s="1">
        <f>VLOOKUP($E1673,'Product Parameters'!$A$2:$F$59,6,FALSE)</f>
        <v>6</v>
      </c>
      <c r="AN1673" s="1">
        <f>VLOOKUP($C1673,'Substrate Heating'!$A$2:$C$33,3,FALSE)</f>
        <v>638.57832580000002</v>
      </c>
      <c r="AO1673" s="1">
        <f>VLOOKUP($C1673,'Substrate Heating'!$A$2:$B$33,2,FALSE)</f>
        <v>19.93</v>
      </c>
      <c r="AP1673" s="1">
        <f>VLOOKUP($C1673,'Substrate Heating'!$A$2:$M$33,13,FALSE)</f>
        <v>6</v>
      </c>
      <c r="AQ1673" s="1">
        <f>VLOOKUP($C1673,'Substrate Heating'!$A$2:$M$33,8,FALSE)</f>
        <v>1</v>
      </c>
      <c r="AR1673" s="1">
        <f t="shared" si="26"/>
        <v>0.57105263157894726</v>
      </c>
    </row>
    <row r="1674" spans="1:44" x14ac:dyDescent="0.2">
      <c r="A1674" s="8" t="s">
        <v>792</v>
      </c>
      <c r="B1674" s="18" t="s">
        <v>324</v>
      </c>
      <c r="C1674" t="s">
        <v>372</v>
      </c>
      <c r="D1674" s="23" t="s">
        <v>338</v>
      </c>
      <c r="E1674" t="s">
        <v>275</v>
      </c>
      <c r="F1674" t="s">
        <v>276</v>
      </c>
      <c r="G1674">
        <v>-10</v>
      </c>
      <c r="H1674">
        <v>0</v>
      </c>
      <c r="I1674">
        <v>0</v>
      </c>
      <c r="J1674">
        <v>0.45</v>
      </c>
      <c r="K1674">
        <v>-10</v>
      </c>
      <c r="L1674">
        <v>0</v>
      </c>
      <c r="M1674" s="28" t="s">
        <v>640</v>
      </c>
      <c r="N1674">
        <v>0</v>
      </c>
      <c r="O1674" s="28" t="s">
        <v>383</v>
      </c>
      <c r="P1674"/>
      <c r="Q1674" s="28" t="s">
        <v>641</v>
      </c>
      <c r="R1674" s="28" t="s">
        <v>642</v>
      </c>
      <c r="S1674" s="1" t="str">
        <f>VLOOKUP($E1674,'Product Naming'!$A$1:$P$58,2,FALSE)</f>
        <v>Malonate</v>
      </c>
      <c r="T1674" s="1" t="str">
        <f>VLOOKUP($E1674,'Product Naming'!$A$1:$P$58,3,FALSE)</f>
        <v>Malonate</v>
      </c>
      <c r="U1674" s="1" t="str">
        <f>VLOOKUP($E1674,'Product Naming'!$A$1:$P$58,4,FALSE)</f>
        <v>A</v>
      </c>
      <c r="V1674" s="1" t="str">
        <f>VLOOKUP($E1674,'Product Naming'!$A$1:$P$58,5,FALSE)</f>
        <v>C3H2O4</v>
      </c>
      <c r="W1674" s="1">
        <f>VLOOKUP($E1674,'Product Naming'!$A$1:$P$58,6,FALSE)</f>
        <v>3</v>
      </c>
      <c r="X1674" s="1">
        <f>VLOOKUP($E1674,'Product Naming'!$A$1:$P$58,7,FALSE)</f>
        <v>2</v>
      </c>
      <c r="Y1674" s="1">
        <f>VLOOKUP($E1674,'Product Naming'!$A$1:$P$58,8,FALSE)</f>
        <v>4</v>
      </c>
      <c r="Z1674" s="1">
        <f>VLOOKUP($E1674,'Product Naming'!$A$1:$P$58,9,FALSE)</f>
        <v>0</v>
      </c>
      <c r="AA1674" s="1">
        <f>VLOOKUP($E1674,'Product Naming'!$A$1:$P$58,10,FALSE)</f>
        <v>-2</v>
      </c>
      <c r="AB1674" s="29">
        <f>VLOOKUP($E1674,'Product Naming'!$A$1:$P$58,11,FALSE)</f>
        <v>2</v>
      </c>
      <c r="AC1674" s="3">
        <f>VLOOKUP($E1674,'Product Naming'!$A$1:$P$58,12,FALSE)</f>
        <v>102.04378</v>
      </c>
      <c r="AD1674" s="1">
        <f>VLOOKUP($E1674,'Product Naming'!$A$1:$P$58,13,FALSE)</f>
        <v>199</v>
      </c>
      <c r="AE1674" s="1" t="str">
        <f>VLOOKUP($E1674,'Product Naming'!$A$1:$P$58,14,FALSE)</f>
        <v>Dicarboxylate</v>
      </c>
      <c r="AF1674" s="1" t="str">
        <f>VLOOKUP($E1674,'Product Naming'!$A$1:$P$58,15,FALSE)</f>
        <v>Oxaloacetate</v>
      </c>
      <c r="AG1674" s="30" t="str">
        <f>VLOOKUP($E1674,'Product Naming'!$A$1:$P$58,16,FALSE)</f>
        <v>Proton symporter</v>
      </c>
      <c r="AH1674" s="3" t="str">
        <f>VLOOKUP($E1674,'Product Naming'!$A$1:$Q$58,17,FALSE)</f>
        <v>malon_c</v>
      </c>
      <c r="AI1674" s="1">
        <f>VLOOKUP($E1674,'Product Parameters'!$A$2:$D$59,2,FALSE)</f>
        <v>1</v>
      </c>
      <c r="AJ1674" s="1">
        <f>VLOOKUP($E1674,'Product Parameters'!$A$2:$D$59,3,FALSE)</f>
        <v>0</v>
      </c>
      <c r="AK1674" s="1">
        <f>VLOOKUP($E1674,'Product Parameters'!$A$2:$D$59,4,FALSE)</f>
        <v>0.12</v>
      </c>
      <c r="AL1674" s="1">
        <f>VLOOKUP($E1674,'Product Parameters'!$A$2:$E$59,5,FALSE)</f>
        <v>40.65</v>
      </c>
      <c r="AM1674" s="1">
        <f>VLOOKUP($E1674,'Product Parameters'!$A$2:$F$59,6,FALSE)</f>
        <v>3</v>
      </c>
      <c r="AN1674" s="1">
        <f>VLOOKUP($C1674,'Substrate Heating'!$A$2:$C$33,3,FALSE)</f>
        <v>638.57832580000002</v>
      </c>
      <c r="AO1674" s="1">
        <f>VLOOKUP($C1674,'Substrate Heating'!$A$2:$B$33,2,FALSE)</f>
        <v>19.93</v>
      </c>
      <c r="AP1674" s="1">
        <f>VLOOKUP($C1674,'Substrate Heating'!$A$2:$M$33,13,FALSE)</f>
        <v>6</v>
      </c>
      <c r="AQ1674" s="1">
        <f>VLOOKUP($C1674,'Substrate Heating'!$A$2:$M$33,8,FALSE)</f>
        <v>1</v>
      </c>
      <c r="AR1674" s="1">
        <f t="shared" si="26"/>
        <v>0.53538461538461402</v>
      </c>
    </row>
    <row r="1675" spans="1:44" x14ac:dyDescent="0.2">
      <c r="A1675" s="8" t="s">
        <v>792</v>
      </c>
      <c r="B1675" s="18" t="s">
        <v>324</v>
      </c>
      <c r="C1675" t="s">
        <v>369</v>
      </c>
      <c r="D1675" s="23" t="s">
        <v>338</v>
      </c>
      <c r="E1675" t="s">
        <v>119</v>
      </c>
      <c r="F1675" t="s">
        <v>120</v>
      </c>
      <c r="G1675">
        <v>-10</v>
      </c>
      <c r="H1675">
        <v>0</v>
      </c>
      <c r="I1675">
        <v>0</v>
      </c>
      <c r="J1675">
        <v>0.45</v>
      </c>
      <c r="K1675">
        <v>-10</v>
      </c>
      <c r="L1675">
        <v>0</v>
      </c>
      <c r="M1675" s="28" t="s">
        <v>388</v>
      </c>
      <c r="N1675">
        <v>0</v>
      </c>
      <c r="O1675" s="28" t="s">
        <v>452</v>
      </c>
      <c r="P1675"/>
      <c r="Q1675" s="28" t="s">
        <v>453</v>
      </c>
      <c r="R1675" s="28" t="s">
        <v>454</v>
      </c>
      <c r="S1675" s="1" t="str">
        <f>VLOOKUP($E1675,'Product Naming'!$A$1:$P$58,2,FALSE)</f>
        <v>Acetone</v>
      </c>
      <c r="T1675" s="1" t="str">
        <f>VLOOKUP($E1675,'Product Naming'!$A$1:$P$58,3,FALSE)</f>
        <v>Acetone</v>
      </c>
      <c r="U1675" s="1" t="str">
        <f>VLOOKUP($E1675,'Product Naming'!$A$1:$P$58,4,FALSE)</f>
        <v>A</v>
      </c>
      <c r="V1675" s="1" t="str">
        <f>VLOOKUP($E1675,'Product Naming'!$A$1:$P$58,5,FALSE)</f>
        <v>C3H6O</v>
      </c>
      <c r="W1675" s="1">
        <f>VLOOKUP($E1675,'Product Naming'!$A$1:$P$58,6,FALSE)</f>
        <v>3</v>
      </c>
      <c r="X1675" s="1">
        <f>VLOOKUP($E1675,'Product Naming'!$A$1:$P$58,7,FALSE)</f>
        <v>6</v>
      </c>
      <c r="Y1675" s="1">
        <f>VLOOKUP($E1675,'Product Naming'!$A$1:$P$58,8,FALSE)</f>
        <v>1</v>
      </c>
      <c r="Z1675" s="1">
        <f>VLOOKUP($E1675,'Product Naming'!$A$1:$P$58,9,FALSE)</f>
        <v>0</v>
      </c>
      <c r="AA1675" s="1">
        <f>VLOOKUP($E1675,'Product Naming'!$A$1:$P$58,10,FALSE)</f>
        <v>0</v>
      </c>
      <c r="AB1675" s="29">
        <f>VLOOKUP($E1675,'Product Naming'!$A$1:$P$58,11,FALSE)</f>
        <v>5.333333333333333</v>
      </c>
      <c r="AC1675" s="3">
        <f>VLOOKUP($E1675,'Product Naming'!$A$1:$P$58,12,FALSE)</f>
        <v>58.078140000000005</v>
      </c>
      <c r="AD1675" s="1">
        <f>VLOOKUP($E1675,'Product Naming'!$A$1:$P$58,13,FALSE)</f>
        <v>56</v>
      </c>
      <c r="AE1675" s="1" t="str">
        <f>VLOOKUP($E1675,'Product Naming'!$A$1:$P$58,14,FALSE)</f>
        <v>Ketone</v>
      </c>
      <c r="AF1675" s="1" t="str">
        <f>VLOOKUP($E1675,'Product Naming'!$A$1:$P$58,15,FALSE)</f>
        <v>Acetyl-CoA</v>
      </c>
      <c r="AG1675" s="30" t="str">
        <f>VLOOKUP($E1675,'Product Naming'!$A$1:$P$58,16,FALSE)</f>
        <v>Proton symporter</v>
      </c>
      <c r="AH1675" s="3" t="str">
        <f>VLOOKUP($E1675,'Product Naming'!$A$1:$Q$58,17,FALSE)</f>
        <v>acetone_c</v>
      </c>
      <c r="AI1675" s="1">
        <f>VLOOKUP($E1675,'Product Parameters'!$A$2:$D$59,2,FALSE)</f>
        <v>1</v>
      </c>
      <c r="AJ1675" s="1">
        <f>VLOOKUP($E1675,'Product Parameters'!$A$2:$D$59,3,FALSE)</f>
        <v>0</v>
      </c>
      <c r="AK1675" s="1">
        <f>VLOOKUP($E1675,'Product Parameters'!$A$2:$D$59,4,FALSE)</f>
        <v>0.12</v>
      </c>
      <c r="AL1675" s="1">
        <f>VLOOKUP($E1675,'Product Parameters'!$A$2:$E$59,5,FALSE)</f>
        <v>31.3</v>
      </c>
      <c r="AM1675" s="1">
        <f>VLOOKUP($E1675,'Product Parameters'!$A$2:$F$59,6,FALSE)</f>
        <v>3</v>
      </c>
      <c r="AN1675" s="1">
        <f>VLOOKUP($C1675,'Substrate Heating'!$A$2:$C$33,3,FALSE)</f>
        <v>638.57832580000002</v>
      </c>
      <c r="AO1675" s="1">
        <f>VLOOKUP($C1675,'Substrate Heating'!$A$2:$B$33,2,FALSE)</f>
        <v>19.93</v>
      </c>
      <c r="AP1675" s="1">
        <f>VLOOKUP($C1675,'Substrate Heating'!$A$2:$M$33,13,FALSE)</f>
        <v>6</v>
      </c>
      <c r="AQ1675" s="1">
        <f>VLOOKUP($C1675,'Substrate Heating'!$A$2:$M$33,8,FALSE)</f>
        <v>1</v>
      </c>
      <c r="AR1675" s="1">
        <f t="shared" si="26"/>
        <v>0.99999999999999889</v>
      </c>
    </row>
    <row r="1676" spans="1:44" x14ac:dyDescent="0.2">
      <c r="A1676" s="8" t="s">
        <v>792</v>
      </c>
      <c r="B1676" s="18" t="s">
        <v>324</v>
      </c>
      <c r="C1676" t="s">
        <v>371</v>
      </c>
      <c r="D1676" s="23" t="s">
        <v>338</v>
      </c>
      <c r="E1676" t="s">
        <v>119</v>
      </c>
      <c r="F1676" t="s">
        <v>120</v>
      </c>
      <c r="G1676">
        <v>-10</v>
      </c>
      <c r="H1676">
        <v>0</v>
      </c>
      <c r="I1676">
        <v>0</v>
      </c>
      <c r="J1676">
        <v>0.45</v>
      </c>
      <c r="K1676">
        <v>-10</v>
      </c>
      <c r="L1676">
        <v>0</v>
      </c>
      <c r="M1676" s="28" t="s">
        <v>388</v>
      </c>
      <c r="N1676">
        <v>0</v>
      </c>
      <c r="O1676" s="28" t="s">
        <v>452</v>
      </c>
      <c r="P1676"/>
      <c r="Q1676" s="28" t="s">
        <v>453</v>
      </c>
      <c r="R1676" s="28" t="s">
        <v>454</v>
      </c>
      <c r="S1676" s="1" t="str">
        <f>VLOOKUP($E1676,'Product Naming'!$A$1:$P$58,2,FALSE)</f>
        <v>Acetone</v>
      </c>
      <c r="T1676" s="1" t="str">
        <f>VLOOKUP($E1676,'Product Naming'!$A$1:$P$58,3,FALSE)</f>
        <v>Acetone</v>
      </c>
      <c r="U1676" s="1" t="str">
        <f>VLOOKUP($E1676,'Product Naming'!$A$1:$P$58,4,FALSE)</f>
        <v>A</v>
      </c>
      <c r="V1676" s="1" t="str">
        <f>VLOOKUP($E1676,'Product Naming'!$A$1:$P$58,5,FALSE)</f>
        <v>C3H6O</v>
      </c>
      <c r="W1676" s="1">
        <f>VLOOKUP($E1676,'Product Naming'!$A$1:$P$58,6,FALSE)</f>
        <v>3</v>
      </c>
      <c r="X1676" s="1">
        <f>VLOOKUP($E1676,'Product Naming'!$A$1:$P$58,7,FALSE)</f>
        <v>6</v>
      </c>
      <c r="Y1676" s="1">
        <f>VLOOKUP($E1676,'Product Naming'!$A$1:$P$58,8,FALSE)</f>
        <v>1</v>
      </c>
      <c r="Z1676" s="1">
        <f>VLOOKUP($E1676,'Product Naming'!$A$1:$P$58,9,FALSE)</f>
        <v>0</v>
      </c>
      <c r="AA1676" s="1">
        <f>VLOOKUP($E1676,'Product Naming'!$A$1:$P$58,10,FALSE)</f>
        <v>0</v>
      </c>
      <c r="AB1676" s="29">
        <f>VLOOKUP($E1676,'Product Naming'!$A$1:$P$58,11,FALSE)</f>
        <v>5.333333333333333</v>
      </c>
      <c r="AC1676" s="3">
        <f>VLOOKUP($E1676,'Product Naming'!$A$1:$P$58,12,FALSE)</f>
        <v>58.078140000000005</v>
      </c>
      <c r="AD1676" s="1">
        <f>VLOOKUP($E1676,'Product Naming'!$A$1:$P$58,13,FALSE)</f>
        <v>56</v>
      </c>
      <c r="AE1676" s="1" t="str">
        <f>VLOOKUP($E1676,'Product Naming'!$A$1:$P$58,14,FALSE)</f>
        <v>Ketone</v>
      </c>
      <c r="AF1676" s="1" t="str">
        <f>VLOOKUP($E1676,'Product Naming'!$A$1:$P$58,15,FALSE)</f>
        <v>Acetyl-CoA</v>
      </c>
      <c r="AG1676" s="30" t="str">
        <f>VLOOKUP($E1676,'Product Naming'!$A$1:$P$58,16,FALSE)</f>
        <v>Proton symporter</v>
      </c>
      <c r="AH1676" s="3" t="str">
        <f>VLOOKUP($E1676,'Product Naming'!$A$1:$Q$58,17,FALSE)</f>
        <v>acetone_c</v>
      </c>
      <c r="AI1676" s="1">
        <f>VLOOKUP($E1676,'Product Parameters'!$A$2:$D$59,2,FALSE)</f>
        <v>1</v>
      </c>
      <c r="AJ1676" s="1">
        <f>VLOOKUP($E1676,'Product Parameters'!$A$2:$D$59,3,FALSE)</f>
        <v>0</v>
      </c>
      <c r="AK1676" s="1">
        <f>VLOOKUP($E1676,'Product Parameters'!$A$2:$D$59,4,FALSE)</f>
        <v>0.12</v>
      </c>
      <c r="AL1676" s="1">
        <f>VLOOKUP($E1676,'Product Parameters'!$A$2:$E$59,5,FALSE)</f>
        <v>31.3</v>
      </c>
      <c r="AM1676" s="1">
        <f>VLOOKUP($E1676,'Product Parameters'!$A$2:$F$59,6,FALSE)</f>
        <v>3</v>
      </c>
      <c r="AN1676" s="1">
        <f>VLOOKUP($C1676,'Substrate Heating'!$A$2:$C$33,3,FALSE)</f>
        <v>638.57832580000002</v>
      </c>
      <c r="AO1676" s="1">
        <f>VLOOKUP($C1676,'Substrate Heating'!$A$2:$B$33,2,FALSE)</f>
        <v>19.93</v>
      </c>
      <c r="AP1676" s="1">
        <f>VLOOKUP($C1676,'Substrate Heating'!$A$2:$M$33,13,FALSE)</f>
        <v>6</v>
      </c>
      <c r="AQ1676" s="1">
        <f>VLOOKUP($C1676,'Substrate Heating'!$A$2:$M$33,8,FALSE)</f>
        <v>1</v>
      </c>
      <c r="AR1676" s="1">
        <f t="shared" si="26"/>
        <v>0.99999999999999889</v>
      </c>
    </row>
    <row r="1677" spans="1:44" x14ac:dyDescent="0.2">
      <c r="A1677" s="8" t="s">
        <v>792</v>
      </c>
      <c r="B1677" s="18" t="s">
        <v>324</v>
      </c>
      <c r="C1677" t="s">
        <v>371</v>
      </c>
      <c r="D1677" s="23" t="s">
        <v>338</v>
      </c>
      <c r="E1677" t="s">
        <v>269</v>
      </c>
      <c r="F1677" t="s">
        <v>270</v>
      </c>
      <c r="G1677">
        <v>-10</v>
      </c>
      <c r="H1677">
        <v>0</v>
      </c>
      <c r="I1677">
        <v>0</v>
      </c>
      <c r="J1677">
        <v>0.45</v>
      </c>
      <c r="K1677">
        <v>-10</v>
      </c>
      <c r="L1677">
        <v>0</v>
      </c>
      <c r="M1677" s="28" t="s">
        <v>748</v>
      </c>
      <c r="N1677">
        <v>0</v>
      </c>
      <c r="O1677" s="28" t="s">
        <v>749</v>
      </c>
      <c r="P1677"/>
      <c r="Q1677" s="28" t="s">
        <v>750</v>
      </c>
      <c r="R1677" s="28" t="s">
        <v>751</v>
      </c>
      <c r="S1677" s="1" t="str">
        <f>VLOOKUP($E1677,'Product Naming'!$A$1:$P$58,2,FALSE)</f>
        <v>Malate_L</v>
      </c>
      <c r="T1677" s="1" t="str">
        <f>VLOOKUP($E1677,'Product Naming'!$A$1:$P$58,3,FALSE)</f>
        <v>L-Malate</v>
      </c>
      <c r="U1677" s="1" t="str">
        <f>VLOOKUP($E1677,'Product Naming'!$A$1:$P$58,4,FALSE)</f>
        <v>iJO1366</v>
      </c>
      <c r="V1677" s="1" t="str">
        <f>VLOOKUP($E1677,'Product Naming'!$A$1:$P$58,5,FALSE)</f>
        <v>C4H4O5</v>
      </c>
      <c r="W1677" s="1">
        <f>VLOOKUP($E1677,'Product Naming'!$A$1:$P$58,6,FALSE)</f>
        <v>4</v>
      </c>
      <c r="X1677" s="1">
        <f>VLOOKUP($E1677,'Product Naming'!$A$1:$P$58,7,FALSE)</f>
        <v>4</v>
      </c>
      <c r="Y1677" s="1">
        <f>VLOOKUP($E1677,'Product Naming'!$A$1:$P$58,8,FALSE)</f>
        <v>5</v>
      </c>
      <c r="Z1677" s="1">
        <f>VLOOKUP($E1677,'Product Naming'!$A$1:$P$58,9,FALSE)</f>
        <v>0</v>
      </c>
      <c r="AA1677" s="1">
        <f>VLOOKUP($E1677,'Product Naming'!$A$1:$P$58,10,FALSE)</f>
        <v>-2</v>
      </c>
      <c r="AB1677" s="29">
        <f>VLOOKUP($E1677,'Product Naming'!$A$1:$P$58,11,FALSE)</f>
        <v>2.5</v>
      </c>
      <c r="AC1677" s="3">
        <f>VLOOKUP($E1677,'Product Naming'!$A$1:$P$58,12,FALSE)</f>
        <v>132.06916000000001</v>
      </c>
      <c r="AD1677" s="1" t="str">
        <f>VLOOKUP($E1677,'Product Naming'!$A$1:$P$58,13,FALSE)</f>
        <v>NA</v>
      </c>
      <c r="AE1677" s="1" t="str">
        <f>VLOOKUP($E1677,'Product Naming'!$A$1:$P$58,14,FALSE)</f>
        <v>Dicarboxylate</v>
      </c>
      <c r="AF1677" s="1" t="str">
        <f>VLOOKUP($E1677,'Product Naming'!$A$1:$P$58,15,FALSE)</f>
        <v>Oxaloacetate</v>
      </c>
      <c r="AG1677" s="30" t="str">
        <f>VLOOKUP($E1677,'Product Naming'!$A$1:$P$58,16,FALSE)</f>
        <v>Proton symporter</v>
      </c>
      <c r="AH1677" s="3" t="str">
        <f>VLOOKUP($E1677,'Product Naming'!$A$1:$Q$58,17,FALSE)</f>
        <v>mal__L_e</v>
      </c>
      <c r="AI1677" s="1">
        <f>VLOOKUP($E1677,'Product Parameters'!$A$2:$D$59,2,FALSE)</f>
        <v>1</v>
      </c>
      <c r="AJ1677" s="1">
        <f>VLOOKUP($E1677,'Product Parameters'!$A$2:$D$59,3,FALSE)</f>
        <v>0</v>
      </c>
      <c r="AK1677" s="1">
        <f>VLOOKUP($E1677,'Product Parameters'!$A$2:$D$59,4,FALSE)</f>
        <v>0.12</v>
      </c>
      <c r="AL1677" s="1">
        <f>VLOOKUP($E1677,'Product Parameters'!$A$2:$E$59,5,FALSE)</f>
        <v>40.65</v>
      </c>
      <c r="AM1677" s="1">
        <f>VLOOKUP($E1677,'Product Parameters'!$A$2:$F$59,6,FALSE)</f>
        <v>4</v>
      </c>
      <c r="AN1677" s="1">
        <f>VLOOKUP($C1677,'Substrate Heating'!$A$2:$C$33,3,FALSE)</f>
        <v>638.57832580000002</v>
      </c>
      <c r="AO1677" s="1">
        <f>VLOOKUP($C1677,'Substrate Heating'!$A$2:$B$33,2,FALSE)</f>
        <v>19.93</v>
      </c>
      <c r="AP1677" s="1">
        <f>VLOOKUP($C1677,'Substrate Heating'!$A$2:$M$33,13,FALSE)</f>
        <v>6</v>
      </c>
      <c r="AQ1677" s="1">
        <f>VLOOKUP($C1677,'Substrate Heating'!$A$2:$M$33,8,FALSE)</f>
        <v>1</v>
      </c>
      <c r="AR1677" s="1">
        <f t="shared" si="26"/>
        <v>0.56732026143790404</v>
      </c>
    </row>
    <row r="1678" spans="1:44" x14ac:dyDescent="0.2">
      <c r="A1678" s="8" t="s">
        <v>792</v>
      </c>
      <c r="B1678" s="18" t="s">
        <v>324</v>
      </c>
      <c r="C1678" t="s">
        <v>371</v>
      </c>
      <c r="D1678" s="23" t="s">
        <v>338</v>
      </c>
      <c r="E1678" t="s">
        <v>318</v>
      </c>
      <c r="F1678" t="s">
        <v>319</v>
      </c>
      <c r="G1678">
        <v>-10</v>
      </c>
      <c r="H1678">
        <v>0</v>
      </c>
      <c r="I1678">
        <v>0</v>
      </c>
      <c r="J1678">
        <v>0.45</v>
      </c>
      <c r="K1678">
        <v>-10</v>
      </c>
      <c r="L1678">
        <v>0</v>
      </c>
      <c r="M1678">
        <v>8.1578947368421009</v>
      </c>
      <c r="N1678">
        <v>0</v>
      </c>
      <c r="O1678" s="28" t="s">
        <v>763</v>
      </c>
      <c r="P1678"/>
      <c r="Q1678" s="28" t="s">
        <v>764</v>
      </c>
      <c r="R1678" s="28" t="s">
        <v>765</v>
      </c>
      <c r="S1678" s="1" t="str">
        <f>VLOOKUP($E1678,'Product Naming'!$A$1:$P$58,2,FALSE)</f>
        <v>Succinate</v>
      </c>
      <c r="T1678" s="1" t="str">
        <f>VLOOKUP($E1678,'Product Naming'!$A$1:$P$58,3,FALSE)</f>
        <v>Succinate</v>
      </c>
      <c r="U1678" s="1" t="str">
        <f>VLOOKUP($E1678,'Product Naming'!$A$1:$P$58,4,FALSE)</f>
        <v>iJO1366</v>
      </c>
      <c r="V1678" s="1" t="str">
        <f>VLOOKUP($E1678,'Product Naming'!$A$1:$P$58,5,FALSE)</f>
        <v>C4H4O4</v>
      </c>
      <c r="W1678" s="1">
        <f>VLOOKUP($E1678,'Product Naming'!$A$1:$P$58,6,FALSE)</f>
        <v>4</v>
      </c>
      <c r="X1678" s="1">
        <f>VLOOKUP($E1678,'Product Naming'!$A$1:$P$58,7,FALSE)</f>
        <v>4</v>
      </c>
      <c r="Y1678" s="1">
        <f>VLOOKUP($E1678,'Product Naming'!$A$1:$P$58,8,FALSE)</f>
        <v>4</v>
      </c>
      <c r="Z1678" s="1">
        <f>VLOOKUP($E1678,'Product Naming'!$A$1:$P$58,9,FALSE)</f>
        <v>0</v>
      </c>
      <c r="AA1678" s="1">
        <f>VLOOKUP($E1678,'Product Naming'!$A$1:$P$58,10,FALSE)</f>
        <v>-2</v>
      </c>
      <c r="AB1678" s="29">
        <f>VLOOKUP($E1678,'Product Naming'!$A$1:$P$58,11,FALSE)</f>
        <v>3</v>
      </c>
      <c r="AC1678" s="3">
        <f>VLOOKUP($E1678,'Product Naming'!$A$1:$P$58,12,FALSE)</f>
        <v>116.07016</v>
      </c>
      <c r="AD1678" s="1">
        <f>VLOOKUP($E1678,'Product Naming'!$A$1:$P$58,13,FALSE)</f>
        <v>235</v>
      </c>
      <c r="AE1678" s="1" t="str">
        <f>VLOOKUP($E1678,'Product Naming'!$A$1:$P$58,14,FALSE)</f>
        <v>Dicarboxylate</v>
      </c>
      <c r="AF1678" s="1" t="str">
        <f>VLOOKUP($E1678,'Product Naming'!$A$1:$P$58,15,FALSE)</f>
        <v>Oxaloacetate</v>
      </c>
      <c r="AG1678" s="30" t="str">
        <f>VLOOKUP($E1678,'Product Naming'!$A$1:$P$58,16,FALSE)</f>
        <v>Proton symporter</v>
      </c>
      <c r="AH1678" s="3" t="str">
        <f>VLOOKUP($E1678,'Product Naming'!$A$1:$Q$58,17,FALSE)</f>
        <v>succ_c</v>
      </c>
      <c r="AI1678" s="1">
        <f>VLOOKUP($E1678,'Product Parameters'!$A$2:$D$59,2,FALSE)</f>
        <v>1</v>
      </c>
      <c r="AJ1678" s="1">
        <f>VLOOKUP($E1678,'Product Parameters'!$A$2:$D$59,3,FALSE)</f>
        <v>0</v>
      </c>
      <c r="AK1678" s="1">
        <f>VLOOKUP($E1678,'Product Parameters'!$A$2:$D$59,4,FALSE)</f>
        <v>0.12</v>
      </c>
      <c r="AL1678" s="1">
        <f>VLOOKUP($E1678,'Product Parameters'!$A$2:$E$59,5,FALSE)</f>
        <v>40.65</v>
      </c>
      <c r="AM1678" s="1">
        <f>VLOOKUP($E1678,'Product Parameters'!$A$2:$F$59,6,FALSE)</f>
        <v>4</v>
      </c>
      <c r="AN1678" s="1">
        <f>VLOOKUP($C1678,'Substrate Heating'!$A$2:$C$33,3,FALSE)</f>
        <v>638.57832580000002</v>
      </c>
      <c r="AO1678" s="1">
        <f>VLOOKUP($C1678,'Substrate Heating'!$A$2:$B$33,2,FALSE)</f>
        <v>19.93</v>
      </c>
      <c r="AP1678" s="1">
        <f>VLOOKUP($C1678,'Substrate Heating'!$A$2:$M$33,13,FALSE)</f>
        <v>6</v>
      </c>
      <c r="AQ1678" s="1">
        <f>VLOOKUP($C1678,'Substrate Heating'!$A$2:$M$33,8,FALSE)</f>
        <v>1</v>
      </c>
      <c r="AR1678" s="1">
        <f t="shared" si="26"/>
        <v>0.65263157894736401</v>
      </c>
    </row>
    <row r="1679" spans="1:44" x14ac:dyDescent="0.2">
      <c r="A1679" s="8" t="s">
        <v>792</v>
      </c>
      <c r="B1679" s="18" t="s">
        <v>324</v>
      </c>
      <c r="C1679" t="s">
        <v>369</v>
      </c>
      <c r="D1679" s="23" t="s">
        <v>338</v>
      </c>
      <c r="E1679" t="s">
        <v>251</v>
      </c>
      <c r="F1679" t="s">
        <v>252</v>
      </c>
      <c r="G1679">
        <v>-10</v>
      </c>
      <c r="H1679">
        <v>0</v>
      </c>
      <c r="I1679">
        <v>0</v>
      </c>
      <c r="J1679">
        <v>0.45</v>
      </c>
      <c r="K1679">
        <v>-10</v>
      </c>
      <c r="L1679">
        <v>0</v>
      </c>
      <c r="M1679">
        <v>0</v>
      </c>
      <c r="N1679">
        <v>0</v>
      </c>
      <c r="O1679" s="28" t="s">
        <v>450</v>
      </c>
      <c r="P1679"/>
      <c r="Q1679" s="28" t="s">
        <v>451</v>
      </c>
      <c r="R1679" s="28" t="s">
        <v>615</v>
      </c>
      <c r="S1679" s="1" t="str">
        <f>VLOOKUP($E1679,'Product Naming'!$A$1:$P$58,2,FALSE)</f>
        <v>Isopropanol</v>
      </c>
      <c r="T1679" s="1" t="str">
        <f>VLOOKUP($E1679,'Product Naming'!$A$1:$P$58,3,FALSE)</f>
        <v>Isopropanol</v>
      </c>
      <c r="U1679" s="1" t="str">
        <f>VLOOKUP($E1679,'Product Naming'!$A$1:$P$58,4,FALSE)</f>
        <v>A</v>
      </c>
      <c r="V1679" s="1" t="str">
        <f>VLOOKUP($E1679,'Product Naming'!$A$1:$P$58,5,FALSE)</f>
        <v>C3H8O</v>
      </c>
      <c r="W1679" s="1">
        <f>VLOOKUP($E1679,'Product Naming'!$A$1:$P$58,6,FALSE)</f>
        <v>3</v>
      </c>
      <c r="X1679" s="1">
        <f>VLOOKUP($E1679,'Product Naming'!$A$1:$P$58,7,FALSE)</f>
        <v>8</v>
      </c>
      <c r="Y1679" s="1">
        <f>VLOOKUP($E1679,'Product Naming'!$A$1:$P$58,8,FALSE)</f>
        <v>1</v>
      </c>
      <c r="Z1679" s="1">
        <f>VLOOKUP($E1679,'Product Naming'!$A$1:$P$58,9,FALSE)</f>
        <v>0</v>
      </c>
      <c r="AA1679" s="1">
        <f>VLOOKUP($E1679,'Product Naming'!$A$1:$P$58,10,FALSE)</f>
        <v>0</v>
      </c>
      <c r="AB1679" s="29">
        <f>VLOOKUP($E1679,'Product Naming'!$A$1:$P$58,11,FALSE)</f>
        <v>6</v>
      </c>
      <c r="AC1679" s="3">
        <f>VLOOKUP($E1679,'Product Naming'!$A$1:$P$58,12,FALSE)</f>
        <v>60.093820000000001</v>
      </c>
      <c r="AD1679" s="1">
        <f>VLOOKUP($E1679,'Product Naming'!$A$1:$P$58,13,FALSE)</f>
        <v>82.5</v>
      </c>
      <c r="AE1679" s="1" t="str">
        <f>VLOOKUP($E1679,'Product Naming'!$A$1:$P$58,14,FALSE)</f>
        <v>Alcohol</v>
      </c>
      <c r="AF1679" s="1" t="str">
        <f>VLOOKUP($E1679,'Product Naming'!$A$1:$P$58,15,FALSE)</f>
        <v>Acetyl-CoA</v>
      </c>
      <c r="AG1679" s="30" t="str">
        <f>VLOOKUP($E1679,'Product Naming'!$A$1:$P$58,16,FALSE)</f>
        <v>Proton symporter</v>
      </c>
      <c r="AH1679" s="3" t="str">
        <f>VLOOKUP($E1679,'Product Naming'!$A$1:$Q$58,17,FALSE)</f>
        <v>2ppoh_c</v>
      </c>
      <c r="AI1679" s="1">
        <f>VLOOKUP($E1679,'Product Parameters'!$A$2:$D$59,2,FALSE)</f>
        <v>1</v>
      </c>
      <c r="AJ1679" s="1">
        <f>VLOOKUP($E1679,'Product Parameters'!$A$2:$D$59,3,FALSE)</f>
        <v>0</v>
      </c>
      <c r="AK1679" s="1">
        <f>VLOOKUP($E1679,'Product Parameters'!$A$2:$D$59,4,FALSE)</f>
        <v>0.12</v>
      </c>
      <c r="AL1679" s="1">
        <f>VLOOKUP($E1679,'Product Parameters'!$A$2:$E$59,5,FALSE)</f>
        <v>45</v>
      </c>
      <c r="AM1679" s="1">
        <f>VLOOKUP($E1679,'Product Parameters'!$A$2:$F$59,6,FALSE)</f>
        <v>3</v>
      </c>
      <c r="AN1679" s="1">
        <f>VLOOKUP($C1679,'Substrate Heating'!$A$2:$C$33,3,FALSE)</f>
        <v>638.57832580000002</v>
      </c>
      <c r="AO1679" s="1">
        <f>VLOOKUP($C1679,'Substrate Heating'!$A$2:$B$33,2,FALSE)</f>
        <v>19.93</v>
      </c>
      <c r="AP1679" s="1">
        <f>VLOOKUP($C1679,'Substrate Heating'!$A$2:$M$33,13,FALSE)</f>
        <v>6</v>
      </c>
      <c r="AQ1679" s="1">
        <f>VLOOKUP($C1679,'Substrate Heating'!$A$2:$M$33,8,FALSE)</f>
        <v>1</v>
      </c>
      <c r="AR1679" s="1">
        <f t="shared" si="26"/>
        <v>0.99999999999999889</v>
      </c>
    </row>
    <row r="1680" spans="1:44" x14ac:dyDescent="0.2">
      <c r="A1680" s="8" t="s">
        <v>792</v>
      </c>
      <c r="B1680" s="18" t="s">
        <v>324</v>
      </c>
      <c r="C1680" t="s">
        <v>365</v>
      </c>
      <c r="D1680" s="23" t="s">
        <v>338</v>
      </c>
      <c r="E1680" t="s">
        <v>251</v>
      </c>
      <c r="F1680" t="s">
        <v>252</v>
      </c>
      <c r="G1680">
        <v>-10</v>
      </c>
      <c r="H1680">
        <v>0</v>
      </c>
      <c r="I1680">
        <v>0</v>
      </c>
      <c r="J1680">
        <v>0.45</v>
      </c>
      <c r="K1680">
        <v>-10</v>
      </c>
      <c r="L1680">
        <v>0</v>
      </c>
      <c r="M1680">
        <v>0</v>
      </c>
      <c r="N1680">
        <v>0</v>
      </c>
      <c r="O1680" s="28" t="s">
        <v>452</v>
      </c>
      <c r="P1680"/>
      <c r="Q1680" s="28" t="s">
        <v>453</v>
      </c>
      <c r="R1680" s="28" t="s">
        <v>614</v>
      </c>
      <c r="S1680" s="1" t="str">
        <f>VLOOKUP($E1680,'Product Naming'!$A$1:$P$58,2,FALSE)</f>
        <v>Isopropanol</v>
      </c>
      <c r="T1680" s="1" t="str">
        <f>VLOOKUP($E1680,'Product Naming'!$A$1:$P$58,3,FALSE)</f>
        <v>Isopropanol</v>
      </c>
      <c r="U1680" s="1" t="str">
        <f>VLOOKUP($E1680,'Product Naming'!$A$1:$P$58,4,FALSE)</f>
        <v>A</v>
      </c>
      <c r="V1680" s="1" t="str">
        <f>VLOOKUP($E1680,'Product Naming'!$A$1:$P$58,5,FALSE)</f>
        <v>C3H8O</v>
      </c>
      <c r="W1680" s="1">
        <f>VLOOKUP($E1680,'Product Naming'!$A$1:$P$58,6,FALSE)</f>
        <v>3</v>
      </c>
      <c r="X1680" s="1">
        <f>VLOOKUP($E1680,'Product Naming'!$A$1:$P$58,7,FALSE)</f>
        <v>8</v>
      </c>
      <c r="Y1680" s="1">
        <f>VLOOKUP($E1680,'Product Naming'!$A$1:$P$58,8,FALSE)</f>
        <v>1</v>
      </c>
      <c r="Z1680" s="1">
        <f>VLOOKUP($E1680,'Product Naming'!$A$1:$P$58,9,FALSE)</f>
        <v>0</v>
      </c>
      <c r="AA1680" s="1">
        <f>VLOOKUP($E1680,'Product Naming'!$A$1:$P$58,10,FALSE)</f>
        <v>0</v>
      </c>
      <c r="AB1680" s="29">
        <f>VLOOKUP($E1680,'Product Naming'!$A$1:$P$58,11,FALSE)</f>
        <v>6</v>
      </c>
      <c r="AC1680" s="3">
        <f>VLOOKUP($E1680,'Product Naming'!$A$1:$P$58,12,FALSE)</f>
        <v>60.093820000000001</v>
      </c>
      <c r="AD1680" s="1">
        <f>VLOOKUP($E1680,'Product Naming'!$A$1:$P$58,13,FALSE)</f>
        <v>82.5</v>
      </c>
      <c r="AE1680" s="1" t="str">
        <f>VLOOKUP($E1680,'Product Naming'!$A$1:$P$58,14,FALSE)</f>
        <v>Alcohol</v>
      </c>
      <c r="AF1680" s="1" t="str">
        <f>VLOOKUP($E1680,'Product Naming'!$A$1:$P$58,15,FALSE)</f>
        <v>Acetyl-CoA</v>
      </c>
      <c r="AG1680" s="30" t="str">
        <f>VLOOKUP($E1680,'Product Naming'!$A$1:$P$58,16,FALSE)</f>
        <v>Proton symporter</v>
      </c>
      <c r="AH1680" s="3" t="str">
        <f>VLOOKUP($E1680,'Product Naming'!$A$1:$Q$58,17,FALSE)</f>
        <v>2ppoh_c</v>
      </c>
      <c r="AI1680" s="1">
        <f>VLOOKUP($E1680,'Product Parameters'!$A$2:$D$59,2,FALSE)</f>
        <v>1</v>
      </c>
      <c r="AJ1680" s="1">
        <f>VLOOKUP($E1680,'Product Parameters'!$A$2:$D$59,3,FALSE)</f>
        <v>0</v>
      </c>
      <c r="AK1680" s="1">
        <f>VLOOKUP($E1680,'Product Parameters'!$A$2:$D$59,4,FALSE)</f>
        <v>0.12</v>
      </c>
      <c r="AL1680" s="1">
        <f>VLOOKUP($E1680,'Product Parameters'!$A$2:$E$59,5,FALSE)</f>
        <v>45</v>
      </c>
      <c r="AM1680" s="1">
        <f>VLOOKUP($E1680,'Product Parameters'!$A$2:$F$59,6,FALSE)</f>
        <v>3</v>
      </c>
      <c r="AN1680" s="1">
        <f>VLOOKUP($C1680,'Substrate Heating'!$A$2:$C$33,3,FALSE)</f>
        <v>638.57832580000002</v>
      </c>
      <c r="AO1680" s="1">
        <f>VLOOKUP($C1680,'Substrate Heating'!$A$2:$B$33,2,FALSE)</f>
        <v>19.93</v>
      </c>
      <c r="AP1680" s="1">
        <f>VLOOKUP($C1680,'Substrate Heating'!$A$2:$M$33,13,FALSE)</f>
        <v>6</v>
      </c>
      <c r="AQ1680" s="1">
        <f>VLOOKUP($C1680,'Substrate Heating'!$A$2:$M$33,8,FALSE)</f>
        <v>1</v>
      </c>
      <c r="AR1680" s="1">
        <f t="shared" si="26"/>
        <v>0.99999999999999889</v>
      </c>
    </row>
    <row r="1681" spans="1:44" x14ac:dyDescent="0.2">
      <c r="A1681" s="8" t="s">
        <v>792</v>
      </c>
      <c r="B1681" s="18" t="s">
        <v>324</v>
      </c>
      <c r="C1681" t="s">
        <v>371</v>
      </c>
      <c r="D1681" s="23" t="s">
        <v>338</v>
      </c>
      <c r="E1681" t="s">
        <v>251</v>
      </c>
      <c r="F1681" t="s">
        <v>252</v>
      </c>
      <c r="G1681">
        <v>-10</v>
      </c>
      <c r="H1681">
        <v>0</v>
      </c>
      <c r="I1681">
        <v>0</v>
      </c>
      <c r="J1681">
        <v>0.45</v>
      </c>
      <c r="K1681">
        <v>-10</v>
      </c>
      <c r="L1681">
        <v>0</v>
      </c>
      <c r="M1681">
        <v>0</v>
      </c>
      <c r="N1681">
        <v>0</v>
      </c>
      <c r="O1681" s="28" t="s">
        <v>452</v>
      </c>
      <c r="P1681"/>
      <c r="Q1681" s="28" t="s">
        <v>453</v>
      </c>
      <c r="R1681" s="28" t="s">
        <v>614</v>
      </c>
      <c r="S1681" s="1" t="str">
        <f>VLOOKUP($E1681,'Product Naming'!$A$1:$P$58,2,FALSE)</f>
        <v>Isopropanol</v>
      </c>
      <c r="T1681" s="1" t="str">
        <f>VLOOKUP($E1681,'Product Naming'!$A$1:$P$58,3,FALSE)</f>
        <v>Isopropanol</v>
      </c>
      <c r="U1681" s="1" t="str">
        <f>VLOOKUP($E1681,'Product Naming'!$A$1:$P$58,4,FALSE)</f>
        <v>A</v>
      </c>
      <c r="V1681" s="1" t="str">
        <f>VLOOKUP($E1681,'Product Naming'!$A$1:$P$58,5,FALSE)</f>
        <v>C3H8O</v>
      </c>
      <c r="W1681" s="1">
        <f>VLOOKUP($E1681,'Product Naming'!$A$1:$P$58,6,FALSE)</f>
        <v>3</v>
      </c>
      <c r="X1681" s="1">
        <f>VLOOKUP($E1681,'Product Naming'!$A$1:$P$58,7,FALSE)</f>
        <v>8</v>
      </c>
      <c r="Y1681" s="1">
        <f>VLOOKUP($E1681,'Product Naming'!$A$1:$P$58,8,FALSE)</f>
        <v>1</v>
      </c>
      <c r="Z1681" s="1">
        <f>VLOOKUP($E1681,'Product Naming'!$A$1:$P$58,9,FALSE)</f>
        <v>0</v>
      </c>
      <c r="AA1681" s="1">
        <f>VLOOKUP($E1681,'Product Naming'!$A$1:$P$58,10,FALSE)</f>
        <v>0</v>
      </c>
      <c r="AB1681" s="29">
        <f>VLOOKUP($E1681,'Product Naming'!$A$1:$P$58,11,FALSE)</f>
        <v>6</v>
      </c>
      <c r="AC1681" s="3">
        <f>VLOOKUP($E1681,'Product Naming'!$A$1:$P$58,12,FALSE)</f>
        <v>60.093820000000001</v>
      </c>
      <c r="AD1681" s="1">
        <f>VLOOKUP($E1681,'Product Naming'!$A$1:$P$58,13,FALSE)</f>
        <v>82.5</v>
      </c>
      <c r="AE1681" s="1" t="str">
        <f>VLOOKUP($E1681,'Product Naming'!$A$1:$P$58,14,FALSE)</f>
        <v>Alcohol</v>
      </c>
      <c r="AF1681" s="1" t="str">
        <f>VLOOKUP($E1681,'Product Naming'!$A$1:$P$58,15,FALSE)</f>
        <v>Acetyl-CoA</v>
      </c>
      <c r="AG1681" s="30" t="str">
        <f>VLOOKUP($E1681,'Product Naming'!$A$1:$P$58,16,FALSE)</f>
        <v>Proton symporter</v>
      </c>
      <c r="AH1681" s="3" t="str">
        <f>VLOOKUP($E1681,'Product Naming'!$A$1:$Q$58,17,FALSE)</f>
        <v>2ppoh_c</v>
      </c>
      <c r="AI1681" s="1">
        <f>VLOOKUP($E1681,'Product Parameters'!$A$2:$D$59,2,FALSE)</f>
        <v>1</v>
      </c>
      <c r="AJ1681" s="1">
        <f>VLOOKUP($E1681,'Product Parameters'!$A$2:$D$59,3,FALSE)</f>
        <v>0</v>
      </c>
      <c r="AK1681" s="1">
        <f>VLOOKUP($E1681,'Product Parameters'!$A$2:$D$59,4,FALSE)</f>
        <v>0.12</v>
      </c>
      <c r="AL1681" s="1">
        <f>VLOOKUP($E1681,'Product Parameters'!$A$2:$E$59,5,FALSE)</f>
        <v>45</v>
      </c>
      <c r="AM1681" s="1">
        <f>VLOOKUP($E1681,'Product Parameters'!$A$2:$F$59,6,FALSE)</f>
        <v>3</v>
      </c>
      <c r="AN1681" s="1">
        <f>VLOOKUP($C1681,'Substrate Heating'!$A$2:$C$33,3,FALSE)</f>
        <v>638.57832580000002</v>
      </c>
      <c r="AO1681" s="1">
        <f>VLOOKUP($C1681,'Substrate Heating'!$A$2:$B$33,2,FALSE)</f>
        <v>19.93</v>
      </c>
      <c r="AP1681" s="1">
        <f>VLOOKUP($C1681,'Substrate Heating'!$A$2:$M$33,13,FALSE)</f>
        <v>6</v>
      </c>
      <c r="AQ1681" s="1">
        <f>VLOOKUP($C1681,'Substrate Heating'!$A$2:$M$33,8,FALSE)</f>
        <v>1</v>
      </c>
      <c r="AR1681" s="1">
        <f t="shared" si="26"/>
        <v>0.99999999999999889</v>
      </c>
    </row>
    <row r="1682" spans="1:44" x14ac:dyDescent="0.2">
      <c r="A1682" s="8" t="s">
        <v>792</v>
      </c>
      <c r="B1682" s="18" t="s">
        <v>324</v>
      </c>
      <c r="C1682" t="s">
        <v>372</v>
      </c>
      <c r="D1682" s="23" t="s">
        <v>338</v>
      </c>
      <c r="E1682" t="s">
        <v>251</v>
      </c>
      <c r="F1682" t="s">
        <v>252</v>
      </c>
      <c r="G1682">
        <v>-10</v>
      </c>
      <c r="H1682">
        <v>0</v>
      </c>
      <c r="I1682">
        <v>0</v>
      </c>
      <c r="J1682">
        <v>0.45</v>
      </c>
      <c r="K1682">
        <v>-10</v>
      </c>
      <c r="L1682">
        <v>0</v>
      </c>
      <c r="M1682">
        <v>0</v>
      </c>
      <c r="N1682">
        <v>0</v>
      </c>
      <c r="O1682" s="28" t="s">
        <v>391</v>
      </c>
      <c r="P1682"/>
      <c r="Q1682" s="28" t="s">
        <v>453</v>
      </c>
      <c r="R1682" s="28" t="s">
        <v>614</v>
      </c>
      <c r="S1682" s="1" t="str">
        <f>VLOOKUP($E1682,'Product Naming'!$A$1:$P$58,2,FALSE)</f>
        <v>Isopropanol</v>
      </c>
      <c r="T1682" s="1" t="str">
        <f>VLOOKUP($E1682,'Product Naming'!$A$1:$P$58,3,FALSE)</f>
        <v>Isopropanol</v>
      </c>
      <c r="U1682" s="1" t="str">
        <f>VLOOKUP($E1682,'Product Naming'!$A$1:$P$58,4,FALSE)</f>
        <v>A</v>
      </c>
      <c r="V1682" s="1" t="str">
        <f>VLOOKUP($E1682,'Product Naming'!$A$1:$P$58,5,FALSE)</f>
        <v>C3H8O</v>
      </c>
      <c r="W1682" s="1">
        <f>VLOOKUP($E1682,'Product Naming'!$A$1:$P$58,6,FALSE)</f>
        <v>3</v>
      </c>
      <c r="X1682" s="1">
        <f>VLOOKUP($E1682,'Product Naming'!$A$1:$P$58,7,FALSE)</f>
        <v>8</v>
      </c>
      <c r="Y1682" s="1">
        <f>VLOOKUP($E1682,'Product Naming'!$A$1:$P$58,8,FALSE)</f>
        <v>1</v>
      </c>
      <c r="Z1682" s="1">
        <f>VLOOKUP($E1682,'Product Naming'!$A$1:$P$58,9,FALSE)</f>
        <v>0</v>
      </c>
      <c r="AA1682" s="1">
        <f>VLOOKUP($E1682,'Product Naming'!$A$1:$P$58,10,FALSE)</f>
        <v>0</v>
      </c>
      <c r="AB1682" s="29">
        <f>VLOOKUP($E1682,'Product Naming'!$A$1:$P$58,11,FALSE)</f>
        <v>6</v>
      </c>
      <c r="AC1682" s="3">
        <f>VLOOKUP($E1682,'Product Naming'!$A$1:$P$58,12,FALSE)</f>
        <v>60.093820000000001</v>
      </c>
      <c r="AD1682" s="1">
        <f>VLOOKUP($E1682,'Product Naming'!$A$1:$P$58,13,FALSE)</f>
        <v>82.5</v>
      </c>
      <c r="AE1682" s="1" t="str">
        <f>VLOOKUP($E1682,'Product Naming'!$A$1:$P$58,14,FALSE)</f>
        <v>Alcohol</v>
      </c>
      <c r="AF1682" s="1" t="str">
        <f>VLOOKUP($E1682,'Product Naming'!$A$1:$P$58,15,FALSE)</f>
        <v>Acetyl-CoA</v>
      </c>
      <c r="AG1682" s="30" t="str">
        <f>VLOOKUP($E1682,'Product Naming'!$A$1:$P$58,16,FALSE)</f>
        <v>Proton symporter</v>
      </c>
      <c r="AH1682" s="3" t="str">
        <f>VLOOKUP($E1682,'Product Naming'!$A$1:$Q$58,17,FALSE)</f>
        <v>2ppoh_c</v>
      </c>
      <c r="AI1682" s="1">
        <f>VLOOKUP($E1682,'Product Parameters'!$A$2:$D$59,2,FALSE)</f>
        <v>1</v>
      </c>
      <c r="AJ1682" s="1">
        <f>VLOOKUP($E1682,'Product Parameters'!$A$2:$D$59,3,FALSE)</f>
        <v>0</v>
      </c>
      <c r="AK1682" s="1">
        <f>VLOOKUP($E1682,'Product Parameters'!$A$2:$D$59,4,FALSE)</f>
        <v>0.12</v>
      </c>
      <c r="AL1682" s="1">
        <f>VLOOKUP($E1682,'Product Parameters'!$A$2:$E$59,5,FALSE)</f>
        <v>45</v>
      </c>
      <c r="AM1682" s="1">
        <f>VLOOKUP($E1682,'Product Parameters'!$A$2:$F$59,6,FALSE)</f>
        <v>3</v>
      </c>
      <c r="AN1682" s="1">
        <f>VLOOKUP($C1682,'Substrate Heating'!$A$2:$C$33,3,FALSE)</f>
        <v>638.57832580000002</v>
      </c>
      <c r="AO1682" s="1">
        <f>VLOOKUP($C1682,'Substrate Heating'!$A$2:$B$33,2,FALSE)</f>
        <v>19.93</v>
      </c>
      <c r="AP1682" s="1">
        <f>VLOOKUP($C1682,'Substrate Heating'!$A$2:$M$33,13,FALSE)</f>
        <v>6</v>
      </c>
      <c r="AQ1682" s="1">
        <f>VLOOKUP($C1682,'Substrate Heating'!$A$2:$M$33,8,FALSE)</f>
        <v>1</v>
      </c>
      <c r="AR1682" s="1">
        <f t="shared" si="26"/>
        <v>0.99999999999999889</v>
      </c>
    </row>
    <row r="1683" spans="1:44" x14ac:dyDescent="0.2">
      <c r="A1683" s="8" t="s">
        <v>792</v>
      </c>
      <c r="B1683" s="18" t="s">
        <v>324</v>
      </c>
      <c r="C1683" t="s">
        <v>372</v>
      </c>
      <c r="D1683" s="23" t="s">
        <v>338</v>
      </c>
      <c r="E1683" t="s">
        <v>186</v>
      </c>
      <c r="F1683" t="s">
        <v>187</v>
      </c>
      <c r="G1683">
        <v>-10</v>
      </c>
      <c r="H1683">
        <v>0</v>
      </c>
      <c r="I1683">
        <v>0</v>
      </c>
      <c r="J1683">
        <v>0.45</v>
      </c>
      <c r="K1683">
        <v>-10</v>
      </c>
      <c r="L1683">
        <v>0</v>
      </c>
      <c r="M1683">
        <v>9.28000000000001</v>
      </c>
      <c r="N1683">
        <v>0</v>
      </c>
      <c r="O1683" s="28" t="s">
        <v>789</v>
      </c>
      <c r="P1683"/>
      <c r="Q1683" s="28" t="s">
        <v>790</v>
      </c>
      <c r="R1683" s="28" t="s">
        <v>791</v>
      </c>
      <c r="S1683" s="1" t="str">
        <f>VLOOKUP($E1683,'Product Naming'!$A$1:$P$58,2,FALSE)</f>
        <v>Citrate</v>
      </c>
      <c r="T1683" s="1" t="str">
        <f>VLOOKUP($E1683,'Product Naming'!$A$1:$P$58,3,FALSE)</f>
        <v>Citrate</v>
      </c>
      <c r="U1683" s="1" t="str">
        <f>VLOOKUP($E1683,'Product Naming'!$A$1:$P$58,4,FALSE)</f>
        <v>iJO1366</v>
      </c>
      <c r="V1683" s="1" t="str">
        <f>VLOOKUP($E1683,'Product Naming'!$A$1:$P$58,5,FALSE)</f>
        <v>C6H5O7</v>
      </c>
      <c r="W1683" s="1">
        <f>VLOOKUP($E1683,'Product Naming'!$A$1:$P$58,6,FALSE)</f>
        <v>6</v>
      </c>
      <c r="X1683" s="1">
        <f>VLOOKUP($E1683,'Product Naming'!$A$1:$P$58,7,FALSE)</f>
        <v>5</v>
      </c>
      <c r="Y1683" s="1">
        <f>VLOOKUP($E1683,'Product Naming'!$A$1:$P$58,8,FALSE)</f>
        <v>7</v>
      </c>
      <c r="Z1683" s="1">
        <f>VLOOKUP($E1683,'Product Naming'!$A$1:$P$58,9,FALSE)</f>
        <v>0</v>
      </c>
      <c r="AA1683" s="1">
        <f>VLOOKUP($E1683,'Product Naming'!$A$1:$P$58,10,FALSE)</f>
        <v>-3</v>
      </c>
      <c r="AB1683" s="29">
        <f>VLOOKUP($E1683,'Product Naming'!$A$1:$P$58,11,FALSE)</f>
        <v>2.5</v>
      </c>
      <c r="AC1683" s="3">
        <f>VLOOKUP($E1683,'Product Naming'!$A$1:$P$58,12,FALSE)</f>
        <v>189.09640000000002</v>
      </c>
      <c r="AD1683" s="1" t="str">
        <f>VLOOKUP($E1683,'Product Naming'!$A$1:$P$58,13,FALSE)</f>
        <v>NA</v>
      </c>
      <c r="AE1683" s="1" t="str">
        <f>VLOOKUP($E1683,'Product Naming'!$A$1:$P$58,14,FALSE)</f>
        <v>Tricarboxylate + Alcohol</v>
      </c>
      <c r="AF1683" s="1" t="str">
        <f>VLOOKUP($E1683,'Product Naming'!$A$1:$P$58,15,FALSE)</f>
        <v>Acetyl-CoA</v>
      </c>
      <c r="AG1683" s="30" t="str">
        <f>VLOOKUP($E1683,'Product Naming'!$A$1:$P$58,16,FALSE)</f>
        <v>Proton antiport</v>
      </c>
      <c r="AH1683" s="3" t="str">
        <f>VLOOKUP($E1683,'Product Naming'!$A$1:$Q$58,17,FALSE)</f>
        <v>cit_c</v>
      </c>
      <c r="AI1683" s="1">
        <f>VLOOKUP($E1683,'Product Parameters'!$A$2:$D$59,2,FALSE)</f>
        <v>1</v>
      </c>
      <c r="AJ1683" s="1">
        <f>VLOOKUP($E1683,'Product Parameters'!$A$2:$D$59,3,FALSE)</f>
        <v>0</v>
      </c>
      <c r="AK1683" s="1">
        <f>VLOOKUP($E1683,'Product Parameters'!$A$2:$D$59,4,FALSE)</f>
        <v>0.12</v>
      </c>
      <c r="AL1683" s="1">
        <f>VLOOKUP($E1683,'Product Parameters'!$A$2:$E$59,5,FALSE)</f>
        <v>40.65</v>
      </c>
      <c r="AM1683" s="1">
        <f>VLOOKUP($E1683,'Product Parameters'!$A$2:$F$59,6,FALSE)</f>
        <v>6</v>
      </c>
      <c r="AN1683" s="1">
        <f>VLOOKUP($C1683,'Substrate Heating'!$A$2:$C$33,3,FALSE)</f>
        <v>638.57832580000002</v>
      </c>
      <c r="AO1683" s="1">
        <f>VLOOKUP($C1683,'Substrate Heating'!$A$2:$B$33,2,FALSE)</f>
        <v>19.93</v>
      </c>
      <c r="AP1683" s="1">
        <f>VLOOKUP($C1683,'Substrate Heating'!$A$2:$M$33,13,FALSE)</f>
        <v>6</v>
      </c>
      <c r="AQ1683" s="1">
        <f>VLOOKUP($C1683,'Substrate Heating'!$A$2:$M$33,8,FALSE)</f>
        <v>1</v>
      </c>
      <c r="AR1683" s="1">
        <f t="shared" si="26"/>
        <v>0.61866666666666004</v>
      </c>
    </row>
    <row r="1684" spans="1:44" x14ac:dyDescent="0.2">
      <c r="A1684" s="8" t="s">
        <v>792</v>
      </c>
      <c r="B1684" s="18" t="s">
        <v>324</v>
      </c>
      <c r="C1684" t="s">
        <v>371</v>
      </c>
      <c r="D1684" s="23" t="s">
        <v>338</v>
      </c>
      <c r="E1684" t="s">
        <v>240</v>
      </c>
      <c r="F1684" t="s">
        <v>241</v>
      </c>
      <c r="G1684">
        <v>-10</v>
      </c>
      <c r="H1684">
        <v>0</v>
      </c>
      <c r="I1684">
        <v>0</v>
      </c>
      <c r="J1684">
        <v>0.45</v>
      </c>
      <c r="K1684">
        <v>-10</v>
      </c>
      <c r="L1684">
        <v>0</v>
      </c>
      <c r="M1684">
        <v>0</v>
      </c>
      <c r="N1684">
        <v>0</v>
      </c>
      <c r="O1684">
        <v>2.5</v>
      </c>
      <c r="P1684"/>
      <c r="Q1684">
        <v>0.25</v>
      </c>
      <c r="R1684" s="28" t="s">
        <v>602</v>
      </c>
      <c r="S1684" s="1" t="str">
        <f>VLOOKUP($E1684,'Product Naming'!$A$1:$P$58,2,FALSE)</f>
        <v>Isobutanol</v>
      </c>
      <c r="T1684" s="1" t="str">
        <f>VLOOKUP($E1684,'Product Naming'!$A$1:$P$58,3,FALSE)</f>
        <v>Isobutanol</v>
      </c>
      <c r="U1684" s="1" t="str">
        <f>VLOOKUP($E1684,'Product Naming'!$A$1:$P$58,4,FALSE)</f>
        <v>E</v>
      </c>
      <c r="V1684" s="1" t="str">
        <f>VLOOKUP($E1684,'Product Naming'!$A$1:$P$58,5,FALSE)</f>
        <v>C5H10O</v>
      </c>
      <c r="W1684" s="1">
        <f>VLOOKUP($E1684,'Product Naming'!$A$1:$P$58,6,FALSE)</f>
        <v>5</v>
      </c>
      <c r="X1684" s="1">
        <f>VLOOKUP($E1684,'Product Naming'!$A$1:$P$58,7,FALSE)</f>
        <v>10</v>
      </c>
      <c r="Y1684" s="1">
        <f>VLOOKUP($E1684,'Product Naming'!$A$1:$P$58,8,FALSE)</f>
        <v>1</v>
      </c>
      <c r="Z1684" s="1">
        <f>VLOOKUP($E1684,'Product Naming'!$A$1:$P$58,9,FALSE)</f>
        <v>0</v>
      </c>
      <c r="AA1684" s="1">
        <f>VLOOKUP($E1684,'Product Naming'!$A$1:$P$58,10,FALSE)</f>
        <v>0</v>
      </c>
      <c r="AB1684" s="29">
        <f>VLOOKUP($E1684,'Product Naming'!$A$1:$P$58,11,FALSE)</f>
        <v>5.6</v>
      </c>
      <c r="AC1684" s="3">
        <f>VLOOKUP($E1684,'Product Naming'!$A$1:$P$58,12,FALSE)</f>
        <v>86.130899999999997</v>
      </c>
      <c r="AD1684" s="1">
        <f>VLOOKUP($E1684,'Product Naming'!$A$1:$P$58,13,FALSE)</f>
        <v>108</v>
      </c>
      <c r="AE1684" s="1" t="str">
        <f>VLOOKUP($E1684,'Product Naming'!$A$1:$P$58,14,FALSE)</f>
        <v>Alcohol</v>
      </c>
      <c r="AF1684" s="1" t="str">
        <f>VLOOKUP($E1684,'Product Naming'!$A$1:$P$58,15,FALSE)</f>
        <v>Pyruvate</v>
      </c>
      <c r="AG1684" s="30" t="str">
        <f>VLOOKUP($E1684,'Product Naming'!$A$1:$P$58,16,FALSE)</f>
        <v>Proton symporter</v>
      </c>
      <c r="AH1684" s="3" t="str">
        <f>VLOOKUP($E1684,'Product Naming'!$A$1:$Q$58,17,FALSE)</f>
        <v>ibutoh_c</v>
      </c>
      <c r="AI1684" s="1">
        <f>VLOOKUP($E1684,'Product Parameters'!$A$2:$D$59,2,FALSE)</f>
        <v>1</v>
      </c>
      <c r="AJ1684" s="1">
        <f>VLOOKUP($E1684,'Product Parameters'!$A$2:$D$59,3,FALSE)</f>
        <v>0</v>
      </c>
      <c r="AK1684" s="1">
        <f>VLOOKUP($E1684,'Product Parameters'!$A$2:$D$59,4,FALSE)</f>
        <v>0.12</v>
      </c>
      <c r="AL1684" s="1">
        <f>VLOOKUP($E1684,'Product Parameters'!$A$2:$E$59,5,FALSE)</f>
        <v>51</v>
      </c>
      <c r="AM1684" s="1">
        <f>VLOOKUP($E1684,'Product Parameters'!$A$2:$F$59,6,FALSE)</f>
        <v>5</v>
      </c>
      <c r="AN1684" s="1">
        <f>VLOOKUP($C1684,'Substrate Heating'!$A$2:$C$33,3,FALSE)</f>
        <v>638.57832580000002</v>
      </c>
      <c r="AO1684" s="1">
        <f>VLOOKUP($C1684,'Substrate Heating'!$A$2:$B$33,2,FALSE)</f>
        <v>19.93</v>
      </c>
      <c r="AP1684" s="1">
        <f>VLOOKUP($C1684,'Substrate Heating'!$A$2:$M$33,13,FALSE)</f>
        <v>6</v>
      </c>
      <c r="AQ1684" s="1">
        <f>VLOOKUP($C1684,'Substrate Heating'!$A$2:$M$33,8,FALSE)</f>
        <v>1</v>
      </c>
      <c r="AR1684" s="1">
        <f t="shared" si="26"/>
        <v>1.25</v>
      </c>
    </row>
    <row r="1685" spans="1:44" x14ac:dyDescent="0.2">
      <c r="A1685" s="8" t="s">
        <v>792</v>
      </c>
      <c r="B1685" s="18" t="s">
        <v>324</v>
      </c>
      <c r="C1685" t="s">
        <v>372</v>
      </c>
      <c r="D1685" s="23" t="s">
        <v>338</v>
      </c>
      <c r="E1685" t="s">
        <v>240</v>
      </c>
      <c r="F1685" t="s">
        <v>241</v>
      </c>
      <c r="G1685">
        <v>-10</v>
      </c>
      <c r="H1685">
        <v>0</v>
      </c>
      <c r="I1685">
        <v>0</v>
      </c>
      <c r="J1685">
        <v>0.45</v>
      </c>
      <c r="K1685">
        <v>-10</v>
      </c>
      <c r="L1685">
        <v>0</v>
      </c>
      <c r="M1685">
        <v>0</v>
      </c>
      <c r="N1685">
        <v>0</v>
      </c>
      <c r="O1685">
        <v>2.5</v>
      </c>
      <c r="P1685"/>
      <c r="Q1685">
        <v>0.25</v>
      </c>
      <c r="R1685" s="28" t="s">
        <v>602</v>
      </c>
      <c r="S1685" s="1" t="str">
        <f>VLOOKUP($E1685,'Product Naming'!$A$1:$P$58,2,FALSE)</f>
        <v>Isobutanol</v>
      </c>
      <c r="T1685" s="1" t="str">
        <f>VLOOKUP($E1685,'Product Naming'!$A$1:$P$58,3,FALSE)</f>
        <v>Isobutanol</v>
      </c>
      <c r="U1685" s="1" t="str">
        <f>VLOOKUP($E1685,'Product Naming'!$A$1:$P$58,4,FALSE)</f>
        <v>E</v>
      </c>
      <c r="V1685" s="1" t="str">
        <f>VLOOKUP($E1685,'Product Naming'!$A$1:$P$58,5,FALSE)</f>
        <v>C5H10O</v>
      </c>
      <c r="W1685" s="1">
        <f>VLOOKUP($E1685,'Product Naming'!$A$1:$P$58,6,FALSE)</f>
        <v>5</v>
      </c>
      <c r="X1685" s="1">
        <f>VLOOKUP($E1685,'Product Naming'!$A$1:$P$58,7,FALSE)</f>
        <v>10</v>
      </c>
      <c r="Y1685" s="1">
        <f>VLOOKUP($E1685,'Product Naming'!$A$1:$P$58,8,FALSE)</f>
        <v>1</v>
      </c>
      <c r="Z1685" s="1">
        <f>VLOOKUP($E1685,'Product Naming'!$A$1:$P$58,9,FALSE)</f>
        <v>0</v>
      </c>
      <c r="AA1685" s="1">
        <f>VLOOKUP($E1685,'Product Naming'!$A$1:$P$58,10,FALSE)</f>
        <v>0</v>
      </c>
      <c r="AB1685" s="29">
        <f>VLOOKUP($E1685,'Product Naming'!$A$1:$P$58,11,FALSE)</f>
        <v>5.6</v>
      </c>
      <c r="AC1685" s="3">
        <f>VLOOKUP($E1685,'Product Naming'!$A$1:$P$58,12,FALSE)</f>
        <v>86.130899999999997</v>
      </c>
      <c r="AD1685" s="1">
        <f>VLOOKUP($E1685,'Product Naming'!$A$1:$P$58,13,FALSE)</f>
        <v>108</v>
      </c>
      <c r="AE1685" s="1" t="str">
        <f>VLOOKUP($E1685,'Product Naming'!$A$1:$P$58,14,FALSE)</f>
        <v>Alcohol</v>
      </c>
      <c r="AF1685" s="1" t="str">
        <f>VLOOKUP($E1685,'Product Naming'!$A$1:$P$58,15,FALSE)</f>
        <v>Pyruvate</v>
      </c>
      <c r="AG1685" s="30" t="str">
        <f>VLOOKUP($E1685,'Product Naming'!$A$1:$P$58,16,FALSE)</f>
        <v>Proton symporter</v>
      </c>
      <c r="AH1685" s="3" t="str">
        <f>VLOOKUP($E1685,'Product Naming'!$A$1:$Q$58,17,FALSE)</f>
        <v>ibutoh_c</v>
      </c>
      <c r="AI1685" s="1">
        <f>VLOOKUP($E1685,'Product Parameters'!$A$2:$D$59,2,FALSE)</f>
        <v>1</v>
      </c>
      <c r="AJ1685" s="1">
        <f>VLOOKUP($E1685,'Product Parameters'!$A$2:$D$59,3,FALSE)</f>
        <v>0</v>
      </c>
      <c r="AK1685" s="1">
        <f>VLOOKUP($E1685,'Product Parameters'!$A$2:$D$59,4,FALSE)</f>
        <v>0.12</v>
      </c>
      <c r="AL1685" s="1">
        <f>VLOOKUP($E1685,'Product Parameters'!$A$2:$E$59,5,FALSE)</f>
        <v>51</v>
      </c>
      <c r="AM1685" s="1">
        <f>VLOOKUP($E1685,'Product Parameters'!$A$2:$F$59,6,FALSE)</f>
        <v>5</v>
      </c>
      <c r="AN1685" s="1">
        <f>VLOOKUP($C1685,'Substrate Heating'!$A$2:$C$33,3,FALSE)</f>
        <v>638.57832580000002</v>
      </c>
      <c r="AO1685" s="1">
        <f>VLOOKUP($C1685,'Substrate Heating'!$A$2:$B$33,2,FALSE)</f>
        <v>19.93</v>
      </c>
      <c r="AP1685" s="1">
        <f>VLOOKUP($C1685,'Substrate Heating'!$A$2:$M$33,13,FALSE)</f>
        <v>6</v>
      </c>
      <c r="AQ1685" s="1">
        <f>VLOOKUP($C1685,'Substrate Heating'!$A$2:$M$33,8,FALSE)</f>
        <v>1</v>
      </c>
      <c r="AR1685" s="1">
        <f t="shared" si="26"/>
        <v>1.25</v>
      </c>
    </row>
    <row r="1686" spans="1:44" x14ac:dyDescent="0.2">
      <c r="A1686" s="8" t="s">
        <v>792</v>
      </c>
      <c r="B1686" s="18" t="s">
        <v>324</v>
      </c>
      <c r="C1686" t="s">
        <v>372</v>
      </c>
      <c r="D1686" s="23" t="s">
        <v>338</v>
      </c>
      <c r="E1686" t="s">
        <v>269</v>
      </c>
      <c r="F1686" t="s">
        <v>270</v>
      </c>
      <c r="G1686">
        <v>-10</v>
      </c>
      <c r="H1686">
        <v>0</v>
      </c>
      <c r="I1686">
        <v>0</v>
      </c>
      <c r="J1686">
        <v>0.45</v>
      </c>
      <c r="K1686">
        <v>-10</v>
      </c>
      <c r="L1686">
        <v>0</v>
      </c>
      <c r="M1686" s="28" t="s">
        <v>752</v>
      </c>
      <c r="N1686">
        <v>0</v>
      </c>
      <c r="O1686" s="28" t="s">
        <v>753</v>
      </c>
      <c r="P1686"/>
      <c r="Q1686" s="28" t="s">
        <v>754</v>
      </c>
      <c r="R1686" s="28" t="s">
        <v>755</v>
      </c>
      <c r="S1686" s="1" t="str">
        <f>VLOOKUP($E1686,'Product Naming'!$A$1:$P$58,2,FALSE)</f>
        <v>Malate_L</v>
      </c>
      <c r="T1686" s="1" t="str">
        <f>VLOOKUP($E1686,'Product Naming'!$A$1:$P$58,3,FALSE)</f>
        <v>L-Malate</v>
      </c>
      <c r="U1686" s="1" t="str">
        <f>VLOOKUP($E1686,'Product Naming'!$A$1:$P$58,4,FALSE)</f>
        <v>iJO1366</v>
      </c>
      <c r="V1686" s="1" t="str">
        <f>VLOOKUP($E1686,'Product Naming'!$A$1:$P$58,5,FALSE)</f>
        <v>C4H4O5</v>
      </c>
      <c r="W1686" s="1">
        <f>VLOOKUP($E1686,'Product Naming'!$A$1:$P$58,6,FALSE)</f>
        <v>4</v>
      </c>
      <c r="X1686" s="1">
        <f>VLOOKUP($E1686,'Product Naming'!$A$1:$P$58,7,FALSE)</f>
        <v>4</v>
      </c>
      <c r="Y1686" s="1">
        <f>VLOOKUP($E1686,'Product Naming'!$A$1:$P$58,8,FALSE)</f>
        <v>5</v>
      </c>
      <c r="Z1686" s="1">
        <f>VLOOKUP($E1686,'Product Naming'!$A$1:$P$58,9,FALSE)</f>
        <v>0</v>
      </c>
      <c r="AA1686" s="1">
        <f>VLOOKUP($E1686,'Product Naming'!$A$1:$P$58,10,FALSE)</f>
        <v>-2</v>
      </c>
      <c r="AB1686" s="29">
        <f>VLOOKUP($E1686,'Product Naming'!$A$1:$P$58,11,FALSE)</f>
        <v>2.5</v>
      </c>
      <c r="AC1686" s="3">
        <f>VLOOKUP($E1686,'Product Naming'!$A$1:$P$58,12,FALSE)</f>
        <v>132.06916000000001</v>
      </c>
      <c r="AD1686" s="1" t="str">
        <f>VLOOKUP($E1686,'Product Naming'!$A$1:$P$58,13,FALSE)</f>
        <v>NA</v>
      </c>
      <c r="AE1686" s="1" t="str">
        <f>VLOOKUP($E1686,'Product Naming'!$A$1:$P$58,14,FALSE)</f>
        <v>Dicarboxylate</v>
      </c>
      <c r="AF1686" s="1" t="str">
        <f>VLOOKUP($E1686,'Product Naming'!$A$1:$P$58,15,FALSE)</f>
        <v>Oxaloacetate</v>
      </c>
      <c r="AG1686" s="30" t="str">
        <f>VLOOKUP($E1686,'Product Naming'!$A$1:$P$58,16,FALSE)</f>
        <v>Proton symporter</v>
      </c>
      <c r="AH1686" s="3" t="str">
        <f>VLOOKUP($E1686,'Product Naming'!$A$1:$Q$58,17,FALSE)</f>
        <v>mal__L_e</v>
      </c>
      <c r="AI1686" s="1">
        <f>VLOOKUP($E1686,'Product Parameters'!$A$2:$D$59,2,FALSE)</f>
        <v>1</v>
      </c>
      <c r="AJ1686" s="1">
        <f>VLOOKUP($E1686,'Product Parameters'!$A$2:$D$59,3,FALSE)</f>
        <v>0</v>
      </c>
      <c r="AK1686" s="1">
        <f>VLOOKUP($E1686,'Product Parameters'!$A$2:$D$59,4,FALSE)</f>
        <v>0.12</v>
      </c>
      <c r="AL1686" s="1">
        <f>VLOOKUP($E1686,'Product Parameters'!$A$2:$E$59,5,FALSE)</f>
        <v>40.65</v>
      </c>
      <c r="AM1686" s="1">
        <f>VLOOKUP($E1686,'Product Parameters'!$A$2:$F$59,6,FALSE)</f>
        <v>4</v>
      </c>
      <c r="AN1686" s="1">
        <f>VLOOKUP($C1686,'Substrate Heating'!$A$2:$C$33,3,FALSE)</f>
        <v>638.57832580000002</v>
      </c>
      <c r="AO1686" s="1">
        <f>VLOOKUP($C1686,'Substrate Heating'!$A$2:$B$33,2,FALSE)</f>
        <v>19.93</v>
      </c>
      <c r="AP1686" s="1">
        <f>VLOOKUP($C1686,'Substrate Heating'!$A$2:$M$33,13,FALSE)</f>
        <v>6</v>
      </c>
      <c r="AQ1686" s="1">
        <f>VLOOKUP($C1686,'Substrate Heating'!$A$2:$M$33,8,FALSE)</f>
        <v>1</v>
      </c>
      <c r="AR1686" s="1">
        <f t="shared" si="26"/>
        <v>0.61866666666665204</v>
      </c>
    </row>
    <row r="1687" spans="1:44" x14ac:dyDescent="0.2">
      <c r="A1687" s="8" t="s">
        <v>792</v>
      </c>
      <c r="B1687" s="18" t="s">
        <v>324</v>
      </c>
      <c r="C1687" t="s">
        <v>372</v>
      </c>
      <c r="D1687" s="23" t="s">
        <v>338</v>
      </c>
      <c r="E1687" t="s">
        <v>318</v>
      </c>
      <c r="F1687" t="s">
        <v>319</v>
      </c>
      <c r="G1687">
        <v>-10</v>
      </c>
      <c r="H1687">
        <v>0</v>
      </c>
      <c r="I1687">
        <v>0</v>
      </c>
      <c r="J1687">
        <v>0.45</v>
      </c>
      <c r="K1687">
        <v>-10</v>
      </c>
      <c r="L1687">
        <v>0</v>
      </c>
      <c r="M1687" s="28" t="s">
        <v>766</v>
      </c>
      <c r="N1687">
        <v>0</v>
      </c>
      <c r="O1687" s="28" t="s">
        <v>767</v>
      </c>
      <c r="P1687"/>
      <c r="Q1687" s="28" t="s">
        <v>768</v>
      </c>
      <c r="R1687" s="28" t="s">
        <v>769</v>
      </c>
      <c r="S1687" s="1" t="str">
        <f>VLOOKUP($E1687,'Product Naming'!$A$1:$P$58,2,FALSE)</f>
        <v>Succinate</v>
      </c>
      <c r="T1687" s="1" t="str">
        <f>VLOOKUP($E1687,'Product Naming'!$A$1:$P$58,3,FALSE)</f>
        <v>Succinate</v>
      </c>
      <c r="U1687" s="1" t="str">
        <f>VLOOKUP($E1687,'Product Naming'!$A$1:$P$58,4,FALSE)</f>
        <v>iJO1366</v>
      </c>
      <c r="V1687" s="1" t="str">
        <f>VLOOKUP($E1687,'Product Naming'!$A$1:$P$58,5,FALSE)</f>
        <v>C4H4O4</v>
      </c>
      <c r="W1687" s="1">
        <f>VLOOKUP($E1687,'Product Naming'!$A$1:$P$58,6,FALSE)</f>
        <v>4</v>
      </c>
      <c r="X1687" s="1">
        <f>VLOOKUP($E1687,'Product Naming'!$A$1:$P$58,7,FALSE)</f>
        <v>4</v>
      </c>
      <c r="Y1687" s="1">
        <f>VLOOKUP($E1687,'Product Naming'!$A$1:$P$58,8,FALSE)</f>
        <v>4</v>
      </c>
      <c r="Z1687" s="1">
        <f>VLOOKUP($E1687,'Product Naming'!$A$1:$P$58,9,FALSE)</f>
        <v>0</v>
      </c>
      <c r="AA1687" s="1">
        <f>VLOOKUP($E1687,'Product Naming'!$A$1:$P$58,10,FALSE)</f>
        <v>-2</v>
      </c>
      <c r="AB1687" s="29">
        <f>VLOOKUP($E1687,'Product Naming'!$A$1:$P$58,11,FALSE)</f>
        <v>3</v>
      </c>
      <c r="AC1687" s="3">
        <f>VLOOKUP($E1687,'Product Naming'!$A$1:$P$58,12,FALSE)</f>
        <v>116.07016</v>
      </c>
      <c r="AD1687" s="1">
        <f>VLOOKUP($E1687,'Product Naming'!$A$1:$P$58,13,FALSE)</f>
        <v>235</v>
      </c>
      <c r="AE1687" s="1" t="str">
        <f>VLOOKUP($E1687,'Product Naming'!$A$1:$P$58,14,FALSE)</f>
        <v>Dicarboxylate</v>
      </c>
      <c r="AF1687" s="1" t="str">
        <f>VLOOKUP($E1687,'Product Naming'!$A$1:$P$58,15,FALSE)</f>
        <v>Oxaloacetate</v>
      </c>
      <c r="AG1687" s="30" t="str">
        <f>VLOOKUP($E1687,'Product Naming'!$A$1:$P$58,16,FALSE)</f>
        <v>Proton symporter</v>
      </c>
      <c r="AH1687" s="3" t="str">
        <f>VLOOKUP($E1687,'Product Naming'!$A$1:$Q$58,17,FALSE)</f>
        <v>succ_c</v>
      </c>
      <c r="AI1687" s="1">
        <f>VLOOKUP($E1687,'Product Parameters'!$A$2:$D$59,2,FALSE)</f>
        <v>1</v>
      </c>
      <c r="AJ1687" s="1">
        <f>VLOOKUP($E1687,'Product Parameters'!$A$2:$D$59,3,FALSE)</f>
        <v>0</v>
      </c>
      <c r="AK1687" s="1">
        <f>VLOOKUP($E1687,'Product Parameters'!$A$2:$D$59,4,FALSE)</f>
        <v>0.12</v>
      </c>
      <c r="AL1687" s="1">
        <f>VLOOKUP($E1687,'Product Parameters'!$A$2:$E$59,5,FALSE)</f>
        <v>40.65</v>
      </c>
      <c r="AM1687" s="1">
        <f>VLOOKUP($E1687,'Product Parameters'!$A$2:$F$59,6,FALSE)</f>
        <v>4</v>
      </c>
      <c r="AN1687" s="1">
        <f>VLOOKUP($C1687,'Substrate Heating'!$A$2:$C$33,3,FALSE)</f>
        <v>638.57832580000002</v>
      </c>
      <c r="AO1687" s="1">
        <f>VLOOKUP($C1687,'Substrate Heating'!$A$2:$B$33,2,FALSE)</f>
        <v>19.93</v>
      </c>
      <c r="AP1687" s="1">
        <f>VLOOKUP($C1687,'Substrate Heating'!$A$2:$M$33,13,FALSE)</f>
        <v>6</v>
      </c>
      <c r="AQ1687" s="1">
        <f>VLOOKUP($C1687,'Substrate Heating'!$A$2:$M$33,8,FALSE)</f>
        <v>1</v>
      </c>
      <c r="AR1687" s="1">
        <f t="shared" si="26"/>
        <v>0.71384615384615202</v>
      </c>
    </row>
    <row r="1688" spans="1:44" x14ac:dyDescent="0.2">
      <c r="A1688" s="8" t="s">
        <v>792</v>
      </c>
      <c r="B1688" s="18" t="s">
        <v>324</v>
      </c>
      <c r="C1688" t="s">
        <v>369</v>
      </c>
      <c r="D1688" s="23" t="s">
        <v>338</v>
      </c>
      <c r="E1688" t="s">
        <v>171</v>
      </c>
      <c r="F1688" t="s">
        <v>172</v>
      </c>
      <c r="G1688">
        <v>-10</v>
      </c>
      <c r="H1688">
        <v>0</v>
      </c>
      <c r="I1688">
        <v>0</v>
      </c>
      <c r="J1688">
        <v>0.45</v>
      </c>
      <c r="K1688">
        <v>-10</v>
      </c>
      <c r="L1688">
        <v>0</v>
      </c>
      <c r="M1688" s="28" t="s">
        <v>516</v>
      </c>
      <c r="N1688">
        <v>0</v>
      </c>
      <c r="O1688" s="28" t="s">
        <v>517</v>
      </c>
      <c r="P1688"/>
      <c r="Q1688" s="28" t="s">
        <v>518</v>
      </c>
      <c r="R1688" s="28" t="s">
        <v>519</v>
      </c>
      <c r="S1688" s="1" t="str">
        <f>VLOOKUP($E1688,'Product Naming'!$A$1:$P$58,2,FALSE)</f>
        <v>Butyrate</v>
      </c>
      <c r="T1688" s="1" t="str">
        <f>VLOOKUP($E1688,'Product Naming'!$A$1:$P$58,3,FALSE)</f>
        <v>Butyrate</v>
      </c>
      <c r="U1688" s="1" t="str">
        <f>VLOOKUP($E1688,'Product Naming'!$A$1:$P$58,4,FALSE)</f>
        <v>A</v>
      </c>
      <c r="V1688" s="1" t="str">
        <f>VLOOKUP($E1688,'Product Naming'!$A$1:$P$58,5,FALSE)</f>
        <v>C4H7O2</v>
      </c>
      <c r="W1688" s="1">
        <f>VLOOKUP($E1688,'Product Naming'!$A$1:$P$58,6,FALSE)</f>
        <v>4</v>
      </c>
      <c r="X1688" s="1">
        <f>VLOOKUP($E1688,'Product Naming'!$A$1:$P$58,7,FALSE)</f>
        <v>7</v>
      </c>
      <c r="Y1688" s="1">
        <f>VLOOKUP($E1688,'Product Naming'!$A$1:$P$58,8,FALSE)</f>
        <v>2</v>
      </c>
      <c r="Z1688" s="1">
        <f>VLOOKUP($E1688,'Product Naming'!$A$1:$P$58,9,FALSE)</f>
        <v>0</v>
      </c>
      <c r="AA1688" s="1">
        <f>VLOOKUP($E1688,'Product Naming'!$A$1:$P$58,10,FALSE)</f>
        <v>-1</v>
      </c>
      <c r="AB1688" s="29">
        <f>VLOOKUP($E1688,'Product Naming'!$A$1:$P$58,11,FALSE)</f>
        <v>4.75</v>
      </c>
      <c r="AC1688" s="3">
        <f>VLOOKUP($E1688,'Product Naming'!$A$1:$P$58,12,FALSE)</f>
        <v>87.095680000000002</v>
      </c>
      <c r="AD1688" s="1">
        <f>VLOOKUP($E1688,'Product Naming'!$A$1:$P$58,13,FALSE)</f>
        <v>163.5</v>
      </c>
      <c r="AE1688" s="1" t="str">
        <f>VLOOKUP($E1688,'Product Naming'!$A$1:$P$58,14,FALSE)</f>
        <v>Carboxylate</v>
      </c>
      <c r="AF1688" s="1" t="str">
        <f>VLOOKUP($E1688,'Product Naming'!$A$1:$P$58,15,FALSE)</f>
        <v>Acetyl-CoA</v>
      </c>
      <c r="AG1688" s="30" t="str">
        <f>VLOOKUP($E1688,'Product Naming'!$A$1:$P$58,16,FALSE)</f>
        <v>Proton symporter</v>
      </c>
      <c r="AH1688" s="3" t="str">
        <f>VLOOKUP($E1688,'Product Naming'!$A$1:$Q$58,17,FALSE)</f>
        <v>but_c</v>
      </c>
      <c r="AI1688" s="1">
        <f>VLOOKUP($E1688,'Product Parameters'!$A$2:$D$59,2,FALSE)</f>
        <v>1</v>
      </c>
      <c r="AJ1688" s="1">
        <f>VLOOKUP($E1688,'Product Parameters'!$A$2:$D$59,3,FALSE)</f>
        <v>0</v>
      </c>
      <c r="AK1688" s="1">
        <f>VLOOKUP($E1688,'Product Parameters'!$A$2:$D$59,4,FALSE)</f>
        <v>0.12</v>
      </c>
      <c r="AL1688" s="1">
        <f>VLOOKUP($E1688,'Product Parameters'!$A$2:$E$59,5,FALSE)</f>
        <v>42</v>
      </c>
      <c r="AM1688" s="1">
        <f>VLOOKUP($E1688,'Product Parameters'!$A$2:$F$59,6,FALSE)</f>
        <v>4</v>
      </c>
      <c r="AN1688" s="1">
        <f>VLOOKUP($C1688,'Substrate Heating'!$A$2:$C$33,3,FALSE)</f>
        <v>638.57832580000002</v>
      </c>
      <c r="AO1688" s="1">
        <f>VLOOKUP($C1688,'Substrate Heating'!$A$2:$B$33,2,FALSE)</f>
        <v>19.93</v>
      </c>
      <c r="AP1688" s="1">
        <f>VLOOKUP($C1688,'Substrate Heating'!$A$2:$M$33,13,FALSE)</f>
        <v>6</v>
      </c>
      <c r="AQ1688" s="1">
        <f>VLOOKUP($C1688,'Substrate Heating'!$A$2:$M$33,8,FALSE)</f>
        <v>1</v>
      </c>
      <c r="AR1688" s="1">
        <f t="shared" si="26"/>
        <v>1</v>
      </c>
    </row>
    <row r="1689" spans="1:44" x14ac:dyDescent="0.2">
      <c r="A1689" s="8" t="s">
        <v>792</v>
      </c>
      <c r="B1689" s="18" t="s">
        <v>324</v>
      </c>
      <c r="C1689" t="s">
        <v>365</v>
      </c>
      <c r="D1689" s="23" t="s">
        <v>338</v>
      </c>
      <c r="E1689" t="s">
        <v>198</v>
      </c>
      <c r="F1689" t="s">
        <v>199</v>
      </c>
      <c r="G1689">
        <v>-10</v>
      </c>
      <c r="H1689">
        <v>0</v>
      </c>
      <c r="I1689">
        <v>0</v>
      </c>
      <c r="J1689">
        <v>0.45</v>
      </c>
      <c r="K1689">
        <v>-10</v>
      </c>
      <c r="L1689">
        <v>0</v>
      </c>
      <c r="M1689">
        <v>5</v>
      </c>
      <c r="N1689">
        <v>0</v>
      </c>
      <c r="O1689">
        <v>2.5</v>
      </c>
      <c r="P1689"/>
      <c r="Q1689">
        <v>0.25</v>
      </c>
      <c r="R1689" s="28" t="s">
        <v>543</v>
      </c>
      <c r="S1689" s="1" t="str">
        <f>VLOOKUP($E1689,'Product Naming'!$A$1:$P$58,2,FALSE)</f>
        <v>EthylAcetate</v>
      </c>
      <c r="T1689" s="1" t="str">
        <f>VLOOKUP($E1689,'Product Naming'!$A$1:$P$58,3,FALSE)</f>
        <v>Ethyl acetate</v>
      </c>
      <c r="U1689" s="1" t="str">
        <f>VLOOKUP($E1689,'Product Naming'!$A$1:$P$58,4,FALSE)</f>
        <v>E</v>
      </c>
      <c r="V1689" s="1" t="str">
        <f>VLOOKUP($E1689,'Product Naming'!$A$1:$P$58,5,FALSE)</f>
        <v>C4H8O2</v>
      </c>
      <c r="W1689" s="1">
        <f>VLOOKUP($E1689,'Product Naming'!$A$1:$P$58,6,FALSE)</f>
        <v>4</v>
      </c>
      <c r="X1689" s="1">
        <f>VLOOKUP($E1689,'Product Naming'!$A$1:$P$58,7,FALSE)</f>
        <v>8</v>
      </c>
      <c r="Y1689" s="1">
        <f>VLOOKUP($E1689,'Product Naming'!$A$1:$P$58,8,FALSE)</f>
        <v>2</v>
      </c>
      <c r="Z1689" s="1">
        <f>VLOOKUP($E1689,'Product Naming'!$A$1:$P$58,9,FALSE)</f>
        <v>0</v>
      </c>
      <c r="AA1689" s="1">
        <f>VLOOKUP($E1689,'Product Naming'!$A$1:$P$58,10,FALSE)</f>
        <v>0</v>
      </c>
      <c r="AB1689" s="29">
        <f>VLOOKUP($E1689,'Product Naming'!$A$1:$P$58,11,FALSE)</f>
        <v>5</v>
      </c>
      <c r="AC1689" s="3">
        <f>VLOOKUP($E1689,'Product Naming'!$A$1:$P$58,12,FALSE)</f>
        <v>88.103520000000003</v>
      </c>
      <c r="AD1689" s="1">
        <f>VLOOKUP($E1689,'Product Naming'!$A$1:$P$58,13,FALSE)</f>
        <v>77.099999999999994</v>
      </c>
      <c r="AE1689" s="1" t="str">
        <f>VLOOKUP($E1689,'Product Naming'!$A$1:$P$58,14,FALSE)</f>
        <v>Carboxylate Ester</v>
      </c>
      <c r="AF1689" s="1" t="str">
        <f>VLOOKUP($E1689,'Product Naming'!$A$1:$P$58,15,FALSE)</f>
        <v>Acetyl-CoA</v>
      </c>
      <c r="AG1689" s="30" t="str">
        <f>VLOOKUP($E1689,'Product Naming'!$A$1:$P$58,16,FALSE)</f>
        <v>Proton symporter</v>
      </c>
      <c r="AH1689" s="3" t="str">
        <f>VLOOKUP($E1689,'Product Naming'!$A$1:$Q$58,17,FALSE)</f>
        <v>aces_c</v>
      </c>
      <c r="AI1689" s="1">
        <f>VLOOKUP($E1689,'Product Parameters'!$A$2:$D$59,2,FALSE)</f>
        <v>1</v>
      </c>
      <c r="AJ1689" s="1">
        <f>VLOOKUP($E1689,'Product Parameters'!$A$2:$D$59,3,FALSE)</f>
        <v>0</v>
      </c>
      <c r="AK1689" s="1">
        <f>VLOOKUP($E1689,'Product Parameters'!$A$2:$D$59,4,FALSE)</f>
        <v>0.12</v>
      </c>
      <c r="AL1689" s="1">
        <f>VLOOKUP($E1689,'Product Parameters'!$A$2:$E$59,5,FALSE)</f>
        <v>35</v>
      </c>
      <c r="AM1689" s="1">
        <f>VLOOKUP($E1689,'Product Parameters'!$A$2:$F$59,6,FALSE)</f>
        <v>4</v>
      </c>
      <c r="AN1689" s="1">
        <f>VLOOKUP($C1689,'Substrate Heating'!$A$2:$C$33,3,FALSE)</f>
        <v>638.57832580000002</v>
      </c>
      <c r="AO1689" s="1">
        <f>VLOOKUP($C1689,'Substrate Heating'!$A$2:$B$33,2,FALSE)</f>
        <v>19.93</v>
      </c>
      <c r="AP1689" s="1">
        <f>VLOOKUP($C1689,'Substrate Heating'!$A$2:$M$33,13,FALSE)</f>
        <v>6</v>
      </c>
      <c r="AQ1689" s="1">
        <f>VLOOKUP($C1689,'Substrate Heating'!$A$2:$M$33,8,FALSE)</f>
        <v>1</v>
      </c>
      <c r="AR1689" s="1">
        <f t="shared" si="26"/>
        <v>1</v>
      </c>
    </row>
    <row r="1690" spans="1:44" x14ac:dyDescent="0.2">
      <c r="A1690" s="8" t="s">
        <v>792</v>
      </c>
      <c r="B1690" s="18" t="s">
        <v>324</v>
      </c>
      <c r="C1690" t="s">
        <v>369</v>
      </c>
      <c r="D1690" s="23" t="s">
        <v>338</v>
      </c>
      <c r="E1690" t="s">
        <v>198</v>
      </c>
      <c r="F1690" t="s">
        <v>199</v>
      </c>
      <c r="G1690">
        <v>-10</v>
      </c>
      <c r="H1690">
        <v>0</v>
      </c>
      <c r="I1690">
        <v>0</v>
      </c>
      <c r="J1690">
        <v>0.45</v>
      </c>
      <c r="K1690">
        <v>-10</v>
      </c>
      <c r="L1690">
        <v>0</v>
      </c>
      <c r="M1690">
        <v>5</v>
      </c>
      <c r="N1690">
        <v>0</v>
      </c>
      <c r="O1690">
        <v>2.5</v>
      </c>
      <c r="P1690"/>
      <c r="Q1690">
        <v>0.25</v>
      </c>
      <c r="R1690" s="28" t="s">
        <v>543</v>
      </c>
      <c r="S1690" s="1" t="str">
        <f>VLOOKUP($E1690,'Product Naming'!$A$1:$P$58,2,FALSE)</f>
        <v>EthylAcetate</v>
      </c>
      <c r="T1690" s="1" t="str">
        <f>VLOOKUP($E1690,'Product Naming'!$A$1:$P$58,3,FALSE)</f>
        <v>Ethyl acetate</v>
      </c>
      <c r="U1690" s="1" t="str">
        <f>VLOOKUP($E1690,'Product Naming'!$A$1:$P$58,4,FALSE)</f>
        <v>E</v>
      </c>
      <c r="V1690" s="1" t="str">
        <f>VLOOKUP($E1690,'Product Naming'!$A$1:$P$58,5,FALSE)</f>
        <v>C4H8O2</v>
      </c>
      <c r="W1690" s="1">
        <f>VLOOKUP($E1690,'Product Naming'!$A$1:$P$58,6,FALSE)</f>
        <v>4</v>
      </c>
      <c r="X1690" s="1">
        <f>VLOOKUP($E1690,'Product Naming'!$A$1:$P$58,7,FALSE)</f>
        <v>8</v>
      </c>
      <c r="Y1690" s="1">
        <f>VLOOKUP($E1690,'Product Naming'!$A$1:$P$58,8,FALSE)</f>
        <v>2</v>
      </c>
      <c r="Z1690" s="1">
        <f>VLOOKUP($E1690,'Product Naming'!$A$1:$P$58,9,FALSE)</f>
        <v>0</v>
      </c>
      <c r="AA1690" s="1">
        <f>VLOOKUP($E1690,'Product Naming'!$A$1:$P$58,10,FALSE)</f>
        <v>0</v>
      </c>
      <c r="AB1690" s="29">
        <f>VLOOKUP($E1690,'Product Naming'!$A$1:$P$58,11,FALSE)</f>
        <v>5</v>
      </c>
      <c r="AC1690" s="3">
        <f>VLOOKUP($E1690,'Product Naming'!$A$1:$P$58,12,FALSE)</f>
        <v>88.103520000000003</v>
      </c>
      <c r="AD1690" s="1">
        <f>VLOOKUP($E1690,'Product Naming'!$A$1:$P$58,13,FALSE)</f>
        <v>77.099999999999994</v>
      </c>
      <c r="AE1690" s="1" t="str">
        <f>VLOOKUP($E1690,'Product Naming'!$A$1:$P$58,14,FALSE)</f>
        <v>Carboxylate Ester</v>
      </c>
      <c r="AF1690" s="1" t="str">
        <f>VLOOKUP($E1690,'Product Naming'!$A$1:$P$58,15,FALSE)</f>
        <v>Acetyl-CoA</v>
      </c>
      <c r="AG1690" s="30" t="str">
        <f>VLOOKUP($E1690,'Product Naming'!$A$1:$P$58,16,FALSE)</f>
        <v>Proton symporter</v>
      </c>
      <c r="AH1690" s="3" t="str">
        <f>VLOOKUP($E1690,'Product Naming'!$A$1:$Q$58,17,FALSE)</f>
        <v>aces_c</v>
      </c>
      <c r="AI1690" s="1">
        <f>VLOOKUP($E1690,'Product Parameters'!$A$2:$D$59,2,FALSE)</f>
        <v>1</v>
      </c>
      <c r="AJ1690" s="1">
        <f>VLOOKUP($E1690,'Product Parameters'!$A$2:$D$59,3,FALSE)</f>
        <v>0</v>
      </c>
      <c r="AK1690" s="1">
        <f>VLOOKUP($E1690,'Product Parameters'!$A$2:$D$59,4,FALSE)</f>
        <v>0.12</v>
      </c>
      <c r="AL1690" s="1">
        <f>VLOOKUP($E1690,'Product Parameters'!$A$2:$E$59,5,FALSE)</f>
        <v>35</v>
      </c>
      <c r="AM1690" s="1">
        <f>VLOOKUP($E1690,'Product Parameters'!$A$2:$F$59,6,FALSE)</f>
        <v>4</v>
      </c>
      <c r="AN1690" s="1">
        <f>VLOOKUP($C1690,'Substrate Heating'!$A$2:$C$33,3,FALSE)</f>
        <v>638.57832580000002</v>
      </c>
      <c r="AO1690" s="1">
        <f>VLOOKUP($C1690,'Substrate Heating'!$A$2:$B$33,2,FALSE)</f>
        <v>19.93</v>
      </c>
      <c r="AP1690" s="1">
        <f>VLOOKUP($C1690,'Substrate Heating'!$A$2:$M$33,13,FALSE)</f>
        <v>6</v>
      </c>
      <c r="AQ1690" s="1">
        <f>VLOOKUP($C1690,'Substrate Heating'!$A$2:$M$33,8,FALSE)</f>
        <v>1</v>
      </c>
      <c r="AR1690" s="1">
        <f t="shared" si="26"/>
        <v>1</v>
      </c>
    </row>
    <row r="1691" spans="1:44" x14ac:dyDescent="0.2">
      <c r="A1691" s="8" t="s">
        <v>792</v>
      </c>
      <c r="B1691" s="18" t="s">
        <v>324</v>
      </c>
      <c r="C1691" t="s">
        <v>371</v>
      </c>
      <c r="D1691" s="23" t="s">
        <v>338</v>
      </c>
      <c r="E1691" t="s">
        <v>198</v>
      </c>
      <c r="F1691" t="s">
        <v>199</v>
      </c>
      <c r="G1691">
        <v>-10</v>
      </c>
      <c r="H1691">
        <v>0</v>
      </c>
      <c r="I1691">
        <v>0</v>
      </c>
      <c r="J1691">
        <v>0.45</v>
      </c>
      <c r="K1691">
        <v>-10</v>
      </c>
      <c r="L1691">
        <v>0</v>
      </c>
      <c r="M1691">
        <v>5</v>
      </c>
      <c r="N1691">
        <v>0</v>
      </c>
      <c r="O1691">
        <v>2.5</v>
      </c>
      <c r="P1691"/>
      <c r="Q1691">
        <v>0.25</v>
      </c>
      <c r="R1691" s="28" t="s">
        <v>543</v>
      </c>
      <c r="S1691" s="1" t="str">
        <f>VLOOKUP($E1691,'Product Naming'!$A$1:$P$58,2,FALSE)</f>
        <v>EthylAcetate</v>
      </c>
      <c r="T1691" s="1" t="str">
        <f>VLOOKUP($E1691,'Product Naming'!$A$1:$P$58,3,FALSE)</f>
        <v>Ethyl acetate</v>
      </c>
      <c r="U1691" s="1" t="str">
        <f>VLOOKUP($E1691,'Product Naming'!$A$1:$P$58,4,FALSE)</f>
        <v>E</v>
      </c>
      <c r="V1691" s="1" t="str">
        <f>VLOOKUP($E1691,'Product Naming'!$A$1:$P$58,5,FALSE)</f>
        <v>C4H8O2</v>
      </c>
      <c r="W1691" s="1">
        <f>VLOOKUP($E1691,'Product Naming'!$A$1:$P$58,6,FALSE)</f>
        <v>4</v>
      </c>
      <c r="X1691" s="1">
        <f>VLOOKUP($E1691,'Product Naming'!$A$1:$P$58,7,FALSE)</f>
        <v>8</v>
      </c>
      <c r="Y1691" s="1">
        <f>VLOOKUP($E1691,'Product Naming'!$A$1:$P$58,8,FALSE)</f>
        <v>2</v>
      </c>
      <c r="Z1691" s="1">
        <f>VLOOKUP($E1691,'Product Naming'!$A$1:$P$58,9,FALSE)</f>
        <v>0</v>
      </c>
      <c r="AA1691" s="1">
        <f>VLOOKUP($E1691,'Product Naming'!$A$1:$P$58,10,FALSE)</f>
        <v>0</v>
      </c>
      <c r="AB1691" s="29">
        <f>VLOOKUP($E1691,'Product Naming'!$A$1:$P$58,11,FALSE)</f>
        <v>5</v>
      </c>
      <c r="AC1691" s="3">
        <f>VLOOKUP($E1691,'Product Naming'!$A$1:$P$58,12,FALSE)</f>
        <v>88.103520000000003</v>
      </c>
      <c r="AD1691" s="1">
        <f>VLOOKUP($E1691,'Product Naming'!$A$1:$P$58,13,FALSE)</f>
        <v>77.099999999999994</v>
      </c>
      <c r="AE1691" s="1" t="str">
        <f>VLOOKUP($E1691,'Product Naming'!$A$1:$P$58,14,FALSE)</f>
        <v>Carboxylate Ester</v>
      </c>
      <c r="AF1691" s="1" t="str">
        <f>VLOOKUP($E1691,'Product Naming'!$A$1:$P$58,15,FALSE)</f>
        <v>Acetyl-CoA</v>
      </c>
      <c r="AG1691" s="30" t="str">
        <f>VLOOKUP($E1691,'Product Naming'!$A$1:$P$58,16,FALSE)</f>
        <v>Proton symporter</v>
      </c>
      <c r="AH1691" s="3" t="str">
        <f>VLOOKUP($E1691,'Product Naming'!$A$1:$Q$58,17,FALSE)</f>
        <v>aces_c</v>
      </c>
      <c r="AI1691" s="1">
        <f>VLOOKUP($E1691,'Product Parameters'!$A$2:$D$59,2,FALSE)</f>
        <v>1</v>
      </c>
      <c r="AJ1691" s="1">
        <f>VLOOKUP($E1691,'Product Parameters'!$A$2:$D$59,3,FALSE)</f>
        <v>0</v>
      </c>
      <c r="AK1691" s="1">
        <f>VLOOKUP($E1691,'Product Parameters'!$A$2:$D$59,4,FALSE)</f>
        <v>0.12</v>
      </c>
      <c r="AL1691" s="1">
        <f>VLOOKUP($E1691,'Product Parameters'!$A$2:$E$59,5,FALSE)</f>
        <v>35</v>
      </c>
      <c r="AM1691" s="1">
        <f>VLOOKUP($E1691,'Product Parameters'!$A$2:$F$59,6,FALSE)</f>
        <v>4</v>
      </c>
      <c r="AN1691" s="1">
        <f>VLOOKUP($C1691,'Substrate Heating'!$A$2:$C$33,3,FALSE)</f>
        <v>638.57832580000002</v>
      </c>
      <c r="AO1691" s="1">
        <f>VLOOKUP($C1691,'Substrate Heating'!$A$2:$B$33,2,FALSE)</f>
        <v>19.93</v>
      </c>
      <c r="AP1691" s="1">
        <f>VLOOKUP($C1691,'Substrate Heating'!$A$2:$M$33,13,FALSE)</f>
        <v>6</v>
      </c>
      <c r="AQ1691" s="1">
        <f>VLOOKUP($C1691,'Substrate Heating'!$A$2:$M$33,8,FALSE)</f>
        <v>1</v>
      </c>
      <c r="AR1691" s="1">
        <f t="shared" si="26"/>
        <v>1</v>
      </c>
    </row>
    <row r="1692" spans="1:44" x14ac:dyDescent="0.2">
      <c r="A1692" s="8" t="s">
        <v>792</v>
      </c>
      <c r="B1692" s="18" t="s">
        <v>324</v>
      </c>
      <c r="C1692" t="s">
        <v>372</v>
      </c>
      <c r="D1692" s="23" t="s">
        <v>338</v>
      </c>
      <c r="E1692" t="s">
        <v>198</v>
      </c>
      <c r="F1692" t="s">
        <v>199</v>
      </c>
      <c r="G1692">
        <v>-10</v>
      </c>
      <c r="H1692">
        <v>0</v>
      </c>
      <c r="I1692">
        <v>0</v>
      </c>
      <c r="J1692">
        <v>0.45</v>
      </c>
      <c r="K1692">
        <v>-10</v>
      </c>
      <c r="L1692">
        <v>0</v>
      </c>
      <c r="M1692">
        <v>5</v>
      </c>
      <c r="N1692">
        <v>0</v>
      </c>
      <c r="O1692">
        <v>2.5</v>
      </c>
      <c r="P1692"/>
      <c r="Q1692">
        <v>0.25</v>
      </c>
      <c r="R1692" s="28" t="s">
        <v>543</v>
      </c>
      <c r="S1692" s="1" t="str">
        <f>VLOOKUP($E1692,'Product Naming'!$A$1:$P$58,2,FALSE)</f>
        <v>EthylAcetate</v>
      </c>
      <c r="T1692" s="1" t="str">
        <f>VLOOKUP($E1692,'Product Naming'!$A$1:$P$58,3,FALSE)</f>
        <v>Ethyl acetate</v>
      </c>
      <c r="U1692" s="1" t="str">
        <f>VLOOKUP($E1692,'Product Naming'!$A$1:$P$58,4,FALSE)</f>
        <v>E</v>
      </c>
      <c r="V1692" s="1" t="str">
        <f>VLOOKUP($E1692,'Product Naming'!$A$1:$P$58,5,FALSE)</f>
        <v>C4H8O2</v>
      </c>
      <c r="W1692" s="1">
        <f>VLOOKUP($E1692,'Product Naming'!$A$1:$P$58,6,FALSE)</f>
        <v>4</v>
      </c>
      <c r="X1692" s="1">
        <f>VLOOKUP($E1692,'Product Naming'!$A$1:$P$58,7,FALSE)</f>
        <v>8</v>
      </c>
      <c r="Y1692" s="1">
        <f>VLOOKUP($E1692,'Product Naming'!$A$1:$P$58,8,FALSE)</f>
        <v>2</v>
      </c>
      <c r="Z1692" s="1">
        <f>VLOOKUP($E1692,'Product Naming'!$A$1:$P$58,9,FALSE)</f>
        <v>0</v>
      </c>
      <c r="AA1692" s="1">
        <f>VLOOKUP($E1692,'Product Naming'!$A$1:$P$58,10,FALSE)</f>
        <v>0</v>
      </c>
      <c r="AB1692" s="29">
        <f>VLOOKUP($E1692,'Product Naming'!$A$1:$P$58,11,FALSE)</f>
        <v>5</v>
      </c>
      <c r="AC1692" s="3">
        <f>VLOOKUP($E1692,'Product Naming'!$A$1:$P$58,12,FALSE)</f>
        <v>88.103520000000003</v>
      </c>
      <c r="AD1692" s="1">
        <f>VLOOKUP($E1692,'Product Naming'!$A$1:$P$58,13,FALSE)</f>
        <v>77.099999999999994</v>
      </c>
      <c r="AE1692" s="1" t="str">
        <f>VLOOKUP($E1692,'Product Naming'!$A$1:$P$58,14,FALSE)</f>
        <v>Carboxylate Ester</v>
      </c>
      <c r="AF1692" s="1" t="str">
        <f>VLOOKUP($E1692,'Product Naming'!$A$1:$P$58,15,FALSE)</f>
        <v>Acetyl-CoA</v>
      </c>
      <c r="AG1692" s="30" t="str">
        <f>VLOOKUP($E1692,'Product Naming'!$A$1:$P$58,16,FALSE)</f>
        <v>Proton symporter</v>
      </c>
      <c r="AH1692" s="3" t="str">
        <f>VLOOKUP($E1692,'Product Naming'!$A$1:$Q$58,17,FALSE)</f>
        <v>aces_c</v>
      </c>
      <c r="AI1692" s="1">
        <f>VLOOKUP($E1692,'Product Parameters'!$A$2:$D$59,2,FALSE)</f>
        <v>1</v>
      </c>
      <c r="AJ1692" s="1">
        <f>VLOOKUP($E1692,'Product Parameters'!$A$2:$D$59,3,FALSE)</f>
        <v>0</v>
      </c>
      <c r="AK1692" s="1">
        <f>VLOOKUP($E1692,'Product Parameters'!$A$2:$D$59,4,FALSE)</f>
        <v>0.12</v>
      </c>
      <c r="AL1692" s="1">
        <f>VLOOKUP($E1692,'Product Parameters'!$A$2:$E$59,5,FALSE)</f>
        <v>35</v>
      </c>
      <c r="AM1692" s="1">
        <f>VLOOKUP($E1692,'Product Parameters'!$A$2:$F$59,6,FALSE)</f>
        <v>4</v>
      </c>
      <c r="AN1692" s="1">
        <f>VLOOKUP($C1692,'Substrate Heating'!$A$2:$C$33,3,FALSE)</f>
        <v>638.57832580000002</v>
      </c>
      <c r="AO1692" s="1">
        <f>VLOOKUP($C1692,'Substrate Heating'!$A$2:$B$33,2,FALSE)</f>
        <v>19.93</v>
      </c>
      <c r="AP1692" s="1">
        <f>VLOOKUP($C1692,'Substrate Heating'!$A$2:$M$33,13,FALSE)</f>
        <v>6</v>
      </c>
      <c r="AQ1692" s="1">
        <f>VLOOKUP($C1692,'Substrate Heating'!$A$2:$M$33,8,FALSE)</f>
        <v>1</v>
      </c>
      <c r="AR1692" s="1">
        <f t="shared" si="26"/>
        <v>1</v>
      </c>
    </row>
    <row r="1693" spans="1:44" x14ac:dyDescent="0.2">
      <c r="A1693" s="8" t="s">
        <v>792</v>
      </c>
      <c r="B1693" s="18" t="s">
        <v>324</v>
      </c>
      <c r="C1693" t="s">
        <v>369</v>
      </c>
      <c r="D1693" s="23" t="s">
        <v>338</v>
      </c>
      <c r="E1693" t="s">
        <v>38</v>
      </c>
      <c r="F1693" t="s">
        <v>39</v>
      </c>
      <c r="G1693">
        <v>-10</v>
      </c>
      <c r="H1693">
        <v>0</v>
      </c>
      <c r="I1693">
        <v>0</v>
      </c>
      <c r="J1693">
        <v>0.45</v>
      </c>
      <c r="K1693">
        <v>-10</v>
      </c>
      <c r="L1693">
        <v>0</v>
      </c>
      <c r="M1693">
        <v>2.5</v>
      </c>
      <c r="N1693">
        <v>0</v>
      </c>
      <c r="O1693">
        <v>2.5</v>
      </c>
      <c r="P1693"/>
      <c r="Q1693">
        <v>0.25</v>
      </c>
      <c r="R1693" s="28" t="s">
        <v>370</v>
      </c>
      <c r="S1693" s="1" t="str">
        <f>VLOOKUP($E1693,'Product Naming'!$A$1:$P$58,2,FALSE)</f>
        <v>1-3-butanediol-PW1</v>
      </c>
      <c r="T1693" s="1" t="str">
        <f>VLOOKUP($E1693,'Product Naming'!$A$1:$P$58,3,FALSE)</f>
        <v>1,3-Butanediol (PW1)</v>
      </c>
      <c r="U1693" s="1" t="str">
        <f>VLOOKUP($E1693,'Product Naming'!$A$1:$P$58,4,FALSE)</f>
        <v>E</v>
      </c>
      <c r="V1693" s="1" t="str">
        <f>VLOOKUP($E1693,'Product Naming'!$A$1:$P$58,5,FALSE)</f>
        <v>C4H10O2</v>
      </c>
      <c r="W1693" s="1">
        <f>VLOOKUP($E1693,'Product Naming'!$A$1:$P$58,6,FALSE)</f>
        <v>4</v>
      </c>
      <c r="X1693" s="1">
        <f>VLOOKUP($E1693,'Product Naming'!$A$1:$P$58,7,FALSE)</f>
        <v>10</v>
      </c>
      <c r="Y1693" s="1">
        <f>VLOOKUP($E1693,'Product Naming'!$A$1:$P$58,8,FALSE)</f>
        <v>2</v>
      </c>
      <c r="Z1693" s="1">
        <f>VLOOKUP($E1693,'Product Naming'!$A$1:$P$58,9,FALSE)</f>
        <v>0</v>
      </c>
      <c r="AA1693" s="1">
        <f>VLOOKUP($E1693,'Product Naming'!$A$1:$P$58,10,FALSE)</f>
        <v>0</v>
      </c>
      <c r="AB1693" s="29">
        <f>VLOOKUP($E1693,'Product Naming'!$A$1:$P$58,11,FALSE)</f>
        <v>5.5</v>
      </c>
      <c r="AC1693" s="3">
        <f>VLOOKUP($E1693,'Product Naming'!$A$1:$P$58,12,FALSE)</f>
        <v>90.119200000000006</v>
      </c>
      <c r="AD1693" s="1">
        <f>VLOOKUP($E1693,'Product Naming'!$A$1:$P$58,13,FALSE)</f>
        <v>207</v>
      </c>
      <c r="AE1693" s="1" t="str">
        <f>VLOOKUP($E1693,'Product Naming'!$A$1:$P$58,14,FALSE)</f>
        <v>Diol</v>
      </c>
      <c r="AF1693" s="1" t="str">
        <f>VLOOKUP($E1693,'Product Naming'!$A$1:$P$58,15,FALSE)</f>
        <v>Acetyl-CoA</v>
      </c>
      <c r="AG1693" s="30" t="str">
        <f>VLOOKUP($E1693,'Product Naming'!$A$1:$P$58,16,FALSE)</f>
        <v>Proton symporter</v>
      </c>
      <c r="AH1693" s="3" t="str">
        <f>VLOOKUP($E1693,'Product Naming'!$A$1:$Q$58,17,FALSE)</f>
        <v>13bdo__R_c</v>
      </c>
      <c r="AI1693" s="1">
        <f>VLOOKUP($E1693,'Product Parameters'!$A$2:$D$59,2,FALSE)</f>
        <v>1</v>
      </c>
      <c r="AJ1693" s="1">
        <f>VLOOKUP($E1693,'Product Parameters'!$A$2:$D$59,3,FALSE)</f>
        <v>0</v>
      </c>
      <c r="AK1693" s="1">
        <f>VLOOKUP($E1693,'Product Parameters'!$A$2:$D$59,4,FALSE)</f>
        <v>0.12</v>
      </c>
      <c r="AL1693" s="1">
        <f>VLOOKUP($E1693,'Product Parameters'!$A$2:$E$59,5,FALSE)</f>
        <v>72.599999999999994</v>
      </c>
      <c r="AM1693" s="1">
        <f>VLOOKUP($E1693,'Product Parameters'!$A$2:$F$59,6,FALSE)</f>
        <v>4</v>
      </c>
      <c r="AN1693" s="1">
        <f>VLOOKUP($C1693,'Substrate Heating'!$A$2:$C$33,3,FALSE)</f>
        <v>638.57832580000002</v>
      </c>
      <c r="AO1693" s="1">
        <f>VLOOKUP($C1693,'Substrate Heating'!$A$2:$B$33,2,FALSE)</f>
        <v>19.93</v>
      </c>
      <c r="AP1693" s="1">
        <f>VLOOKUP($C1693,'Substrate Heating'!$A$2:$M$33,13,FALSE)</f>
        <v>6</v>
      </c>
      <c r="AQ1693" s="1">
        <f>VLOOKUP($C1693,'Substrate Heating'!$A$2:$M$33,8,FALSE)</f>
        <v>1</v>
      </c>
      <c r="AR1693" s="1">
        <f t="shared" si="26"/>
        <v>1</v>
      </c>
    </row>
    <row r="1694" spans="1:44" x14ac:dyDescent="0.2">
      <c r="A1694" s="8" t="s">
        <v>792</v>
      </c>
      <c r="B1694" s="18" t="s">
        <v>324</v>
      </c>
      <c r="C1694" t="s">
        <v>371</v>
      </c>
      <c r="D1694" s="23" t="s">
        <v>338</v>
      </c>
      <c r="E1694" t="s">
        <v>38</v>
      </c>
      <c r="F1694" t="s">
        <v>39</v>
      </c>
      <c r="G1694">
        <v>-10</v>
      </c>
      <c r="H1694">
        <v>0</v>
      </c>
      <c r="I1694">
        <v>0</v>
      </c>
      <c r="J1694">
        <v>0.45</v>
      </c>
      <c r="K1694">
        <v>-10</v>
      </c>
      <c r="L1694">
        <v>0</v>
      </c>
      <c r="M1694">
        <v>2.5</v>
      </c>
      <c r="N1694">
        <v>0</v>
      </c>
      <c r="O1694">
        <v>2.5</v>
      </c>
      <c r="P1694"/>
      <c r="Q1694">
        <v>0.25</v>
      </c>
      <c r="R1694" s="28" t="s">
        <v>370</v>
      </c>
      <c r="S1694" s="1" t="str">
        <f>VLOOKUP($E1694,'Product Naming'!$A$1:$P$58,2,FALSE)</f>
        <v>1-3-butanediol-PW1</v>
      </c>
      <c r="T1694" s="1" t="str">
        <f>VLOOKUP($E1694,'Product Naming'!$A$1:$P$58,3,FALSE)</f>
        <v>1,3-Butanediol (PW1)</v>
      </c>
      <c r="U1694" s="1" t="str">
        <f>VLOOKUP($E1694,'Product Naming'!$A$1:$P$58,4,FALSE)</f>
        <v>E</v>
      </c>
      <c r="V1694" s="1" t="str">
        <f>VLOOKUP($E1694,'Product Naming'!$A$1:$P$58,5,FALSE)</f>
        <v>C4H10O2</v>
      </c>
      <c r="W1694" s="1">
        <f>VLOOKUP($E1694,'Product Naming'!$A$1:$P$58,6,FALSE)</f>
        <v>4</v>
      </c>
      <c r="X1694" s="1">
        <f>VLOOKUP($E1694,'Product Naming'!$A$1:$P$58,7,FALSE)</f>
        <v>10</v>
      </c>
      <c r="Y1694" s="1">
        <f>VLOOKUP($E1694,'Product Naming'!$A$1:$P$58,8,FALSE)</f>
        <v>2</v>
      </c>
      <c r="Z1694" s="1">
        <f>VLOOKUP($E1694,'Product Naming'!$A$1:$P$58,9,FALSE)</f>
        <v>0</v>
      </c>
      <c r="AA1694" s="1">
        <f>VLOOKUP($E1694,'Product Naming'!$A$1:$P$58,10,FALSE)</f>
        <v>0</v>
      </c>
      <c r="AB1694" s="29">
        <f>VLOOKUP($E1694,'Product Naming'!$A$1:$P$58,11,FALSE)</f>
        <v>5.5</v>
      </c>
      <c r="AC1694" s="3">
        <f>VLOOKUP($E1694,'Product Naming'!$A$1:$P$58,12,FALSE)</f>
        <v>90.119200000000006</v>
      </c>
      <c r="AD1694" s="1">
        <f>VLOOKUP($E1694,'Product Naming'!$A$1:$P$58,13,FALSE)</f>
        <v>207</v>
      </c>
      <c r="AE1694" s="1" t="str">
        <f>VLOOKUP($E1694,'Product Naming'!$A$1:$P$58,14,FALSE)</f>
        <v>Diol</v>
      </c>
      <c r="AF1694" s="1" t="str">
        <f>VLOOKUP($E1694,'Product Naming'!$A$1:$P$58,15,FALSE)</f>
        <v>Acetyl-CoA</v>
      </c>
      <c r="AG1694" s="30" t="str">
        <f>VLOOKUP($E1694,'Product Naming'!$A$1:$P$58,16,FALSE)</f>
        <v>Proton symporter</v>
      </c>
      <c r="AH1694" s="3" t="str">
        <f>VLOOKUP($E1694,'Product Naming'!$A$1:$Q$58,17,FALSE)</f>
        <v>13bdo__R_c</v>
      </c>
      <c r="AI1694" s="1">
        <f>VLOOKUP($E1694,'Product Parameters'!$A$2:$D$59,2,FALSE)</f>
        <v>1</v>
      </c>
      <c r="AJ1694" s="1">
        <f>VLOOKUP($E1694,'Product Parameters'!$A$2:$D$59,3,FALSE)</f>
        <v>0</v>
      </c>
      <c r="AK1694" s="1">
        <f>VLOOKUP($E1694,'Product Parameters'!$A$2:$D$59,4,FALSE)</f>
        <v>0.12</v>
      </c>
      <c r="AL1694" s="1">
        <f>VLOOKUP($E1694,'Product Parameters'!$A$2:$E$59,5,FALSE)</f>
        <v>72.599999999999994</v>
      </c>
      <c r="AM1694" s="1">
        <f>VLOOKUP($E1694,'Product Parameters'!$A$2:$F$59,6,FALSE)</f>
        <v>4</v>
      </c>
      <c r="AN1694" s="1">
        <f>VLOOKUP($C1694,'Substrate Heating'!$A$2:$C$33,3,FALSE)</f>
        <v>638.57832580000002</v>
      </c>
      <c r="AO1694" s="1">
        <f>VLOOKUP($C1694,'Substrate Heating'!$A$2:$B$33,2,FALSE)</f>
        <v>19.93</v>
      </c>
      <c r="AP1694" s="1">
        <f>VLOOKUP($C1694,'Substrate Heating'!$A$2:$M$33,13,FALSE)</f>
        <v>6</v>
      </c>
      <c r="AQ1694" s="1">
        <f>VLOOKUP($C1694,'Substrate Heating'!$A$2:$M$33,8,FALSE)</f>
        <v>1</v>
      </c>
      <c r="AR1694" s="1">
        <f t="shared" si="26"/>
        <v>1</v>
      </c>
    </row>
    <row r="1695" spans="1:44" x14ac:dyDescent="0.2">
      <c r="A1695" s="8" t="s">
        <v>792</v>
      </c>
      <c r="B1695" s="18" t="s">
        <v>324</v>
      </c>
      <c r="C1695" t="s">
        <v>372</v>
      </c>
      <c r="D1695" s="23" t="s">
        <v>338</v>
      </c>
      <c r="E1695" t="s">
        <v>38</v>
      </c>
      <c r="F1695" t="s">
        <v>39</v>
      </c>
      <c r="G1695">
        <v>-10</v>
      </c>
      <c r="H1695">
        <v>0</v>
      </c>
      <c r="I1695">
        <v>0</v>
      </c>
      <c r="J1695">
        <v>0.45</v>
      </c>
      <c r="K1695">
        <v>-10</v>
      </c>
      <c r="L1695">
        <v>0</v>
      </c>
      <c r="M1695">
        <v>2.5</v>
      </c>
      <c r="N1695">
        <v>0</v>
      </c>
      <c r="O1695">
        <v>2.5</v>
      </c>
      <c r="P1695"/>
      <c r="Q1695">
        <v>0.25</v>
      </c>
      <c r="R1695" s="28" t="s">
        <v>370</v>
      </c>
      <c r="S1695" s="1" t="str">
        <f>VLOOKUP($E1695,'Product Naming'!$A$1:$P$58,2,FALSE)</f>
        <v>1-3-butanediol-PW1</v>
      </c>
      <c r="T1695" s="1" t="str">
        <f>VLOOKUP($E1695,'Product Naming'!$A$1:$P$58,3,FALSE)</f>
        <v>1,3-Butanediol (PW1)</v>
      </c>
      <c r="U1695" s="1" t="str">
        <f>VLOOKUP($E1695,'Product Naming'!$A$1:$P$58,4,FALSE)</f>
        <v>E</v>
      </c>
      <c r="V1695" s="1" t="str">
        <f>VLOOKUP($E1695,'Product Naming'!$A$1:$P$58,5,FALSE)</f>
        <v>C4H10O2</v>
      </c>
      <c r="W1695" s="1">
        <f>VLOOKUP($E1695,'Product Naming'!$A$1:$P$58,6,FALSE)</f>
        <v>4</v>
      </c>
      <c r="X1695" s="1">
        <f>VLOOKUP($E1695,'Product Naming'!$A$1:$P$58,7,FALSE)</f>
        <v>10</v>
      </c>
      <c r="Y1695" s="1">
        <f>VLOOKUP($E1695,'Product Naming'!$A$1:$P$58,8,FALSE)</f>
        <v>2</v>
      </c>
      <c r="Z1695" s="1">
        <f>VLOOKUP($E1695,'Product Naming'!$A$1:$P$58,9,FALSE)</f>
        <v>0</v>
      </c>
      <c r="AA1695" s="1">
        <f>VLOOKUP($E1695,'Product Naming'!$A$1:$P$58,10,FALSE)</f>
        <v>0</v>
      </c>
      <c r="AB1695" s="29">
        <f>VLOOKUP($E1695,'Product Naming'!$A$1:$P$58,11,FALSE)</f>
        <v>5.5</v>
      </c>
      <c r="AC1695" s="3">
        <f>VLOOKUP($E1695,'Product Naming'!$A$1:$P$58,12,FALSE)</f>
        <v>90.119200000000006</v>
      </c>
      <c r="AD1695" s="1">
        <f>VLOOKUP($E1695,'Product Naming'!$A$1:$P$58,13,FALSE)</f>
        <v>207</v>
      </c>
      <c r="AE1695" s="1" t="str">
        <f>VLOOKUP($E1695,'Product Naming'!$A$1:$P$58,14,FALSE)</f>
        <v>Diol</v>
      </c>
      <c r="AF1695" s="1" t="str">
        <f>VLOOKUP($E1695,'Product Naming'!$A$1:$P$58,15,FALSE)</f>
        <v>Acetyl-CoA</v>
      </c>
      <c r="AG1695" s="30" t="str">
        <f>VLOOKUP($E1695,'Product Naming'!$A$1:$P$58,16,FALSE)</f>
        <v>Proton symporter</v>
      </c>
      <c r="AH1695" s="3" t="str">
        <f>VLOOKUP($E1695,'Product Naming'!$A$1:$Q$58,17,FALSE)</f>
        <v>13bdo__R_c</v>
      </c>
      <c r="AI1695" s="1">
        <f>VLOOKUP($E1695,'Product Parameters'!$A$2:$D$59,2,FALSE)</f>
        <v>1</v>
      </c>
      <c r="AJ1695" s="1">
        <f>VLOOKUP($E1695,'Product Parameters'!$A$2:$D$59,3,FALSE)</f>
        <v>0</v>
      </c>
      <c r="AK1695" s="1">
        <f>VLOOKUP($E1695,'Product Parameters'!$A$2:$D$59,4,FALSE)</f>
        <v>0.12</v>
      </c>
      <c r="AL1695" s="1">
        <f>VLOOKUP($E1695,'Product Parameters'!$A$2:$E$59,5,FALSE)</f>
        <v>72.599999999999994</v>
      </c>
      <c r="AM1695" s="1">
        <f>VLOOKUP($E1695,'Product Parameters'!$A$2:$F$59,6,FALSE)</f>
        <v>4</v>
      </c>
      <c r="AN1695" s="1">
        <f>VLOOKUP($C1695,'Substrate Heating'!$A$2:$C$33,3,FALSE)</f>
        <v>638.57832580000002</v>
      </c>
      <c r="AO1695" s="1">
        <f>VLOOKUP($C1695,'Substrate Heating'!$A$2:$B$33,2,FALSE)</f>
        <v>19.93</v>
      </c>
      <c r="AP1695" s="1">
        <f>VLOOKUP($C1695,'Substrate Heating'!$A$2:$M$33,13,FALSE)</f>
        <v>6</v>
      </c>
      <c r="AQ1695" s="1">
        <f>VLOOKUP($C1695,'Substrate Heating'!$A$2:$M$33,8,FALSE)</f>
        <v>1</v>
      </c>
      <c r="AR1695" s="1">
        <f t="shared" si="26"/>
        <v>1</v>
      </c>
    </row>
    <row r="1696" spans="1:44" x14ac:dyDescent="0.2">
      <c r="A1696" s="8" t="s">
        <v>792</v>
      </c>
      <c r="B1696" s="18" t="s">
        <v>324</v>
      </c>
      <c r="C1696" t="s">
        <v>365</v>
      </c>
      <c r="D1696" s="23" t="s">
        <v>338</v>
      </c>
      <c r="E1696" t="s">
        <v>48</v>
      </c>
      <c r="F1696" t="s">
        <v>39</v>
      </c>
      <c r="G1696">
        <v>-10</v>
      </c>
      <c r="H1696">
        <v>0</v>
      </c>
      <c r="I1696">
        <v>0</v>
      </c>
      <c r="J1696">
        <v>0.45</v>
      </c>
      <c r="K1696">
        <v>-10</v>
      </c>
      <c r="L1696">
        <v>0</v>
      </c>
      <c r="M1696">
        <v>2.5</v>
      </c>
      <c r="N1696">
        <v>0</v>
      </c>
      <c r="O1696">
        <v>2.5</v>
      </c>
      <c r="P1696"/>
      <c r="Q1696">
        <v>0.25</v>
      </c>
      <c r="R1696" s="28" t="s">
        <v>370</v>
      </c>
      <c r="S1696" s="1" t="str">
        <f>VLOOKUP($E1696,'Product Naming'!$A$1:$P$58,2,FALSE)</f>
        <v>1-3-butanediol-PW2</v>
      </c>
      <c r="T1696" s="1" t="str">
        <f>VLOOKUP($E1696,'Product Naming'!$A$1:$P$58,3,FALSE)</f>
        <v>1,3-Butanediol (PW2)</v>
      </c>
      <c r="U1696" s="1" t="str">
        <f>VLOOKUP($E1696,'Product Naming'!$A$1:$P$58,4,FALSE)</f>
        <v>E</v>
      </c>
      <c r="V1696" s="1" t="str">
        <f>VLOOKUP($E1696,'Product Naming'!$A$1:$P$58,5,FALSE)</f>
        <v>C4H10O2</v>
      </c>
      <c r="W1696" s="1">
        <f>VLOOKUP($E1696,'Product Naming'!$A$1:$P$58,6,FALSE)</f>
        <v>4</v>
      </c>
      <c r="X1696" s="1">
        <f>VLOOKUP($E1696,'Product Naming'!$A$1:$P$58,7,FALSE)</f>
        <v>10</v>
      </c>
      <c r="Y1696" s="1">
        <f>VLOOKUP($E1696,'Product Naming'!$A$1:$P$58,8,FALSE)</f>
        <v>2</v>
      </c>
      <c r="Z1696" s="1">
        <f>VLOOKUP($E1696,'Product Naming'!$A$1:$P$58,9,FALSE)</f>
        <v>0</v>
      </c>
      <c r="AA1696" s="1">
        <f>VLOOKUP($E1696,'Product Naming'!$A$1:$P$58,10,FALSE)</f>
        <v>0</v>
      </c>
      <c r="AB1696" s="29">
        <f>VLOOKUP($E1696,'Product Naming'!$A$1:$P$58,11,FALSE)</f>
        <v>5.5</v>
      </c>
      <c r="AC1696" s="3">
        <f>VLOOKUP($E1696,'Product Naming'!$A$1:$P$58,12,FALSE)</f>
        <v>90.119200000000006</v>
      </c>
      <c r="AD1696" s="1">
        <f>VLOOKUP($E1696,'Product Naming'!$A$1:$P$58,13,FALSE)</f>
        <v>207</v>
      </c>
      <c r="AE1696" s="1" t="str">
        <f>VLOOKUP($E1696,'Product Naming'!$A$1:$P$58,14,FALSE)</f>
        <v>Diol</v>
      </c>
      <c r="AF1696" s="1" t="str">
        <f>VLOOKUP($E1696,'Product Naming'!$A$1:$P$58,15,FALSE)</f>
        <v>Pyruvate (acetalehyde)</v>
      </c>
      <c r="AG1696" s="30" t="str">
        <f>VLOOKUP($E1696,'Product Naming'!$A$1:$P$58,16,FALSE)</f>
        <v>Proton symporter</v>
      </c>
      <c r="AH1696" s="3" t="str">
        <f>VLOOKUP($E1696,'Product Naming'!$A$1:$Q$58,17,FALSE)</f>
        <v>13bdo__R_c</v>
      </c>
      <c r="AI1696" s="1">
        <f>VLOOKUP($E1696,'Product Parameters'!$A$2:$D$59,2,FALSE)</f>
        <v>1</v>
      </c>
      <c r="AJ1696" s="1">
        <f>VLOOKUP($E1696,'Product Parameters'!$A$2:$D$59,3,FALSE)</f>
        <v>0</v>
      </c>
      <c r="AK1696" s="1">
        <f>VLOOKUP($E1696,'Product Parameters'!$A$2:$D$59,4,FALSE)</f>
        <v>0.12</v>
      </c>
      <c r="AL1696" s="1">
        <f>VLOOKUP($E1696,'Product Parameters'!$A$2:$E$59,5,FALSE)</f>
        <v>72.599999999999994</v>
      </c>
      <c r="AM1696" s="1">
        <f>VLOOKUP($E1696,'Product Parameters'!$A$2:$F$59,6,FALSE)</f>
        <v>4</v>
      </c>
      <c r="AN1696" s="1">
        <f>VLOOKUP($C1696,'Substrate Heating'!$A$2:$C$33,3,FALSE)</f>
        <v>638.57832580000002</v>
      </c>
      <c r="AO1696" s="1">
        <f>VLOOKUP($C1696,'Substrate Heating'!$A$2:$B$33,2,FALSE)</f>
        <v>19.93</v>
      </c>
      <c r="AP1696" s="1">
        <f>VLOOKUP($C1696,'Substrate Heating'!$A$2:$M$33,13,FALSE)</f>
        <v>6</v>
      </c>
      <c r="AQ1696" s="1">
        <f>VLOOKUP($C1696,'Substrate Heating'!$A$2:$M$33,8,FALSE)</f>
        <v>1</v>
      </c>
      <c r="AR1696" s="1">
        <f t="shared" si="26"/>
        <v>1</v>
      </c>
    </row>
    <row r="1697" spans="1:44" x14ac:dyDescent="0.2">
      <c r="A1697" s="8" t="s">
        <v>792</v>
      </c>
      <c r="B1697" s="18" t="s">
        <v>324</v>
      </c>
      <c r="C1697" t="s">
        <v>369</v>
      </c>
      <c r="D1697" s="23" t="s">
        <v>338</v>
      </c>
      <c r="E1697" t="s">
        <v>48</v>
      </c>
      <c r="F1697" t="s">
        <v>39</v>
      </c>
      <c r="G1697">
        <v>-10</v>
      </c>
      <c r="H1697">
        <v>0</v>
      </c>
      <c r="I1697">
        <v>0</v>
      </c>
      <c r="J1697">
        <v>0.45</v>
      </c>
      <c r="K1697">
        <v>-10</v>
      </c>
      <c r="L1697">
        <v>0</v>
      </c>
      <c r="M1697">
        <v>2.5</v>
      </c>
      <c r="N1697">
        <v>0</v>
      </c>
      <c r="O1697">
        <v>2.5</v>
      </c>
      <c r="P1697"/>
      <c r="Q1697">
        <v>0.25</v>
      </c>
      <c r="R1697" s="28" t="s">
        <v>370</v>
      </c>
      <c r="S1697" s="1" t="str">
        <f>VLOOKUP($E1697,'Product Naming'!$A$1:$P$58,2,FALSE)</f>
        <v>1-3-butanediol-PW2</v>
      </c>
      <c r="T1697" s="1" t="str">
        <f>VLOOKUP($E1697,'Product Naming'!$A$1:$P$58,3,FALSE)</f>
        <v>1,3-Butanediol (PW2)</v>
      </c>
      <c r="U1697" s="1" t="str">
        <f>VLOOKUP($E1697,'Product Naming'!$A$1:$P$58,4,FALSE)</f>
        <v>E</v>
      </c>
      <c r="V1697" s="1" t="str">
        <f>VLOOKUP($E1697,'Product Naming'!$A$1:$P$58,5,FALSE)</f>
        <v>C4H10O2</v>
      </c>
      <c r="W1697" s="1">
        <f>VLOOKUP($E1697,'Product Naming'!$A$1:$P$58,6,FALSE)</f>
        <v>4</v>
      </c>
      <c r="X1697" s="1">
        <f>VLOOKUP($E1697,'Product Naming'!$A$1:$P$58,7,FALSE)</f>
        <v>10</v>
      </c>
      <c r="Y1697" s="1">
        <f>VLOOKUP($E1697,'Product Naming'!$A$1:$P$58,8,FALSE)</f>
        <v>2</v>
      </c>
      <c r="Z1697" s="1">
        <f>VLOOKUP($E1697,'Product Naming'!$A$1:$P$58,9,FALSE)</f>
        <v>0</v>
      </c>
      <c r="AA1697" s="1">
        <f>VLOOKUP($E1697,'Product Naming'!$A$1:$P$58,10,FALSE)</f>
        <v>0</v>
      </c>
      <c r="AB1697" s="29">
        <f>VLOOKUP($E1697,'Product Naming'!$A$1:$P$58,11,FALSE)</f>
        <v>5.5</v>
      </c>
      <c r="AC1697" s="3">
        <f>VLOOKUP($E1697,'Product Naming'!$A$1:$P$58,12,FALSE)</f>
        <v>90.119200000000006</v>
      </c>
      <c r="AD1697" s="1">
        <f>VLOOKUP($E1697,'Product Naming'!$A$1:$P$58,13,FALSE)</f>
        <v>207</v>
      </c>
      <c r="AE1697" s="1" t="str">
        <f>VLOOKUP($E1697,'Product Naming'!$A$1:$P$58,14,FALSE)</f>
        <v>Diol</v>
      </c>
      <c r="AF1697" s="1" t="str">
        <f>VLOOKUP($E1697,'Product Naming'!$A$1:$P$58,15,FALSE)</f>
        <v>Pyruvate (acetalehyde)</v>
      </c>
      <c r="AG1697" s="30" t="str">
        <f>VLOOKUP($E1697,'Product Naming'!$A$1:$P$58,16,FALSE)</f>
        <v>Proton symporter</v>
      </c>
      <c r="AH1697" s="3" t="str">
        <f>VLOOKUP($E1697,'Product Naming'!$A$1:$Q$58,17,FALSE)</f>
        <v>13bdo__R_c</v>
      </c>
      <c r="AI1697" s="1">
        <f>VLOOKUP($E1697,'Product Parameters'!$A$2:$D$59,2,FALSE)</f>
        <v>1</v>
      </c>
      <c r="AJ1697" s="1">
        <f>VLOOKUP($E1697,'Product Parameters'!$A$2:$D$59,3,FALSE)</f>
        <v>0</v>
      </c>
      <c r="AK1697" s="1">
        <f>VLOOKUP($E1697,'Product Parameters'!$A$2:$D$59,4,FALSE)</f>
        <v>0.12</v>
      </c>
      <c r="AL1697" s="1">
        <f>VLOOKUP($E1697,'Product Parameters'!$A$2:$E$59,5,FALSE)</f>
        <v>72.599999999999994</v>
      </c>
      <c r="AM1697" s="1">
        <f>VLOOKUP($E1697,'Product Parameters'!$A$2:$F$59,6,FALSE)</f>
        <v>4</v>
      </c>
      <c r="AN1697" s="1">
        <f>VLOOKUP($C1697,'Substrate Heating'!$A$2:$C$33,3,FALSE)</f>
        <v>638.57832580000002</v>
      </c>
      <c r="AO1697" s="1">
        <f>VLOOKUP($C1697,'Substrate Heating'!$A$2:$B$33,2,FALSE)</f>
        <v>19.93</v>
      </c>
      <c r="AP1697" s="1">
        <f>VLOOKUP($C1697,'Substrate Heating'!$A$2:$M$33,13,FALSE)</f>
        <v>6</v>
      </c>
      <c r="AQ1697" s="1">
        <f>VLOOKUP($C1697,'Substrate Heating'!$A$2:$M$33,8,FALSE)</f>
        <v>1</v>
      </c>
      <c r="AR1697" s="1">
        <f t="shared" si="26"/>
        <v>1</v>
      </c>
    </row>
    <row r="1698" spans="1:44" x14ac:dyDescent="0.2">
      <c r="A1698" s="8" t="s">
        <v>792</v>
      </c>
      <c r="B1698" s="18" t="s">
        <v>324</v>
      </c>
      <c r="C1698" t="s">
        <v>371</v>
      </c>
      <c r="D1698" s="23" t="s">
        <v>338</v>
      </c>
      <c r="E1698" t="s">
        <v>48</v>
      </c>
      <c r="F1698" t="s">
        <v>39</v>
      </c>
      <c r="G1698">
        <v>-10</v>
      </c>
      <c r="H1698">
        <v>0</v>
      </c>
      <c r="I1698">
        <v>0</v>
      </c>
      <c r="J1698">
        <v>0.45</v>
      </c>
      <c r="K1698">
        <v>-10</v>
      </c>
      <c r="L1698">
        <v>0</v>
      </c>
      <c r="M1698">
        <v>2.5</v>
      </c>
      <c r="N1698">
        <v>0</v>
      </c>
      <c r="O1698">
        <v>2.5</v>
      </c>
      <c r="P1698"/>
      <c r="Q1698">
        <v>0.25</v>
      </c>
      <c r="R1698" s="28" t="s">
        <v>370</v>
      </c>
      <c r="S1698" s="1" t="str">
        <f>VLOOKUP($E1698,'Product Naming'!$A$1:$P$58,2,FALSE)</f>
        <v>1-3-butanediol-PW2</v>
      </c>
      <c r="T1698" s="1" t="str">
        <f>VLOOKUP($E1698,'Product Naming'!$A$1:$P$58,3,FALSE)</f>
        <v>1,3-Butanediol (PW2)</v>
      </c>
      <c r="U1698" s="1" t="str">
        <f>VLOOKUP($E1698,'Product Naming'!$A$1:$P$58,4,FALSE)</f>
        <v>E</v>
      </c>
      <c r="V1698" s="1" t="str">
        <f>VLOOKUP($E1698,'Product Naming'!$A$1:$P$58,5,FALSE)</f>
        <v>C4H10O2</v>
      </c>
      <c r="W1698" s="1">
        <f>VLOOKUP($E1698,'Product Naming'!$A$1:$P$58,6,FALSE)</f>
        <v>4</v>
      </c>
      <c r="X1698" s="1">
        <f>VLOOKUP($E1698,'Product Naming'!$A$1:$P$58,7,FALSE)</f>
        <v>10</v>
      </c>
      <c r="Y1698" s="1">
        <f>VLOOKUP($E1698,'Product Naming'!$A$1:$P$58,8,FALSE)</f>
        <v>2</v>
      </c>
      <c r="Z1698" s="1">
        <f>VLOOKUP($E1698,'Product Naming'!$A$1:$P$58,9,FALSE)</f>
        <v>0</v>
      </c>
      <c r="AA1698" s="1">
        <f>VLOOKUP($E1698,'Product Naming'!$A$1:$P$58,10,FALSE)</f>
        <v>0</v>
      </c>
      <c r="AB1698" s="29">
        <f>VLOOKUP($E1698,'Product Naming'!$A$1:$P$58,11,FALSE)</f>
        <v>5.5</v>
      </c>
      <c r="AC1698" s="3">
        <f>VLOOKUP($E1698,'Product Naming'!$A$1:$P$58,12,FALSE)</f>
        <v>90.119200000000006</v>
      </c>
      <c r="AD1698" s="1">
        <f>VLOOKUP($E1698,'Product Naming'!$A$1:$P$58,13,FALSE)</f>
        <v>207</v>
      </c>
      <c r="AE1698" s="1" t="str">
        <f>VLOOKUP($E1698,'Product Naming'!$A$1:$P$58,14,FALSE)</f>
        <v>Diol</v>
      </c>
      <c r="AF1698" s="1" t="str">
        <f>VLOOKUP($E1698,'Product Naming'!$A$1:$P$58,15,FALSE)</f>
        <v>Pyruvate (acetalehyde)</v>
      </c>
      <c r="AG1698" s="30" t="str">
        <f>VLOOKUP($E1698,'Product Naming'!$A$1:$P$58,16,FALSE)</f>
        <v>Proton symporter</v>
      </c>
      <c r="AH1698" s="3" t="str">
        <f>VLOOKUP($E1698,'Product Naming'!$A$1:$Q$58,17,FALSE)</f>
        <v>13bdo__R_c</v>
      </c>
      <c r="AI1698" s="1">
        <f>VLOOKUP($E1698,'Product Parameters'!$A$2:$D$59,2,FALSE)</f>
        <v>1</v>
      </c>
      <c r="AJ1698" s="1">
        <f>VLOOKUP($E1698,'Product Parameters'!$A$2:$D$59,3,FALSE)</f>
        <v>0</v>
      </c>
      <c r="AK1698" s="1">
        <f>VLOOKUP($E1698,'Product Parameters'!$A$2:$D$59,4,FALSE)</f>
        <v>0.12</v>
      </c>
      <c r="AL1698" s="1">
        <f>VLOOKUP($E1698,'Product Parameters'!$A$2:$E$59,5,FALSE)</f>
        <v>72.599999999999994</v>
      </c>
      <c r="AM1698" s="1">
        <f>VLOOKUP($E1698,'Product Parameters'!$A$2:$F$59,6,FALSE)</f>
        <v>4</v>
      </c>
      <c r="AN1698" s="1">
        <f>VLOOKUP($C1698,'Substrate Heating'!$A$2:$C$33,3,FALSE)</f>
        <v>638.57832580000002</v>
      </c>
      <c r="AO1698" s="1">
        <f>VLOOKUP($C1698,'Substrate Heating'!$A$2:$B$33,2,FALSE)</f>
        <v>19.93</v>
      </c>
      <c r="AP1698" s="1">
        <f>VLOOKUP($C1698,'Substrate Heating'!$A$2:$M$33,13,FALSE)</f>
        <v>6</v>
      </c>
      <c r="AQ1698" s="1">
        <f>VLOOKUP($C1698,'Substrate Heating'!$A$2:$M$33,8,FALSE)</f>
        <v>1</v>
      </c>
      <c r="AR1698" s="1">
        <f t="shared" si="26"/>
        <v>1</v>
      </c>
    </row>
    <row r="1699" spans="1:44" x14ac:dyDescent="0.2">
      <c r="A1699" s="8" t="s">
        <v>792</v>
      </c>
      <c r="B1699" s="18" t="s">
        <v>324</v>
      </c>
      <c r="C1699" t="s">
        <v>372</v>
      </c>
      <c r="D1699" s="23" t="s">
        <v>338</v>
      </c>
      <c r="E1699" t="s">
        <v>48</v>
      </c>
      <c r="F1699" t="s">
        <v>39</v>
      </c>
      <c r="G1699">
        <v>-10</v>
      </c>
      <c r="H1699">
        <v>0</v>
      </c>
      <c r="I1699">
        <v>0</v>
      </c>
      <c r="J1699">
        <v>0.45</v>
      </c>
      <c r="K1699">
        <v>-10</v>
      </c>
      <c r="L1699">
        <v>0</v>
      </c>
      <c r="M1699">
        <v>2.5</v>
      </c>
      <c r="N1699">
        <v>0</v>
      </c>
      <c r="O1699">
        <v>2.5</v>
      </c>
      <c r="P1699"/>
      <c r="Q1699">
        <v>0.25</v>
      </c>
      <c r="R1699" s="28" t="s">
        <v>370</v>
      </c>
      <c r="S1699" s="1" t="str">
        <f>VLOOKUP($E1699,'Product Naming'!$A$1:$P$58,2,FALSE)</f>
        <v>1-3-butanediol-PW2</v>
      </c>
      <c r="T1699" s="1" t="str">
        <f>VLOOKUP($E1699,'Product Naming'!$A$1:$P$58,3,FALSE)</f>
        <v>1,3-Butanediol (PW2)</v>
      </c>
      <c r="U1699" s="1" t="str">
        <f>VLOOKUP($E1699,'Product Naming'!$A$1:$P$58,4,FALSE)</f>
        <v>E</v>
      </c>
      <c r="V1699" s="1" t="str">
        <f>VLOOKUP($E1699,'Product Naming'!$A$1:$P$58,5,FALSE)</f>
        <v>C4H10O2</v>
      </c>
      <c r="W1699" s="1">
        <f>VLOOKUP($E1699,'Product Naming'!$A$1:$P$58,6,FALSE)</f>
        <v>4</v>
      </c>
      <c r="X1699" s="1">
        <f>VLOOKUP($E1699,'Product Naming'!$A$1:$P$58,7,FALSE)</f>
        <v>10</v>
      </c>
      <c r="Y1699" s="1">
        <f>VLOOKUP($E1699,'Product Naming'!$A$1:$P$58,8,FALSE)</f>
        <v>2</v>
      </c>
      <c r="Z1699" s="1">
        <f>VLOOKUP($E1699,'Product Naming'!$A$1:$P$58,9,FALSE)</f>
        <v>0</v>
      </c>
      <c r="AA1699" s="1">
        <f>VLOOKUP($E1699,'Product Naming'!$A$1:$P$58,10,FALSE)</f>
        <v>0</v>
      </c>
      <c r="AB1699" s="29">
        <f>VLOOKUP($E1699,'Product Naming'!$A$1:$P$58,11,FALSE)</f>
        <v>5.5</v>
      </c>
      <c r="AC1699" s="3">
        <f>VLOOKUP($E1699,'Product Naming'!$A$1:$P$58,12,FALSE)</f>
        <v>90.119200000000006</v>
      </c>
      <c r="AD1699" s="1">
        <f>VLOOKUP($E1699,'Product Naming'!$A$1:$P$58,13,FALSE)</f>
        <v>207</v>
      </c>
      <c r="AE1699" s="1" t="str">
        <f>VLOOKUP($E1699,'Product Naming'!$A$1:$P$58,14,FALSE)</f>
        <v>Diol</v>
      </c>
      <c r="AF1699" s="1" t="str">
        <f>VLOOKUP($E1699,'Product Naming'!$A$1:$P$58,15,FALSE)</f>
        <v>Pyruvate (acetalehyde)</v>
      </c>
      <c r="AG1699" s="30" t="str">
        <f>VLOOKUP($E1699,'Product Naming'!$A$1:$P$58,16,FALSE)</f>
        <v>Proton symporter</v>
      </c>
      <c r="AH1699" s="3" t="str">
        <f>VLOOKUP($E1699,'Product Naming'!$A$1:$Q$58,17,FALSE)</f>
        <v>13bdo__R_c</v>
      </c>
      <c r="AI1699" s="1">
        <f>VLOOKUP($E1699,'Product Parameters'!$A$2:$D$59,2,FALSE)</f>
        <v>1</v>
      </c>
      <c r="AJ1699" s="1">
        <f>VLOOKUP($E1699,'Product Parameters'!$A$2:$D$59,3,FALSE)</f>
        <v>0</v>
      </c>
      <c r="AK1699" s="1">
        <f>VLOOKUP($E1699,'Product Parameters'!$A$2:$D$59,4,FALSE)</f>
        <v>0.12</v>
      </c>
      <c r="AL1699" s="1">
        <f>VLOOKUP($E1699,'Product Parameters'!$A$2:$E$59,5,FALSE)</f>
        <v>72.599999999999994</v>
      </c>
      <c r="AM1699" s="1">
        <f>VLOOKUP($E1699,'Product Parameters'!$A$2:$F$59,6,FALSE)</f>
        <v>4</v>
      </c>
      <c r="AN1699" s="1">
        <f>VLOOKUP($C1699,'Substrate Heating'!$A$2:$C$33,3,FALSE)</f>
        <v>638.57832580000002</v>
      </c>
      <c r="AO1699" s="1">
        <f>VLOOKUP($C1699,'Substrate Heating'!$A$2:$B$33,2,FALSE)</f>
        <v>19.93</v>
      </c>
      <c r="AP1699" s="1">
        <f>VLOOKUP($C1699,'Substrate Heating'!$A$2:$M$33,13,FALSE)</f>
        <v>6</v>
      </c>
      <c r="AQ1699" s="1">
        <f>VLOOKUP($C1699,'Substrate Heating'!$A$2:$M$33,8,FALSE)</f>
        <v>1</v>
      </c>
      <c r="AR1699" s="1">
        <f t="shared" si="26"/>
        <v>1</v>
      </c>
    </row>
    <row r="1700" spans="1:44" x14ac:dyDescent="0.2">
      <c r="A1700" s="8" t="s">
        <v>792</v>
      </c>
      <c r="B1700" s="18" t="s">
        <v>324</v>
      </c>
      <c r="C1700" t="s">
        <v>365</v>
      </c>
      <c r="D1700" s="23" t="s">
        <v>338</v>
      </c>
      <c r="E1700" t="s">
        <v>85</v>
      </c>
      <c r="F1700" t="s">
        <v>86</v>
      </c>
      <c r="G1700">
        <v>-10</v>
      </c>
      <c r="H1700">
        <v>0</v>
      </c>
      <c r="I1700">
        <v>0</v>
      </c>
      <c r="J1700">
        <v>0.45</v>
      </c>
      <c r="K1700">
        <v>-10</v>
      </c>
      <c r="L1700">
        <v>0</v>
      </c>
      <c r="M1700">
        <v>2.5</v>
      </c>
      <c r="N1700">
        <v>0</v>
      </c>
      <c r="O1700">
        <v>2.5</v>
      </c>
      <c r="P1700"/>
      <c r="Q1700">
        <v>0.25</v>
      </c>
      <c r="R1700" s="28" t="s">
        <v>370</v>
      </c>
      <c r="S1700" s="1" t="str">
        <f>VLOOKUP($E1700,'Product Naming'!$A$1:$P$58,2,FALSE)</f>
        <v>2-3-butanediol</v>
      </c>
      <c r="T1700" s="1" t="str">
        <f>VLOOKUP($E1700,'Product Naming'!$A$1:$P$58,3,FALSE)</f>
        <v>2,3-Butanediol</v>
      </c>
      <c r="U1700" s="1" t="str">
        <f>VLOOKUP($E1700,'Product Naming'!$A$1:$P$58,4,FALSE)</f>
        <v>E</v>
      </c>
      <c r="V1700" s="1" t="str">
        <f>VLOOKUP($E1700,'Product Naming'!$A$1:$P$58,5,FALSE)</f>
        <v>C4H10O2</v>
      </c>
      <c r="W1700" s="1">
        <f>VLOOKUP($E1700,'Product Naming'!$A$1:$P$58,6,FALSE)</f>
        <v>4</v>
      </c>
      <c r="X1700" s="1">
        <f>VLOOKUP($E1700,'Product Naming'!$A$1:$P$58,7,FALSE)</f>
        <v>10</v>
      </c>
      <c r="Y1700" s="1">
        <f>VLOOKUP($E1700,'Product Naming'!$A$1:$P$58,8,FALSE)</f>
        <v>2</v>
      </c>
      <c r="Z1700" s="1">
        <f>VLOOKUP($E1700,'Product Naming'!$A$1:$P$58,9,FALSE)</f>
        <v>0</v>
      </c>
      <c r="AA1700" s="1">
        <f>VLOOKUP($E1700,'Product Naming'!$A$1:$P$58,10,FALSE)</f>
        <v>0</v>
      </c>
      <c r="AB1700" s="29">
        <f>VLOOKUP($E1700,'Product Naming'!$A$1:$P$58,11,FALSE)</f>
        <v>5.5</v>
      </c>
      <c r="AC1700" s="3">
        <f>VLOOKUP($E1700,'Product Naming'!$A$1:$P$58,12,FALSE)</f>
        <v>90.119200000000006</v>
      </c>
      <c r="AD1700" s="1">
        <f>VLOOKUP($E1700,'Product Naming'!$A$1:$P$58,13,FALSE)</f>
        <v>177</v>
      </c>
      <c r="AE1700" s="1" t="str">
        <f>VLOOKUP($E1700,'Product Naming'!$A$1:$P$58,14,FALSE)</f>
        <v>Diol</v>
      </c>
      <c r="AF1700" s="1" t="str">
        <f>VLOOKUP($E1700,'Product Naming'!$A$1:$P$58,15,FALSE)</f>
        <v>Pyruvate</v>
      </c>
      <c r="AG1700" s="30" t="str">
        <f>VLOOKUP($E1700,'Product Naming'!$A$1:$P$58,16,FALSE)</f>
        <v>Proton symporter</v>
      </c>
      <c r="AH1700" s="3" t="str">
        <f>VLOOKUP($E1700,'Product Naming'!$A$1:$Q$58,17,FALSE)</f>
        <v>btd_RR_c</v>
      </c>
      <c r="AI1700" s="1">
        <f>VLOOKUP($E1700,'Product Parameters'!$A$2:$D$59,2,FALSE)</f>
        <v>1</v>
      </c>
      <c r="AJ1700" s="1">
        <f>VLOOKUP($E1700,'Product Parameters'!$A$2:$D$59,3,FALSE)</f>
        <v>0</v>
      </c>
      <c r="AK1700" s="1">
        <f>VLOOKUP($E1700,'Product Parameters'!$A$2:$D$59,4,FALSE)</f>
        <v>0.12</v>
      </c>
      <c r="AL1700" s="1">
        <f>VLOOKUP($E1700,'Product Parameters'!$A$2:$E$59,5,FALSE)</f>
        <v>63</v>
      </c>
      <c r="AM1700" s="1">
        <f>VLOOKUP($E1700,'Product Parameters'!$A$2:$F$59,6,FALSE)</f>
        <v>4</v>
      </c>
      <c r="AN1700" s="1">
        <f>VLOOKUP($C1700,'Substrate Heating'!$A$2:$C$33,3,FALSE)</f>
        <v>638.57832580000002</v>
      </c>
      <c r="AO1700" s="1">
        <f>VLOOKUP($C1700,'Substrate Heating'!$A$2:$B$33,2,FALSE)</f>
        <v>19.93</v>
      </c>
      <c r="AP1700" s="1">
        <f>VLOOKUP($C1700,'Substrate Heating'!$A$2:$M$33,13,FALSE)</f>
        <v>6</v>
      </c>
      <c r="AQ1700" s="1">
        <f>VLOOKUP($C1700,'Substrate Heating'!$A$2:$M$33,8,FALSE)</f>
        <v>1</v>
      </c>
      <c r="AR1700" s="1">
        <f t="shared" si="26"/>
        <v>1</v>
      </c>
    </row>
    <row r="1701" spans="1:44" x14ac:dyDescent="0.2">
      <c r="A1701" s="8" t="s">
        <v>792</v>
      </c>
      <c r="B1701" s="18" t="s">
        <v>324</v>
      </c>
      <c r="C1701" t="s">
        <v>369</v>
      </c>
      <c r="D1701" s="23" t="s">
        <v>338</v>
      </c>
      <c r="E1701" t="s">
        <v>85</v>
      </c>
      <c r="F1701" t="s">
        <v>86</v>
      </c>
      <c r="G1701">
        <v>-10</v>
      </c>
      <c r="H1701">
        <v>0</v>
      </c>
      <c r="I1701">
        <v>0</v>
      </c>
      <c r="J1701">
        <v>0.45</v>
      </c>
      <c r="K1701">
        <v>-10</v>
      </c>
      <c r="L1701">
        <v>0</v>
      </c>
      <c r="M1701">
        <v>2.5</v>
      </c>
      <c r="N1701">
        <v>0</v>
      </c>
      <c r="O1701">
        <v>2.5</v>
      </c>
      <c r="P1701"/>
      <c r="Q1701">
        <v>0.25</v>
      </c>
      <c r="R1701" s="28" t="s">
        <v>370</v>
      </c>
      <c r="S1701" s="1" t="str">
        <f>VLOOKUP($E1701,'Product Naming'!$A$1:$P$58,2,FALSE)</f>
        <v>2-3-butanediol</v>
      </c>
      <c r="T1701" s="1" t="str">
        <f>VLOOKUP($E1701,'Product Naming'!$A$1:$P$58,3,FALSE)</f>
        <v>2,3-Butanediol</v>
      </c>
      <c r="U1701" s="1" t="str">
        <f>VLOOKUP($E1701,'Product Naming'!$A$1:$P$58,4,FALSE)</f>
        <v>E</v>
      </c>
      <c r="V1701" s="1" t="str">
        <f>VLOOKUP($E1701,'Product Naming'!$A$1:$P$58,5,FALSE)</f>
        <v>C4H10O2</v>
      </c>
      <c r="W1701" s="1">
        <f>VLOOKUP($E1701,'Product Naming'!$A$1:$P$58,6,FALSE)</f>
        <v>4</v>
      </c>
      <c r="X1701" s="1">
        <f>VLOOKUP($E1701,'Product Naming'!$A$1:$P$58,7,FALSE)</f>
        <v>10</v>
      </c>
      <c r="Y1701" s="1">
        <f>VLOOKUP($E1701,'Product Naming'!$A$1:$P$58,8,FALSE)</f>
        <v>2</v>
      </c>
      <c r="Z1701" s="1">
        <f>VLOOKUP($E1701,'Product Naming'!$A$1:$P$58,9,FALSE)</f>
        <v>0</v>
      </c>
      <c r="AA1701" s="1">
        <f>VLOOKUP($E1701,'Product Naming'!$A$1:$P$58,10,FALSE)</f>
        <v>0</v>
      </c>
      <c r="AB1701" s="29">
        <f>VLOOKUP($E1701,'Product Naming'!$A$1:$P$58,11,FALSE)</f>
        <v>5.5</v>
      </c>
      <c r="AC1701" s="3">
        <f>VLOOKUP($E1701,'Product Naming'!$A$1:$P$58,12,FALSE)</f>
        <v>90.119200000000006</v>
      </c>
      <c r="AD1701" s="1">
        <f>VLOOKUP($E1701,'Product Naming'!$A$1:$P$58,13,FALSE)</f>
        <v>177</v>
      </c>
      <c r="AE1701" s="1" t="str">
        <f>VLOOKUP($E1701,'Product Naming'!$A$1:$P$58,14,FALSE)</f>
        <v>Diol</v>
      </c>
      <c r="AF1701" s="1" t="str">
        <f>VLOOKUP($E1701,'Product Naming'!$A$1:$P$58,15,FALSE)</f>
        <v>Pyruvate</v>
      </c>
      <c r="AG1701" s="30" t="str">
        <f>VLOOKUP($E1701,'Product Naming'!$A$1:$P$58,16,FALSE)</f>
        <v>Proton symporter</v>
      </c>
      <c r="AH1701" s="3" t="str">
        <f>VLOOKUP($E1701,'Product Naming'!$A$1:$Q$58,17,FALSE)</f>
        <v>btd_RR_c</v>
      </c>
      <c r="AI1701" s="1">
        <f>VLOOKUP($E1701,'Product Parameters'!$A$2:$D$59,2,FALSE)</f>
        <v>1</v>
      </c>
      <c r="AJ1701" s="1">
        <f>VLOOKUP($E1701,'Product Parameters'!$A$2:$D$59,3,FALSE)</f>
        <v>0</v>
      </c>
      <c r="AK1701" s="1">
        <f>VLOOKUP($E1701,'Product Parameters'!$A$2:$D$59,4,FALSE)</f>
        <v>0.12</v>
      </c>
      <c r="AL1701" s="1">
        <f>VLOOKUP($E1701,'Product Parameters'!$A$2:$E$59,5,FALSE)</f>
        <v>63</v>
      </c>
      <c r="AM1701" s="1">
        <f>VLOOKUP($E1701,'Product Parameters'!$A$2:$F$59,6,FALSE)</f>
        <v>4</v>
      </c>
      <c r="AN1701" s="1">
        <f>VLOOKUP($C1701,'Substrate Heating'!$A$2:$C$33,3,FALSE)</f>
        <v>638.57832580000002</v>
      </c>
      <c r="AO1701" s="1">
        <f>VLOOKUP($C1701,'Substrate Heating'!$A$2:$B$33,2,FALSE)</f>
        <v>19.93</v>
      </c>
      <c r="AP1701" s="1">
        <f>VLOOKUP($C1701,'Substrate Heating'!$A$2:$M$33,13,FALSE)</f>
        <v>6</v>
      </c>
      <c r="AQ1701" s="1">
        <f>VLOOKUP($C1701,'Substrate Heating'!$A$2:$M$33,8,FALSE)</f>
        <v>1</v>
      </c>
      <c r="AR1701" s="1">
        <f t="shared" si="26"/>
        <v>1</v>
      </c>
    </row>
    <row r="1702" spans="1:44" x14ac:dyDescent="0.2">
      <c r="A1702" s="8" t="s">
        <v>792</v>
      </c>
      <c r="B1702" s="18" t="s">
        <v>324</v>
      </c>
      <c r="C1702" t="s">
        <v>371</v>
      </c>
      <c r="D1702" s="23" t="s">
        <v>338</v>
      </c>
      <c r="E1702" t="s">
        <v>85</v>
      </c>
      <c r="F1702" t="s">
        <v>86</v>
      </c>
      <c r="G1702">
        <v>-10</v>
      </c>
      <c r="H1702">
        <v>0</v>
      </c>
      <c r="I1702">
        <v>0</v>
      </c>
      <c r="J1702">
        <v>0.45</v>
      </c>
      <c r="K1702">
        <v>-10</v>
      </c>
      <c r="L1702">
        <v>0</v>
      </c>
      <c r="M1702">
        <v>2.5</v>
      </c>
      <c r="N1702">
        <v>0</v>
      </c>
      <c r="O1702">
        <v>2.5</v>
      </c>
      <c r="P1702"/>
      <c r="Q1702">
        <v>0.25</v>
      </c>
      <c r="R1702" s="28" t="s">
        <v>370</v>
      </c>
      <c r="S1702" s="1" t="str">
        <f>VLOOKUP($E1702,'Product Naming'!$A$1:$P$58,2,FALSE)</f>
        <v>2-3-butanediol</v>
      </c>
      <c r="T1702" s="1" t="str">
        <f>VLOOKUP($E1702,'Product Naming'!$A$1:$P$58,3,FALSE)</f>
        <v>2,3-Butanediol</v>
      </c>
      <c r="U1702" s="1" t="str">
        <f>VLOOKUP($E1702,'Product Naming'!$A$1:$P$58,4,FALSE)</f>
        <v>E</v>
      </c>
      <c r="V1702" s="1" t="str">
        <f>VLOOKUP($E1702,'Product Naming'!$A$1:$P$58,5,FALSE)</f>
        <v>C4H10O2</v>
      </c>
      <c r="W1702" s="1">
        <f>VLOOKUP($E1702,'Product Naming'!$A$1:$P$58,6,FALSE)</f>
        <v>4</v>
      </c>
      <c r="X1702" s="1">
        <f>VLOOKUP($E1702,'Product Naming'!$A$1:$P$58,7,FALSE)</f>
        <v>10</v>
      </c>
      <c r="Y1702" s="1">
        <f>VLOOKUP($E1702,'Product Naming'!$A$1:$P$58,8,FALSE)</f>
        <v>2</v>
      </c>
      <c r="Z1702" s="1">
        <f>VLOOKUP($E1702,'Product Naming'!$A$1:$P$58,9,FALSE)</f>
        <v>0</v>
      </c>
      <c r="AA1702" s="1">
        <f>VLOOKUP($E1702,'Product Naming'!$A$1:$P$58,10,FALSE)</f>
        <v>0</v>
      </c>
      <c r="AB1702" s="29">
        <f>VLOOKUP($E1702,'Product Naming'!$A$1:$P$58,11,FALSE)</f>
        <v>5.5</v>
      </c>
      <c r="AC1702" s="3">
        <f>VLOOKUP($E1702,'Product Naming'!$A$1:$P$58,12,FALSE)</f>
        <v>90.119200000000006</v>
      </c>
      <c r="AD1702" s="1">
        <f>VLOOKUP($E1702,'Product Naming'!$A$1:$P$58,13,FALSE)</f>
        <v>177</v>
      </c>
      <c r="AE1702" s="1" t="str">
        <f>VLOOKUP($E1702,'Product Naming'!$A$1:$P$58,14,FALSE)</f>
        <v>Diol</v>
      </c>
      <c r="AF1702" s="1" t="str">
        <f>VLOOKUP($E1702,'Product Naming'!$A$1:$P$58,15,FALSE)</f>
        <v>Pyruvate</v>
      </c>
      <c r="AG1702" s="30" t="str">
        <f>VLOOKUP($E1702,'Product Naming'!$A$1:$P$58,16,FALSE)</f>
        <v>Proton symporter</v>
      </c>
      <c r="AH1702" s="3" t="str">
        <f>VLOOKUP($E1702,'Product Naming'!$A$1:$Q$58,17,FALSE)</f>
        <v>btd_RR_c</v>
      </c>
      <c r="AI1702" s="1">
        <f>VLOOKUP($E1702,'Product Parameters'!$A$2:$D$59,2,FALSE)</f>
        <v>1</v>
      </c>
      <c r="AJ1702" s="1">
        <f>VLOOKUP($E1702,'Product Parameters'!$A$2:$D$59,3,FALSE)</f>
        <v>0</v>
      </c>
      <c r="AK1702" s="1">
        <f>VLOOKUP($E1702,'Product Parameters'!$A$2:$D$59,4,FALSE)</f>
        <v>0.12</v>
      </c>
      <c r="AL1702" s="1">
        <f>VLOOKUP($E1702,'Product Parameters'!$A$2:$E$59,5,FALSE)</f>
        <v>63</v>
      </c>
      <c r="AM1702" s="1">
        <f>VLOOKUP($E1702,'Product Parameters'!$A$2:$F$59,6,FALSE)</f>
        <v>4</v>
      </c>
      <c r="AN1702" s="1">
        <f>VLOOKUP($C1702,'Substrate Heating'!$A$2:$C$33,3,FALSE)</f>
        <v>638.57832580000002</v>
      </c>
      <c r="AO1702" s="1">
        <f>VLOOKUP($C1702,'Substrate Heating'!$A$2:$B$33,2,FALSE)</f>
        <v>19.93</v>
      </c>
      <c r="AP1702" s="1">
        <f>VLOOKUP($C1702,'Substrate Heating'!$A$2:$M$33,13,FALSE)</f>
        <v>6</v>
      </c>
      <c r="AQ1702" s="1">
        <f>VLOOKUP($C1702,'Substrate Heating'!$A$2:$M$33,8,FALSE)</f>
        <v>1</v>
      </c>
      <c r="AR1702" s="1">
        <f t="shared" si="26"/>
        <v>1</v>
      </c>
    </row>
    <row r="1703" spans="1:44" x14ac:dyDescent="0.2">
      <c r="A1703" s="8" t="s">
        <v>792</v>
      </c>
      <c r="B1703" s="18" t="s">
        <v>324</v>
      </c>
      <c r="C1703" t="s">
        <v>372</v>
      </c>
      <c r="D1703" s="23" t="s">
        <v>338</v>
      </c>
      <c r="E1703" t="s">
        <v>85</v>
      </c>
      <c r="F1703" t="s">
        <v>86</v>
      </c>
      <c r="G1703">
        <v>-10</v>
      </c>
      <c r="H1703">
        <v>0</v>
      </c>
      <c r="I1703">
        <v>0</v>
      </c>
      <c r="J1703">
        <v>0.45</v>
      </c>
      <c r="K1703">
        <v>-10</v>
      </c>
      <c r="L1703">
        <v>0</v>
      </c>
      <c r="M1703">
        <v>2.5</v>
      </c>
      <c r="N1703">
        <v>0</v>
      </c>
      <c r="O1703">
        <v>2.5</v>
      </c>
      <c r="P1703"/>
      <c r="Q1703">
        <v>0.25</v>
      </c>
      <c r="R1703" s="28" t="s">
        <v>370</v>
      </c>
      <c r="S1703" s="1" t="str">
        <f>VLOOKUP($E1703,'Product Naming'!$A$1:$P$58,2,FALSE)</f>
        <v>2-3-butanediol</v>
      </c>
      <c r="T1703" s="1" t="str">
        <f>VLOOKUP($E1703,'Product Naming'!$A$1:$P$58,3,FALSE)</f>
        <v>2,3-Butanediol</v>
      </c>
      <c r="U1703" s="1" t="str">
        <f>VLOOKUP($E1703,'Product Naming'!$A$1:$P$58,4,FALSE)</f>
        <v>E</v>
      </c>
      <c r="V1703" s="1" t="str">
        <f>VLOOKUP($E1703,'Product Naming'!$A$1:$P$58,5,FALSE)</f>
        <v>C4H10O2</v>
      </c>
      <c r="W1703" s="1">
        <f>VLOOKUP($E1703,'Product Naming'!$A$1:$P$58,6,FALSE)</f>
        <v>4</v>
      </c>
      <c r="X1703" s="1">
        <f>VLOOKUP($E1703,'Product Naming'!$A$1:$P$58,7,FALSE)</f>
        <v>10</v>
      </c>
      <c r="Y1703" s="1">
        <f>VLOOKUP($E1703,'Product Naming'!$A$1:$P$58,8,FALSE)</f>
        <v>2</v>
      </c>
      <c r="Z1703" s="1">
        <f>VLOOKUP($E1703,'Product Naming'!$A$1:$P$58,9,FALSE)</f>
        <v>0</v>
      </c>
      <c r="AA1703" s="1">
        <f>VLOOKUP($E1703,'Product Naming'!$A$1:$P$58,10,FALSE)</f>
        <v>0</v>
      </c>
      <c r="AB1703" s="29">
        <f>VLOOKUP($E1703,'Product Naming'!$A$1:$P$58,11,FALSE)</f>
        <v>5.5</v>
      </c>
      <c r="AC1703" s="3">
        <f>VLOOKUP($E1703,'Product Naming'!$A$1:$P$58,12,FALSE)</f>
        <v>90.119200000000006</v>
      </c>
      <c r="AD1703" s="1">
        <f>VLOOKUP($E1703,'Product Naming'!$A$1:$P$58,13,FALSE)</f>
        <v>177</v>
      </c>
      <c r="AE1703" s="1" t="str">
        <f>VLOOKUP($E1703,'Product Naming'!$A$1:$P$58,14,FALSE)</f>
        <v>Diol</v>
      </c>
      <c r="AF1703" s="1" t="str">
        <f>VLOOKUP($E1703,'Product Naming'!$A$1:$P$58,15,FALSE)</f>
        <v>Pyruvate</v>
      </c>
      <c r="AG1703" s="30" t="str">
        <f>VLOOKUP($E1703,'Product Naming'!$A$1:$P$58,16,FALSE)</f>
        <v>Proton symporter</v>
      </c>
      <c r="AH1703" s="3" t="str">
        <f>VLOOKUP($E1703,'Product Naming'!$A$1:$Q$58,17,FALSE)</f>
        <v>btd_RR_c</v>
      </c>
      <c r="AI1703" s="1">
        <f>VLOOKUP($E1703,'Product Parameters'!$A$2:$D$59,2,FALSE)</f>
        <v>1</v>
      </c>
      <c r="AJ1703" s="1">
        <f>VLOOKUP($E1703,'Product Parameters'!$A$2:$D$59,3,FALSE)</f>
        <v>0</v>
      </c>
      <c r="AK1703" s="1">
        <f>VLOOKUP($E1703,'Product Parameters'!$A$2:$D$59,4,FALSE)</f>
        <v>0.12</v>
      </c>
      <c r="AL1703" s="1">
        <f>VLOOKUP($E1703,'Product Parameters'!$A$2:$E$59,5,FALSE)</f>
        <v>63</v>
      </c>
      <c r="AM1703" s="1">
        <f>VLOOKUP($E1703,'Product Parameters'!$A$2:$F$59,6,FALSE)</f>
        <v>4</v>
      </c>
      <c r="AN1703" s="1">
        <f>VLOOKUP($C1703,'Substrate Heating'!$A$2:$C$33,3,FALSE)</f>
        <v>638.57832580000002</v>
      </c>
      <c r="AO1703" s="1">
        <f>VLOOKUP($C1703,'Substrate Heating'!$A$2:$B$33,2,FALSE)</f>
        <v>19.93</v>
      </c>
      <c r="AP1703" s="1">
        <f>VLOOKUP($C1703,'Substrate Heating'!$A$2:$M$33,13,FALSE)</f>
        <v>6</v>
      </c>
      <c r="AQ1703" s="1">
        <f>VLOOKUP($C1703,'Substrate Heating'!$A$2:$M$33,8,FALSE)</f>
        <v>1</v>
      </c>
      <c r="AR1703" s="1">
        <f t="shared" si="26"/>
        <v>1</v>
      </c>
    </row>
    <row r="1704" spans="1:44" x14ac:dyDescent="0.2">
      <c r="A1704" s="8" t="s">
        <v>792</v>
      </c>
      <c r="B1704" s="18" t="s">
        <v>324</v>
      </c>
      <c r="C1704" t="s">
        <v>371</v>
      </c>
      <c r="D1704" s="23" t="s">
        <v>338</v>
      </c>
      <c r="E1704" t="s">
        <v>60</v>
      </c>
      <c r="F1704" t="s">
        <v>61</v>
      </c>
      <c r="G1704">
        <v>-10</v>
      </c>
      <c r="H1704">
        <v>0</v>
      </c>
      <c r="I1704">
        <v>0</v>
      </c>
      <c r="J1704">
        <v>0.45</v>
      </c>
      <c r="K1704">
        <v>-10</v>
      </c>
      <c r="L1704">
        <v>0</v>
      </c>
      <c r="M1704" s="28" t="s">
        <v>392</v>
      </c>
      <c r="N1704">
        <v>0</v>
      </c>
      <c r="O1704" s="28" t="s">
        <v>393</v>
      </c>
      <c r="P1704"/>
      <c r="Q1704" s="28" t="s">
        <v>394</v>
      </c>
      <c r="R1704" s="28" t="s">
        <v>395</v>
      </c>
      <c r="S1704" s="1" t="str">
        <f>VLOOKUP($E1704,'Product Naming'!$A$1:$P$58,2,FALSE)</f>
        <v>1-3-Propanediol</v>
      </c>
      <c r="T1704" s="1" t="str">
        <f>VLOOKUP($E1704,'Product Naming'!$A$1:$P$58,3,FALSE)</f>
        <v>1,3-Propanediol</v>
      </c>
      <c r="U1704" s="1" t="str">
        <f>VLOOKUP($E1704,'Product Naming'!$A$1:$P$58,4,FALSE)</f>
        <v>A</v>
      </c>
      <c r="V1704" s="1" t="str">
        <f>VLOOKUP($E1704,'Product Naming'!$A$1:$P$58,5,FALSE)</f>
        <v>C3H8O2</v>
      </c>
      <c r="W1704" s="1">
        <f>VLOOKUP($E1704,'Product Naming'!$A$1:$P$58,6,FALSE)</f>
        <v>3</v>
      </c>
      <c r="X1704" s="1">
        <f>VLOOKUP($E1704,'Product Naming'!$A$1:$P$58,7,FALSE)</f>
        <v>8</v>
      </c>
      <c r="Y1704" s="1">
        <f>VLOOKUP($E1704,'Product Naming'!$A$1:$P$58,8,FALSE)</f>
        <v>2</v>
      </c>
      <c r="Z1704" s="1">
        <f>VLOOKUP($E1704,'Product Naming'!$A$1:$P$58,9,FALSE)</f>
        <v>0</v>
      </c>
      <c r="AA1704" s="1">
        <f>VLOOKUP($E1704,'Product Naming'!$A$1:$P$58,10,FALSE)</f>
        <v>0</v>
      </c>
      <c r="AB1704" s="29">
        <f>VLOOKUP($E1704,'Product Naming'!$A$1:$P$58,11,FALSE)</f>
        <v>5.333333333333333</v>
      </c>
      <c r="AC1704" s="3">
        <f>VLOOKUP($E1704,'Product Naming'!$A$1:$P$58,12,FALSE)</f>
        <v>76.092820000000003</v>
      </c>
      <c r="AD1704" s="1">
        <f>VLOOKUP($E1704,'Product Naming'!$A$1:$P$58,13,FALSE)</f>
        <v>213</v>
      </c>
      <c r="AE1704" s="1" t="str">
        <f>VLOOKUP($E1704,'Product Naming'!$A$1:$P$58,14,FALSE)</f>
        <v>Diol</v>
      </c>
      <c r="AF1704" s="1" t="str">
        <f>VLOOKUP($E1704,'Product Naming'!$A$1:$P$58,15,FALSE)</f>
        <v>Glyceraldehyde 3-P</v>
      </c>
      <c r="AG1704" s="30" t="str">
        <f>VLOOKUP($E1704,'Product Naming'!$A$1:$P$58,16,FALSE)</f>
        <v>Proton symporter</v>
      </c>
      <c r="AH1704" s="3" t="str">
        <f>VLOOKUP($E1704,'Product Naming'!$A$1:$Q$58,17,FALSE)</f>
        <v>13ppd_c</v>
      </c>
      <c r="AI1704" s="1">
        <f>VLOOKUP($E1704,'Product Parameters'!$A$2:$D$59,2,FALSE)</f>
        <v>1</v>
      </c>
      <c r="AJ1704" s="1">
        <f>VLOOKUP($E1704,'Product Parameters'!$A$2:$D$59,3,FALSE)</f>
        <v>0</v>
      </c>
      <c r="AK1704" s="1">
        <f>VLOOKUP($E1704,'Product Parameters'!$A$2:$D$59,4,FALSE)</f>
        <v>0.12</v>
      </c>
      <c r="AL1704" s="1">
        <f>VLOOKUP($E1704,'Product Parameters'!$A$2:$E$59,5,FALSE)</f>
        <v>70</v>
      </c>
      <c r="AM1704" s="1">
        <f>VLOOKUP($E1704,'Product Parameters'!$A$2:$F$59,6,FALSE)</f>
        <v>3</v>
      </c>
      <c r="AN1704" s="1">
        <f>VLOOKUP($C1704,'Substrate Heating'!$A$2:$C$33,3,FALSE)</f>
        <v>638.57832580000002</v>
      </c>
      <c r="AO1704" s="1">
        <f>VLOOKUP($C1704,'Substrate Heating'!$A$2:$B$33,2,FALSE)</f>
        <v>19.93</v>
      </c>
      <c r="AP1704" s="1">
        <f>VLOOKUP($C1704,'Substrate Heating'!$A$2:$M$33,13,FALSE)</f>
        <v>6</v>
      </c>
      <c r="AQ1704" s="1">
        <f>VLOOKUP($C1704,'Substrate Heating'!$A$2:$M$33,8,FALSE)</f>
        <v>1</v>
      </c>
      <c r="AR1704" s="1">
        <f t="shared" si="26"/>
        <v>0.99999999999999889</v>
      </c>
    </row>
    <row r="1705" spans="1:44" x14ac:dyDescent="0.2">
      <c r="A1705" s="8" t="s">
        <v>792</v>
      </c>
      <c r="B1705" s="18" t="s">
        <v>324</v>
      </c>
      <c r="C1705" t="s">
        <v>365</v>
      </c>
      <c r="D1705" s="23" t="s">
        <v>338</v>
      </c>
      <c r="E1705" t="s">
        <v>60</v>
      </c>
      <c r="F1705" t="s">
        <v>61</v>
      </c>
      <c r="G1705">
        <v>-10</v>
      </c>
      <c r="H1705">
        <v>0</v>
      </c>
      <c r="I1705">
        <v>0</v>
      </c>
      <c r="J1705">
        <v>0.45</v>
      </c>
      <c r="K1705">
        <v>-10</v>
      </c>
      <c r="L1705">
        <v>0</v>
      </c>
      <c r="M1705" s="28" t="s">
        <v>387</v>
      </c>
      <c r="N1705">
        <v>0</v>
      </c>
      <c r="O1705" s="28" t="s">
        <v>388</v>
      </c>
      <c r="P1705"/>
      <c r="Q1705" s="28" t="s">
        <v>389</v>
      </c>
      <c r="R1705" s="28" t="s">
        <v>390</v>
      </c>
      <c r="S1705" s="1" t="str">
        <f>VLOOKUP($E1705,'Product Naming'!$A$1:$P$58,2,FALSE)</f>
        <v>1-3-Propanediol</v>
      </c>
      <c r="T1705" s="1" t="str">
        <f>VLOOKUP($E1705,'Product Naming'!$A$1:$P$58,3,FALSE)</f>
        <v>1,3-Propanediol</v>
      </c>
      <c r="U1705" s="1" t="str">
        <f>VLOOKUP($E1705,'Product Naming'!$A$1:$P$58,4,FALSE)</f>
        <v>A</v>
      </c>
      <c r="V1705" s="1" t="str">
        <f>VLOOKUP($E1705,'Product Naming'!$A$1:$P$58,5,FALSE)</f>
        <v>C3H8O2</v>
      </c>
      <c r="W1705" s="1">
        <f>VLOOKUP($E1705,'Product Naming'!$A$1:$P$58,6,FALSE)</f>
        <v>3</v>
      </c>
      <c r="X1705" s="1">
        <f>VLOOKUP($E1705,'Product Naming'!$A$1:$P$58,7,FALSE)</f>
        <v>8</v>
      </c>
      <c r="Y1705" s="1">
        <f>VLOOKUP($E1705,'Product Naming'!$A$1:$P$58,8,FALSE)</f>
        <v>2</v>
      </c>
      <c r="Z1705" s="1">
        <f>VLOOKUP($E1705,'Product Naming'!$A$1:$P$58,9,FALSE)</f>
        <v>0</v>
      </c>
      <c r="AA1705" s="1">
        <f>VLOOKUP($E1705,'Product Naming'!$A$1:$P$58,10,FALSE)</f>
        <v>0</v>
      </c>
      <c r="AB1705" s="29">
        <f>VLOOKUP($E1705,'Product Naming'!$A$1:$P$58,11,FALSE)</f>
        <v>5.333333333333333</v>
      </c>
      <c r="AC1705" s="3">
        <f>VLOOKUP($E1705,'Product Naming'!$A$1:$P$58,12,FALSE)</f>
        <v>76.092820000000003</v>
      </c>
      <c r="AD1705" s="1">
        <f>VLOOKUP($E1705,'Product Naming'!$A$1:$P$58,13,FALSE)</f>
        <v>213</v>
      </c>
      <c r="AE1705" s="1" t="str">
        <f>VLOOKUP($E1705,'Product Naming'!$A$1:$P$58,14,FALSE)</f>
        <v>Diol</v>
      </c>
      <c r="AF1705" s="1" t="str">
        <f>VLOOKUP($E1705,'Product Naming'!$A$1:$P$58,15,FALSE)</f>
        <v>Glyceraldehyde 3-P</v>
      </c>
      <c r="AG1705" s="30" t="str">
        <f>VLOOKUP($E1705,'Product Naming'!$A$1:$P$58,16,FALSE)</f>
        <v>Proton symporter</v>
      </c>
      <c r="AH1705" s="3" t="str">
        <f>VLOOKUP($E1705,'Product Naming'!$A$1:$Q$58,17,FALSE)</f>
        <v>13ppd_c</v>
      </c>
      <c r="AI1705" s="1">
        <f>VLOOKUP($E1705,'Product Parameters'!$A$2:$D$59,2,FALSE)</f>
        <v>1</v>
      </c>
      <c r="AJ1705" s="1">
        <f>VLOOKUP($E1705,'Product Parameters'!$A$2:$D$59,3,FALSE)</f>
        <v>0</v>
      </c>
      <c r="AK1705" s="1">
        <f>VLOOKUP($E1705,'Product Parameters'!$A$2:$D$59,4,FALSE)</f>
        <v>0.12</v>
      </c>
      <c r="AL1705" s="1">
        <f>VLOOKUP($E1705,'Product Parameters'!$A$2:$E$59,5,FALSE)</f>
        <v>70</v>
      </c>
      <c r="AM1705" s="1">
        <f>VLOOKUP($E1705,'Product Parameters'!$A$2:$F$59,6,FALSE)</f>
        <v>3</v>
      </c>
      <c r="AN1705" s="1">
        <f>VLOOKUP($C1705,'Substrate Heating'!$A$2:$C$33,3,FALSE)</f>
        <v>638.57832580000002</v>
      </c>
      <c r="AO1705" s="1">
        <f>VLOOKUP($C1705,'Substrate Heating'!$A$2:$B$33,2,FALSE)</f>
        <v>19.93</v>
      </c>
      <c r="AP1705" s="1">
        <f>VLOOKUP($C1705,'Substrate Heating'!$A$2:$M$33,13,FALSE)</f>
        <v>6</v>
      </c>
      <c r="AQ1705" s="1">
        <f>VLOOKUP($C1705,'Substrate Heating'!$A$2:$M$33,8,FALSE)</f>
        <v>1</v>
      </c>
      <c r="AR1705" s="1">
        <f t="shared" si="26"/>
        <v>0.99999999999999889</v>
      </c>
    </row>
    <row r="1706" spans="1:44" x14ac:dyDescent="0.2">
      <c r="A1706" s="8" t="s">
        <v>792</v>
      </c>
      <c r="B1706" s="18" t="s">
        <v>324</v>
      </c>
      <c r="C1706" t="s">
        <v>372</v>
      </c>
      <c r="D1706" s="23" t="s">
        <v>338</v>
      </c>
      <c r="E1706" t="s">
        <v>60</v>
      </c>
      <c r="F1706" t="s">
        <v>61</v>
      </c>
      <c r="G1706">
        <v>-10</v>
      </c>
      <c r="H1706">
        <v>0</v>
      </c>
      <c r="I1706">
        <v>0</v>
      </c>
      <c r="J1706">
        <v>0.45</v>
      </c>
      <c r="K1706">
        <v>-10</v>
      </c>
      <c r="L1706">
        <v>0</v>
      </c>
      <c r="M1706" s="28" t="s">
        <v>396</v>
      </c>
      <c r="N1706">
        <v>0</v>
      </c>
      <c r="O1706" s="28" t="s">
        <v>397</v>
      </c>
      <c r="P1706"/>
      <c r="Q1706" s="28" t="s">
        <v>398</v>
      </c>
      <c r="R1706" s="28" t="s">
        <v>399</v>
      </c>
      <c r="S1706" s="1" t="str">
        <f>VLOOKUP($E1706,'Product Naming'!$A$1:$P$58,2,FALSE)</f>
        <v>1-3-Propanediol</v>
      </c>
      <c r="T1706" s="1" t="str">
        <f>VLOOKUP($E1706,'Product Naming'!$A$1:$P$58,3,FALSE)</f>
        <v>1,3-Propanediol</v>
      </c>
      <c r="U1706" s="1" t="str">
        <f>VLOOKUP($E1706,'Product Naming'!$A$1:$P$58,4,FALSE)</f>
        <v>A</v>
      </c>
      <c r="V1706" s="1" t="str">
        <f>VLOOKUP($E1706,'Product Naming'!$A$1:$P$58,5,FALSE)</f>
        <v>C3H8O2</v>
      </c>
      <c r="W1706" s="1">
        <f>VLOOKUP($E1706,'Product Naming'!$A$1:$P$58,6,FALSE)</f>
        <v>3</v>
      </c>
      <c r="X1706" s="1">
        <f>VLOOKUP($E1706,'Product Naming'!$A$1:$P$58,7,FALSE)</f>
        <v>8</v>
      </c>
      <c r="Y1706" s="1">
        <f>VLOOKUP($E1706,'Product Naming'!$A$1:$P$58,8,FALSE)</f>
        <v>2</v>
      </c>
      <c r="Z1706" s="1">
        <f>VLOOKUP($E1706,'Product Naming'!$A$1:$P$58,9,FALSE)</f>
        <v>0</v>
      </c>
      <c r="AA1706" s="1">
        <f>VLOOKUP($E1706,'Product Naming'!$A$1:$P$58,10,FALSE)</f>
        <v>0</v>
      </c>
      <c r="AB1706" s="29">
        <f>VLOOKUP($E1706,'Product Naming'!$A$1:$P$58,11,FALSE)</f>
        <v>5.333333333333333</v>
      </c>
      <c r="AC1706" s="3">
        <f>VLOOKUP($E1706,'Product Naming'!$A$1:$P$58,12,FALSE)</f>
        <v>76.092820000000003</v>
      </c>
      <c r="AD1706" s="1">
        <f>VLOOKUP($E1706,'Product Naming'!$A$1:$P$58,13,FALSE)</f>
        <v>213</v>
      </c>
      <c r="AE1706" s="1" t="str">
        <f>VLOOKUP($E1706,'Product Naming'!$A$1:$P$58,14,FALSE)</f>
        <v>Diol</v>
      </c>
      <c r="AF1706" s="1" t="str">
        <f>VLOOKUP($E1706,'Product Naming'!$A$1:$P$58,15,FALSE)</f>
        <v>Glyceraldehyde 3-P</v>
      </c>
      <c r="AG1706" s="30" t="str">
        <f>VLOOKUP($E1706,'Product Naming'!$A$1:$P$58,16,FALSE)</f>
        <v>Proton symporter</v>
      </c>
      <c r="AH1706" s="3" t="str">
        <f>VLOOKUP($E1706,'Product Naming'!$A$1:$Q$58,17,FALSE)</f>
        <v>13ppd_c</v>
      </c>
      <c r="AI1706" s="1">
        <f>VLOOKUP($E1706,'Product Parameters'!$A$2:$D$59,2,FALSE)</f>
        <v>1</v>
      </c>
      <c r="AJ1706" s="1">
        <f>VLOOKUP($E1706,'Product Parameters'!$A$2:$D$59,3,FALSE)</f>
        <v>0</v>
      </c>
      <c r="AK1706" s="1">
        <f>VLOOKUP($E1706,'Product Parameters'!$A$2:$D$59,4,FALSE)</f>
        <v>0.12</v>
      </c>
      <c r="AL1706" s="1">
        <f>VLOOKUP($E1706,'Product Parameters'!$A$2:$E$59,5,FALSE)</f>
        <v>70</v>
      </c>
      <c r="AM1706" s="1">
        <f>VLOOKUP($E1706,'Product Parameters'!$A$2:$F$59,6,FALSE)</f>
        <v>3</v>
      </c>
      <c r="AN1706" s="1">
        <f>VLOOKUP($C1706,'Substrate Heating'!$A$2:$C$33,3,FALSE)</f>
        <v>638.57832580000002</v>
      </c>
      <c r="AO1706" s="1">
        <f>VLOOKUP($C1706,'Substrate Heating'!$A$2:$B$33,2,FALSE)</f>
        <v>19.93</v>
      </c>
      <c r="AP1706" s="1">
        <f>VLOOKUP($C1706,'Substrate Heating'!$A$2:$M$33,13,FALSE)</f>
        <v>6</v>
      </c>
      <c r="AQ1706" s="1">
        <f>VLOOKUP($C1706,'Substrate Heating'!$A$2:$M$33,8,FALSE)</f>
        <v>1</v>
      </c>
      <c r="AR1706" s="1">
        <f t="shared" si="26"/>
        <v>0.99999999999999889</v>
      </c>
    </row>
  </sheetData>
  <phoneticPr fontId="8" type="noConversion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34EC5-95CF-471C-8EAD-05BE6FFB55F5}">
  <dimension ref="A1:H1313"/>
  <sheetViews>
    <sheetView workbookViewId="0">
      <selection activeCell="A59" sqref="A2:A59"/>
    </sheetView>
  </sheetViews>
  <sheetFormatPr defaultRowHeight="12.75" x14ac:dyDescent="0.2"/>
  <cols>
    <col min="1" max="1" width="20" style="1" customWidth="1"/>
  </cols>
  <sheetData>
    <row r="1" spans="1:8" x14ac:dyDescent="0.2">
      <c r="A1" s="4" t="s">
        <v>4</v>
      </c>
      <c r="B1" s="26" t="s">
        <v>353</v>
      </c>
      <c r="C1" s="26" t="s">
        <v>354</v>
      </c>
      <c r="D1" s="27" t="s">
        <v>360</v>
      </c>
      <c r="E1" t="s">
        <v>362</v>
      </c>
      <c r="F1" t="s">
        <v>810</v>
      </c>
    </row>
    <row r="2" spans="1:8" x14ac:dyDescent="0.2">
      <c r="A2" s="1" t="s">
        <v>38</v>
      </c>
      <c r="B2">
        <v>1</v>
      </c>
      <c r="C2">
        <v>0</v>
      </c>
      <c r="D2">
        <v>0.12</v>
      </c>
      <c r="E2">
        <v>72.599999999999994</v>
      </c>
      <c r="F2">
        <v>4</v>
      </c>
    </row>
    <row r="3" spans="1:8" x14ac:dyDescent="0.2">
      <c r="A3" s="1" t="s">
        <v>48</v>
      </c>
      <c r="B3">
        <v>1</v>
      </c>
      <c r="C3">
        <v>0</v>
      </c>
      <c r="D3">
        <v>0.12</v>
      </c>
      <c r="E3">
        <v>72.599999999999994</v>
      </c>
      <c r="F3">
        <v>4</v>
      </c>
    </row>
    <row r="4" spans="1:8" x14ac:dyDescent="0.2">
      <c r="A4" s="1" t="s">
        <v>52</v>
      </c>
      <c r="B4">
        <v>1</v>
      </c>
      <c r="C4">
        <v>0</v>
      </c>
      <c r="D4">
        <v>0.12</v>
      </c>
      <c r="E4">
        <v>50.18</v>
      </c>
      <c r="F4">
        <v>3</v>
      </c>
    </row>
    <row r="5" spans="1:8" x14ac:dyDescent="0.2">
      <c r="A5" s="1" t="s">
        <v>60</v>
      </c>
      <c r="B5">
        <v>1</v>
      </c>
      <c r="C5">
        <v>0</v>
      </c>
      <c r="D5">
        <v>0.12</v>
      </c>
      <c r="E5">
        <v>70</v>
      </c>
      <c r="F5">
        <v>3</v>
      </c>
    </row>
    <row r="6" spans="1:8" x14ac:dyDescent="0.2">
      <c r="A6" s="1" t="s">
        <v>66</v>
      </c>
      <c r="B6">
        <v>1</v>
      </c>
      <c r="C6">
        <v>0</v>
      </c>
      <c r="D6">
        <v>0.12</v>
      </c>
      <c r="E6">
        <v>78</v>
      </c>
      <c r="F6">
        <v>4</v>
      </c>
    </row>
    <row r="7" spans="1:8" x14ac:dyDescent="0.2">
      <c r="A7" s="1" t="s">
        <v>72</v>
      </c>
      <c r="B7">
        <v>1</v>
      </c>
      <c r="C7">
        <v>0</v>
      </c>
      <c r="D7">
        <v>0.12</v>
      </c>
      <c r="E7">
        <v>47</v>
      </c>
      <c r="F7">
        <v>3</v>
      </c>
    </row>
    <row r="8" spans="1:8" x14ac:dyDescent="0.2">
      <c r="A8" s="1" t="s">
        <v>81</v>
      </c>
      <c r="B8">
        <v>1</v>
      </c>
      <c r="C8">
        <v>0</v>
      </c>
      <c r="D8">
        <v>0.12</v>
      </c>
      <c r="E8">
        <v>47</v>
      </c>
      <c r="F8">
        <v>3</v>
      </c>
      <c r="H8" t="s">
        <v>361</v>
      </c>
    </row>
    <row r="9" spans="1:8" x14ac:dyDescent="0.2">
      <c r="A9" s="1" t="s">
        <v>85</v>
      </c>
      <c r="B9">
        <v>1</v>
      </c>
      <c r="C9">
        <v>0</v>
      </c>
      <c r="D9">
        <v>0.12</v>
      </c>
      <c r="E9">
        <v>63</v>
      </c>
      <c r="F9">
        <v>4</v>
      </c>
    </row>
    <row r="10" spans="1:8" x14ac:dyDescent="0.2">
      <c r="A10" s="1" t="s">
        <v>91</v>
      </c>
      <c r="B10">
        <v>1</v>
      </c>
      <c r="C10">
        <v>0</v>
      </c>
      <c r="D10">
        <v>0.12</v>
      </c>
      <c r="E10">
        <v>54.6</v>
      </c>
      <c r="F10">
        <v>5</v>
      </c>
    </row>
    <row r="11" spans="1:8" x14ac:dyDescent="0.2">
      <c r="A11" s="1" t="s">
        <v>97</v>
      </c>
      <c r="B11">
        <v>1</v>
      </c>
      <c r="C11">
        <v>0</v>
      </c>
      <c r="D11">
        <v>0.12</v>
      </c>
      <c r="E11">
        <v>0</v>
      </c>
      <c r="F11">
        <v>7</v>
      </c>
    </row>
    <row r="12" spans="1:8" x14ac:dyDescent="0.2">
      <c r="A12" s="1" t="s">
        <v>103</v>
      </c>
      <c r="B12">
        <v>1</v>
      </c>
      <c r="C12">
        <v>0</v>
      </c>
      <c r="D12">
        <v>0.12</v>
      </c>
      <c r="E12">
        <v>61.7</v>
      </c>
      <c r="F12">
        <v>6</v>
      </c>
    </row>
    <row r="13" spans="1:8" x14ac:dyDescent="0.2">
      <c r="A13" s="1" t="s">
        <v>108</v>
      </c>
      <c r="B13">
        <v>1</v>
      </c>
      <c r="C13">
        <v>0</v>
      </c>
      <c r="D13">
        <v>0.12</v>
      </c>
      <c r="E13">
        <v>40.65</v>
      </c>
      <c r="F13">
        <v>8</v>
      </c>
      <c r="G13" t="s">
        <v>355</v>
      </c>
    </row>
    <row r="14" spans="1:8" x14ac:dyDescent="0.2">
      <c r="A14" s="1" t="s">
        <v>114</v>
      </c>
      <c r="B14">
        <v>1</v>
      </c>
      <c r="C14">
        <v>0</v>
      </c>
      <c r="D14">
        <v>0.12</v>
      </c>
      <c r="E14">
        <v>40.65</v>
      </c>
      <c r="F14">
        <v>5</v>
      </c>
      <c r="G14" t="s">
        <v>355</v>
      </c>
    </row>
    <row r="15" spans="1:8" x14ac:dyDescent="0.2">
      <c r="A15" s="1" t="s">
        <v>119</v>
      </c>
      <c r="B15">
        <v>1</v>
      </c>
      <c r="C15">
        <v>0</v>
      </c>
      <c r="D15">
        <v>0.12</v>
      </c>
      <c r="E15">
        <v>31.3</v>
      </c>
      <c r="F15">
        <v>3</v>
      </c>
      <c r="G15" t="s">
        <v>356</v>
      </c>
    </row>
    <row r="16" spans="1:8" x14ac:dyDescent="0.2">
      <c r="A16" s="1" t="s">
        <v>124</v>
      </c>
      <c r="B16">
        <v>1</v>
      </c>
      <c r="C16">
        <v>0</v>
      </c>
      <c r="D16">
        <v>0.12</v>
      </c>
      <c r="E16">
        <v>53.1</v>
      </c>
      <c r="F16">
        <v>3</v>
      </c>
    </row>
    <row r="17" spans="1:7" x14ac:dyDescent="0.2">
      <c r="A17" s="1" t="s">
        <v>130</v>
      </c>
      <c r="B17">
        <v>1</v>
      </c>
      <c r="C17">
        <v>0</v>
      </c>
      <c r="D17">
        <v>0.12</v>
      </c>
      <c r="E17">
        <v>53.1</v>
      </c>
      <c r="F17">
        <v>3</v>
      </c>
    </row>
    <row r="18" spans="1:7" x14ac:dyDescent="0.2">
      <c r="A18" s="1" t="s">
        <v>132</v>
      </c>
      <c r="B18">
        <v>1</v>
      </c>
      <c r="C18">
        <v>0</v>
      </c>
      <c r="D18">
        <v>0.12</v>
      </c>
      <c r="E18">
        <v>40.65</v>
      </c>
      <c r="F18">
        <v>6</v>
      </c>
      <c r="G18" t="s">
        <v>355</v>
      </c>
    </row>
    <row r="19" spans="1:7" x14ac:dyDescent="0.2">
      <c r="A19" s="1" t="s">
        <v>136</v>
      </c>
      <c r="B19">
        <v>1</v>
      </c>
      <c r="C19">
        <v>0</v>
      </c>
      <c r="D19">
        <v>0.12</v>
      </c>
      <c r="E19">
        <v>40.65</v>
      </c>
      <c r="F19">
        <v>7</v>
      </c>
      <c r="G19" t="s">
        <v>355</v>
      </c>
    </row>
    <row r="20" spans="1:7" x14ac:dyDescent="0.2">
      <c r="A20" s="1" t="s">
        <v>143</v>
      </c>
      <c r="B20">
        <v>1</v>
      </c>
      <c r="C20">
        <v>0</v>
      </c>
      <c r="D20">
        <v>0.12</v>
      </c>
      <c r="E20">
        <v>40.65</v>
      </c>
      <c r="F20">
        <v>7</v>
      </c>
      <c r="G20" t="s">
        <v>355</v>
      </c>
    </row>
    <row r="21" spans="1:7" x14ac:dyDescent="0.2">
      <c r="A21" s="1" t="s">
        <v>145</v>
      </c>
      <c r="B21">
        <v>1</v>
      </c>
      <c r="C21">
        <v>0</v>
      </c>
      <c r="D21">
        <v>0.12</v>
      </c>
      <c r="E21">
        <v>63</v>
      </c>
      <c r="F21">
        <v>7</v>
      </c>
    </row>
    <row r="22" spans="1:7" x14ac:dyDescent="0.2">
      <c r="A22" s="1" t="s">
        <v>151</v>
      </c>
      <c r="B22">
        <v>1</v>
      </c>
      <c r="C22">
        <v>0</v>
      </c>
      <c r="D22">
        <v>0.12</v>
      </c>
      <c r="E22">
        <v>40.65</v>
      </c>
      <c r="F22">
        <v>40</v>
      </c>
      <c r="G22" t="s">
        <v>355</v>
      </c>
    </row>
    <row r="23" spans="1:7" x14ac:dyDescent="0.2">
      <c r="A23" s="1" t="s">
        <v>158</v>
      </c>
      <c r="B23">
        <v>0</v>
      </c>
      <c r="C23">
        <v>1</v>
      </c>
      <c r="D23">
        <v>0.12</v>
      </c>
      <c r="E23">
        <v>0</v>
      </c>
      <c r="F23">
        <v>4</v>
      </c>
    </row>
    <row r="24" spans="1:7" x14ac:dyDescent="0.2">
      <c r="A24" s="1" t="s">
        <v>164</v>
      </c>
      <c r="B24">
        <v>1</v>
      </c>
      <c r="C24">
        <v>0</v>
      </c>
      <c r="D24">
        <v>0.12</v>
      </c>
      <c r="E24">
        <v>52</v>
      </c>
      <c r="F24">
        <v>4</v>
      </c>
    </row>
    <row r="25" spans="1:7" x14ac:dyDescent="0.2">
      <c r="A25" s="1" t="s">
        <v>169</v>
      </c>
      <c r="B25">
        <v>1</v>
      </c>
      <c r="C25">
        <v>0</v>
      </c>
      <c r="D25">
        <v>0.12</v>
      </c>
      <c r="E25">
        <v>52</v>
      </c>
      <c r="F25">
        <v>4</v>
      </c>
    </row>
    <row r="26" spans="1:7" x14ac:dyDescent="0.2">
      <c r="A26" s="1" t="s">
        <v>171</v>
      </c>
      <c r="B26">
        <v>1</v>
      </c>
      <c r="C26">
        <v>0</v>
      </c>
      <c r="D26">
        <v>0.12</v>
      </c>
      <c r="E26">
        <v>42</v>
      </c>
      <c r="F26">
        <v>4</v>
      </c>
    </row>
    <row r="27" spans="1:7" x14ac:dyDescent="0.2">
      <c r="A27" s="1" t="s">
        <v>175</v>
      </c>
      <c r="B27">
        <v>1</v>
      </c>
      <c r="C27">
        <v>0</v>
      </c>
      <c r="D27">
        <v>0.12</v>
      </c>
      <c r="E27">
        <v>40.65</v>
      </c>
      <c r="F27">
        <v>6</v>
      </c>
      <c r="G27" t="s">
        <v>355</v>
      </c>
    </row>
    <row r="28" spans="1:7" x14ac:dyDescent="0.2">
      <c r="A28" s="1" t="s">
        <v>180</v>
      </c>
      <c r="B28">
        <v>1</v>
      </c>
      <c r="C28">
        <v>0</v>
      </c>
      <c r="D28">
        <v>0.12</v>
      </c>
      <c r="E28">
        <v>40.65</v>
      </c>
      <c r="F28">
        <v>6</v>
      </c>
      <c r="G28" t="s">
        <v>364</v>
      </c>
    </row>
    <row r="29" spans="1:7" x14ac:dyDescent="0.2">
      <c r="A29" t="s">
        <v>186</v>
      </c>
      <c r="B29">
        <v>1</v>
      </c>
      <c r="C29">
        <v>0</v>
      </c>
      <c r="D29">
        <v>0.12</v>
      </c>
      <c r="E29">
        <v>40.65</v>
      </c>
      <c r="F29">
        <v>6</v>
      </c>
      <c r="G29" t="s">
        <v>355</v>
      </c>
    </row>
    <row r="30" spans="1:7" x14ac:dyDescent="0.2">
      <c r="A30" s="1" t="s">
        <v>192</v>
      </c>
      <c r="B30">
        <v>1</v>
      </c>
      <c r="C30">
        <v>0</v>
      </c>
      <c r="D30">
        <v>0.12</v>
      </c>
      <c r="E30">
        <v>40.65</v>
      </c>
      <c r="F30">
        <v>9</v>
      </c>
      <c r="G30" t="s">
        <v>357</v>
      </c>
    </row>
    <row r="31" spans="1:7" x14ac:dyDescent="0.2">
      <c r="A31" s="1" t="s">
        <v>198</v>
      </c>
      <c r="B31">
        <v>1</v>
      </c>
      <c r="C31">
        <v>0</v>
      </c>
      <c r="D31">
        <v>0.12</v>
      </c>
      <c r="E31">
        <v>35</v>
      </c>
      <c r="F31">
        <v>4</v>
      </c>
    </row>
    <row r="32" spans="1:7" x14ac:dyDescent="0.2">
      <c r="A32" s="1" t="s">
        <v>204</v>
      </c>
      <c r="B32">
        <v>1</v>
      </c>
      <c r="C32">
        <v>0</v>
      </c>
      <c r="D32">
        <v>0.12</v>
      </c>
      <c r="E32">
        <v>0</v>
      </c>
      <c r="F32">
        <v>15</v>
      </c>
    </row>
    <row r="33" spans="1:7" x14ac:dyDescent="0.2">
      <c r="A33" s="1" t="s">
        <v>209</v>
      </c>
      <c r="B33">
        <v>1</v>
      </c>
      <c r="C33">
        <v>0</v>
      </c>
      <c r="D33">
        <v>0.12</v>
      </c>
      <c r="E33">
        <v>0</v>
      </c>
      <c r="F33">
        <v>4</v>
      </c>
    </row>
    <row r="34" spans="1:7" x14ac:dyDescent="0.2">
      <c r="A34" t="s">
        <v>215</v>
      </c>
      <c r="B34">
        <v>1</v>
      </c>
      <c r="C34">
        <v>0</v>
      </c>
      <c r="D34">
        <v>0.12</v>
      </c>
      <c r="E34">
        <v>40.65</v>
      </c>
      <c r="F34">
        <v>5</v>
      </c>
      <c r="G34" t="s">
        <v>355</v>
      </c>
    </row>
    <row r="35" spans="1:7" x14ac:dyDescent="0.2">
      <c r="A35" s="1" t="s">
        <v>221</v>
      </c>
      <c r="B35">
        <v>1</v>
      </c>
      <c r="C35">
        <v>0</v>
      </c>
      <c r="D35">
        <v>0.12</v>
      </c>
      <c r="E35">
        <v>40.65</v>
      </c>
      <c r="F35">
        <v>5</v>
      </c>
      <c r="G35" t="s">
        <v>355</v>
      </c>
    </row>
    <row r="36" spans="1:7" x14ac:dyDescent="0.2">
      <c r="A36" t="s">
        <v>225</v>
      </c>
      <c r="B36">
        <v>1</v>
      </c>
      <c r="C36">
        <v>0</v>
      </c>
      <c r="D36">
        <v>0.12</v>
      </c>
      <c r="E36">
        <v>40.65</v>
      </c>
      <c r="F36">
        <v>2</v>
      </c>
      <c r="G36" t="s">
        <v>355</v>
      </c>
    </row>
    <row r="37" spans="1:7" x14ac:dyDescent="0.2">
      <c r="A37" t="s">
        <v>232</v>
      </c>
      <c r="B37">
        <v>1</v>
      </c>
      <c r="C37">
        <v>0</v>
      </c>
      <c r="D37">
        <v>0.12</v>
      </c>
      <c r="E37">
        <v>36</v>
      </c>
      <c r="F37">
        <v>7</v>
      </c>
    </row>
    <row r="38" spans="1:7" x14ac:dyDescent="0.2">
      <c r="A38" t="s">
        <v>236</v>
      </c>
      <c r="B38">
        <v>1</v>
      </c>
      <c r="C38">
        <v>0</v>
      </c>
      <c r="D38">
        <v>0.12</v>
      </c>
      <c r="E38">
        <v>31</v>
      </c>
      <c r="F38">
        <v>6</v>
      </c>
    </row>
    <row r="39" spans="1:7" x14ac:dyDescent="0.2">
      <c r="A39" s="1" t="s">
        <v>240</v>
      </c>
      <c r="B39">
        <v>1</v>
      </c>
      <c r="C39">
        <v>0</v>
      </c>
      <c r="D39">
        <v>0.12</v>
      </c>
      <c r="E39">
        <v>51</v>
      </c>
      <c r="F39">
        <v>5</v>
      </c>
    </row>
    <row r="40" spans="1:7" x14ac:dyDescent="0.2">
      <c r="A40" s="1" t="s">
        <v>244</v>
      </c>
      <c r="B40">
        <v>1</v>
      </c>
      <c r="C40">
        <v>0</v>
      </c>
      <c r="D40">
        <v>0.12</v>
      </c>
      <c r="E40">
        <v>44.5</v>
      </c>
      <c r="F40">
        <v>4</v>
      </c>
    </row>
    <row r="41" spans="1:7" x14ac:dyDescent="0.2">
      <c r="A41" s="1" t="s">
        <v>247</v>
      </c>
      <c r="B41">
        <v>0</v>
      </c>
      <c r="C41">
        <v>1</v>
      </c>
      <c r="D41">
        <v>0.12</v>
      </c>
      <c r="E41">
        <v>26.4</v>
      </c>
      <c r="F41">
        <v>5</v>
      </c>
      <c r="G41" t="s">
        <v>358</v>
      </c>
    </row>
    <row r="42" spans="1:7" x14ac:dyDescent="0.2">
      <c r="A42" s="1" t="s">
        <v>251</v>
      </c>
      <c r="B42">
        <v>1</v>
      </c>
      <c r="C42">
        <v>0</v>
      </c>
      <c r="D42">
        <v>0.12</v>
      </c>
      <c r="E42">
        <v>45</v>
      </c>
      <c r="F42">
        <v>3</v>
      </c>
    </row>
    <row r="43" spans="1:7" x14ac:dyDescent="0.2">
      <c r="A43" s="1" t="s">
        <v>254</v>
      </c>
      <c r="B43">
        <v>1</v>
      </c>
      <c r="C43">
        <v>0</v>
      </c>
      <c r="D43">
        <v>0.12</v>
      </c>
      <c r="E43">
        <v>40.65</v>
      </c>
      <c r="F43">
        <v>5</v>
      </c>
      <c r="G43" t="s">
        <v>355</v>
      </c>
    </row>
    <row r="44" spans="1:7" x14ac:dyDescent="0.2">
      <c r="A44" t="s">
        <v>259</v>
      </c>
      <c r="B44">
        <v>1</v>
      </c>
      <c r="C44">
        <v>0</v>
      </c>
      <c r="D44">
        <v>0.12</v>
      </c>
      <c r="E44">
        <v>49.5</v>
      </c>
      <c r="F44">
        <v>10</v>
      </c>
    </row>
    <row r="45" spans="1:7" x14ac:dyDescent="0.2">
      <c r="A45" t="s">
        <v>264</v>
      </c>
      <c r="B45">
        <v>1</v>
      </c>
      <c r="C45">
        <v>0</v>
      </c>
      <c r="D45">
        <v>0.12</v>
      </c>
      <c r="E45">
        <v>40.65</v>
      </c>
      <c r="F45">
        <v>6</v>
      </c>
      <c r="G45" t="s">
        <v>355</v>
      </c>
    </row>
    <row r="46" spans="1:7" x14ac:dyDescent="0.2">
      <c r="A46" t="s">
        <v>269</v>
      </c>
      <c r="B46">
        <v>1</v>
      </c>
      <c r="C46">
        <v>0</v>
      </c>
      <c r="D46">
        <v>0.12</v>
      </c>
      <c r="E46">
        <v>40.65</v>
      </c>
      <c r="F46">
        <v>4</v>
      </c>
      <c r="G46" t="s">
        <v>355</v>
      </c>
    </row>
    <row r="47" spans="1:7" x14ac:dyDescent="0.2">
      <c r="A47" s="1" t="s">
        <v>275</v>
      </c>
      <c r="B47">
        <v>1</v>
      </c>
      <c r="C47">
        <v>0</v>
      </c>
      <c r="D47">
        <v>0.12</v>
      </c>
      <c r="E47">
        <v>40.65</v>
      </c>
      <c r="F47">
        <v>3</v>
      </c>
      <c r="G47" t="s">
        <v>355</v>
      </c>
    </row>
    <row r="48" spans="1:7" x14ac:dyDescent="0.2">
      <c r="A48" t="s">
        <v>279</v>
      </c>
      <c r="B48">
        <v>1</v>
      </c>
      <c r="C48">
        <v>0</v>
      </c>
      <c r="D48">
        <v>0.12</v>
      </c>
      <c r="E48">
        <v>46.5</v>
      </c>
      <c r="F48">
        <v>9</v>
      </c>
    </row>
    <row r="49" spans="1:7" x14ac:dyDescent="0.2">
      <c r="A49" t="s">
        <v>283</v>
      </c>
      <c r="B49">
        <v>1</v>
      </c>
      <c r="C49">
        <v>0</v>
      </c>
      <c r="D49">
        <v>0.12</v>
      </c>
      <c r="E49">
        <v>41</v>
      </c>
      <c r="F49">
        <v>8</v>
      </c>
    </row>
    <row r="50" spans="1:7" x14ac:dyDescent="0.2">
      <c r="A50" s="1" t="s">
        <v>287</v>
      </c>
      <c r="B50">
        <v>0</v>
      </c>
      <c r="C50">
        <v>1</v>
      </c>
      <c r="D50">
        <v>0.12</v>
      </c>
      <c r="E50">
        <v>26.5</v>
      </c>
      <c r="F50">
        <v>5</v>
      </c>
      <c r="G50" t="s">
        <v>359</v>
      </c>
    </row>
    <row r="51" spans="1:7" x14ac:dyDescent="0.2">
      <c r="A51" s="1" t="s">
        <v>291</v>
      </c>
      <c r="B51">
        <v>1</v>
      </c>
      <c r="C51">
        <v>0</v>
      </c>
      <c r="D51">
        <v>0.12</v>
      </c>
      <c r="E51">
        <v>57</v>
      </c>
      <c r="F51">
        <v>5</v>
      </c>
    </row>
    <row r="52" spans="1:7" x14ac:dyDescent="0.2">
      <c r="A52" s="1" t="s">
        <v>295</v>
      </c>
      <c r="B52">
        <v>1</v>
      </c>
      <c r="C52">
        <v>0</v>
      </c>
      <c r="D52">
        <v>0.12</v>
      </c>
      <c r="E52">
        <v>57</v>
      </c>
      <c r="F52">
        <v>5</v>
      </c>
    </row>
    <row r="53" spans="1:7" x14ac:dyDescent="0.2">
      <c r="A53" s="1" t="s">
        <v>297</v>
      </c>
      <c r="B53">
        <v>1</v>
      </c>
      <c r="C53">
        <v>0</v>
      </c>
      <c r="D53">
        <v>0.12</v>
      </c>
      <c r="E53">
        <v>58.8</v>
      </c>
      <c r="F53">
        <v>6</v>
      </c>
    </row>
    <row r="54" spans="1:7" x14ac:dyDescent="0.2">
      <c r="A54" s="1" t="s">
        <v>301</v>
      </c>
      <c r="B54">
        <v>0</v>
      </c>
      <c r="C54">
        <v>1</v>
      </c>
      <c r="D54">
        <v>0.12</v>
      </c>
      <c r="E54">
        <v>0</v>
      </c>
      <c r="F54">
        <v>3</v>
      </c>
    </row>
    <row r="55" spans="1:7" x14ac:dyDescent="0.2">
      <c r="A55" s="1" t="s">
        <v>306</v>
      </c>
      <c r="B55">
        <v>0</v>
      </c>
      <c r="C55">
        <v>1</v>
      </c>
      <c r="D55">
        <v>0.12</v>
      </c>
      <c r="E55">
        <v>0</v>
      </c>
      <c r="F55">
        <v>3</v>
      </c>
    </row>
    <row r="56" spans="1:7" x14ac:dyDescent="0.2">
      <c r="A56" s="1" t="s">
        <v>308</v>
      </c>
      <c r="B56">
        <v>1</v>
      </c>
      <c r="C56">
        <v>0</v>
      </c>
      <c r="D56">
        <v>0.12</v>
      </c>
      <c r="E56">
        <v>40.65</v>
      </c>
      <c r="F56">
        <v>7</v>
      </c>
      <c r="G56" t="s">
        <v>355</v>
      </c>
    </row>
    <row r="57" spans="1:7" x14ac:dyDescent="0.2">
      <c r="A57" s="1" t="s">
        <v>313</v>
      </c>
      <c r="B57">
        <v>1</v>
      </c>
      <c r="C57">
        <v>0</v>
      </c>
      <c r="D57">
        <v>0.12</v>
      </c>
      <c r="E57">
        <v>43.9</v>
      </c>
      <c r="F57">
        <v>8</v>
      </c>
    </row>
    <row r="58" spans="1:7" x14ac:dyDescent="0.2">
      <c r="A58" t="s">
        <v>318</v>
      </c>
      <c r="B58">
        <v>1</v>
      </c>
      <c r="C58">
        <v>0</v>
      </c>
      <c r="D58">
        <v>0.12</v>
      </c>
      <c r="E58">
        <v>40.65</v>
      </c>
      <c r="F58">
        <v>4</v>
      </c>
      <c r="G58" t="s">
        <v>355</v>
      </c>
    </row>
    <row r="59" spans="1:7" x14ac:dyDescent="0.2">
      <c r="A59" t="s">
        <v>332</v>
      </c>
      <c r="B59">
        <v>1</v>
      </c>
      <c r="C59">
        <v>0</v>
      </c>
      <c r="D59">
        <v>0.12</v>
      </c>
      <c r="E59">
        <v>42.3</v>
      </c>
      <c r="F59">
        <v>2</v>
      </c>
    </row>
    <row r="60" spans="1:7" x14ac:dyDescent="0.2">
      <c r="A60"/>
    </row>
    <row r="61" spans="1:7" x14ac:dyDescent="0.2">
      <c r="A61"/>
      <c r="E61">
        <f>AVERAGE(E50,E41,E38,E37,E31,E15)</f>
        <v>31.033333333333335</v>
      </c>
    </row>
    <row r="62" spans="1:7" x14ac:dyDescent="0.2">
      <c r="A62"/>
    </row>
    <row r="63" spans="1:7" x14ac:dyDescent="0.2">
      <c r="A63"/>
    </row>
    <row r="64" spans="1:7" x14ac:dyDescent="0.2">
      <c r="A64"/>
    </row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  <row r="843" customFormat="1" x14ac:dyDescent="0.2"/>
    <row r="844" customFormat="1" x14ac:dyDescent="0.2"/>
    <row r="845" customFormat="1" x14ac:dyDescent="0.2"/>
    <row r="846" customFormat="1" x14ac:dyDescent="0.2"/>
    <row r="847" customFormat="1" x14ac:dyDescent="0.2"/>
    <row r="848" customFormat="1" x14ac:dyDescent="0.2"/>
    <row r="849" customFormat="1" x14ac:dyDescent="0.2"/>
    <row r="850" customFormat="1" x14ac:dyDescent="0.2"/>
    <row r="851" customFormat="1" x14ac:dyDescent="0.2"/>
    <row r="852" customFormat="1" x14ac:dyDescent="0.2"/>
    <row r="853" customFormat="1" x14ac:dyDescent="0.2"/>
    <row r="854" customFormat="1" x14ac:dyDescent="0.2"/>
    <row r="855" customFormat="1" x14ac:dyDescent="0.2"/>
    <row r="856" customFormat="1" x14ac:dyDescent="0.2"/>
    <row r="857" customFormat="1" x14ac:dyDescent="0.2"/>
    <row r="858" customFormat="1" x14ac:dyDescent="0.2"/>
    <row r="859" customFormat="1" x14ac:dyDescent="0.2"/>
    <row r="860" customFormat="1" x14ac:dyDescent="0.2"/>
    <row r="861" customFormat="1" x14ac:dyDescent="0.2"/>
    <row r="862" customFormat="1" x14ac:dyDescent="0.2"/>
    <row r="863" customFormat="1" x14ac:dyDescent="0.2"/>
    <row r="864" customFormat="1" x14ac:dyDescent="0.2"/>
    <row r="865" customFormat="1" x14ac:dyDescent="0.2"/>
    <row r="866" customFormat="1" x14ac:dyDescent="0.2"/>
    <row r="867" customFormat="1" x14ac:dyDescent="0.2"/>
    <row r="868" customFormat="1" x14ac:dyDescent="0.2"/>
    <row r="869" customFormat="1" x14ac:dyDescent="0.2"/>
    <row r="870" customFormat="1" x14ac:dyDescent="0.2"/>
    <row r="871" customFormat="1" x14ac:dyDescent="0.2"/>
    <row r="872" customFormat="1" x14ac:dyDescent="0.2"/>
    <row r="873" customFormat="1" x14ac:dyDescent="0.2"/>
    <row r="874" customFormat="1" x14ac:dyDescent="0.2"/>
    <row r="875" customFormat="1" x14ac:dyDescent="0.2"/>
    <row r="876" customFormat="1" x14ac:dyDescent="0.2"/>
    <row r="877" customFormat="1" x14ac:dyDescent="0.2"/>
    <row r="878" customFormat="1" x14ac:dyDescent="0.2"/>
    <row r="879" customFormat="1" x14ac:dyDescent="0.2"/>
    <row r="880" customFormat="1" x14ac:dyDescent="0.2"/>
    <row r="881" customFormat="1" x14ac:dyDescent="0.2"/>
    <row r="882" customFormat="1" x14ac:dyDescent="0.2"/>
    <row r="883" customFormat="1" x14ac:dyDescent="0.2"/>
    <row r="884" customFormat="1" x14ac:dyDescent="0.2"/>
    <row r="885" customFormat="1" x14ac:dyDescent="0.2"/>
    <row r="886" customFormat="1" x14ac:dyDescent="0.2"/>
    <row r="887" customFormat="1" x14ac:dyDescent="0.2"/>
    <row r="888" customFormat="1" x14ac:dyDescent="0.2"/>
    <row r="889" customFormat="1" x14ac:dyDescent="0.2"/>
    <row r="890" customFormat="1" x14ac:dyDescent="0.2"/>
    <row r="891" customFormat="1" x14ac:dyDescent="0.2"/>
    <row r="892" customFormat="1" x14ac:dyDescent="0.2"/>
    <row r="893" customFormat="1" x14ac:dyDescent="0.2"/>
    <row r="894" customFormat="1" x14ac:dyDescent="0.2"/>
    <row r="895" customFormat="1" x14ac:dyDescent="0.2"/>
    <row r="896" customFormat="1" x14ac:dyDescent="0.2"/>
    <row r="897" customFormat="1" x14ac:dyDescent="0.2"/>
    <row r="898" customFormat="1" x14ac:dyDescent="0.2"/>
    <row r="899" customFormat="1" x14ac:dyDescent="0.2"/>
    <row r="900" customFormat="1" x14ac:dyDescent="0.2"/>
    <row r="901" customFormat="1" x14ac:dyDescent="0.2"/>
    <row r="902" customFormat="1" x14ac:dyDescent="0.2"/>
    <row r="903" customFormat="1" x14ac:dyDescent="0.2"/>
    <row r="904" customFormat="1" x14ac:dyDescent="0.2"/>
    <row r="905" customFormat="1" x14ac:dyDescent="0.2"/>
    <row r="906" customFormat="1" x14ac:dyDescent="0.2"/>
    <row r="907" customFormat="1" x14ac:dyDescent="0.2"/>
    <row r="908" customFormat="1" x14ac:dyDescent="0.2"/>
    <row r="909" customFormat="1" x14ac:dyDescent="0.2"/>
    <row r="910" customFormat="1" x14ac:dyDescent="0.2"/>
    <row r="911" customFormat="1" x14ac:dyDescent="0.2"/>
    <row r="912" customFormat="1" x14ac:dyDescent="0.2"/>
    <row r="913" customFormat="1" x14ac:dyDescent="0.2"/>
    <row r="914" customFormat="1" x14ac:dyDescent="0.2"/>
    <row r="915" customFormat="1" x14ac:dyDescent="0.2"/>
    <row r="916" customFormat="1" x14ac:dyDescent="0.2"/>
    <row r="917" customFormat="1" x14ac:dyDescent="0.2"/>
    <row r="918" customFormat="1" x14ac:dyDescent="0.2"/>
    <row r="919" customFormat="1" x14ac:dyDescent="0.2"/>
    <row r="920" customFormat="1" x14ac:dyDescent="0.2"/>
    <row r="921" customFormat="1" x14ac:dyDescent="0.2"/>
    <row r="922" customFormat="1" x14ac:dyDescent="0.2"/>
    <row r="923" customFormat="1" x14ac:dyDescent="0.2"/>
    <row r="924" customFormat="1" x14ac:dyDescent="0.2"/>
    <row r="925" customFormat="1" x14ac:dyDescent="0.2"/>
    <row r="926" customFormat="1" x14ac:dyDescent="0.2"/>
    <row r="927" customFormat="1" x14ac:dyDescent="0.2"/>
    <row r="928" customFormat="1" x14ac:dyDescent="0.2"/>
    <row r="929" customFormat="1" x14ac:dyDescent="0.2"/>
    <row r="930" customFormat="1" x14ac:dyDescent="0.2"/>
    <row r="931" customFormat="1" x14ac:dyDescent="0.2"/>
    <row r="932" customFormat="1" x14ac:dyDescent="0.2"/>
    <row r="933" customFormat="1" x14ac:dyDescent="0.2"/>
    <row r="934" customFormat="1" x14ac:dyDescent="0.2"/>
    <row r="935" customFormat="1" x14ac:dyDescent="0.2"/>
    <row r="936" customFormat="1" x14ac:dyDescent="0.2"/>
    <row r="937" customFormat="1" x14ac:dyDescent="0.2"/>
    <row r="938" customFormat="1" x14ac:dyDescent="0.2"/>
    <row r="939" customFormat="1" x14ac:dyDescent="0.2"/>
    <row r="940" customFormat="1" x14ac:dyDescent="0.2"/>
    <row r="941" customFormat="1" x14ac:dyDescent="0.2"/>
    <row r="942" customFormat="1" x14ac:dyDescent="0.2"/>
    <row r="943" customFormat="1" x14ac:dyDescent="0.2"/>
    <row r="944" customFormat="1" x14ac:dyDescent="0.2"/>
    <row r="945" customFormat="1" x14ac:dyDescent="0.2"/>
    <row r="946" customFormat="1" x14ac:dyDescent="0.2"/>
    <row r="947" customFormat="1" x14ac:dyDescent="0.2"/>
    <row r="948" customFormat="1" x14ac:dyDescent="0.2"/>
    <row r="949" customFormat="1" x14ac:dyDescent="0.2"/>
    <row r="950" customFormat="1" x14ac:dyDescent="0.2"/>
    <row r="951" customFormat="1" x14ac:dyDescent="0.2"/>
    <row r="952" customFormat="1" x14ac:dyDescent="0.2"/>
    <row r="953" customFormat="1" x14ac:dyDescent="0.2"/>
    <row r="954" customFormat="1" x14ac:dyDescent="0.2"/>
    <row r="955" customFormat="1" x14ac:dyDescent="0.2"/>
    <row r="956" customFormat="1" x14ac:dyDescent="0.2"/>
    <row r="957" customFormat="1" x14ac:dyDescent="0.2"/>
    <row r="958" customFormat="1" x14ac:dyDescent="0.2"/>
    <row r="959" customFormat="1" x14ac:dyDescent="0.2"/>
    <row r="960" customFormat="1" x14ac:dyDescent="0.2"/>
    <row r="961" customFormat="1" x14ac:dyDescent="0.2"/>
    <row r="962" customFormat="1" x14ac:dyDescent="0.2"/>
    <row r="963" customFormat="1" x14ac:dyDescent="0.2"/>
    <row r="964" customFormat="1" x14ac:dyDescent="0.2"/>
    <row r="965" customFormat="1" x14ac:dyDescent="0.2"/>
    <row r="966" customFormat="1" x14ac:dyDescent="0.2"/>
    <row r="967" customFormat="1" x14ac:dyDescent="0.2"/>
    <row r="968" customFormat="1" x14ac:dyDescent="0.2"/>
    <row r="969" customFormat="1" x14ac:dyDescent="0.2"/>
    <row r="970" customFormat="1" x14ac:dyDescent="0.2"/>
    <row r="971" customFormat="1" x14ac:dyDescent="0.2"/>
    <row r="972" customFormat="1" x14ac:dyDescent="0.2"/>
    <row r="973" customFormat="1" x14ac:dyDescent="0.2"/>
    <row r="974" customFormat="1" x14ac:dyDescent="0.2"/>
    <row r="975" customFormat="1" x14ac:dyDescent="0.2"/>
    <row r="976" customFormat="1" x14ac:dyDescent="0.2"/>
    <row r="977" customFormat="1" x14ac:dyDescent="0.2"/>
    <row r="978" customFormat="1" x14ac:dyDescent="0.2"/>
    <row r="979" customFormat="1" x14ac:dyDescent="0.2"/>
    <row r="980" customFormat="1" x14ac:dyDescent="0.2"/>
    <row r="981" customFormat="1" x14ac:dyDescent="0.2"/>
    <row r="982" customFormat="1" x14ac:dyDescent="0.2"/>
    <row r="983" customFormat="1" x14ac:dyDescent="0.2"/>
    <row r="984" customFormat="1" x14ac:dyDescent="0.2"/>
    <row r="985" customFormat="1" x14ac:dyDescent="0.2"/>
    <row r="986" customFormat="1" x14ac:dyDescent="0.2"/>
    <row r="987" customFormat="1" x14ac:dyDescent="0.2"/>
    <row r="988" customFormat="1" x14ac:dyDescent="0.2"/>
    <row r="989" customFormat="1" x14ac:dyDescent="0.2"/>
    <row r="990" customFormat="1" x14ac:dyDescent="0.2"/>
    <row r="991" customFormat="1" x14ac:dyDescent="0.2"/>
    <row r="992" customFormat="1" x14ac:dyDescent="0.2"/>
    <row r="993" customFormat="1" x14ac:dyDescent="0.2"/>
    <row r="994" customFormat="1" x14ac:dyDescent="0.2"/>
    <row r="995" customFormat="1" x14ac:dyDescent="0.2"/>
    <row r="996" customFormat="1" x14ac:dyDescent="0.2"/>
    <row r="997" customFormat="1" x14ac:dyDescent="0.2"/>
    <row r="998" customFormat="1" x14ac:dyDescent="0.2"/>
    <row r="999" customFormat="1" x14ac:dyDescent="0.2"/>
    <row r="1000" customFormat="1" x14ac:dyDescent="0.2"/>
    <row r="1001" customFormat="1" x14ac:dyDescent="0.2"/>
    <row r="1002" customFormat="1" x14ac:dyDescent="0.2"/>
    <row r="1003" customFormat="1" x14ac:dyDescent="0.2"/>
    <row r="1004" customFormat="1" x14ac:dyDescent="0.2"/>
    <row r="1005" customFormat="1" x14ac:dyDescent="0.2"/>
    <row r="1006" customFormat="1" x14ac:dyDescent="0.2"/>
    <row r="1007" customFormat="1" x14ac:dyDescent="0.2"/>
    <row r="1008" customFormat="1" x14ac:dyDescent="0.2"/>
    <row r="1009" customFormat="1" x14ac:dyDescent="0.2"/>
    <row r="1010" customFormat="1" x14ac:dyDescent="0.2"/>
    <row r="1011" customFormat="1" x14ac:dyDescent="0.2"/>
    <row r="1012" customFormat="1" x14ac:dyDescent="0.2"/>
    <row r="1013" customFormat="1" x14ac:dyDescent="0.2"/>
    <row r="1014" customFormat="1" x14ac:dyDescent="0.2"/>
    <row r="1015" customFormat="1" x14ac:dyDescent="0.2"/>
    <row r="1016" customFormat="1" x14ac:dyDescent="0.2"/>
    <row r="1017" customFormat="1" x14ac:dyDescent="0.2"/>
    <row r="1018" customFormat="1" x14ac:dyDescent="0.2"/>
    <row r="1019" customFormat="1" x14ac:dyDescent="0.2"/>
    <row r="1020" customFormat="1" x14ac:dyDescent="0.2"/>
    <row r="1021" customFormat="1" x14ac:dyDescent="0.2"/>
    <row r="1022" customFormat="1" x14ac:dyDescent="0.2"/>
    <row r="1023" customFormat="1" x14ac:dyDescent="0.2"/>
    <row r="1024" customFormat="1" x14ac:dyDescent="0.2"/>
    <row r="1025" customFormat="1" x14ac:dyDescent="0.2"/>
    <row r="1026" customFormat="1" x14ac:dyDescent="0.2"/>
    <row r="1027" customFormat="1" x14ac:dyDescent="0.2"/>
    <row r="1028" customFormat="1" x14ac:dyDescent="0.2"/>
    <row r="1029" customFormat="1" x14ac:dyDescent="0.2"/>
    <row r="1030" customFormat="1" x14ac:dyDescent="0.2"/>
    <row r="1031" customFormat="1" x14ac:dyDescent="0.2"/>
    <row r="1032" customFormat="1" x14ac:dyDescent="0.2"/>
    <row r="1033" customFormat="1" x14ac:dyDescent="0.2"/>
    <row r="1034" customFormat="1" x14ac:dyDescent="0.2"/>
    <row r="1035" customFormat="1" x14ac:dyDescent="0.2"/>
    <row r="1036" customFormat="1" x14ac:dyDescent="0.2"/>
    <row r="1037" customFormat="1" x14ac:dyDescent="0.2"/>
    <row r="1038" customFormat="1" x14ac:dyDescent="0.2"/>
    <row r="1039" customFormat="1" x14ac:dyDescent="0.2"/>
    <row r="1040" customFormat="1" x14ac:dyDescent="0.2"/>
    <row r="1041" customFormat="1" x14ac:dyDescent="0.2"/>
    <row r="1042" customFormat="1" x14ac:dyDescent="0.2"/>
    <row r="1043" customFormat="1" x14ac:dyDescent="0.2"/>
    <row r="1044" customFormat="1" x14ac:dyDescent="0.2"/>
    <row r="1045" customFormat="1" x14ac:dyDescent="0.2"/>
    <row r="1046" customFormat="1" x14ac:dyDescent="0.2"/>
    <row r="1047" customFormat="1" x14ac:dyDescent="0.2"/>
    <row r="1048" customFormat="1" x14ac:dyDescent="0.2"/>
    <row r="1049" customFormat="1" x14ac:dyDescent="0.2"/>
    <row r="1050" customFormat="1" x14ac:dyDescent="0.2"/>
    <row r="1051" customFormat="1" x14ac:dyDescent="0.2"/>
    <row r="1052" customFormat="1" x14ac:dyDescent="0.2"/>
    <row r="1053" customFormat="1" x14ac:dyDescent="0.2"/>
    <row r="1054" customFormat="1" x14ac:dyDescent="0.2"/>
    <row r="1055" customFormat="1" x14ac:dyDescent="0.2"/>
    <row r="1056" customFormat="1" x14ac:dyDescent="0.2"/>
    <row r="1057" customFormat="1" x14ac:dyDescent="0.2"/>
    <row r="1058" customFormat="1" x14ac:dyDescent="0.2"/>
    <row r="1059" customFormat="1" x14ac:dyDescent="0.2"/>
    <row r="1060" customFormat="1" x14ac:dyDescent="0.2"/>
    <row r="1061" customFormat="1" x14ac:dyDescent="0.2"/>
    <row r="1062" customFormat="1" x14ac:dyDescent="0.2"/>
    <row r="1063" customFormat="1" x14ac:dyDescent="0.2"/>
    <row r="1064" customFormat="1" x14ac:dyDescent="0.2"/>
    <row r="1065" customFormat="1" x14ac:dyDescent="0.2"/>
    <row r="1066" customFormat="1" x14ac:dyDescent="0.2"/>
    <row r="1067" customFormat="1" x14ac:dyDescent="0.2"/>
    <row r="1068" customFormat="1" x14ac:dyDescent="0.2"/>
    <row r="1069" customFormat="1" x14ac:dyDescent="0.2"/>
    <row r="1070" customFormat="1" x14ac:dyDescent="0.2"/>
    <row r="1071" customFormat="1" x14ac:dyDescent="0.2"/>
    <row r="1072" customFormat="1" x14ac:dyDescent="0.2"/>
    <row r="1073" customFormat="1" x14ac:dyDescent="0.2"/>
    <row r="1074" customFormat="1" x14ac:dyDescent="0.2"/>
    <row r="1075" customFormat="1" x14ac:dyDescent="0.2"/>
    <row r="1076" customFormat="1" x14ac:dyDescent="0.2"/>
    <row r="1077" customFormat="1" x14ac:dyDescent="0.2"/>
    <row r="1078" customFormat="1" x14ac:dyDescent="0.2"/>
    <row r="1079" customFormat="1" x14ac:dyDescent="0.2"/>
    <row r="1080" customFormat="1" x14ac:dyDescent="0.2"/>
    <row r="1081" customFormat="1" x14ac:dyDescent="0.2"/>
    <row r="1082" customFormat="1" x14ac:dyDescent="0.2"/>
    <row r="1083" customFormat="1" x14ac:dyDescent="0.2"/>
    <row r="1084" customFormat="1" x14ac:dyDescent="0.2"/>
    <row r="1085" customFormat="1" x14ac:dyDescent="0.2"/>
    <row r="1086" customFormat="1" x14ac:dyDescent="0.2"/>
    <row r="1087" customFormat="1" x14ac:dyDescent="0.2"/>
    <row r="1088" customFormat="1" x14ac:dyDescent="0.2"/>
    <row r="1089" customFormat="1" x14ac:dyDescent="0.2"/>
    <row r="1090" customFormat="1" x14ac:dyDescent="0.2"/>
    <row r="1091" customFormat="1" x14ac:dyDescent="0.2"/>
    <row r="1092" customFormat="1" x14ac:dyDescent="0.2"/>
    <row r="1093" customFormat="1" x14ac:dyDescent="0.2"/>
    <row r="1094" customFormat="1" x14ac:dyDescent="0.2"/>
    <row r="1095" customFormat="1" x14ac:dyDescent="0.2"/>
    <row r="1096" customFormat="1" x14ac:dyDescent="0.2"/>
    <row r="1097" customFormat="1" x14ac:dyDescent="0.2"/>
    <row r="1098" customFormat="1" x14ac:dyDescent="0.2"/>
    <row r="1099" customFormat="1" x14ac:dyDescent="0.2"/>
    <row r="1100" customFormat="1" x14ac:dyDescent="0.2"/>
    <row r="1101" customFormat="1" x14ac:dyDescent="0.2"/>
    <row r="1102" customFormat="1" x14ac:dyDescent="0.2"/>
    <row r="1103" customFormat="1" x14ac:dyDescent="0.2"/>
    <row r="1104" customFormat="1" x14ac:dyDescent="0.2"/>
    <row r="1105" customFormat="1" x14ac:dyDescent="0.2"/>
    <row r="1106" customFormat="1" x14ac:dyDescent="0.2"/>
    <row r="1107" customFormat="1" x14ac:dyDescent="0.2"/>
    <row r="1108" customFormat="1" x14ac:dyDescent="0.2"/>
    <row r="1109" customFormat="1" x14ac:dyDescent="0.2"/>
    <row r="1110" customFormat="1" x14ac:dyDescent="0.2"/>
    <row r="1111" customFormat="1" x14ac:dyDescent="0.2"/>
    <row r="1112" customFormat="1" x14ac:dyDescent="0.2"/>
    <row r="1113" customFormat="1" x14ac:dyDescent="0.2"/>
    <row r="1114" customFormat="1" x14ac:dyDescent="0.2"/>
    <row r="1115" customFormat="1" x14ac:dyDescent="0.2"/>
    <row r="1116" customFormat="1" x14ac:dyDescent="0.2"/>
    <row r="1117" customFormat="1" x14ac:dyDescent="0.2"/>
    <row r="1118" customFormat="1" x14ac:dyDescent="0.2"/>
    <row r="1119" customFormat="1" x14ac:dyDescent="0.2"/>
    <row r="1120" customFormat="1" x14ac:dyDescent="0.2"/>
    <row r="1121" customFormat="1" x14ac:dyDescent="0.2"/>
    <row r="1122" customFormat="1" x14ac:dyDescent="0.2"/>
    <row r="1123" customFormat="1" x14ac:dyDescent="0.2"/>
    <row r="1124" customFormat="1" x14ac:dyDescent="0.2"/>
    <row r="1125" customFormat="1" x14ac:dyDescent="0.2"/>
    <row r="1126" customFormat="1" x14ac:dyDescent="0.2"/>
    <row r="1127" customFormat="1" x14ac:dyDescent="0.2"/>
    <row r="1128" customFormat="1" x14ac:dyDescent="0.2"/>
    <row r="1129" customFormat="1" x14ac:dyDescent="0.2"/>
    <row r="1130" customFormat="1" x14ac:dyDescent="0.2"/>
    <row r="1131" customFormat="1" x14ac:dyDescent="0.2"/>
    <row r="1132" customFormat="1" x14ac:dyDescent="0.2"/>
    <row r="1133" customFormat="1" x14ac:dyDescent="0.2"/>
    <row r="1134" customFormat="1" x14ac:dyDescent="0.2"/>
    <row r="1135" customFormat="1" x14ac:dyDescent="0.2"/>
    <row r="1136" customFormat="1" x14ac:dyDescent="0.2"/>
    <row r="1137" customFormat="1" x14ac:dyDescent="0.2"/>
    <row r="1138" customFormat="1" x14ac:dyDescent="0.2"/>
    <row r="1139" customFormat="1" x14ac:dyDescent="0.2"/>
    <row r="1140" customFormat="1" x14ac:dyDescent="0.2"/>
    <row r="1141" customFormat="1" x14ac:dyDescent="0.2"/>
    <row r="1142" customFormat="1" x14ac:dyDescent="0.2"/>
    <row r="1143" customFormat="1" x14ac:dyDescent="0.2"/>
    <row r="1144" customFormat="1" x14ac:dyDescent="0.2"/>
    <row r="1145" customFormat="1" x14ac:dyDescent="0.2"/>
    <row r="1146" customFormat="1" x14ac:dyDescent="0.2"/>
    <row r="1147" customFormat="1" x14ac:dyDescent="0.2"/>
    <row r="1148" customFormat="1" x14ac:dyDescent="0.2"/>
    <row r="1149" customFormat="1" x14ac:dyDescent="0.2"/>
    <row r="1150" customFormat="1" x14ac:dyDescent="0.2"/>
    <row r="1151" customFormat="1" x14ac:dyDescent="0.2"/>
    <row r="1152" customFormat="1" x14ac:dyDescent="0.2"/>
    <row r="1153" customFormat="1" x14ac:dyDescent="0.2"/>
    <row r="1154" customFormat="1" x14ac:dyDescent="0.2"/>
    <row r="1155" customFormat="1" x14ac:dyDescent="0.2"/>
    <row r="1156" customFormat="1" x14ac:dyDescent="0.2"/>
    <row r="1157" customFormat="1" x14ac:dyDescent="0.2"/>
    <row r="1158" customFormat="1" x14ac:dyDescent="0.2"/>
    <row r="1159" customFormat="1" x14ac:dyDescent="0.2"/>
    <row r="1160" customFormat="1" x14ac:dyDescent="0.2"/>
    <row r="1161" customFormat="1" x14ac:dyDescent="0.2"/>
    <row r="1162" customFormat="1" x14ac:dyDescent="0.2"/>
    <row r="1163" customFormat="1" x14ac:dyDescent="0.2"/>
    <row r="1164" customFormat="1" x14ac:dyDescent="0.2"/>
    <row r="1165" customFormat="1" x14ac:dyDescent="0.2"/>
    <row r="1166" customFormat="1" x14ac:dyDescent="0.2"/>
    <row r="1167" customFormat="1" x14ac:dyDescent="0.2"/>
    <row r="1168" customFormat="1" x14ac:dyDescent="0.2"/>
    <row r="1169" customFormat="1" x14ac:dyDescent="0.2"/>
    <row r="1170" customFormat="1" x14ac:dyDescent="0.2"/>
    <row r="1171" customFormat="1" x14ac:dyDescent="0.2"/>
    <row r="1172" customFormat="1" x14ac:dyDescent="0.2"/>
    <row r="1173" customFormat="1" x14ac:dyDescent="0.2"/>
    <row r="1174" customFormat="1" x14ac:dyDescent="0.2"/>
    <row r="1175" customFormat="1" x14ac:dyDescent="0.2"/>
    <row r="1176" customFormat="1" x14ac:dyDescent="0.2"/>
    <row r="1177" customFormat="1" x14ac:dyDescent="0.2"/>
    <row r="1178" customFormat="1" x14ac:dyDescent="0.2"/>
    <row r="1179" customFormat="1" x14ac:dyDescent="0.2"/>
    <row r="1180" customFormat="1" x14ac:dyDescent="0.2"/>
    <row r="1181" customFormat="1" x14ac:dyDescent="0.2"/>
    <row r="1182" customFormat="1" x14ac:dyDescent="0.2"/>
    <row r="1183" customFormat="1" x14ac:dyDescent="0.2"/>
    <row r="1184" customFormat="1" x14ac:dyDescent="0.2"/>
    <row r="1185" customFormat="1" x14ac:dyDescent="0.2"/>
    <row r="1186" customFormat="1" x14ac:dyDescent="0.2"/>
    <row r="1187" customFormat="1" x14ac:dyDescent="0.2"/>
    <row r="1188" customFormat="1" x14ac:dyDescent="0.2"/>
    <row r="1189" customFormat="1" x14ac:dyDescent="0.2"/>
    <row r="1190" customFormat="1" x14ac:dyDescent="0.2"/>
    <row r="1191" customFormat="1" x14ac:dyDescent="0.2"/>
    <row r="1192" customFormat="1" x14ac:dyDescent="0.2"/>
    <row r="1193" customFormat="1" x14ac:dyDescent="0.2"/>
    <row r="1194" customFormat="1" x14ac:dyDescent="0.2"/>
    <row r="1195" customFormat="1" x14ac:dyDescent="0.2"/>
    <row r="1196" customFormat="1" x14ac:dyDescent="0.2"/>
    <row r="1197" customFormat="1" x14ac:dyDescent="0.2"/>
    <row r="1198" customFormat="1" x14ac:dyDescent="0.2"/>
    <row r="1199" customFormat="1" x14ac:dyDescent="0.2"/>
    <row r="1200" customFormat="1" x14ac:dyDescent="0.2"/>
    <row r="1201" customFormat="1" x14ac:dyDescent="0.2"/>
    <row r="1202" customFormat="1" x14ac:dyDescent="0.2"/>
    <row r="1203" customFormat="1" x14ac:dyDescent="0.2"/>
    <row r="1204" customFormat="1" x14ac:dyDescent="0.2"/>
    <row r="1205" customFormat="1" x14ac:dyDescent="0.2"/>
    <row r="1206" customFormat="1" x14ac:dyDescent="0.2"/>
    <row r="1207" customFormat="1" x14ac:dyDescent="0.2"/>
    <row r="1208" customFormat="1" x14ac:dyDescent="0.2"/>
    <row r="1209" customFormat="1" x14ac:dyDescent="0.2"/>
    <row r="1210" customFormat="1" x14ac:dyDescent="0.2"/>
    <row r="1211" customFormat="1" x14ac:dyDescent="0.2"/>
    <row r="1212" customFormat="1" x14ac:dyDescent="0.2"/>
    <row r="1213" customFormat="1" x14ac:dyDescent="0.2"/>
    <row r="1214" customFormat="1" x14ac:dyDescent="0.2"/>
    <row r="1215" customFormat="1" x14ac:dyDescent="0.2"/>
    <row r="1216" customFormat="1" x14ac:dyDescent="0.2"/>
    <row r="1217" customFormat="1" x14ac:dyDescent="0.2"/>
    <row r="1218" customFormat="1" x14ac:dyDescent="0.2"/>
    <row r="1219" customFormat="1" x14ac:dyDescent="0.2"/>
    <row r="1220" customFormat="1" x14ac:dyDescent="0.2"/>
    <row r="1221" customFormat="1" x14ac:dyDescent="0.2"/>
    <row r="1222" customFormat="1" x14ac:dyDescent="0.2"/>
    <row r="1223" customFormat="1" x14ac:dyDescent="0.2"/>
    <row r="1224" customFormat="1" x14ac:dyDescent="0.2"/>
    <row r="1225" customFormat="1" x14ac:dyDescent="0.2"/>
    <row r="1226" customFormat="1" x14ac:dyDescent="0.2"/>
    <row r="1227" customFormat="1" x14ac:dyDescent="0.2"/>
    <row r="1228" customFormat="1" x14ac:dyDescent="0.2"/>
    <row r="1229" customFormat="1" x14ac:dyDescent="0.2"/>
    <row r="1230" customFormat="1" x14ac:dyDescent="0.2"/>
    <row r="1231" customFormat="1" x14ac:dyDescent="0.2"/>
    <row r="1232" customFormat="1" x14ac:dyDescent="0.2"/>
    <row r="1233" customFormat="1" x14ac:dyDescent="0.2"/>
    <row r="1234" customFormat="1" x14ac:dyDescent="0.2"/>
    <row r="1235" customFormat="1" x14ac:dyDescent="0.2"/>
    <row r="1236" customFormat="1" x14ac:dyDescent="0.2"/>
    <row r="1237" customFormat="1" x14ac:dyDescent="0.2"/>
    <row r="1238" customFormat="1" x14ac:dyDescent="0.2"/>
    <row r="1239" customFormat="1" x14ac:dyDescent="0.2"/>
    <row r="1240" customFormat="1" x14ac:dyDescent="0.2"/>
    <row r="1241" customFormat="1" x14ac:dyDescent="0.2"/>
    <row r="1242" customFormat="1" x14ac:dyDescent="0.2"/>
    <row r="1243" customFormat="1" x14ac:dyDescent="0.2"/>
    <row r="1244" customFormat="1" x14ac:dyDescent="0.2"/>
    <row r="1245" customFormat="1" x14ac:dyDescent="0.2"/>
    <row r="1246" customFormat="1" x14ac:dyDescent="0.2"/>
    <row r="1247" customFormat="1" x14ac:dyDescent="0.2"/>
    <row r="1248" customFormat="1" x14ac:dyDescent="0.2"/>
    <row r="1249" customFormat="1" x14ac:dyDescent="0.2"/>
    <row r="1250" customFormat="1" x14ac:dyDescent="0.2"/>
    <row r="1251" customFormat="1" x14ac:dyDescent="0.2"/>
    <row r="1252" customFormat="1" x14ac:dyDescent="0.2"/>
    <row r="1253" customFormat="1" x14ac:dyDescent="0.2"/>
    <row r="1254" customFormat="1" x14ac:dyDescent="0.2"/>
    <row r="1255" customFormat="1" x14ac:dyDescent="0.2"/>
    <row r="1256" customFormat="1" x14ac:dyDescent="0.2"/>
    <row r="1257" customFormat="1" x14ac:dyDescent="0.2"/>
    <row r="1258" customFormat="1" x14ac:dyDescent="0.2"/>
    <row r="1259" customFormat="1" x14ac:dyDescent="0.2"/>
    <row r="1260" customFormat="1" x14ac:dyDescent="0.2"/>
    <row r="1261" customFormat="1" x14ac:dyDescent="0.2"/>
    <row r="1262" customFormat="1" x14ac:dyDescent="0.2"/>
    <row r="1263" customFormat="1" x14ac:dyDescent="0.2"/>
    <row r="1264" customFormat="1" x14ac:dyDescent="0.2"/>
    <row r="1265" customFormat="1" x14ac:dyDescent="0.2"/>
    <row r="1266" customFormat="1" x14ac:dyDescent="0.2"/>
    <row r="1267" customFormat="1" x14ac:dyDescent="0.2"/>
    <row r="1268" customFormat="1" x14ac:dyDescent="0.2"/>
    <row r="1269" customFormat="1" x14ac:dyDescent="0.2"/>
    <row r="1270" customFormat="1" x14ac:dyDescent="0.2"/>
    <row r="1271" customFormat="1" x14ac:dyDescent="0.2"/>
    <row r="1272" customFormat="1" x14ac:dyDescent="0.2"/>
    <row r="1273" customFormat="1" x14ac:dyDescent="0.2"/>
    <row r="1274" customFormat="1" x14ac:dyDescent="0.2"/>
    <row r="1275" customFormat="1" x14ac:dyDescent="0.2"/>
    <row r="1276" customFormat="1" x14ac:dyDescent="0.2"/>
    <row r="1277" customFormat="1" x14ac:dyDescent="0.2"/>
    <row r="1278" customFormat="1" x14ac:dyDescent="0.2"/>
    <row r="1279" customFormat="1" x14ac:dyDescent="0.2"/>
    <row r="1280" customFormat="1" x14ac:dyDescent="0.2"/>
    <row r="1281" customFormat="1" x14ac:dyDescent="0.2"/>
    <row r="1282" customFormat="1" x14ac:dyDescent="0.2"/>
    <row r="1283" customFormat="1" x14ac:dyDescent="0.2"/>
    <row r="1284" customFormat="1" x14ac:dyDescent="0.2"/>
    <row r="1285" customFormat="1" x14ac:dyDescent="0.2"/>
    <row r="1286" customFormat="1" x14ac:dyDescent="0.2"/>
    <row r="1287" customFormat="1" x14ac:dyDescent="0.2"/>
    <row r="1288" customFormat="1" x14ac:dyDescent="0.2"/>
    <row r="1289" customFormat="1" x14ac:dyDescent="0.2"/>
    <row r="1290" customFormat="1" x14ac:dyDescent="0.2"/>
    <row r="1291" customFormat="1" x14ac:dyDescent="0.2"/>
    <row r="1292" customFormat="1" x14ac:dyDescent="0.2"/>
    <row r="1293" customFormat="1" x14ac:dyDescent="0.2"/>
    <row r="1294" customFormat="1" x14ac:dyDescent="0.2"/>
    <row r="1295" customFormat="1" x14ac:dyDescent="0.2"/>
    <row r="1296" customFormat="1" x14ac:dyDescent="0.2"/>
    <row r="1297" customFormat="1" x14ac:dyDescent="0.2"/>
    <row r="1298" customFormat="1" x14ac:dyDescent="0.2"/>
    <row r="1299" customFormat="1" x14ac:dyDescent="0.2"/>
    <row r="1300" customFormat="1" x14ac:dyDescent="0.2"/>
    <row r="1301" customFormat="1" x14ac:dyDescent="0.2"/>
    <row r="1302" customFormat="1" x14ac:dyDescent="0.2"/>
    <row r="1303" customFormat="1" x14ac:dyDescent="0.2"/>
    <row r="1304" customFormat="1" x14ac:dyDescent="0.2"/>
    <row r="1305" customFormat="1" x14ac:dyDescent="0.2"/>
    <row r="1306" customFormat="1" x14ac:dyDescent="0.2"/>
    <row r="1307" customFormat="1" x14ac:dyDescent="0.2"/>
    <row r="1308" customFormat="1" x14ac:dyDescent="0.2"/>
    <row r="1309" customFormat="1" x14ac:dyDescent="0.2"/>
    <row r="1310" customFormat="1" x14ac:dyDescent="0.2"/>
    <row r="1311" customFormat="1" x14ac:dyDescent="0.2"/>
    <row r="1312" customFormat="1" x14ac:dyDescent="0.2"/>
    <row r="1313" customForma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BAB5-61D6-4CCC-872D-3E8171FC2533}">
  <dimension ref="A1:Q58"/>
  <sheetViews>
    <sheetView workbookViewId="0">
      <selection activeCell="I34" sqref="I34"/>
    </sheetView>
  </sheetViews>
  <sheetFormatPr defaultRowHeight="12.75" x14ac:dyDescent="0.2"/>
  <cols>
    <col min="1" max="1" width="23.42578125" customWidth="1"/>
    <col min="2" max="2" width="25.5703125" customWidth="1"/>
    <col min="3" max="3" width="38.42578125" customWidth="1"/>
  </cols>
  <sheetData>
    <row r="1" spans="1:17" x14ac:dyDescent="0.2">
      <c r="A1" s="1" t="s">
        <v>38</v>
      </c>
      <c r="B1" s="11" t="s">
        <v>41</v>
      </c>
      <c r="C1" s="3" t="s">
        <v>42</v>
      </c>
      <c r="D1" s="3" t="s">
        <v>43</v>
      </c>
      <c r="E1" s="3" t="s">
        <v>44</v>
      </c>
      <c r="F1" s="3">
        <v>4</v>
      </c>
      <c r="G1" s="3">
        <v>10</v>
      </c>
      <c r="H1" s="3">
        <v>2</v>
      </c>
      <c r="I1" s="3">
        <v>0</v>
      </c>
      <c r="J1" s="3">
        <v>0</v>
      </c>
      <c r="K1" s="12">
        <f t="shared" ref="K1:K32" si="0">(F1*4+G1*1+H1*-2+I1*-3)/F1</f>
        <v>5.5</v>
      </c>
      <c r="L1" s="3">
        <f t="shared" ref="L1:L32" si="1">F1*12.0107+G1*1.00784+H1*15.999+I1*14.0067</f>
        <v>90.119200000000006</v>
      </c>
      <c r="M1" s="12">
        <v>207</v>
      </c>
      <c r="N1" s="2" t="s">
        <v>45</v>
      </c>
      <c r="O1" s="3" t="s">
        <v>46</v>
      </c>
      <c r="P1" s="2" t="str">
        <f t="shared" ref="P1:P20" si="2">IF(M1&gt;37,"Proton symporter", "Diffusion")</f>
        <v>Proton symporter</v>
      </c>
      <c r="Q1" s="3" t="s">
        <v>47</v>
      </c>
    </row>
    <row r="2" spans="1:17" x14ac:dyDescent="0.2">
      <c r="A2" s="1" t="s">
        <v>48</v>
      </c>
      <c r="B2" s="11" t="s">
        <v>49</v>
      </c>
      <c r="C2" s="3" t="s">
        <v>50</v>
      </c>
      <c r="D2" s="3" t="s">
        <v>43</v>
      </c>
      <c r="E2" s="3" t="s">
        <v>44</v>
      </c>
      <c r="F2" s="3">
        <v>4</v>
      </c>
      <c r="G2" s="3">
        <v>10</v>
      </c>
      <c r="H2" s="3">
        <v>2</v>
      </c>
      <c r="I2" s="3">
        <v>0</v>
      </c>
      <c r="J2" s="3">
        <v>0</v>
      </c>
      <c r="K2" s="12">
        <f t="shared" si="0"/>
        <v>5.5</v>
      </c>
      <c r="L2" s="3">
        <f t="shared" si="1"/>
        <v>90.119200000000006</v>
      </c>
      <c r="M2" s="12">
        <v>207</v>
      </c>
      <c r="N2" s="2" t="s">
        <v>45</v>
      </c>
      <c r="O2" s="3" t="s">
        <v>51</v>
      </c>
      <c r="P2" s="2" t="str">
        <f t="shared" si="2"/>
        <v>Proton symporter</v>
      </c>
      <c r="Q2" s="3" t="s">
        <v>47</v>
      </c>
    </row>
    <row r="3" spans="1:17" x14ac:dyDescent="0.2">
      <c r="A3" s="1" t="s">
        <v>52</v>
      </c>
      <c r="B3" s="13" t="s">
        <v>52</v>
      </c>
      <c r="C3" s="3" t="s">
        <v>54</v>
      </c>
      <c r="D3" s="3" t="s">
        <v>55</v>
      </c>
      <c r="E3" s="2" t="s">
        <v>56</v>
      </c>
      <c r="F3" s="2">
        <v>3</v>
      </c>
      <c r="G3" s="2">
        <v>12</v>
      </c>
      <c r="H3" s="2">
        <v>0</v>
      </c>
      <c r="I3" s="2">
        <v>2</v>
      </c>
      <c r="J3" s="2">
        <v>2</v>
      </c>
      <c r="K3" s="12">
        <f t="shared" si="0"/>
        <v>6</v>
      </c>
      <c r="L3" s="3">
        <f t="shared" si="1"/>
        <v>76.139580000000009</v>
      </c>
      <c r="M3" s="12">
        <v>139.30000000000001</v>
      </c>
      <c r="N3" s="2" t="s">
        <v>57</v>
      </c>
      <c r="O3" s="2" t="s">
        <v>58</v>
      </c>
      <c r="P3" s="2" t="str">
        <f t="shared" si="2"/>
        <v>Proton symporter</v>
      </c>
      <c r="Q3" s="3" t="s">
        <v>59</v>
      </c>
    </row>
    <row r="4" spans="1:17" x14ac:dyDescent="0.2">
      <c r="A4" s="1" t="s">
        <v>60</v>
      </c>
      <c r="B4" s="14" t="s">
        <v>60</v>
      </c>
      <c r="C4" s="2" t="s">
        <v>62</v>
      </c>
      <c r="D4" s="3" t="s">
        <v>55</v>
      </c>
      <c r="E4" s="2" t="s">
        <v>63</v>
      </c>
      <c r="F4" s="2">
        <v>3</v>
      </c>
      <c r="G4" s="2">
        <v>8</v>
      </c>
      <c r="H4" s="2">
        <v>2</v>
      </c>
      <c r="I4" s="2">
        <v>0</v>
      </c>
      <c r="J4" s="2">
        <v>0</v>
      </c>
      <c r="K4" s="12">
        <f t="shared" si="0"/>
        <v>5.333333333333333</v>
      </c>
      <c r="L4" s="3">
        <f t="shared" si="1"/>
        <v>76.092820000000003</v>
      </c>
      <c r="M4" s="12">
        <v>213</v>
      </c>
      <c r="N4" s="2" t="s">
        <v>45</v>
      </c>
      <c r="O4" s="2" t="s">
        <v>64</v>
      </c>
      <c r="P4" s="2" t="str">
        <f t="shared" si="2"/>
        <v>Proton symporter</v>
      </c>
      <c r="Q4" s="3" t="s">
        <v>65</v>
      </c>
    </row>
    <row r="5" spans="1:17" x14ac:dyDescent="0.2">
      <c r="A5" s="1" t="s">
        <v>66</v>
      </c>
      <c r="B5" s="11" t="s">
        <v>68</v>
      </c>
      <c r="C5" s="3" t="s">
        <v>69</v>
      </c>
      <c r="D5" s="3" t="s">
        <v>43</v>
      </c>
      <c r="E5" s="3" t="s">
        <v>44</v>
      </c>
      <c r="F5" s="3">
        <v>4</v>
      </c>
      <c r="G5" s="3">
        <v>10</v>
      </c>
      <c r="H5" s="3">
        <v>2</v>
      </c>
      <c r="I5" s="3">
        <v>0</v>
      </c>
      <c r="J5" s="3">
        <v>0</v>
      </c>
      <c r="K5" s="12">
        <f t="shared" si="0"/>
        <v>5.5</v>
      </c>
      <c r="L5" s="3">
        <f t="shared" si="1"/>
        <v>90.119200000000006</v>
      </c>
      <c r="M5" s="12">
        <v>230</v>
      </c>
      <c r="N5" s="2" t="s">
        <v>45</v>
      </c>
      <c r="O5" s="3" t="s">
        <v>70</v>
      </c>
      <c r="P5" s="2" t="str">
        <f t="shared" si="2"/>
        <v>Proton symporter</v>
      </c>
      <c r="Q5" s="3" t="s">
        <v>71</v>
      </c>
    </row>
    <row r="6" spans="1:17" x14ac:dyDescent="0.2">
      <c r="A6" s="1" t="s">
        <v>72</v>
      </c>
      <c r="B6" s="11" t="s">
        <v>74</v>
      </c>
      <c r="C6" s="3" t="s">
        <v>75</v>
      </c>
      <c r="D6" s="3" t="s">
        <v>76</v>
      </c>
      <c r="E6" s="3" t="s">
        <v>77</v>
      </c>
      <c r="F6" s="3">
        <v>3</v>
      </c>
      <c r="G6" s="3">
        <v>8</v>
      </c>
      <c r="H6" s="3">
        <v>1</v>
      </c>
      <c r="I6" s="3">
        <v>0</v>
      </c>
      <c r="J6" s="3">
        <v>0</v>
      </c>
      <c r="K6" s="12">
        <f t="shared" si="0"/>
        <v>6</v>
      </c>
      <c r="L6" s="3">
        <f t="shared" si="1"/>
        <v>60.093820000000001</v>
      </c>
      <c r="M6" s="12">
        <v>97</v>
      </c>
      <c r="N6" s="2" t="s">
        <v>78</v>
      </c>
      <c r="O6" s="2" t="s">
        <v>79</v>
      </c>
      <c r="P6" s="2" t="str">
        <f t="shared" si="2"/>
        <v>Proton symporter</v>
      </c>
      <c r="Q6" s="3" t="s">
        <v>80</v>
      </c>
    </row>
    <row r="7" spans="1:17" x14ac:dyDescent="0.2">
      <c r="A7" s="1" t="s">
        <v>81</v>
      </c>
      <c r="B7" s="11" t="s">
        <v>82</v>
      </c>
      <c r="C7" s="3" t="s">
        <v>83</v>
      </c>
      <c r="D7" s="3" t="s">
        <v>76</v>
      </c>
      <c r="E7" s="3" t="s">
        <v>77</v>
      </c>
      <c r="F7" s="3">
        <v>3</v>
      </c>
      <c r="G7" s="3">
        <v>8</v>
      </c>
      <c r="H7" s="3">
        <v>1</v>
      </c>
      <c r="I7" s="3">
        <v>0</v>
      </c>
      <c r="J7" s="3">
        <v>0</v>
      </c>
      <c r="K7" s="12">
        <f t="shared" si="0"/>
        <v>6</v>
      </c>
      <c r="L7" s="3">
        <f t="shared" si="1"/>
        <v>60.093820000000001</v>
      </c>
      <c r="M7" s="12">
        <v>97</v>
      </c>
      <c r="N7" s="2" t="s">
        <v>78</v>
      </c>
      <c r="O7" s="3" t="s">
        <v>84</v>
      </c>
      <c r="P7" s="2" t="str">
        <f t="shared" si="2"/>
        <v>Proton symporter</v>
      </c>
      <c r="Q7" s="3" t="s">
        <v>80</v>
      </c>
    </row>
    <row r="8" spans="1:17" x14ac:dyDescent="0.2">
      <c r="A8" s="1" t="s">
        <v>85</v>
      </c>
      <c r="B8" s="11" t="s">
        <v>87</v>
      </c>
      <c r="C8" s="3" t="s">
        <v>88</v>
      </c>
      <c r="D8" s="3" t="s">
        <v>43</v>
      </c>
      <c r="E8" s="3" t="s">
        <v>44</v>
      </c>
      <c r="F8" s="3">
        <v>4</v>
      </c>
      <c r="G8" s="3">
        <v>10</v>
      </c>
      <c r="H8" s="3">
        <v>2</v>
      </c>
      <c r="I8" s="3">
        <v>0</v>
      </c>
      <c r="J8" s="3">
        <v>0</v>
      </c>
      <c r="K8" s="12">
        <f t="shared" si="0"/>
        <v>5.5</v>
      </c>
      <c r="L8" s="3">
        <f t="shared" si="1"/>
        <v>90.119200000000006</v>
      </c>
      <c r="M8" s="12">
        <v>177</v>
      </c>
      <c r="N8" s="3" t="s">
        <v>45</v>
      </c>
      <c r="O8" s="3" t="s">
        <v>89</v>
      </c>
      <c r="P8" s="2" t="str">
        <f t="shared" si="2"/>
        <v>Proton symporter</v>
      </c>
      <c r="Q8" s="3" t="s">
        <v>90</v>
      </c>
    </row>
    <row r="9" spans="1:17" x14ac:dyDescent="0.2">
      <c r="A9" s="1" t="s">
        <v>91</v>
      </c>
      <c r="B9" s="14" t="s">
        <v>91</v>
      </c>
      <c r="C9" s="2" t="s">
        <v>93</v>
      </c>
      <c r="D9" s="3" t="s">
        <v>55</v>
      </c>
      <c r="E9" s="2" t="s">
        <v>94</v>
      </c>
      <c r="F9" s="2">
        <v>5</v>
      </c>
      <c r="G9" s="2">
        <v>12</v>
      </c>
      <c r="H9" s="2">
        <v>1</v>
      </c>
      <c r="I9" s="2">
        <v>0</v>
      </c>
      <c r="J9" s="2">
        <v>0</v>
      </c>
      <c r="K9" s="12">
        <f t="shared" si="0"/>
        <v>6</v>
      </c>
      <c r="L9" s="3">
        <f t="shared" si="1"/>
        <v>88.14658</v>
      </c>
      <c r="M9" s="12">
        <v>129</v>
      </c>
      <c r="N9" s="2" t="s">
        <v>78</v>
      </c>
      <c r="O9" s="2" t="s">
        <v>95</v>
      </c>
      <c r="P9" s="2" t="str">
        <f t="shared" si="2"/>
        <v>Proton symporter</v>
      </c>
      <c r="Q9" s="3" t="s">
        <v>96</v>
      </c>
    </row>
    <row r="10" spans="1:17" x14ac:dyDescent="0.2">
      <c r="A10" s="1" t="s">
        <v>97</v>
      </c>
      <c r="B10" s="14" t="s">
        <v>97</v>
      </c>
      <c r="C10" s="2" t="s">
        <v>99</v>
      </c>
      <c r="D10" s="3" t="s">
        <v>55</v>
      </c>
      <c r="E10" s="2" t="s">
        <v>100</v>
      </c>
      <c r="F10" s="2">
        <v>7</v>
      </c>
      <c r="G10" s="2">
        <v>2</v>
      </c>
      <c r="H10" s="2">
        <v>6</v>
      </c>
      <c r="I10" s="2">
        <v>0</v>
      </c>
      <c r="J10" s="2">
        <v>-2</v>
      </c>
      <c r="K10" s="12">
        <f t="shared" si="0"/>
        <v>2.5714285714285716</v>
      </c>
      <c r="L10" s="3">
        <f t="shared" si="1"/>
        <v>182.08458000000002</v>
      </c>
      <c r="M10" s="12">
        <v>355.5</v>
      </c>
      <c r="N10" s="2" t="s">
        <v>101</v>
      </c>
      <c r="O10" s="2" t="s">
        <v>64</v>
      </c>
      <c r="P10" s="2" t="str">
        <f t="shared" si="2"/>
        <v>Proton symporter</v>
      </c>
      <c r="Q10" s="3" t="s">
        <v>102</v>
      </c>
    </row>
    <row r="11" spans="1:17" x14ac:dyDescent="0.2">
      <c r="A11" s="1" t="s">
        <v>103</v>
      </c>
      <c r="B11" s="14" t="s">
        <v>103</v>
      </c>
      <c r="C11" s="2" t="s">
        <v>105</v>
      </c>
      <c r="D11" s="3" t="s">
        <v>55</v>
      </c>
      <c r="E11" s="2" t="s">
        <v>106</v>
      </c>
      <c r="F11" s="2">
        <v>6</v>
      </c>
      <c r="G11" s="2">
        <v>14</v>
      </c>
      <c r="H11" s="2">
        <v>1</v>
      </c>
      <c r="I11" s="2">
        <v>0</v>
      </c>
      <c r="J11" s="2">
        <v>0</v>
      </c>
      <c r="K11" s="12">
        <f t="shared" si="0"/>
        <v>6</v>
      </c>
      <c r="L11" s="3">
        <f t="shared" si="1"/>
        <v>102.17295999999999</v>
      </c>
      <c r="M11" s="12">
        <v>153</v>
      </c>
      <c r="N11" s="2" t="s">
        <v>78</v>
      </c>
      <c r="O11" s="2" t="s">
        <v>84</v>
      </c>
      <c r="P11" s="2" t="str">
        <f t="shared" si="2"/>
        <v>Proton symporter</v>
      </c>
      <c r="Q11" s="3" t="s">
        <v>107</v>
      </c>
    </row>
    <row r="12" spans="1:17" x14ac:dyDescent="0.2">
      <c r="A12" s="1" t="s">
        <v>108</v>
      </c>
      <c r="B12" s="11" t="s">
        <v>108</v>
      </c>
      <c r="C12" s="3" t="s">
        <v>108</v>
      </c>
      <c r="D12" s="3" t="s">
        <v>43</v>
      </c>
      <c r="E12" s="3" t="s">
        <v>110</v>
      </c>
      <c r="F12" s="3">
        <v>8</v>
      </c>
      <c r="G12" s="3">
        <v>8</v>
      </c>
      <c r="H12" s="3">
        <v>1</v>
      </c>
      <c r="I12" s="3">
        <v>0</v>
      </c>
      <c r="J12" s="3">
        <v>0</v>
      </c>
      <c r="K12" s="12">
        <f t="shared" si="0"/>
        <v>4.75</v>
      </c>
      <c r="L12" s="3">
        <f t="shared" si="1"/>
        <v>120.14731999999999</v>
      </c>
      <c r="M12" s="12">
        <v>229</v>
      </c>
      <c r="N12" s="3" t="s">
        <v>111</v>
      </c>
      <c r="O12" s="2" t="s">
        <v>112</v>
      </c>
      <c r="P12" s="2" t="str">
        <f t="shared" si="2"/>
        <v>Proton symporter</v>
      </c>
      <c r="Q12" s="3" t="s">
        <v>113</v>
      </c>
    </row>
    <row r="13" spans="1:17" x14ac:dyDescent="0.2">
      <c r="A13" s="1" t="s">
        <v>114</v>
      </c>
      <c r="B13" s="14" t="s">
        <v>114</v>
      </c>
      <c r="C13" s="2" t="s">
        <v>114</v>
      </c>
      <c r="D13" s="3" t="s">
        <v>55</v>
      </c>
      <c r="E13" s="2" t="s">
        <v>116</v>
      </c>
      <c r="F13" s="2">
        <v>5</v>
      </c>
      <c r="G13" s="2">
        <v>11</v>
      </c>
      <c r="H13" s="2">
        <v>2</v>
      </c>
      <c r="I13" s="2">
        <v>1</v>
      </c>
      <c r="J13" s="2">
        <v>0</v>
      </c>
      <c r="K13" s="12">
        <f t="shared" si="0"/>
        <v>4.8</v>
      </c>
      <c r="L13" s="3">
        <f t="shared" si="1"/>
        <v>117.14444</v>
      </c>
      <c r="M13" s="12">
        <v>247.5</v>
      </c>
      <c r="N13" s="2" t="s">
        <v>117</v>
      </c>
      <c r="O13" s="2" t="s">
        <v>84</v>
      </c>
      <c r="P13" s="2" t="str">
        <f t="shared" si="2"/>
        <v>Proton symporter</v>
      </c>
      <c r="Q13" s="3" t="s">
        <v>118</v>
      </c>
    </row>
    <row r="14" spans="1:17" x14ac:dyDescent="0.2">
      <c r="A14" s="1" t="s">
        <v>119</v>
      </c>
      <c r="B14" s="14" t="s">
        <v>119</v>
      </c>
      <c r="C14" s="2" t="s">
        <v>119</v>
      </c>
      <c r="D14" s="3" t="s">
        <v>55</v>
      </c>
      <c r="E14" s="2" t="s">
        <v>121</v>
      </c>
      <c r="F14" s="2">
        <v>3</v>
      </c>
      <c r="G14" s="2">
        <v>6</v>
      </c>
      <c r="H14" s="2">
        <v>1</v>
      </c>
      <c r="I14" s="2">
        <v>0</v>
      </c>
      <c r="J14" s="2">
        <v>0</v>
      </c>
      <c r="K14" s="12">
        <f t="shared" si="0"/>
        <v>5.333333333333333</v>
      </c>
      <c r="L14" s="3">
        <f t="shared" si="1"/>
        <v>58.078140000000005</v>
      </c>
      <c r="M14" s="12">
        <v>56</v>
      </c>
      <c r="N14" s="2" t="s">
        <v>122</v>
      </c>
      <c r="O14" s="2" t="s">
        <v>46</v>
      </c>
      <c r="P14" s="2" t="str">
        <f t="shared" si="2"/>
        <v>Proton symporter</v>
      </c>
      <c r="Q14" s="3" t="s">
        <v>123</v>
      </c>
    </row>
    <row r="15" spans="1:17" x14ac:dyDescent="0.2">
      <c r="A15" s="1" t="s">
        <v>124</v>
      </c>
      <c r="B15" s="14" t="s">
        <v>124</v>
      </c>
      <c r="C15" s="2" t="s">
        <v>126</v>
      </c>
      <c r="D15" s="3" t="s">
        <v>55</v>
      </c>
      <c r="E15" s="2" t="s">
        <v>127</v>
      </c>
      <c r="F15" s="2">
        <v>3</v>
      </c>
      <c r="G15" s="2">
        <v>3</v>
      </c>
      <c r="H15" s="2">
        <v>2</v>
      </c>
      <c r="I15" s="2">
        <v>0</v>
      </c>
      <c r="J15" s="2">
        <v>-1</v>
      </c>
      <c r="K15" s="12">
        <f t="shared" si="0"/>
        <v>3.6666666666666665</v>
      </c>
      <c r="L15" s="3">
        <f t="shared" si="1"/>
        <v>71.053619999999995</v>
      </c>
      <c r="M15" s="12">
        <v>80</v>
      </c>
      <c r="N15" s="2" t="s">
        <v>128</v>
      </c>
      <c r="O15" s="2" t="s">
        <v>64</v>
      </c>
      <c r="P15" s="2" t="str">
        <f t="shared" si="2"/>
        <v>Proton symporter</v>
      </c>
      <c r="Q15" s="3" t="s">
        <v>129</v>
      </c>
    </row>
    <row r="16" spans="1:17" x14ac:dyDescent="0.2">
      <c r="A16" s="1" t="s">
        <v>130</v>
      </c>
      <c r="B16" s="14" t="s">
        <v>130</v>
      </c>
      <c r="C16" s="2" t="s">
        <v>131</v>
      </c>
      <c r="D16" s="3" t="s">
        <v>55</v>
      </c>
      <c r="E16" s="2" t="s">
        <v>127</v>
      </c>
      <c r="F16" s="2">
        <v>3</v>
      </c>
      <c r="G16" s="2">
        <v>3</v>
      </c>
      <c r="H16" s="2">
        <v>2</v>
      </c>
      <c r="I16" s="2">
        <v>0</v>
      </c>
      <c r="J16" s="2">
        <v>-1</v>
      </c>
      <c r="K16" s="12">
        <f t="shared" si="0"/>
        <v>3.6666666666666665</v>
      </c>
      <c r="L16" s="3">
        <f t="shared" si="1"/>
        <v>71.053619999999995</v>
      </c>
      <c r="M16" s="12">
        <v>80</v>
      </c>
      <c r="N16" s="2" t="s">
        <v>128</v>
      </c>
      <c r="O16" s="2" t="s">
        <v>89</v>
      </c>
      <c r="P16" s="2" t="str">
        <f t="shared" si="2"/>
        <v>Proton symporter</v>
      </c>
      <c r="Q16" s="3" t="s">
        <v>129</v>
      </c>
    </row>
    <row r="17" spans="1:17" x14ac:dyDescent="0.2">
      <c r="A17" s="1" t="s">
        <v>132</v>
      </c>
      <c r="B17" s="11" t="s">
        <v>132</v>
      </c>
      <c r="C17" s="3" t="s">
        <v>132</v>
      </c>
      <c r="D17" s="3" t="s">
        <v>43</v>
      </c>
      <c r="E17" s="3" t="s">
        <v>134</v>
      </c>
      <c r="F17" s="3">
        <v>6</v>
      </c>
      <c r="G17" s="3">
        <v>8</v>
      </c>
      <c r="H17" s="3">
        <v>4</v>
      </c>
      <c r="I17" s="3">
        <v>0</v>
      </c>
      <c r="J17" s="3">
        <v>-2</v>
      </c>
      <c r="K17" s="12">
        <f t="shared" si="0"/>
        <v>4</v>
      </c>
      <c r="L17" s="3">
        <f t="shared" si="1"/>
        <v>144.12291999999999</v>
      </c>
      <c r="M17" s="12">
        <v>337.5</v>
      </c>
      <c r="N17" s="2" t="s">
        <v>101</v>
      </c>
      <c r="O17" s="2" t="s">
        <v>64</v>
      </c>
      <c r="P17" s="2" t="str">
        <f t="shared" si="2"/>
        <v>Proton symporter</v>
      </c>
      <c r="Q17" s="3" t="s">
        <v>135</v>
      </c>
    </row>
    <row r="18" spans="1:17" x14ac:dyDescent="0.2">
      <c r="A18" s="1" t="s">
        <v>136</v>
      </c>
      <c r="B18" s="14" t="s">
        <v>136</v>
      </c>
      <c r="C18" s="2" t="s">
        <v>138</v>
      </c>
      <c r="D18" s="3" t="s">
        <v>55</v>
      </c>
      <c r="E18" s="2" t="s">
        <v>139</v>
      </c>
      <c r="F18" s="2">
        <v>7</v>
      </c>
      <c r="G18" s="2">
        <v>5</v>
      </c>
      <c r="H18" s="2">
        <v>2</v>
      </c>
      <c r="I18" s="2">
        <v>0</v>
      </c>
      <c r="J18" s="2">
        <v>-1</v>
      </c>
      <c r="K18" s="12">
        <f t="shared" si="0"/>
        <v>4.1428571428571432</v>
      </c>
      <c r="L18" s="3">
        <f t="shared" si="1"/>
        <v>121.1121</v>
      </c>
      <c r="M18" s="12">
        <v>249.2</v>
      </c>
      <c r="N18" s="2" t="s">
        <v>140</v>
      </c>
      <c r="O18" s="2" t="s">
        <v>141</v>
      </c>
      <c r="P18" s="2" t="str">
        <f t="shared" si="2"/>
        <v>Proton symporter</v>
      </c>
      <c r="Q18" s="3" t="s">
        <v>142</v>
      </c>
    </row>
    <row r="19" spans="1:17" x14ac:dyDescent="0.2">
      <c r="A19" s="1" t="s">
        <v>143</v>
      </c>
      <c r="B19" s="14" t="s">
        <v>143</v>
      </c>
      <c r="C19" s="2" t="s">
        <v>144</v>
      </c>
      <c r="D19" s="3" t="s">
        <v>55</v>
      </c>
      <c r="E19" s="2" t="s">
        <v>139</v>
      </c>
      <c r="F19" s="2">
        <v>7</v>
      </c>
      <c r="G19" s="2">
        <v>5</v>
      </c>
      <c r="H19" s="2">
        <v>2</v>
      </c>
      <c r="I19" s="2">
        <v>0</v>
      </c>
      <c r="J19" s="2">
        <v>-1</v>
      </c>
      <c r="K19" s="12">
        <f t="shared" si="0"/>
        <v>4.1428571428571432</v>
      </c>
      <c r="L19" s="3">
        <f t="shared" si="1"/>
        <v>121.1121</v>
      </c>
      <c r="M19" s="12">
        <v>249.2</v>
      </c>
      <c r="N19" s="2" t="s">
        <v>140</v>
      </c>
      <c r="O19" s="2" t="s">
        <v>141</v>
      </c>
      <c r="P19" s="2" t="str">
        <f t="shared" si="2"/>
        <v>Proton symporter</v>
      </c>
      <c r="Q19" s="3" t="s">
        <v>142</v>
      </c>
    </row>
    <row r="20" spans="1:17" x14ac:dyDescent="0.2">
      <c r="A20" s="1" t="s">
        <v>145</v>
      </c>
      <c r="B20" s="11" t="s">
        <v>147</v>
      </c>
      <c r="C20" s="3" t="s">
        <v>147</v>
      </c>
      <c r="D20" s="3" t="s">
        <v>43</v>
      </c>
      <c r="E20" s="3" t="s">
        <v>148</v>
      </c>
      <c r="F20" s="3">
        <v>7</v>
      </c>
      <c r="G20" s="3">
        <v>8</v>
      </c>
      <c r="H20" s="3">
        <v>1</v>
      </c>
      <c r="I20" s="3">
        <v>0</v>
      </c>
      <c r="J20" s="3">
        <v>0</v>
      </c>
      <c r="K20" s="12">
        <f t="shared" si="0"/>
        <v>4.8571428571428568</v>
      </c>
      <c r="L20" s="3">
        <f t="shared" si="1"/>
        <v>108.13661999999999</v>
      </c>
      <c r="M20" s="12">
        <v>205</v>
      </c>
      <c r="N20" s="3" t="s">
        <v>111</v>
      </c>
      <c r="O20" s="3" t="s">
        <v>149</v>
      </c>
      <c r="P20" s="2" t="str">
        <f t="shared" si="2"/>
        <v>Proton symporter</v>
      </c>
      <c r="Q20" s="3" t="s">
        <v>150</v>
      </c>
    </row>
    <row r="21" spans="1:17" x14ac:dyDescent="0.2">
      <c r="A21" s="1" t="s">
        <v>151</v>
      </c>
      <c r="B21" s="14" t="s">
        <v>151</v>
      </c>
      <c r="C21" s="2" t="s">
        <v>153</v>
      </c>
      <c r="D21" s="3" t="s">
        <v>55</v>
      </c>
      <c r="E21" s="2" t="s">
        <v>154</v>
      </c>
      <c r="F21" s="2">
        <v>40</v>
      </c>
      <c r="G21" s="2">
        <v>56</v>
      </c>
      <c r="H21" s="2">
        <v>0</v>
      </c>
      <c r="I21" s="2">
        <v>0</v>
      </c>
      <c r="J21" s="2">
        <v>0</v>
      </c>
      <c r="K21" s="12">
        <f t="shared" si="0"/>
        <v>5.4</v>
      </c>
      <c r="L21" s="3">
        <f t="shared" si="1"/>
        <v>536.86703999999997</v>
      </c>
      <c r="M21" s="12">
        <v>633</v>
      </c>
      <c r="N21" s="2" t="s">
        <v>155</v>
      </c>
      <c r="O21" s="2" t="s">
        <v>46</v>
      </c>
      <c r="P21" s="2" t="s">
        <v>156</v>
      </c>
      <c r="Q21" s="3" t="s">
        <v>157</v>
      </c>
    </row>
    <row r="22" spans="1:17" x14ac:dyDescent="0.2">
      <c r="A22" s="1" t="s">
        <v>158</v>
      </c>
      <c r="B22" s="14" t="s">
        <v>158</v>
      </c>
      <c r="C22" s="2" t="s">
        <v>158</v>
      </c>
      <c r="D22" s="3" t="s">
        <v>43</v>
      </c>
      <c r="E22" s="2" t="s">
        <v>160</v>
      </c>
      <c r="F22" s="2">
        <v>4</v>
      </c>
      <c r="G22" s="2">
        <v>10</v>
      </c>
      <c r="H22" s="2">
        <v>0</v>
      </c>
      <c r="I22" s="2">
        <v>0</v>
      </c>
      <c r="J22" s="2">
        <v>0</v>
      </c>
      <c r="K22" s="12">
        <f t="shared" si="0"/>
        <v>6.5</v>
      </c>
      <c r="L22" s="3">
        <f t="shared" si="1"/>
        <v>58.121200000000002</v>
      </c>
      <c r="M22" s="15">
        <v>-1</v>
      </c>
      <c r="N22" s="3" t="s">
        <v>161</v>
      </c>
      <c r="O22" s="2" t="s">
        <v>162</v>
      </c>
      <c r="P22" s="16" t="str">
        <f t="shared" ref="P22:P27" si="3">IF(M22&gt;37,"Proton symporter", "Diffusion")</f>
        <v>Diffusion</v>
      </c>
      <c r="Q22" s="3" t="s">
        <v>163</v>
      </c>
    </row>
    <row r="23" spans="1:17" x14ac:dyDescent="0.2">
      <c r="A23" s="1" t="s">
        <v>164</v>
      </c>
      <c r="B23" s="11" t="s">
        <v>164</v>
      </c>
      <c r="C23" s="3" t="s">
        <v>166</v>
      </c>
      <c r="D23" s="3" t="s">
        <v>43</v>
      </c>
      <c r="E23" s="3" t="s">
        <v>167</v>
      </c>
      <c r="F23" s="3">
        <v>4</v>
      </c>
      <c r="G23" s="3">
        <v>10</v>
      </c>
      <c r="H23" s="3">
        <v>1</v>
      </c>
      <c r="I23" s="3">
        <v>0</v>
      </c>
      <c r="J23" s="3">
        <v>0</v>
      </c>
      <c r="K23" s="12">
        <f t="shared" si="0"/>
        <v>6</v>
      </c>
      <c r="L23" s="3">
        <f t="shared" si="1"/>
        <v>74.120199999999997</v>
      </c>
      <c r="M23" s="12">
        <v>117.7</v>
      </c>
      <c r="N23" s="3" t="s">
        <v>78</v>
      </c>
      <c r="O23" s="2" t="s">
        <v>46</v>
      </c>
      <c r="P23" s="2" t="str">
        <f t="shared" si="3"/>
        <v>Proton symporter</v>
      </c>
      <c r="Q23" s="3" t="s">
        <v>168</v>
      </c>
    </row>
    <row r="24" spans="1:17" x14ac:dyDescent="0.2">
      <c r="A24" s="1" t="s">
        <v>169</v>
      </c>
      <c r="B24" s="11" t="s">
        <v>169</v>
      </c>
      <c r="C24" s="3" t="s">
        <v>170</v>
      </c>
      <c r="D24" s="3" t="s">
        <v>43</v>
      </c>
      <c r="E24" s="3" t="s">
        <v>167</v>
      </c>
      <c r="F24" s="3">
        <v>4</v>
      </c>
      <c r="G24" s="3">
        <v>10</v>
      </c>
      <c r="H24" s="3">
        <v>1</v>
      </c>
      <c r="I24" s="3">
        <v>0</v>
      </c>
      <c r="J24" s="3">
        <v>0</v>
      </c>
      <c r="K24" s="12">
        <f t="shared" si="0"/>
        <v>6</v>
      </c>
      <c r="L24" s="3">
        <f t="shared" si="1"/>
        <v>74.120199999999997</v>
      </c>
      <c r="M24" s="12">
        <v>117.7</v>
      </c>
      <c r="N24" s="3" t="s">
        <v>78</v>
      </c>
      <c r="O24" s="3" t="s">
        <v>84</v>
      </c>
      <c r="P24" s="2" t="str">
        <f t="shared" si="3"/>
        <v>Proton symporter</v>
      </c>
      <c r="Q24" s="3" t="s">
        <v>168</v>
      </c>
    </row>
    <row r="25" spans="1:17" x14ac:dyDescent="0.2">
      <c r="A25" s="1" t="s">
        <v>171</v>
      </c>
      <c r="B25" s="14" t="s">
        <v>171</v>
      </c>
      <c r="C25" s="2" t="s">
        <v>171</v>
      </c>
      <c r="D25" s="3" t="s">
        <v>55</v>
      </c>
      <c r="E25" s="2" t="s">
        <v>173</v>
      </c>
      <c r="F25" s="2">
        <v>4</v>
      </c>
      <c r="G25" s="2">
        <v>7</v>
      </c>
      <c r="H25" s="2">
        <v>2</v>
      </c>
      <c r="I25" s="2">
        <v>0</v>
      </c>
      <c r="J25" s="3">
        <v>-1</v>
      </c>
      <c r="K25" s="12">
        <f t="shared" si="0"/>
        <v>4.75</v>
      </c>
      <c r="L25" s="3">
        <f t="shared" si="1"/>
        <v>87.095680000000002</v>
      </c>
      <c r="M25" s="12">
        <v>163.5</v>
      </c>
      <c r="N25" s="2" t="s">
        <v>128</v>
      </c>
      <c r="O25" s="2" t="s">
        <v>46</v>
      </c>
      <c r="P25" s="2" t="str">
        <f t="shared" si="3"/>
        <v>Proton symporter</v>
      </c>
      <c r="Q25" s="3" t="s">
        <v>174</v>
      </c>
    </row>
    <row r="26" spans="1:17" x14ac:dyDescent="0.2">
      <c r="A26" s="1" t="s">
        <v>175</v>
      </c>
      <c r="B26" s="11" t="s">
        <v>175</v>
      </c>
      <c r="C26" s="3" t="s">
        <v>175</v>
      </c>
      <c r="D26" s="3" t="s">
        <v>43</v>
      </c>
      <c r="E26" s="11" t="s">
        <v>177</v>
      </c>
      <c r="F26" s="3">
        <v>6</v>
      </c>
      <c r="G26" s="3">
        <v>6</v>
      </c>
      <c r="H26" s="3">
        <v>2</v>
      </c>
      <c r="I26" s="3">
        <v>0</v>
      </c>
      <c r="J26" s="3">
        <v>0</v>
      </c>
      <c r="K26" s="12">
        <f t="shared" si="0"/>
        <v>4.333333333333333</v>
      </c>
      <c r="L26" s="3">
        <f t="shared" si="1"/>
        <v>110.10924</v>
      </c>
      <c r="M26" s="12">
        <v>245</v>
      </c>
      <c r="N26" s="3" t="s">
        <v>178</v>
      </c>
      <c r="O26" s="2" t="s">
        <v>64</v>
      </c>
      <c r="P26" s="2" t="str">
        <f t="shared" si="3"/>
        <v>Proton symporter</v>
      </c>
      <c r="Q26" s="3" t="s">
        <v>179</v>
      </c>
    </row>
    <row r="27" spans="1:17" x14ac:dyDescent="0.2">
      <c r="A27" s="1" t="s">
        <v>180</v>
      </c>
      <c r="B27" s="14" t="s">
        <v>180</v>
      </c>
      <c r="C27" s="2" t="s">
        <v>182</v>
      </c>
      <c r="D27" s="3" t="s">
        <v>55</v>
      </c>
      <c r="E27" s="2" t="s">
        <v>183</v>
      </c>
      <c r="F27" s="2">
        <v>6</v>
      </c>
      <c r="G27" s="2">
        <v>4</v>
      </c>
      <c r="H27" s="2">
        <v>4</v>
      </c>
      <c r="I27" s="2">
        <v>0</v>
      </c>
      <c r="J27" s="3">
        <v>-2</v>
      </c>
      <c r="K27" s="12">
        <f t="shared" si="0"/>
        <v>3.3333333333333335</v>
      </c>
      <c r="L27" s="3">
        <f t="shared" si="1"/>
        <v>140.09156000000002</v>
      </c>
      <c r="M27" s="12">
        <v>345.4</v>
      </c>
      <c r="N27" s="2" t="s">
        <v>101</v>
      </c>
      <c r="O27" s="2" t="s">
        <v>64</v>
      </c>
      <c r="P27" s="2" t="str">
        <f t="shared" si="3"/>
        <v>Proton symporter</v>
      </c>
      <c r="Q27" s="3" t="s">
        <v>184</v>
      </c>
    </row>
    <row r="28" spans="1:17" x14ac:dyDescent="0.2">
      <c r="A28" t="s">
        <v>186</v>
      </c>
      <c r="B28" s="3" t="s">
        <v>186</v>
      </c>
      <c r="C28" s="3" t="s">
        <v>186</v>
      </c>
      <c r="D28" s="3" t="s">
        <v>35</v>
      </c>
      <c r="E28" s="3" t="s">
        <v>188</v>
      </c>
      <c r="F28" s="3">
        <v>6</v>
      </c>
      <c r="G28" s="3">
        <v>5</v>
      </c>
      <c r="H28" s="3">
        <v>7</v>
      </c>
      <c r="I28" s="3">
        <v>0</v>
      </c>
      <c r="J28" s="3">
        <v>-3</v>
      </c>
      <c r="K28" s="12">
        <f t="shared" si="0"/>
        <v>2.5</v>
      </c>
      <c r="L28" s="3">
        <f t="shared" si="1"/>
        <v>189.09640000000002</v>
      </c>
      <c r="M28" s="12" t="s">
        <v>40</v>
      </c>
      <c r="N28" s="3" t="s">
        <v>189</v>
      </c>
      <c r="O28" s="3" t="s">
        <v>46</v>
      </c>
      <c r="P28" s="2" t="s">
        <v>190</v>
      </c>
      <c r="Q28" s="2" t="s">
        <v>191</v>
      </c>
    </row>
    <row r="29" spans="1:17" x14ac:dyDescent="0.2">
      <c r="A29" s="1" t="s">
        <v>192</v>
      </c>
      <c r="B29" s="11" t="s">
        <v>194</v>
      </c>
      <c r="C29" s="3" t="s">
        <v>194</v>
      </c>
      <c r="D29" s="3" t="s">
        <v>43</v>
      </c>
      <c r="E29" s="3" t="s">
        <v>195</v>
      </c>
      <c r="F29" s="3">
        <v>9</v>
      </c>
      <c r="G29" s="3">
        <v>7</v>
      </c>
      <c r="H29" s="3">
        <v>3</v>
      </c>
      <c r="I29" s="3">
        <v>0</v>
      </c>
      <c r="J29" s="2">
        <v>-1</v>
      </c>
      <c r="K29" s="12">
        <f t="shared" si="0"/>
        <v>4.1111111111111107</v>
      </c>
      <c r="L29" s="3">
        <f t="shared" si="1"/>
        <v>163.14818</v>
      </c>
      <c r="M29" s="12">
        <v>346</v>
      </c>
      <c r="N29" s="13" t="s">
        <v>196</v>
      </c>
      <c r="O29" s="2" t="s">
        <v>112</v>
      </c>
      <c r="P29" s="2" t="str">
        <f t="shared" ref="P29:P43" si="4">IF(M29&gt;37,"Proton symporter", "Diffusion")</f>
        <v>Proton symporter</v>
      </c>
      <c r="Q29" s="3" t="s">
        <v>197</v>
      </c>
    </row>
    <row r="30" spans="1:17" x14ac:dyDescent="0.2">
      <c r="A30" s="1" t="s">
        <v>198</v>
      </c>
      <c r="B30" s="11" t="s">
        <v>198</v>
      </c>
      <c r="C30" s="3" t="s">
        <v>200</v>
      </c>
      <c r="D30" s="3" t="s">
        <v>43</v>
      </c>
      <c r="E30" s="3" t="s">
        <v>201</v>
      </c>
      <c r="F30" s="3">
        <v>4</v>
      </c>
      <c r="G30" s="3">
        <v>8</v>
      </c>
      <c r="H30" s="3">
        <v>2</v>
      </c>
      <c r="I30" s="3">
        <v>0</v>
      </c>
      <c r="J30" s="2">
        <v>0</v>
      </c>
      <c r="K30" s="12">
        <f t="shared" si="0"/>
        <v>5</v>
      </c>
      <c r="L30" s="3">
        <f t="shared" si="1"/>
        <v>88.103520000000003</v>
      </c>
      <c r="M30" s="12">
        <v>77.099999999999994</v>
      </c>
      <c r="N30" s="3" t="s">
        <v>202</v>
      </c>
      <c r="O30" s="3" t="s">
        <v>46</v>
      </c>
      <c r="P30" s="2" t="str">
        <f t="shared" si="4"/>
        <v>Proton symporter</v>
      </c>
      <c r="Q30" s="3" t="s">
        <v>203</v>
      </c>
    </row>
    <row r="31" spans="1:17" x14ac:dyDescent="0.2">
      <c r="A31" s="1" t="s">
        <v>204</v>
      </c>
      <c r="B31" s="14" t="s">
        <v>204</v>
      </c>
      <c r="C31" s="2" t="s">
        <v>204</v>
      </c>
      <c r="D31" s="3" t="s">
        <v>55</v>
      </c>
      <c r="E31" s="2" t="s">
        <v>206</v>
      </c>
      <c r="F31" s="2">
        <v>15</v>
      </c>
      <c r="G31" s="2">
        <v>24</v>
      </c>
      <c r="H31" s="2">
        <v>0</v>
      </c>
      <c r="I31" s="2">
        <v>0</v>
      </c>
      <c r="J31" s="3">
        <v>0</v>
      </c>
      <c r="K31" s="12">
        <f t="shared" si="0"/>
        <v>5.6</v>
      </c>
      <c r="L31" s="3">
        <f t="shared" si="1"/>
        <v>204.34866000000002</v>
      </c>
      <c r="M31" s="12" t="s">
        <v>207</v>
      </c>
      <c r="N31" s="2" t="s">
        <v>155</v>
      </c>
      <c r="O31" s="2" t="s">
        <v>46</v>
      </c>
      <c r="P31" s="2" t="str">
        <f t="shared" si="4"/>
        <v>Proton symporter</v>
      </c>
      <c r="Q31" s="3" t="s">
        <v>208</v>
      </c>
    </row>
    <row r="32" spans="1:17" x14ac:dyDescent="0.2">
      <c r="A32" s="1" t="s">
        <v>209</v>
      </c>
      <c r="B32" s="14" t="s">
        <v>209</v>
      </c>
      <c r="C32" s="2" t="s">
        <v>211</v>
      </c>
      <c r="D32" s="3" t="s">
        <v>55</v>
      </c>
      <c r="E32" s="2" t="s">
        <v>212</v>
      </c>
      <c r="F32" s="2">
        <v>4</v>
      </c>
      <c r="G32" s="2">
        <v>6</v>
      </c>
      <c r="H32" s="2">
        <v>2</v>
      </c>
      <c r="I32" s="2">
        <v>0</v>
      </c>
      <c r="J32" s="2">
        <v>0</v>
      </c>
      <c r="K32" s="12">
        <f t="shared" si="0"/>
        <v>4.5</v>
      </c>
      <c r="L32" s="3">
        <f t="shared" si="1"/>
        <v>86.08784</v>
      </c>
      <c r="M32" s="12">
        <v>204</v>
      </c>
      <c r="N32" s="2" t="s">
        <v>213</v>
      </c>
      <c r="O32" s="2" t="s">
        <v>70</v>
      </c>
      <c r="P32" s="2" t="str">
        <f t="shared" si="4"/>
        <v>Proton symporter</v>
      </c>
      <c r="Q32" s="3" t="s">
        <v>214</v>
      </c>
    </row>
    <row r="33" spans="1:17" x14ac:dyDescent="0.2">
      <c r="A33" t="s">
        <v>215</v>
      </c>
      <c r="B33" s="3" t="s">
        <v>215</v>
      </c>
      <c r="C33" s="3" t="s">
        <v>217</v>
      </c>
      <c r="D33" s="3" t="s">
        <v>35</v>
      </c>
      <c r="E33" s="3" t="s">
        <v>218</v>
      </c>
      <c r="F33" s="3">
        <v>5</v>
      </c>
      <c r="G33" s="3">
        <v>8</v>
      </c>
      <c r="H33" s="3">
        <v>4</v>
      </c>
      <c r="I33" s="3">
        <v>1</v>
      </c>
      <c r="J33" s="2">
        <v>-1</v>
      </c>
      <c r="K33" s="12">
        <f t="shared" ref="K33:K57" si="5">(F33*4+G33*1+H33*-2+I33*-3)/F33</f>
        <v>3.4</v>
      </c>
      <c r="L33" s="3">
        <f t="shared" ref="L33:L57" si="6">F33*12.0107+G33*1.00784+H33*15.999+I33*14.0067</f>
        <v>146.11892</v>
      </c>
      <c r="M33" s="12">
        <v>333.8</v>
      </c>
      <c r="N33" s="3" t="s">
        <v>219</v>
      </c>
      <c r="O33" s="3" t="s">
        <v>70</v>
      </c>
      <c r="P33" s="2" t="str">
        <f t="shared" si="4"/>
        <v>Proton symporter</v>
      </c>
      <c r="Q33" s="2" t="s">
        <v>220</v>
      </c>
    </row>
    <row r="34" spans="1:17" x14ac:dyDescent="0.2">
      <c r="A34" s="1" t="s">
        <v>221</v>
      </c>
      <c r="B34" s="14" t="s">
        <v>221</v>
      </c>
      <c r="C34" s="2" t="s">
        <v>221</v>
      </c>
      <c r="D34" s="3" t="s">
        <v>55</v>
      </c>
      <c r="E34" s="2" t="s">
        <v>223</v>
      </c>
      <c r="F34" s="2">
        <v>5</v>
      </c>
      <c r="G34" s="2">
        <v>6</v>
      </c>
      <c r="H34" s="2">
        <v>4</v>
      </c>
      <c r="I34" s="2">
        <v>0</v>
      </c>
      <c r="J34" s="3">
        <v>-2</v>
      </c>
      <c r="K34" s="12">
        <f t="shared" si="5"/>
        <v>3.6</v>
      </c>
      <c r="L34" s="3">
        <f t="shared" si="6"/>
        <v>130.09654</v>
      </c>
      <c r="M34" s="12">
        <v>200</v>
      </c>
      <c r="N34" s="2" t="s">
        <v>101</v>
      </c>
      <c r="O34" s="2" t="s">
        <v>58</v>
      </c>
      <c r="P34" s="2" t="str">
        <f t="shared" si="4"/>
        <v>Proton symporter</v>
      </c>
      <c r="Q34" s="3" t="s">
        <v>224</v>
      </c>
    </row>
    <row r="35" spans="1:17" x14ac:dyDescent="0.2">
      <c r="A35" t="s">
        <v>225</v>
      </c>
      <c r="B35" s="3" t="s">
        <v>225</v>
      </c>
      <c r="C35" s="3" t="s">
        <v>225</v>
      </c>
      <c r="D35" s="3" t="s">
        <v>35</v>
      </c>
      <c r="E35" s="3" t="s">
        <v>227</v>
      </c>
      <c r="F35" s="3">
        <v>2</v>
      </c>
      <c r="G35" s="3">
        <v>3</v>
      </c>
      <c r="H35" s="3">
        <v>3</v>
      </c>
      <c r="I35" s="3">
        <v>0</v>
      </c>
      <c r="J35" s="2">
        <v>-1</v>
      </c>
      <c r="K35" s="12">
        <f t="shared" si="5"/>
        <v>2.5</v>
      </c>
      <c r="L35" s="3">
        <f t="shared" si="6"/>
        <v>75.041920000000005</v>
      </c>
      <c r="M35" s="12">
        <v>112</v>
      </c>
      <c r="N35" s="3" t="s">
        <v>228</v>
      </c>
      <c r="O35" s="3" t="s">
        <v>229</v>
      </c>
      <c r="P35" s="2" t="str">
        <f t="shared" si="4"/>
        <v>Proton symporter</v>
      </c>
      <c r="Q35" s="2" t="s">
        <v>230</v>
      </c>
    </row>
    <row r="36" spans="1:17" x14ac:dyDescent="0.2">
      <c r="A36" t="s">
        <v>232</v>
      </c>
      <c r="B36" s="11" t="s">
        <v>232</v>
      </c>
      <c r="C36" s="3" t="s">
        <v>232</v>
      </c>
      <c r="D36" s="3" t="s">
        <v>43</v>
      </c>
      <c r="E36" s="3" t="s">
        <v>234</v>
      </c>
      <c r="F36" s="3">
        <v>7</v>
      </c>
      <c r="G36" s="3">
        <v>16</v>
      </c>
      <c r="H36" s="3">
        <v>0</v>
      </c>
      <c r="I36" s="3">
        <v>0</v>
      </c>
      <c r="J36" s="3">
        <v>0</v>
      </c>
      <c r="K36" s="12">
        <f t="shared" si="5"/>
        <v>6.2857142857142856</v>
      </c>
      <c r="L36" s="3">
        <f t="shared" si="6"/>
        <v>100.20034</v>
      </c>
      <c r="M36" s="3">
        <v>98</v>
      </c>
      <c r="N36" s="3" t="s">
        <v>161</v>
      </c>
      <c r="O36" s="2" t="s">
        <v>46</v>
      </c>
      <c r="P36" s="2" t="str">
        <f t="shared" si="4"/>
        <v>Proton symporter</v>
      </c>
      <c r="Q36" s="3" t="s">
        <v>235</v>
      </c>
    </row>
    <row r="37" spans="1:17" x14ac:dyDescent="0.2">
      <c r="A37" t="s">
        <v>236</v>
      </c>
      <c r="B37" s="14" t="s">
        <v>236</v>
      </c>
      <c r="C37" s="2" t="s">
        <v>236</v>
      </c>
      <c r="D37" s="3" t="s">
        <v>43</v>
      </c>
      <c r="E37" s="3" t="s">
        <v>238</v>
      </c>
      <c r="F37" s="2">
        <v>6</v>
      </c>
      <c r="G37" s="2">
        <v>14</v>
      </c>
      <c r="H37" s="2">
        <v>0</v>
      </c>
      <c r="I37" s="2">
        <v>0</v>
      </c>
      <c r="J37" s="3">
        <v>0</v>
      </c>
      <c r="K37" s="12">
        <f t="shared" si="5"/>
        <v>6.333333333333333</v>
      </c>
      <c r="L37" s="3">
        <f t="shared" si="6"/>
        <v>86.173959999999994</v>
      </c>
      <c r="M37" s="12">
        <v>69</v>
      </c>
      <c r="N37" s="3" t="s">
        <v>161</v>
      </c>
      <c r="O37" s="2" t="s">
        <v>162</v>
      </c>
      <c r="P37" s="2" t="str">
        <f t="shared" si="4"/>
        <v>Proton symporter</v>
      </c>
      <c r="Q37" s="3" t="s">
        <v>239</v>
      </c>
    </row>
    <row r="38" spans="1:17" x14ac:dyDescent="0.2">
      <c r="A38" s="1" t="s">
        <v>240</v>
      </c>
      <c r="B38" s="11" t="s">
        <v>240</v>
      </c>
      <c r="C38" s="3" t="s">
        <v>240</v>
      </c>
      <c r="D38" s="3" t="s">
        <v>43</v>
      </c>
      <c r="E38" s="3" t="s">
        <v>242</v>
      </c>
      <c r="F38" s="3">
        <v>5</v>
      </c>
      <c r="G38" s="3">
        <v>10</v>
      </c>
      <c r="H38" s="3">
        <v>1</v>
      </c>
      <c r="I38" s="3">
        <v>0</v>
      </c>
      <c r="J38" s="3">
        <v>0</v>
      </c>
      <c r="K38" s="12">
        <f t="shared" si="5"/>
        <v>5.6</v>
      </c>
      <c r="L38" s="3">
        <f t="shared" si="6"/>
        <v>86.130899999999997</v>
      </c>
      <c r="M38" s="12">
        <v>108</v>
      </c>
      <c r="N38" s="3" t="s">
        <v>78</v>
      </c>
      <c r="O38" s="3" t="s">
        <v>89</v>
      </c>
      <c r="P38" s="2" t="str">
        <f t="shared" si="4"/>
        <v>Proton symporter</v>
      </c>
      <c r="Q38" s="3" t="s">
        <v>243</v>
      </c>
    </row>
    <row r="39" spans="1:17" x14ac:dyDescent="0.2">
      <c r="A39" s="1" t="s">
        <v>244</v>
      </c>
      <c r="B39" s="14" t="s">
        <v>244</v>
      </c>
      <c r="C39" s="2" t="s">
        <v>244</v>
      </c>
      <c r="D39" s="3" t="s">
        <v>55</v>
      </c>
      <c r="E39" s="2" t="s">
        <v>173</v>
      </c>
      <c r="F39" s="2">
        <v>4</v>
      </c>
      <c r="G39" s="2">
        <v>7</v>
      </c>
      <c r="H39" s="2">
        <v>2</v>
      </c>
      <c r="I39" s="2">
        <v>0</v>
      </c>
      <c r="J39" s="2">
        <v>-1</v>
      </c>
      <c r="K39" s="12">
        <f t="shared" si="5"/>
        <v>4.75</v>
      </c>
      <c r="L39" s="3">
        <f t="shared" si="6"/>
        <v>87.095680000000002</v>
      </c>
      <c r="M39" s="12">
        <v>155</v>
      </c>
      <c r="N39" s="2" t="s">
        <v>128</v>
      </c>
      <c r="O39" s="2" t="s">
        <v>89</v>
      </c>
      <c r="P39" s="2" t="str">
        <f t="shared" si="4"/>
        <v>Proton symporter</v>
      </c>
      <c r="Q39" s="3" t="s">
        <v>246</v>
      </c>
    </row>
    <row r="40" spans="1:17" x14ac:dyDescent="0.2">
      <c r="A40" s="1" t="s">
        <v>247</v>
      </c>
      <c r="B40" s="11" t="s">
        <v>247</v>
      </c>
      <c r="C40" s="3" t="s">
        <v>247</v>
      </c>
      <c r="D40" s="3" t="s">
        <v>43</v>
      </c>
      <c r="E40" s="3" t="s">
        <v>249</v>
      </c>
      <c r="F40" s="3">
        <v>5</v>
      </c>
      <c r="G40" s="3">
        <v>8</v>
      </c>
      <c r="H40" s="3">
        <v>0</v>
      </c>
      <c r="I40" s="3">
        <v>0</v>
      </c>
      <c r="J40" s="3">
        <v>0</v>
      </c>
      <c r="K40" s="12">
        <f t="shared" si="5"/>
        <v>5.6</v>
      </c>
      <c r="L40" s="3">
        <f t="shared" si="6"/>
        <v>68.116219999999998</v>
      </c>
      <c r="M40" s="15">
        <v>34.07</v>
      </c>
      <c r="N40" s="3" t="s">
        <v>155</v>
      </c>
      <c r="O40" s="3" t="s">
        <v>46</v>
      </c>
      <c r="P40" s="16" t="str">
        <f t="shared" si="4"/>
        <v>Diffusion</v>
      </c>
      <c r="Q40" s="3" t="s">
        <v>250</v>
      </c>
    </row>
    <row r="41" spans="1:17" x14ac:dyDescent="0.2">
      <c r="A41" s="1" t="s">
        <v>251</v>
      </c>
      <c r="B41" s="14" t="s">
        <v>251</v>
      </c>
      <c r="C41" s="2" t="s">
        <v>251</v>
      </c>
      <c r="D41" s="3" t="s">
        <v>55</v>
      </c>
      <c r="E41" s="2" t="s">
        <v>77</v>
      </c>
      <c r="F41" s="2">
        <v>3</v>
      </c>
      <c r="G41" s="2">
        <v>8</v>
      </c>
      <c r="H41" s="2">
        <v>1</v>
      </c>
      <c r="I41" s="2">
        <v>0</v>
      </c>
      <c r="J41" s="3">
        <v>0</v>
      </c>
      <c r="K41" s="12">
        <f t="shared" si="5"/>
        <v>6</v>
      </c>
      <c r="L41" s="3">
        <f t="shared" si="6"/>
        <v>60.093820000000001</v>
      </c>
      <c r="M41" s="12">
        <v>82.5</v>
      </c>
      <c r="N41" s="2" t="s">
        <v>78</v>
      </c>
      <c r="O41" s="2" t="s">
        <v>46</v>
      </c>
      <c r="P41" s="2" t="str">
        <f t="shared" si="4"/>
        <v>Proton symporter</v>
      </c>
      <c r="Q41" s="3" t="s">
        <v>253</v>
      </c>
    </row>
    <row r="42" spans="1:17" x14ac:dyDescent="0.2">
      <c r="A42" s="1" t="s">
        <v>254</v>
      </c>
      <c r="B42" s="11" t="s">
        <v>254</v>
      </c>
      <c r="C42" s="3" t="s">
        <v>254</v>
      </c>
      <c r="D42" s="3" t="s">
        <v>43</v>
      </c>
      <c r="E42" s="3" t="s">
        <v>256</v>
      </c>
      <c r="F42" s="3">
        <v>5</v>
      </c>
      <c r="G42" s="3">
        <v>4</v>
      </c>
      <c r="H42" s="3">
        <v>4</v>
      </c>
      <c r="I42" s="3">
        <v>0</v>
      </c>
      <c r="J42" s="3">
        <v>-2</v>
      </c>
      <c r="K42" s="12">
        <f t="shared" si="5"/>
        <v>3.2</v>
      </c>
      <c r="L42" s="3">
        <f t="shared" si="6"/>
        <v>128.08086</v>
      </c>
      <c r="M42" s="12">
        <v>381</v>
      </c>
      <c r="N42" s="3" t="s">
        <v>101</v>
      </c>
      <c r="O42" s="3" t="s">
        <v>257</v>
      </c>
      <c r="P42" s="2" t="str">
        <f t="shared" si="4"/>
        <v>Proton symporter</v>
      </c>
      <c r="Q42" s="3" t="s">
        <v>258</v>
      </c>
    </row>
    <row r="43" spans="1:17" x14ac:dyDescent="0.2">
      <c r="A43" t="s">
        <v>259</v>
      </c>
      <c r="B43" s="3" t="s">
        <v>259</v>
      </c>
      <c r="C43" s="3" t="s">
        <v>259</v>
      </c>
      <c r="D43" s="3" t="s">
        <v>43</v>
      </c>
      <c r="E43" s="3" t="s">
        <v>261</v>
      </c>
      <c r="F43" s="3">
        <v>10</v>
      </c>
      <c r="G43" s="3">
        <v>16</v>
      </c>
      <c r="H43" s="3">
        <v>0</v>
      </c>
      <c r="I43" s="3">
        <v>0</v>
      </c>
      <c r="J43" s="3">
        <v>0</v>
      </c>
      <c r="K43" s="12">
        <f t="shared" si="5"/>
        <v>5.6</v>
      </c>
      <c r="L43" s="3">
        <f t="shared" si="6"/>
        <v>136.23244</v>
      </c>
      <c r="M43" s="12">
        <v>176</v>
      </c>
      <c r="N43" s="3" t="s">
        <v>262</v>
      </c>
      <c r="O43" s="3" t="s">
        <v>46</v>
      </c>
      <c r="P43" s="2" t="str">
        <f t="shared" si="4"/>
        <v>Proton symporter</v>
      </c>
      <c r="Q43" s="3" t="s">
        <v>263</v>
      </c>
    </row>
    <row r="44" spans="1:17" x14ac:dyDescent="0.2">
      <c r="A44" t="s">
        <v>264</v>
      </c>
      <c r="B44" s="3" t="s">
        <v>264</v>
      </c>
      <c r="C44" s="2" t="s">
        <v>266</v>
      </c>
      <c r="D44" s="3" t="s">
        <v>35</v>
      </c>
      <c r="E44" s="3" t="s">
        <v>267</v>
      </c>
      <c r="F44" s="3">
        <v>6</v>
      </c>
      <c r="G44" s="3">
        <v>15</v>
      </c>
      <c r="H44" s="3">
        <v>2</v>
      </c>
      <c r="I44" s="3">
        <v>2</v>
      </c>
      <c r="J44" s="3">
        <v>1</v>
      </c>
      <c r="K44" s="12">
        <f t="shared" si="5"/>
        <v>4.833333333333333</v>
      </c>
      <c r="L44" s="3">
        <f t="shared" si="6"/>
        <v>147.19319999999999</v>
      </c>
      <c r="M44" s="12" t="s">
        <v>40</v>
      </c>
      <c r="N44" s="3" t="s">
        <v>219</v>
      </c>
      <c r="O44" s="3" t="s">
        <v>84</v>
      </c>
      <c r="P44" s="2" t="s">
        <v>190</v>
      </c>
      <c r="Q44" s="2" t="s">
        <v>268</v>
      </c>
    </row>
    <row r="45" spans="1:17" x14ac:dyDescent="0.2">
      <c r="A45" t="s">
        <v>269</v>
      </c>
      <c r="B45" s="3" t="s">
        <v>269</v>
      </c>
      <c r="C45" s="3" t="s">
        <v>271</v>
      </c>
      <c r="D45" s="3" t="s">
        <v>35</v>
      </c>
      <c r="E45" s="3" t="s">
        <v>272</v>
      </c>
      <c r="F45" s="3">
        <v>4</v>
      </c>
      <c r="G45" s="3">
        <v>4</v>
      </c>
      <c r="H45" s="3">
        <v>5</v>
      </c>
      <c r="I45" s="3">
        <v>0</v>
      </c>
      <c r="J45" s="3">
        <v>-2</v>
      </c>
      <c r="K45" s="12">
        <f t="shared" si="5"/>
        <v>2.5</v>
      </c>
      <c r="L45" s="3">
        <f t="shared" si="6"/>
        <v>132.06916000000001</v>
      </c>
      <c r="M45" s="12" t="s">
        <v>40</v>
      </c>
      <c r="N45" s="3" t="s">
        <v>101</v>
      </c>
      <c r="O45" s="3" t="s">
        <v>84</v>
      </c>
      <c r="P45" s="2" t="s">
        <v>273</v>
      </c>
      <c r="Q45" s="2" t="s">
        <v>274</v>
      </c>
    </row>
    <row r="46" spans="1:17" x14ac:dyDescent="0.2">
      <c r="A46" s="1" t="s">
        <v>275</v>
      </c>
      <c r="B46" s="14" t="s">
        <v>275</v>
      </c>
      <c r="C46" s="2" t="s">
        <v>275</v>
      </c>
      <c r="D46" s="3" t="s">
        <v>55</v>
      </c>
      <c r="E46" s="2" t="s">
        <v>277</v>
      </c>
      <c r="F46" s="2">
        <v>3</v>
      </c>
      <c r="G46" s="2">
        <v>2</v>
      </c>
      <c r="H46" s="2">
        <v>4</v>
      </c>
      <c r="I46" s="2">
        <v>0</v>
      </c>
      <c r="J46" s="3">
        <v>-2</v>
      </c>
      <c r="K46" s="12">
        <f t="shared" si="5"/>
        <v>2</v>
      </c>
      <c r="L46" s="3">
        <f t="shared" si="6"/>
        <v>102.04378</v>
      </c>
      <c r="M46" s="12">
        <v>199</v>
      </c>
      <c r="N46" s="2" t="s">
        <v>101</v>
      </c>
      <c r="O46" s="2" t="s">
        <v>84</v>
      </c>
      <c r="P46" s="2" t="str">
        <f t="shared" ref="P46:P58" si="7">IF(M46&gt;37,"Proton symporter", "Diffusion")</f>
        <v>Proton symporter</v>
      </c>
      <c r="Q46" s="3" t="s">
        <v>278</v>
      </c>
    </row>
    <row r="47" spans="1:17" x14ac:dyDescent="0.2">
      <c r="A47" t="s">
        <v>279</v>
      </c>
      <c r="B47" s="11" t="s">
        <v>279</v>
      </c>
      <c r="C47" s="3" t="s">
        <v>279</v>
      </c>
      <c r="D47" s="3" t="s">
        <v>43</v>
      </c>
      <c r="E47" s="3" t="s">
        <v>281</v>
      </c>
      <c r="F47" s="3">
        <v>9</v>
      </c>
      <c r="G47" s="3">
        <v>20</v>
      </c>
      <c r="H47" s="3">
        <v>0</v>
      </c>
      <c r="I47" s="3">
        <v>0</v>
      </c>
      <c r="J47" s="3">
        <v>0</v>
      </c>
      <c r="K47" s="12">
        <f t="shared" si="5"/>
        <v>6.2222222222222223</v>
      </c>
      <c r="L47" s="3">
        <f t="shared" si="6"/>
        <v>128.25309999999999</v>
      </c>
      <c r="M47" s="12">
        <v>151</v>
      </c>
      <c r="N47" s="3" t="s">
        <v>161</v>
      </c>
      <c r="O47" s="2" t="s">
        <v>46</v>
      </c>
      <c r="P47" s="2" t="str">
        <f t="shared" si="7"/>
        <v>Proton symporter</v>
      </c>
      <c r="Q47" s="3" t="s">
        <v>282</v>
      </c>
    </row>
    <row r="48" spans="1:17" x14ac:dyDescent="0.2">
      <c r="A48" t="s">
        <v>283</v>
      </c>
      <c r="B48" s="14" t="s">
        <v>283</v>
      </c>
      <c r="C48" s="2" t="s">
        <v>283</v>
      </c>
      <c r="D48" s="3" t="s">
        <v>43</v>
      </c>
      <c r="E48" s="2" t="s">
        <v>285</v>
      </c>
      <c r="F48" s="2">
        <v>8</v>
      </c>
      <c r="G48" s="2">
        <v>18</v>
      </c>
      <c r="H48" s="2">
        <v>0</v>
      </c>
      <c r="I48" s="2">
        <v>0</v>
      </c>
      <c r="J48" s="2">
        <v>0</v>
      </c>
      <c r="K48" s="12">
        <f t="shared" si="5"/>
        <v>6.25</v>
      </c>
      <c r="L48" s="3">
        <f t="shared" si="6"/>
        <v>114.22672</v>
      </c>
      <c r="M48" s="12">
        <v>126</v>
      </c>
      <c r="N48" s="3" t="s">
        <v>161</v>
      </c>
      <c r="O48" s="2" t="s">
        <v>162</v>
      </c>
      <c r="P48" s="2" t="str">
        <f t="shared" si="7"/>
        <v>Proton symporter</v>
      </c>
      <c r="Q48" s="3" t="s">
        <v>286</v>
      </c>
    </row>
    <row r="49" spans="1:17" x14ac:dyDescent="0.2">
      <c r="A49" s="1" t="s">
        <v>287</v>
      </c>
      <c r="B49" s="14" t="s">
        <v>287</v>
      </c>
      <c r="C49" s="2" t="s">
        <v>287</v>
      </c>
      <c r="D49" s="3" t="s">
        <v>43</v>
      </c>
      <c r="E49" s="2" t="s">
        <v>289</v>
      </c>
      <c r="F49" s="2">
        <v>5</v>
      </c>
      <c r="G49" s="2">
        <v>12</v>
      </c>
      <c r="H49" s="2">
        <v>0</v>
      </c>
      <c r="I49" s="2">
        <v>0</v>
      </c>
      <c r="J49" s="3">
        <v>0</v>
      </c>
      <c r="K49" s="12">
        <f t="shared" si="5"/>
        <v>6.4</v>
      </c>
      <c r="L49" s="3">
        <f t="shared" si="6"/>
        <v>72.147580000000005</v>
      </c>
      <c r="M49" s="15">
        <v>36.1</v>
      </c>
      <c r="N49" s="3" t="s">
        <v>161</v>
      </c>
      <c r="O49" s="2" t="s">
        <v>46</v>
      </c>
      <c r="P49" s="16" t="str">
        <f t="shared" si="7"/>
        <v>Diffusion</v>
      </c>
      <c r="Q49" s="3" t="s">
        <v>290</v>
      </c>
    </row>
    <row r="50" spans="1:17" x14ac:dyDescent="0.2">
      <c r="A50" s="1" t="s">
        <v>291</v>
      </c>
      <c r="B50" s="11" t="s">
        <v>291</v>
      </c>
      <c r="C50" s="3" t="s">
        <v>293</v>
      </c>
      <c r="D50" s="3" t="s">
        <v>43</v>
      </c>
      <c r="E50" s="3" t="s">
        <v>94</v>
      </c>
      <c r="F50" s="3">
        <v>5</v>
      </c>
      <c r="G50" s="3">
        <v>12</v>
      </c>
      <c r="H50" s="3">
        <v>1</v>
      </c>
      <c r="I50" s="3">
        <v>0</v>
      </c>
      <c r="J50" s="3">
        <v>0</v>
      </c>
      <c r="K50" s="12">
        <f t="shared" si="5"/>
        <v>6</v>
      </c>
      <c r="L50" s="3">
        <f t="shared" si="6"/>
        <v>88.14658</v>
      </c>
      <c r="M50" s="12">
        <v>138</v>
      </c>
      <c r="N50" s="3" t="s">
        <v>78</v>
      </c>
      <c r="O50" s="2" t="s">
        <v>162</v>
      </c>
      <c r="P50" s="2" t="str">
        <f t="shared" si="7"/>
        <v>Proton symporter</v>
      </c>
      <c r="Q50" s="3" t="s">
        <v>294</v>
      </c>
    </row>
    <row r="51" spans="1:17" x14ac:dyDescent="0.2">
      <c r="A51" s="1" t="s">
        <v>295</v>
      </c>
      <c r="B51" s="11" t="s">
        <v>295</v>
      </c>
      <c r="C51" s="3" t="s">
        <v>296</v>
      </c>
      <c r="D51" s="3" t="s">
        <v>43</v>
      </c>
      <c r="E51" s="3" t="s">
        <v>94</v>
      </c>
      <c r="F51" s="3">
        <v>5</v>
      </c>
      <c r="G51" s="3">
        <v>12</v>
      </c>
      <c r="H51" s="3">
        <v>1</v>
      </c>
      <c r="I51" s="3">
        <v>0</v>
      </c>
      <c r="J51" s="3">
        <v>0</v>
      </c>
      <c r="K51" s="12">
        <f t="shared" si="5"/>
        <v>6</v>
      </c>
      <c r="L51" s="3">
        <f t="shared" si="6"/>
        <v>88.14658</v>
      </c>
      <c r="M51" s="12">
        <v>138</v>
      </c>
      <c r="N51" s="3" t="s">
        <v>78</v>
      </c>
      <c r="O51" s="3" t="s">
        <v>84</v>
      </c>
      <c r="P51" s="2" t="str">
        <f t="shared" si="7"/>
        <v>Proton symporter</v>
      </c>
      <c r="Q51" s="3" t="s">
        <v>294</v>
      </c>
    </row>
    <row r="52" spans="1:17" x14ac:dyDescent="0.2">
      <c r="A52" s="1" t="s">
        <v>297</v>
      </c>
      <c r="B52" s="11" t="s">
        <v>297</v>
      </c>
      <c r="C52" s="3" t="s">
        <v>297</v>
      </c>
      <c r="D52" s="3" t="s">
        <v>76</v>
      </c>
      <c r="E52" s="3" t="s">
        <v>299</v>
      </c>
      <c r="F52" s="3">
        <v>6</v>
      </c>
      <c r="G52" s="3">
        <v>6</v>
      </c>
      <c r="H52" s="3">
        <v>1</v>
      </c>
      <c r="I52" s="3">
        <v>0</v>
      </c>
      <c r="J52" s="2">
        <v>0</v>
      </c>
      <c r="K52" s="12">
        <f t="shared" si="5"/>
        <v>4.666666666666667</v>
      </c>
      <c r="L52" s="3">
        <f t="shared" si="6"/>
        <v>94.11023999999999</v>
      </c>
      <c r="M52" s="12">
        <v>181.7</v>
      </c>
      <c r="N52" s="3" t="s">
        <v>111</v>
      </c>
      <c r="O52" s="2" t="s">
        <v>112</v>
      </c>
      <c r="P52" s="2" t="str">
        <f t="shared" si="7"/>
        <v>Proton symporter</v>
      </c>
      <c r="Q52" s="3" t="s">
        <v>300</v>
      </c>
    </row>
    <row r="53" spans="1:17" x14ac:dyDescent="0.2">
      <c r="A53" s="1" t="s">
        <v>301</v>
      </c>
      <c r="B53" s="11" t="s">
        <v>301</v>
      </c>
      <c r="C53" s="3" t="s">
        <v>303</v>
      </c>
      <c r="D53" s="3" t="s">
        <v>43</v>
      </c>
      <c r="E53" s="3" t="s">
        <v>304</v>
      </c>
      <c r="F53" s="3">
        <v>3</v>
      </c>
      <c r="G53" s="3">
        <v>8</v>
      </c>
      <c r="H53" s="3">
        <v>0</v>
      </c>
      <c r="I53" s="3">
        <v>0</v>
      </c>
      <c r="J53" s="2">
        <v>0</v>
      </c>
      <c r="K53" s="12">
        <f t="shared" si="5"/>
        <v>6.666666666666667</v>
      </c>
      <c r="L53" s="3">
        <f t="shared" si="6"/>
        <v>44.094819999999999</v>
      </c>
      <c r="M53" s="15">
        <v>-42</v>
      </c>
      <c r="N53" s="3" t="s">
        <v>155</v>
      </c>
      <c r="O53" s="2" t="s">
        <v>46</v>
      </c>
      <c r="P53" s="16" t="str">
        <f t="shared" si="7"/>
        <v>Diffusion</v>
      </c>
      <c r="Q53" s="3" t="s">
        <v>305</v>
      </c>
    </row>
    <row r="54" spans="1:17" x14ac:dyDescent="0.2">
      <c r="A54" s="1" t="s">
        <v>306</v>
      </c>
      <c r="B54" s="11" t="s">
        <v>306</v>
      </c>
      <c r="C54" s="3" t="s">
        <v>307</v>
      </c>
      <c r="D54" s="3" t="s">
        <v>43</v>
      </c>
      <c r="E54" s="3" t="s">
        <v>304</v>
      </c>
      <c r="F54" s="3">
        <v>3</v>
      </c>
      <c r="G54" s="3">
        <v>8</v>
      </c>
      <c r="H54" s="3">
        <v>0</v>
      </c>
      <c r="I54" s="3">
        <v>0</v>
      </c>
      <c r="J54" s="2">
        <v>0</v>
      </c>
      <c r="K54" s="12">
        <f t="shared" si="5"/>
        <v>6.666666666666667</v>
      </c>
      <c r="L54" s="3">
        <f t="shared" si="6"/>
        <v>44.094819999999999</v>
      </c>
      <c r="M54" s="15">
        <v>-42</v>
      </c>
      <c r="N54" s="3" t="s">
        <v>155</v>
      </c>
      <c r="O54" s="3" t="s">
        <v>84</v>
      </c>
      <c r="P54" s="16" t="str">
        <f t="shared" si="7"/>
        <v>Diffusion</v>
      </c>
      <c r="Q54" s="3" t="s">
        <v>305</v>
      </c>
    </row>
    <row r="55" spans="1:17" x14ac:dyDescent="0.2">
      <c r="A55" s="1" t="s">
        <v>308</v>
      </c>
      <c r="B55" s="1" t="s">
        <v>308</v>
      </c>
      <c r="C55" s="2" t="s">
        <v>308</v>
      </c>
      <c r="D55" s="3" t="s">
        <v>43</v>
      </c>
      <c r="E55" s="2" t="s">
        <v>310</v>
      </c>
      <c r="F55" s="3">
        <v>7</v>
      </c>
      <c r="G55" s="3">
        <v>9</v>
      </c>
      <c r="H55" s="3">
        <v>5</v>
      </c>
      <c r="I55" s="3">
        <v>0</v>
      </c>
      <c r="J55" s="2">
        <v>-1</v>
      </c>
      <c r="K55" s="12">
        <f t="shared" si="5"/>
        <v>3.8571428571428572</v>
      </c>
      <c r="L55" s="3">
        <f t="shared" si="6"/>
        <v>173.14046000000002</v>
      </c>
      <c r="M55" s="12">
        <v>400.5</v>
      </c>
      <c r="N55" s="3" t="s">
        <v>196</v>
      </c>
      <c r="O55" s="3" t="s">
        <v>311</v>
      </c>
      <c r="P55" s="2" t="str">
        <f t="shared" si="7"/>
        <v>Proton symporter</v>
      </c>
      <c r="Q55" s="3" t="s">
        <v>312</v>
      </c>
    </row>
    <row r="56" spans="1:17" x14ac:dyDescent="0.2">
      <c r="A56" s="1" t="s">
        <v>313</v>
      </c>
      <c r="B56" s="11" t="s">
        <v>313</v>
      </c>
      <c r="C56" s="3" t="s">
        <v>313</v>
      </c>
      <c r="D56" s="3" t="s">
        <v>76</v>
      </c>
      <c r="E56" s="3" t="s">
        <v>315</v>
      </c>
      <c r="F56" s="3">
        <v>8</v>
      </c>
      <c r="G56" s="3">
        <v>8</v>
      </c>
      <c r="H56" s="3">
        <v>0</v>
      </c>
      <c r="I56" s="3">
        <v>0</v>
      </c>
      <c r="J56" s="2">
        <v>0</v>
      </c>
      <c r="K56" s="12">
        <f t="shared" si="5"/>
        <v>5</v>
      </c>
      <c r="L56" s="3">
        <f t="shared" si="6"/>
        <v>104.14832</v>
      </c>
      <c r="M56" s="12">
        <v>145</v>
      </c>
      <c r="N56" s="3" t="s">
        <v>316</v>
      </c>
      <c r="O56" s="3" t="s">
        <v>149</v>
      </c>
      <c r="P56" s="2" t="str">
        <f t="shared" si="7"/>
        <v>Proton symporter</v>
      </c>
      <c r="Q56" s="3" t="s">
        <v>317</v>
      </c>
    </row>
    <row r="57" spans="1:17" x14ac:dyDescent="0.2">
      <c r="A57" t="s">
        <v>318</v>
      </c>
      <c r="B57" s="3" t="s">
        <v>318</v>
      </c>
      <c r="C57" s="3" t="s">
        <v>318</v>
      </c>
      <c r="D57" s="3" t="s">
        <v>35</v>
      </c>
      <c r="E57" s="3" t="s">
        <v>320</v>
      </c>
      <c r="F57" s="3">
        <v>4</v>
      </c>
      <c r="G57" s="3">
        <v>4</v>
      </c>
      <c r="H57" s="3">
        <v>4</v>
      </c>
      <c r="I57" s="3">
        <v>0</v>
      </c>
      <c r="J57" s="2">
        <v>-2</v>
      </c>
      <c r="K57" s="12">
        <f t="shared" si="5"/>
        <v>3</v>
      </c>
      <c r="L57" s="3">
        <f t="shared" si="6"/>
        <v>116.07016</v>
      </c>
      <c r="M57" s="12">
        <v>235</v>
      </c>
      <c r="N57" s="3" t="s">
        <v>101</v>
      </c>
      <c r="O57" s="3" t="s">
        <v>84</v>
      </c>
      <c r="P57" s="2" t="str">
        <f t="shared" si="7"/>
        <v>Proton symporter</v>
      </c>
      <c r="Q57" s="2" t="s">
        <v>321</v>
      </c>
    </row>
    <row r="58" spans="1:17" x14ac:dyDescent="0.2">
      <c r="A58" t="s">
        <v>332</v>
      </c>
      <c r="B58" s="11" t="s">
        <v>332</v>
      </c>
      <c r="C58" s="11" t="s">
        <v>332</v>
      </c>
      <c r="D58" s="3" t="s">
        <v>55</v>
      </c>
      <c r="E58" s="3" t="s">
        <v>824</v>
      </c>
      <c r="F58" s="3">
        <v>2</v>
      </c>
      <c r="G58" s="3">
        <v>6</v>
      </c>
      <c r="H58" s="3">
        <v>1</v>
      </c>
      <c r="I58" s="3">
        <v>0</v>
      </c>
      <c r="J58" s="30">
        <v>0</v>
      </c>
      <c r="K58" s="29">
        <f>(F58*4+G58*1+H58*-2+I58*-3)/F58</f>
        <v>6</v>
      </c>
      <c r="L58" s="3">
        <f>F58*12.0107+G58*1.00784+H58*15.999+I58*14.0067</f>
        <v>46.067440000000005</v>
      </c>
      <c r="M58" s="12">
        <v>78.37</v>
      </c>
      <c r="N58" s="3" t="s">
        <v>78</v>
      </c>
      <c r="O58" s="2" t="s">
        <v>46</v>
      </c>
      <c r="P58" s="2" t="str">
        <f t="shared" si="7"/>
        <v>Proton symporter</v>
      </c>
      <c r="Q58" s="3" t="s">
        <v>825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B63C5-4609-43F3-AAE0-5F03E626958C}">
  <dimension ref="A1:M98"/>
  <sheetViews>
    <sheetView tabSelected="1" workbookViewId="0">
      <selection activeCell="O20" sqref="O20"/>
    </sheetView>
  </sheetViews>
  <sheetFormatPr defaultRowHeight="12.75" x14ac:dyDescent="0.2"/>
  <cols>
    <col min="1" max="1" width="29.5703125" customWidth="1"/>
    <col min="2" max="3" width="12.7109375" customWidth="1"/>
    <col min="4" max="4" width="13.28515625" customWidth="1"/>
    <col min="5" max="5" width="20" customWidth="1"/>
  </cols>
  <sheetData>
    <row r="1" spans="1:13" x14ac:dyDescent="0.2">
      <c r="A1" s="26" t="s">
        <v>817</v>
      </c>
      <c r="B1" t="s">
        <v>818</v>
      </c>
      <c r="C1" t="s">
        <v>830</v>
      </c>
      <c r="D1" t="s">
        <v>819</v>
      </c>
      <c r="E1" t="s">
        <v>828</v>
      </c>
      <c r="F1" t="s">
        <v>829</v>
      </c>
      <c r="H1" t="s">
        <v>837</v>
      </c>
      <c r="I1" t="s">
        <v>838</v>
      </c>
      <c r="J1" t="s">
        <v>839</v>
      </c>
      <c r="M1" t="s">
        <v>836</v>
      </c>
    </row>
    <row r="2" spans="1:13" x14ac:dyDescent="0.2">
      <c r="A2" t="s">
        <v>36</v>
      </c>
      <c r="B2">
        <v>24.155999999999999</v>
      </c>
      <c r="C2">
        <f>B2*E2</f>
        <v>1064.1143145599999</v>
      </c>
      <c r="E2">
        <v>44.051760000000002</v>
      </c>
      <c r="H2">
        <v>2</v>
      </c>
      <c r="I2">
        <v>4</v>
      </c>
      <c r="J2">
        <v>1</v>
      </c>
      <c r="M2">
        <f>(4*H2+I2-2*J2)/H2</f>
        <v>5</v>
      </c>
    </row>
    <row r="3" spans="1:13" x14ac:dyDescent="0.2">
      <c r="A3" s="1" t="s">
        <v>322</v>
      </c>
      <c r="B3">
        <v>14.6</v>
      </c>
      <c r="C3">
        <f>B3*E3</f>
        <v>876.74109599999997</v>
      </c>
      <c r="D3">
        <v>-238.4</v>
      </c>
      <c r="E3">
        <v>60.050759999999997</v>
      </c>
      <c r="F3">
        <f>D3/E3</f>
        <v>-3.9699747347077707</v>
      </c>
      <c r="H3">
        <v>2</v>
      </c>
      <c r="I3">
        <v>3</v>
      </c>
      <c r="J3">
        <v>2</v>
      </c>
      <c r="M3">
        <f>(4*H3+I3-2*J3)/H3</f>
        <v>3.5</v>
      </c>
    </row>
    <row r="4" spans="1:13" x14ac:dyDescent="0.2">
      <c r="A4" t="s">
        <v>325</v>
      </c>
      <c r="B4">
        <f>B35</f>
        <v>10</v>
      </c>
      <c r="C4">
        <f>B4*E4</f>
        <v>280.09700000000004</v>
      </c>
      <c r="D4">
        <f>D35</f>
        <v>-119.9</v>
      </c>
      <c r="E4">
        <f>E35</f>
        <v>28.009700000000002</v>
      </c>
      <c r="F4">
        <f t="shared" ref="F4:F32" si="0">D4/E4</f>
        <v>-4.2806599142439943</v>
      </c>
      <c r="H4">
        <v>1</v>
      </c>
      <c r="I4">
        <v>0</v>
      </c>
      <c r="J4">
        <v>1</v>
      </c>
      <c r="M4">
        <f t="shared" ref="M4:M38" si="1">(4*H4+I4-2*J4)/H4</f>
        <v>2</v>
      </c>
    </row>
    <row r="5" spans="1:13" x14ac:dyDescent="0.2">
      <c r="A5" t="s">
        <v>327</v>
      </c>
      <c r="B5">
        <f>($G$35*2/3 + $G$37*1/3)/($E$35*2/3+$E$37*1/3)</f>
        <v>13.919167510409219</v>
      </c>
      <c r="C5">
        <f>($G$35*2/3 + $G$37*1/3)</f>
        <v>269.26666666666665</v>
      </c>
      <c r="D5">
        <f>D35*2/3 + D37*1/3</f>
        <v>-45.000000000000007</v>
      </c>
      <c r="E5">
        <f>E35*2/3 + E37*1/3</f>
        <v>19.345026666666669</v>
      </c>
      <c r="F5">
        <f t="shared" si="0"/>
        <v>-2.3261792695038932</v>
      </c>
      <c r="H5">
        <f>2/3</f>
        <v>0.66666666666666663</v>
      </c>
      <c r="M5">
        <f>(2/3*M35 + 1/3*M37)</f>
        <v>1.3333333333333333</v>
      </c>
    </row>
    <row r="6" spans="1:13" x14ac:dyDescent="0.2">
      <c r="A6" t="s">
        <v>328</v>
      </c>
      <c r="B6">
        <f>($G$35*1/2 + $G$37*1/2)/($E$35*1/2+$E$37*1/2)</f>
        <v>17.478546483008707</v>
      </c>
      <c r="C6">
        <f>($G$35*1/2 + $G$37*1/2)</f>
        <v>262.39999999999998</v>
      </c>
      <c r="D6">
        <f>D35*1/2+D37*1/2</f>
        <v>-7.5500000000000043</v>
      </c>
      <c r="E6">
        <f>E35*1/2+E37*1/2</f>
        <v>15.012690000000001</v>
      </c>
      <c r="F6">
        <f t="shared" si="0"/>
        <v>-0.50290787327254505</v>
      </c>
      <c r="H6">
        <f>1/2</f>
        <v>0.5</v>
      </c>
      <c r="M6">
        <f>(1/2*M35 + 1/2*M37)</f>
        <v>1</v>
      </c>
    </row>
    <row r="7" spans="1:13" x14ac:dyDescent="0.2">
      <c r="A7" t="s">
        <v>329</v>
      </c>
      <c r="B7">
        <f>($G$35*1/3 + $G$37*2/3)/($E$35*1/3+$E$37*2/3)</f>
        <v>23.925550527978785</v>
      </c>
      <c r="C7">
        <f>($G$35*1/3 + $G$37*2/3)</f>
        <v>255.53333333333336</v>
      </c>
      <c r="D7">
        <f>D35*1/3+D37*2/3</f>
        <v>29.899999999999991</v>
      </c>
      <c r="E7">
        <f>E35*1/3+E37*2/3</f>
        <v>10.680353333333334</v>
      </c>
      <c r="F7">
        <f t="shared" si="0"/>
        <v>2.7995328494125964</v>
      </c>
      <c r="H7">
        <f>1/3</f>
        <v>0.33333333333333331</v>
      </c>
      <c r="M7">
        <f>(1/3*M35 + 2/3*M37)</f>
        <v>0.66666666666666663</v>
      </c>
    </row>
    <row r="8" spans="1:13" x14ac:dyDescent="0.2">
      <c r="A8" s="1" t="s">
        <v>330</v>
      </c>
      <c r="B8">
        <v>17</v>
      </c>
      <c r="C8">
        <f>B8*E8</f>
        <v>1055.1294800000001</v>
      </c>
      <c r="D8">
        <v>-73.400000000000006</v>
      </c>
      <c r="E8">
        <v>62.06644</v>
      </c>
      <c r="F8">
        <f t="shared" si="0"/>
        <v>-1.1826036743850623</v>
      </c>
      <c r="H8">
        <v>2</v>
      </c>
      <c r="I8">
        <v>6</v>
      </c>
      <c r="J8">
        <v>2</v>
      </c>
      <c r="M8">
        <f t="shared" si="1"/>
        <v>5</v>
      </c>
    </row>
    <row r="9" spans="1:13" x14ac:dyDescent="0.2">
      <c r="A9" s="1" t="s">
        <v>331</v>
      </c>
      <c r="B9">
        <v>17</v>
      </c>
      <c r="C9">
        <f t="shared" ref="C9:C31" si="2">B9*E9</f>
        <v>1055.1294800000001</v>
      </c>
      <c r="D9">
        <v>-73.400000000000006</v>
      </c>
      <c r="E9">
        <v>62.06644</v>
      </c>
      <c r="F9">
        <f t="shared" si="0"/>
        <v>-1.1826036743850623</v>
      </c>
      <c r="H9">
        <v>2</v>
      </c>
      <c r="I9">
        <v>6</v>
      </c>
      <c r="J9">
        <v>2</v>
      </c>
      <c r="M9">
        <f t="shared" si="1"/>
        <v>5</v>
      </c>
    </row>
    <row r="10" spans="1:13" x14ac:dyDescent="0.2">
      <c r="A10" s="1" t="s">
        <v>332</v>
      </c>
      <c r="B10">
        <v>26.7</v>
      </c>
      <c r="C10">
        <f t="shared" si="2"/>
        <v>1230.0006480000002</v>
      </c>
      <c r="E10">
        <v>46.067440000000005</v>
      </c>
      <c r="F10">
        <f t="shared" si="0"/>
        <v>0</v>
      </c>
      <c r="H10">
        <v>2</v>
      </c>
      <c r="I10">
        <v>6</v>
      </c>
      <c r="J10">
        <v>1</v>
      </c>
      <c r="M10">
        <f t="shared" si="1"/>
        <v>6</v>
      </c>
    </row>
    <row r="11" spans="1:13" x14ac:dyDescent="0.2">
      <c r="A11" t="s">
        <v>333</v>
      </c>
      <c r="B11">
        <v>5.5</v>
      </c>
      <c r="C11">
        <f t="shared" si="2"/>
        <v>247.59097</v>
      </c>
      <c r="D11">
        <v>-305.39999999999998</v>
      </c>
      <c r="E11">
        <v>45.016539999999999</v>
      </c>
      <c r="F11">
        <f t="shared" si="0"/>
        <v>-6.7841731061516493</v>
      </c>
      <c r="H11">
        <v>1</v>
      </c>
      <c r="M11">
        <f>(1*M38 + 0*M37)</f>
        <v>1</v>
      </c>
    </row>
    <row r="12" spans="1:13" x14ac:dyDescent="0.2">
      <c r="A12" t="s">
        <v>334</v>
      </c>
      <c r="B12">
        <f>($G$38*2/3+$G$37*1/3)/($E$38*2/3 + $E$37*1/3)</f>
        <v>8.1456827881222953</v>
      </c>
      <c r="C12">
        <f>($G$38*2/3+$G$37*1/3)</f>
        <v>249.93333333333334</v>
      </c>
      <c r="D12">
        <v>-305.39999999999998</v>
      </c>
      <c r="E12">
        <v>45.016539999999999</v>
      </c>
      <c r="F12">
        <f t="shared" si="0"/>
        <v>-6.7841731061516493</v>
      </c>
      <c r="H12">
        <f>2/3</f>
        <v>0.66666666666666663</v>
      </c>
      <c r="M12">
        <f>(2/3*M38 + 1/3*M37)</f>
        <v>0.66666666666666663</v>
      </c>
    </row>
    <row r="13" spans="1:13" x14ac:dyDescent="0.2">
      <c r="A13" t="s">
        <v>335</v>
      </c>
      <c r="B13">
        <f>($G$38*1/2+$G$37*1/2)/($E$38*1/2 + $E$37*1/2)</f>
        <v>10.541709491918519</v>
      </c>
      <c r="C13">
        <f>($G$38*1/2+$G$37*1/2)</f>
        <v>247.9</v>
      </c>
      <c r="D13">
        <v>-305.39999999999998</v>
      </c>
      <c r="E13">
        <v>45.016539999999999</v>
      </c>
      <c r="F13">
        <f t="shared" si="0"/>
        <v>-6.7841731061516493</v>
      </c>
      <c r="H13">
        <f>1/2</f>
        <v>0.5</v>
      </c>
      <c r="M13">
        <f>(1/2*M38 + 1/2*M37)</f>
        <v>0.5</v>
      </c>
    </row>
    <row r="14" spans="1:13" x14ac:dyDescent="0.2">
      <c r="A14" t="s">
        <v>336</v>
      </c>
      <c r="B14">
        <f>($G$38*1/3+$G$37*2/3)/($E$38*1/3 + $E$37*2/3)</f>
        <v>15.038360459876978</v>
      </c>
      <c r="C14">
        <f>($G$38*1/3+$G$37*2/3)</f>
        <v>245.86666666666667</v>
      </c>
      <c r="D14">
        <v>-305.39999999999998</v>
      </c>
      <c r="E14">
        <v>45.016539999999999</v>
      </c>
      <c r="F14">
        <f t="shared" si="0"/>
        <v>-6.7841731061516493</v>
      </c>
      <c r="H14">
        <f>1/3</f>
        <v>0.33333333333333331</v>
      </c>
      <c r="M14">
        <f>(1/3*M38 + 2/3*M37)</f>
        <v>0.33333333333333331</v>
      </c>
    </row>
    <row r="15" spans="1:13" x14ac:dyDescent="0.2">
      <c r="A15" s="1" t="s">
        <v>337</v>
      </c>
      <c r="B15">
        <v>5.5</v>
      </c>
      <c r="C15">
        <f t="shared" si="2"/>
        <v>247.59097</v>
      </c>
      <c r="D15">
        <v>-305.39999999999998</v>
      </c>
      <c r="E15">
        <v>45.016539999999999</v>
      </c>
      <c r="F15">
        <f t="shared" si="0"/>
        <v>-6.7841731061516493</v>
      </c>
      <c r="H15">
        <v>1</v>
      </c>
      <c r="I15">
        <v>1</v>
      </c>
      <c r="J15">
        <v>2</v>
      </c>
      <c r="M15">
        <f t="shared" si="1"/>
        <v>1</v>
      </c>
    </row>
    <row r="16" spans="1:13" x14ac:dyDescent="0.2">
      <c r="A16" s="1" t="s">
        <v>339</v>
      </c>
      <c r="B16">
        <v>5.5</v>
      </c>
      <c r="C16">
        <f t="shared" si="2"/>
        <v>247.59097</v>
      </c>
      <c r="D16">
        <v>-305.39999999999998</v>
      </c>
      <c r="E16">
        <v>45.016539999999999</v>
      </c>
      <c r="F16">
        <f t="shared" si="0"/>
        <v>-6.7841731061516493</v>
      </c>
      <c r="H16">
        <v>1</v>
      </c>
      <c r="I16">
        <v>1</v>
      </c>
      <c r="J16">
        <v>2</v>
      </c>
      <c r="M16">
        <f t="shared" si="1"/>
        <v>1</v>
      </c>
    </row>
    <row r="17" spans="1:13" x14ac:dyDescent="0.2">
      <c r="A17" s="1" t="s">
        <v>340</v>
      </c>
      <c r="B17">
        <v>5.5</v>
      </c>
      <c r="C17">
        <f t="shared" si="2"/>
        <v>247.59097</v>
      </c>
      <c r="D17">
        <v>-305.39999999999998</v>
      </c>
      <c r="E17">
        <v>45.016539999999999</v>
      </c>
      <c r="F17">
        <f t="shared" si="0"/>
        <v>-6.7841731061516493</v>
      </c>
      <c r="H17">
        <v>1</v>
      </c>
      <c r="I17">
        <v>1</v>
      </c>
      <c r="J17">
        <v>2</v>
      </c>
      <c r="M17">
        <f t="shared" si="1"/>
        <v>1</v>
      </c>
    </row>
    <row r="18" spans="1:13" x14ac:dyDescent="0.2">
      <c r="A18" s="1" t="s">
        <v>341</v>
      </c>
      <c r="B18">
        <v>15.7</v>
      </c>
      <c r="C18">
        <f t="shared" si="2"/>
        <v>2828.4492</v>
      </c>
      <c r="D18">
        <v>-392.3</v>
      </c>
      <c r="E18">
        <v>180.15600000000001</v>
      </c>
      <c r="F18">
        <f t="shared" si="0"/>
        <v>-2.1775572281800217</v>
      </c>
      <c r="H18">
        <v>6</v>
      </c>
      <c r="I18">
        <v>12</v>
      </c>
      <c r="J18">
        <v>6</v>
      </c>
      <c r="M18">
        <f t="shared" si="1"/>
        <v>4</v>
      </c>
    </row>
    <row r="19" spans="1:13" x14ac:dyDescent="0.2">
      <c r="A19" s="1" t="s">
        <v>343</v>
      </c>
      <c r="B19">
        <v>17.899999999999999</v>
      </c>
      <c r="C19">
        <f t="shared" si="2"/>
        <v>1648.4793779999998</v>
      </c>
      <c r="D19">
        <v>-145</v>
      </c>
      <c r="E19">
        <v>92.093819999999994</v>
      </c>
      <c r="F19">
        <f t="shared" si="0"/>
        <v>-1.574481327845886</v>
      </c>
      <c r="H19">
        <v>3</v>
      </c>
      <c r="I19">
        <v>8</v>
      </c>
      <c r="J19">
        <v>3</v>
      </c>
      <c r="M19">
        <f t="shared" si="1"/>
        <v>4.666666666666667</v>
      </c>
    </row>
    <row r="20" spans="1:13" x14ac:dyDescent="0.2">
      <c r="A20" s="1" t="s">
        <v>344</v>
      </c>
      <c r="B20">
        <v>17</v>
      </c>
      <c r="C20">
        <f t="shared" si="2"/>
        <v>1020.8629199999999</v>
      </c>
      <c r="D20">
        <v>-118.9</v>
      </c>
      <c r="E20">
        <v>60.050759999999997</v>
      </c>
      <c r="F20">
        <f t="shared" si="0"/>
        <v>-1.9799915937783303</v>
      </c>
      <c r="H20">
        <v>2</v>
      </c>
      <c r="I20">
        <v>4</v>
      </c>
      <c r="J20">
        <v>2</v>
      </c>
      <c r="M20">
        <f t="shared" si="1"/>
        <v>4</v>
      </c>
    </row>
    <row r="21" spans="1:13" x14ac:dyDescent="0.2">
      <c r="A21" s="1" t="s">
        <v>345</v>
      </c>
      <c r="B21">
        <v>17</v>
      </c>
      <c r="C21">
        <f t="shared" si="2"/>
        <v>1020.8629199999999</v>
      </c>
      <c r="D21">
        <v>-118.9</v>
      </c>
      <c r="E21">
        <v>60.050759999999997</v>
      </c>
      <c r="F21">
        <f t="shared" si="0"/>
        <v>-1.9799915937783303</v>
      </c>
      <c r="H21">
        <v>2</v>
      </c>
      <c r="I21">
        <v>4</v>
      </c>
      <c r="J21">
        <v>2</v>
      </c>
      <c r="M21">
        <f t="shared" si="1"/>
        <v>4</v>
      </c>
    </row>
    <row r="22" spans="1:13" x14ac:dyDescent="0.2">
      <c r="A22" s="1" t="s">
        <v>346</v>
      </c>
      <c r="B22">
        <v>19.93</v>
      </c>
      <c r="C22">
        <f t="shared" si="2"/>
        <v>638.57832580000002</v>
      </c>
      <c r="E22">
        <v>32.041060000000002</v>
      </c>
      <c r="F22">
        <f t="shared" si="0"/>
        <v>0</v>
      </c>
      <c r="H22">
        <v>1</v>
      </c>
      <c r="I22">
        <v>4</v>
      </c>
      <c r="J22">
        <v>1</v>
      </c>
      <c r="M22">
        <f t="shared" si="1"/>
        <v>6</v>
      </c>
    </row>
    <row r="23" spans="1:13" x14ac:dyDescent="0.2">
      <c r="A23" s="1" t="s">
        <v>347</v>
      </c>
      <c r="B23">
        <v>19.93</v>
      </c>
      <c r="C23">
        <f t="shared" si="2"/>
        <v>638.57832580000002</v>
      </c>
      <c r="E23">
        <v>32.041060000000002</v>
      </c>
      <c r="F23">
        <f t="shared" si="0"/>
        <v>0</v>
      </c>
      <c r="H23">
        <v>1</v>
      </c>
      <c r="I23">
        <v>4</v>
      </c>
      <c r="J23">
        <v>1</v>
      </c>
      <c r="M23">
        <f t="shared" si="1"/>
        <v>6</v>
      </c>
    </row>
    <row r="24" spans="1:13" x14ac:dyDescent="0.2">
      <c r="A24" s="1" t="s">
        <v>348</v>
      </c>
      <c r="B24">
        <v>19.93</v>
      </c>
      <c r="C24">
        <f t="shared" si="2"/>
        <v>638.57832580000002</v>
      </c>
      <c r="E24">
        <v>32.041060000000002</v>
      </c>
      <c r="F24">
        <f t="shared" si="0"/>
        <v>0</v>
      </c>
      <c r="H24">
        <v>1</v>
      </c>
      <c r="I24">
        <v>4</v>
      </c>
      <c r="J24">
        <v>1</v>
      </c>
      <c r="M24">
        <f t="shared" si="1"/>
        <v>6</v>
      </c>
    </row>
    <row r="25" spans="1:13" x14ac:dyDescent="0.2">
      <c r="A25" s="1" t="s">
        <v>349</v>
      </c>
      <c r="B25">
        <v>15.6</v>
      </c>
      <c r="C25">
        <f t="shared" si="2"/>
        <v>2342.0279999999998</v>
      </c>
      <c r="D25">
        <v>-314.2</v>
      </c>
      <c r="E25">
        <v>150.13</v>
      </c>
      <c r="F25">
        <f t="shared" si="0"/>
        <v>-2.0928528608539265</v>
      </c>
      <c r="H25">
        <v>5</v>
      </c>
      <c r="I25">
        <v>10</v>
      </c>
      <c r="J25">
        <v>5</v>
      </c>
      <c r="M25">
        <f t="shared" si="1"/>
        <v>4</v>
      </c>
    </row>
    <row r="26" spans="1:13" x14ac:dyDescent="0.2">
      <c r="A26" t="s">
        <v>365</v>
      </c>
      <c r="B26">
        <v>19.93</v>
      </c>
      <c r="C26">
        <f t="shared" si="2"/>
        <v>638.57832580000002</v>
      </c>
      <c r="E26">
        <v>32.041060000000002</v>
      </c>
      <c r="F26">
        <f t="shared" si="0"/>
        <v>0</v>
      </c>
      <c r="H26">
        <v>1</v>
      </c>
      <c r="I26">
        <v>4</v>
      </c>
      <c r="J26">
        <v>1</v>
      </c>
      <c r="M26">
        <f t="shared" si="1"/>
        <v>6</v>
      </c>
    </row>
    <row r="27" spans="1:13" x14ac:dyDescent="0.2">
      <c r="A27" t="s">
        <v>369</v>
      </c>
      <c r="B27">
        <v>19.93</v>
      </c>
      <c r="C27">
        <f t="shared" si="2"/>
        <v>638.57832580000002</v>
      </c>
      <c r="E27">
        <v>32.041060000000002</v>
      </c>
      <c r="F27">
        <f t="shared" si="0"/>
        <v>0</v>
      </c>
      <c r="H27">
        <v>1</v>
      </c>
      <c r="I27">
        <v>4</v>
      </c>
      <c r="J27">
        <v>1</v>
      </c>
      <c r="M27">
        <f t="shared" si="1"/>
        <v>6</v>
      </c>
    </row>
    <row r="28" spans="1:13" x14ac:dyDescent="0.2">
      <c r="A28" t="s">
        <v>371</v>
      </c>
      <c r="B28">
        <v>19.93</v>
      </c>
      <c r="C28">
        <f t="shared" si="2"/>
        <v>638.57832580000002</v>
      </c>
      <c r="E28">
        <v>32.041060000000002</v>
      </c>
      <c r="F28">
        <f t="shared" si="0"/>
        <v>0</v>
      </c>
      <c r="H28">
        <v>1</v>
      </c>
      <c r="I28">
        <v>4</v>
      </c>
      <c r="J28">
        <v>1</v>
      </c>
      <c r="M28">
        <f t="shared" si="1"/>
        <v>6</v>
      </c>
    </row>
    <row r="29" spans="1:13" x14ac:dyDescent="0.2">
      <c r="A29" t="s">
        <v>372</v>
      </c>
      <c r="B29">
        <v>19.93</v>
      </c>
      <c r="C29">
        <f t="shared" si="2"/>
        <v>638.57832580000002</v>
      </c>
      <c r="E29">
        <v>32.041060000000002</v>
      </c>
      <c r="F29">
        <f t="shared" si="0"/>
        <v>0</v>
      </c>
      <c r="H29">
        <v>1</v>
      </c>
      <c r="I29">
        <v>4</v>
      </c>
      <c r="J29">
        <v>1</v>
      </c>
      <c r="M29">
        <f t="shared" si="1"/>
        <v>6</v>
      </c>
    </row>
    <row r="30" spans="1:13" x14ac:dyDescent="0.2">
      <c r="A30" t="s">
        <v>808</v>
      </c>
      <c r="B30">
        <f>($G$36*1/2 + $G$37*1/2)/($E$36*1/2+$E$37*1/2)</f>
        <v>5.2537372583834907</v>
      </c>
      <c r="C30">
        <f>($G$36*1/2 + $G$37*1/2)</f>
        <v>120.9</v>
      </c>
      <c r="D30">
        <f>D36*1/2 + D37*1/2</f>
        <v>-140.6</v>
      </c>
      <c r="E30">
        <f>28.0097*0.5+2*0.5</f>
        <v>15.004849999999999</v>
      </c>
      <c r="F30">
        <f t="shared" si="0"/>
        <v>-9.3703036018354062</v>
      </c>
      <c r="H30">
        <f>1/3</f>
        <v>0.33333333333333331</v>
      </c>
      <c r="M30">
        <v>0</v>
      </c>
    </row>
    <row r="31" spans="1:13" x14ac:dyDescent="0.2">
      <c r="A31" t="s">
        <v>813</v>
      </c>
      <c r="B31">
        <v>30.68</v>
      </c>
      <c r="C31">
        <f t="shared" si="2"/>
        <v>1843.720736</v>
      </c>
      <c r="E31">
        <v>60.095199999999998</v>
      </c>
      <c r="H31">
        <v>3</v>
      </c>
      <c r="I31">
        <v>8</v>
      </c>
      <c r="J31">
        <v>1</v>
      </c>
      <c r="M31">
        <f>(4*H31+I31-2*J31)/H31</f>
        <v>6</v>
      </c>
    </row>
    <row r="32" spans="1:13" x14ac:dyDescent="0.2">
      <c r="A32" t="s">
        <v>814</v>
      </c>
      <c r="B32">
        <f>(G35*0.4+G37*0.4+G36*0.2)/(E35*0.4+E37*0.4+E36*0.2)</f>
        <v>10.086540906516333</v>
      </c>
      <c r="C32">
        <f>(G35*0.4+G37*0.4+G36*0.2)</f>
        <v>209.92000000000002</v>
      </c>
      <c r="D32">
        <f>D35*0.4+D37*0.4+D36*0.2</f>
        <v>-83.240000000000009</v>
      </c>
      <c r="E32">
        <f>E35*0.4+E37*0.4+E36*0.2</f>
        <v>20.811892</v>
      </c>
      <c r="F32">
        <f t="shared" si="0"/>
        <v>-3.9996363617493311</v>
      </c>
      <c r="H32">
        <v>0.8</v>
      </c>
      <c r="M32">
        <f>(0.4*M35)</f>
        <v>0.8</v>
      </c>
    </row>
    <row r="33" spans="1:13" x14ac:dyDescent="0.2">
      <c r="A33" t="s">
        <v>815</v>
      </c>
      <c r="B33">
        <f>($G$35*4/5 + $G$36*1/5)/($E$35*4/5+$E$36*1/5)</f>
        <v>7.2542014450728134</v>
      </c>
      <c r="C33">
        <f>($G$35*4/5 + $G$36*1/5)</f>
        <v>226.4</v>
      </c>
      <c r="D33">
        <f>D36*1/5+D35*4/5</f>
        <v>-173.12</v>
      </c>
      <c r="E33">
        <f>E36*1/5+E35*4/5</f>
        <v>31.209500000000006</v>
      </c>
      <c r="F33">
        <f>D34/E33</f>
        <v>0</v>
      </c>
      <c r="H33">
        <v>1</v>
      </c>
      <c r="M33">
        <f>4/5*M35</f>
        <v>1.6</v>
      </c>
    </row>
    <row r="34" spans="1:13" x14ac:dyDescent="0.2">
      <c r="G34" t="s">
        <v>830</v>
      </c>
    </row>
    <row r="35" spans="1:13" x14ac:dyDescent="0.2">
      <c r="A35" t="s">
        <v>820</v>
      </c>
      <c r="B35">
        <v>10</v>
      </c>
      <c r="D35">
        <v>-119.9</v>
      </c>
      <c r="E35">
        <v>28.009700000000002</v>
      </c>
      <c r="G35">
        <v>283</v>
      </c>
      <c r="H35">
        <v>1</v>
      </c>
      <c r="I35">
        <v>0</v>
      </c>
      <c r="J35">
        <v>1</v>
      </c>
      <c r="M35">
        <f t="shared" si="1"/>
        <v>2</v>
      </c>
    </row>
    <row r="36" spans="1:13" x14ac:dyDescent="0.2">
      <c r="A36" t="s">
        <v>821</v>
      </c>
      <c r="B36">
        <v>0</v>
      </c>
      <c r="D36">
        <v>-386</v>
      </c>
      <c r="E36">
        <v>44.008700000000005</v>
      </c>
      <c r="G36">
        <v>0</v>
      </c>
      <c r="H36">
        <v>1</v>
      </c>
      <c r="I36">
        <v>0</v>
      </c>
      <c r="J36">
        <v>2</v>
      </c>
      <c r="M36">
        <f t="shared" si="1"/>
        <v>0</v>
      </c>
    </row>
    <row r="37" spans="1:13" x14ac:dyDescent="0.2">
      <c r="A37" t="s">
        <v>822</v>
      </c>
      <c r="B37">
        <v>120</v>
      </c>
      <c r="D37">
        <v>104.8</v>
      </c>
      <c r="E37">
        <v>2.0156800000000001</v>
      </c>
      <c r="G37">
        <v>241.8</v>
      </c>
      <c r="H37">
        <v>0</v>
      </c>
      <c r="I37">
        <v>2</v>
      </c>
      <c r="J37">
        <v>0</v>
      </c>
      <c r="M37">
        <v>0</v>
      </c>
    </row>
    <row r="38" spans="1:13" x14ac:dyDescent="0.2">
      <c r="A38" t="s">
        <v>831</v>
      </c>
      <c r="B38">
        <v>5.5</v>
      </c>
      <c r="E38">
        <v>45.016539999999999</v>
      </c>
      <c r="G38">
        <v>254</v>
      </c>
      <c r="H38">
        <v>1</v>
      </c>
      <c r="I38">
        <v>1</v>
      </c>
      <c r="J38">
        <v>2</v>
      </c>
      <c r="M38">
        <f t="shared" si="1"/>
        <v>1</v>
      </c>
    </row>
    <row r="40" spans="1:13" x14ac:dyDescent="0.2">
      <c r="A40" s="26" t="s">
        <v>823</v>
      </c>
    </row>
    <row r="41" spans="1:13" x14ac:dyDescent="0.2">
      <c r="A41" s="1" t="s">
        <v>38</v>
      </c>
    </row>
    <row r="42" spans="1:13" x14ac:dyDescent="0.2">
      <c r="A42" s="1" t="s">
        <v>48</v>
      </c>
    </row>
    <row r="43" spans="1:13" x14ac:dyDescent="0.2">
      <c r="A43" s="1" t="s">
        <v>52</v>
      </c>
    </row>
    <row r="44" spans="1:13" x14ac:dyDescent="0.2">
      <c r="A44" s="1" t="s">
        <v>60</v>
      </c>
    </row>
    <row r="45" spans="1:13" x14ac:dyDescent="0.2">
      <c r="A45" s="1" t="s">
        <v>66</v>
      </c>
    </row>
    <row r="46" spans="1:13" x14ac:dyDescent="0.2">
      <c r="A46" s="1" t="s">
        <v>72</v>
      </c>
    </row>
    <row r="47" spans="1:13" x14ac:dyDescent="0.2">
      <c r="A47" s="1" t="s">
        <v>81</v>
      </c>
    </row>
    <row r="48" spans="1:13" x14ac:dyDescent="0.2">
      <c r="A48" s="1" t="s">
        <v>85</v>
      </c>
    </row>
    <row r="49" spans="1:1" x14ac:dyDescent="0.2">
      <c r="A49" s="1" t="s">
        <v>91</v>
      </c>
    </row>
    <row r="50" spans="1:1" x14ac:dyDescent="0.2">
      <c r="A50" s="1" t="s">
        <v>97</v>
      </c>
    </row>
    <row r="51" spans="1:1" x14ac:dyDescent="0.2">
      <c r="A51" s="1" t="s">
        <v>103</v>
      </c>
    </row>
    <row r="52" spans="1:1" x14ac:dyDescent="0.2">
      <c r="A52" s="1" t="s">
        <v>108</v>
      </c>
    </row>
    <row r="53" spans="1:1" x14ac:dyDescent="0.2">
      <c r="A53" s="1" t="s">
        <v>114</v>
      </c>
    </row>
    <row r="54" spans="1:1" x14ac:dyDescent="0.2">
      <c r="A54" s="1" t="s">
        <v>119</v>
      </c>
    </row>
    <row r="55" spans="1:1" x14ac:dyDescent="0.2">
      <c r="A55" s="1" t="s">
        <v>124</v>
      </c>
    </row>
    <row r="56" spans="1:1" x14ac:dyDescent="0.2">
      <c r="A56" s="1" t="s">
        <v>130</v>
      </c>
    </row>
    <row r="57" spans="1:1" x14ac:dyDescent="0.2">
      <c r="A57" s="1" t="s">
        <v>132</v>
      </c>
    </row>
    <row r="58" spans="1:1" x14ac:dyDescent="0.2">
      <c r="A58" s="1" t="s">
        <v>136</v>
      </c>
    </row>
    <row r="59" spans="1:1" x14ac:dyDescent="0.2">
      <c r="A59" s="1" t="s">
        <v>143</v>
      </c>
    </row>
    <row r="60" spans="1:1" x14ac:dyDescent="0.2">
      <c r="A60" s="1" t="s">
        <v>145</v>
      </c>
    </row>
    <row r="61" spans="1:1" x14ac:dyDescent="0.2">
      <c r="A61" s="1" t="s">
        <v>151</v>
      </c>
    </row>
    <row r="62" spans="1:1" x14ac:dyDescent="0.2">
      <c r="A62" s="1" t="s">
        <v>158</v>
      </c>
    </row>
    <row r="63" spans="1:1" x14ac:dyDescent="0.2">
      <c r="A63" s="1" t="s">
        <v>164</v>
      </c>
    </row>
    <row r="64" spans="1:1" x14ac:dyDescent="0.2">
      <c r="A64" s="1" t="s">
        <v>169</v>
      </c>
    </row>
    <row r="65" spans="1:1" x14ac:dyDescent="0.2">
      <c r="A65" s="1" t="s">
        <v>171</v>
      </c>
    </row>
    <row r="66" spans="1:1" x14ac:dyDescent="0.2">
      <c r="A66" s="1" t="s">
        <v>175</v>
      </c>
    </row>
    <row r="67" spans="1:1" x14ac:dyDescent="0.2">
      <c r="A67" s="1" t="s">
        <v>180</v>
      </c>
    </row>
    <row r="68" spans="1:1" x14ac:dyDescent="0.2">
      <c r="A68" t="s">
        <v>186</v>
      </c>
    </row>
    <row r="69" spans="1:1" x14ac:dyDescent="0.2">
      <c r="A69" s="1" t="s">
        <v>192</v>
      </c>
    </row>
    <row r="70" spans="1:1" x14ac:dyDescent="0.2">
      <c r="A70" s="1" t="s">
        <v>198</v>
      </c>
    </row>
    <row r="71" spans="1:1" x14ac:dyDescent="0.2">
      <c r="A71" s="1" t="s">
        <v>204</v>
      </c>
    </row>
    <row r="72" spans="1:1" x14ac:dyDescent="0.2">
      <c r="A72" s="1" t="s">
        <v>209</v>
      </c>
    </row>
    <row r="73" spans="1:1" x14ac:dyDescent="0.2">
      <c r="A73" t="s">
        <v>215</v>
      </c>
    </row>
    <row r="74" spans="1:1" x14ac:dyDescent="0.2">
      <c r="A74" s="1" t="s">
        <v>221</v>
      </c>
    </row>
    <row r="75" spans="1:1" x14ac:dyDescent="0.2">
      <c r="A75" t="s">
        <v>225</v>
      </c>
    </row>
    <row r="76" spans="1:1" x14ac:dyDescent="0.2">
      <c r="A76" t="s">
        <v>232</v>
      </c>
    </row>
    <row r="77" spans="1:1" x14ac:dyDescent="0.2">
      <c r="A77" t="s">
        <v>236</v>
      </c>
    </row>
    <row r="78" spans="1:1" x14ac:dyDescent="0.2">
      <c r="A78" s="1" t="s">
        <v>240</v>
      </c>
    </row>
    <row r="79" spans="1:1" x14ac:dyDescent="0.2">
      <c r="A79" s="1" t="s">
        <v>244</v>
      </c>
    </row>
    <row r="80" spans="1:1" x14ac:dyDescent="0.2">
      <c r="A80" s="1" t="s">
        <v>247</v>
      </c>
    </row>
    <row r="81" spans="1:1" x14ac:dyDescent="0.2">
      <c r="A81" s="1" t="s">
        <v>251</v>
      </c>
    </row>
    <row r="82" spans="1:1" x14ac:dyDescent="0.2">
      <c r="A82" s="1" t="s">
        <v>254</v>
      </c>
    </row>
    <row r="83" spans="1:1" x14ac:dyDescent="0.2">
      <c r="A83" t="s">
        <v>259</v>
      </c>
    </row>
    <row r="84" spans="1:1" x14ac:dyDescent="0.2">
      <c r="A84" t="s">
        <v>264</v>
      </c>
    </row>
    <row r="85" spans="1:1" x14ac:dyDescent="0.2">
      <c r="A85" t="s">
        <v>269</v>
      </c>
    </row>
    <row r="86" spans="1:1" x14ac:dyDescent="0.2">
      <c r="A86" s="1" t="s">
        <v>275</v>
      </c>
    </row>
    <row r="87" spans="1:1" x14ac:dyDescent="0.2">
      <c r="A87" t="s">
        <v>279</v>
      </c>
    </row>
    <row r="88" spans="1:1" x14ac:dyDescent="0.2">
      <c r="A88" t="s">
        <v>283</v>
      </c>
    </row>
    <row r="89" spans="1:1" x14ac:dyDescent="0.2">
      <c r="A89" s="1" t="s">
        <v>287</v>
      </c>
    </row>
    <row r="90" spans="1:1" x14ac:dyDescent="0.2">
      <c r="A90" s="1" t="s">
        <v>291</v>
      </c>
    </row>
    <row r="91" spans="1:1" x14ac:dyDescent="0.2">
      <c r="A91" s="1" t="s">
        <v>295</v>
      </c>
    </row>
    <row r="92" spans="1:1" x14ac:dyDescent="0.2">
      <c r="A92" s="1" t="s">
        <v>297</v>
      </c>
    </row>
    <row r="93" spans="1:1" x14ac:dyDescent="0.2">
      <c r="A93" s="1" t="s">
        <v>301</v>
      </c>
    </row>
    <row r="94" spans="1:1" x14ac:dyDescent="0.2">
      <c r="A94" s="1" t="s">
        <v>306</v>
      </c>
    </row>
    <row r="95" spans="1:1" x14ac:dyDescent="0.2">
      <c r="A95" s="1" t="s">
        <v>308</v>
      </c>
    </row>
    <row r="96" spans="1:1" x14ac:dyDescent="0.2">
      <c r="A96" s="1" t="s">
        <v>313</v>
      </c>
    </row>
    <row r="97" spans="1:1" x14ac:dyDescent="0.2">
      <c r="A97" t="s">
        <v>318</v>
      </c>
    </row>
    <row r="98" spans="1:1" x14ac:dyDescent="0.2">
      <c r="A98" t="s">
        <v>332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Overall Results</vt:lpstr>
      <vt:lpstr>Product Parameters</vt:lpstr>
      <vt:lpstr>Product Naming</vt:lpstr>
      <vt:lpstr>Substrate Heating</vt:lpstr>
      <vt:lpstr>'Overall Results'!_FilterDatabase_0</vt:lpstr>
      <vt:lpstr>'Overall Results'!_FilterDatabase_0_0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Austin Zheng</cp:lastModifiedBy>
  <cp:revision>81</cp:revision>
  <dcterms:created xsi:type="dcterms:W3CDTF">2023-05-04T18:26:41Z</dcterms:created>
  <dcterms:modified xsi:type="dcterms:W3CDTF">2024-05-24T15:20:27Z</dcterms:modified>
  <cp:category/>
  <cp:contentStatus/>
</cp:coreProperties>
</file>