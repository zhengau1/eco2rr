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omas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" authorId="0">
      <text>
        <r>
          <rPr>
            <sz val="10"/>
            <rFont val="Arial"/>
            <family val="2"/>
            <charset val="1"/>
          </rPr>
          <t xml:space="preserve">g/mol C</t>
        </r>
      </text>
    </comment>
    <comment ref="T1" authorId="0">
      <text>
        <r>
          <rPr>
            <sz val="10"/>
            <rFont val="Arial"/>
            <family val="2"/>
            <charset val="1"/>
          </rPr>
          <t xml:space="preserve">g DW/mmol</t>
        </r>
      </text>
    </comment>
  </commentList>
</comments>
</file>

<file path=xl/sharedStrings.xml><?xml version="1.0" encoding="utf-8"?>
<sst xmlns="http://schemas.openxmlformats.org/spreadsheetml/2006/main" count="165" uniqueCount="56">
  <si>
    <t xml:space="preserve">Date</t>
  </si>
  <si>
    <t xml:space="preserve">Substrate</t>
  </si>
  <si>
    <t xml:space="preserve">Order</t>
  </si>
  <si>
    <t xml:space="preserve">Cn</t>
  </si>
  <si>
    <t xml:space="preserve">S_MW</t>
  </si>
  <si>
    <t xml:space="preserve">Product</t>
  </si>
  <si>
    <t xml:space="preserve">Objective</t>
  </si>
  <si>
    <t xml:space="preserve">Model</t>
  </si>
  <si>
    <t xml:space="preserve">S_ExchangeLB</t>
  </si>
  <si>
    <t xml:space="preserve">O2_ExchangeLB</t>
  </si>
  <si>
    <t xml:space="preserve">H2_ExchangeLB</t>
  </si>
  <si>
    <t xml:space="preserve">ATPM_LB</t>
  </si>
  <si>
    <t xml:space="preserve">S_Flux</t>
  </si>
  <si>
    <t xml:space="preserve">O2_Flux</t>
  </si>
  <si>
    <t xml:space="preserve">H2_Flux</t>
  </si>
  <si>
    <t xml:space="preserve">CO2_Flux</t>
  </si>
  <si>
    <t xml:space="preserve">Obj_Flux</t>
  </si>
  <si>
    <t xml:space="preserve">Obj_Flux_norm</t>
  </si>
  <si>
    <t xml:space="preserve">By-Products</t>
  </si>
  <si>
    <t xml:space="preserve">Yield_Molar</t>
  </si>
  <si>
    <t xml:space="preserve">Yield_Mass</t>
  </si>
  <si>
    <t xml:space="preserve">2021-06-24</t>
  </si>
  <si>
    <t xml:space="preserve">Acetaldehyde</t>
  </si>
  <si>
    <t xml:space="preserve">Succinate</t>
  </si>
  <si>
    <t xml:space="preserve">BIOMASS_Ec_iJO1366_WT_53p95M</t>
  </si>
  <si>
    <t xml:space="preserve">iJO1366</t>
  </si>
  <si>
    <t xml:space="preserve">None</t>
  </si>
  <si>
    <t xml:space="preserve">Acetate</t>
  </si>
  <si>
    <t xml:space="preserve">EG_Glycolate</t>
  </si>
  <si>
    <t xml:space="preserve">EG_SACA</t>
  </si>
  <si>
    <t xml:space="preserve">Ethanol</t>
  </si>
  <si>
    <t xml:space="preserve">Formate_Formolase</t>
  </si>
  <si>
    <t xml:space="preserve">Formate_RGP-Serine</t>
  </si>
  <si>
    <t xml:space="preserve">Formate_SerineCycle</t>
  </si>
  <si>
    <t xml:space="preserve">Glucose</t>
  </si>
  <si>
    <t xml:space="preserve">Glycerol</t>
  </si>
  <si>
    <t xml:space="preserve">Glycolaldehyde_Glycolate</t>
  </si>
  <si>
    <t xml:space="preserve">Glycolaldehyde_SACA</t>
  </si>
  <si>
    <t xml:space="preserve">Methanol_Formolase</t>
  </si>
  <si>
    <t xml:space="preserve">Methanol_RuMP</t>
  </si>
  <si>
    <t xml:space="preserve">Methanol_SerineCycle</t>
  </si>
  <si>
    <t xml:space="preserve">Xylose</t>
  </si>
  <si>
    <t xml:space="preserve">CO_1:H2_0</t>
  </si>
  <si>
    <t xml:space="preserve">BIOMASS_Cl_DSM_WT_46p666M1</t>
  </si>
  <si>
    <t xml:space="preserve">iHN637</t>
  </si>
  <si>
    <t xml:space="preserve">Acetate, 1.8</t>
  </si>
  <si>
    <t xml:space="preserve">CO_1:H2_0.5</t>
  </si>
  <si>
    <t xml:space="preserve">Acetate, 2.8</t>
  </si>
  <si>
    <t xml:space="preserve">CO_1:H2_1</t>
  </si>
  <si>
    <t xml:space="preserve">Acetate, 3.8</t>
  </si>
  <si>
    <t xml:space="preserve">CO_1:H2_2</t>
  </si>
  <si>
    <t xml:space="preserve">Ethanol, 3.7</t>
  </si>
  <si>
    <t xml:space="preserve">FOR_1:H2_0</t>
  </si>
  <si>
    <t xml:space="preserve">FOR_1:H2_0.5</t>
  </si>
  <si>
    <t xml:space="preserve">FOR_1:H2_1</t>
  </si>
  <si>
    <t xml:space="preserve">FOR_1:H2_2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</si>
</sst>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5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W15" activeCellId="0" sqref="W15"/>
    </sheetView>
  </sheetViews>
  <sheetFormatPr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22.55"/>
    <col collapsed="false" customWidth="true" hidden="false" outlineLevel="0" max="6" min="3" style="0" width="9.63"/>
    <col collapsed="false" customWidth="true" hidden="false" outlineLevel="0" max="7" min="7" style="0" width="31.99"/>
    <col collapsed="false" customWidth="true" hidden="false" outlineLevel="0" max="9" min="8" style="0" width="14.08"/>
    <col collapsed="false" customWidth="true" hidden="false" outlineLevel="0" max="10" min="10" style="0" width="15.18"/>
    <col collapsed="false" customWidth="true" hidden="false" outlineLevel="0" max="11" min="11" style="0" width="15.05"/>
    <col collapsed="false" customWidth="true" hidden="false" outlineLevel="0" max="12" min="12" style="0" width="9.78"/>
    <col collapsed="false" customWidth="true" hidden="false" outlineLevel="0" max="13" min="13" style="0" width="7.26"/>
    <col collapsed="false" customWidth="true" hidden="false" outlineLevel="0" max="14" min="14" style="0" width="17.13"/>
    <col collapsed="false" customWidth="true" hidden="false" outlineLevel="0" max="15" min="15" style="0" width="8.21"/>
    <col collapsed="false" customWidth="true" hidden="false" outlineLevel="0" max="17" min="16" style="0" width="17.67"/>
    <col collapsed="false" customWidth="false" hidden="false" outlineLevel="0" max="19" min="18" style="0" width="11.57"/>
    <col collapsed="false" customWidth="false" hidden="false" outlineLevel="0" max="1025" min="20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1" t="s">
        <v>21</v>
      </c>
      <c r="B2" s="0" t="s">
        <v>22</v>
      </c>
      <c r="C2" s="0" t="n">
        <v>1</v>
      </c>
      <c r="D2" s="0" t="n">
        <v>2</v>
      </c>
      <c r="E2" s="2" t="n">
        <v>44.05176</v>
      </c>
      <c r="F2" s="0" t="s">
        <v>23</v>
      </c>
      <c r="G2" s="0" t="s">
        <v>24</v>
      </c>
      <c r="H2" s="0" t="s">
        <v>25</v>
      </c>
      <c r="I2" s="0" t="n">
        <v>-10</v>
      </c>
      <c r="J2" s="0" t="n">
        <v>-20</v>
      </c>
      <c r="K2" s="0" t="n">
        <v>0</v>
      </c>
      <c r="L2" s="0" t="n">
        <v>3.15</v>
      </c>
      <c r="M2" s="0" t="n">
        <v>-10</v>
      </c>
      <c r="N2" s="0" t="n">
        <v>-9.7515255322406</v>
      </c>
      <c r="O2" s="0" t="n">
        <v>0</v>
      </c>
      <c r="P2" s="0" t="n">
        <v>5.47424087865985</v>
      </c>
      <c r="Q2" s="0" t="n">
        <v>0.35520080014037</v>
      </c>
      <c r="R2" s="0" t="n">
        <f aca="false">Q2/D2</f>
        <v>0.177600400070185</v>
      </c>
      <c r="S2" s="0" t="s">
        <v>26</v>
      </c>
      <c r="T2" s="0" t="n">
        <v>0.035520080014037</v>
      </c>
      <c r="U2" s="0" t="n">
        <v>0.806326013172617</v>
      </c>
    </row>
    <row r="3" customFormat="false" ht="12.8" hidden="false" customHeight="false" outlineLevel="0" collapsed="false">
      <c r="A3" s="1" t="s">
        <v>21</v>
      </c>
      <c r="B3" s="0" t="s">
        <v>27</v>
      </c>
      <c r="C3" s="0" t="n">
        <v>1</v>
      </c>
      <c r="D3" s="0" t="n">
        <v>2</v>
      </c>
      <c r="E3" s="0" t="n">
        <v>59.04292</v>
      </c>
      <c r="F3" s="0" t="s">
        <v>23</v>
      </c>
      <c r="G3" s="0" t="s">
        <v>24</v>
      </c>
      <c r="H3" s="0" t="s">
        <v>25</v>
      </c>
      <c r="I3" s="0" t="n">
        <v>-10</v>
      </c>
      <c r="J3" s="0" t="n">
        <v>-20</v>
      </c>
      <c r="K3" s="0" t="n">
        <v>0</v>
      </c>
      <c r="L3" s="0" t="n">
        <v>3.15</v>
      </c>
      <c r="M3" s="0" t="n">
        <v>-10</v>
      </c>
      <c r="N3" s="0" t="n">
        <v>-9.3674606456348</v>
      </c>
      <c r="O3" s="0" t="n">
        <v>0</v>
      </c>
      <c r="P3" s="0" t="n">
        <v>9.87139953991917</v>
      </c>
      <c r="Q3" s="0" t="n">
        <v>0.247676349144282</v>
      </c>
      <c r="R3" s="0" t="n">
        <f aca="false">Q3/D3</f>
        <v>0.123838174572141</v>
      </c>
      <c r="S3" s="0" t="s">
        <v>26</v>
      </c>
      <c r="T3" s="0" t="n">
        <v>0.0247676349144282</v>
      </c>
      <c r="U3" s="0" t="n">
        <v>0.419485264523303</v>
      </c>
    </row>
    <row r="4" customFormat="false" ht="12.8" hidden="false" customHeight="false" outlineLevel="0" collapsed="false">
      <c r="A4" s="1" t="s">
        <v>21</v>
      </c>
      <c r="B4" s="0" t="s">
        <v>28</v>
      </c>
      <c r="C4" s="0" t="n">
        <v>1</v>
      </c>
      <c r="D4" s="0" t="n">
        <v>2</v>
      </c>
      <c r="E4" s="0" t="n">
        <v>62.06644</v>
      </c>
      <c r="F4" s="0" t="s">
        <v>23</v>
      </c>
      <c r="G4" s="0" t="s">
        <v>24</v>
      </c>
      <c r="H4" s="0" t="s">
        <v>25</v>
      </c>
      <c r="I4" s="0" t="n">
        <v>-10</v>
      </c>
      <c r="J4" s="0" t="n">
        <v>-20</v>
      </c>
      <c r="K4" s="0" t="n">
        <v>0</v>
      </c>
      <c r="L4" s="0" t="n">
        <v>3.15</v>
      </c>
      <c r="M4" s="0" t="n">
        <v>-10</v>
      </c>
      <c r="N4" s="0" t="n">
        <v>-11.0122224021736</v>
      </c>
      <c r="O4" s="0" t="n">
        <v>0</v>
      </c>
      <c r="P4" s="0" t="n">
        <v>6.67518587131418</v>
      </c>
      <c r="Q4" s="0" t="n">
        <v>0.325833892789638</v>
      </c>
      <c r="R4" s="0" t="n">
        <f aca="false">Q4/D4</f>
        <v>0.162916946394819</v>
      </c>
      <c r="S4" s="0" t="s">
        <v>26</v>
      </c>
      <c r="T4" s="0" t="n">
        <v>0.0325833892789638</v>
      </c>
      <c r="U4" s="0" t="n">
        <v>0.52497630407054</v>
      </c>
    </row>
    <row r="5" customFormat="false" ht="12.8" hidden="false" customHeight="false" outlineLevel="0" collapsed="false">
      <c r="A5" s="1" t="s">
        <v>21</v>
      </c>
      <c r="B5" s="0" t="s">
        <v>29</v>
      </c>
      <c r="C5" s="0" t="n">
        <v>1</v>
      </c>
      <c r="D5" s="0" t="n">
        <v>2</v>
      </c>
      <c r="E5" s="0" t="n">
        <v>62.06644</v>
      </c>
      <c r="F5" s="0" t="s">
        <v>23</v>
      </c>
      <c r="G5" s="0" t="s">
        <v>24</v>
      </c>
      <c r="H5" s="0" t="s">
        <v>25</v>
      </c>
      <c r="I5" s="0" t="n">
        <v>-10</v>
      </c>
      <c r="J5" s="0" t="n">
        <v>-20</v>
      </c>
      <c r="K5" s="0" t="n">
        <v>0</v>
      </c>
      <c r="L5" s="0" t="n">
        <v>3.15</v>
      </c>
      <c r="M5" s="0" t="n">
        <v>-10</v>
      </c>
      <c r="N5" s="0" t="n">
        <v>-9.75152553224062</v>
      </c>
      <c r="O5" s="0" t="n">
        <v>0</v>
      </c>
      <c r="P5" s="0" t="n">
        <v>5.47424087865982</v>
      </c>
      <c r="Q5" s="0" t="n">
        <v>0.355200800140366</v>
      </c>
      <c r="R5" s="0" t="n">
        <f aca="false">Q5/D5</f>
        <v>0.177600400070183</v>
      </c>
      <c r="S5" s="0" t="s">
        <v>26</v>
      </c>
      <c r="T5" s="0" t="n">
        <v>0.0355200800140366</v>
      </c>
      <c r="U5" s="0" t="n">
        <v>0.572291610501602</v>
      </c>
    </row>
    <row r="6" customFormat="false" ht="12.8" hidden="false" customHeight="false" outlineLevel="0" collapsed="false">
      <c r="A6" s="1" t="s">
        <v>21</v>
      </c>
      <c r="B6" s="0" t="s">
        <v>30</v>
      </c>
      <c r="C6" s="0" t="n">
        <v>1</v>
      </c>
      <c r="D6" s="0" t="n">
        <v>2</v>
      </c>
      <c r="E6" s="0" t="n">
        <v>46.06744</v>
      </c>
      <c r="F6" s="0" t="s">
        <v>23</v>
      </c>
      <c r="G6" s="0" t="s">
        <v>24</v>
      </c>
      <c r="H6" s="0" t="s">
        <v>25</v>
      </c>
      <c r="I6" s="0" t="n">
        <v>-10</v>
      </c>
      <c r="J6" s="0" t="n">
        <v>-20</v>
      </c>
      <c r="K6" s="0" t="n">
        <v>0</v>
      </c>
      <c r="L6" s="0" t="n">
        <v>3.15</v>
      </c>
      <c r="M6" s="0" t="n">
        <v>-10</v>
      </c>
      <c r="N6" s="0" t="n">
        <v>-11.8462636575995</v>
      </c>
      <c r="O6" s="0" t="n">
        <v>0</v>
      </c>
      <c r="P6" s="0" t="n">
        <v>2.70667653872024</v>
      </c>
      <c r="Q6" s="0" t="n">
        <v>0.4228765105645</v>
      </c>
      <c r="R6" s="0" t="n">
        <f aca="false">Q6/D6</f>
        <v>0.21143825528225</v>
      </c>
      <c r="S6" s="0" t="s">
        <v>26</v>
      </c>
      <c r="T6" s="0" t="n">
        <v>0.04228765105645</v>
      </c>
      <c r="U6" s="0" t="n">
        <v>0.917950966158528</v>
      </c>
    </row>
    <row r="7" customFormat="false" ht="12.8" hidden="false" customHeight="false" outlineLevel="0" collapsed="false">
      <c r="A7" s="1" t="s">
        <v>21</v>
      </c>
      <c r="B7" s="0" t="s">
        <v>31</v>
      </c>
      <c r="C7" s="0" t="n">
        <v>3</v>
      </c>
      <c r="D7" s="0" t="n">
        <v>1</v>
      </c>
      <c r="E7" s="0" t="n">
        <v>45.01654</v>
      </c>
      <c r="F7" s="0" t="s">
        <v>23</v>
      </c>
      <c r="G7" s="0" t="s">
        <v>24</v>
      </c>
      <c r="H7" s="0" t="s">
        <v>25</v>
      </c>
      <c r="I7" s="0" t="n">
        <v>-10</v>
      </c>
      <c r="J7" s="0" t="n">
        <v>-20</v>
      </c>
      <c r="K7" s="0" t="n">
        <v>0</v>
      </c>
      <c r="L7" s="0" t="n">
        <v>3.15</v>
      </c>
      <c r="M7" s="0" t="n">
        <v>-10</v>
      </c>
      <c r="N7" s="0" t="n">
        <v>-3.10861655432513</v>
      </c>
      <c r="O7" s="0" t="n">
        <v>0</v>
      </c>
      <c r="P7" s="0" t="n">
        <v>8.19826039673329</v>
      </c>
      <c r="Q7" s="0" t="n">
        <v>0.044058237740204</v>
      </c>
      <c r="R7" s="0" t="n">
        <f aca="false">Q7/D7</f>
        <v>0.044058237740204</v>
      </c>
      <c r="S7" s="0" t="s">
        <v>26</v>
      </c>
      <c r="T7" s="0" t="n">
        <v>0.0044058237740204</v>
      </c>
      <c r="U7" s="0" t="n">
        <v>0.0957171857678624</v>
      </c>
    </row>
    <row r="8" customFormat="false" ht="12.8" hidden="false" customHeight="false" outlineLevel="0" collapsed="false">
      <c r="A8" s="1" t="s">
        <v>21</v>
      </c>
      <c r="B8" s="0" t="s">
        <v>32</v>
      </c>
      <c r="C8" s="0" t="n">
        <v>3</v>
      </c>
      <c r="D8" s="0" t="n">
        <v>1</v>
      </c>
      <c r="E8" s="0" t="n">
        <v>45.01654</v>
      </c>
      <c r="F8" s="0" t="s">
        <v>23</v>
      </c>
      <c r="G8" s="0" t="s">
        <v>24</v>
      </c>
      <c r="H8" s="0" t="s">
        <v>25</v>
      </c>
      <c r="I8" s="0" t="n">
        <v>-10</v>
      </c>
      <c r="J8" s="0" t="n">
        <v>-20</v>
      </c>
      <c r="K8" s="0" t="n">
        <v>0</v>
      </c>
      <c r="L8" s="0" t="n">
        <v>3.15</v>
      </c>
      <c r="M8" s="0" t="n">
        <v>-10</v>
      </c>
      <c r="N8" s="0" t="n">
        <v>-3.53995018251662</v>
      </c>
      <c r="O8" s="0" t="n">
        <v>0</v>
      </c>
      <c r="P8" s="0" t="n">
        <v>8.60915057445503</v>
      </c>
      <c r="Q8" s="0" t="n">
        <v>0.03401067198633</v>
      </c>
      <c r="R8" s="0" t="n">
        <f aca="false">Q8/D8</f>
        <v>0.03401067198633</v>
      </c>
      <c r="S8" s="0" t="s">
        <v>26</v>
      </c>
      <c r="T8" s="0" t="n">
        <v>0.003401067198633</v>
      </c>
      <c r="U8" s="0" t="n">
        <v>0.0738886976778638</v>
      </c>
    </row>
    <row r="9" customFormat="false" ht="12.8" hidden="false" customHeight="false" outlineLevel="0" collapsed="false">
      <c r="A9" s="1" t="s">
        <v>21</v>
      </c>
      <c r="B9" s="0" t="s">
        <v>33</v>
      </c>
      <c r="C9" s="0" t="n">
        <v>3</v>
      </c>
      <c r="D9" s="0" t="n">
        <v>1</v>
      </c>
      <c r="E9" s="0" t="n">
        <v>45.01654</v>
      </c>
      <c r="F9" s="0" t="s">
        <v>23</v>
      </c>
      <c r="G9" s="0" t="s">
        <v>24</v>
      </c>
      <c r="H9" s="0" t="s">
        <v>25</v>
      </c>
      <c r="I9" s="0" t="n">
        <v>-10</v>
      </c>
      <c r="J9" s="0" t="n">
        <v>-20</v>
      </c>
      <c r="K9" s="0" t="n">
        <v>0</v>
      </c>
      <c r="L9" s="0" t="n">
        <v>3.15</v>
      </c>
      <c r="M9" s="0" t="n">
        <v>-10</v>
      </c>
      <c r="N9" s="0" t="n">
        <v>-4.23418752574631</v>
      </c>
      <c r="O9" s="0" t="n">
        <v>0</v>
      </c>
      <c r="P9" s="0" t="n">
        <v>9.27051542051113</v>
      </c>
      <c r="Q9" s="0" t="n">
        <v>0.0178382389769301</v>
      </c>
      <c r="R9" s="0" t="n">
        <f aca="false">Q9/D9</f>
        <v>0.0178382389769301</v>
      </c>
      <c r="S9" s="0" t="s">
        <v>26</v>
      </c>
      <c r="T9" s="0" t="n">
        <v>0.00178382389769301</v>
      </c>
      <c r="U9" s="0" t="n">
        <v>0.038753843129052</v>
      </c>
    </row>
    <row r="10" customFormat="false" ht="12.8" hidden="false" customHeight="false" outlineLevel="0" collapsed="false">
      <c r="A10" s="1" t="s">
        <v>21</v>
      </c>
      <c r="B10" s="0" t="s">
        <v>34</v>
      </c>
      <c r="C10" s="0" t="n">
        <v>0</v>
      </c>
      <c r="D10" s="0" t="n">
        <v>6</v>
      </c>
      <c r="E10" s="0" t="n">
        <v>180.15228</v>
      </c>
      <c r="F10" s="0" t="s">
        <v>23</v>
      </c>
      <c r="G10" s="0" t="s">
        <v>24</v>
      </c>
      <c r="H10" s="0" t="s">
        <v>25</v>
      </c>
      <c r="I10" s="0" t="n">
        <v>-10</v>
      </c>
      <c r="J10" s="0" t="n">
        <v>-20</v>
      </c>
      <c r="K10" s="0" t="n">
        <v>0</v>
      </c>
      <c r="L10" s="0" t="n">
        <v>3.15</v>
      </c>
      <c r="M10" s="0" t="n">
        <v>-10</v>
      </c>
      <c r="N10" s="0" t="n">
        <v>-17.6497565588431</v>
      </c>
      <c r="O10" s="0" t="n">
        <v>0</v>
      </c>
      <c r="P10" s="0" t="n">
        <v>19.6569849490816</v>
      </c>
      <c r="Q10" s="0" t="n">
        <v>0.98651444695298</v>
      </c>
      <c r="R10" s="0" t="n">
        <f aca="false">Q10/D10</f>
        <v>0.164419074492163</v>
      </c>
      <c r="S10" s="0" t="s">
        <v>26</v>
      </c>
      <c r="T10" s="0" t="n">
        <v>0.098651444695298</v>
      </c>
      <c r="U10" s="0" t="n">
        <v>0.547600311776781</v>
      </c>
    </row>
    <row r="11" customFormat="false" ht="12.8" hidden="false" customHeight="false" outlineLevel="0" collapsed="false">
      <c r="A11" s="1" t="s">
        <v>21</v>
      </c>
      <c r="B11" s="0" t="s">
        <v>35</v>
      </c>
      <c r="C11" s="0" t="n">
        <v>0</v>
      </c>
      <c r="D11" s="0" t="n">
        <v>3</v>
      </c>
      <c r="E11" s="0" t="n">
        <v>92.09182</v>
      </c>
      <c r="F11" s="0" t="s">
        <v>23</v>
      </c>
      <c r="G11" s="0" t="s">
        <v>24</v>
      </c>
      <c r="H11" s="0" t="s">
        <v>25</v>
      </c>
      <c r="I11" s="0" t="n">
        <v>-10</v>
      </c>
      <c r="J11" s="0" t="n">
        <v>-20</v>
      </c>
      <c r="K11" s="0" t="n">
        <v>0</v>
      </c>
      <c r="L11" s="0" t="n">
        <v>3.15</v>
      </c>
      <c r="M11" s="0" t="n">
        <v>-10</v>
      </c>
      <c r="N11" s="0" t="n">
        <v>-10.7453170274686</v>
      </c>
      <c r="O11" s="0" t="n">
        <v>0</v>
      </c>
      <c r="P11" s="0" t="n">
        <v>6.89488983515124</v>
      </c>
      <c r="Q11" s="0" t="n">
        <v>0.564993096011652</v>
      </c>
      <c r="R11" s="0" t="n">
        <f aca="false">Q11/D11</f>
        <v>0.188331032003884</v>
      </c>
      <c r="S11" s="0" t="s">
        <v>26</v>
      </c>
      <c r="T11" s="0" t="n">
        <v>0.0564993096011652</v>
      </c>
      <c r="U11" s="0" t="n">
        <v>0.61349729657392</v>
      </c>
    </row>
    <row r="12" customFormat="false" ht="12.8" hidden="false" customHeight="false" outlineLevel="0" collapsed="false">
      <c r="A12" s="1" t="s">
        <v>21</v>
      </c>
      <c r="B12" s="0" t="s">
        <v>36</v>
      </c>
      <c r="C12" s="0" t="n">
        <v>1</v>
      </c>
      <c r="D12" s="0" t="n">
        <v>2</v>
      </c>
      <c r="E12" s="0" t="n">
        <v>60.05076</v>
      </c>
      <c r="F12" s="0" t="s">
        <v>23</v>
      </c>
      <c r="G12" s="0" t="s">
        <v>24</v>
      </c>
      <c r="H12" s="0" t="s">
        <v>25</v>
      </c>
      <c r="I12" s="0" t="n">
        <v>-10</v>
      </c>
      <c r="J12" s="0" t="n">
        <v>-20</v>
      </c>
      <c r="K12" s="0" t="n">
        <v>0</v>
      </c>
      <c r="L12" s="0" t="n">
        <v>3.15</v>
      </c>
      <c r="M12" s="0" t="n">
        <v>-10</v>
      </c>
      <c r="N12" s="0" t="n">
        <v>-8.95645527355163</v>
      </c>
      <c r="O12" s="0" t="n">
        <v>0</v>
      </c>
      <c r="P12" s="0" t="n">
        <v>9.47987414207823</v>
      </c>
      <c r="Q12" s="0" t="n">
        <v>0.25725038471975</v>
      </c>
      <c r="R12" s="0" t="n">
        <f aca="false">Q12/D12</f>
        <v>0.128625192359875</v>
      </c>
      <c r="S12" s="0" t="s">
        <v>26</v>
      </c>
      <c r="T12" s="0" t="n">
        <v>0.025725038471975</v>
      </c>
      <c r="U12" s="0" t="n">
        <v>0.428379379071055</v>
      </c>
    </row>
    <row r="13" customFormat="false" ht="12.8" hidden="false" customHeight="false" outlineLevel="0" collapsed="false">
      <c r="A13" s="1" t="s">
        <v>21</v>
      </c>
      <c r="B13" s="0" t="s">
        <v>37</v>
      </c>
      <c r="C13" s="0" t="n">
        <v>1</v>
      </c>
      <c r="D13" s="0" t="n">
        <v>2</v>
      </c>
      <c r="E13" s="0" t="n">
        <v>60.05076</v>
      </c>
      <c r="F13" s="0" t="s">
        <v>23</v>
      </c>
      <c r="G13" s="0" t="s">
        <v>24</v>
      </c>
      <c r="H13" s="0" t="s">
        <v>25</v>
      </c>
      <c r="I13" s="0" t="n">
        <v>-10</v>
      </c>
      <c r="J13" s="0" t="n">
        <v>-20</v>
      </c>
      <c r="K13" s="0" t="n">
        <v>0</v>
      </c>
      <c r="L13" s="0" t="n">
        <v>3.15</v>
      </c>
      <c r="M13" s="0" t="n">
        <v>-10</v>
      </c>
      <c r="N13" s="0" t="n">
        <v>-7.65678740688174</v>
      </c>
      <c r="O13" s="0" t="n">
        <v>0</v>
      </c>
      <c r="P13" s="0" t="n">
        <v>8.24180521859948</v>
      </c>
      <c r="Q13" s="0" t="n">
        <v>0.287525089716241</v>
      </c>
      <c r="R13" s="0" t="n">
        <f aca="false">Q13/D13</f>
        <v>0.14376254485812</v>
      </c>
      <c r="S13" s="0" t="s">
        <v>26</v>
      </c>
      <c r="T13" s="0" t="n">
        <v>0.0287525089716241</v>
      </c>
      <c r="U13" s="0" t="n">
        <v>0.478793528469062</v>
      </c>
    </row>
    <row r="14" customFormat="false" ht="12.8" hidden="false" customHeight="false" outlineLevel="0" collapsed="false">
      <c r="A14" s="1" t="s">
        <v>21</v>
      </c>
      <c r="B14" s="0" t="s">
        <v>38</v>
      </c>
      <c r="C14" s="0" t="n">
        <v>2</v>
      </c>
      <c r="D14" s="0" t="n">
        <v>1</v>
      </c>
      <c r="E14" s="0" t="n">
        <v>32.04106</v>
      </c>
      <c r="F14" s="0" t="s">
        <v>23</v>
      </c>
      <c r="G14" s="0" t="s">
        <v>24</v>
      </c>
      <c r="H14" s="0" t="s">
        <v>25</v>
      </c>
      <c r="I14" s="0" t="n">
        <v>-10</v>
      </c>
      <c r="J14" s="0" t="n">
        <v>-20</v>
      </c>
      <c r="K14" s="0" t="n">
        <v>0</v>
      </c>
      <c r="L14" s="0" t="n">
        <v>3.15</v>
      </c>
      <c r="M14" s="0" t="n">
        <v>-10</v>
      </c>
      <c r="N14" s="0" t="n">
        <v>-5.40318928316123</v>
      </c>
      <c r="O14" s="0" t="n">
        <v>0</v>
      </c>
      <c r="P14" s="0" t="n">
        <v>0.858038682837126</v>
      </c>
      <c r="Q14" s="0" t="n">
        <v>0.223549909260725</v>
      </c>
      <c r="R14" s="0" t="n">
        <f aca="false">Q14/D14</f>
        <v>0.223549909260725</v>
      </c>
      <c r="S14" s="0" t="s">
        <v>26</v>
      </c>
      <c r="T14" s="0" t="n">
        <v>0.0223549909260725</v>
      </c>
      <c r="U14" s="0" t="n">
        <v>0.697698232395324</v>
      </c>
    </row>
    <row r="15" customFormat="false" ht="12.8" hidden="false" customHeight="false" outlineLevel="0" collapsed="false">
      <c r="A15" s="1" t="s">
        <v>21</v>
      </c>
      <c r="B15" s="0" t="s">
        <v>39</v>
      </c>
      <c r="C15" s="0" t="n">
        <v>2</v>
      </c>
      <c r="D15" s="0" t="n">
        <v>1</v>
      </c>
      <c r="E15" s="0" t="n">
        <v>33.04106</v>
      </c>
      <c r="F15" s="0" t="s">
        <v>23</v>
      </c>
      <c r="G15" s="0" t="s">
        <v>24</v>
      </c>
      <c r="H15" s="0" t="s">
        <v>25</v>
      </c>
      <c r="I15" s="0" t="n">
        <v>-10</v>
      </c>
      <c r="J15" s="0" t="n">
        <v>-20</v>
      </c>
      <c r="K15" s="0" t="n">
        <v>0</v>
      </c>
      <c r="L15" s="0" t="n">
        <v>3.15</v>
      </c>
      <c r="M15" s="0" t="n">
        <v>-10</v>
      </c>
      <c r="N15" s="0" t="n">
        <v>-5.40324570939364</v>
      </c>
      <c r="O15" s="0" t="n">
        <v>0</v>
      </c>
      <c r="P15" s="0" t="n">
        <v>0.858092434697939</v>
      </c>
      <c r="Q15" s="0" t="n">
        <v>0.223548594857482</v>
      </c>
      <c r="R15" s="0" t="n">
        <f aca="false">Q15/D15</f>
        <v>0.223548594857482</v>
      </c>
      <c r="S15" s="0" t="s">
        <v>26</v>
      </c>
      <c r="T15" s="0" t="n">
        <v>0.0223548594857482</v>
      </c>
      <c r="U15" s="0" t="n">
        <v>0.697694130148884</v>
      </c>
    </row>
    <row r="16" customFormat="false" ht="12.8" hidden="false" customHeight="false" outlineLevel="0" collapsed="false">
      <c r="A16" s="1" t="s">
        <v>21</v>
      </c>
      <c r="B16" s="0" t="s">
        <v>40</v>
      </c>
      <c r="C16" s="0" t="n">
        <v>2</v>
      </c>
      <c r="D16" s="0" t="n">
        <v>1</v>
      </c>
      <c r="E16" s="0" t="n">
        <v>34.04106</v>
      </c>
      <c r="F16" s="0" t="s">
        <v>23</v>
      </c>
      <c r="G16" s="0" t="s">
        <v>24</v>
      </c>
      <c r="H16" s="0" t="s">
        <v>25</v>
      </c>
      <c r="I16" s="0" t="n">
        <v>-10</v>
      </c>
      <c r="J16" s="0" t="n">
        <v>-20</v>
      </c>
      <c r="K16" s="0" t="n">
        <v>0</v>
      </c>
      <c r="L16" s="0" t="n">
        <v>3.15</v>
      </c>
      <c r="M16" s="0" t="n">
        <v>-10</v>
      </c>
      <c r="N16" s="0" t="n">
        <v>-8.54522565284914</v>
      </c>
      <c r="O16" s="0" t="n">
        <v>0</v>
      </c>
      <c r="P16" s="0" t="n">
        <v>3.85115543759454</v>
      </c>
      <c r="Q16" s="0" t="n">
        <v>0.150358724599223</v>
      </c>
      <c r="R16" s="0" t="n">
        <f aca="false">Q16/D16</f>
        <v>0.150358724599223</v>
      </c>
      <c r="S16" s="0" t="s">
        <v>26</v>
      </c>
      <c r="T16" s="0" t="n">
        <v>0.0150358724599223</v>
      </c>
      <c r="U16" s="0" t="n">
        <v>0.469268883736127</v>
      </c>
    </row>
    <row r="17" customFormat="false" ht="12.8" hidden="false" customHeight="false" outlineLevel="0" collapsed="false">
      <c r="A17" s="1" t="s">
        <v>21</v>
      </c>
      <c r="B17" s="0" t="s">
        <v>41</v>
      </c>
      <c r="C17" s="0" t="n">
        <v>0</v>
      </c>
      <c r="D17" s="0" t="n">
        <v>5</v>
      </c>
      <c r="E17" s="0" t="n">
        <v>150.1269</v>
      </c>
      <c r="F17" s="0" t="s">
        <v>23</v>
      </c>
      <c r="G17" s="0" t="s">
        <v>24</v>
      </c>
      <c r="H17" s="0" t="s">
        <v>25</v>
      </c>
      <c r="I17" s="0" t="n">
        <v>-10</v>
      </c>
      <c r="J17" s="0" t="n">
        <v>-20</v>
      </c>
      <c r="K17" s="0" t="n">
        <v>0</v>
      </c>
      <c r="L17" s="0" t="n">
        <v>3.15</v>
      </c>
      <c r="M17" s="0" t="n">
        <v>-10</v>
      </c>
      <c r="N17" s="0" t="n">
        <v>-15.2490191564752</v>
      </c>
      <c r="O17" s="0" t="n">
        <v>0</v>
      </c>
      <c r="P17" s="0" t="n">
        <v>16.8960735691535</v>
      </c>
      <c r="Q17" s="0" t="n">
        <v>0.809495810704292</v>
      </c>
      <c r="R17" s="0" t="n">
        <f aca="false">Q17/D17</f>
        <v>0.161899162140858</v>
      </c>
      <c r="S17" s="0" t="s">
        <v>26</v>
      </c>
      <c r="T17" s="0" t="n">
        <v>0.0809495810704292</v>
      </c>
      <c r="U17" s="0" t="n">
        <v>0.539196570108767</v>
      </c>
    </row>
    <row r="18" customFormat="false" ht="12.8" hidden="false" customHeight="false" outlineLevel="0" collapsed="false">
      <c r="A18" s="1" t="s">
        <v>21</v>
      </c>
      <c r="B18" s="0" t="s">
        <v>42</v>
      </c>
      <c r="C18" s="0" t="n">
        <v>5</v>
      </c>
      <c r="D18" s="0" t="n">
        <v>1</v>
      </c>
      <c r="E18" s="0" t="n">
        <v>28.0097</v>
      </c>
      <c r="F18" s="0" t="s">
        <v>23</v>
      </c>
      <c r="G18" s="0" t="s">
        <v>43</v>
      </c>
      <c r="H18" s="0" t="s">
        <v>44</v>
      </c>
      <c r="I18" s="0" t="n">
        <v>-10</v>
      </c>
      <c r="J18" s="0" t="n">
        <v>0</v>
      </c>
      <c r="K18" s="0" t="n">
        <v>0</v>
      </c>
      <c r="L18" s="0" t="n">
        <v>0.45</v>
      </c>
      <c r="M18" s="0" t="n">
        <v>-10</v>
      </c>
      <c r="N18" s="0" t="n">
        <v>0</v>
      </c>
      <c r="O18" s="0" t="n">
        <v>0</v>
      </c>
      <c r="P18" s="0" t="n">
        <v>5.20209639082073</v>
      </c>
      <c r="Q18" s="0" t="n">
        <v>0.0275629684184201</v>
      </c>
      <c r="R18" s="0" t="n">
        <f aca="false">Q18/D18</f>
        <v>0.0275629684184201</v>
      </c>
      <c r="S18" s="0" t="s">
        <v>45</v>
      </c>
      <c r="T18" s="0" t="n">
        <v>0.00275629684184201</v>
      </c>
      <c r="U18" s="0" t="n">
        <v>0.0984040286269908</v>
      </c>
      <c r="V18" s="0" t="n">
        <f aca="false">T18*10^3/$E$18</f>
        <v>0.0984050825907457</v>
      </c>
    </row>
    <row r="19" customFormat="false" ht="12.8" hidden="false" customHeight="false" outlineLevel="0" collapsed="false">
      <c r="A19" s="1" t="s">
        <v>21</v>
      </c>
      <c r="B19" s="0" t="s">
        <v>46</v>
      </c>
      <c r="C19" s="0" t="n">
        <v>5</v>
      </c>
      <c r="D19" s="0" t="n">
        <v>1</v>
      </c>
      <c r="E19" s="0" t="n">
        <v>19.3450266666667</v>
      </c>
      <c r="F19" s="0" t="s">
        <v>23</v>
      </c>
      <c r="G19" s="0" t="s">
        <v>43</v>
      </c>
      <c r="H19" s="0" t="s">
        <v>44</v>
      </c>
      <c r="I19" s="0" t="n">
        <v>-10</v>
      </c>
      <c r="J19" s="0" t="n">
        <v>0</v>
      </c>
      <c r="K19" s="0" t="n">
        <v>-5</v>
      </c>
      <c r="L19" s="0" t="n">
        <v>0.45</v>
      </c>
      <c r="M19" s="0" t="n">
        <v>-10</v>
      </c>
      <c r="N19" s="0" t="n">
        <v>0</v>
      </c>
      <c r="O19" s="0" t="n">
        <v>-5</v>
      </c>
      <c r="P19" s="0" t="n">
        <v>2.77292456517377</v>
      </c>
      <c r="Q19" s="0" t="n">
        <v>0.0372228872566514</v>
      </c>
      <c r="R19" s="0" t="n">
        <f aca="false">Q19/D19</f>
        <v>0.0372228872566514</v>
      </c>
      <c r="S19" s="0" t="s">
        <v>47</v>
      </c>
      <c r="T19" s="0" t="n">
        <v>0.00372228872566514</v>
      </c>
      <c r="U19" s="0" t="n">
        <v>0.128275164575958</v>
      </c>
      <c r="V19" s="0" t="n">
        <f aca="false">T19*10^3/$E$18</f>
        <v>0.13289284518096</v>
      </c>
    </row>
    <row r="20" customFormat="false" ht="12.8" hidden="false" customHeight="false" outlineLevel="0" collapsed="false">
      <c r="A20" s="1" t="s">
        <v>21</v>
      </c>
      <c r="B20" s="0" t="s">
        <v>48</v>
      </c>
      <c r="C20" s="0" t="n">
        <v>5</v>
      </c>
      <c r="D20" s="0" t="n">
        <v>1</v>
      </c>
      <c r="E20" s="0" t="n">
        <v>15.01269</v>
      </c>
      <c r="F20" s="0" t="s">
        <v>23</v>
      </c>
      <c r="G20" s="0" t="s">
        <v>43</v>
      </c>
      <c r="H20" s="0" t="s">
        <v>44</v>
      </c>
      <c r="I20" s="0" t="n">
        <v>-10</v>
      </c>
      <c r="J20" s="0" t="n">
        <v>0</v>
      </c>
      <c r="K20" s="0" t="n">
        <v>-10</v>
      </c>
      <c r="L20" s="0" t="n">
        <v>0.45</v>
      </c>
      <c r="M20" s="0" t="n">
        <v>-10</v>
      </c>
      <c r="N20" s="0" t="n">
        <v>0</v>
      </c>
      <c r="O20" s="0" t="n">
        <v>-10</v>
      </c>
      <c r="P20" s="0" t="n">
        <v>0.343752739526827</v>
      </c>
      <c r="Q20" s="0" t="n">
        <v>0.0468828060948827</v>
      </c>
      <c r="R20" s="0" t="n">
        <f aca="false">Q20/D20</f>
        <v>0.0468828060948827</v>
      </c>
      <c r="S20" s="0" t="s">
        <v>49</v>
      </c>
      <c r="T20" s="0" t="n">
        <v>0.00468828060948828</v>
      </c>
      <c r="U20" s="0" t="n">
        <v>0.156140698377682</v>
      </c>
      <c r="V20" s="0" t="n">
        <f aca="false">T20*10^3/$E$18</f>
        <v>0.167380607771175</v>
      </c>
    </row>
    <row r="21" customFormat="false" ht="12.8" hidden="false" customHeight="false" outlineLevel="0" collapsed="false">
      <c r="A21" s="1" t="s">
        <v>21</v>
      </c>
      <c r="B21" s="0" t="s">
        <v>50</v>
      </c>
      <c r="C21" s="0" t="n">
        <v>5</v>
      </c>
      <c r="D21" s="0" t="n">
        <v>1</v>
      </c>
      <c r="E21" s="0" t="n">
        <v>12.3600866666667</v>
      </c>
      <c r="F21" s="0" t="s">
        <v>23</v>
      </c>
      <c r="G21" s="0" t="s">
        <v>43</v>
      </c>
      <c r="H21" s="0" t="s">
        <v>44</v>
      </c>
      <c r="I21" s="0" t="n">
        <v>-10</v>
      </c>
      <c r="J21" s="0" t="n">
        <v>0</v>
      </c>
      <c r="K21" s="0" t="n">
        <v>-20</v>
      </c>
      <c r="L21" s="0" t="n">
        <v>0.45</v>
      </c>
      <c r="M21" s="0" t="n">
        <v>-10</v>
      </c>
      <c r="N21" s="0" t="n">
        <v>0</v>
      </c>
      <c r="O21" s="0" t="n">
        <v>-18.3235371331126</v>
      </c>
      <c r="P21" s="0" t="n">
        <v>0</v>
      </c>
      <c r="Q21" s="0" t="n">
        <v>0.0581526109509347</v>
      </c>
      <c r="R21" s="0" t="n">
        <f aca="false">Q21/D21</f>
        <v>0.0581526109509347</v>
      </c>
      <c r="S21" s="0" t="s">
        <v>51</v>
      </c>
      <c r="T21" s="0" t="n">
        <v>0.00581526109509347</v>
      </c>
      <c r="U21" s="0" t="n">
        <v>0.183423432176594</v>
      </c>
      <c r="V21" s="0" t="n">
        <f aca="false">T21*10^3/$E$18</f>
        <v>0.207615972148701</v>
      </c>
    </row>
    <row r="22" customFormat="false" ht="12.8" hidden="false" customHeight="false" outlineLevel="0" collapsed="false">
      <c r="A22" s="1" t="s">
        <v>21</v>
      </c>
      <c r="B22" s="0" t="s">
        <v>52</v>
      </c>
      <c r="C22" s="0" t="n">
        <v>4</v>
      </c>
      <c r="D22" s="0" t="n">
        <v>1</v>
      </c>
      <c r="E22" s="0" t="n">
        <v>45.01654</v>
      </c>
      <c r="F22" s="0" t="s">
        <v>23</v>
      </c>
      <c r="G22" s="0" t="s">
        <v>43</v>
      </c>
      <c r="H22" s="0" t="s">
        <v>44</v>
      </c>
      <c r="I22" s="0" t="n">
        <v>-10</v>
      </c>
      <c r="J22" s="0" t="n">
        <v>0</v>
      </c>
      <c r="K22" s="0" t="n">
        <v>0</v>
      </c>
      <c r="L22" s="0" t="n">
        <v>0.45</v>
      </c>
      <c r="M22" s="0" t="n">
        <v>-10</v>
      </c>
      <c r="N22" s="0" t="n">
        <v>0</v>
      </c>
      <c r="O22" s="0" t="n">
        <v>0</v>
      </c>
      <c r="P22" s="0" t="n">
        <v>5.20209639082072</v>
      </c>
      <c r="Q22" s="0" t="n">
        <v>0.0275629684184202</v>
      </c>
      <c r="R22" s="0" t="n">
        <f aca="false">Q22/D22</f>
        <v>0.0275629684184202</v>
      </c>
      <c r="S22" s="3" t="s">
        <v>45</v>
      </c>
      <c r="T22" s="0" t="n">
        <v>0.00275629684184202</v>
      </c>
      <c r="U22" s="0" t="n">
        <v>0.0598809644629112</v>
      </c>
    </row>
    <row r="23" customFormat="false" ht="12.8" hidden="false" customHeight="false" outlineLevel="0" collapsed="false">
      <c r="A23" s="1" t="s">
        <v>21</v>
      </c>
      <c r="B23" s="0" t="s">
        <v>53</v>
      </c>
      <c r="C23" s="0" t="n">
        <v>4</v>
      </c>
      <c r="D23" s="0" t="n">
        <v>1</v>
      </c>
      <c r="E23" s="0" t="n">
        <v>30.68292</v>
      </c>
      <c r="F23" s="0" t="s">
        <v>23</v>
      </c>
      <c r="G23" s="0" t="s">
        <v>43</v>
      </c>
      <c r="H23" s="0" t="s">
        <v>44</v>
      </c>
      <c r="I23" s="0" t="n">
        <v>-10</v>
      </c>
      <c r="J23" s="0" t="n">
        <v>0</v>
      </c>
      <c r="K23" s="0" t="n">
        <v>-5</v>
      </c>
      <c r="L23" s="0" t="n">
        <v>0.45</v>
      </c>
      <c r="M23" s="0" t="n">
        <v>-10</v>
      </c>
      <c r="N23" s="0" t="n">
        <v>0</v>
      </c>
      <c r="O23" s="0" t="n">
        <v>-5</v>
      </c>
      <c r="P23" s="0" t="n">
        <v>2.77292456517377</v>
      </c>
      <c r="Q23" s="0" t="n">
        <v>0.0372228872566515</v>
      </c>
      <c r="R23" s="0" t="n">
        <f aca="false">Q23/D23</f>
        <v>0.0372228872566515</v>
      </c>
      <c r="S23" s="0" t="s">
        <v>47</v>
      </c>
      <c r="T23" s="0" t="n">
        <v>0.00372228872566515</v>
      </c>
      <c r="U23" s="0" t="n">
        <v>0.0791343250009598</v>
      </c>
    </row>
    <row r="24" customFormat="false" ht="12.8" hidden="false" customHeight="false" outlineLevel="0" collapsed="false">
      <c r="A24" s="1" t="s">
        <v>21</v>
      </c>
      <c r="B24" s="0" t="s">
        <v>54</v>
      </c>
      <c r="C24" s="0" t="n">
        <v>4</v>
      </c>
      <c r="D24" s="0" t="n">
        <v>1</v>
      </c>
      <c r="E24" s="0" t="n">
        <v>23.51611</v>
      </c>
      <c r="F24" s="0" t="s">
        <v>23</v>
      </c>
      <c r="G24" s="0" t="s">
        <v>43</v>
      </c>
      <c r="H24" s="0" t="s">
        <v>44</v>
      </c>
      <c r="I24" s="0" t="n">
        <v>-10</v>
      </c>
      <c r="J24" s="0" t="n">
        <v>0</v>
      </c>
      <c r="K24" s="0" t="n">
        <v>-10</v>
      </c>
      <c r="L24" s="0" t="n">
        <v>0.45</v>
      </c>
      <c r="M24" s="0" t="n">
        <v>-10</v>
      </c>
      <c r="N24" s="0" t="n">
        <v>0</v>
      </c>
      <c r="O24" s="0" t="n">
        <v>-10</v>
      </c>
      <c r="P24" s="0" t="n">
        <v>0.343752739526822</v>
      </c>
      <c r="Q24" s="0" t="n">
        <v>0.0468828060948828</v>
      </c>
      <c r="R24" s="0" t="n">
        <f aca="false">Q24/D24</f>
        <v>0.0468828060948828</v>
      </c>
      <c r="S24" s="0" t="s">
        <v>49</v>
      </c>
      <c r="T24" s="0" t="n">
        <v>0.00468828060948828</v>
      </c>
      <c r="U24" s="0" t="n">
        <v>0.09757981187639</v>
      </c>
    </row>
    <row r="25" customFormat="false" ht="12.8" hidden="false" customHeight="false" outlineLevel="0" collapsed="false">
      <c r="A25" s="1" t="s">
        <v>21</v>
      </c>
      <c r="B25" s="0" t="s">
        <v>55</v>
      </c>
      <c r="C25" s="0" t="n">
        <v>4</v>
      </c>
      <c r="D25" s="0" t="n">
        <v>1</v>
      </c>
      <c r="E25" s="0" t="n">
        <v>18.0290333333333</v>
      </c>
      <c r="F25" s="0" t="s">
        <v>23</v>
      </c>
      <c r="G25" s="0" t="s">
        <v>43</v>
      </c>
      <c r="H25" s="0" t="s">
        <v>44</v>
      </c>
      <c r="I25" s="0" t="n">
        <v>-10</v>
      </c>
      <c r="J25" s="0" t="n">
        <v>0</v>
      </c>
      <c r="K25" s="0" t="n">
        <v>-20</v>
      </c>
      <c r="L25" s="0" t="n">
        <v>0.45</v>
      </c>
      <c r="M25" s="0" t="n">
        <v>-10</v>
      </c>
      <c r="N25" s="0" t="n">
        <v>0</v>
      </c>
      <c r="O25" s="0" t="n">
        <v>-18.3235371331125</v>
      </c>
      <c r="P25" s="0" t="n">
        <v>0</v>
      </c>
      <c r="Q25" s="0" t="n">
        <v>0.0581526109509348</v>
      </c>
      <c r="R25" s="0" t="n">
        <f aca="false">Q25/D25</f>
        <v>0.0581526109509348</v>
      </c>
      <c r="S25" s="0" t="s">
        <v>51</v>
      </c>
      <c r="T25" s="0" t="n">
        <v>0.00581526109509348</v>
      </c>
      <c r="U25" s="0" t="n">
        <v>0.116951672067985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2021-06-25T13:59:49Z</dcterms:modified>
  <cp:revision>15</cp:revision>
  <dc:subject/>
  <dc:title/>
</cp:coreProperties>
</file>